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515" windowHeight="8415"/>
  </bookViews>
  <sheets>
    <sheet name="Data_DBD" sheetId="1" r:id="rId1"/>
    <sheet name="Pemilihan Fitur" sheetId="19" r:id="rId2"/>
    <sheet name="Data Uji" sheetId="26" r:id="rId3"/>
    <sheet name="Data Latih" sheetId="27" r:id="rId4"/>
    <sheet name="Pohon 1" sheetId="2" r:id="rId5"/>
    <sheet name="Pohon 2" sheetId="4" r:id="rId6"/>
    <sheet name="Pohon 3" sheetId="5" r:id="rId7"/>
    <sheet name="Pohon 4" sheetId="6" r:id="rId8"/>
    <sheet name="Pohon 5" sheetId="29" r:id="rId9"/>
    <sheet name="Pohon 6" sheetId="30" r:id="rId10"/>
    <sheet name="Pohon 7" sheetId="31" r:id="rId11"/>
    <sheet name="Pohon 8" sheetId="32" r:id="rId12"/>
    <sheet name="Pohon 9" sheetId="33" r:id="rId13"/>
    <sheet name="Pohon 10" sheetId="34" r:id="rId14"/>
    <sheet name="Pohon 11" sheetId="35" r:id="rId15"/>
    <sheet name="Pohon 12" sheetId="36" r:id="rId16"/>
    <sheet name="Pohon 13" sheetId="37" r:id="rId17"/>
    <sheet name="Pohon 14" sheetId="38" r:id="rId18"/>
    <sheet name="Pohon 15" sheetId="39" r:id="rId19"/>
    <sheet name="PerhitunganRF" sheetId="24" r:id="rId20"/>
    <sheet name="PenentuanPohonterbaik" sheetId="25" r:id="rId21"/>
    <sheet name="Sheet2" sheetId="41" r:id="rId22"/>
  </sheets>
  <calcPr calcId="144525"/>
</workbook>
</file>

<file path=xl/sharedStrings.xml><?xml version="1.0" encoding="utf-8"?>
<sst xmlns="http://schemas.openxmlformats.org/spreadsheetml/2006/main" count="1387" uniqueCount="286">
  <si>
    <t>Nama</t>
  </si>
  <si>
    <t>Usia</t>
  </si>
  <si>
    <t>Lama Rawat Inap</t>
  </si>
  <si>
    <t>Jumlah Kasus Perbulan</t>
  </si>
  <si>
    <t>Jenis Kelamin</t>
  </si>
  <si>
    <t>Terdeteksi</t>
  </si>
  <si>
    <t>Tingkat Resiko</t>
  </si>
  <si>
    <t>Neni Sumetria</t>
  </si>
  <si>
    <t>Malki Amron</t>
  </si>
  <si>
    <t>Arifa Qyaratul</t>
  </si>
  <si>
    <t>Rezki Mhd</t>
  </si>
  <si>
    <t>Selfiolla</t>
  </si>
  <si>
    <t xml:space="preserve">M.Albiruni </t>
  </si>
  <si>
    <t>Yurika Azarine</t>
  </si>
  <si>
    <t>Rahmad Ihtiar</t>
  </si>
  <si>
    <t>Tiara Endiwa</t>
  </si>
  <si>
    <t>Boby</t>
  </si>
  <si>
    <t>Defi Putri</t>
  </si>
  <si>
    <t>Nini Efriza</t>
  </si>
  <si>
    <t>Novi Agus</t>
  </si>
  <si>
    <t>Siska Rahmadani</t>
  </si>
  <si>
    <t>Kalmani</t>
  </si>
  <si>
    <t>Nayra Dhika</t>
  </si>
  <si>
    <t>Andri Naldi</t>
  </si>
  <si>
    <t>Qhanita Nur</t>
  </si>
  <si>
    <t>Shecillia Hanifah</t>
  </si>
  <si>
    <t>Haziq Arsyad</t>
  </si>
  <si>
    <t>Naira Giska</t>
  </si>
  <si>
    <t>Eko Ady</t>
  </si>
  <si>
    <t>Suwarni</t>
  </si>
  <si>
    <t>Mayang</t>
  </si>
  <si>
    <t>Janibar</t>
  </si>
  <si>
    <t>Hendra Wadi</t>
  </si>
  <si>
    <t>Heru Pratama</t>
  </si>
  <si>
    <t>Ade Sepriyanto</t>
  </si>
  <si>
    <t>Diendri Barakta</t>
  </si>
  <si>
    <t>2,8</t>
  </si>
  <si>
    <t>Suwardi</t>
  </si>
  <si>
    <t>Emelya Nora</t>
  </si>
  <si>
    <t>Eosel Rizkia</t>
  </si>
  <si>
    <t>Warmaneti</t>
  </si>
  <si>
    <t>Yandril</t>
  </si>
  <si>
    <t>Romy Herina</t>
  </si>
  <si>
    <t>Ilham Saputra</t>
  </si>
  <si>
    <t>Berli Simanjuntak</t>
  </si>
  <si>
    <t>M. Hafiz</t>
  </si>
  <si>
    <t>Yusril</t>
  </si>
  <si>
    <t>Anggifa Fitria</t>
  </si>
  <si>
    <t>Abdul Fikri</t>
  </si>
  <si>
    <t>Refa Anggraini</t>
  </si>
  <si>
    <t>Dosil Abdul</t>
  </si>
  <si>
    <t>Zulkifli</t>
  </si>
  <si>
    <t>Nurhayati</t>
  </si>
  <si>
    <t>Muhara Mulya</t>
  </si>
  <si>
    <t>Basri</t>
  </si>
  <si>
    <t>Yuharni</t>
  </si>
  <si>
    <t>Tiara Putri</t>
  </si>
  <si>
    <t>Afria Puspa</t>
  </si>
  <si>
    <t>Zeinal Efendi</t>
  </si>
  <si>
    <t>David Eka Putra</t>
  </si>
  <si>
    <t>Khaira Umamah</t>
  </si>
  <si>
    <t>Yusuf Andrian</t>
  </si>
  <si>
    <t>Riva Afrilliana</t>
  </si>
  <si>
    <t>Rizal Putra</t>
  </si>
  <si>
    <t>Olivia Kirana</t>
  </si>
  <si>
    <t>Fitri Novita</t>
  </si>
  <si>
    <t>Elianti</t>
  </si>
  <si>
    <t>Reza Refninda</t>
  </si>
  <si>
    <t>Fauzan</t>
  </si>
  <si>
    <t xml:space="preserve"> El Alisa Putri</t>
  </si>
  <si>
    <t>Sirat</t>
  </si>
  <si>
    <t>Emi</t>
  </si>
  <si>
    <t>Rezky</t>
  </si>
  <si>
    <t>Mhd Rivaldo</t>
  </si>
  <si>
    <t>Sri Suhermi</t>
  </si>
  <si>
    <t>Syaifullah</t>
  </si>
  <si>
    <t>Riwanto</t>
  </si>
  <si>
    <t xml:space="preserve">Yunizar </t>
  </si>
  <si>
    <t>Aqlan Havizh</t>
  </si>
  <si>
    <t>Dzacky Claresta</t>
  </si>
  <si>
    <t>Arumi Putri</t>
  </si>
  <si>
    <t>Ibnu Sadri</t>
  </si>
  <si>
    <t>Deliana</t>
  </si>
  <si>
    <t>Zakra</t>
  </si>
  <si>
    <t>Ulfa Oktavia</t>
  </si>
  <si>
    <t>Nafilsa Abdul</t>
  </si>
  <si>
    <t>Mulyadi</t>
  </si>
  <si>
    <t>Fadli Kurniawan</t>
  </si>
  <si>
    <t>Oktavianus</t>
  </si>
  <si>
    <t>Nipralaini</t>
  </si>
  <si>
    <t>Marzoni</t>
  </si>
  <si>
    <t>Putri Maylia</t>
  </si>
  <si>
    <t>Muthi Navisa</t>
  </si>
  <si>
    <t xml:space="preserve">Mutia Diva </t>
  </si>
  <si>
    <t>Anugrah Illahi</t>
  </si>
  <si>
    <t>Mon Sri</t>
  </si>
  <si>
    <t>Surya Masalfi</t>
  </si>
  <si>
    <t>Aat Kusmayadi</t>
  </si>
  <si>
    <t>Fitria Anita</t>
  </si>
  <si>
    <t>Rosavita</t>
  </si>
  <si>
    <t>Jauza Jahira</t>
  </si>
  <si>
    <t>Menzo Khaira</t>
  </si>
  <si>
    <t>Zulfa Yenti</t>
  </si>
  <si>
    <t>Syahlan Yuanda</t>
  </si>
  <si>
    <t>Kenzi Romanja</t>
  </si>
  <si>
    <t>Abdurrahman As Saoli</t>
  </si>
  <si>
    <t>Aisyah Difani</t>
  </si>
  <si>
    <t>Rosli Asamara</t>
  </si>
  <si>
    <t>Lisma Erni</t>
  </si>
  <si>
    <t>Rahmi</t>
  </si>
  <si>
    <t>Eki Hendra</t>
  </si>
  <si>
    <t>Yusbardar</t>
  </si>
  <si>
    <t>Aris Lucky</t>
  </si>
  <si>
    <t>Murniaty</t>
  </si>
  <si>
    <t>Agus</t>
  </si>
  <si>
    <t>Indra Melvi</t>
  </si>
  <si>
    <t>Musliadi</t>
  </si>
  <si>
    <t>Ulfa Alifia</t>
  </si>
  <si>
    <t>Martias</t>
  </si>
  <si>
    <t>Masri</t>
  </si>
  <si>
    <t>Dzikra Maulana</t>
  </si>
  <si>
    <t>Indra Mastari</t>
  </si>
  <si>
    <t>Budi Kargo</t>
  </si>
  <si>
    <t>Adril Yusuf</t>
  </si>
  <si>
    <t>M. Fatih</t>
  </si>
  <si>
    <t>Nila Purnama Sari</t>
  </si>
  <si>
    <t>Edo Madani</t>
  </si>
  <si>
    <t>Idris</t>
  </si>
  <si>
    <t>Randi</t>
  </si>
  <si>
    <t>Destia Izani</t>
  </si>
  <si>
    <t>M. Raihan</t>
  </si>
  <si>
    <t>Widya Anggraini</t>
  </si>
  <si>
    <t>Misrita Indra</t>
  </si>
  <si>
    <t>Sintia</t>
  </si>
  <si>
    <t>Irmalinda</t>
  </si>
  <si>
    <t>Andini Putri</t>
  </si>
  <si>
    <t>Siti Aisyah</t>
  </si>
  <si>
    <t>Naura Salsabila</t>
  </si>
  <si>
    <t>Reza Chaniago</t>
  </si>
  <si>
    <t>Humaira Denifa</t>
  </si>
  <si>
    <t>Azzam</t>
  </si>
  <si>
    <t>Adha Lestari</t>
  </si>
  <si>
    <t>Nadira Puti</t>
  </si>
  <si>
    <t>Reza Andriansyah</t>
  </si>
  <si>
    <t>Rafael Sebastian</t>
  </si>
  <si>
    <t>Yulia Neri</t>
  </si>
  <si>
    <t>Rajab</t>
  </si>
  <si>
    <t>Widya Mayang</t>
  </si>
  <si>
    <t>Rahmat Fitra</t>
  </si>
  <si>
    <t>Alvin Noradilla</t>
  </si>
  <si>
    <t>Zhaya</t>
  </si>
  <si>
    <t>Ahmad Faizin</t>
  </si>
  <si>
    <t xml:space="preserve">Asrizal </t>
  </si>
  <si>
    <t>Yunaldi</t>
  </si>
  <si>
    <t>Yanti Devina</t>
  </si>
  <si>
    <t>Syafrizal</t>
  </si>
  <si>
    <t>Weri Oktavia</t>
  </si>
  <si>
    <t>Zulkarnain</t>
  </si>
  <si>
    <t>Zainal Abidin</t>
  </si>
  <si>
    <t>Kendi Cahya</t>
  </si>
  <si>
    <t>Budiyono</t>
  </si>
  <si>
    <t>Najwa</t>
  </si>
  <si>
    <t>Abdul Aziz</t>
  </si>
  <si>
    <t>Hanifa Puti</t>
  </si>
  <si>
    <t>Celsi Sapira</t>
  </si>
  <si>
    <t>Anita Puspita</t>
  </si>
  <si>
    <t>Diffa Cayriful</t>
  </si>
  <si>
    <t>Febrianto Angger</t>
  </si>
  <si>
    <t>Desrizal</t>
  </si>
  <si>
    <t>Aprillia Khairunnisa</t>
  </si>
  <si>
    <t>Random Sampling Data</t>
  </si>
  <si>
    <t>Jumlah Kasus Per Bulan</t>
  </si>
  <si>
    <t>Sedang</t>
  </si>
  <si>
    <t>Tinggi</t>
  </si>
  <si>
    <t>Rendah</t>
  </si>
  <si>
    <t>No</t>
  </si>
  <si>
    <t>Perhitungan root</t>
  </si>
  <si>
    <t>Ket</t>
  </si>
  <si>
    <t>1=Rendah</t>
  </si>
  <si>
    <t>2 = Sedang</t>
  </si>
  <si>
    <t>3 = Tinggi</t>
  </si>
  <si>
    <t>Entropy Root</t>
  </si>
  <si>
    <t>=</t>
  </si>
  <si>
    <t>USIA</t>
  </si>
  <si>
    <t>LAMA RAWAT INAP</t>
  </si>
  <si>
    <t>JUMLAH KASUS PER BULAN</t>
  </si>
  <si>
    <t>JENIS KELAMIN</t>
  </si>
  <si>
    <t>Lama rawat inap</t>
  </si>
  <si>
    <t>Jumlah kasus perbulan</t>
  </si>
  <si>
    <t>Jenis kelamin</t>
  </si>
  <si>
    <t>Kanan &gt; 50.7</t>
  </si>
  <si>
    <t>Kanan &gt; 4.74</t>
  </si>
  <si>
    <t>Kanan &gt; 29.6</t>
  </si>
  <si>
    <t>Kanan &gt; 1</t>
  </si>
  <si>
    <t>Entropy</t>
  </si>
  <si>
    <t>Kiri&lt;16.8</t>
  </si>
  <si>
    <t>Kiri&lt;2.47</t>
  </si>
  <si>
    <t>Kiri&lt;13.7</t>
  </si>
  <si>
    <t>Kiri&lt;0</t>
  </si>
  <si>
    <t>Tengah</t>
  </si>
  <si>
    <t>IG</t>
  </si>
  <si>
    <t>Kanan &gt; 53</t>
  </si>
  <si>
    <t>Kanan &gt; 4.68</t>
  </si>
  <si>
    <t>Kanan &gt; 30.1</t>
  </si>
  <si>
    <t>Kiri&lt;16.9</t>
  </si>
  <si>
    <t>Kiri&lt;2.58</t>
  </si>
  <si>
    <t>Kiri&lt;13</t>
  </si>
  <si>
    <t>Kanan &gt; 50</t>
  </si>
  <si>
    <t>Kanan &gt; 4.52</t>
  </si>
  <si>
    <t>Kanan &gt; 25.6</t>
  </si>
  <si>
    <t>Kiri&lt;17.3</t>
  </si>
  <si>
    <t>Kiri&lt;2.51</t>
  </si>
  <si>
    <t>Kiri&lt;11.9</t>
  </si>
  <si>
    <t>Kanan &gt; 28.2</t>
  </si>
  <si>
    <t>Kanan &gt; 24.7</t>
  </si>
  <si>
    <t>Kiri&lt;11</t>
  </si>
  <si>
    <t>Kanan &gt; 25.2</t>
  </si>
  <si>
    <t>Kanan &gt; 26.5</t>
  </si>
  <si>
    <t>Kanan &gt; 26.2</t>
  </si>
  <si>
    <t>Kiri&lt;12</t>
  </si>
  <si>
    <t>Kanan &gt; 27.4</t>
  </si>
  <si>
    <t>Kanan &gt; 26.6</t>
  </si>
  <si>
    <t>Kanan &gt; 24</t>
  </si>
  <si>
    <t>Kanan &gt; 27</t>
  </si>
  <si>
    <t>Kanan &gt; 25</t>
  </si>
  <si>
    <t>Sampel Pohon 1</t>
  </si>
  <si>
    <t xml:space="preserve">Prediksi Sampel 1 </t>
  </si>
  <si>
    <t>Aktual(Jumlah Kasus Per Bulan)</t>
  </si>
  <si>
    <t>|Yi − Ŷi|</t>
  </si>
  <si>
    <t>(Yi − Ŷi)²</t>
  </si>
  <si>
    <t>ȳ</t>
  </si>
  <si>
    <t>ȳ²</t>
  </si>
  <si>
    <t>MAE</t>
  </si>
  <si>
    <t>MSE</t>
  </si>
  <si>
    <t>RMSE</t>
  </si>
  <si>
    <t>Rata-Rata</t>
  </si>
  <si>
    <t>R2</t>
  </si>
  <si>
    <t>Sampel Pohon 2</t>
  </si>
  <si>
    <t xml:space="preserve">Prediksi Sampel 2 </t>
  </si>
  <si>
    <t>Sampel Pohon 3</t>
  </si>
  <si>
    <t xml:space="preserve">Prediksi Sampel 3 </t>
  </si>
  <si>
    <t>Sampel Pohon 4</t>
  </si>
  <si>
    <t xml:space="preserve">Prediksi Sampel 4 </t>
  </si>
  <si>
    <t>Sampel Pohon 5</t>
  </si>
  <si>
    <t>Prediksi Sampel 5</t>
  </si>
  <si>
    <t>Aktual (Jumlah Kasus Per Bulan)</t>
  </si>
  <si>
    <t>Sampel Pohon 6</t>
  </si>
  <si>
    <t>Prediksi Sampel 6</t>
  </si>
  <si>
    <t>Sampel Pohon 7</t>
  </si>
  <si>
    <t>Prediksi Sampel 7</t>
  </si>
  <si>
    <t>Sampel Pohon 8</t>
  </si>
  <si>
    <t>Prediksi Sampel 8</t>
  </si>
  <si>
    <t>Sampel Pohon 9</t>
  </si>
  <si>
    <t>Prediksi Sampel 9</t>
  </si>
  <si>
    <t>Aktual</t>
  </si>
  <si>
    <t>(Jumlah Kasus Perbulan)</t>
  </si>
  <si>
    <t>Sampel Pohon 10</t>
  </si>
  <si>
    <t>Prediksi Sampel 10</t>
  </si>
  <si>
    <t xml:space="preserve"> </t>
  </si>
  <si>
    <t>Sampel Pohon 11</t>
  </si>
  <si>
    <t>Prediksi Sampel 11</t>
  </si>
  <si>
    <t>Sampel Pohon 12</t>
  </si>
  <si>
    <t>Prediksi Sampel 12</t>
  </si>
  <si>
    <t>Aktual (Jumlah Kasus Perbulan)</t>
  </si>
  <si>
    <t>Sampel Pohon 13</t>
  </si>
  <si>
    <t>Prediksi Sampel 13</t>
  </si>
  <si>
    <t>Sampel Pohon 14</t>
  </si>
  <si>
    <t>Prediksi Sampel 14</t>
  </si>
  <si>
    <t>Sampel Pohon 15</t>
  </si>
  <si>
    <t>Prediksi Sampel 15</t>
  </si>
  <si>
    <t>Sampel Pohon</t>
  </si>
  <si>
    <t>Sampel 1</t>
  </si>
  <si>
    <t>Sampel 2</t>
  </si>
  <si>
    <t>Sampel 3</t>
  </si>
  <si>
    <t>Sampel 4</t>
  </si>
  <si>
    <t>Sampel 5</t>
  </si>
  <si>
    <t>Sampel 6</t>
  </si>
  <si>
    <t>Sampel 7</t>
  </si>
  <si>
    <t>Sampel 8</t>
  </si>
  <si>
    <t>Sampel 9</t>
  </si>
  <si>
    <t>Sampel 10</t>
  </si>
  <si>
    <t>Sampel 11</t>
  </si>
  <si>
    <t>Sampel 12</t>
  </si>
  <si>
    <t>Sampel 13</t>
  </si>
  <si>
    <t>Sampel 14</t>
  </si>
  <si>
    <t>Sampel 15</t>
  </si>
</sst>
</file>

<file path=xl/styles.xml><?xml version="1.0" encoding="utf-8"?>
<styleSheet xmlns="http://schemas.openxmlformats.org/spreadsheetml/2006/main">
  <numFmts count="4">
    <numFmt numFmtId="42" formatCode="_(&quot;$&quot;* #,##0_);_(&quot;$&quot;* \(#,##0\);_(&quot;$&quot;* &quot;-&quot;_);_(@_)"/>
    <numFmt numFmtId="176" formatCode="_ * #,##0_ ;_ * \-#,##0_ ;_ * &quot;-&quot;_ ;_ @_ "/>
    <numFmt numFmtId="177" formatCode="_ * #,##0.00_ ;_ * \-#,##0.00_ ;_ * &quot;-&quot;??_ ;_ @_ "/>
    <numFmt numFmtId="44" formatCode="_(&quot;$&quot;* #,##0.00_);_(&quot;$&quot;* \(#,##0.00\);_(&quot;$&quot;* &quot;-&quot;??_);_(@_)"/>
  </numFmts>
  <fonts count="27">
    <font>
      <sz val="11"/>
      <color theme="1"/>
      <name val="Calibri"/>
      <charset val="134"/>
      <scheme val="minor"/>
    </font>
    <font>
      <b/>
      <sz val="12"/>
      <color rgb="FF000000"/>
      <name val="Times New Roman"/>
      <charset val="134"/>
    </font>
    <font>
      <sz val="12"/>
      <color rgb="FF000000"/>
      <name val="Times New Roman"/>
      <charset val="134"/>
    </font>
    <font>
      <b/>
      <sz val="12"/>
      <color theme="1"/>
      <name val="Times New Roman"/>
      <charset val="134"/>
    </font>
    <font>
      <sz val="12"/>
      <color theme="1"/>
      <name val="Times New Roman"/>
      <charset val="134"/>
    </font>
    <font>
      <b/>
      <sz val="11"/>
      <color theme="1"/>
      <name val="Calibri"/>
      <charset val="134"/>
      <scheme val="minor"/>
    </font>
    <font>
      <u/>
      <sz val="12"/>
      <color theme="1"/>
      <name val="Times New Roman"/>
      <charset val="134"/>
    </font>
    <font>
      <b/>
      <sz val="1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8"/>
      <color theme="3"/>
      <name val="Calibri"/>
      <charset val="134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853511154515"/>
        <bgColor indexed="64"/>
      </patternFill>
    </fill>
    <fill>
      <patternFill patternType="solid">
        <fgColor theme="8" tint="0.39985351115451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</fills>
  <borders count="1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0" fontId="0" fillId="0" borderId="0"/>
    <xf numFmtId="0" fontId="16" fillId="28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6" fillId="3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1" fillId="36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22" fillId="0" borderId="16" applyNumberFormat="0" applyFill="0" applyAlignment="0" applyProtection="0">
      <alignment vertical="center"/>
    </xf>
    <xf numFmtId="0" fontId="17" fillId="13" borderId="1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0" fillId="32" borderId="17" applyNumberFormat="0" applyFont="0" applyAlignment="0" applyProtection="0">
      <alignment vertical="center"/>
    </xf>
    <xf numFmtId="0" fontId="20" fillId="14" borderId="14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9" fillId="13" borderId="14" applyNumberFormat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4" fillId="0" borderId="12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0" borderId="11" applyNumberFormat="0" applyFill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5" fillId="34" borderId="18" applyNumberFormat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</cellStyleXfs>
  <cellXfs count="54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3" fontId="2" fillId="2" borderId="4" xfId="0" applyNumberFormat="1" applyFont="1" applyFill="1" applyBorder="1" applyAlignment="1">
      <alignment horizontal="center" vertical="center" wrapText="1"/>
    </xf>
    <xf numFmtId="0" fontId="0" fillId="0" borderId="0" xfId="0" applyFont="1"/>
    <xf numFmtId="3" fontId="2" fillId="0" borderId="4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0" fillId="5" borderId="5" xfId="0" applyFont="1" applyFill="1" applyBorder="1"/>
    <xf numFmtId="3" fontId="4" fillId="0" borderId="4" xfId="0" applyNumberFormat="1" applyFont="1" applyBorder="1" applyAlignment="1">
      <alignment horizontal="center" vertical="center" wrapText="1"/>
    </xf>
    <xf numFmtId="0" fontId="0" fillId="5" borderId="5" xfId="0" applyFill="1" applyBorder="1"/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3" fontId="4" fillId="0" borderId="2" xfId="0" applyNumberFormat="1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5" xfId="0" applyBorder="1"/>
    <xf numFmtId="0" fontId="0" fillId="0" borderId="5" xfId="0" applyFont="1" applyBorder="1"/>
    <xf numFmtId="0" fontId="0" fillId="0" borderId="10" xfId="0" applyBorder="1"/>
    <xf numFmtId="0" fontId="0" fillId="6" borderId="0" xfId="0" applyFill="1"/>
    <xf numFmtId="0" fontId="0" fillId="0" borderId="5" xfId="0" applyFont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0" fillId="7" borderId="5" xfId="0" applyFill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0" fillId="0" borderId="10" xfId="0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</cellXfs>
  <cellStyles count="50">
    <cellStyle name="Normal" xfId="0" builtinId="0"/>
    <cellStyle name="Normal 2" xfId="1"/>
    <cellStyle name="60% - Accent6" xfId="2" builtinId="52"/>
    <cellStyle name="40% - Accent6" xfId="3" builtinId="51"/>
    <cellStyle name="60% - Accent5" xfId="4" builtinId="48"/>
    <cellStyle name="Accent6" xfId="5" builtinId="49"/>
    <cellStyle name="40% - Accent5" xfId="6" builtinId="47"/>
    <cellStyle name="20% - Accent5" xfId="7" builtinId="46"/>
    <cellStyle name="60% - Accent4" xfId="8" builtinId="44"/>
    <cellStyle name="Accent5" xfId="9" builtinId="45"/>
    <cellStyle name="40% - Accent4" xfId="10" builtinId="43"/>
    <cellStyle name="Accent4" xfId="11" builtinId="41"/>
    <cellStyle name="Linked Cell" xfId="12" builtinId="24"/>
    <cellStyle name="40% - Accent3" xfId="13" builtinId="39"/>
    <cellStyle name="60% - Accent2" xfId="14" builtinId="36"/>
    <cellStyle name="Accent3" xfId="15" builtinId="37"/>
    <cellStyle name="40% - Accent2" xfId="16" builtinId="35"/>
    <cellStyle name="20% - Accent2" xfId="17" builtinId="34"/>
    <cellStyle name="Accent2" xfId="18" builtinId="33"/>
    <cellStyle name="40% - Accent1" xfId="19" builtinId="31"/>
    <cellStyle name="20% - Accent1" xfId="20" builtinId="30"/>
    <cellStyle name="Accent1" xfId="21" builtinId="29"/>
    <cellStyle name="Neutral" xfId="22" builtinId="28"/>
    <cellStyle name="60% - Accent1" xfId="23" builtinId="32"/>
    <cellStyle name="Bad" xfId="24" builtinId="27"/>
    <cellStyle name="20% - Accent4" xfId="25" builtinId="42"/>
    <cellStyle name="Total" xfId="26" builtinId="25"/>
    <cellStyle name="Output" xfId="27" builtinId="21"/>
    <cellStyle name="Currency" xfId="28" builtinId="4"/>
    <cellStyle name="20% - Accent3" xfId="29" builtinId="38"/>
    <cellStyle name="Note" xfId="30" builtinId="10"/>
    <cellStyle name="Input" xfId="31" builtinId="20"/>
    <cellStyle name="Heading 4" xfId="32" builtinId="19"/>
    <cellStyle name="Calculation" xfId="33" builtinId="22"/>
    <cellStyle name="Good" xfId="34" builtinId="26"/>
    <cellStyle name="Heading 3" xfId="35" builtinId="18"/>
    <cellStyle name="CExplanatory Text" xfId="36" builtinId="53"/>
    <cellStyle name="Heading 1" xfId="37" builtinId="16"/>
    <cellStyle name="Comma [0]" xfId="38" builtinId="6"/>
    <cellStyle name="20% - Accent6" xfId="39" builtinId="50"/>
    <cellStyle name="Title" xfId="40" builtinId="15"/>
    <cellStyle name="Currency [0]" xfId="41" builtinId="7"/>
    <cellStyle name="Warning Text" xfId="42" builtinId="11"/>
    <cellStyle name="Followed Hyperlink" xfId="43" builtinId="9"/>
    <cellStyle name="Heading 2" xfId="44" builtinId="17"/>
    <cellStyle name="Comma" xfId="45" builtinId="3"/>
    <cellStyle name="Check Cell" xfId="46" builtinId="23"/>
    <cellStyle name="60% - Accent3" xfId="47" builtinId="40"/>
    <cellStyle name="Percent" xfId="48" builtinId="5"/>
    <cellStyle name="Hyperlink" xfId="49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haredStrings" Target="sharedStrings.xml"/><Relationship Id="rId24" Type="http://schemas.openxmlformats.org/officeDocument/2006/relationships/styles" Target="styles.xml"/><Relationship Id="rId23" Type="http://schemas.openxmlformats.org/officeDocument/2006/relationships/theme" Target="theme/theme1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17</xdr:col>
      <xdr:colOff>317658</xdr:colOff>
      <xdr:row>64</xdr:row>
      <xdr:rowOff>0</xdr:rowOff>
    </xdr:from>
    <xdr:to>
      <xdr:col>19</xdr:col>
      <xdr:colOff>762000</xdr:colOff>
      <xdr:row>68</xdr:row>
      <xdr:rowOff>7793</xdr:rowOff>
    </xdr:to>
    <xdr:sp>
      <xdr:nvSpPr>
        <xdr:cNvPr id="2" name="Oval 1"/>
        <xdr:cNvSpPr/>
      </xdr:nvSpPr>
      <xdr:spPr>
        <a:xfrm>
          <a:off x="22539960" y="12192000"/>
          <a:ext cx="2477135" cy="798195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JUMLAH</a:t>
          </a:r>
          <a:r>
            <a:rPr lang="en-US" sz="1100" baseline="0"/>
            <a:t> KASUS PER BULAN</a:t>
          </a:r>
          <a:endParaRPr lang="en-US" sz="1100"/>
        </a:p>
      </xdr:txBody>
    </xdr:sp>
    <xdr:clientData/>
  </xdr:twoCellAnchor>
  <xdr:twoCellAnchor>
    <xdr:from>
      <xdr:col>16</xdr:col>
      <xdr:colOff>928687</xdr:colOff>
      <xdr:row>67</xdr:row>
      <xdr:rowOff>85559</xdr:rowOff>
    </xdr:from>
    <xdr:to>
      <xdr:col>17</xdr:col>
      <xdr:colOff>557093</xdr:colOff>
      <xdr:row>70</xdr:row>
      <xdr:rowOff>11906</xdr:rowOff>
    </xdr:to>
    <xdr:cxnSp>
      <xdr:nvCxnSpPr>
        <xdr:cNvPr id="3" name="Straight Connector 2"/>
        <xdr:cNvCxnSpPr>
          <a:stCxn id="2" idx="3"/>
        </xdr:cNvCxnSpPr>
      </xdr:nvCxnSpPr>
      <xdr:spPr>
        <a:xfrm flipH="1">
          <a:off x="21632545" y="12867640"/>
          <a:ext cx="1146810" cy="52641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282370</xdr:colOff>
      <xdr:row>68</xdr:row>
      <xdr:rowOff>4413</xdr:rowOff>
    </xdr:from>
    <xdr:to>
      <xdr:col>18</xdr:col>
      <xdr:colOff>336424</xdr:colOff>
      <xdr:row>71</xdr:row>
      <xdr:rowOff>94952</xdr:rowOff>
    </xdr:to>
    <xdr:cxnSp>
      <xdr:nvCxnSpPr>
        <xdr:cNvPr id="4" name="Straight Connector 3"/>
        <xdr:cNvCxnSpPr/>
      </xdr:nvCxnSpPr>
      <xdr:spPr>
        <a:xfrm flipH="1">
          <a:off x="23765510" y="12986385"/>
          <a:ext cx="53975" cy="69088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518380</xdr:colOff>
      <xdr:row>67</xdr:row>
      <xdr:rowOff>85559</xdr:rowOff>
    </xdr:from>
    <xdr:to>
      <xdr:col>19</xdr:col>
      <xdr:colOff>1085850</xdr:colOff>
      <xdr:row>70</xdr:row>
      <xdr:rowOff>7794</xdr:rowOff>
    </xdr:to>
    <xdr:cxnSp>
      <xdr:nvCxnSpPr>
        <xdr:cNvPr id="5" name="Straight Connector 4"/>
        <xdr:cNvCxnSpPr>
          <a:stCxn id="2" idx="5"/>
        </xdr:cNvCxnSpPr>
      </xdr:nvCxnSpPr>
      <xdr:spPr>
        <a:xfrm>
          <a:off x="24773255" y="12867640"/>
          <a:ext cx="567690" cy="52260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392907</xdr:colOff>
      <xdr:row>70</xdr:row>
      <xdr:rowOff>7793</xdr:rowOff>
    </xdr:from>
    <xdr:to>
      <xdr:col>17</xdr:col>
      <xdr:colOff>61452</xdr:colOff>
      <xdr:row>71</xdr:row>
      <xdr:rowOff>61451</xdr:rowOff>
    </xdr:to>
    <xdr:sp>
      <xdr:nvSpPr>
        <xdr:cNvPr id="6" name="Rectangle 5"/>
        <xdr:cNvSpPr/>
      </xdr:nvSpPr>
      <xdr:spPr>
        <a:xfrm>
          <a:off x="21096605" y="13390245"/>
          <a:ext cx="1186815" cy="25336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42 Sedang</a:t>
          </a:r>
          <a:endParaRPr lang="en-US">
            <a:effectLst/>
          </a:endParaRPr>
        </a:p>
        <a:p>
          <a:pPr algn="l"/>
          <a:endParaRPr lang="en-US" sz="1100" baseline="0"/>
        </a:p>
      </xdr:txBody>
    </xdr:sp>
    <xdr:clientData/>
  </xdr:twoCellAnchor>
  <xdr:oneCellAnchor>
    <xdr:from>
      <xdr:col>16</xdr:col>
      <xdr:colOff>821531</xdr:colOff>
      <xdr:row>67</xdr:row>
      <xdr:rowOff>148288</xdr:rowOff>
    </xdr:from>
    <xdr:ext cx="666750" cy="264560"/>
    <xdr:sp>
      <xdr:nvSpPr>
        <xdr:cNvPr id="7" name="TextBox 6"/>
        <xdr:cNvSpPr txBox="1"/>
      </xdr:nvSpPr>
      <xdr:spPr>
        <a:xfrm>
          <a:off x="21525230" y="12930505"/>
          <a:ext cx="666750" cy="2647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&lt;13.7</a:t>
          </a:r>
          <a:endParaRPr lang="en-US">
            <a:effectLst/>
          </a:endParaRPr>
        </a:p>
      </xdr:txBody>
    </xdr:sp>
    <xdr:clientData/>
  </xdr:oneCellAnchor>
  <xdr:oneCellAnchor>
    <xdr:from>
      <xdr:col>17</xdr:col>
      <xdr:colOff>785865</xdr:colOff>
      <xdr:row>69</xdr:row>
      <xdr:rowOff>8715</xdr:rowOff>
    </xdr:from>
    <xdr:ext cx="1162050" cy="264560"/>
    <mc:AlternateContent xmlns:mc="http://schemas.openxmlformats.org/markup-compatibility/2006">
      <mc:Choice xmlns:a14="http://schemas.microsoft.com/office/drawing/2010/main" Requires="a14">
        <xdr:sp>
          <xdr:nvSpPr>
            <xdr:cNvPr id="8" name="TextBox 7"/>
            <xdr:cNvSpPr txBox="1"/>
          </xdr:nvSpPr>
          <xdr:spPr>
            <a:xfrm>
              <a:off x="23007955" y="13190855"/>
              <a:ext cx="1162050" cy="2647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</m:oMath>
              </a14:m>
              <a:r>
                <a:rPr lang="en-US" sz="1100"/>
                <a:t>13.7 - &gt; 29.6</a:t>
              </a:r>
              <a:endParaRPr lang="en-US" sz="1100"/>
            </a:p>
          </xdr:txBody>
        </xdr:sp>
      </mc:Choice>
      <mc:Fallback>
        <xdr:sp>
          <xdr:nvSpPr>
            <xdr:cNvPr id="8" name="TextBox 7"/>
            <xdr:cNvSpPr txBox="1"/>
          </xdr:nvSpPr>
          <xdr:spPr>
            <a:xfrm>
              <a:off x="23007955" y="13190855"/>
              <a:ext cx="1162050" cy="2647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/>
                <a:t>13.7 - &gt; 29.6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17</xdr:col>
      <xdr:colOff>845779</xdr:colOff>
      <xdr:row>71</xdr:row>
      <xdr:rowOff>64943</xdr:rowOff>
    </xdr:from>
    <xdr:to>
      <xdr:col>19</xdr:col>
      <xdr:colOff>81936</xdr:colOff>
      <xdr:row>72</xdr:row>
      <xdr:rowOff>153629</xdr:rowOff>
    </xdr:to>
    <xdr:sp>
      <xdr:nvSpPr>
        <xdr:cNvPr id="9" name="Rectangle 8"/>
        <xdr:cNvSpPr/>
      </xdr:nvSpPr>
      <xdr:spPr>
        <a:xfrm>
          <a:off x="23067645" y="13647420"/>
          <a:ext cx="1269365" cy="28829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39 Sedang</a:t>
          </a:r>
          <a:endParaRPr lang="en-US" sz="1100"/>
        </a:p>
        <a:p>
          <a:pPr algn="l"/>
          <a:endParaRPr lang="en-US" sz="1100" baseline="0"/>
        </a:p>
      </xdr:txBody>
    </xdr:sp>
    <xdr:clientData/>
  </xdr:twoCellAnchor>
  <xdr:twoCellAnchor>
    <xdr:from>
      <xdr:col>19</xdr:col>
      <xdr:colOff>727176</xdr:colOff>
      <xdr:row>70</xdr:row>
      <xdr:rowOff>7795</xdr:rowOff>
    </xdr:from>
    <xdr:to>
      <xdr:col>19</xdr:col>
      <xdr:colOff>1533525</xdr:colOff>
      <xdr:row>71</xdr:row>
      <xdr:rowOff>92178</xdr:rowOff>
    </xdr:to>
    <xdr:sp>
      <xdr:nvSpPr>
        <xdr:cNvPr id="10" name="Rectangle 9"/>
        <xdr:cNvSpPr/>
      </xdr:nvSpPr>
      <xdr:spPr>
        <a:xfrm>
          <a:off x="24982170" y="13390245"/>
          <a:ext cx="806450" cy="28448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38 </a:t>
          </a:r>
          <a:r>
            <a:rPr lang="en-US" sz="1100"/>
            <a:t>Tinggi</a:t>
          </a:r>
          <a:endParaRPr lang="en-US" sz="1100"/>
        </a:p>
      </xdr:txBody>
    </xdr:sp>
    <xdr:clientData/>
  </xdr:twoCellAnchor>
  <xdr:oneCellAnchor>
    <xdr:from>
      <xdr:col>19</xdr:col>
      <xdr:colOff>742950</xdr:colOff>
      <xdr:row>67</xdr:row>
      <xdr:rowOff>104775</xdr:rowOff>
    </xdr:from>
    <xdr:ext cx="666750" cy="264560"/>
    <xdr:sp>
      <xdr:nvSpPr>
        <xdr:cNvPr id="12" name="TextBox 11"/>
        <xdr:cNvSpPr txBox="1"/>
      </xdr:nvSpPr>
      <xdr:spPr>
        <a:xfrm>
          <a:off x="24998045" y="12887325"/>
          <a:ext cx="666750" cy="2641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&gt;29.6</a:t>
          </a:r>
          <a:endParaRPr lang="en-US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16</xdr:col>
      <xdr:colOff>302474</xdr:colOff>
      <xdr:row>139</xdr:row>
      <xdr:rowOff>0</xdr:rowOff>
    </xdr:from>
    <xdr:to>
      <xdr:col>19</xdr:col>
      <xdr:colOff>191191</xdr:colOff>
      <xdr:row>143</xdr:row>
      <xdr:rowOff>54905</xdr:rowOff>
    </xdr:to>
    <xdr:sp>
      <xdr:nvSpPr>
        <xdr:cNvPr id="12" name="Oval 11"/>
        <xdr:cNvSpPr/>
      </xdr:nvSpPr>
      <xdr:spPr>
        <a:xfrm>
          <a:off x="19207480" y="26479500"/>
          <a:ext cx="2644140" cy="816610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JUMLAH</a:t>
          </a:r>
          <a:r>
            <a:rPr lang="en-US" sz="1100" baseline="0"/>
            <a:t> KASUS PER BULAN</a:t>
          </a:r>
          <a:endParaRPr lang="en-US" sz="1100"/>
        </a:p>
      </xdr:txBody>
    </xdr:sp>
    <xdr:clientData/>
  </xdr:twoCellAnchor>
  <xdr:twoCellAnchor>
    <xdr:from>
      <xdr:col>15</xdr:col>
      <xdr:colOff>535780</xdr:colOff>
      <xdr:row>142</xdr:row>
      <xdr:rowOff>118333</xdr:rowOff>
    </xdr:from>
    <xdr:to>
      <xdr:col>16</xdr:col>
      <xdr:colOff>541909</xdr:colOff>
      <xdr:row>145</xdr:row>
      <xdr:rowOff>87696</xdr:rowOff>
    </xdr:to>
    <xdr:cxnSp>
      <xdr:nvCxnSpPr>
        <xdr:cNvPr id="13" name="Straight Connector 12"/>
        <xdr:cNvCxnSpPr>
          <a:stCxn id="12" idx="3"/>
        </xdr:cNvCxnSpPr>
      </xdr:nvCxnSpPr>
      <xdr:spPr>
        <a:xfrm flipH="1">
          <a:off x="18411825" y="27169110"/>
          <a:ext cx="1035050" cy="54102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491792</xdr:colOff>
      <xdr:row>143</xdr:row>
      <xdr:rowOff>31042</xdr:rowOff>
    </xdr:from>
    <xdr:to>
      <xdr:col>17</xdr:col>
      <xdr:colOff>545846</xdr:colOff>
      <xdr:row>146</xdr:row>
      <xdr:rowOff>164598</xdr:rowOff>
    </xdr:to>
    <xdr:cxnSp>
      <xdr:nvCxnSpPr>
        <xdr:cNvPr id="14" name="Straight Connector 13"/>
        <xdr:cNvCxnSpPr/>
      </xdr:nvCxnSpPr>
      <xdr:spPr>
        <a:xfrm flipH="1">
          <a:off x="20608925" y="27271980"/>
          <a:ext cx="53975" cy="70548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547646</xdr:colOff>
      <xdr:row>142</xdr:row>
      <xdr:rowOff>118333</xdr:rowOff>
    </xdr:from>
    <xdr:to>
      <xdr:col>19</xdr:col>
      <xdr:colOff>515041</xdr:colOff>
      <xdr:row>145</xdr:row>
      <xdr:rowOff>83584</xdr:rowOff>
    </xdr:to>
    <xdr:cxnSp>
      <xdr:nvCxnSpPr>
        <xdr:cNvPr id="15" name="Straight Connector 14"/>
        <xdr:cNvCxnSpPr>
          <a:stCxn id="12" idx="5"/>
        </xdr:cNvCxnSpPr>
      </xdr:nvCxnSpPr>
      <xdr:spPr>
        <a:xfrm>
          <a:off x="21436330" y="27169110"/>
          <a:ext cx="739140" cy="5365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145</xdr:row>
      <xdr:rowOff>83583</xdr:rowOff>
    </xdr:from>
    <xdr:to>
      <xdr:col>15</xdr:col>
      <xdr:colOff>781050</xdr:colOff>
      <xdr:row>146</xdr:row>
      <xdr:rowOff>171450</xdr:rowOff>
    </xdr:to>
    <xdr:sp>
      <xdr:nvSpPr>
        <xdr:cNvPr id="16" name="Rectangle 15"/>
        <xdr:cNvSpPr/>
      </xdr:nvSpPr>
      <xdr:spPr>
        <a:xfrm>
          <a:off x="17876520" y="27705685"/>
          <a:ext cx="781050" cy="27876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55 Sedang</a:t>
          </a:r>
          <a:endParaRPr lang="en-US">
            <a:effectLst/>
          </a:endParaRPr>
        </a:p>
        <a:p>
          <a:pPr algn="l"/>
          <a:endParaRPr lang="en-US" sz="1100" baseline="0"/>
        </a:p>
      </xdr:txBody>
    </xdr:sp>
    <xdr:clientData/>
  </xdr:twoCellAnchor>
  <xdr:oneCellAnchor>
    <xdr:from>
      <xdr:col>15</xdr:col>
      <xdr:colOff>428624</xdr:colOff>
      <xdr:row>142</xdr:row>
      <xdr:rowOff>181062</xdr:rowOff>
    </xdr:from>
    <xdr:ext cx="666750" cy="264560"/>
    <xdr:sp>
      <xdr:nvSpPr>
        <xdr:cNvPr id="17" name="TextBox 16"/>
        <xdr:cNvSpPr txBox="1"/>
      </xdr:nvSpPr>
      <xdr:spPr>
        <a:xfrm>
          <a:off x="18304510" y="27231975"/>
          <a:ext cx="666750" cy="2641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&lt;13</a:t>
          </a:r>
          <a:endParaRPr lang="en-US">
            <a:effectLst/>
          </a:endParaRPr>
        </a:p>
      </xdr:txBody>
    </xdr:sp>
    <xdr:clientData/>
  </xdr:oneCellAnchor>
  <xdr:oneCellAnchor>
    <xdr:from>
      <xdr:col>16</xdr:col>
      <xdr:colOff>565841</xdr:colOff>
      <xdr:row>143</xdr:row>
      <xdr:rowOff>178731</xdr:rowOff>
    </xdr:from>
    <xdr:ext cx="1162050" cy="264560"/>
    <mc:AlternateContent xmlns:mc="http://schemas.openxmlformats.org/markup-compatibility/2006">
      <mc:Choice xmlns:a14="http://schemas.microsoft.com/office/drawing/2010/main" Requires="a14">
        <xdr:sp>
          <xdr:nvSpPr>
            <xdr:cNvPr id="18" name="TextBox 17"/>
            <xdr:cNvSpPr txBox="1"/>
          </xdr:nvSpPr>
          <xdr:spPr>
            <a:xfrm>
              <a:off x="19471005" y="27419935"/>
              <a:ext cx="1162050" cy="2647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</m:oMath>
              </a14:m>
              <a:r>
                <a:rPr lang="en-US" sz="1100"/>
                <a:t>13 - &gt; 30.1</a:t>
              </a:r>
              <a:endParaRPr lang="en-US" sz="1100"/>
            </a:p>
          </xdr:txBody>
        </xdr:sp>
      </mc:Choice>
      <mc:Fallback>
        <xdr:sp>
          <xdr:nvSpPr>
            <xdr:cNvPr id="18" name="TextBox 17"/>
            <xdr:cNvSpPr txBox="1"/>
          </xdr:nvSpPr>
          <xdr:spPr>
            <a:xfrm>
              <a:off x="19471005" y="27419935"/>
              <a:ext cx="1162050" cy="2647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/>
                <a:t>13 - &gt; 30.1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17</xdr:col>
      <xdr:colOff>82217</xdr:colOff>
      <xdr:row>146</xdr:row>
      <xdr:rowOff>155072</xdr:rowOff>
    </xdr:from>
    <xdr:to>
      <xdr:col>18</xdr:col>
      <xdr:colOff>257175</xdr:colOff>
      <xdr:row>148</xdr:row>
      <xdr:rowOff>28575</xdr:rowOff>
    </xdr:to>
    <xdr:sp>
      <xdr:nvSpPr>
        <xdr:cNvPr id="19" name="Rectangle 18"/>
        <xdr:cNvSpPr/>
      </xdr:nvSpPr>
      <xdr:spPr>
        <a:xfrm>
          <a:off x="20199350" y="27967940"/>
          <a:ext cx="946785" cy="25463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25 Sedang</a:t>
          </a:r>
          <a:endParaRPr lang="en-US" sz="1100"/>
        </a:p>
        <a:p>
          <a:pPr algn="l"/>
          <a:endParaRPr lang="en-US" sz="1100" baseline="0"/>
        </a:p>
      </xdr:txBody>
    </xdr:sp>
    <xdr:clientData/>
  </xdr:twoCellAnchor>
  <xdr:twoCellAnchor>
    <xdr:from>
      <xdr:col>19</xdr:col>
      <xdr:colOff>124517</xdr:colOff>
      <xdr:row>145</xdr:row>
      <xdr:rowOff>83584</xdr:rowOff>
    </xdr:from>
    <xdr:to>
      <xdr:col>20</xdr:col>
      <xdr:colOff>10217</xdr:colOff>
      <xdr:row>147</xdr:row>
      <xdr:rowOff>59823</xdr:rowOff>
    </xdr:to>
    <xdr:sp>
      <xdr:nvSpPr>
        <xdr:cNvPr id="20" name="Rectangle 19"/>
        <xdr:cNvSpPr/>
      </xdr:nvSpPr>
      <xdr:spPr>
        <a:xfrm>
          <a:off x="21784945" y="27705685"/>
          <a:ext cx="1109980" cy="35750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41 Tinggi</a:t>
          </a:r>
          <a:endParaRPr lang="en-US" sz="1100"/>
        </a:p>
      </xdr:txBody>
    </xdr:sp>
    <xdr:clientData/>
  </xdr:twoCellAnchor>
  <xdr:oneCellAnchor>
    <xdr:from>
      <xdr:col>19</xdr:col>
      <xdr:colOff>172141</xdr:colOff>
      <xdr:row>142</xdr:row>
      <xdr:rowOff>137549</xdr:rowOff>
    </xdr:from>
    <xdr:ext cx="666750" cy="264560"/>
    <xdr:sp>
      <xdr:nvSpPr>
        <xdr:cNvPr id="21" name="TextBox 20"/>
        <xdr:cNvSpPr txBox="1"/>
      </xdr:nvSpPr>
      <xdr:spPr>
        <a:xfrm>
          <a:off x="21832570" y="27188160"/>
          <a:ext cx="666750" cy="2647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&gt;30.1</a:t>
          </a:r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16</xdr:col>
      <xdr:colOff>315304</xdr:colOff>
      <xdr:row>143</xdr:row>
      <xdr:rowOff>0</xdr:rowOff>
    </xdr:from>
    <xdr:to>
      <xdr:col>19</xdr:col>
      <xdr:colOff>539340</xdr:colOff>
      <xdr:row>147</xdr:row>
      <xdr:rowOff>39354</xdr:rowOff>
    </xdr:to>
    <xdr:sp>
      <xdr:nvSpPr>
        <xdr:cNvPr id="12" name="Oval 11"/>
        <xdr:cNvSpPr/>
      </xdr:nvSpPr>
      <xdr:spPr>
        <a:xfrm>
          <a:off x="19610070" y="27241500"/>
          <a:ext cx="2538730" cy="800735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JUMLAH</a:t>
          </a:r>
          <a:r>
            <a:rPr lang="en-US" sz="1100" baseline="0"/>
            <a:t> KASUS PER BULAN</a:t>
          </a:r>
          <a:endParaRPr lang="en-US" sz="1100"/>
        </a:p>
      </xdr:txBody>
    </xdr:sp>
    <xdr:clientData/>
  </xdr:twoCellAnchor>
  <xdr:twoCellAnchor>
    <xdr:from>
      <xdr:col>15</xdr:col>
      <xdr:colOff>564938</xdr:colOff>
      <xdr:row>146</xdr:row>
      <xdr:rowOff>106670</xdr:rowOff>
    </xdr:from>
    <xdr:to>
      <xdr:col>16</xdr:col>
      <xdr:colOff>554739</xdr:colOff>
      <xdr:row>149</xdr:row>
      <xdr:rowOff>64369</xdr:rowOff>
    </xdr:to>
    <xdr:cxnSp>
      <xdr:nvCxnSpPr>
        <xdr:cNvPr id="13" name="Straight Connector 12"/>
        <xdr:cNvCxnSpPr>
          <a:stCxn id="12" idx="3"/>
        </xdr:cNvCxnSpPr>
      </xdr:nvCxnSpPr>
      <xdr:spPr>
        <a:xfrm flipH="1">
          <a:off x="18806795" y="27919045"/>
          <a:ext cx="1042670" cy="52959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242393</xdr:colOff>
      <xdr:row>147</xdr:row>
      <xdr:rowOff>15491</xdr:rowOff>
    </xdr:from>
    <xdr:to>
      <xdr:col>18</xdr:col>
      <xdr:colOff>296447</xdr:colOff>
      <xdr:row>150</xdr:row>
      <xdr:rowOff>137384</xdr:rowOff>
    </xdr:to>
    <xdr:cxnSp>
      <xdr:nvCxnSpPr>
        <xdr:cNvPr id="14" name="Straight Connector 13"/>
        <xdr:cNvCxnSpPr/>
      </xdr:nvCxnSpPr>
      <xdr:spPr>
        <a:xfrm flipH="1">
          <a:off x="21080095" y="28018740"/>
          <a:ext cx="53975" cy="69342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295720</xdr:colOff>
      <xdr:row>146</xdr:row>
      <xdr:rowOff>106670</xdr:rowOff>
    </xdr:from>
    <xdr:to>
      <xdr:col>19</xdr:col>
      <xdr:colOff>863190</xdr:colOff>
      <xdr:row>149</xdr:row>
      <xdr:rowOff>60257</xdr:rowOff>
    </xdr:to>
    <xdr:cxnSp>
      <xdr:nvCxnSpPr>
        <xdr:cNvPr id="15" name="Straight Connector 14"/>
        <xdr:cNvCxnSpPr>
          <a:stCxn id="12" idx="5"/>
        </xdr:cNvCxnSpPr>
      </xdr:nvCxnSpPr>
      <xdr:spPr>
        <a:xfrm>
          <a:off x="21904960" y="27919045"/>
          <a:ext cx="567690" cy="52514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29158</xdr:colOff>
      <xdr:row>149</xdr:row>
      <xdr:rowOff>60256</xdr:rowOff>
    </xdr:from>
    <xdr:to>
      <xdr:col>16</xdr:col>
      <xdr:colOff>29158</xdr:colOff>
      <xdr:row>150</xdr:row>
      <xdr:rowOff>145791</xdr:rowOff>
    </xdr:to>
    <xdr:sp>
      <xdr:nvSpPr>
        <xdr:cNvPr id="16" name="Rectangle 15"/>
        <xdr:cNvSpPr/>
      </xdr:nvSpPr>
      <xdr:spPr>
        <a:xfrm>
          <a:off x="18270855" y="28444190"/>
          <a:ext cx="1052830" cy="2762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16 Rendah</a:t>
          </a:r>
          <a:endParaRPr lang="en-US" sz="1100" baseline="0"/>
        </a:p>
        <a:p>
          <a:pPr algn="l"/>
          <a:endParaRPr lang="en-US" sz="1100"/>
        </a:p>
      </xdr:txBody>
    </xdr:sp>
    <xdr:clientData/>
  </xdr:twoCellAnchor>
  <xdr:oneCellAnchor>
    <xdr:from>
      <xdr:col>15</xdr:col>
      <xdr:colOff>457782</xdr:colOff>
      <xdr:row>146</xdr:row>
      <xdr:rowOff>169399</xdr:rowOff>
    </xdr:from>
    <xdr:ext cx="666750" cy="264560"/>
    <xdr:sp>
      <xdr:nvSpPr>
        <xdr:cNvPr id="17" name="TextBox 16"/>
        <xdr:cNvSpPr txBox="1"/>
      </xdr:nvSpPr>
      <xdr:spPr>
        <a:xfrm>
          <a:off x="18699480" y="27981910"/>
          <a:ext cx="666750" cy="2647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&lt;11.9</a:t>
          </a:r>
          <a:endParaRPr lang="en-US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  <xdr:oneCellAnchor>
    <xdr:from>
      <xdr:col>16</xdr:col>
      <xdr:colOff>578671</xdr:colOff>
      <xdr:row>147</xdr:row>
      <xdr:rowOff>163180</xdr:rowOff>
    </xdr:from>
    <xdr:ext cx="1162050" cy="264560"/>
    <mc:AlternateContent xmlns:mc="http://schemas.openxmlformats.org/markup-compatibility/2006">
      <mc:Choice xmlns:a14="http://schemas.microsoft.com/office/drawing/2010/main" Requires="a14">
        <xdr:sp>
          <xdr:nvSpPr>
            <xdr:cNvPr id="18" name="TextBox 17"/>
            <xdr:cNvSpPr txBox="1"/>
          </xdr:nvSpPr>
          <xdr:spPr>
            <a:xfrm>
              <a:off x="19873595" y="28166060"/>
              <a:ext cx="1162050" cy="2647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  <m:r>
                    <a:rPr lang="en-US" sz="1100" b="0" i="0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11</m:t>
                  </m:r>
                  <m:r>
                    <a:rPr lang="en-US" sz="1100" b="0" i="0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.</m:t>
                  </m:r>
                  <m:r>
                    <a:rPr lang="en-US" sz="1100" b="0" i="0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9</m:t>
                  </m:r>
                </m:oMath>
              </a14:m>
              <a:r>
                <a:rPr lang="en-US" sz="1100"/>
                <a:t> - &gt; 25.6</a:t>
              </a:r>
              <a:endParaRPr lang="en-US" sz="1100"/>
            </a:p>
          </xdr:txBody>
        </xdr:sp>
      </mc:Choice>
      <mc:Fallback>
        <xdr:sp>
          <xdr:nvSpPr>
            <xdr:cNvPr id="18" name="TextBox 17"/>
            <xdr:cNvSpPr txBox="1"/>
          </xdr:nvSpPr>
          <xdr:spPr>
            <a:xfrm>
              <a:off x="19873595" y="28166060"/>
              <a:ext cx="1162050" cy="2647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 b="0">
                  <a:latin typeface="Cambria Math" panose="02040503050406030204" pitchFamily="18" charset="0"/>
                  <a:ea typeface="Cambria Math" panose="02040503050406030204" pitchFamily="18" charset="0"/>
                </a:rPr>
                <a:t>11</a:t>
              </a:r>
              <a:r>
                <a:rPr lang="en-US" sz="1100" b="0">
                  <a:latin typeface="Cambria Math" panose="02040503050406030204" pitchFamily="18" charset="0"/>
                  <a:ea typeface="Cambria Math" panose="02040503050406030204" pitchFamily="18" charset="0"/>
                </a:rPr>
                <a:t>.</a:t>
              </a:r>
              <a:r>
                <a:rPr lang="en-US" sz="1100" b="0">
                  <a:latin typeface="Cambria Math" panose="02040503050406030204" pitchFamily="18" charset="0"/>
                  <a:ea typeface="Cambria Math" panose="02040503050406030204" pitchFamily="18" charset="0"/>
                </a:rPr>
                <a:t>9</a:t>
              </a:r>
              <a:r>
                <a:rPr lang="en-US" sz="1100"/>
                <a:t> - &gt; 25.6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17</xdr:col>
      <xdr:colOff>435420</xdr:colOff>
      <xdr:row>150</xdr:row>
      <xdr:rowOff>127858</xdr:rowOff>
    </xdr:from>
    <xdr:to>
      <xdr:col>19</xdr:col>
      <xdr:colOff>106913</xdr:colOff>
      <xdr:row>152</xdr:row>
      <xdr:rowOff>68035</xdr:rowOff>
    </xdr:to>
    <xdr:sp>
      <xdr:nvSpPr>
        <xdr:cNvPr id="19" name="Rectangle 18"/>
        <xdr:cNvSpPr/>
      </xdr:nvSpPr>
      <xdr:spPr>
        <a:xfrm>
          <a:off x="20501610" y="28702635"/>
          <a:ext cx="1214755" cy="32131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71 Sedang</a:t>
          </a:r>
          <a:endParaRPr lang="en-US" sz="1100"/>
        </a:p>
        <a:p>
          <a:pPr algn="l"/>
          <a:endParaRPr lang="en-US" sz="1100" baseline="0"/>
        </a:p>
      </xdr:txBody>
    </xdr:sp>
    <xdr:clientData/>
  </xdr:twoCellAnchor>
  <xdr:twoCellAnchor>
    <xdr:from>
      <xdr:col>19</xdr:col>
      <xdr:colOff>472666</xdr:colOff>
      <xdr:row>149</xdr:row>
      <xdr:rowOff>60257</xdr:rowOff>
    </xdr:from>
    <xdr:to>
      <xdr:col>20</xdr:col>
      <xdr:colOff>358366</xdr:colOff>
      <xdr:row>151</xdr:row>
      <xdr:rowOff>28721</xdr:rowOff>
    </xdr:to>
    <xdr:sp>
      <xdr:nvSpPr>
        <xdr:cNvPr id="20" name="Rectangle 19"/>
        <xdr:cNvSpPr/>
      </xdr:nvSpPr>
      <xdr:spPr>
        <a:xfrm>
          <a:off x="22082125" y="28444190"/>
          <a:ext cx="1109980" cy="34988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31 Tinggi</a:t>
          </a:r>
          <a:endParaRPr lang="en-US" sz="1100"/>
        </a:p>
      </xdr:txBody>
    </xdr:sp>
    <xdr:clientData/>
  </xdr:twoCellAnchor>
  <xdr:oneCellAnchor>
    <xdr:from>
      <xdr:col>19</xdr:col>
      <xdr:colOff>491132</xdr:colOff>
      <xdr:row>146</xdr:row>
      <xdr:rowOff>125886</xdr:rowOff>
    </xdr:from>
    <xdr:ext cx="666750" cy="264560"/>
    <xdr:sp>
      <xdr:nvSpPr>
        <xdr:cNvPr id="21" name="TextBox 20"/>
        <xdr:cNvSpPr txBox="1"/>
      </xdr:nvSpPr>
      <xdr:spPr>
        <a:xfrm>
          <a:off x="22100540" y="27938730"/>
          <a:ext cx="666750" cy="2641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&gt;25.6</a:t>
          </a:r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16</xdr:col>
      <xdr:colOff>242252</xdr:colOff>
      <xdr:row>156</xdr:row>
      <xdr:rowOff>0</xdr:rowOff>
    </xdr:from>
    <xdr:to>
      <xdr:col>19</xdr:col>
      <xdr:colOff>287158</xdr:colOff>
      <xdr:row>160</xdr:row>
      <xdr:rowOff>7792</xdr:rowOff>
    </xdr:to>
    <xdr:sp>
      <xdr:nvSpPr>
        <xdr:cNvPr id="2" name="Oval 1"/>
        <xdr:cNvSpPr/>
      </xdr:nvSpPr>
      <xdr:spPr>
        <a:xfrm>
          <a:off x="18141950" y="29718000"/>
          <a:ext cx="2592070" cy="798195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JUMLAH</a:t>
          </a:r>
          <a:r>
            <a:rPr lang="en-US" sz="1100" baseline="0"/>
            <a:t> KASUS PER BULAN</a:t>
          </a:r>
          <a:endParaRPr lang="en-US" sz="1100"/>
        </a:p>
      </xdr:txBody>
    </xdr:sp>
    <xdr:clientData/>
  </xdr:twoCellAnchor>
  <xdr:twoCellAnchor>
    <xdr:from>
      <xdr:col>15</xdr:col>
      <xdr:colOff>535780</xdr:colOff>
      <xdr:row>159</xdr:row>
      <xdr:rowOff>85559</xdr:rowOff>
    </xdr:from>
    <xdr:to>
      <xdr:col>16</xdr:col>
      <xdr:colOff>481687</xdr:colOff>
      <xdr:row>162</xdr:row>
      <xdr:rowOff>11906</xdr:rowOff>
    </xdr:to>
    <xdr:cxnSp>
      <xdr:nvCxnSpPr>
        <xdr:cNvPr id="3" name="Straight Connector 2"/>
        <xdr:cNvCxnSpPr>
          <a:stCxn id="2" idx="3"/>
        </xdr:cNvCxnSpPr>
      </xdr:nvCxnSpPr>
      <xdr:spPr>
        <a:xfrm flipH="1">
          <a:off x="17333595" y="30393640"/>
          <a:ext cx="1047750" cy="52641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596158</xdr:colOff>
      <xdr:row>159</xdr:row>
      <xdr:rowOff>188768</xdr:rowOff>
    </xdr:from>
    <xdr:to>
      <xdr:col>18</xdr:col>
      <xdr:colOff>45938</xdr:colOff>
      <xdr:row>163</xdr:row>
      <xdr:rowOff>74469</xdr:rowOff>
    </xdr:to>
    <xdr:cxnSp>
      <xdr:nvCxnSpPr>
        <xdr:cNvPr id="4" name="Straight Connector 3"/>
        <xdr:cNvCxnSpPr/>
      </xdr:nvCxnSpPr>
      <xdr:spPr>
        <a:xfrm flipH="1">
          <a:off x="19499580" y="30497145"/>
          <a:ext cx="221615" cy="6858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43538</xdr:colOff>
      <xdr:row>159</xdr:row>
      <xdr:rowOff>85559</xdr:rowOff>
    </xdr:from>
    <xdr:to>
      <xdr:col>19</xdr:col>
      <xdr:colOff>611008</xdr:colOff>
      <xdr:row>162</xdr:row>
      <xdr:rowOff>7794</xdr:rowOff>
    </xdr:to>
    <xdr:cxnSp>
      <xdr:nvCxnSpPr>
        <xdr:cNvPr id="5" name="Straight Connector 4"/>
        <xdr:cNvCxnSpPr>
          <a:stCxn id="2" idx="5"/>
        </xdr:cNvCxnSpPr>
      </xdr:nvCxnSpPr>
      <xdr:spPr>
        <a:xfrm>
          <a:off x="20490180" y="30393640"/>
          <a:ext cx="567690" cy="52260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162</xdr:row>
      <xdr:rowOff>7793</xdr:rowOff>
    </xdr:from>
    <xdr:to>
      <xdr:col>15</xdr:col>
      <xdr:colOff>798871</xdr:colOff>
      <xdr:row>163</xdr:row>
      <xdr:rowOff>61451</xdr:rowOff>
    </xdr:to>
    <xdr:sp>
      <xdr:nvSpPr>
        <xdr:cNvPr id="6" name="Rectangle 5"/>
        <xdr:cNvSpPr/>
      </xdr:nvSpPr>
      <xdr:spPr>
        <a:xfrm>
          <a:off x="16798290" y="30916245"/>
          <a:ext cx="798830" cy="25336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56 Sedang</a:t>
          </a:r>
          <a:endParaRPr lang="en-US">
            <a:effectLst/>
          </a:endParaRPr>
        </a:p>
        <a:p>
          <a:pPr algn="l"/>
          <a:endParaRPr lang="en-US" sz="1100" baseline="0"/>
        </a:p>
        <a:p>
          <a:pPr algn="l"/>
          <a:endParaRPr lang="en-US" sz="1100"/>
        </a:p>
      </xdr:txBody>
    </xdr:sp>
    <xdr:clientData/>
  </xdr:twoCellAnchor>
  <xdr:oneCellAnchor>
    <xdr:from>
      <xdr:col>15</xdr:col>
      <xdr:colOff>428624</xdr:colOff>
      <xdr:row>159</xdr:row>
      <xdr:rowOff>148288</xdr:rowOff>
    </xdr:from>
    <xdr:ext cx="666750" cy="264560"/>
    <xdr:sp>
      <xdr:nvSpPr>
        <xdr:cNvPr id="7" name="TextBox 6"/>
        <xdr:cNvSpPr txBox="1"/>
      </xdr:nvSpPr>
      <xdr:spPr>
        <a:xfrm>
          <a:off x="17226280" y="30456505"/>
          <a:ext cx="666750" cy="2647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&lt;13</a:t>
          </a:r>
          <a:endParaRPr lang="en-US">
            <a:effectLst/>
          </a:endParaRPr>
        </a:p>
      </xdr:txBody>
    </xdr:sp>
    <xdr:clientData/>
  </xdr:oneCellAnchor>
  <xdr:oneCellAnchor>
    <xdr:from>
      <xdr:col>16</xdr:col>
      <xdr:colOff>505619</xdr:colOff>
      <xdr:row>160</xdr:row>
      <xdr:rowOff>131618</xdr:rowOff>
    </xdr:from>
    <xdr:ext cx="1162050" cy="264560"/>
    <mc:AlternateContent xmlns:mc="http://schemas.openxmlformats.org/markup-compatibility/2006">
      <mc:Choice xmlns:a14="http://schemas.microsoft.com/office/drawing/2010/main" Requires="a14">
        <xdr:sp>
          <xdr:nvSpPr>
            <xdr:cNvPr id="8" name="TextBox 7"/>
            <xdr:cNvSpPr txBox="1"/>
          </xdr:nvSpPr>
          <xdr:spPr>
            <a:xfrm>
              <a:off x="18405475" y="30640020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</m:oMath>
              </a14:m>
              <a:r>
                <a:rPr lang="en-US" sz="1100"/>
                <a:t>13 - &gt; 28.2</a:t>
              </a:r>
              <a:endParaRPr lang="en-US" sz="1100"/>
            </a:p>
          </xdr:txBody>
        </xdr:sp>
      </mc:Choice>
      <mc:Fallback>
        <xdr:sp>
          <xdr:nvSpPr>
            <xdr:cNvPr id="8" name="TextBox 7"/>
            <xdr:cNvSpPr txBox="1"/>
          </xdr:nvSpPr>
          <xdr:spPr>
            <a:xfrm>
              <a:off x="18405475" y="30640020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/>
                <a:t>13 - &gt; 28.2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17</xdr:col>
      <xdr:colOff>186583</xdr:colOff>
      <xdr:row>163</xdr:row>
      <xdr:rowOff>64943</xdr:rowOff>
    </xdr:from>
    <xdr:to>
      <xdr:col>18</xdr:col>
      <xdr:colOff>378952</xdr:colOff>
      <xdr:row>164</xdr:row>
      <xdr:rowOff>163871</xdr:rowOff>
    </xdr:to>
    <xdr:sp>
      <xdr:nvSpPr>
        <xdr:cNvPr id="16" name="Rectangle 15"/>
        <xdr:cNvSpPr/>
      </xdr:nvSpPr>
      <xdr:spPr>
        <a:xfrm>
          <a:off x="19090005" y="31173420"/>
          <a:ext cx="963930" cy="28956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28 Sedang</a:t>
          </a:r>
          <a:endParaRPr lang="en-US" sz="1100"/>
        </a:p>
        <a:p>
          <a:pPr algn="l"/>
          <a:endParaRPr lang="en-US" sz="1100" baseline="0"/>
        </a:p>
      </xdr:txBody>
    </xdr:sp>
    <xdr:clientData/>
  </xdr:twoCellAnchor>
  <xdr:twoCellAnchor>
    <xdr:from>
      <xdr:col>19</xdr:col>
      <xdr:colOff>220484</xdr:colOff>
      <xdr:row>162</xdr:row>
      <xdr:rowOff>7794</xdr:rowOff>
    </xdr:from>
    <xdr:to>
      <xdr:col>20</xdr:col>
      <xdr:colOff>95942</xdr:colOff>
      <xdr:row>163</xdr:row>
      <xdr:rowOff>160194</xdr:rowOff>
    </xdr:to>
    <xdr:sp>
      <xdr:nvSpPr>
        <xdr:cNvPr id="17" name="Rectangle 16"/>
        <xdr:cNvSpPr/>
      </xdr:nvSpPr>
      <xdr:spPr>
        <a:xfrm>
          <a:off x="20667345" y="30916245"/>
          <a:ext cx="1111885" cy="3524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35 Tinggi</a:t>
          </a:r>
          <a:endParaRPr lang="en-US" sz="1100"/>
        </a:p>
      </xdr:txBody>
    </xdr:sp>
    <xdr:clientData/>
  </xdr:twoCellAnchor>
  <xdr:oneCellAnchor>
    <xdr:from>
      <xdr:col>19</xdr:col>
      <xdr:colOff>268108</xdr:colOff>
      <xdr:row>159</xdr:row>
      <xdr:rowOff>104775</xdr:rowOff>
    </xdr:from>
    <xdr:ext cx="666750" cy="264560"/>
    <xdr:sp>
      <xdr:nvSpPr>
        <xdr:cNvPr id="18" name="TextBox 17"/>
        <xdr:cNvSpPr txBox="1"/>
      </xdr:nvSpPr>
      <xdr:spPr>
        <a:xfrm>
          <a:off x="20714970" y="30413325"/>
          <a:ext cx="666750" cy="2641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&gt;28.2</a:t>
          </a:r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16</xdr:col>
      <xdr:colOff>242252</xdr:colOff>
      <xdr:row>156</xdr:row>
      <xdr:rowOff>0</xdr:rowOff>
    </xdr:from>
    <xdr:to>
      <xdr:col>19</xdr:col>
      <xdr:colOff>287158</xdr:colOff>
      <xdr:row>160</xdr:row>
      <xdr:rowOff>7792</xdr:rowOff>
    </xdr:to>
    <xdr:sp>
      <xdr:nvSpPr>
        <xdr:cNvPr id="2" name="Oval 1"/>
        <xdr:cNvSpPr/>
      </xdr:nvSpPr>
      <xdr:spPr>
        <a:xfrm>
          <a:off x="18141950" y="29718000"/>
          <a:ext cx="2592070" cy="798195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JUMLAH</a:t>
          </a:r>
          <a:r>
            <a:rPr lang="en-US" sz="1100" baseline="0"/>
            <a:t> KASUS PER BULAN</a:t>
          </a:r>
          <a:endParaRPr lang="en-US" sz="1100"/>
        </a:p>
      </xdr:txBody>
    </xdr:sp>
    <xdr:clientData/>
  </xdr:twoCellAnchor>
  <xdr:twoCellAnchor>
    <xdr:from>
      <xdr:col>15</xdr:col>
      <xdr:colOff>535780</xdr:colOff>
      <xdr:row>159</xdr:row>
      <xdr:rowOff>85559</xdr:rowOff>
    </xdr:from>
    <xdr:to>
      <xdr:col>16</xdr:col>
      <xdr:colOff>481687</xdr:colOff>
      <xdr:row>162</xdr:row>
      <xdr:rowOff>11906</xdr:rowOff>
    </xdr:to>
    <xdr:cxnSp>
      <xdr:nvCxnSpPr>
        <xdr:cNvPr id="3" name="Straight Connector 2"/>
        <xdr:cNvCxnSpPr>
          <a:stCxn id="2" idx="3"/>
        </xdr:cNvCxnSpPr>
      </xdr:nvCxnSpPr>
      <xdr:spPr>
        <a:xfrm flipH="1">
          <a:off x="17333595" y="30393640"/>
          <a:ext cx="1047750" cy="52641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596158</xdr:colOff>
      <xdr:row>159</xdr:row>
      <xdr:rowOff>188768</xdr:rowOff>
    </xdr:from>
    <xdr:to>
      <xdr:col>18</xdr:col>
      <xdr:colOff>45938</xdr:colOff>
      <xdr:row>163</xdr:row>
      <xdr:rowOff>74469</xdr:rowOff>
    </xdr:to>
    <xdr:cxnSp>
      <xdr:nvCxnSpPr>
        <xdr:cNvPr id="4" name="Straight Connector 3"/>
        <xdr:cNvCxnSpPr/>
      </xdr:nvCxnSpPr>
      <xdr:spPr>
        <a:xfrm flipH="1">
          <a:off x="19499580" y="30497145"/>
          <a:ext cx="221615" cy="6858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43538</xdr:colOff>
      <xdr:row>159</xdr:row>
      <xdr:rowOff>85559</xdr:rowOff>
    </xdr:from>
    <xdr:to>
      <xdr:col>19</xdr:col>
      <xdr:colOff>611008</xdr:colOff>
      <xdr:row>162</xdr:row>
      <xdr:rowOff>7794</xdr:rowOff>
    </xdr:to>
    <xdr:cxnSp>
      <xdr:nvCxnSpPr>
        <xdr:cNvPr id="5" name="Straight Connector 4"/>
        <xdr:cNvCxnSpPr>
          <a:stCxn id="2" idx="5"/>
        </xdr:cNvCxnSpPr>
      </xdr:nvCxnSpPr>
      <xdr:spPr>
        <a:xfrm>
          <a:off x="20490180" y="30393640"/>
          <a:ext cx="567690" cy="52260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162</xdr:row>
      <xdr:rowOff>7794</xdr:rowOff>
    </xdr:from>
    <xdr:to>
      <xdr:col>16</xdr:col>
      <xdr:colOff>0</xdr:colOff>
      <xdr:row>163</xdr:row>
      <xdr:rowOff>97195</xdr:rowOff>
    </xdr:to>
    <xdr:sp>
      <xdr:nvSpPr>
        <xdr:cNvPr id="6" name="Rectangle 5"/>
        <xdr:cNvSpPr/>
      </xdr:nvSpPr>
      <xdr:spPr>
        <a:xfrm>
          <a:off x="16798290" y="30916245"/>
          <a:ext cx="1101725" cy="28956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14 Rendah</a:t>
          </a:r>
          <a:endParaRPr lang="en-US" sz="1100" baseline="0"/>
        </a:p>
        <a:p>
          <a:pPr algn="l"/>
          <a:endParaRPr lang="en-US" sz="1100"/>
        </a:p>
        <a:p>
          <a:pPr algn="l"/>
          <a:endParaRPr lang="en-US" sz="1100"/>
        </a:p>
      </xdr:txBody>
    </xdr:sp>
    <xdr:clientData/>
  </xdr:twoCellAnchor>
  <xdr:oneCellAnchor>
    <xdr:from>
      <xdr:col>15</xdr:col>
      <xdr:colOff>428624</xdr:colOff>
      <xdr:row>159</xdr:row>
      <xdr:rowOff>148288</xdr:rowOff>
    </xdr:from>
    <xdr:ext cx="666750" cy="264560"/>
    <xdr:sp>
      <xdr:nvSpPr>
        <xdr:cNvPr id="7" name="TextBox 6"/>
        <xdr:cNvSpPr txBox="1"/>
      </xdr:nvSpPr>
      <xdr:spPr>
        <a:xfrm>
          <a:off x="17226280" y="30456505"/>
          <a:ext cx="666750" cy="2647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&lt;13</a:t>
          </a:r>
          <a:endParaRPr lang="en-US">
            <a:effectLst/>
          </a:endParaRPr>
        </a:p>
      </xdr:txBody>
    </xdr:sp>
    <xdr:clientData/>
  </xdr:oneCellAnchor>
  <xdr:oneCellAnchor>
    <xdr:from>
      <xdr:col>16</xdr:col>
      <xdr:colOff>505619</xdr:colOff>
      <xdr:row>160</xdr:row>
      <xdr:rowOff>131618</xdr:rowOff>
    </xdr:from>
    <xdr:ext cx="1162050" cy="264560"/>
    <mc:AlternateContent xmlns:mc="http://schemas.openxmlformats.org/markup-compatibility/2006">
      <mc:Choice xmlns:a14="http://schemas.microsoft.com/office/drawing/2010/main" Requires="a14">
        <xdr:sp>
          <xdr:nvSpPr>
            <xdr:cNvPr id="8" name="TextBox 7"/>
            <xdr:cNvSpPr txBox="1"/>
          </xdr:nvSpPr>
          <xdr:spPr>
            <a:xfrm>
              <a:off x="18405475" y="30640020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</m:oMath>
              </a14:m>
              <a:r>
                <a:rPr lang="en-US" sz="1100"/>
                <a:t>13 - &gt; 28.2</a:t>
              </a:r>
              <a:endParaRPr lang="en-US" sz="1100"/>
            </a:p>
          </xdr:txBody>
        </xdr:sp>
      </mc:Choice>
      <mc:Fallback>
        <xdr:sp>
          <xdr:nvSpPr>
            <xdr:cNvPr id="8" name="TextBox 7"/>
            <xdr:cNvSpPr txBox="1"/>
          </xdr:nvSpPr>
          <xdr:spPr>
            <a:xfrm>
              <a:off x="18405475" y="30640020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/>
                <a:t>13 - &gt; 28.2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17</xdr:col>
      <xdr:colOff>186584</xdr:colOff>
      <xdr:row>163</xdr:row>
      <xdr:rowOff>64943</xdr:rowOff>
    </xdr:from>
    <xdr:to>
      <xdr:col>18</xdr:col>
      <xdr:colOff>398496</xdr:colOff>
      <xdr:row>164</xdr:row>
      <xdr:rowOff>136072</xdr:rowOff>
    </xdr:to>
    <xdr:sp>
      <xdr:nvSpPr>
        <xdr:cNvPr id="9" name="Rectangle 8"/>
        <xdr:cNvSpPr/>
      </xdr:nvSpPr>
      <xdr:spPr>
        <a:xfrm>
          <a:off x="19090005" y="31173420"/>
          <a:ext cx="983615" cy="26162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66 Sedang</a:t>
          </a:r>
          <a:endParaRPr lang="en-US" sz="1100"/>
        </a:p>
        <a:p>
          <a:pPr algn="l"/>
          <a:endParaRPr lang="en-US" sz="1100" baseline="0"/>
        </a:p>
      </xdr:txBody>
    </xdr:sp>
    <xdr:clientData/>
  </xdr:twoCellAnchor>
  <xdr:twoCellAnchor>
    <xdr:from>
      <xdr:col>19</xdr:col>
      <xdr:colOff>220484</xdr:colOff>
      <xdr:row>162</xdr:row>
      <xdr:rowOff>7794</xdr:rowOff>
    </xdr:from>
    <xdr:to>
      <xdr:col>20</xdr:col>
      <xdr:colOff>95942</xdr:colOff>
      <xdr:row>163</xdr:row>
      <xdr:rowOff>160194</xdr:rowOff>
    </xdr:to>
    <xdr:sp>
      <xdr:nvSpPr>
        <xdr:cNvPr id="10" name="Rectangle 9"/>
        <xdr:cNvSpPr/>
      </xdr:nvSpPr>
      <xdr:spPr>
        <a:xfrm>
          <a:off x="20667345" y="30916245"/>
          <a:ext cx="1111885" cy="3524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31 Tinggi</a:t>
          </a:r>
          <a:endParaRPr lang="en-US" sz="1100"/>
        </a:p>
      </xdr:txBody>
    </xdr:sp>
    <xdr:clientData/>
  </xdr:twoCellAnchor>
  <xdr:oneCellAnchor>
    <xdr:from>
      <xdr:col>19</xdr:col>
      <xdr:colOff>268108</xdr:colOff>
      <xdr:row>159</xdr:row>
      <xdr:rowOff>104775</xdr:rowOff>
    </xdr:from>
    <xdr:ext cx="666750" cy="264560"/>
    <xdr:sp>
      <xdr:nvSpPr>
        <xdr:cNvPr id="11" name="TextBox 10"/>
        <xdr:cNvSpPr txBox="1"/>
      </xdr:nvSpPr>
      <xdr:spPr>
        <a:xfrm>
          <a:off x="20714970" y="30413325"/>
          <a:ext cx="666750" cy="2641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&gt;28.2</a:t>
          </a:r>
          <a:endParaRPr lang="en-US" sz="1100"/>
        </a:p>
      </xdr:txBody>
    </xdr:sp>
    <xdr:clientData/>
  </xdr:one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16</xdr:col>
      <xdr:colOff>242252</xdr:colOff>
      <xdr:row>156</xdr:row>
      <xdr:rowOff>0</xdr:rowOff>
    </xdr:from>
    <xdr:to>
      <xdr:col>19</xdr:col>
      <xdr:colOff>287158</xdr:colOff>
      <xdr:row>160</xdr:row>
      <xdr:rowOff>7792</xdr:rowOff>
    </xdr:to>
    <xdr:sp>
      <xdr:nvSpPr>
        <xdr:cNvPr id="2" name="Oval 1"/>
        <xdr:cNvSpPr/>
      </xdr:nvSpPr>
      <xdr:spPr>
        <a:xfrm>
          <a:off x="18141950" y="29718000"/>
          <a:ext cx="2592070" cy="798195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JUMLAH</a:t>
          </a:r>
          <a:r>
            <a:rPr lang="en-US" sz="1100" baseline="0"/>
            <a:t> KASUS PER BULAN</a:t>
          </a:r>
          <a:endParaRPr lang="en-US" sz="1100"/>
        </a:p>
      </xdr:txBody>
    </xdr:sp>
    <xdr:clientData/>
  </xdr:twoCellAnchor>
  <xdr:twoCellAnchor>
    <xdr:from>
      <xdr:col>15</xdr:col>
      <xdr:colOff>535780</xdr:colOff>
      <xdr:row>159</xdr:row>
      <xdr:rowOff>85559</xdr:rowOff>
    </xdr:from>
    <xdr:to>
      <xdr:col>16</xdr:col>
      <xdr:colOff>481687</xdr:colOff>
      <xdr:row>162</xdr:row>
      <xdr:rowOff>11906</xdr:rowOff>
    </xdr:to>
    <xdr:cxnSp>
      <xdr:nvCxnSpPr>
        <xdr:cNvPr id="3" name="Straight Connector 2"/>
        <xdr:cNvCxnSpPr>
          <a:stCxn id="2" idx="3"/>
        </xdr:cNvCxnSpPr>
      </xdr:nvCxnSpPr>
      <xdr:spPr>
        <a:xfrm flipH="1">
          <a:off x="17333595" y="30393640"/>
          <a:ext cx="1047750" cy="52641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596158</xdr:colOff>
      <xdr:row>159</xdr:row>
      <xdr:rowOff>188768</xdr:rowOff>
    </xdr:from>
    <xdr:to>
      <xdr:col>18</xdr:col>
      <xdr:colOff>45938</xdr:colOff>
      <xdr:row>163</xdr:row>
      <xdr:rowOff>74469</xdr:rowOff>
    </xdr:to>
    <xdr:cxnSp>
      <xdr:nvCxnSpPr>
        <xdr:cNvPr id="4" name="Straight Connector 3"/>
        <xdr:cNvCxnSpPr/>
      </xdr:nvCxnSpPr>
      <xdr:spPr>
        <a:xfrm flipH="1">
          <a:off x="19499580" y="30497145"/>
          <a:ext cx="221615" cy="6858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43538</xdr:colOff>
      <xdr:row>159</xdr:row>
      <xdr:rowOff>85559</xdr:rowOff>
    </xdr:from>
    <xdr:to>
      <xdr:col>19</xdr:col>
      <xdr:colOff>611008</xdr:colOff>
      <xdr:row>162</xdr:row>
      <xdr:rowOff>7794</xdr:rowOff>
    </xdr:to>
    <xdr:cxnSp>
      <xdr:nvCxnSpPr>
        <xdr:cNvPr id="5" name="Straight Connector 4"/>
        <xdr:cNvCxnSpPr>
          <a:stCxn id="2" idx="5"/>
        </xdr:cNvCxnSpPr>
      </xdr:nvCxnSpPr>
      <xdr:spPr>
        <a:xfrm>
          <a:off x="20490180" y="30393640"/>
          <a:ext cx="567690" cy="52260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162</xdr:row>
      <xdr:rowOff>7794</xdr:rowOff>
    </xdr:from>
    <xdr:to>
      <xdr:col>16</xdr:col>
      <xdr:colOff>38878</xdr:colOff>
      <xdr:row>163</xdr:row>
      <xdr:rowOff>77757</xdr:rowOff>
    </xdr:to>
    <xdr:sp>
      <xdr:nvSpPr>
        <xdr:cNvPr id="6" name="Rectangle 5"/>
        <xdr:cNvSpPr/>
      </xdr:nvSpPr>
      <xdr:spPr>
        <a:xfrm>
          <a:off x="16798290" y="30916245"/>
          <a:ext cx="1140460" cy="26987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16 Rendah</a:t>
          </a:r>
          <a:endParaRPr lang="en-US" sz="1100" baseline="0"/>
        </a:p>
        <a:p>
          <a:pPr algn="l"/>
          <a:endParaRPr lang="en-US" sz="1100"/>
        </a:p>
        <a:p>
          <a:pPr algn="l"/>
          <a:endParaRPr lang="en-US" sz="1100"/>
        </a:p>
      </xdr:txBody>
    </xdr:sp>
    <xdr:clientData/>
  </xdr:twoCellAnchor>
  <xdr:oneCellAnchor>
    <xdr:from>
      <xdr:col>15</xdr:col>
      <xdr:colOff>428624</xdr:colOff>
      <xdr:row>159</xdr:row>
      <xdr:rowOff>148288</xdr:rowOff>
    </xdr:from>
    <xdr:ext cx="666750" cy="264560"/>
    <xdr:sp>
      <xdr:nvSpPr>
        <xdr:cNvPr id="7" name="TextBox 6"/>
        <xdr:cNvSpPr txBox="1"/>
      </xdr:nvSpPr>
      <xdr:spPr>
        <a:xfrm>
          <a:off x="17226280" y="30456505"/>
          <a:ext cx="666750" cy="2647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&lt;11</a:t>
          </a:r>
          <a:endParaRPr lang="en-US">
            <a:effectLst/>
          </a:endParaRPr>
        </a:p>
      </xdr:txBody>
    </xdr:sp>
    <xdr:clientData/>
  </xdr:oneCellAnchor>
  <xdr:oneCellAnchor>
    <xdr:from>
      <xdr:col>16</xdr:col>
      <xdr:colOff>505619</xdr:colOff>
      <xdr:row>160</xdr:row>
      <xdr:rowOff>131618</xdr:rowOff>
    </xdr:from>
    <xdr:ext cx="1162050" cy="264560"/>
    <mc:AlternateContent xmlns:mc="http://schemas.openxmlformats.org/markup-compatibility/2006">
      <mc:Choice xmlns:a14="http://schemas.microsoft.com/office/drawing/2010/main" Requires="a14">
        <xdr:sp>
          <xdr:nvSpPr>
            <xdr:cNvPr id="8" name="TextBox 7"/>
            <xdr:cNvSpPr txBox="1"/>
          </xdr:nvSpPr>
          <xdr:spPr>
            <a:xfrm>
              <a:off x="18405475" y="30640020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</m:oMath>
              </a14:m>
              <a:r>
                <a:rPr lang="en-US" sz="1100"/>
                <a:t>11 - &gt; 24.7</a:t>
              </a:r>
              <a:endParaRPr lang="en-US" sz="1100"/>
            </a:p>
          </xdr:txBody>
        </xdr:sp>
      </mc:Choice>
      <mc:Fallback>
        <xdr:sp>
          <xdr:nvSpPr>
            <xdr:cNvPr id="8" name="TextBox 7"/>
            <xdr:cNvSpPr txBox="1"/>
          </xdr:nvSpPr>
          <xdr:spPr>
            <a:xfrm>
              <a:off x="18405475" y="30640020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/>
                <a:t>11 - &gt; 24.7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17</xdr:col>
      <xdr:colOff>186583</xdr:colOff>
      <xdr:row>163</xdr:row>
      <xdr:rowOff>64944</xdr:rowOff>
    </xdr:from>
    <xdr:to>
      <xdr:col>18</xdr:col>
      <xdr:colOff>388776</xdr:colOff>
      <xdr:row>164</xdr:row>
      <xdr:rowOff>145792</xdr:rowOff>
    </xdr:to>
    <xdr:sp>
      <xdr:nvSpPr>
        <xdr:cNvPr id="9" name="Rectangle 8"/>
        <xdr:cNvSpPr/>
      </xdr:nvSpPr>
      <xdr:spPr>
        <a:xfrm>
          <a:off x="19090005" y="31173420"/>
          <a:ext cx="974090" cy="27114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55 Sedang</a:t>
          </a:r>
          <a:endParaRPr lang="en-US" sz="1100"/>
        </a:p>
        <a:p>
          <a:pPr algn="l"/>
          <a:endParaRPr lang="en-US" sz="1100" baseline="0"/>
        </a:p>
      </xdr:txBody>
    </xdr:sp>
    <xdr:clientData/>
  </xdr:twoCellAnchor>
  <xdr:twoCellAnchor>
    <xdr:from>
      <xdr:col>19</xdr:col>
      <xdr:colOff>220484</xdr:colOff>
      <xdr:row>162</xdr:row>
      <xdr:rowOff>7794</xdr:rowOff>
    </xdr:from>
    <xdr:to>
      <xdr:col>20</xdr:col>
      <xdr:colOff>95942</xdr:colOff>
      <xdr:row>163</xdr:row>
      <xdr:rowOff>160194</xdr:rowOff>
    </xdr:to>
    <xdr:sp>
      <xdr:nvSpPr>
        <xdr:cNvPr id="10" name="Rectangle 9"/>
        <xdr:cNvSpPr/>
      </xdr:nvSpPr>
      <xdr:spPr>
        <a:xfrm>
          <a:off x="20667345" y="30916245"/>
          <a:ext cx="1111885" cy="3524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30 Tinggi</a:t>
          </a:r>
          <a:endParaRPr lang="en-US" sz="1100"/>
        </a:p>
      </xdr:txBody>
    </xdr:sp>
    <xdr:clientData/>
  </xdr:twoCellAnchor>
  <xdr:oneCellAnchor>
    <xdr:from>
      <xdr:col>19</xdr:col>
      <xdr:colOff>268108</xdr:colOff>
      <xdr:row>159</xdr:row>
      <xdr:rowOff>104775</xdr:rowOff>
    </xdr:from>
    <xdr:ext cx="666750" cy="264560"/>
    <xdr:sp>
      <xdr:nvSpPr>
        <xdr:cNvPr id="11" name="TextBox 10"/>
        <xdr:cNvSpPr txBox="1"/>
      </xdr:nvSpPr>
      <xdr:spPr>
        <a:xfrm>
          <a:off x="20714970" y="30413325"/>
          <a:ext cx="666750" cy="2641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&gt;24.7</a:t>
          </a:r>
          <a:endParaRPr lang="en-US" sz="1100"/>
        </a:p>
      </xdr:txBody>
    </xdr:sp>
    <xdr:clientData/>
  </xdr:one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16</xdr:col>
      <xdr:colOff>242252</xdr:colOff>
      <xdr:row>156</xdr:row>
      <xdr:rowOff>0</xdr:rowOff>
    </xdr:from>
    <xdr:to>
      <xdr:col>19</xdr:col>
      <xdr:colOff>287158</xdr:colOff>
      <xdr:row>160</xdr:row>
      <xdr:rowOff>7792</xdr:rowOff>
    </xdr:to>
    <xdr:sp>
      <xdr:nvSpPr>
        <xdr:cNvPr id="2" name="Oval 1"/>
        <xdr:cNvSpPr/>
      </xdr:nvSpPr>
      <xdr:spPr>
        <a:xfrm>
          <a:off x="19256375" y="29718000"/>
          <a:ext cx="2592070" cy="798195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JUMLAH</a:t>
          </a:r>
          <a:r>
            <a:rPr lang="en-US" sz="1100" baseline="0"/>
            <a:t> KASUS PER BULAN</a:t>
          </a:r>
          <a:endParaRPr lang="en-US" sz="1100"/>
        </a:p>
      </xdr:txBody>
    </xdr:sp>
    <xdr:clientData/>
  </xdr:twoCellAnchor>
  <xdr:twoCellAnchor>
    <xdr:from>
      <xdr:col>15</xdr:col>
      <xdr:colOff>535780</xdr:colOff>
      <xdr:row>159</xdr:row>
      <xdr:rowOff>85559</xdr:rowOff>
    </xdr:from>
    <xdr:to>
      <xdr:col>16</xdr:col>
      <xdr:colOff>481687</xdr:colOff>
      <xdr:row>162</xdr:row>
      <xdr:rowOff>11906</xdr:rowOff>
    </xdr:to>
    <xdr:cxnSp>
      <xdr:nvCxnSpPr>
        <xdr:cNvPr id="3" name="Straight Connector 2"/>
        <xdr:cNvCxnSpPr>
          <a:stCxn id="2" idx="3"/>
        </xdr:cNvCxnSpPr>
      </xdr:nvCxnSpPr>
      <xdr:spPr>
        <a:xfrm flipH="1">
          <a:off x="18448020" y="30393640"/>
          <a:ext cx="1047750" cy="52641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596158</xdr:colOff>
      <xdr:row>159</xdr:row>
      <xdr:rowOff>188768</xdr:rowOff>
    </xdr:from>
    <xdr:to>
      <xdr:col>18</xdr:col>
      <xdr:colOff>45938</xdr:colOff>
      <xdr:row>163</xdr:row>
      <xdr:rowOff>74469</xdr:rowOff>
    </xdr:to>
    <xdr:cxnSp>
      <xdr:nvCxnSpPr>
        <xdr:cNvPr id="4" name="Straight Connector 3"/>
        <xdr:cNvCxnSpPr/>
      </xdr:nvCxnSpPr>
      <xdr:spPr>
        <a:xfrm flipH="1">
          <a:off x="20614005" y="30497145"/>
          <a:ext cx="221615" cy="6858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43538</xdr:colOff>
      <xdr:row>159</xdr:row>
      <xdr:rowOff>85559</xdr:rowOff>
    </xdr:from>
    <xdr:to>
      <xdr:col>19</xdr:col>
      <xdr:colOff>611008</xdr:colOff>
      <xdr:row>162</xdr:row>
      <xdr:rowOff>7794</xdr:rowOff>
    </xdr:to>
    <xdr:cxnSp>
      <xdr:nvCxnSpPr>
        <xdr:cNvPr id="5" name="Straight Connector 4"/>
        <xdr:cNvCxnSpPr>
          <a:stCxn id="2" idx="5"/>
        </xdr:cNvCxnSpPr>
      </xdr:nvCxnSpPr>
      <xdr:spPr>
        <a:xfrm>
          <a:off x="21604605" y="30393640"/>
          <a:ext cx="567690" cy="52260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</xdr:colOff>
      <xdr:row>162</xdr:row>
      <xdr:rowOff>7794</xdr:rowOff>
    </xdr:from>
    <xdr:to>
      <xdr:col>15</xdr:col>
      <xdr:colOff>806711</xdr:colOff>
      <xdr:row>163</xdr:row>
      <xdr:rowOff>97195</xdr:rowOff>
    </xdr:to>
    <xdr:sp>
      <xdr:nvSpPr>
        <xdr:cNvPr id="6" name="Rectangle 5"/>
        <xdr:cNvSpPr/>
      </xdr:nvSpPr>
      <xdr:spPr>
        <a:xfrm>
          <a:off x="17912715" y="30916245"/>
          <a:ext cx="806450" cy="28956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17 Rendah</a:t>
          </a:r>
          <a:endParaRPr lang="en-US" sz="1100" baseline="0"/>
        </a:p>
        <a:p>
          <a:pPr algn="l"/>
          <a:endParaRPr lang="en-US" sz="1100"/>
        </a:p>
        <a:p>
          <a:pPr algn="l"/>
          <a:endParaRPr lang="en-US" sz="1100"/>
        </a:p>
      </xdr:txBody>
    </xdr:sp>
    <xdr:clientData/>
  </xdr:twoCellAnchor>
  <xdr:oneCellAnchor>
    <xdr:from>
      <xdr:col>15</xdr:col>
      <xdr:colOff>428624</xdr:colOff>
      <xdr:row>159</xdr:row>
      <xdr:rowOff>148288</xdr:rowOff>
    </xdr:from>
    <xdr:ext cx="666750" cy="264560"/>
    <xdr:sp>
      <xdr:nvSpPr>
        <xdr:cNvPr id="7" name="TextBox 6"/>
        <xdr:cNvSpPr txBox="1"/>
      </xdr:nvSpPr>
      <xdr:spPr>
        <a:xfrm>
          <a:off x="18340705" y="30456505"/>
          <a:ext cx="666750" cy="2647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&lt;11</a:t>
          </a:r>
          <a:endParaRPr lang="en-US">
            <a:effectLst/>
          </a:endParaRPr>
        </a:p>
      </xdr:txBody>
    </xdr:sp>
    <xdr:clientData/>
  </xdr:oneCellAnchor>
  <xdr:oneCellAnchor>
    <xdr:from>
      <xdr:col>16</xdr:col>
      <xdr:colOff>505619</xdr:colOff>
      <xdr:row>160</xdr:row>
      <xdr:rowOff>131618</xdr:rowOff>
    </xdr:from>
    <xdr:ext cx="1162050" cy="264560"/>
    <mc:AlternateContent xmlns:mc="http://schemas.openxmlformats.org/markup-compatibility/2006">
      <mc:Choice xmlns:a14="http://schemas.microsoft.com/office/drawing/2010/main" Requires="a14">
        <xdr:sp>
          <xdr:nvSpPr>
            <xdr:cNvPr id="8" name="TextBox 7"/>
            <xdr:cNvSpPr txBox="1"/>
          </xdr:nvSpPr>
          <xdr:spPr>
            <a:xfrm>
              <a:off x="19519900" y="30640020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</m:oMath>
              </a14:m>
              <a:r>
                <a:rPr lang="en-US" sz="1100"/>
                <a:t>11 - &gt; 25.2</a:t>
              </a:r>
              <a:endParaRPr lang="en-US" sz="1100"/>
            </a:p>
          </xdr:txBody>
        </xdr:sp>
      </mc:Choice>
      <mc:Fallback>
        <xdr:sp>
          <xdr:nvSpPr>
            <xdr:cNvPr id="8" name="TextBox 7"/>
            <xdr:cNvSpPr txBox="1"/>
          </xdr:nvSpPr>
          <xdr:spPr>
            <a:xfrm>
              <a:off x="19519900" y="30640020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/>
                <a:t>11 - &gt; 25.2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17</xdr:col>
      <xdr:colOff>186584</xdr:colOff>
      <xdr:row>163</xdr:row>
      <xdr:rowOff>64943</xdr:rowOff>
    </xdr:from>
    <xdr:to>
      <xdr:col>18</xdr:col>
      <xdr:colOff>398496</xdr:colOff>
      <xdr:row>164</xdr:row>
      <xdr:rowOff>136072</xdr:rowOff>
    </xdr:to>
    <xdr:sp>
      <xdr:nvSpPr>
        <xdr:cNvPr id="9" name="Rectangle 8"/>
        <xdr:cNvSpPr/>
      </xdr:nvSpPr>
      <xdr:spPr>
        <a:xfrm>
          <a:off x="20204430" y="31173420"/>
          <a:ext cx="983615" cy="26162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65 Sedang</a:t>
          </a:r>
          <a:endParaRPr lang="en-US" sz="1100"/>
        </a:p>
        <a:p>
          <a:pPr algn="l"/>
          <a:endParaRPr lang="en-US" sz="1100" baseline="0"/>
        </a:p>
      </xdr:txBody>
    </xdr:sp>
    <xdr:clientData/>
  </xdr:twoCellAnchor>
  <xdr:twoCellAnchor>
    <xdr:from>
      <xdr:col>19</xdr:col>
      <xdr:colOff>220484</xdr:colOff>
      <xdr:row>162</xdr:row>
      <xdr:rowOff>7794</xdr:rowOff>
    </xdr:from>
    <xdr:to>
      <xdr:col>20</xdr:col>
      <xdr:colOff>95942</xdr:colOff>
      <xdr:row>163</xdr:row>
      <xdr:rowOff>160194</xdr:rowOff>
    </xdr:to>
    <xdr:sp>
      <xdr:nvSpPr>
        <xdr:cNvPr id="10" name="Rectangle 9"/>
        <xdr:cNvSpPr/>
      </xdr:nvSpPr>
      <xdr:spPr>
        <a:xfrm>
          <a:off x="21781770" y="30916245"/>
          <a:ext cx="1111885" cy="3524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27 Tinggi</a:t>
          </a:r>
          <a:endParaRPr lang="en-US" sz="1100"/>
        </a:p>
      </xdr:txBody>
    </xdr:sp>
    <xdr:clientData/>
  </xdr:twoCellAnchor>
  <xdr:oneCellAnchor>
    <xdr:from>
      <xdr:col>19</xdr:col>
      <xdr:colOff>268108</xdr:colOff>
      <xdr:row>159</xdr:row>
      <xdr:rowOff>104775</xdr:rowOff>
    </xdr:from>
    <xdr:ext cx="666750" cy="264560"/>
    <xdr:sp>
      <xdr:nvSpPr>
        <xdr:cNvPr id="11" name="TextBox 10"/>
        <xdr:cNvSpPr txBox="1"/>
      </xdr:nvSpPr>
      <xdr:spPr>
        <a:xfrm>
          <a:off x="21829395" y="30413325"/>
          <a:ext cx="666750" cy="2641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&gt;25.2</a:t>
          </a:r>
          <a:endParaRPr lang="en-US" sz="1100"/>
        </a:p>
      </xdr:txBody>
    </xdr:sp>
    <xdr:clientData/>
  </xdr:one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16</xdr:col>
      <xdr:colOff>242252</xdr:colOff>
      <xdr:row>156</xdr:row>
      <xdr:rowOff>0</xdr:rowOff>
    </xdr:from>
    <xdr:to>
      <xdr:col>19</xdr:col>
      <xdr:colOff>287158</xdr:colOff>
      <xdr:row>160</xdr:row>
      <xdr:rowOff>7792</xdr:rowOff>
    </xdr:to>
    <xdr:sp>
      <xdr:nvSpPr>
        <xdr:cNvPr id="2" name="Oval 1"/>
        <xdr:cNvSpPr/>
      </xdr:nvSpPr>
      <xdr:spPr>
        <a:xfrm>
          <a:off x="19256375" y="29718000"/>
          <a:ext cx="2592070" cy="798195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JUMLAH</a:t>
          </a:r>
          <a:r>
            <a:rPr lang="en-US" sz="1100" baseline="0"/>
            <a:t> KASUS PER BULAN</a:t>
          </a:r>
          <a:endParaRPr lang="en-US" sz="1100"/>
        </a:p>
      </xdr:txBody>
    </xdr:sp>
    <xdr:clientData/>
  </xdr:twoCellAnchor>
  <xdr:twoCellAnchor>
    <xdr:from>
      <xdr:col>15</xdr:col>
      <xdr:colOff>535780</xdr:colOff>
      <xdr:row>159</xdr:row>
      <xdr:rowOff>85559</xdr:rowOff>
    </xdr:from>
    <xdr:to>
      <xdr:col>16</xdr:col>
      <xdr:colOff>481687</xdr:colOff>
      <xdr:row>162</xdr:row>
      <xdr:rowOff>11906</xdr:rowOff>
    </xdr:to>
    <xdr:cxnSp>
      <xdr:nvCxnSpPr>
        <xdr:cNvPr id="3" name="Straight Connector 2"/>
        <xdr:cNvCxnSpPr>
          <a:stCxn id="2" idx="3"/>
        </xdr:cNvCxnSpPr>
      </xdr:nvCxnSpPr>
      <xdr:spPr>
        <a:xfrm flipH="1">
          <a:off x="18448020" y="30393640"/>
          <a:ext cx="1047750" cy="52641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596158</xdr:colOff>
      <xdr:row>159</xdr:row>
      <xdr:rowOff>188768</xdr:rowOff>
    </xdr:from>
    <xdr:to>
      <xdr:col>18</xdr:col>
      <xdr:colOff>45938</xdr:colOff>
      <xdr:row>163</xdr:row>
      <xdr:rowOff>74469</xdr:rowOff>
    </xdr:to>
    <xdr:cxnSp>
      <xdr:nvCxnSpPr>
        <xdr:cNvPr id="4" name="Straight Connector 3"/>
        <xdr:cNvCxnSpPr/>
      </xdr:nvCxnSpPr>
      <xdr:spPr>
        <a:xfrm flipH="1">
          <a:off x="20614005" y="30497145"/>
          <a:ext cx="221615" cy="6858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43538</xdr:colOff>
      <xdr:row>159</xdr:row>
      <xdr:rowOff>85559</xdr:rowOff>
    </xdr:from>
    <xdr:to>
      <xdr:col>19</xdr:col>
      <xdr:colOff>611008</xdr:colOff>
      <xdr:row>162</xdr:row>
      <xdr:rowOff>7794</xdr:rowOff>
    </xdr:to>
    <xdr:cxnSp>
      <xdr:nvCxnSpPr>
        <xdr:cNvPr id="5" name="Straight Connector 4"/>
        <xdr:cNvCxnSpPr>
          <a:stCxn id="2" idx="5"/>
        </xdr:cNvCxnSpPr>
      </xdr:nvCxnSpPr>
      <xdr:spPr>
        <a:xfrm>
          <a:off x="21604605" y="30393640"/>
          <a:ext cx="567690" cy="52260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</xdr:colOff>
      <xdr:row>162</xdr:row>
      <xdr:rowOff>7793</xdr:rowOff>
    </xdr:from>
    <xdr:to>
      <xdr:col>15</xdr:col>
      <xdr:colOff>796991</xdr:colOff>
      <xdr:row>163</xdr:row>
      <xdr:rowOff>87475</xdr:rowOff>
    </xdr:to>
    <xdr:sp>
      <xdr:nvSpPr>
        <xdr:cNvPr id="6" name="Rectangle 5"/>
        <xdr:cNvSpPr/>
      </xdr:nvSpPr>
      <xdr:spPr>
        <a:xfrm>
          <a:off x="17912715" y="30916245"/>
          <a:ext cx="796925" cy="2794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18 Rendah</a:t>
          </a:r>
          <a:endParaRPr lang="en-US" sz="1100" baseline="0"/>
        </a:p>
        <a:p>
          <a:pPr algn="l"/>
          <a:endParaRPr lang="en-US" sz="1100"/>
        </a:p>
        <a:p>
          <a:pPr algn="l"/>
          <a:endParaRPr lang="en-US" sz="1100"/>
        </a:p>
      </xdr:txBody>
    </xdr:sp>
    <xdr:clientData/>
  </xdr:twoCellAnchor>
  <xdr:oneCellAnchor>
    <xdr:from>
      <xdr:col>15</xdr:col>
      <xdr:colOff>428624</xdr:colOff>
      <xdr:row>159</xdr:row>
      <xdr:rowOff>148288</xdr:rowOff>
    </xdr:from>
    <xdr:ext cx="666750" cy="264560"/>
    <xdr:sp>
      <xdr:nvSpPr>
        <xdr:cNvPr id="7" name="TextBox 6"/>
        <xdr:cNvSpPr txBox="1"/>
      </xdr:nvSpPr>
      <xdr:spPr>
        <a:xfrm>
          <a:off x="18340705" y="30456505"/>
          <a:ext cx="666750" cy="2647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&lt;11</a:t>
          </a:r>
          <a:endParaRPr lang="en-US">
            <a:effectLst/>
          </a:endParaRPr>
        </a:p>
      </xdr:txBody>
    </xdr:sp>
    <xdr:clientData/>
  </xdr:oneCellAnchor>
  <xdr:oneCellAnchor>
    <xdr:from>
      <xdr:col>16</xdr:col>
      <xdr:colOff>505619</xdr:colOff>
      <xdr:row>160</xdr:row>
      <xdr:rowOff>131618</xdr:rowOff>
    </xdr:from>
    <xdr:ext cx="1162050" cy="264560"/>
    <mc:AlternateContent xmlns:mc="http://schemas.openxmlformats.org/markup-compatibility/2006">
      <mc:Choice xmlns:a14="http://schemas.microsoft.com/office/drawing/2010/main" Requires="a14">
        <xdr:sp>
          <xdr:nvSpPr>
            <xdr:cNvPr id="8" name="TextBox 7"/>
            <xdr:cNvSpPr txBox="1"/>
          </xdr:nvSpPr>
          <xdr:spPr>
            <a:xfrm>
              <a:off x="19519900" y="30640020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</m:oMath>
              </a14:m>
              <a:r>
                <a:rPr lang="en-US" sz="1100"/>
                <a:t>11 - &gt; 26.5</a:t>
              </a:r>
              <a:endParaRPr lang="en-US" sz="1100"/>
            </a:p>
          </xdr:txBody>
        </xdr:sp>
      </mc:Choice>
      <mc:Fallback>
        <xdr:sp>
          <xdr:nvSpPr>
            <xdr:cNvPr id="8" name="TextBox 7"/>
            <xdr:cNvSpPr txBox="1"/>
          </xdr:nvSpPr>
          <xdr:spPr>
            <a:xfrm>
              <a:off x="19519900" y="30640020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/>
                <a:t>11 - &gt; 26.5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17</xdr:col>
      <xdr:colOff>186584</xdr:colOff>
      <xdr:row>163</xdr:row>
      <xdr:rowOff>64943</xdr:rowOff>
    </xdr:from>
    <xdr:to>
      <xdr:col>18</xdr:col>
      <xdr:colOff>388776</xdr:colOff>
      <xdr:row>164</xdr:row>
      <xdr:rowOff>155510</xdr:rowOff>
    </xdr:to>
    <xdr:sp>
      <xdr:nvSpPr>
        <xdr:cNvPr id="9" name="Rectangle 8"/>
        <xdr:cNvSpPr/>
      </xdr:nvSpPr>
      <xdr:spPr>
        <a:xfrm>
          <a:off x="20204430" y="31173420"/>
          <a:ext cx="974090" cy="28067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68 Sedang</a:t>
          </a:r>
          <a:endParaRPr lang="en-US" sz="1100"/>
        </a:p>
        <a:p>
          <a:pPr algn="l"/>
          <a:endParaRPr lang="en-US" sz="1100" baseline="0"/>
        </a:p>
      </xdr:txBody>
    </xdr:sp>
    <xdr:clientData/>
  </xdr:twoCellAnchor>
  <xdr:twoCellAnchor>
    <xdr:from>
      <xdr:col>19</xdr:col>
      <xdr:colOff>220484</xdr:colOff>
      <xdr:row>162</xdr:row>
      <xdr:rowOff>7794</xdr:rowOff>
    </xdr:from>
    <xdr:to>
      <xdr:col>20</xdr:col>
      <xdr:colOff>68036</xdr:colOff>
      <xdr:row>163</xdr:row>
      <xdr:rowOff>77756</xdr:rowOff>
    </xdr:to>
    <xdr:sp>
      <xdr:nvSpPr>
        <xdr:cNvPr id="10" name="Rectangle 9"/>
        <xdr:cNvSpPr/>
      </xdr:nvSpPr>
      <xdr:spPr>
        <a:xfrm>
          <a:off x="21781770" y="30916245"/>
          <a:ext cx="1083945" cy="26987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32 Tinggi</a:t>
          </a:r>
          <a:endParaRPr lang="en-US" sz="1100"/>
        </a:p>
      </xdr:txBody>
    </xdr:sp>
    <xdr:clientData/>
  </xdr:twoCellAnchor>
  <xdr:oneCellAnchor>
    <xdr:from>
      <xdr:col>19</xdr:col>
      <xdr:colOff>268108</xdr:colOff>
      <xdr:row>159</xdr:row>
      <xdr:rowOff>104775</xdr:rowOff>
    </xdr:from>
    <xdr:ext cx="666750" cy="264560"/>
    <xdr:sp>
      <xdr:nvSpPr>
        <xdr:cNvPr id="11" name="TextBox 10"/>
        <xdr:cNvSpPr txBox="1"/>
      </xdr:nvSpPr>
      <xdr:spPr>
        <a:xfrm>
          <a:off x="21829395" y="30413325"/>
          <a:ext cx="666750" cy="2641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&gt;26.5</a:t>
          </a:r>
          <a:endParaRPr lang="en-US" sz="1100"/>
        </a:p>
      </xdr:txBody>
    </xdr:sp>
    <xdr:clientData/>
  </xdr:oneCellAnchor>
</xdr:wsDr>
</file>

<file path=xl/drawings/drawing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16</xdr:col>
      <xdr:colOff>242252</xdr:colOff>
      <xdr:row>156</xdr:row>
      <xdr:rowOff>0</xdr:rowOff>
    </xdr:from>
    <xdr:to>
      <xdr:col>19</xdr:col>
      <xdr:colOff>287158</xdr:colOff>
      <xdr:row>160</xdr:row>
      <xdr:rowOff>7792</xdr:rowOff>
    </xdr:to>
    <xdr:sp>
      <xdr:nvSpPr>
        <xdr:cNvPr id="2" name="Oval 1"/>
        <xdr:cNvSpPr/>
      </xdr:nvSpPr>
      <xdr:spPr>
        <a:xfrm>
          <a:off x="19256375" y="29718000"/>
          <a:ext cx="2592070" cy="798195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JUMLAH</a:t>
          </a:r>
          <a:r>
            <a:rPr lang="en-US" sz="1100" baseline="0"/>
            <a:t> KASUS PER BULAN</a:t>
          </a:r>
          <a:endParaRPr lang="en-US" sz="1100"/>
        </a:p>
      </xdr:txBody>
    </xdr:sp>
    <xdr:clientData/>
  </xdr:twoCellAnchor>
  <xdr:twoCellAnchor>
    <xdr:from>
      <xdr:col>15</xdr:col>
      <xdr:colOff>535780</xdr:colOff>
      <xdr:row>159</xdr:row>
      <xdr:rowOff>85559</xdr:rowOff>
    </xdr:from>
    <xdr:to>
      <xdr:col>16</xdr:col>
      <xdr:colOff>481687</xdr:colOff>
      <xdr:row>162</xdr:row>
      <xdr:rowOff>11906</xdr:rowOff>
    </xdr:to>
    <xdr:cxnSp>
      <xdr:nvCxnSpPr>
        <xdr:cNvPr id="3" name="Straight Connector 2"/>
        <xdr:cNvCxnSpPr>
          <a:stCxn id="2" idx="3"/>
        </xdr:cNvCxnSpPr>
      </xdr:nvCxnSpPr>
      <xdr:spPr>
        <a:xfrm flipH="1">
          <a:off x="18448020" y="30393640"/>
          <a:ext cx="1047750" cy="52641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596158</xdr:colOff>
      <xdr:row>159</xdr:row>
      <xdr:rowOff>188768</xdr:rowOff>
    </xdr:from>
    <xdr:to>
      <xdr:col>18</xdr:col>
      <xdr:colOff>45938</xdr:colOff>
      <xdr:row>163</xdr:row>
      <xdr:rowOff>74469</xdr:rowOff>
    </xdr:to>
    <xdr:cxnSp>
      <xdr:nvCxnSpPr>
        <xdr:cNvPr id="4" name="Straight Connector 3"/>
        <xdr:cNvCxnSpPr/>
      </xdr:nvCxnSpPr>
      <xdr:spPr>
        <a:xfrm flipH="1">
          <a:off x="20614005" y="30497145"/>
          <a:ext cx="221615" cy="6858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43538</xdr:colOff>
      <xdr:row>159</xdr:row>
      <xdr:rowOff>85559</xdr:rowOff>
    </xdr:from>
    <xdr:to>
      <xdr:col>19</xdr:col>
      <xdr:colOff>611008</xdr:colOff>
      <xdr:row>162</xdr:row>
      <xdr:rowOff>7794</xdr:rowOff>
    </xdr:to>
    <xdr:cxnSp>
      <xdr:nvCxnSpPr>
        <xdr:cNvPr id="5" name="Straight Connector 4"/>
        <xdr:cNvCxnSpPr>
          <a:stCxn id="2" idx="5"/>
        </xdr:cNvCxnSpPr>
      </xdr:nvCxnSpPr>
      <xdr:spPr>
        <a:xfrm>
          <a:off x="21604605" y="30393640"/>
          <a:ext cx="567690" cy="52260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162</xdr:row>
      <xdr:rowOff>7793</xdr:rowOff>
    </xdr:from>
    <xdr:to>
      <xdr:col>16</xdr:col>
      <xdr:colOff>0</xdr:colOff>
      <xdr:row>163</xdr:row>
      <xdr:rowOff>87475</xdr:rowOff>
    </xdr:to>
    <xdr:sp>
      <xdr:nvSpPr>
        <xdr:cNvPr id="6" name="Rectangle 5"/>
        <xdr:cNvSpPr/>
      </xdr:nvSpPr>
      <xdr:spPr>
        <a:xfrm>
          <a:off x="17912715" y="30916245"/>
          <a:ext cx="1101725" cy="2794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15 Rendah</a:t>
          </a:r>
          <a:endParaRPr lang="en-US" sz="1100" baseline="0"/>
        </a:p>
        <a:p>
          <a:pPr algn="l"/>
          <a:endParaRPr lang="en-US" sz="1100"/>
        </a:p>
        <a:p>
          <a:pPr algn="l"/>
          <a:endParaRPr lang="en-US" sz="1100"/>
        </a:p>
      </xdr:txBody>
    </xdr:sp>
    <xdr:clientData/>
  </xdr:twoCellAnchor>
  <xdr:oneCellAnchor>
    <xdr:from>
      <xdr:col>15</xdr:col>
      <xdr:colOff>428624</xdr:colOff>
      <xdr:row>159</xdr:row>
      <xdr:rowOff>148288</xdr:rowOff>
    </xdr:from>
    <xdr:ext cx="666750" cy="264560"/>
    <xdr:sp>
      <xdr:nvSpPr>
        <xdr:cNvPr id="7" name="TextBox 6"/>
        <xdr:cNvSpPr txBox="1"/>
      </xdr:nvSpPr>
      <xdr:spPr>
        <a:xfrm>
          <a:off x="18340705" y="30456505"/>
          <a:ext cx="666750" cy="2647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&lt;12</a:t>
          </a:r>
          <a:endParaRPr lang="en-US">
            <a:effectLst/>
          </a:endParaRPr>
        </a:p>
      </xdr:txBody>
    </xdr:sp>
    <xdr:clientData/>
  </xdr:oneCellAnchor>
  <xdr:oneCellAnchor>
    <xdr:from>
      <xdr:col>16</xdr:col>
      <xdr:colOff>505619</xdr:colOff>
      <xdr:row>160</xdr:row>
      <xdr:rowOff>131618</xdr:rowOff>
    </xdr:from>
    <xdr:ext cx="1162050" cy="264560"/>
    <mc:AlternateContent xmlns:mc="http://schemas.openxmlformats.org/markup-compatibility/2006">
      <mc:Choice xmlns:a14="http://schemas.microsoft.com/office/drawing/2010/main" Requires="a14">
        <xdr:sp>
          <xdr:nvSpPr>
            <xdr:cNvPr id="8" name="TextBox 7"/>
            <xdr:cNvSpPr txBox="1"/>
          </xdr:nvSpPr>
          <xdr:spPr>
            <a:xfrm>
              <a:off x="19519900" y="30640020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</m:oMath>
              </a14:m>
              <a:r>
                <a:rPr lang="en-US" sz="1100"/>
                <a:t>12 - &gt; 26.2</a:t>
              </a:r>
              <a:endParaRPr lang="en-US" sz="1100"/>
            </a:p>
          </xdr:txBody>
        </xdr:sp>
      </mc:Choice>
      <mc:Fallback>
        <xdr:sp>
          <xdr:nvSpPr>
            <xdr:cNvPr id="8" name="TextBox 7"/>
            <xdr:cNvSpPr txBox="1"/>
          </xdr:nvSpPr>
          <xdr:spPr>
            <a:xfrm>
              <a:off x="19519900" y="30640020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/>
                <a:t>12 - &gt; 26.2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17</xdr:col>
      <xdr:colOff>186583</xdr:colOff>
      <xdr:row>163</xdr:row>
      <xdr:rowOff>64944</xdr:rowOff>
    </xdr:from>
    <xdr:to>
      <xdr:col>18</xdr:col>
      <xdr:colOff>379056</xdr:colOff>
      <xdr:row>164</xdr:row>
      <xdr:rowOff>145792</xdr:rowOff>
    </xdr:to>
    <xdr:sp>
      <xdr:nvSpPr>
        <xdr:cNvPr id="9" name="Rectangle 8"/>
        <xdr:cNvSpPr/>
      </xdr:nvSpPr>
      <xdr:spPr>
        <a:xfrm>
          <a:off x="20204430" y="31173420"/>
          <a:ext cx="963930" cy="27114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67 Sedang</a:t>
          </a:r>
          <a:endParaRPr lang="en-US" sz="1100"/>
        </a:p>
        <a:p>
          <a:pPr algn="l"/>
          <a:endParaRPr lang="en-US" sz="1100" baseline="0"/>
        </a:p>
      </xdr:txBody>
    </xdr:sp>
    <xdr:clientData/>
  </xdr:twoCellAnchor>
  <xdr:twoCellAnchor>
    <xdr:from>
      <xdr:col>19</xdr:col>
      <xdr:colOff>220484</xdr:colOff>
      <xdr:row>162</xdr:row>
      <xdr:rowOff>7794</xdr:rowOff>
    </xdr:from>
    <xdr:to>
      <xdr:col>20</xdr:col>
      <xdr:colOff>95942</xdr:colOff>
      <xdr:row>163</xdr:row>
      <xdr:rowOff>160194</xdr:rowOff>
    </xdr:to>
    <xdr:sp>
      <xdr:nvSpPr>
        <xdr:cNvPr id="10" name="Rectangle 9"/>
        <xdr:cNvSpPr/>
      </xdr:nvSpPr>
      <xdr:spPr>
        <a:xfrm>
          <a:off x="21781770" y="30916245"/>
          <a:ext cx="1111885" cy="3524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30 Tinggi</a:t>
          </a:r>
          <a:endParaRPr lang="en-US" sz="1100"/>
        </a:p>
      </xdr:txBody>
    </xdr:sp>
    <xdr:clientData/>
  </xdr:twoCellAnchor>
  <xdr:oneCellAnchor>
    <xdr:from>
      <xdr:col>19</xdr:col>
      <xdr:colOff>268108</xdr:colOff>
      <xdr:row>159</xdr:row>
      <xdr:rowOff>104775</xdr:rowOff>
    </xdr:from>
    <xdr:ext cx="666750" cy="264560"/>
    <xdr:sp>
      <xdr:nvSpPr>
        <xdr:cNvPr id="11" name="TextBox 10"/>
        <xdr:cNvSpPr txBox="1"/>
      </xdr:nvSpPr>
      <xdr:spPr>
        <a:xfrm>
          <a:off x="21829395" y="30413325"/>
          <a:ext cx="666750" cy="2641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&gt;26.2</a:t>
          </a:r>
          <a:endParaRPr lang="en-US" sz="1100"/>
        </a:p>
      </xdr:txBody>
    </xdr:sp>
    <xdr:clientData/>
  </xdr:oneCellAnchor>
</xdr:wsDr>
</file>

<file path=xl/drawings/drawing10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16</xdr:col>
      <xdr:colOff>242252</xdr:colOff>
      <xdr:row>156</xdr:row>
      <xdr:rowOff>0</xdr:rowOff>
    </xdr:from>
    <xdr:to>
      <xdr:col>19</xdr:col>
      <xdr:colOff>287158</xdr:colOff>
      <xdr:row>160</xdr:row>
      <xdr:rowOff>7792</xdr:rowOff>
    </xdr:to>
    <xdr:sp>
      <xdr:nvSpPr>
        <xdr:cNvPr id="2" name="Oval 1"/>
        <xdr:cNvSpPr/>
      </xdr:nvSpPr>
      <xdr:spPr>
        <a:xfrm>
          <a:off x="19256375" y="29718000"/>
          <a:ext cx="2592070" cy="798195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JUMLAH</a:t>
          </a:r>
          <a:r>
            <a:rPr lang="en-US" sz="1100" baseline="0"/>
            <a:t> KASUS PER BULAN</a:t>
          </a:r>
          <a:endParaRPr lang="en-US" sz="1100"/>
        </a:p>
      </xdr:txBody>
    </xdr:sp>
    <xdr:clientData/>
  </xdr:twoCellAnchor>
  <xdr:twoCellAnchor>
    <xdr:from>
      <xdr:col>15</xdr:col>
      <xdr:colOff>535780</xdr:colOff>
      <xdr:row>159</xdr:row>
      <xdr:rowOff>85559</xdr:rowOff>
    </xdr:from>
    <xdr:to>
      <xdr:col>16</xdr:col>
      <xdr:colOff>481687</xdr:colOff>
      <xdr:row>162</xdr:row>
      <xdr:rowOff>11906</xdr:rowOff>
    </xdr:to>
    <xdr:cxnSp>
      <xdr:nvCxnSpPr>
        <xdr:cNvPr id="3" name="Straight Connector 2"/>
        <xdr:cNvCxnSpPr>
          <a:stCxn id="2" idx="3"/>
        </xdr:cNvCxnSpPr>
      </xdr:nvCxnSpPr>
      <xdr:spPr>
        <a:xfrm flipH="1">
          <a:off x="18448020" y="30393640"/>
          <a:ext cx="1047750" cy="52641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596158</xdr:colOff>
      <xdr:row>159</xdr:row>
      <xdr:rowOff>188768</xdr:rowOff>
    </xdr:from>
    <xdr:to>
      <xdr:col>18</xdr:col>
      <xdr:colOff>45938</xdr:colOff>
      <xdr:row>163</xdr:row>
      <xdr:rowOff>74469</xdr:rowOff>
    </xdr:to>
    <xdr:cxnSp>
      <xdr:nvCxnSpPr>
        <xdr:cNvPr id="4" name="Straight Connector 3"/>
        <xdr:cNvCxnSpPr/>
      </xdr:nvCxnSpPr>
      <xdr:spPr>
        <a:xfrm flipH="1">
          <a:off x="20614005" y="30497145"/>
          <a:ext cx="221615" cy="6858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43538</xdr:colOff>
      <xdr:row>159</xdr:row>
      <xdr:rowOff>85559</xdr:rowOff>
    </xdr:from>
    <xdr:to>
      <xdr:col>19</xdr:col>
      <xdr:colOff>611008</xdr:colOff>
      <xdr:row>162</xdr:row>
      <xdr:rowOff>7794</xdr:rowOff>
    </xdr:to>
    <xdr:cxnSp>
      <xdr:nvCxnSpPr>
        <xdr:cNvPr id="5" name="Straight Connector 4"/>
        <xdr:cNvCxnSpPr>
          <a:stCxn id="2" idx="5"/>
        </xdr:cNvCxnSpPr>
      </xdr:nvCxnSpPr>
      <xdr:spPr>
        <a:xfrm>
          <a:off x="21604605" y="30393640"/>
          <a:ext cx="567690" cy="52260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1652296</xdr:colOff>
      <xdr:row>162</xdr:row>
      <xdr:rowOff>7794</xdr:rowOff>
    </xdr:from>
    <xdr:to>
      <xdr:col>15</xdr:col>
      <xdr:colOff>787271</xdr:colOff>
      <xdr:row>163</xdr:row>
      <xdr:rowOff>77757</xdr:rowOff>
    </xdr:to>
    <xdr:sp>
      <xdr:nvSpPr>
        <xdr:cNvPr id="6" name="Rectangle 5"/>
        <xdr:cNvSpPr/>
      </xdr:nvSpPr>
      <xdr:spPr>
        <a:xfrm>
          <a:off x="17397730" y="30916245"/>
          <a:ext cx="1301750" cy="26987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39 Sedang</a:t>
          </a:r>
          <a:endParaRPr lang="en-US">
            <a:effectLst/>
          </a:endParaRPr>
        </a:p>
        <a:p>
          <a:pPr algn="l"/>
          <a:endParaRPr lang="en-US" sz="1100" baseline="0"/>
        </a:p>
        <a:p>
          <a:pPr algn="l"/>
          <a:endParaRPr lang="en-US" sz="1100"/>
        </a:p>
      </xdr:txBody>
    </xdr:sp>
    <xdr:clientData/>
  </xdr:twoCellAnchor>
  <xdr:oneCellAnchor>
    <xdr:from>
      <xdr:col>15</xdr:col>
      <xdr:colOff>428624</xdr:colOff>
      <xdr:row>159</xdr:row>
      <xdr:rowOff>148288</xdr:rowOff>
    </xdr:from>
    <xdr:ext cx="666750" cy="264560"/>
    <xdr:sp>
      <xdr:nvSpPr>
        <xdr:cNvPr id="7" name="TextBox 6"/>
        <xdr:cNvSpPr txBox="1"/>
      </xdr:nvSpPr>
      <xdr:spPr>
        <a:xfrm>
          <a:off x="18340705" y="30456505"/>
          <a:ext cx="666750" cy="2647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&lt;13</a:t>
          </a:r>
          <a:endParaRPr lang="en-US">
            <a:effectLst/>
          </a:endParaRPr>
        </a:p>
      </xdr:txBody>
    </xdr:sp>
    <xdr:clientData/>
  </xdr:oneCellAnchor>
  <xdr:oneCellAnchor>
    <xdr:from>
      <xdr:col>16</xdr:col>
      <xdr:colOff>505619</xdr:colOff>
      <xdr:row>160</xdr:row>
      <xdr:rowOff>131618</xdr:rowOff>
    </xdr:from>
    <xdr:ext cx="1162050" cy="264560"/>
    <mc:AlternateContent xmlns:mc="http://schemas.openxmlformats.org/markup-compatibility/2006">
      <mc:Choice xmlns:a14="http://schemas.microsoft.com/office/drawing/2010/main" Requires="a14">
        <xdr:sp>
          <xdr:nvSpPr>
            <xdr:cNvPr id="8" name="TextBox 7"/>
            <xdr:cNvSpPr txBox="1"/>
          </xdr:nvSpPr>
          <xdr:spPr>
            <a:xfrm>
              <a:off x="19519900" y="30640020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</m:oMath>
              </a14:m>
              <a:r>
                <a:rPr lang="en-US" sz="1100"/>
                <a:t>13 - &gt; 27.4</a:t>
              </a:r>
              <a:endParaRPr lang="en-US" sz="1100"/>
            </a:p>
          </xdr:txBody>
        </xdr:sp>
      </mc:Choice>
      <mc:Fallback>
        <xdr:sp>
          <xdr:nvSpPr>
            <xdr:cNvPr id="8" name="TextBox 7"/>
            <xdr:cNvSpPr txBox="1"/>
          </xdr:nvSpPr>
          <xdr:spPr>
            <a:xfrm>
              <a:off x="19519900" y="30640020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/>
                <a:t>13 - &gt; 27.4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17</xdr:col>
      <xdr:colOff>186583</xdr:colOff>
      <xdr:row>163</xdr:row>
      <xdr:rowOff>64943</xdr:rowOff>
    </xdr:from>
    <xdr:to>
      <xdr:col>18</xdr:col>
      <xdr:colOff>311020</xdr:colOff>
      <xdr:row>164</xdr:row>
      <xdr:rowOff>126352</xdr:rowOff>
    </xdr:to>
    <xdr:sp>
      <xdr:nvSpPr>
        <xdr:cNvPr id="9" name="Rectangle 8"/>
        <xdr:cNvSpPr/>
      </xdr:nvSpPr>
      <xdr:spPr>
        <a:xfrm>
          <a:off x="20204430" y="31173420"/>
          <a:ext cx="895985" cy="25146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44 Tinggi</a:t>
          </a:r>
          <a:endParaRPr lang="en-US">
            <a:effectLst/>
          </a:endParaRPr>
        </a:p>
        <a:p>
          <a:pPr algn="l"/>
          <a:endParaRPr lang="en-US" sz="1100"/>
        </a:p>
      </xdr:txBody>
    </xdr:sp>
    <xdr:clientData/>
  </xdr:twoCellAnchor>
  <xdr:twoCellAnchor>
    <xdr:from>
      <xdr:col>19</xdr:col>
      <xdr:colOff>220484</xdr:colOff>
      <xdr:row>162</xdr:row>
      <xdr:rowOff>7794</xdr:rowOff>
    </xdr:from>
    <xdr:to>
      <xdr:col>20</xdr:col>
      <xdr:colOff>95942</xdr:colOff>
      <xdr:row>163</xdr:row>
      <xdr:rowOff>160194</xdr:rowOff>
    </xdr:to>
    <xdr:sp>
      <xdr:nvSpPr>
        <xdr:cNvPr id="10" name="Rectangle 9"/>
        <xdr:cNvSpPr/>
      </xdr:nvSpPr>
      <xdr:spPr>
        <a:xfrm>
          <a:off x="21781770" y="30916245"/>
          <a:ext cx="1111885" cy="3524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34 Tinggi</a:t>
          </a:r>
          <a:endParaRPr lang="en-US" sz="1100"/>
        </a:p>
      </xdr:txBody>
    </xdr:sp>
    <xdr:clientData/>
  </xdr:twoCellAnchor>
  <xdr:oneCellAnchor>
    <xdr:from>
      <xdr:col>19</xdr:col>
      <xdr:colOff>268108</xdr:colOff>
      <xdr:row>159</xdr:row>
      <xdr:rowOff>104775</xdr:rowOff>
    </xdr:from>
    <xdr:ext cx="666750" cy="264560"/>
    <xdr:sp>
      <xdr:nvSpPr>
        <xdr:cNvPr id="11" name="TextBox 10"/>
        <xdr:cNvSpPr txBox="1"/>
      </xdr:nvSpPr>
      <xdr:spPr>
        <a:xfrm>
          <a:off x="21829395" y="30413325"/>
          <a:ext cx="666750" cy="2641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&gt;27.4</a:t>
          </a:r>
          <a:endParaRPr lang="en-US" sz="1100"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16</xdr:col>
      <xdr:colOff>242252</xdr:colOff>
      <xdr:row>156</xdr:row>
      <xdr:rowOff>0</xdr:rowOff>
    </xdr:from>
    <xdr:to>
      <xdr:col>19</xdr:col>
      <xdr:colOff>287158</xdr:colOff>
      <xdr:row>160</xdr:row>
      <xdr:rowOff>7792</xdr:rowOff>
    </xdr:to>
    <xdr:sp>
      <xdr:nvSpPr>
        <xdr:cNvPr id="2" name="Oval 1"/>
        <xdr:cNvSpPr/>
      </xdr:nvSpPr>
      <xdr:spPr>
        <a:xfrm>
          <a:off x="19256375" y="29718000"/>
          <a:ext cx="2592070" cy="798195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JUMLAH</a:t>
          </a:r>
          <a:r>
            <a:rPr lang="en-US" sz="1100" baseline="0"/>
            <a:t> KASUS PER BULAN</a:t>
          </a:r>
          <a:endParaRPr lang="en-US" sz="1100"/>
        </a:p>
      </xdr:txBody>
    </xdr:sp>
    <xdr:clientData/>
  </xdr:twoCellAnchor>
  <xdr:twoCellAnchor>
    <xdr:from>
      <xdr:col>15</xdr:col>
      <xdr:colOff>535780</xdr:colOff>
      <xdr:row>159</xdr:row>
      <xdr:rowOff>85559</xdr:rowOff>
    </xdr:from>
    <xdr:to>
      <xdr:col>16</xdr:col>
      <xdr:colOff>481687</xdr:colOff>
      <xdr:row>162</xdr:row>
      <xdr:rowOff>11906</xdr:rowOff>
    </xdr:to>
    <xdr:cxnSp>
      <xdr:nvCxnSpPr>
        <xdr:cNvPr id="3" name="Straight Connector 2"/>
        <xdr:cNvCxnSpPr>
          <a:stCxn id="2" idx="3"/>
        </xdr:cNvCxnSpPr>
      </xdr:nvCxnSpPr>
      <xdr:spPr>
        <a:xfrm flipH="1">
          <a:off x="18448020" y="30393640"/>
          <a:ext cx="1047750" cy="52641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596158</xdr:colOff>
      <xdr:row>159</xdr:row>
      <xdr:rowOff>188768</xdr:rowOff>
    </xdr:from>
    <xdr:to>
      <xdr:col>18</xdr:col>
      <xdr:colOff>45938</xdr:colOff>
      <xdr:row>163</xdr:row>
      <xdr:rowOff>74469</xdr:rowOff>
    </xdr:to>
    <xdr:cxnSp>
      <xdr:nvCxnSpPr>
        <xdr:cNvPr id="4" name="Straight Connector 3"/>
        <xdr:cNvCxnSpPr/>
      </xdr:nvCxnSpPr>
      <xdr:spPr>
        <a:xfrm flipH="1">
          <a:off x="20614005" y="30497145"/>
          <a:ext cx="221615" cy="6858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43538</xdr:colOff>
      <xdr:row>159</xdr:row>
      <xdr:rowOff>85559</xdr:rowOff>
    </xdr:from>
    <xdr:to>
      <xdr:col>19</xdr:col>
      <xdr:colOff>611008</xdr:colOff>
      <xdr:row>162</xdr:row>
      <xdr:rowOff>7794</xdr:rowOff>
    </xdr:to>
    <xdr:cxnSp>
      <xdr:nvCxnSpPr>
        <xdr:cNvPr id="5" name="Straight Connector 4"/>
        <xdr:cNvCxnSpPr>
          <a:stCxn id="2" idx="5"/>
        </xdr:cNvCxnSpPr>
      </xdr:nvCxnSpPr>
      <xdr:spPr>
        <a:xfrm>
          <a:off x="21604605" y="30393640"/>
          <a:ext cx="567690" cy="52260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162</xdr:row>
      <xdr:rowOff>7794</xdr:rowOff>
    </xdr:from>
    <xdr:to>
      <xdr:col>16</xdr:col>
      <xdr:colOff>29158</xdr:colOff>
      <xdr:row>163</xdr:row>
      <xdr:rowOff>68037</xdr:rowOff>
    </xdr:to>
    <xdr:sp>
      <xdr:nvSpPr>
        <xdr:cNvPr id="6" name="Rectangle 5"/>
        <xdr:cNvSpPr/>
      </xdr:nvSpPr>
      <xdr:spPr>
        <a:xfrm>
          <a:off x="17912715" y="30916245"/>
          <a:ext cx="1130300" cy="26035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11 Rendah</a:t>
          </a:r>
          <a:endParaRPr lang="en-US" sz="1100" baseline="0"/>
        </a:p>
        <a:p>
          <a:pPr algn="l"/>
          <a:endParaRPr lang="en-US" sz="1100"/>
        </a:p>
        <a:p>
          <a:pPr algn="l"/>
          <a:endParaRPr lang="en-US" sz="1100"/>
        </a:p>
      </xdr:txBody>
    </xdr:sp>
    <xdr:clientData/>
  </xdr:twoCellAnchor>
  <xdr:oneCellAnchor>
    <xdr:from>
      <xdr:col>15</xdr:col>
      <xdr:colOff>428624</xdr:colOff>
      <xdr:row>159</xdr:row>
      <xdr:rowOff>148288</xdr:rowOff>
    </xdr:from>
    <xdr:ext cx="666750" cy="264560"/>
    <xdr:sp>
      <xdr:nvSpPr>
        <xdr:cNvPr id="7" name="TextBox 6"/>
        <xdr:cNvSpPr txBox="1"/>
      </xdr:nvSpPr>
      <xdr:spPr>
        <a:xfrm>
          <a:off x="18340705" y="30456505"/>
          <a:ext cx="666750" cy="2647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&lt;13</a:t>
          </a:r>
          <a:endParaRPr lang="en-US">
            <a:effectLst/>
          </a:endParaRPr>
        </a:p>
      </xdr:txBody>
    </xdr:sp>
    <xdr:clientData/>
  </xdr:oneCellAnchor>
  <xdr:oneCellAnchor>
    <xdr:from>
      <xdr:col>16</xdr:col>
      <xdr:colOff>505619</xdr:colOff>
      <xdr:row>160</xdr:row>
      <xdr:rowOff>131618</xdr:rowOff>
    </xdr:from>
    <xdr:ext cx="1162050" cy="264560"/>
    <mc:AlternateContent xmlns:mc="http://schemas.openxmlformats.org/markup-compatibility/2006">
      <mc:Choice xmlns:a14="http://schemas.microsoft.com/office/drawing/2010/main" Requires="a14">
        <xdr:sp>
          <xdr:nvSpPr>
            <xdr:cNvPr id="8" name="TextBox 7"/>
            <xdr:cNvSpPr txBox="1"/>
          </xdr:nvSpPr>
          <xdr:spPr>
            <a:xfrm>
              <a:off x="19519900" y="30640020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</m:oMath>
              </a14:m>
              <a:r>
                <a:rPr lang="en-US" sz="1100"/>
                <a:t>13 - &gt; 26.6</a:t>
              </a:r>
              <a:endParaRPr lang="en-US" sz="1100"/>
            </a:p>
          </xdr:txBody>
        </xdr:sp>
      </mc:Choice>
      <mc:Fallback>
        <xdr:sp>
          <xdr:nvSpPr>
            <xdr:cNvPr id="8" name="TextBox 7"/>
            <xdr:cNvSpPr txBox="1"/>
          </xdr:nvSpPr>
          <xdr:spPr>
            <a:xfrm>
              <a:off x="19519900" y="30640020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/>
                <a:t>13 - &gt; 26.6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17</xdr:col>
      <xdr:colOff>186583</xdr:colOff>
      <xdr:row>163</xdr:row>
      <xdr:rowOff>64943</xdr:rowOff>
    </xdr:from>
    <xdr:to>
      <xdr:col>18</xdr:col>
      <xdr:colOff>408214</xdr:colOff>
      <xdr:row>164</xdr:row>
      <xdr:rowOff>165230</xdr:rowOff>
    </xdr:to>
    <xdr:sp>
      <xdr:nvSpPr>
        <xdr:cNvPr id="9" name="Rectangle 8"/>
        <xdr:cNvSpPr/>
      </xdr:nvSpPr>
      <xdr:spPr>
        <a:xfrm>
          <a:off x="20204430" y="31173420"/>
          <a:ext cx="993140" cy="29083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30 Sedang</a:t>
          </a:r>
          <a:endParaRPr lang="en-US" sz="1100"/>
        </a:p>
        <a:p>
          <a:pPr algn="l"/>
          <a:endParaRPr lang="en-US" sz="1100" baseline="0"/>
        </a:p>
      </xdr:txBody>
    </xdr:sp>
    <xdr:clientData/>
  </xdr:twoCellAnchor>
  <xdr:twoCellAnchor>
    <xdr:from>
      <xdr:col>19</xdr:col>
      <xdr:colOff>220484</xdr:colOff>
      <xdr:row>162</xdr:row>
      <xdr:rowOff>7794</xdr:rowOff>
    </xdr:from>
    <xdr:to>
      <xdr:col>20</xdr:col>
      <xdr:colOff>95942</xdr:colOff>
      <xdr:row>163</xdr:row>
      <xdr:rowOff>160194</xdr:rowOff>
    </xdr:to>
    <xdr:sp>
      <xdr:nvSpPr>
        <xdr:cNvPr id="10" name="Rectangle 9"/>
        <xdr:cNvSpPr/>
      </xdr:nvSpPr>
      <xdr:spPr>
        <a:xfrm>
          <a:off x="21781770" y="30916245"/>
          <a:ext cx="1111885" cy="3524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28 Tinggi</a:t>
          </a:r>
          <a:endParaRPr lang="en-US" sz="1100"/>
        </a:p>
      </xdr:txBody>
    </xdr:sp>
    <xdr:clientData/>
  </xdr:twoCellAnchor>
  <xdr:oneCellAnchor>
    <xdr:from>
      <xdr:col>19</xdr:col>
      <xdr:colOff>268108</xdr:colOff>
      <xdr:row>159</xdr:row>
      <xdr:rowOff>104775</xdr:rowOff>
    </xdr:from>
    <xdr:ext cx="666750" cy="264560"/>
    <xdr:sp>
      <xdr:nvSpPr>
        <xdr:cNvPr id="11" name="TextBox 10"/>
        <xdr:cNvSpPr txBox="1"/>
      </xdr:nvSpPr>
      <xdr:spPr>
        <a:xfrm>
          <a:off x="21829395" y="30413325"/>
          <a:ext cx="666750" cy="2641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&gt;26.6</a:t>
          </a:r>
          <a:endParaRPr lang="en-US" sz="1100"/>
        </a:p>
      </xdr:txBody>
    </xdr:sp>
    <xdr:clientData/>
  </xdr:oneCellAnchor>
</xdr:wsDr>
</file>

<file path=xl/drawings/drawing1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16</xdr:col>
      <xdr:colOff>242252</xdr:colOff>
      <xdr:row>156</xdr:row>
      <xdr:rowOff>0</xdr:rowOff>
    </xdr:from>
    <xdr:to>
      <xdr:col>19</xdr:col>
      <xdr:colOff>287158</xdr:colOff>
      <xdr:row>160</xdr:row>
      <xdr:rowOff>7792</xdr:rowOff>
    </xdr:to>
    <xdr:sp>
      <xdr:nvSpPr>
        <xdr:cNvPr id="2" name="Oval 1"/>
        <xdr:cNvSpPr/>
      </xdr:nvSpPr>
      <xdr:spPr>
        <a:xfrm>
          <a:off x="19256375" y="29718000"/>
          <a:ext cx="2592070" cy="798195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JUMLAH</a:t>
          </a:r>
          <a:r>
            <a:rPr lang="en-US" sz="1100" baseline="0"/>
            <a:t> KASUS PER BULAN</a:t>
          </a:r>
          <a:endParaRPr lang="en-US" sz="1100"/>
        </a:p>
      </xdr:txBody>
    </xdr:sp>
    <xdr:clientData/>
  </xdr:twoCellAnchor>
  <xdr:twoCellAnchor>
    <xdr:from>
      <xdr:col>15</xdr:col>
      <xdr:colOff>535780</xdr:colOff>
      <xdr:row>159</xdr:row>
      <xdr:rowOff>85559</xdr:rowOff>
    </xdr:from>
    <xdr:to>
      <xdr:col>16</xdr:col>
      <xdr:colOff>481687</xdr:colOff>
      <xdr:row>162</xdr:row>
      <xdr:rowOff>11906</xdr:rowOff>
    </xdr:to>
    <xdr:cxnSp>
      <xdr:nvCxnSpPr>
        <xdr:cNvPr id="3" name="Straight Connector 2"/>
        <xdr:cNvCxnSpPr>
          <a:stCxn id="2" idx="3"/>
        </xdr:cNvCxnSpPr>
      </xdr:nvCxnSpPr>
      <xdr:spPr>
        <a:xfrm flipH="1">
          <a:off x="18448020" y="30393640"/>
          <a:ext cx="1047750" cy="52641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596158</xdr:colOff>
      <xdr:row>159</xdr:row>
      <xdr:rowOff>188768</xdr:rowOff>
    </xdr:from>
    <xdr:to>
      <xdr:col>18</xdr:col>
      <xdr:colOff>45938</xdr:colOff>
      <xdr:row>163</xdr:row>
      <xdr:rowOff>74469</xdr:rowOff>
    </xdr:to>
    <xdr:cxnSp>
      <xdr:nvCxnSpPr>
        <xdr:cNvPr id="4" name="Straight Connector 3"/>
        <xdr:cNvCxnSpPr/>
      </xdr:nvCxnSpPr>
      <xdr:spPr>
        <a:xfrm flipH="1">
          <a:off x="20614005" y="30497145"/>
          <a:ext cx="221615" cy="6858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43538</xdr:colOff>
      <xdr:row>159</xdr:row>
      <xdr:rowOff>85559</xdr:rowOff>
    </xdr:from>
    <xdr:to>
      <xdr:col>19</xdr:col>
      <xdr:colOff>611008</xdr:colOff>
      <xdr:row>162</xdr:row>
      <xdr:rowOff>7794</xdr:rowOff>
    </xdr:to>
    <xdr:cxnSp>
      <xdr:nvCxnSpPr>
        <xdr:cNvPr id="5" name="Straight Connector 4"/>
        <xdr:cNvCxnSpPr>
          <a:stCxn id="2" idx="5"/>
        </xdr:cNvCxnSpPr>
      </xdr:nvCxnSpPr>
      <xdr:spPr>
        <a:xfrm>
          <a:off x="21604605" y="30393640"/>
          <a:ext cx="567690" cy="52260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162</xdr:row>
      <xdr:rowOff>7793</xdr:rowOff>
    </xdr:from>
    <xdr:to>
      <xdr:col>16</xdr:col>
      <xdr:colOff>29158</xdr:colOff>
      <xdr:row>163</xdr:row>
      <xdr:rowOff>87475</xdr:rowOff>
    </xdr:to>
    <xdr:sp>
      <xdr:nvSpPr>
        <xdr:cNvPr id="6" name="Rectangle 5"/>
        <xdr:cNvSpPr/>
      </xdr:nvSpPr>
      <xdr:spPr>
        <a:xfrm>
          <a:off x="17912715" y="30916245"/>
          <a:ext cx="1130300" cy="2794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18 Rendah</a:t>
          </a:r>
          <a:endParaRPr lang="en-US" sz="1100" baseline="0"/>
        </a:p>
        <a:p>
          <a:pPr algn="l"/>
          <a:endParaRPr lang="en-US" sz="1100"/>
        </a:p>
        <a:p>
          <a:pPr algn="l"/>
          <a:endParaRPr lang="en-US" sz="1100"/>
        </a:p>
      </xdr:txBody>
    </xdr:sp>
    <xdr:clientData/>
  </xdr:twoCellAnchor>
  <xdr:oneCellAnchor>
    <xdr:from>
      <xdr:col>15</xdr:col>
      <xdr:colOff>428624</xdr:colOff>
      <xdr:row>159</xdr:row>
      <xdr:rowOff>148288</xdr:rowOff>
    </xdr:from>
    <xdr:ext cx="666750" cy="264560"/>
    <xdr:sp>
      <xdr:nvSpPr>
        <xdr:cNvPr id="7" name="TextBox 6"/>
        <xdr:cNvSpPr txBox="1"/>
      </xdr:nvSpPr>
      <xdr:spPr>
        <a:xfrm>
          <a:off x="18340705" y="30456505"/>
          <a:ext cx="666750" cy="2647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&lt;11</a:t>
          </a:r>
          <a:endParaRPr lang="en-US">
            <a:effectLst/>
          </a:endParaRPr>
        </a:p>
      </xdr:txBody>
    </xdr:sp>
    <xdr:clientData/>
  </xdr:oneCellAnchor>
  <xdr:oneCellAnchor>
    <xdr:from>
      <xdr:col>16</xdr:col>
      <xdr:colOff>505619</xdr:colOff>
      <xdr:row>160</xdr:row>
      <xdr:rowOff>131618</xdr:rowOff>
    </xdr:from>
    <xdr:ext cx="1162050" cy="264560"/>
    <mc:AlternateContent xmlns:mc="http://schemas.openxmlformats.org/markup-compatibility/2006">
      <mc:Choice xmlns:a14="http://schemas.microsoft.com/office/drawing/2010/main" Requires="a14">
        <xdr:sp>
          <xdr:nvSpPr>
            <xdr:cNvPr id="8" name="TextBox 7"/>
            <xdr:cNvSpPr txBox="1"/>
          </xdr:nvSpPr>
          <xdr:spPr>
            <a:xfrm>
              <a:off x="19519900" y="30640020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</m:oMath>
              </a14:m>
              <a:r>
                <a:rPr lang="en-US" sz="1100"/>
                <a:t>11 - &gt; 24</a:t>
              </a:r>
              <a:endParaRPr lang="en-US" sz="1100"/>
            </a:p>
          </xdr:txBody>
        </xdr:sp>
      </mc:Choice>
      <mc:Fallback>
        <xdr:sp>
          <xdr:nvSpPr>
            <xdr:cNvPr id="8" name="TextBox 7"/>
            <xdr:cNvSpPr txBox="1"/>
          </xdr:nvSpPr>
          <xdr:spPr>
            <a:xfrm>
              <a:off x="19519900" y="30640020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/>
                <a:t>11 - &gt; 24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17</xdr:col>
      <xdr:colOff>186584</xdr:colOff>
      <xdr:row>163</xdr:row>
      <xdr:rowOff>64943</xdr:rowOff>
    </xdr:from>
    <xdr:to>
      <xdr:col>18</xdr:col>
      <xdr:colOff>398496</xdr:colOff>
      <xdr:row>164</xdr:row>
      <xdr:rowOff>155510</xdr:rowOff>
    </xdr:to>
    <xdr:sp>
      <xdr:nvSpPr>
        <xdr:cNvPr id="9" name="Rectangle 8"/>
        <xdr:cNvSpPr/>
      </xdr:nvSpPr>
      <xdr:spPr>
        <a:xfrm>
          <a:off x="20204430" y="31173420"/>
          <a:ext cx="983615" cy="28067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65 Sedang</a:t>
          </a:r>
          <a:endParaRPr lang="en-US" sz="1100"/>
        </a:p>
        <a:p>
          <a:pPr algn="l"/>
          <a:endParaRPr lang="en-US" sz="1100" baseline="0"/>
        </a:p>
      </xdr:txBody>
    </xdr:sp>
    <xdr:clientData/>
  </xdr:twoCellAnchor>
  <xdr:twoCellAnchor>
    <xdr:from>
      <xdr:col>19</xdr:col>
      <xdr:colOff>220484</xdr:colOff>
      <xdr:row>162</xdr:row>
      <xdr:rowOff>7794</xdr:rowOff>
    </xdr:from>
    <xdr:to>
      <xdr:col>20</xdr:col>
      <xdr:colOff>95942</xdr:colOff>
      <xdr:row>163</xdr:row>
      <xdr:rowOff>160194</xdr:rowOff>
    </xdr:to>
    <xdr:sp>
      <xdr:nvSpPr>
        <xdr:cNvPr id="10" name="Rectangle 9"/>
        <xdr:cNvSpPr/>
      </xdr:nvSpPr>
      <xdr:spPr>
        <a:xfrm>
          <a:off x="21781770" y="30916245"/>
          <a:ext cx="1111885" cy="3524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26 Tinggi</a:t>
          </a:r>
          <a:endParaRPr lang="en-US" sz="1100"/>
        </a:p>
      </xdr:txBody>
    </xdr:sp>
    <xdr:clientData/>
  </xdr:twoCellAnchor>
  <xdr:oneCellAnchor>
    <xdr:from>
      <xdr:col>19</xdr:col>
      <xdr:colOff>268108</xdr:colOff>
      <xdr:row>159</xdr:row>
      <xdr:rowOff>104775</xdr:rowOff>
    </xdr:from>
    <xdr:ext cx="666750" cy="264560"/>
    <xdr:sp>
      <xdr:nvSpPr>
        <xdr:cNvPr id="11" name="TextBox 10"/>
        <xdr:cNvSpPr txBox="1"/>
      </xdr:nvSpPr>
      <xdr:spPr>
        <a:xfrm>
          <a:off x="21829395" y="30413325"/>
          <a:ext cx="666750" cy="2641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&gt;24</a:t>
          </a:r>
          <a:endParaRPr lang="en-US" sz="1100"/>
        </a:p>
      </xdr:txBody>
    </xdr:sp>
    <xdr:clientData/>
  </xdr:oneCellAnchor>
</xdr:wsDr>
</file>

<file path=xl/drawings/drawing1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16</xdr:col>
      <xdr:colOff>242252</xdr:colOff>
      <xdr:row>156</xdr:row>
      <xdr:rowOff>0</xdr:rowOff>
    </xdr:from>
    <xdr:to>
      <xdr:col>19</xdr:col>
      <xdr:colOff>287158</xdr:colOff>
      <xdr:row>160</xdr:row>
      <xdr:rowOff>7792</xdr:rowOff>
    </xdr:to>
    <xdr:sp>
      <xdr:nvSpPr>
        <xdr:cNvPr id="2" name="Oval 1"/>
        <xdr:cNvSpPr/>
      </xdr:nvSpPr>
      <xdr:spPr>
        <a:xfrm>
          <a:off x="19256375" y="29718000"/>
          <a:ext cx="2592070" cy="798195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JUMLAH</a:t>
          </a:r>
          <a:r>
            <a:rPr lang="en-US" sz="1100" baseline="0"/>
            <a:t> KASUS PER BULAN</a:t>
          </a:r>
          <a:endParaRPr lang="en-US" sz="1100"/>
        </a:p>
      </xdr:txBody>
    </xdr:sp>
    <xdr:clientData/>
  </xdr:twoCellAnchor>
  <xdr:twoCellAnchor>
    <xdr:from>
      <xdr:col>15</xdr:col>
      <xdr:colOff>535780</xdr:colOff>
      <xdr:row>159</xdr:row>
      <xdr:rowOff>85559</xdr:rowOff>
    </xdr:from>
    <xdr:to>
      <xdr:col>16</xdr:col>
      <xdr:colOff>481687</xdr:colOff>
      <xdr:row>162</xdr:row>
      <xdr:rowOff>11906</xdr:rowOff>
    </xdr:to>
    <xdr:cxnSp>
      <xdr:nvCxnSpPr>
        <xdr:cNvPr id="3" name="Straight Connector 2"/>
        <xdr:cNvCxnSpPr>
          <a:stCxn id="2" idx="3"/>
        </xdr:cNvCxnSpPr>
      </xdr:nvCxnSpPr>
      <xdr:spPr>
        <a:xfrm flipH="1">
          <a:off x="18448020" y="30393640"/>
          <a:ext cx="1047750" cy="52641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596158</xdr:colOff>
      <xdr:row>159</xdr:row>
      <xdr:rowOff>188768</xdr:rowOff>
    </xdr:from>
    <xdr:to>
      <xdr:col>18</xdr:col>
      <xdr:colOff>45938</xdr:colOff>
      <xdr:row>163</xdr:row>
      <xdr:rowOff>74469</xdr:rowOff>
    </xdr:to>
    <xdr:cxnSp>
      <xdr:nvCxnSpPr>
        <xdr:cNvPr id="4" name="Straight Connector 3"/>
        <xdr:cNvCxnSpPr/>
      </xdr:nvCxnSpPr>
      <xdr:spPr>
        <a:xfrm flipH="1">
          <a:off x="20614005" y="30497145"/>
          <a:ext cx="221615" cy="6858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43538</xdr:colOff>
      <xdr:row>159</xdr:row>
      <xdr:rowOff>85559</xdr:rowOff>
    </xdr:from>
    <xdr:to>
      <xdr:col>19</xdr:col>
      <xdr:colOff>611008</xdr:colOff>
      <xdr:row>162</xdr:row>
      <xdr:rowOff>7794</xdr:rowOff>
    </xdr:to>
    <xdr:cxnSp>
      <xdr:nvCxnSpPr>
        <xdr:cNvPr id="5" name="Straight Connector 4"/>
        <xdr:cNvCxnSpPr>
          <a:stCxn id="2" idx="5"/>
        </xdr:cNvCxnSpPr>
      </xdr:nvCxnSpPr>
      <xdr:spPr>
        <a:xfrm>
          <a:off x="21604605" y="30393640"/>
          <a:ext cx="567690" cy="52260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162</xdr:row>
      <xdr:rowOff>7794</xdr:rowOff>
    </xdr:from>
    <xdr:to>
      <xdr:col>15</xdr:col>
      <xdr:colOff>787271</xdr:colOff>
      <xdr:row>163</xdr:row>
      <xdr:rowOff>77757</xdr:rowOff>
    </xdr:to>
    <xdr:sp>
      <xdr:nvSpPr>
        <xdr:cNvPr id="6" name="Rectangle 5"/>
        <xdr:cNvSpPr/>
      </xdr:nvSpPr>
      <xdr:spPr>
        <a:xfrm>
          <a:off x="17912715" y="30916245"/>
          <a:ext cx="786765" cy="26987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26 Sedang</a:t>
          </a:r>
          <a:endParaRPr lang="en-US">
            <a:effectLst/>
          </a:endParaRPr>
        </a:p>
        <a:p>
          <a:pPr algn="l"/>
          <a:endParaRPr lang="en-US" sz="1100" baseline="0"/>
        </a:p>
        <a:p>
          <a:pPr algn="l"/>
          <a:endParaRPr lang="en-US" sz="1100"/>
        </a:p>
      </xdr:txBody>
    </xdr:sp>
    <xdr:clientData/>
  </xdr:twoCellAnchor>
  <xdr:oneCellAnchor>
    <xdr:from>
      <xdr:col>15</xdr:col>
      <xdr:colOff>428624</xdr:colOff>
      <xdr:row>159</xdr:row>
      <xdr:rowOff>148288</xdr:rowOff>
    </xdr:from>
    <xdr:ext cx="666750" cy="264560"/>
    <xdr:sp>
      <xdr:nvSpPr>
        <xdr:cNvPr id="7" name="TextBox 6"/>
        <xdr:cNvSpPr txBox="1"/>
      </xdr:nvSpPr>
      <xdr:spPr>
        <a:xfrm>
          <a:off x="18340705" y="30456505"/>
          <a:ext cx="666750" cy="2647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&lt;11</a:t>
          </a:r>
          <a:endParaRPr lang="en-US">
            <a:effectLst/>
          </a:endParaRPr>
        </a:p>
      </xdr:txBody>
    </xdr:sp>
    <xdr:clientData/>
  </xdr:oneCellAnchor>
  <xdr:oneCellAnchor>
    <xdr:from>
      <xdr:col>16</xdr:col>
      <xdr:colOff>505619</xdr:colOff>
      <xdr:row>160</xdr:row>
      <xdr:rowOff>131618</xdr:rowOff>
    </xdr:from>
    <xdr:ext cx="1162050" cy="264560"/>
    <mc:AlternateContent xmlns:mc="http://schemas.openxmlformats.org/markup-compatibility/2006">
      <mc:Choice xmlns:a14="http://schemas.microsoft.com/office/drawing/2010/main" Requires="a14">
        <xdr:sp>
          <xdr:nvSpPr>
            <xdr:cNvPr id="8" name="TextBox 7"/>
            <xdr:cNvSpPr txBox="1"/>
          </xdr:nvSpPr>
          <xdr:spPr>
            <a:xfrm>
              <a:off x="19519900" y="30640020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</m:oMath>
              </a14:m>
              <a:r>
                <a:rPr lang="en-US" sz="1100"/>
                <a:t>11 - &gt; 24</a:t>
              </a:r>
              <a:endParaRPr lang="en-US" sz="1100"/>
            </a:p>
          </xdr:txBody>
        </xdr:sp>
      </mc:Choice>
      <mc:Fallback>
        <xdr:sp>
          <xdr:nvSpPr>
            <xdr:cNvPr id="8" name="TextBox 7"/>
            <xdr:cNvSpPr txBox="1"/>
          </xdr:nvSpPr>
          <xdr:spPr>
            <a:xfrm>
              <a:off x="19519900" y="30640020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/>
                <a:t>11 - &gt; 24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17</xdr:col>
      <xdr:colOff>186583</xdr:colOff>
      <xdr:row>163</xdr:row>
      <xdr:rowOff>64944</xdr:rowOff>
    </xdr:from>
    <xdr:to>
      <xdr:col>18</xdr:col>
      <xdr:colOff>437372</xdr:colOff>
      <xdr:row>164</xdr:row>
      <xdr:rowOff>145792</xdr:rowOff>
    </xdr:to>
    <xdr:sp>
      <xdr:nvSpPr>
        <xdr:cNvPr id="9" name="Rectangle 8"/>
        <xdr:cNvSpPr/>
      </xdr:nvSpPr>
      <xdr:spPr>
        <a:xfrm>
          <a:off x="20204430" y="31173420"/>
          <a:ext cx="1022350" cy="27114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65 Sedang</a:t>
          </a:r>
          <a:endParaRPr lang="en-US" sz="1100"/>
        </a:p>
        <a:p>
          <a:pPr algn="l"/>
          <a:endParaRPr lang="en-US" sz="1100" baseline="0"/>
        </a:p>
      </xdr:txBody>
    </xdr:sp>
    <xdr:clientData/>
  </xdr:twoCellAnchor>
  <xdr:twoCellAnchor>
    <xdr:from>
      <xdr:col>19</xdr:col>
      <xdr:colOff>220484</xdr:colOff>
      <xdr:row>162</xdr:row>
      <xdr:rowOff>7794</xdr:rowOff>
    </xdr:from>
    <xdr:to>
      <xdr:col>20</xdr:col>
      <xdr:colOff>95942</xdr:colOff>
      <xdr:row>163</xdr:row>
      <xdr:rowOff>160194</xdr:rowOff>
    </xdr:to>
    <xdr:sp>
      <xdr:nvSpPr>
        <xdr:cNvPr id="10" name="Rectangle 9"/>
        <xdr:cNvSpPr/>
      </xdr:nvSpPr>
      <xdr:spPr>
        <a:xfrm>
          <a:off x="21781770" y="30916245"/>
          <a:ext cx="1111885" cy="3524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25 Tinggi</a:t>
          </a:r>
          <a:endParaRPr lang="en-US" sz="1100"/>
        </a:p>
      </xdr:txBody>
    </xdr:sp>
    <xdr:clientData/>
  </xdr:twoCellAnchor>
  <xdr:oneCellAnchor>
    <xdr:from>
      <xdr:col>19</xdr:col>
      <xdr:colOff>268108</xdr:colOff>
      <xdr:row>159</xdr:row>
      <xdr:rowOff>104775</xdr:rowOff>
    </xdr:from>
    <xdr:ext cx="666750" cy="264560"/>
    <xdr:sp>
      <xdr:nvSpPr>
        <xdr:cNvPr id="11" name="TextBox 10"/>
        <xdr:cNvSpPr txBox="1"/>
      </xdr:nvSpPr>
      <xdr:spPr>
        <a:xfrm>
          <a:off x="21829395" y="30413325"/>
          <a:ext cx="666750" cy="2641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&gt;24</a:t>
          </a:r>
          <a:endParaRPr lang="en-US" sz="1100"/>
        </a:p>
      </xdr:txBody>
    </xdr:sp>
    <xdr:clientData/>
  </xdr:oneCellAnchor>
</xdr:wsDr>
</file>

<file path=xl/drawings/drawing1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16</xdr:col>
      <xdr:colOff>242252</xdr:colOff>
      <xdr:row>155</xdr:row>
      <xdr:rowOff>165229</xdr:rowOff>
    </xdr:from>
    <xdr:to>
      <xdr:col>19</xdr:col>
      <xdr:colOff>287158</xdr:colOff>
      <xdr:row>159</xdr:row>
      <xdr:rowOff>182740</xdr:rowOff>
    </xdr:to>
    <xdr:sp>
      <xdr:nvSpPr>
        <xdr:cNvPr id="2" name="Oval 1"/>
        <xdr:cNvSpPr/>
      </xdr:nvSpPr>
      <xdr:spPr>
        <a:xfrm>
          <a:off x="19256375" y="29692600"/>
          <a:ext cx="2592070" cy="798195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JUMLAH</a:t>
          </a:r>
          <a:r>
            <a:rPr lang="en-US" sz="1100" baseline="0"/>
            <a:t> KASUS PER BULAN</a:t>
          </a:r>
          <a:endParaRPr lang="en-US" sz="1100"/>
        </a:p>
      </xdr:txBody>
    </xdr:sp>
    <xdr:clientData/>
  </xdr:twoCellAnchor>
  <xdr:twoCellAnchor>
    <xdr:from>
      <xdr:col>15</xdr:col>
      <xdr:colOff>535780</xdr:colOff>
      <xdr:row>159</xdr:row>
      <xdr:rowOff>56400</xdr:rowOff>
    </xdr:from>
    <xdr:to>
      <xdr:col>16</xdr:col>
      <xdr:colOff>481687</xdr:colOff>
      <xdr:row>161</xdr:row>
      <xdr:rowOff>186854</xdr:rowOff>
    </xdr:to>
    <xdr:cxnSp>
      <xdr:nvCxnSpPr>
        <xdr:cNvPr id="3" name="Straight Connector 2"/>
        <xdr:cNvCxnSpPr>
          <a:stCxn id="2" idx="3"/>
        </xdr:cNvCxnSpPr>
      </xdr:nvCxnSpPr>
      <xdr:spPr>
        <a:xfrm flipH="1">
          <a:off x="18448020" y="30364430"/>
          <a:ext cx="1047750" cy="53086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596158</xdr:colOff>
      <xdr:row>159</xdr:row>
      <xdr:rowOff>159609</xdr:rowOff>
    </xdr:from>
    <xdr:to>
      <xdr:col>18</xdr:col>
      <xdr:colOff>45938</xdr:colOff>
      <xdr:row>163</xdr:row>
      <xdr:rowOff>45310</xdr:rowOff>
    </xdr:to>
    <xdr:cxnSp>
      <xdr:nvCxnSpPr>
        <xdr:cNvPr id="4" name="Straight Connector 3"/>
        <xdr:cNvCxnSpPr/>
      </xdr:nvCxnSpPr>
      <xdr:spPr>
        <a:xfrm flipH="1">
          <a:off x="20614005" y="30467935"/>
          <a:ext cx="221615" cy="6858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43538</xdr:colOff>
      <xdr:row>159</xdr:row>
      <xdr:rowOff>56400</xdr:rowOff>
    </xdr:from>
    <xdr:to>
      <xdr:col>19</xdr:col>
      <xdr:colOff>611008</xdr:colOff>
      <xdr:row>161</xdr:row>
      <xdr:rowOff>182742</xdr:rowOff>
    </xdr:to>
    <xdr:cxnSp>
      <xdr:nvCxnSpPr>
        <xdr:cNvPr id="5" name="Straight Connector 4"/>
        <xdr:cNvCxnSpPr>
          <a:stCxn id="2" idx="5"/>
        </xdr:cNvCxnSpPr>
      </xdr:nvCxnSpPr>
      <xdr:spPr>
        <a:xfrm>
          <a:off x="21604605" y="30364430"/>
          <a:ext cx="567690" cy="52641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161</xdr:row>
      <xdr:rowOff>182742</xdr:rowOff>
    </xdr:from>
    <xdr:to>
      <xdr:col>16</xdr:col>
      <xdr:colOff>19438</xdr:colOff>
      <xdr:row>163</xdr:row>
      <xdr:rowOff>58318</xdr:rowOff>
    </xdr:to>
    <xdr:sp>
      <xdr:nvSpPr>
        <xdr:cNvPr id="6" name="Rectangle 5"/>
        <xdr:cNvSpPr/>
      </xdr:nvSpPr>
      <xdr:spPr>
        <a:xfrm>
          <a:off x="17912715" y="30890845"/>
          <a:ext cx="1120775" cy="27559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45 Sedang</a:t>
          </a:r>
          <a:endParaRPr lang="en-US">
            <a:effectLst/>
          </a:endParaRPr>
        </a:p>
        <a:p>
          <a:pPr algn="l"/>
          <a:endParaRPr lang="en-US" sz="1100" baseline="0"/>
        </a:p>
        <a:p>
          <a:pPr algn="l"/>
          <a:endParaRPr lang="en-US" sz="1100"/>
        </a:p>
      </xdr:txBody>
    </xdr:sp>
    <xdr:clientData/>
  </xdr:twoCellAnchor>
  <xdr:oneCellAnchor>
    <xdr:from>
      <xdr:col>15</xdr:col>
      <xdr:colOff>428624</xdr:colOff>
      <xdr:row>159</xdr:row>
      <xdr:rowOff>119129</xdr:rowOff>
    </xdr:from>
    <xdr:ext cx="666750" cy="264560"/>
    <xdr:sp>
      <xdr:nvSpPr>
        <xdr:cNvPr id="7" name="TextBox 6"/>
        <xdr:cNvSpPr txBox="1"/>
      </xdr:nvSpPr>
      <xdr:spPr>
        <a:xfrm>
          <a:off x="18340705" y="30427295"/>
          <a:ext cx="666750" cy="2647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&lt;13</a:t>
          </a:r>
          <a:endParaRPr lang="en-US">
            <a:effectLst/>
          </a:endParaRPr>
        </a:p>
      </xdr:txBody>
    </xdr:sp>
    <xdr:clientData/>
  </xdr:oneCellAnchor>
  <xdr:oneCellAnchor>
    <xdr:from>
      <xdr:col>16</xdr:col>
      <xdr:colOff>505619</xdr:colOff>
      <xdr:row>160</xdr:row>
      <xdr:rowOff>102459</xdr:rowOff>
    </xdr:from>
    <xdr:ext cx="1162050" cy="264560"/>
    <mc:AlternateContent xmlns:mc="http://schemas.openxmlformats.org/markup-compatibility/2006">
      <mc:Choice xmlns:a14="http://schemas.microsoft.com/office/drawing/2010/main" Requires="a14">
        <xdr:sp>
          <xdr:nvSpPr>
            <xdr:cNvPr id="8" name="TextBox 7"/>
            <xdr:cNvSpPr txBox="1"/>
          </xdr:nvSpPr>
          <xdr:spPr>
            <a:xfrm>
              <a:off x="19519900" y="30610810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</m:oMath>
              </a14:m>
              <a:r>
                <a:rPr lang="en-US" sz="1100"/>
                <a:t>13 - &gt; 27</a:t>
              </a:r>
              <a:endParaRPr lang="en-US" sz="1100"/>
            </a:p>
          </xdr:txBody>
        </xdr:sp>
      </mc:Choice>
      <mc:Fallback>
        <xdr:sp>
          <xdr:nvSpPr>
            <xdr:cNvPr id="8" name="TextBox 7"/>
            <xdr:cNvSpPr txBox="1"/>
          </xdr:nvSpPr>
          <xdr:spPr>
            <a:xfrm>
              <a:off x="19519900" y="30610810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/>
                <a:t>13 - &gt; 27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17</xdr:col>
      <xdr:colOff>186584</xdr:colOff>
      <xdr:row>163</xdr:row>
      <xdr:rowOff>35784</xdr:rowOff>
    </xdr:from>
    <xdr:to>
      <xdr:col>18</xdr:col>
      <xdr:colOff>388776</xdr:colOff>
      <xdr:row>164</xdr:row>
      <xdr:rowOff>87475</xdr:rowOff>
    </xdr:to>
    <xdr:sp>
      <xdr:nvSpPr>
        <xdr:cNvPr id="9" name="Rectangle 8"/>
        <xdr:cNvSpPr/>
      </xdr:nvSpPr>
      <xdr:spPr>
        <a:xfrm>
          <a:off x="20204430" y="31144210"/>
          <a:ext cx="974090" cy="24193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30 Sedang</a:t>
          </a:r>
          <a:endParaRPr lang="en-US" sz="1100"/>
        </a:p>
        <a:p>
          <a:pPr algn="l"/>
          <a:endParaRPr lang="en-US" sz="1100" baseline="0"/>
        </a:p>
      </xdr:txBody>
    </xdr:sp>
    <xdr:clientData/>
  </xdr:twoCellAnchor>
  <xdr:twoCellAnchor>
    <xdr:from>
      <xdr:col>19</xdr:col>
      <xdr:colOff>220484</xdr:colOff>
      <xdr:row>162</xdr:row>
      <xdr:rowOff>7795</xdr:rowOff>
    </xdr:from>
    <xdr:to>
      <xdr:col>20</xdr:col>
      <xdr:colOff>97194</xdr:colOff>
      <xdr:row>163</xdr:row>
      <xdr:rowOff>48598</xdr:rowOff>
    </xdr:to>
    <xdr:sp>
      <xdr:nvSpPr>
        <xdr:cNvPr id="10" name="Rectangle 9"/>
        <xdr:cNvSpPr/>
      </xdr:nvSpPr>
      <xdr:spPr>
        <a:xfrm>
          <a:off x="21781770" y="30916245"/>
          <a:ext cx="1113155" cy="24066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29 Tinggi</a:t>
          </a:r>
          <a:endParaRPr lang="en-US" sz="1100"/>
        </a:p>
      </xdr:txBody>
    </xdr:sp>
    <xdr:clientData/>
  </xdr:twoCellAnchor>
  <xdr:oneCellAnchor>
    <xdr:from>
      <xdr:col>19</xdr:col>
      <xdr:colOff>268108</xdr:colOff>
      <xdr:row>159</xdr:row>
      <xdr:rowOff>104775</xdr:rowOff>
    </xdr:from>
    <xdr:ext cx="666750" cy="264560"/>
    <xdr:sp>
      <xdr:nvSpPr>
        <xdr:cNvPr id="11" name="TextBox 10"/>
        <xdr:cNvSpPr txBox="1"/>
      </xdr:nvSpPr>
      <xdr:spPr>
        <a:xfrm>
          <a:off x="21829395" y="30413325"/>
          <a:ext cx="666750" cy="2641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&gt;27</a:t>
          </a:r>
          <a:endParaRPr lang="en-US" sz="1100"/>
        </a:p>
      </xdr:txBody>
    </xdr:sp>
    <xdr:clientData/>
  </xdr:oneCellAnchor>
</xdr:wsDr>
</file>

<file path=xl/drawings/drawing1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16</xdr:col>
      <xdr:colOff>242252</xdr:colOff>
      <xdr:row>156</xdr:row>
      <xdr:rowOff>0</xdr:rowOff>
    </xdr:from>
    <xdr:to>
      <xdr:col>19</xdr:col>
      <xdr:colOff>287158</xdr:colOff>
      <xdr:row>160</xdr:row>
      <xdr:rowOff>7792</xdr:rowOff>
    </xdr:to>
    <xdr:sp>
      <xdr:nvSpPr>
        <xdr:cNvPr id="2" name="Oval 1"/>
        <xdr:cNvSpPr/>
      </xdr:nvSpPr>
      <xdr:spPr>
        <a:xfrm>
          <a:off x="19256375" y="29718000"/>
          <a:ext cx="2592070" cy="798195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JUMLAH</a:t>
          </a:r>
          <a:r>
            <a:rPr lang="en-US" sz="1100" baseline="0"/>
            <a:t> KASUS PER BULAN</a:t>
          </a:r>
          <a:endParaRPr lang="en-US" sz="1100"/>
        </a:p>
      </xdr:txBody>
    </xdr:sp>
    <xdr:clientData/>
  </xdr:twoCellAnchor>
  <xdr:twoCellAnchor>
    <xdr:from>
      <xdr:col>15</xdr:col>
      <xdr:colOff>535780</xdr:colOff>
      <xdr:row>159</xdr:row>
      <xdr:rowOff>85559</xdr:rowOff>
    </xdr:from>
    <xdr:to>
      <xdr:col>16</xdr:col>
      <xdr:colOff>481687</xdr:colOff>
      <xdr:row>162</xdr:row>
      <xdr:rowOff>11906</xdr:rowOff>
    </xdr:to>
    <xdr:cxnSp>
      <xdr:nvCxnSpPr>
        <xdr:cNvPr id="3" name="Straight Connector 2"/>
        <xdr:cNvCxnSpPr>
          <a:stCxn id="2" idx="3"/>
        </xdr:cNvCxnSpPr>
      </xdr:nvCxnSpPr>
      <xdr:spPr>
        <a:xfrm flipH="1">
          <a:off x="18448020" y="30393640"/>
          <a:ext cx="1047750" cy="52641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596158</xdr:colOff>
      <xdr:row>159</xdr:row>
      <xdr:rowOff>188768</xdr:rowOff>
    </xdr:from>
    <xdr:to>
      <xdr:col>18</xdr:col>
      <xdr:colOff>45938</xdr:colOff>
      <xdr:row>163</xdr:row>
      <xdr:rowOff>74469</xdr:rowOff>
    </xdr:to>
    <xdr:cxnSp>
      <xdr:nvCxnSpPr>
        <xdr:cNvPr id="4" name="Straight Connector 3"/>
        <xdr:cNvCxnSpPr/>
      </xdr:nvCxnSpPr>
      <xdr:spPr>
        <a:xfrm flipH="1">
          <a:off x="20614005" y="30497145"/>
          <a:ext cx="221615" cy="6858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43538</xdr:colOff>
      <xdr:row>159</xdr:row>
      <xdr:rowOff>85559</xdr:rowOff>
    </xdr:from>
    <xdr:to>
      <xdr:col>19</xdr:col>
      <xdr:colOff>611008</xdr:colOff>
      <xdr:row>162</xdr:row>
      <xdr:rowOff>7794</xdr:rowOff>
    </xdr:to>
    <xdr:cxnSp>
      <xdr:nvCxnSpPr>
        <xdr:cNvPr id="5" name="Straight Connector 4"/>
        <xdr:cNvCxnSpPr>
          <a:stCxn id="2" idx="5"/>
        </xdr:cNvCxnSpPr>
      </xdr:nvCxnSpPr>
      <xdr:spPr>
        <a:xfrm>
          <a:off x="21604605" y="30393640"/>
          <a:ext cx="567690" cy="52260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</xdr:colOff>
      <xdr:row>162</xdr:row>
      <xdr:rowOff>7794</xdr:rowOff>
    </xdr:from>
    <xdr:to>
      <xdr:col>15</xdr:col>
      <xdr:colOff>806711</xdr:colOff>
      <xdr:row>163</xdr:row>
      <xdr:rowOff>97195</xdr:rowOff>
    </xdr:to>
    <xdr:sp>
      <xdr:nvSpPr>
        <xdr:cNvPr id="6" name="Rectangle 5"/>
        <xdr:cNvSpPr/>
      </xdr:nvSpPr>
      <xdr:spPr>
        <a:xfrm>
          <a:off x="17912715" y="30916245"/>
          <a:ext cx="806450" cy="28956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24 Sedang</a:t>
          </a:r>
          <a:endParaRPr lang="en-US">
            <a:effectLst/>
          </a:endParaRPr>
        </a:p>
        <a:p>
          <a:pPr algn="l"/>
          <a:endParaRPr lang="en-US" sz="1100"/>
        </a:p>
      </xdr:txBody>
    </xdr:sp>
    <xdr:clientData/>
  </xdr:twoCellAnchor>
  <xdr:oneCellAnchor>
    <xdr:from>
      <xdr:col>15</xdr:col>
      <xdr:colOff>428624</xdr:colOff>
      <xdr:row>159</xdr:row>
      <xdr:rowOff>148288</xdr:rowOff>
    </xdr:from>
    <xdr:ext cx="666750" cy="264560"/>
    <xdr:sp>
      <xdr:nvSpPr>
        <xdr:cNvPr id="7" name="TextBox 6"/>
        <xdr:cNvSpPr txBox="1"/>
      </xdr:nvSpPr>
      <xdr:spPr>
        <a:xfrm>
          <a:off x="18340705" y="30456505"/>
          <a:ext cx="666750" cy="2647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&lt;13</a:t>
          </a:r>
          <a:endParaRPr lang="en-US">
            <a:effectLst/>
          </a:endParaRPr>
        </a:p>
      </xdr:txBody>
    </xdr:sp>
    <xdr:clientData/>
  </xdr:oneCellAnchor>
  <xdr:oneCellAnchor>
    <xdr:from>
      <xdr:col>16</xdr:col>
      <xdr:colOff>505619</xdr:colOff>
      <xdr:row>160</xdr:row>
      <xdr:rowOff>131618</xdr:rowOff>
    </xdr:from>
    <xdr:ext cx="1162050" cy="264560"/>
    <mc:AlternateContent xmlns:mc="http://schemas.openxmlformats.org/markup-compatibility/2006">
      <mc:Choice xmlns:a14="http://schemas.microsoft.com/office/drawing/2010/main" Requires="a14">
        <xdr:sp>
          <xdr:nvSpPr>
            <xdr:cNvPr id="8" name="TextBox 7"/>
            <xdr:cNvSpPr txBox="1"/>
          </xdr:nvSpPr>
          <xdr:spPr>
            <a:xfrm>
              <a:off x="19519900" y="30640020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</m:oMath>
              </a14:m>
              <a:r>
                <a:rPr lang="en-US" sz="1100"/>
                <a:t>11 - &gt; 25</a:t>
              </a:r>
              <a:endParaRPr lang="en-US" sz="1100"/>
            </a:p>
          </xdr:txBody>
        </xdr:sp>
      </mc:Choice>
      <mc:Fallback>
        <xdr:sp>
          <xdr:nvSpPr>
            <xdr:cNvPr id="8" name="TextBox 7"/>
            <xdr:cNvSpPr txBox="1"/>
          </xdr:nvSpPr>
          <xdr:spPr>
            <a:xfrm>
              <a:off x="19519900" y="30640020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/>
                <a:t>11 - &gt; 25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17</xdr:col>
      <xdr:colOff>186583</xdr:colOff>
      <xdr:row>163</xdr:row>
      <xdr:rowOff>64943</xdr:rowOff>
    </xdr:from>
    <xdr:to>
      <xdr:col>18</xdr:col>
      <xdr:colOff>379056</xdr:colOff>
      <xdr:row>164</xdr:row>
      <xdr:rowOff>155510</xdr:rowOff>
    </xdr:to>
    <xdr:sp>
      <xdr:nvSpPr>
        <xdr:cNvPr id="9" name="Rectangle 8"/>
        <xdr:cNvSpPr/>
      </xdr:nvSpPr>
      <xdr:spPr>
        <a:xfrm>
          <a:off x="20204430" y="31173420"/>
          <a:ext cx="963930" cy="28067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59 Sedang</a:t>
          </a:r>
          <a:endParaRPr lang="en-US" sz="1100"/>
        </a:p>
        <a:p>
          <a:pPr algn="l"/>
          <a:endParaRPr lang="en-US" sz="1100" baseline="0"/>
        </a:p>
      </xdr:txBody>
    </xdr:sp>
    <xdr:clientData/>
  </xdr:twoCellAnchor>
  <xdr:twoCellAnchor>
    <xdr:from>
      <xdr:col>19</xdr:col>
      <xdr:colOff>220484</xdr:colOff>
      <xdr:row>162</xdr:row>
      <xdr:rowOff>7794</xdr:rowOff>
    </xdr:from>
    <xdr:to>
      <xdr:col>20</xdr:col>
      <xdr:colOff>95942</xdr:colOff>
      <xdr:row>163</xdr:row>
      <xdr:rowOff>160194</xdr:rowOff>
    </xdr:to>
    <xdr:sp>
      <xdr:nvSpPr>
        <xdr:cNvPr id="10" name="Rectangle 9"/>
        <xdr:cNvSpPr/>
      </xdr:nvSpPr>
      <xdr:spPr>
        <a:xfrm>
          <a:off x="21781770" y="30916245"/>
          <a:ext cx="1111885" cy="3524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29 Tinggi</a:t>
          </a:r>
          <a:endParaRPr lang="en-US" sz="1100"/>
        </a:p>
      </xdr:txBody>
    </xdr:sp>
    <xdr:clientData/>
  </xdr:twoCellAnchor>
  <xdr:oneCellAnchor>
    <xdr:from>
      <xdr:col>19</xdr:col>
      <xdr:colOff>268108</xdr:colOff>
      <xdr:row>159</xdr:row>
      <xdr:rowOff>104775</xdr:rowOff>
    </xdr:from>
    <xdr:ext cx="666750" cy="264560"/>
    <xdr:sp>
      <xdr:nvSpPr>
        <xdr:cNvPr id="11" name="TextBox 10"/>
        <xdr:cNvSpPr txBox="1"/>
      </xdr:nvSpPr>
      <xdr:spPr>
        <a:xfrm>
          <a:off x="21829395" y="30413325"/>
          <a:ext cx="666750" cy="2641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&gt;25</a:t>
          </a:r>
          <a:endParaRPr 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64"/>
  <sheetViews>
    <sheetView tabSelected="1" topLeftCell="B1" workbookViewId="0">
      <selection activeCell="B2" sqref="B2:F2"/>
    </sheetView>
  </sheetViews>
  <sheetFormatPr defaultColWidth="9" defaultRowHeight="15"/>
  <cols>
    <col min="1" max="1" width="20.7111111111111" customWidth="1"/>
    <col min="3" max="3" width="15.8518518518519" customWidth="1"/>
    <col min="4" max="4" width="21.5703703703704" customWidth="1"/>
    <col min="5" max="5" width="13.2814814814815" customWidth="1"/>
    <col min="6" max="6" width="16" customWidth="1"/>
    <col min="9" max="9" width="18.2814814814815" customWidth="1"/>
    <col min="10" max="10" width="23.8518518518519" customWidth="1"/>
    <col min="11" max="11" width="14.7111111111111" customWidth="1"/>
    <col min="12" max="12" width="16" customWidth="1"/>
  </cols>
  <sheetData>
    <row r="1" ht="16.5" spans="1:1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49" t="s">
        <v>5</v>
      </c>
      <c r="H1" s="48" t="s">
        <v>1</v>
      </c>
      <c r="I1" s="49" t="s">
        <v>2</v>
      </c>
      <c r="J1" s="49" t="s">
        <v>3</v>
      </c>
      <c r="K1" s="49" t="s">
        <v>4</v>
      </c>
      <c r="L1" s="49" t="s">
        <v>6</v>
      </c>
    </row>
    <row r="2" ht="16.5" spans="1:12">
      <c r="A2" s="53" t="s">
        <v>7</v>
      </c>
      <c r="B2" s="53">
        <v>34</v>
      </c>
      <c r="C2" s="53">
        <v>3</v>
      </c>
      <c r="D2" s="53">
        <v>12</v>
      </c>
      <c r="E2" s="53">
        <v>0</v>
      </c>
      <c r="F2" s="51">
        <v>2</v>
      </c>
      <c r="H2" s="50">
        <v>34</v>
      </c>
      <c r="I2" s="51">
        <v>3</v>
      </c>
      <c r="J2" s="51">
        <v>12</v>
      </c>
      <c r="K2" s="51">
        <v>0</v>
      </c>
      <c r="L2" s="51">
        <v>2</v>
      </c>
    </row>
    <row r="3" ht="16.5" spans="1:12">
      <c r="A3" s="53" t="s">
        <v>8</v>
      </c>
      <c r="B3" s="53">
        <v>43</v>
      </c>
      <c r="C3" s="53">
        <v>3</v>
      </c>
      <c r="D3" s="53">
        <v>12</v>
      </c>
      <c r="E3" s="53">
        <v>1</v>
      </c>
      <c r="F3" s="51">
        <v>2</v>
      </c>
      <c r="H3" s="50">
        <v>43</v>
      </c>
      <c r="I3" s="51">
        <v>3</v>
      </c>
      <c r="J3" s="51">
        <v>12</v>
      </c>
      <c r="K3" s="51">
        <v>1</v>
      </c>
      <c r="L3" s="51">
        <v>2</v>
      </c>
    </row>
    <row r="4" ht="16.5" spans="1:12">
      <c r="A4" s="53" t="s">
        <v>9</v>
      </c>
      <c r="B4" s="53">
        <v>23</v>
      </c>
      <c r="C4" s="53">
        <v>5</v>
      </c>
      <c r="D4" s="53">
        <v>12</v>
      </c>
      <c r="E4" s="53">
        <v>0</v>
      </c>
      <c r="F4" s="51">
        <v>2</v>
      </c>
      <c r="H4" s="50">
        <v>49</v>
      </c>
      <c r="I4" s="51">
        <v>4</v>
      </c>
      <c r="J4" s="51">
        <v>7</v>
      </c>
      <c r="K4" s="51">
        <v>1</v>
      </c>
      <c r="L4" s="51">
        <v>1</v>
      </c>
    </row>
    <row r="5" ht="16.5" spans="1:12">
      <c r="A5" s="53" t="s">
        <v>10</v>
      </c>
      <c r="B5" s="53">
        <v>18</v>
      </c>
      <c r="C5" s="53">
        <v>2</v>
      </c>
      <c r="D5" s="53">
        <v>12</v>
      </c>
      <c r="E5" s="53">
        <v>1</v>
      </c>
      <c r="F5" s="51">
        <v>2</v>
      </c>
      <c r="H5" s="50">
        <v>21</v>
      </c>
      <c r="I5" s="51">
        <v>2</v>
      </c>
      <c r="J5" s="51">
        <v>7</v>
      </c>
      <c r="K5" s="51">
        <v>0</v>
      </c>
      <c r="L5" s="51">
        <v>1</v>
      </c>
    </row>
    <row r="6" ht="16.5" spans="1:12">
      <c r="A6" s="53" t="s">
        <v>11</v>
      </c>
      <c r="B6" s="53">
        <v>14</v>
      </c>
      <c r="C6" s="53">
        <v>4</v>
      </c>
      <c r="D6" s="53">
        <v>12</v>
      </c>
      <c r="E6" s="53">
        <v>0</v>
      </c>
      <c r="F6" s="51">
        <v>2</v>
      </c>
      <c r="H6" s="50">
        <v>16</v>
      </c>
      <c r="I6" s="51">
        <v>2</v>
      </c>
      <c r="J6" s="51">
        <v>18</v>
      </c>
      <c r="K6" s="51">
        <v>1</v>
      </c>
      <c r="L6" s="51">
        <v>3</v>
      </c>
    </row>
    <row r="7" ht="16.5" spans="1:12">
      <c r="A7" s="53" t="s">
        <v>12</v>
      </c>
      <c r="B7" s="53">
        <v>12</v>
      </c>
      <c r="C7" s="53">
        <v>1</v>
      </c>
      <c r="D7" s="53">
        <v>12</v>
      </c>
      <c r="E7" s="53">
        <v>1</v>
      </c>
      <c r="F7" s="51">
        <v>2</v>
      </c>
      <c r="H7" s="50">
        <v>16</v>
      </c>
      <c r="I7" s="51">
        <v>2</v>
      </c>
      <c r="J7" s="51">
        <v>18</v>
      </c>
      <c r="K7" s="51">
        <v>1</v>
      </c>
      <c r="L7" s="51">
        <v>3</v>
      </c>
    </row>
    <row r="8" ht="16.5" spans="1:12">
      <c r="A8" s="53" t="s">
        <v>13</v>
      </c>
      <c r="B8" s="53">
        <v>4</v>
      </c>
      <c r="C8" s="53">
        <v>2</v>
      </c>
      <c r="D8" s="53">
        <v>12</v>
      </c>
      <c r="E8" s="53">
        <v>0</v>
      </c>
      <c r="F8" s="51">
        <v>2</v>
      </c>
      <c r="H8" s="50">
        <v>4</v>
      </c>
      <c r="I8" s="51">
        <v>2</v>
      </c>
      <c r="J8" s="51">
        <v>18</v>
      </c>
      <c r="K8" s="51">
        <v>1</v>
      </c>
      <c r="L8" s="51">
        <v>3</v>
      </c>
    </row>
    <row r="9" ht="16.5" spans="1:12">
      <c r="A9" s="53" t="s">
        <v>14</v>
      </c>
      <c r="B9" s="53">
        <v>16</v>
      </c>
      <c r="C9" s="53">
        <v>6</v>
      </c>
      <c r="D9" s="53">
        <v>12</v>
      </c>
      <c r="E9" s="53">
        <v>1</v>
      </c>
      <c r="F9" s="51">
        <v>2</v>
      </c>
      <c r="H9" s="50">
        <v>19</v>
      </c>
      <c r="I9" s="51">
        <v>6</v>
      </c>
      <c r="J9" s="51">
        <v>18</v>
      </c>
      <c r="K9" s="51">
        <v>0</v>
      </c>
      <c r="L9" s="51">
        <v>3</v>
      </c>
    </row>
    <row r="10" ht="16.5" spans="1:12">
      <c r="A10" s="53" t="s">
        <v>15</v>
      </c>
      <c r="B10" s="53">
        <v>18</v>
      </c>
      <c r="C10" s="53">
        <v>5</v>
      </c>
      <c r="D10" s="53">
        <v>12</v>
      </c>
      <c r="E10" s="53">
        <v>0</v>
      </c>
      <c r="F10" s="51">
        <v>2</v>
      </c>
      <c r="H10" s="50">
        <v>12</v>
      </c>
      <c r="I10" s="51">
        <v>3</v>
      </c>
      <c r="J10" s="51">
        <v>21</v>
      </c>
      <c r="K10" s="51">
        <v>1</v>
      </c>
      <c r="L10" s="51">
        <v>3</v>
      </c>
    </row>
    <row r="11" ht="16.5" spans="1:12">
      <c r="A11" s="53" t="s">
        <v>16</v>
      </c>
      <c r="B11" s="53">
        <v>24</v>
      </c>
      <c r="C11" s="53">
        <v>5</v>
      </c>
      <c r="D11" s="53">
        <v>12</v>
      </c>
      <c r="E11" s="53">
        <v>1</v>
      </c>
      <c r="F11" s="51">
        <v>2</v>
      </c>
      <c r="H11" s="50">
        <v>22</v>
      </c>
      <c r="I11" s="51">
        <v>3</v>
      </c>
      <c r="J11" s="51">
        <v>3</v>
      </c>
      <c r="K11" s="51">
        <v>1</v>
      </c>
      <c r="L11" s="51">
        <v>1</v>
      </c>
    </row>
    <row r="12" ht="16.5" spans="1:6">
      <c r="A12" s="53" t="s">
        <v>17</v>
      </c>
      <c r="B12" s="53">
        <v>23</v>
      </c>
      <c r="C12" s="53">
        <v>3</v>
      </c>
      <c r="D12" s="53">
        <v>12</v>
      </c>
      <c r="E12" s="53">
        <v>0</v>
      </c>
      <c r="F12" s="51">
        <v>2</v>
      </c>
    </row>
    <row r="13" ht="16.5" spans="1:6">
      <c r="A13" s="53" t="s">
        <v>18</v>
      </c>
      <c r="B13" s="53">
        <v>47</v>
      </c>
      <c r="C13" s="53">
        <v>2</v>
      </c>
      <c r="D13" s="53">
        <v>12</v>
      </c>
      <c r="E13" s="53">
        <v>0</v>
      </c>
      <c r="F13" s="51">
        <v>2</v>
      </c>
    </row>
    <row r="14" ht="16.5" spans="1:6">
      <c r="A14" s="53" t="s">
        <v>19</v>
      </c>
      <c r="B14" s="53">
        <v>49</v>
      </c>
      <c r="C14" s="53">
        <v>4</v>
      </c>
      <c r="D14" s="53">
        <v>7</v>
      </c>
      <c r="E14" s="53">
        <v>1</v>
      </c>
      <c r="F14" s="51">
        <v>1</v>
      </c>
    </row>
    <row r="15" ht="16.5" spans="1:6">
      <c r="A15" s="53" t="s">
        <v>20</v>
      </c>
      <c r="B15" s="53">
        <v>21</v>
      </c>
      <c r="C15" s="53">
        <v>2</v>
      </c>
      <c r="D15" s="53">
        <v>7</v>
      </c>
      <c r="E15" s="53">
        <v>0</v>
      </c>
      <c r="F15" s="51">
        <v>1</v>
      </c>
    </row>
    <row r="16" ht="16.5" spans="1:6">
      <c r="A16" s="53" t="s">
        <v>21</v>
      </c>
      <c r="B16" s="53">
        <v>66</v>
      </c>
      <c r="C16" s="53">
        <v>5</v>
      </c>
      <c r="D16" s="53">
        <v>7</v>
      </c>
      <c r="E16" s="53">
        <v>1</v>
      </c>
      <c r="F16" s="51">
        <v>1</v>
      </c>
    </row>
    <row r="17" ht="16.5" spans="1:6">
      <c r="A17" s="53" t="s">
        <v>22</v>
      </c>
      <c r="B17" s="53">
        <v>2</v>
      </c>
      <c r="C17" s="53">
        <v>3</v>
      </c>
      <c r="D17" s="53">
        <v>7</v>
      </c>
      <c r="E17" s="53">
        <v>0</v>
      </c>
      <c r="F17" s="51">
        <v>1</v>
      </c>
    </row>
    <row r="18" ht="16.5" spans="1:6">
      <c r="A18" s="53" t="s">
        <v>23</v>
      </c>
      <c r="B18" s="53">
        <v>49</v>
      </c>
      <c r="C18" s="53">
        <v>4</v>
      </c>
      <c r="D18" s="53">
        <v>7</v>
      </c>
      <c r="E18" s="53">
        <v>1</v>
      </c>
      <c r="F18" s="51">
        <v>1</v>
      </c>
    </row>
    <row r="19" ht="16.5" spans="1:6">
      <c r="A19" s="53" t="s">
        <v>24</v>
      </c>
      <c r="B19" s="53">
        <v>8</v>
      </c>
      <c r="C19" s="53">
        <v>4</v>
      </c>
      <c r="D19" s="53">
        <v>7</v>
      </c>
      <c r="E19" s="53">
        <v>0</v>
      </c>
      <c r="F19" s="51">
        <v>1</v>
      </c>
    </row>
    <row r="20" ht="16.5" spans="1:6">
      <c r="A20" s="53" t="s">
        <v>25</v>
      </c>
      <c r="B20" s="53">
        <v>15</v>
      </c>
      <c r="C20" s="53">
        <v>5</v>
      </c>
      <c r="D20" s="53">
        <v>7</v>
      </c>
      <c r="E20" s="53">
        <v>0</v>
      </c>
      <c r="F20" s="51">
        <v>1</v>
      </c>
    </row>
    <row r="21" ht="16.5" spans="1:6">
      <c r="A21" s="53" t="s">
        <v>26</v>
      </c>
      <c r="B21" s="53">
        <v>10</v>
      </c>
      <c r="C21" s="53">
        <v>5</v>
      </c>
      <c r="D21" s="53">
        <v>14</v>
      </c>
      <c r="E21" s="53">
        <v>1</v>
      </c>
      <c r="F21" s="51">
        <v>2</v>
      </c>
    </row>
    <row r="22" ht="16.5" spans="1:6">
      <c r="A22" s="53" t="s">
        <v>27</v>
      </c>
      <c r="B22" s="53">
        <v>6</v>
      </c>
      <c r="C22" s="53">
        <v>3</v>
      </c>
      <c r="D22" s="53">
        <v>14</v>
      </c>
      <c r="E22" s="53">
        <v>0</v>
      </c>
      <c r="F22" s="51">
        <v>2</v>
      </c>
    </row>
    <row r="23" ht="16.5" spans="1:6">
      <c r="A23" s="53" t="s">
        <v>28</v>
      </c>
      <c r="B23" s="53">
        <v>28</v>
      </c>
      <c r="C23" s="53">
        <v>4</v>
      </c>
      <c r="D23" s="53">
        <v>14</v>
      </c>
      <c r="E23" s="53">
        <v>1</v>
      </c>
      <c r="F23" s="51">
        <v>2</v>
      </c>
    </row>
    <row r="24" ht="16.5" spans="1:6">
      <c r="A24" s="53" t="s">
        <v>29</v>
      </c>
      <c r="B24" s="53">
        <v>60</v>
      </c>
      <c r="C24" s="53">
        <v>4</v>
      </c>
      <c r="D24" s="53">
        <v>14</v>
      </c>
      <c r="E24" s="53">
        <v>0</v>
      </c>
      <c r="F24" s="51">
        <v>2</v>
      </c>
    </row>
    <row r="25" ht="16.5" spans="1:6">
      <c r="A25" s="53" t="s">
        <v>30</v>
      </c>
      <c r="B25" s="53">
        <v>81</v>
      </c>
      <c r="C25" s="53">
        <v>5</v>
      </c>
      <c r="D25" s="53">
        <v>14</v>
      </c>
      <c r="E25" s="53">
        <v>0</v>
      </c>
      <c r="F25" s="51">
        <v>2</v>
      </c>
    </row>
    <row r="26" ht="16.5" spans="1:6">
      <c r="A26" s="53" t="s">
        <v>31</v>
      </c>
      <c r="B26" s="53">
        <v>75</v>
      </c>
      <c r="C26" s="53">
        <v>4</v>
      </c>
      <c r="D26" s="53">
        <v>14</v>
      </c>
      <c r="E26" s="53">
        <v>1</v>
      </c>
      <c r="F26" s="51">
        <v>2</v>
      </c>
    </row>
    <row r="27" ht="16.5" spans="1:6">
      <c r="A27" s="53" t="s">
        <v>32</v>
      </c>
      <c r="B27" s="53">
        <v>37</v>
      </c>
      <c r="C27" s="53">
        <v>4</v>
      </c>
      <c r="D27" s="53">
        <v>14</v>
      </c>
      <c r="E27" s="53">
        <v>1</v>
      </c>
      <c r="F27" s="51">
        <v>2</v>
      </c>
    </row>
    <row r="28" ht="16.5" spans="1:6">
      <c r="A28" s="53" t="s">
        <v>33</v>
      </c>
      <c r="B28" s="53">
        <v>22</v>
      </c>
      <c r="C28" s="53">
        <v>2</v>
      </c>
      <c r="D28" s="53">
        <v>14</v>
      </c>
      <c r="E28" s="53">
        <v>1</v>
      </c>
      <c r="F28" s="51">
        <v>2</v>
      </c>
    </row>
    <row r="29" ht="16.5" spans="1:6">
      <c r="A29" s="53" t="s">
        <v>34</v>
      </c>
      <c r="B29" s="53">
        <v>19</v>
      </c>
      <c r="C29" s="53">
        <v>2</v>
      </c>
      <c r="D29" s="53">
        <v>14</v>
      </c>
      <c r="E29" s="53">
        <v>1</v>
      </c>
      <c r="F29" s="51">
        <v>2</v>
      </c>
    </row>
    <row r="30" ht="16.5" spans="1:6">
      <c r="A30" s="53" t="s">
        <v>35</v>
      </c>
      <c r="B30" s="53" t="s">
        <v>36</v>
      </c>
      <c r="C30" s="53">
        <v>2</v>
      </c>
      <c r="D30" s="53">
        <v>14</v>
      </c>
      <c r="E30" s="53">
        <v>1</v>
      </c>
      <c r="F30" s="51">
        <v>2</v>
      </c>
    </row>
    <row r="31" ht="16.5" spans="1:6">
      <c r="A31" s="53" t="s">
        <v>37</v>
      </c>
      <c r="B31" s="53">
        <v>64</v>
      </c>
      <c r="C31" s="53">
        <v>4</v>
      </c>
      <c r="D31" s="53">
        <v>14</v>
      </c>
      <c r="E31" s="53">
        <v>1</v>
      </c>
      <c r="F31" s="51">
        <v>2</v>
      </c>
    </row>
    <row r="32" ht="16.5" spans="1:6">
      <c r="A32" s="53" t="s">
        <v>38</v>
      </c>
      <c r="B32" s="53">
        <v>54</v>
      </c>
      <c r="C32" s="53">
        <v>4</v>
      </c>
      <c r="D32" s="53">
        <v>14</v>
      </c>
      <c r="E32" s="53">
        <v>0</v>
      </c>
      <c r="F32" s="51">
        <v>2</v>
      </c>
    </row>
    <row r="33" ht="16.5" spans="1:6">
      <c r="A33" s="53" t="s">
        <v>39</v>
      </c>
      <c r="B33" s="53">
        <v>19</v>
      </c>
      <c r="C33" s="53">
        <v>4</v>
      </c>
      <c r="D33" s="53">
        <v>14</v>
      </c>
      <c r="E33" s="53">
        <v>1</v>
      </c>
      <c r="F33" s="51">
        <v>2</v>
      </c>
    </row>
    <row r="34" ht="16.5" spans="1:6">
      <c r="A34" s="53" t="s">
        <v>40</v>
      </c>
      <c r="B34" s="53">
        <v>55</v>
      </c>
      <c r="C34" s="53">
        <v>3</v>
      </c>
      <c r="D34" s="53">
        <v>14</v>
      </c>
      <c r="E34" s="53">
        <v>0</v>
      </c>
      <c r="F34" s="51">
        <v>2</v>
      </c>
    </row>
    <row r="35" ht="16.5" spans="1:6">
      <c r="A35" s="53" t="s">
        <v>41</v>
      </c>
      <c r="B35" s="53">
        <v>40</v>
      </c>
      <c r="C35" s="53">
        <v>3</v>
      </c>
      <c r="D35" s="53">
        <v>4</v>
      </c>
      <c r="E35" s="53">
        <v>1</v>
      </c>
      <c r="F35" s="51">
        <v>1</v>
      </c>
    </row>
    <row r="36" ht="16.5" spans="1:6">
      <c r="A36" s="53" t="s">
        <v>42</v>
      </c>
      <c r="B36" s="53">
        <v>27</v>
      </c>
      <c r="C36" s="53">
        <v>1</v>
      </c>
      <c r="D36" s="53">
        <v>4</v>
      </c>
      <c r="E36" s="53">
        <v>1</v>
      </c>
      <c r="F36" s="51">
        <v>1</v>
      </c>
    </row>
    <row r="37" ht="16.5" spans="1:6">
      <c r="A37" s="53" t="s">
        <v>43</v>
      </c>
      <c r="B37" s="53">
        <v>28</v>
      </c>
      <c r="C37" s="53">
        <v>4</v>
      </c>
      <c r="D37" s="53">
        <v>4</v>
      </c>
      <c r="E37" s="53">
        <v>1</v>
      </c>
      <c r="F37" s="51">
        <v>1</v>
      </c>
    </row>
    <row r="38" ht="16.5" spans="1:6">
      <c r="A38" s="53" t="s">
        <v>44</v>
      </c>
      <c r="B38" s="53">
        <v>52</v>
      </c>
      <c r="C38" s="53">
        <v>3</v>
      </c>
      <c r="D38" s="53">
        <v>4</v>
      </c>
      <c r="E38" s="53">
        <v>1</v>
      </c>
      <c r="F38" s="51">
        <v>1</v>
      </c>
    </row>
    <row r="39" ht="16.5" spans="1:6">
      <c r="A39" s="53" t="s">
        <v>45</v>
      </c>
      <c r="B39" s="53">
        <v>12</v>
      </c>
      <c r="C39" s="53">
        <v>5</v>
      </c>
      <c r="D39" s="53">
        <v>13</v>
      </c>
      <c r="E39" s="53">
        <v>1</v>
      </c>
      <c r="F39" s="51">
        <v>2</v>
      </c>
    </row>
    <row r="40" ht="16.5" spans="1:6">
      <c r="A40" s="53" t="s">
        <v>46</v>
      </c>
      <c r="B40" s="53">
        <v>65</v>
      </c>
      <c r="C40" s="53">
        <v>3</v>
      </c>
      <c r="D40" s="53">
        <v>13</v>
      </c>
      <c r="E40" s="53">
        <v>1</v>
      </c>
      <c r="F40" s="51">
        <v>2</v>
      </c>
    </row>
    <row r="41" ht="16.5" spans="1:6">
      <c r="A41" s="53" t="s">
        <v>47</v>
      </c>
      <c r="B41" s="53">
        <v>8</v>
      </c>
      <c r="C41" s="53">
        <v>4</v>
      </c>
      <c r="D41" s="53">
        <v>13</v>
      </c>
      <c r="E41" s="53">
        <v>0</v>
      </c>
      <c r="F41" s="51">
        <v>2</v>
      </c>
    </row>
    <row r="42" ht="16.5" spans="1:6">
      <c r="A42" s="53" t="s">
        <v>48</v>
      </c>
      <c r="B42" s="53">
        <v>21</v>
      </c>
      <c r="C42" s="53">
        <v>5</v>
      </c>
      <c r="D42" s="53">
        <v>13</v>
      </c>
      <c r="E42" s="53">
        <v>1</v>
      </c>
      <c r="F42" s="51">
        <v>2</v>
      </c>
    </row>
    <row r="43" ht="16.5" spans="1:6">
      <c r="A43" s="53" t="s">
        <v>49</v>
      </c>
      <c r="B43" s="53">
        <v>15</v>
      </c>
      <c r="C43" s="53">
        <v>4</v>
      </c>
      <c r="D43" s="53">
        <v>13</v>
      </c>
      <c r="E43" s="53">
        <v>0</v>
      </c>
      <c r="F43" s="51">
        <v>2</v>
      </c>
    </row>
    <row r="44" ht="16.5" spans="1:6">
      <c r="A44" s="53" t="s">
        <v>50</v>
      </c>
      <c r="B44" s="53">
        <v>28</v>
      </c>
      <c r="C44" s="53">
        <v>5</v>
      </c>
      <c r="D44" s="53">
        <v>13</v>
      </c>
      <c r="E44" s="53">
        <v>1</v>
      </c>
      <c r="F44" s="51">
        <v>2</v>
      </c>
    </row>
    <row r="45" ht="16.5" spans="1:6">
      <c r="A45" s="53" t="s">
        <v>51</v>
      </c>
      <c r="B45" s="53">
        <v>75</v>
      </c>
      <c r="C45" s="53">
        <v>3</v>
      </c>
      <c r="D45" s="53">
        <v>13</v>
      </c>
      <c r="E45" s="53">
        <v>1</v>
      </c>
      <c r="F45" s="51">
        <v>2</v>
      </c>
    </row>
    <row r="46" ht="16.5" spans="1:6">
      <c r="A46" s="53" t="s">
        <v>52</v>
      </c>
      <c r="B46" s="53">
        <v>62</v>
      </c>
      <c r="C46" s="53">
        <v>2</v>
      </c>
      <c r="D46" s="53">
        <v>13</v>
      </c>
      <c r="E46" s="53">
        <v>0</v>
      </c>
      <c r="F46" s="51">
        <v>2</v>
      </c>
    </row>
    <row r="47" ht="16.5" spans="1:6">
      <c r="A47" s="53" t="s">
        <v>53</v>
      </c>
      <c r="B47" s="53">
        <v>19</v>
      </c>
      <c r="C47" s="53">
        <v>2</v>
      </c>
      <c r="D47" s="53">
        <v>13</v>
      </c>
      <c r="E47" s="53">
        <v>0</v>
      </c>
      <c r="F47" s="51">
        <v>2</v>
      </c>
    </row>
    <row r="48" ht="16.5" spans="1:6">
      <c r="A48" s="53" t="s">
        <v>54</v>
      </c>
      <c r="B48" s="53">
        <v>50</v>
      </c>
      <c r="C48" s="53">
        <v>5</v>
      </c>
      <c r="D48" s="53">
        <v>13</v>
      </c>
      <c r="E48" s="53">
        <v>1</v>
      </c>
      <c r="F48" s="51">
        <v>2</v>
      </c>
    </row>
    <row r="49" ht="16.5" spans="1:6">
      <c r="A49" s="53" t="s">
        <v>55</v>
      </c>
      <c r="B49" s="53">
        <v>64</v>
      </c>
      <c r="C49" s="53">
        <v>5</v>
      </c>
      <c r="D49" s="53">
        <v>13</v>
      </c>
      <c r="E49" s="53">
        <v>0</v>
      </c>
      <c r="F49" s="51">
        <v>2</v>
      </c>
    </row>
    <row r="50" ht="16.5" spans="1:6">
      <c r="A50" s="53" t="s">
        <v>56</v>
      </c>
      <c r="B50" s="53">
        <v>19</v>
      </c>
      <c r="C50" s="53">
        <v>5</v>
      </c>
      <c r="D50" s="53">
        <v>13</v>
      </c>
      <c r="E50" s="53">
        <v>0</v>
      </c>
      <c r="F50" s="51">
        <v>2</v>
      </c>
    </row>
    <row r="51" ht="16.5" spans="1:6">
      <c r="A51" s="53" t="s">
        <v>57</v>
      </c>
      <c r="B51" s="53">
        <v>48</v>
      </c>
      <c r="C51" s="53">
        <v>4</v>
      </c>
      <c r="D51" s="53">
        <v>13</v>
      </c>
      <c r="E51" s="53">
        <v>0</v>
      </c>
      <c r="F51" s="51">
        <v>2</v>
      </c>
    </row>
    <row r="52" ht="16.5" spans="1:6">
      <c r="A52" s="53" t="s">
        <v>58</v>
      </c>
      <c r="B52" s="53">
        <v>59</v>
      </c>
      <c r="C52" s="53">
        <v>4</v>
      </c>
      <c r="D52" s="53">
        <v>15</v>
      </c>
      <c r="E52" s="53">
        <v>1</v>
      </c>
      <c r="F52" s="51">
        <v>2</v>
      </c>
    </row>
    <row r="53" ht="16.5" spans="1:6">
      <c r="A53" s="53" t="s">
        <v>59</v>
      </c>
      <c r="B53" s="53">
        <v>35</v>
      </c>
      <c r="C53" s="53">
        <v>4</v>
      </c>
      <c r="D53" s="53">
        <v>15</v>
      </c>
      <c r="E53" s="53">
        <v>1</v>
      </c>
      <c r="F53" s="51">
        <v>2</v>
      </c>
    </row>
    <row r="54" ht="16.5" spans="1:6">
      <c r="A54" s="53" t="s">
        <v>60</v>
      </c>
      <c r="B54" s="53">
        <v>7</v>
      </c>
      <c r="C54" s="53">
        <v>3</v>
      </c>
      <c r="D54" s="53">
        <v>15</v>
      </c>
      <c r="E54" s="53">
        <v>0</v>
      </c>
      <c r="F54" s="51">
        <v>2</v>
      </c>
    </row>
    <row r="55" ht="16.5" spans="1:6">
      <c r="A55" s="53" t="s">
        <v>61</v>
      </c>
      <c r="B55" s="53">
        <v>7</v>
      </c>
      <c r="C55" s="53">
        <v>4</v>
      </c>
      <c r="D55" s="53">
        <v>15</v>
      </c>
      <c r="E55" s="53">
        <v>1</v>
      </c>
      <c r="F55" s="51">
        <v>2</v>
      </c>
    </row>
    <row r="56" ht="16.5" spans="1:6">
      <c r="A56" s="53" t="s">
        <v>62</v>
      </c>
      <c r="B56" s="53">
        <v>4</v>
      </c>
      <c r="C56" s="53">
        <v>3</v>
      </c>
      <c r="D56" s="53">
        <v>15</v>
      </c>
      <c r="E56" s="53">
        <v>0</v>
      </c>
      <c r="F56" s="51">
        <v>2</v>
      </c>
    </row>
    <row r="57" ht="16.5" spans="1:6">
      <c r="A57" s="53" t="s">
        <v>63</v>
      </c>
      <c r="B57" s="53">
        <v>2</v>
      </c>
      <c r="C57" s="53">
        <v>2</v>
      </c>
      <c r="D57" s="53">
        <v>15</v>
      </c>
      <c r="E57" s="53">
        <v>1</v>
      </c>
      <c r="F57" s="51">
        <v>2</v>
      </c>
    </row>
    <row r="58" ht="16.5" spans="1:6">
      <c r="A58" s="53" t="s">
        <v>64</v>
      </c>
      <c r="B58" s="53">
        <v>17</v>
      </c>
      <c r="C58" s="53">
        <v>3</v>
      </c>
      <c r="D58" s="53">
        <v>15</v>
      </c>
      <c r="E58" s="53">
        <v>0</v>
      </c>
      <c r="F58" s="51">
        <v>2</v>
      </c>
    </row>
    <row r="59" ht="16.5" spans="1:6">
      <c r="A59" s="53" t="s">
        <v>65</v>
      </c>
      <c r="B59" s="53">
        <v>28</v>
      </c>
      <c r="C59" s="53">
        <v>4</v>
      </c>
      <c r="D59" s="53">
        <v>15</v>
      </c>
      <c r="E59" s="53">
        <v>0</v>
      </c>
      <c r="F59" s="51">
        <v>2</v>
      </c>
    </row>
    <row r="60" ht="16.5" spans="1:6">
      <c r="A60" s="53" t="s">
        <v>66</v>
      </c>
      <c r="B60" s="53">
        <v>68</v>
      </c>
      <c r="C60" s="53">
        <v>4</v>
      </c>
      <c r="D60" s="53">
        <v>15</v>
      </c>
      <c r="E60" s="53">
        <v>0</v>
      </c>
      <c r="F60" s="51">
        <v>2</v>
      </c>
    </row>
    <row r="61" ht="16.5" spans="1:6">
      <c r="A61" s="53" t="s">
        <v>67</v>
      </c>
      <c r="B61" s="53">
        <v>29</v>
      </c>
      <c r="C61" s="53">
        <v>3</v>
      </c>
      <c r="D61" s="53">
        <v>15</v>
      </c>
      <c r="E61" s="53">
        <v>1</v>
      </c>
      <c r="F61" s="51">
        <v>2</v>
      </c>
    </row>
    <row r="62" ht="16.5" spans="1:6">
      <c r="A62" s="53" t="s">
        <v>68</v>
      </c>
      <c r="B62" s="53">
        <v>43</v>
      </c>
      <c r="C62" s="53">
        <v>4</v>
      </c>
      <c r="D62" s="53">
        <v>15</v>
      </c>
      <c r="E62" s="53">
        <v>1</v>
      </c>
      <c r="F62" s="51">
        <v>2</v>
      </c>
    </row>
    <row r="63" ht="16.5" spans="1:6">
      <c r="A63" s="53" t="s">
        <v>69</v>
      </c>
      <c r="B63" s="53">
        <v>25</v>
      </c>
      <c r="C63" s="53">
        <v>3</v>
      </c>
      <c r="D63" s="53">
        <v>15</v>
      </c>
      <c r="E63" s="53">
        <v>0</v>
      </c>
      <c r="F63" s="51">
        <v>2</v>
      </c>
    </row>
    <row r="64" ht="16.5" spans="1:6">
      <c r="A64" s="53" t="s">
        <v>70</v>
      </c>
      <c r="B64" s="53">
        <v>35</v>
      </c>
      <c r="C64" s="53">
        <v>1</v>
      </c>
      <c r="D64" s="53">
        <v>15</v>
      </c>
      <c r="E64" s="53">
        <v>0</v>
      </c>
      <c r="F64" s="51">
        <v>2</v>
      </c>
    </row>
    <row r="65" ht="16.5" spans="1:6">
      <c r="A65" s="53" t="s">
        <v>71</v>
      </c>
      <c r="B65" s="53">
        <v>49</v>
      </c>
      <c r="C65" s="53">
        <v>3</v>
      </c>
      <c r="D65" s="53">
        <v>15</v>
      </c>
      <c r="E65" s="53">
        <v>0</v>
      </c>
      <c r="F65" s="51">
        <v>2</v>
      </c>
    </row>
    <row r="66" ht="16.5" spans="1:6">
      <c r="A66" s="53" t="s">
        <v>72</v>
      </c>
      <c r="B66" s="53">
        <v>21</v>
      </c>
      <c r="C66" s="53">
        <v>5</v>
      </c>
      <c r="D66" s="53">
        <v>15</v>
      </c>
      <c r="E66" s="53">
        <v>1</v>
      </c>
      <c r="F66" s="51">
        <v>2</v>
      </c>
    </row>
    <row r="67" ht="16.5" spans="1:6">
      <c r="A67" s="53" t="s">
        <v>73</v>
      </c>
      <c r="B67" s="53">
        <v>21</v>
      </c>
      <c r="C67" s="53">
        <v>3</v>
      </c>
      <c r="D67" s="53">
        <v>10</v>
      </c>
      <c r="E67" s="53">
        <v>1</v>
      </c>
      <c r="F67" s="51">
        <v>2</v>
      </c>
    </row>
    <row r="68" ht="16.5" spans="1:6">
      <c r="A68" s="53" t="s">
        <v>74</v>
      </c>
      <c r="B68" s="53">
        <v>44</v>
      </c>
      <c r="C68" s="53">
        <v>5</v>
      </c>
      <c r="D68" s="53">
        <v>10</v>
      </c>
      <c r="E68" s="53">
        <v>0</v>
      </c>
      <c r="F68" s="51">
        <v>2</v>
      </c>
    </row>
    <row r="69" ht="16.5" spans="1:6">
      <c r="A69" s="53" t="s">
        <v>75</v>
      </c>
      <c r="B69" s="53">
        <v>24</v>
      </c>
      <c r="C69" s="53">
        <v>4</v>
      </c>
      <c r="D69" s="53">
        <v>10</v>
      </c>
      <c r="E69" s="53">
        <v>1</v>
      </c>
      <c r="F69" s="51">
        <v>2</v>
      </c>
    </row>
    <row r="70" ht="16.5" spans="1:6">
      <c r="A70" s="53" t="s">
        <v>76</v>
      </c>
      <c r="B70" s="53">
        <v>26</v>
      </c>
      <c r="C70" s="53">
        <v>3</v>
      </c>
      <c r="D70" s="53">
        <v>10</v>
      </c>
      <c r="E70" s="53">
        <v>1</v>
      </c>
      <c r="F70" s="51">
        <v>2</v>
      </c>
    </row>
    <row r="71" ht="16.5" spans="1:6">
      <c r="A71" s="53" t="s">
        <v>77</v>
      </c>
      <c r="B71" s="53">
        <v>84</v>
      </c>
      <c r="C71" s="53">
        <v>3</v>
      </c>
      <c r="D71" s="53">
        <v>10</v>
      </c>
      <c r="E71" s="53">
        <v>0</v>
      </c>
      <c r="F71" s="51">
        <v>2</v>
      </c>
    </row>
    <row r="72" ht="16.5" spans="1:6">
      <c r="A72" s="53" t="s">
        <v>78</v>
      </c>
      <c r="B72" s="53">
        <v>3</v>
      </c>
      <c r="C72" s="53">
        <v>5</v>
      </c>
      <c r="D72" s="53">
        <v>10</v>
      </c>
      <c r="E72" s="53">
        <v>1</v>
      </c>
      <c r="F72" s="51">
        <v>2</v>
      </c>
    </row>
    <row r="73" ht="16.5" spans="1:6">
      <c r="A73" s="53" t="s">
        <v>79</v>
      </c>
      <c r="B73" s="53">
        <v>15</v>
      </c>
      <c r="C73" s="53">
        <v>3</v>
      </c>
      <c r="D73" s="53">
        <v>10</v>
      </c>
      <c r="E73" s="53">
        <v>1</v>
      </c>
      <c r="F73" s="51">
        <v>2</v>
      </c>
    </row>
    <row r="74" ht="16.5" spans="1:6">
      <c r="A74" s="53" t="s">
        <v>80</v>
      </c>
      <c r="B74" s="53">
        <v>9</v>
      </c>
      <c r="C74" s="53">
        <v>4</v>
      </c>
      <c r="D74" s="53">
        <v>10</v>
      </c>
      <c r="E74" s="53">
        <v>0</v>
      </c>
      <c r="F74" s="51">
        <v>2</v>
      </c>
    </row>
    <row r="75" ht="16.5" spans="1:6">
      <c r="A75" s="53" t="s">
        <v>81</v>
      </c>
      <c r="B75" s="53">
        <v>2</v>
      </c>
      <c r="C75" s="53">
        <v>2</v>
      </c>
      <c r="D75" s="53">
        <v>10</v>
      </c>
      <c r="E75" s="53">
        <v>1</v>
      </c>
      <c r="F75" s="51">
        <v>2</v>
      </c>
    </row>
    <row r="76" ht="16.5" spans="1:6">
      <c r="A76" s="53" t="s">
        <v>82</v>
      </c>
      <c r="B76" s="53">
        <v>70</v>
      </c>
      <c r="C76" s="53">
        <v>2</v>
      </c>
      <c r="D76" s="53">
        <v>10</v>
      </c>
      <c r="E76" s="53">
        <v>0</v>
      </c>
      <c r="F76" s="51">
        <v>2</v>
      </c>
    </row>
    <row r="77" ht="16.5" spans="1:6">
      <c r="A77" s="53" t="s">
        <v>83</v>
      </c>
      <c r="B77" s="53">
        <v>16</v>
      </c>
      <c r="C77" s="53">
        <v>4</v>
      </c>
      <c r="D77" s="53">
        <v>13</v>
      </c>
      <c r="E77" s="53">
        <v>1</v>
      </c>
      <c r="F77" s="51">
        <v>2</v>
      </c>
    </row>
    <row r="78" ht="16.5" spans="1:6">
      <c r="A78" s="53" t="s">
        <v>84</v>
      </c>
      <c r="B78" s="53">
        <v>6</v>
      </c>
      <c r="C78" s="53">
        <v>3</v>
      </c>
      <c r="D78" s="53">
        <v>13</v>
      </c>
      <c r="E78" s="53">
        <v>0</v>
      </c>
      <c r="F78" s="51">
        <v>2</v>
      </c>
    </row>
    <row r="79" ht="16.5" spans="1:6">
      <c r="A79" s="53" t="s">
        <v>85</v>
      </c>
      <c r="B79" s="53">
        <v>29</v>
      </c>
      <c r="C79" s="53">
        <v>3</v>
      </c>
      <c r="D79" s="53">
        <v>13</v>
      </c>
      <c r="E79" s="53">
        <v>0</v>
      </c>
      <c r="F79" s="51">
        <v>2</v>
      </c>
    </row>
    <row r="80" ht="16.5" spans="1:6">
      <c r="A80" s="53" t="s">
        <v>86</v>
      </c>
      <c r="B80" s="53">
        <v>27</v>
      </c>
      <c r="C80" s="53">
        <v>3</v>
      </c>
      <c r="D80" s="53">
        <v>13</v>
      </c>
      <c r="E80" s="53">
        <v>1</v>
      </c>
      <c r="F80" s="51">
        <v>2</v>
      </c>
    </row>
    <row r="81" ht="16.5" spans="1:6">
      <c r="A81" s="53" t="s">
        <v>87</v>
      </c>
      <c r="B81" s="53">
        <v>23</v>
      </c>
      <c r="C81" s="53">
        <v>5</v>
      </c>
      <c r="D81" s="53">
        <v>13</v>
      </c>
      <c r="E81" s="53">
        <v>1</v>
      </c>
      <c r="F81" s="51">
        <v>2</v>
      </c>
    </row>
    <row r="82" ht="16.5" spans="1:6">
      <c r="A82" s="53" t="s">
        <v>88</v>
      </c>
      <c r="B82" s="53">
        <v>28</v>
      </c>
      <c r="C82" s="53">
        <v>3</v>
      </c>
      <c r="D82" s="53">
        <v>13</v>
      </c>
      <c r="E82" s="53">
        <v>1</v>
      </c>
      <c r="F82" s="51">
        <v>2</v>
      </c>
    </row>
    <row r="83" ht="16.5" spans="1:6">
      <c r="A83" s="53" t="s">
        <v>89</v>
      </c>
      <c r="B83" s="53">
        <v>50</v>
      </c>
      <c r="C83" s="53">
        <v>3</v>
      </c>
      <c r="D83" s="53">
        <v>13</v>
      </c>
      <c r="E83" s="53">
        <v>0</v>
      </c>
      <c r="F83" s="51">
        <v>2</v>
      </c>
    </row>
    <row r="84" ht="16.5" spans="1:6">
      <c r="A84" s="53" t="s">
        <v>90</v>
      </c>
      <c r="B84" s="53">
        <v>42</v>
      </c>
      <c r="C84" s="53">
        <v>4</v>
      </c>
      <c r="D84" s="53">
        <v>13</v>
      </c>
      <c r="E84" s="53">
        <v>1</v>
      </c>
      <c r="F84" s="51">
        <v>2</v>
      </c>
    </row>
    <row r="85" ht="16.5" spans="1:6">
      <c r="A85" s="53" t="s">
        <v>91</v>
      </c>
      <c r="B85" s="53">
        <v>27</v>
      </c>
      <c r="C85" s="53">
        <v>9</v>
      </c>
      <c r="D85" s="53">
        <v>13</v>
      </c>
      <c r="E85" s="53">
        <v>0</v>
      </c>
      <c r="F85" s="51">
        <v>2</v>
      </c>
    </row>
    <row r="86" ht="16.5" spans="1:6">
      <c r="A86" s="53" t="s">
        <v>92</v>
      </c>
      <c r="B86" s="53">
        <v>23</v>
      </c>
      <c r="C86" s="53">
        <v>3</v>
      </c>
      <c r="D86" s="53">
        <v>13</v>
      </c>
      <c r="E86" s="53">
        <v>0</v>
      </c>
      <c r="F86" s="51">
        <v>2</v>
      </c>
    </row>
    <row r="87" ht="16.5" spans="1:6">
      <c r="A87" s="53" t="s">
        <v>93</v>
      </c>
      <c r="B87" s="53">
        <v>21</v>
      </c>
      <c r="C87" s="53">
        <v>3</v>
      </c>
      <c r="D87" s="53">
        <v>13</v>
      </c>
      <c r="E87" s="53">
        <v>0</v>
      </c>
      <c r="F87" s="51">
        <v>2</v>
      </c>
    </row>
    <row r="88" ht="16.5" spans="1:6">
      <c r="A88" s="53" t="s">
        <v>94</v>
      </c>
      <c r="B88" s="53">
        <v>20</v>
      </c>
      <c r="C88" s="53">
        <v>4</v>
      </c>
      <c r="D88" s="53">
        <v>13</v>
      </c>
      <c r="E88" s="53">
        <v>1</v>
      </c>
      <c r="F88" s="51">
        <v>2</v>
      </c>
    </row>
    <row r="89" ht="16.5" spans="1:6">
      <c r="A89" s="53" t="s">
        <v>95</v>
      </c>
      <c r="B89" s="53">
        <v>32</v>
      </c>
      <c r="C89" s="53">
        <v>4</v>
      </c>
      <c r="D89" s="53">
        <v>13</v>
      </c>
      <c r="E89" s="53">
        <v>0</v>
      </c>
      <c r="F89" s="51">
        <v>2</v>
      </c>
    </row>
    <row r="90" ht="16.5" spans="1:6">
      <c r="A90" s="53" t="s">
        <v>96</v>
      </c>
      <c r="B90" s="53">
        <v>47</v>
      </c>
      <c r="C90" s="53">
        <v>3</v>
      </c>
      <c r="D90" s="53">
        <v>18</v>
      </c>
      <c r="E90" s="53">
        <v>0</v>
      </c>
      <c r="F90" s="51">
        <v>3</v>
      </c>
    </row>
    <row r="91" ht="16.5" spans="1:6">
      <c r="A91" s="53" t="s">
        <v>97</v>
      </c>
      <c r="B91" s="53">
        <v>35</v>
      </c>
      <c r="C91" s="53">
        <v>1</v>
      </c>
      <c r="D91" s="53">
        <v>18</v>
      </c>
      <c r="E91" s="53">
        <v>1</v>
      </c>
      <c r="F91" s="51">
        <v>3</v>
      </c>
    </row>
    <row r="92" ht="16.5" spans="1:6">
      <c r="A92" s="53" t="s">
        <v>98</v>
      </c>
      <c r="B92" s="53">
        <v>55</v>
      </c>
      <c r="C92" s="53">
        <v>7</v>
      </c>
      <c r="D92" s="53">
        <v>18</v>
      </c>
      <c r="E92" s="53">
        <v>0</v>
      </c>
      <c r="F92" s="51">
        <v>3</v>
      </c>
    </row>
    <row r="93" ht="16.5" spans="1:6">
      <c r="A93" s="53" t="s">
        <v>99</v>
      </c>
      <c r="B93" s="53">
        <v>65</v>
      </c>
      <c r="C93" s="53">
        <v>4</v>
      </c>
      <c r="D93" s="53">
        <v>18</v>
      </c>
      <c r="E93" s="53">
        <v>0</v>
      </c>
      <c r="F93" s="51">
        <v>3</v>
      </c>
    </row>
    <row r="94" ht="16.5" spans="1:6">
      <c r="A94" s="53" t="s">
        <v>100</v>
      </c>
      <c r="B94" s="53">
        <v>12</v>
      </c>
      <c r="C94" s="53">
        <v>4</v>
      </c>
      <c r="D94" s="53">
        <v>18</v>
      </c>
      <c r="E94" s="53">
        <v>0</v>
      </c>
      <c r="F94" s="51">
        <v>3</v>
      </c>
    </row>
    <row r="95" ht="16.5" spans="1:6">
      <c r="A95" s="53" t="s">
        <v>101</v>
      </c>
      <c r="B95" s="53">
        <v>11</v>
      </c>
      <c r="C95" s="53">
        <v>3</v>
      </c>
      <c r="D95" s="53">
        <v>18</v>
      </c>
      <c r="E95" s="53">
        <v>1</v>
      </c>
      <c r="F95" s="51">
        <v>3</v>
      </c>
    </row>
    <row r="96" ht="16.5" spans="1:6">
      <c r="A96" s="53" t="s">
        <v>102</v>
      </c>
      <c r="B96" s="53">
        <v>56</v>
      </c>
      <c r="C96" s="53">
        <v>4</v>
      </c>
      <c r="D96" s="53">
        <v>18</v>
      </c>
      <c r="E96" s="53">
        <v>0</v>
      </c>
      <c r="F96" s="51">
        <v>3</v>
      </c>
    </row>
    <row r="97" ht="16.5" spans="1:6">
      <c r="A97" s="53" t="s">
        <v>103</v>
      </c>
      <c r="B97" s="53">
        <v>16</v>
      </c>
      <c r="C97" s="53">
        <v>2</v>
      </c>
      <c r="D97" s="53">
        <v>18</v>
      </c>
      <c r="E97" s="53">
        <v>1</v>
      </c>
      <c r="F97" s="51">
        <v>3</v>
      </c>
    </row>
    <row r="98" ht="16.5" spans="1:6">
      <c r="A98" s="53" t="s">
        <v>104</v>
      </c>
      <c r="B98" s="53">
        <v>16</v>
      </c>
      <c r="C98" s="53">
        <v>2</v>
      </c>
      <c r="D98" s="53">
        <v>18</v>
      </c>
      <c r="E98" s="53">
        <v>1</v>
      </c>
      <c r="F98" s="51">
        <v>3</v>
      </c>
    </row>
    <row r="99" ht="16.5" spans="1:6">
      <c r="A99" s="53" t="s">
        <v>105</v>
      </c>
      <c r="B99" s="53">
        <v>4</v>
      </c>
      <c r="C99" s="53">
        <v>2</v>
      </c>
      <c r="D99" s="53">
        <v>18</v>
      </c>
      <c r="E99" s="53">
        <v>1</v>
      </c>
      <c r="F99" s="51">
        <v>3</v>
      </c>
    </row>
    <row r="100" ht="16.5" spans="1:6">
      <c r="A100" s="53" t="s">
        <v>106</v>
      </c>
      <c r="B100" s="53">
        <v>19</v>
      </c>
      <c r="C100" s="53">
        <v>6</v>
      </c>
      <c r="D100" s="53">
        <v>18</v>
      </c>
      <c r="E100" s="53">
        <v>0</v>
      </c>
      <c r="F100" s="51">
        <v>3</v>
      </c>
    </row>
    <row r="101" ht="16.5" spans="1:6">
      <c r="A101" s="53" t="s">
        <v>107</v>
      </c>
      <c r="B101" s="53">
        <v>42</v>
      </c>
      <c r="C101" s="53">
        <v>5</v>
      </c>
      <c r="D101" s="53">
        <v>18</v>
      </c>
      <c r="E101" s="53">
        <v>0</v>
      </c>
      <c r="F101" s="51">
        <v>3</v>
      </c>
    </row>
    <row r="102" ht="16.5" spans="1:6">
      <c r="A102" s="53" t="s">
        <v>108</v>
      </c>
      <c r="B102" s="53">
        <v>41</v>
      </c>
      <c r="C102" s="53">
        <v>4</v>
      </c>
      <c r="D102" s="53">
        <v>18</v>
      </c>
      <c r="E102" s="53">
        <v>0</v>
      </c>
      <c r="F102" s="51">
        <v>3</v>
      </c>
    </row>
    <row r="103" ht="16.5" spans="1:6">
      <c r="A103" s="53" t="s">
        <v>109</v>
      </c>
      <c r="B103" s="53">
        <v>22</v>
      </c>
      <c r="C103" s="53">
        <v>5</v>
      </c>
      <c r="D103" s="53">
        <v>18</v>
      </c>
      <c r="E103" s="53">
        <v>0</v>
      </c>
      <c r="F103" s="51">
        <v>3</v>
      </c>
    </row>
    <row r="104" ht="16.5" spans="1:6">
      <c r="A104" s="53" t="s">
        <v>110</v>
      </c>
      <c r="B104" s="53">
        <v>37</v>
      </c>
      <c r="C104" s="53">
        <v>4</v>
      </c>
      <c r="D104" s="53">
        <v>18</v>
      </c>
      <c r="E104" s="53">
        <v>1</v>
      </c>
      <c r="F104" s="51">
        <v>3</v>
      </c>
    </row>
    <row r="105" ht="16.5" spans="1:6">
      <c r="A105" s="53" t="s">
        <v>111</v>
      </c>
      <c r="B105" s="53">
        <v>61</v>
      </c>
      <c r="C105" s="53">
        <v>3</v>
      </c>
      <c r="D105" s="53">
        <v>18</v>
      </c>
      <c r="E105" s="53">
        <v>1</v>
      </c>
      <c r="F105" s="51">
        <v>3</v>
      </c>
    </row>
    <row r="106" ht="16.5" spans="1:6">
      <c r="A106" s="53" t="s">
        <v>112</v>
      </c>
      <c r="B106" s="53">
        <v>23</v>
      </c>
      <c r="C106" s="53">
        <v>3</v>
      </c>
      <c r="D106" s="53">
        <v>18</v>
      </c>
      <c r="E106" s="53">
        <v>1</v>
      </c>
      <c r="F106" s="51">
        <v>3</v>
      </c>
    </row>
    <row r="107" ht="16.5" spans="1:6">
      <c r="A107" s="53" t="s">
        <v>113</v>
      </c>
      <c r="B107" s="53">
        <v>48</v>
      </c>
      <c r="C107" s="53">
        <v>5</v>
      </c>
      <c r="D107" s="53">
        <v>18</v>
      </c>
      <c r="E107" s="53">
        <v>0</v>
      </c>
      <c r="F107" s="51">
        <v>3</v>
      </c>
    </row>
    <row r="108" ht="16.5" spans="1:6">
      <c r="A108" s="53" t="s">
        <v>114</v>
      </c>
      <c r="B108" s="53">
        <v>69</v>
      </c>
      <c r="C108" s="53">
        <v>7</v>
      </c>
      <c r="D108" s="53">
        <v>33</v>
      </c>
      <c r="E108" s="53">
        <v>1</v>
      </c>
      <c r="F108" s="51">
        <v>3</v>
      </c>
    </row>
    <row r="109" ht="16.5" spans="1:6">
      <c r="A109" s="53" t="s">
        <v>115</v>
      </c>
      <c r="B109" s="53">
        <v>40</v>
      </c>
      <c r="C109" s="53">
        <v>3</v>
      </c>
      <c r="D109" s="53">
        <v>33</v>
      </c>
      <c r="E109" s="53">
        <v>1</v>
      </c>
      <c r="F109" s="51">
        <v>3</v>
      </c>
    </row>
    <row r="110" ht="16.5" spans="1:6">
      <c r="A110" s="53" t="s">
        <v>116</v>
      </c>
      <c r="B110" s="53">
        <v>42</v>
      </c>
      <c r="C110" s="53">
        <v>2</v>
      </c>
      <c r="D110" s="53">
        <v>33</v>
      </c>
      <c r="E110" s="53">
        <v>1</v>
      </c>
      <c r="F110" s="51">
        <v>3</v>
      </c>
    </row>
    <row r="111" ht="16.5" spans="1:6">
      <c r="A111" s="53" t="s">
        <v>117</v>
      </c>
      <c r="B111" s="53">
        <v>25</v>
      </c>
      <c r="C111" s="53">
        <v>4</v>
      </c>
      <c r="D111" s="53">
        <v>33</v>
      </c>
      <c r="E111" s="53">
        <v>0</v>
      </c>
      <c r="F111" s="51">
        <v>3</v>
      </c>
    </row>
    <row r="112" ht="16.5" spans="1:6">
      <c r="A112" s="53" t="s">
        <v>118</v>
      </c>
      <c r="B112" s="53">
        <v>61</v>
      </c>
      <c r="C112" s="53">
        <v>3</v>
      </c>
      <c r="D112" s="53">
        <v>33</v>
      </c>
      <c r="E112" s="53">
        <v>1</v>
      </c>
      <c r="F112" s="51">
        <v>3</v>
      </c>
    </row>
    <row r="113" ht="16.5" spans="1:6">
      <c r="A113" s="53" t="s">
        <v>119</v>
      </c>
      <c r="B113" s="53">
        <v>69</v>
      </c>
      <c r="C113" s="53">
        <v>1</v>
      </c>
      <c r="D113" s="53">
        <v>33</v>
      </c>
      <c r="E113" s="53">
        <v>1</v>
      </c>
      <c r="F113" s="51">
        <v>3</v>
      </c>
    </row>
    <row r="114" ht="16.5" spans="1:6">
      <c r="A114" s="53" t="s">
        <v>120</v>
      </c>
      <c r="B114" s="53">
        <v>14</v>
      </c>
      <c r="C114" s="53">
        <v>2</v>
      </c>
      <c r="D114" s="53">
        <v>33</v>
      </c>
      <c r="E114" s="53">
        <v>1</v>
      </c>
      <c r="F114" s="51">
        <v>3</v>
      </c>
    </row>
    <row r="115" ht="16.5" spans="1:6">
      <c r="A115" s="53" t="s">
        <v>121</v>
      </c>
      <c r="B115" s="53">
        <v>52</v>
      </c>
      <c r="C115" s="53">
        <v>3</v>
      </c>
      <c r="D115" s="53">
        <v>33</v>
      </c>
      <c r="E115" s="53">
        <v>1</v>
      </c>
      <c r="F115" s="51">
        <v>3</v>
      </c>
    </row>
    <row r="116" ht="16.5" spans="1:6">
      <c r="A116" s="53" t="s">
        <v>122</v>
      </c>
      <c r="B116" s="53">
        <v>32</v>
      </c>
      <c r="C116" s="53">
        <v>4</v>
      </c>
      <c r="D116" s="53">
        <v>33</v>
      </c>
      <c r="E116" s="53">
        <v>1</v>
      </c>
      <c r="F116" s="51">
        <v>3</v>
      </c>
    </row>
    <row r="117" ht="16.5" spans="1:6">
      <c r="A117" s="53" t="s">
        <v>123</v>
      </c>
      <c r="B117" s="53">
        <v>49</v>
      </c>
      <c r="C117" s="53">
        <v>4</v>
      </c>
      <c r="D117" s="53">
        <v>33</v>
      </c>
      <c r="E117" s="53">
        <v>1</v>
      </c>
      <c r="F117" s="51">
        <v>3</v>
      </c>
    </row>
    <row r="118" ht="16.5" spans="1:6">
      <c r="A118" s="53" t="s">
        <v>124</v>
      </c>
      <c r="B118" s="53">
        <v>67</v>
      </c>
      <c r="C118" s="53">
        <v>4</v>
      </c>
      <c r="D118" s="53">
        <v>33</v>
      </c>
      <c r="E118" s="53">
        <v>1</v>
      </c>
      <c r="F118" s="51">
        <v>3</v>
      </c>
    </row>
    <row r="119" ht="16.5" spans="1:6">
      <c r="A119" s="53" t="s">
        <v>125</v>
      </c>
      <c r="B119" s="53">
        <v>30</v>
      </c>
      <c r="C119" s="53">
        <v>7</v>
      </c>
      <c r="D119" s="53">
        <v>33</v>
      </c>
      <c r="E119" s="53">
        <v>0</v>
      </c>
      <c r="F119" s="51">
        <v>3</v>
      </c>
    </row>
    <row r="120" ht="16.5" spans="1:6">
      <c r="A120" s="53" t="s">
        <v>126</v>
      </c>
      <c r="B120" s="53">
        <v>26</v>
      </c>
      <c r="C120" s="53">
        <v>4</v>
      </c>
      <c r="D120" s="53">
        <v>33</v>
      </c>
      <c r="E120" s="53">
        <v>1</v>
      </c>
      <c r="F120" s="51">
        <v>3</v>
      </c>
    </row>
    <row r="121" ht="16.5" spans="1:6">
      <c r="A121" s="53" t="s">
        <v>127</v>
      </c>
      <c r="B121" s="53">
        <v>82</v>
      </c>
      <c r="C121" s="53">
        <v>5</v>
      </c>
      <c r="D121" s="53">
        <v>33</v>
      </c>
      <c r="E121" s="53">
        <v>1</v>
      </c>
      <c r="F121" s="51">
        <v>3</v>
      </c>
    </row>
    <row r="122" ht="16.5" spans="1:6">
      <c r="A122" s="53" t="s">
        <v>128</v>
      </c>
      <c r="B122" s="53">
        <v>28</v>
      </c>
      <c r="C122" s="53">
        <v>3</v>
      </c>
      <c r="D122" s="53">
        <v>33</v>
      </c>
      <c r="E122" s="53">
        <v>1</v>
      </c>
      <c r="F122" s="51">
        <v>3</v>
      </c>
    </row>
    <row r="123" ht="16.5" spans="1:6">
      <c r="A123" s="53" t="s">
        <v>129</v>
      </c>
      <c r="B123" s="53">
        <v>22</v>
      </c>
      <c r="C123" s="53">
        <v>4</v>
      </c>
      <c r="D123" s="53">
        <v>33</v>
      </c>
      <c r="E123" s="53">
        <v>0</v>
      </c>
      <c r="F123" s="51">
        <v>3</v>
      </c>
    </row>
    <row r="124" ht="16.5" spans="1:6">
      <c r="A124" s="53" t="s">
        <v>130</v>
      </c>
      <c r="B124" s="53">
        <v>24</v>
      </c>
      <c r="C124" s="53">
        <v>3</v>
      </c>
      <c r="D124" s="53">
        <v>33</v>
      </c>
      <c r="E124" s="53">
        <v>1</v>
      </c>
      <c r="F124" s="51">
        <v>3</v>
      </c>
    </row>
    <row r="125" ht="16.5" spans="1:6">
      <c r="A125" s="53" t="s">
        <v>131</v>
      </c>
      <c r="B125" s="53">
        <v>39</v>
      </c>
      <c r="C125" s="53">
        <v>4</v>
      </c>
      <c r="D125" s="53">
        <v>33</v>
      </c>
      <c r="E125" s="53">
        <v>0</v>
      </c>
      <c r="F125" s="51">
        <v>3</v>
      </c>
    </row>
    <row r="126" ht="16.5" spans="1:6">
      <c r="A126" s="53" t="s">
        <v>132</v>
      </c>
      <c r="B126" s="53">
        <v>51</v>
      </c>
      <c r="C126" s="53">
        <v>3</v>
      </c>
      <c r="D126" s="53">
        <v>33</v>
      </c>
      <c r="E126" s="53">
        <v>1</v>
      </c>
      <c r="F126" s="51">
        <v>3</v>
      </c>
    </row>
    <row r="127" ht="16.5" spans="1:6">
      <c r="A127" s="53" t="s">
        <v>133</v>
      </c>
      <c r="B127" s="53">
        <v>21</v>
      </c>
      <c r="C127" s="53">
        <v>2</v>
      </c>
      <c r="D127" s="53">
        <v>33</v>
      </c>
      <c r="E127" s="53">
        <v>0</v>
      </c>
      <c r="F127" s="51">
        <v>3</v>
      </c>
    </row>
    <row r="128" ht="16.5" spans="1:6">
      <c r="A128" s="53" t="s">
        <v>134</v>
      </c>
      <c r="B128" s="53">
        <v>38</v>
      </c>
      <c r="C128" s="53">
        <v>2</v>
      </c>
      <c r="D128" s="53">
        <v>33</v>
      </c>
      <c r="E128" s="53">
        <v>0</v>
      </c>
      <c r="F128" s="51">
        <v>3</v>
      </c>
    </row>
    <row r="129" ht="16.5" spans="1:6">
      <c r="A129" s="53" t="s">
        <v>135</v>
      </c>
      <c r="B129" s="53">
        <v>4.5</v>
      </c>
      <c r="C129" s="53">
        <v>3</v>
      </c>
      <c r="D129" s="53">
        <v>33</v>
      </c>
      <c r="E129" s="53">
        <v>0</v>
      </c>
      <c r="F129" s="51">
        <v>3</v>
      </c>
    </row>
    <row r="130" ht="16.5" spans="1:6">
      <c r="A130" s="53" t="s">
        <v>136</v>
      </c>
      <c r="B130" s="53">
        <v>12</v>
      </c>
      <c r="C130" s="53">
        <v>4</v>
      </c>
      <c r="D130" s="53">
        <v>33</v>
      </c>
      <c r="E130" s="53">
        <v>0</v>
      </c>
      <c r="F130" s="51">
        <v>3</v>
      </c>
    </row>
    <row r="131" ht="16.5" spans="1:6">
      <c r="A131" s="53" t="s">
        <v>137</v>
      </c>
      <c r="B131" s="53">
        <v>10</v>
      </c>
      <c r="C131" s="53">
        <v>2</v>
      </c>
      <c r="D131" s="53">
        <v>33</v>
      </c>
      <c r="E131" s="53">
        <v>0</v>
      </c>
      <c r="F131" s="51">
        <v>3</v>
      </c>
    </row>
    <row r="132" ht="16.5" spans="1:6">
      <c r="A132" s="53" t="s">
        <v>138</v>
      </c>
      <c r="B132" s="53">
        <v>10</v>
      </c>
      <c r="C132" s="53">
        <v>3</v>
      </c>
      <c r="D132" s="53">
        <v>33</v>
      </c>
      <c r="E132" s="53">
        <v>1</v>
      </c>
      <c r="F132" s="51">
        <v>3</v>
      </c>
    </row>
    <row r="133" ht="16.5" spans="1:6">
      <c r="A133" s="53" t="s">
        <v>139</v>
      </c>
      <c r="B133" s="53">
        <v>6</v>
      </c>
      <c r="C133" s="53">
        <v>4</v>
      </c>
      <c r="D133" s="53">
        <v>33</v>
      </c>
      <c r="E133" s="53">
        <v>0</v>
      </c>
      <c r="F133" s="51">
        <v>3</v>
      </c>
    </row>
    <row r="134" ht="16.5" spans="1:6">
      <c r="A134" s="53" t="s">
        <v>140</v>
      </c>
      <c r="B134" s="53">
        <v>4</v>
      </c>
      <c r="C134" s="53">
        <v>2</v>
      </c>
      <c r="D134" s="53">
        <v>33</v>
      </c>
      <c r="E134" s="53">
        <v>1</v>
      </c>
      <c r="F134" s="51">
        <v>3</v>
      </c>
    </row>
    <row r="135" ht="16.5" spans="1:6">
      <c r="A135" s="53" t="s">
        <v>141</v>
      </c>
      <c r="B135" s="53">
        <v>10</v>
      </c>
      <c r="C135" s="53">
        <v>2</v>
      </c>
      <c r="D135" s="53">
        <v>33</v>
      </c>
      <c r="E135" s="53">
        <v>0</v>
      </c>
      <c r="F135" s="51">
        <v>3</v>
      </c>
    </row>
    <row r="136" ht="16.5" spans="1:6">
      <c r="A136" s="53" t="s">
        <v>142</v>
      </c>
      <c r="B136" s="53">
        <v>6</v>
      </c>
      <c r="C136" s="53">
        <v>2</v>
      </c>
      <c r="D136" s="53">
        <v>33</v>
      </c>
      <c r="E136" s="53">
        <v>0</v>
      </c>
      <c r="F136" s="51">
        <v>3</v>
      </c>
    </row>
    <row r="137" ht="16.5" spans="1:6">
      <c r="A137" s="53" t="s">
        <v>143</v>
      </c>
      <c r="B137" s="53">
        <v>3.5</v>
      </c>
      <c r="C137" s="53">
        <v>1</v>
      </c>
      <c r="D137" s="53">
        <v>33</v>
      </c>
      <c r="E137" s="53">
        <v>1</v>
      </c>
      <c r="F137" s="51">
        <v>3</v>
      </c>
    </row>
    <row r="138" ht="16.5" spans="1:6">
      <c r="A138" s="53" t="s">
        <v>144</v>
      </c>
      <c r="B138" s="53">
        <v>13</v>
      </c>
      <c r="C138" s="53">
        <v>3</v>
      </c>
      <c r="D138" s="53">
        <v>33</v>
      </c>
      <c r="E138" s="53">
        <v>1</v>
      </c>
      <c r="F138" s="51">
        <v>3</v>
      </c>
    </row>
    <row r="139" ht="16.5" spans="1:6">
      <c r="A139" s="53" t="s">
        <v>145</v>
      </c>
      <c r="B139" s="53">
        <v>52</v>
      </c>
      <c r="C139" s="53">
        <v>7</v>
      </c>
      <c r="D139" s="53">
        <v>21</v>
      </c>
      <c r="E139" s="53">
        <v>0</v>
      </c>
      <c r="F139" s="51">
        <v>3</v>
      </c>
    </row>
    <row r="140" ht="16.5" spans="1:6">
      <c r="A140" s="53" t="s">
        <v>146</v>
      </c>
      <c r="B140" s="53">
        <v>74</v>
      </c>
      <c r="C140" s="53">
        <v>5</v>
      </c>
      <c r="D140" s="53">
        <v>21</v>
      </c>
      <c r="E140" s="53">
        <v>1</v>
      </c>
      <c r="F140" s="51">
        <v>3</v>
      </c>
    </row>
    <row r="141" ht="16.5" spans="1:6">
      <c r="A141" s="53" t="s">
        <v>147</v>
      </c>
      <c r="B141" s="53">
        <v>36</v>
      </c>
      <c r="C141" s="53">
        <v>2</v>
      </c>
      <c r="D141" s="53">
        <v>21</v>
      </c>
      <c r="E141" s="53">
        <v>0</v>
      </c>
      <c r="F141" s="51">
        <v>3</v>
      </c>
    </row>
    <row r="142" ht="16.5" spans="1:6">
      <c r="A142" s="53" t="s">
        <v>148</v>
      </c>
      <c r="B142" s="53">
        <v>39</v>
      </c>
      <c r="C142" s="53">
        <v>2</v>
      </c>
      <c r="D142" s="53">
        <v>21</v>
      </c>
      <c r="E142" s="53">
        <v>1</v>
      </c>
      <c r="F142" s="51">
        <v>3</v>
      </c>
    </row>
    <row r="143" ht="16.5" spans="1:6">
      <c r="A143" s="53" t="s">
        <v>149</v>
      </c>
      <c r="B143" s="53">
        <v>20</v>
      </c>
      <c r="C143" s="53">
        <v>4</v>
      </c>
      <c r="D143" s="53">
        <v>21</v>
      </c>
      <c r="E143" s="53">
        <v>1</v>
      </c>
      <c r="F143" s="51">
        <v>3</v>
      </c>
    </row>
    <row r="144" ht="16.5" spans="1:6">
      <c r="A144" s="53" t="s">
        <v>118</v>
      </c>
      <c r="B144" s="53">
        <v>61</v>
      </c>
      <c r="C144" s="53">
        <v>4</v>
      </c>
      <c r="D144" s="53">
        <v>21</v>
      </c>
      <c r="E144" s="53">
        <v>1</v>
      </c>
      <c r="F144" s="51">
        <v>3</v>
      </c>
    </row>
    <row r="145" ht="16.5" spans="1:6">
      <c r="A145" s="53" t="s">
        <v>150</v>
      </c>
      <c r="B145" s="53">
        <v>28</v>
      </c>
      <c r="C145" s="53">
        <v>4</v>
      </c>
      <c r="D145" s="53">
        <v>21</v>
      </c>
      <c r="E145" s="53">
        <v>1</v>
      </c>
      <c r="F145" s="51">
        <v>3</v>
      </c>
    </row>
    <row r="146" ht="16.5" spans="1:6">
      <c r="A146" s="53" t="s">
        <v>151</v>
      </c>
      <c r="B146" s="53">
        <v>34</v>
      </c>
      <c r="C146" s="53">
        <v>2</v>
      </c>
      <c r="D146" s="53">
        <v>21</v>
      </c>
      <c r="E146" s="53">
        <v>1</v>
      </c>
      <c r="F146" s="51">
        <v>3</v>
      </c>
    </row>
    <row r="147" ht="16.5" spans="1:6">
      <c r="A147" s="53" t="s">
        <v>152</v>
      </c>
      <c r="B147" s="53">
        <v>66</v>
      </c>
      <c r="C147" s="53">
        <v>10</v>
      </c>
      <c r="D147" s="53">
        <v>21</v>
      </c>
      <c r="E147" s="53">
        <v>1</v>
      </c>
      <c r="F147" s="51">
        <v>3</v>
      </c>
    </row>
    <row r="148" ht="16.5" spans="1:6">
      <c r="A148" s="53" t="s">
        <v>153</v>
      </c>
      <c r="B148" s="53">
        <v>55</v>
      </c>
      <c r="C148" s="53">
        <v>3</v>
      </c>
      <c r="D148" s="53">
        <v>21</v>
      </c>
      <c r="E148" s="53">
        <v>1</v>
      </c>
      <c r="F148" s="51">
        <v>3</v>
      </c>
    </row>
    <row r="149" ht="16.5" spans="1:6">
      <c r="A149" s="53" t="s">
        <v>154</v>
      </c>
      <c r="B149" s="53">
        <v>19</v>
      </c>
      <c r="C149" s="53">
        <v>5</v>
      </c>
      <c r="D149" s="53">
        <v>21</v>
      </c>
      <c r="E149" s="53">
        <v>0</v>
      </c>
      <c r="F149" s="51">
        <v>3</v>
      </c>
    </row>
    <row r="150" ht="16.5" spans="1:6">
      <c r="A150" s="53" t="s">
        <v>155</v>
      </c>
      <c r="B150" s="53">
        <v>61</v>
      </c>
      <c r="C150" s="53">
        <v>5</v>
      </c>
      <c r="D150" s="53">
        <v>21</v>
      </c>
      <c r="E150" s="53">
        <v>1</v>
      </c>
      <c r="F150" s="51">
        <v>3</v>
      </c>
    </row>
    <row r="151" ht="16.5" spans="1:6">
      <c r="A151" s="53" t="s">
        <v>156</v>
      </c>
      <c r="B151" s="53">
        <v>24</v>
      </c>
      <c r="C151" s="53">
        <v>3</v>
      </c>
      <c r="D151" s="53">
        <v>21</v>
      </c>
      <c r="E151" s="53">
        <v>0</v>
      </c>
      <c r="F151" s="51">
        <v>3</v>
      </c>
    </row>
    <row r="152" ht="16.5" spans="1:6">
      <c r="A152" s="53" t="s">
        <v>157</v>
      </c>
      <c r="B152" s="53">
        <v>47</v>
      </c>
      <c r="C152" s="53">
        <v>3</v>
      </c>
      <c r="D152" s="53">
        <v>21</v>
      </c>
      <c r="E152" s="53">
        <v>1</v>
      </c>
      <c r="F152" s="51">
        <v>3</v>
      </c>
    </row>
    <row r="153" ht="16.5" spans="1:6">
      <c r="A153" s="53" t="s">
        <v>158</v>
      </c>
      <c r="B153" s="53">
        <v>73</v>
      </c>
      <c r="C153" s="53">
        <v>7</v>
      </c>
      <c r="D153" s="53">
        <v>21</v>
      </c>
      <c r="E153" s="53">
        <v>1</v>
      </c>
      <c r="F153" s="51">
        <v>3</v>
      </c>
    </row>
    <row r="154" ht="16.5" spans="1:6">
      <c r="A154" s="53" t="s">
        <v>159</v>
      </c>
      <c r="B154" s="53">
        <v>18</v>
      </c>
      <c r="C154" s="53">
        <v>5</v>
      </c>
      <c r="D154" s="53">
        <v>21</v>
      </c>
      <c r="E154" s="53">
        <v>1</v>
      </c>
      <c r="F154" s="51">
        <v>3</v>
      </c>
    </row>
    <row r="155" ht="16.5" spans="1:6">
      <c r="A155" s="53" t="s">
        <v>160</v>
      </c>
      <c r="B155" s="53">
        <v>19</v>
      </c>
      <c r="C155" s="53">
        <v>5</v>
      </c>
      <c r="D155" s="53">
        <v>21</v>
      </c>
      <c r="E155" s="53">
        <v>1</v>
      </c>
      <c r="F155" s="51">
        <v>3</v>
      </c>
    </row>
    <row r="156" ht="16.5" spans="1:6">
      <c r="A156" s="53" t="s">
        <v>161</v>
      </c>
      <c r="B156" s="53">
        <v>5</v>
      </c>
      <c r="C156" s="53">
        <v>2</v>
      </c>
      <c r="D156" s="53">
        <v>21</v>
      </c>
      <c r="E156" s="53">
        <v>0</v>
      </c>
      <c r="F156" s="51">
        <v>3</v>
      </c>
    </row>
    <row r="157" ht="16.5" spans="1:6">
      <c r="A157" s="53" t="s">
        <v>162</v>
      </c>
      <c r="B157" s="53">
        <v>15</v>
      </c>
      <c r="C157" s="53">
        <v>4</v>
      </c>
      <c r="D157" s="53">
        <v>21</v>
      </c>
      <c r="E157" s="53">
        <v>1</v>
      </c>
      <c r="F157" s="51">
        <v>3</v>
      </c>
    </row>
    <row r="158" ht="16.5" spans="1:6">
      <c r="A158" s="53" t="s">
        <v>163</v>
      </c>
      <c r="B158" s="53">
        <v>5</v>
      </c>
      <c r="C158" s="53">
        <v>2</v>
      </c>
      <c r="D158" s="53">
        <v>21</v>
      </c>
      <c r="E158" s="53">
        <v>0</v>
      </c>
      <c r="F158" s="51">
        <v>3</v>
      </c>
    </row>
    <row r="159" ht="16.5" spans="1:6">
      <c r="A159" s="53" t="s">
        <v>164</v>
      </c>
      <c r="B159" s="53">
        <v>17</v>
      </c>
      <c r="C159" s="53">
        <v>2</v>
      </c>
      <c r="D159" s="53">
        <v>21</v>
      </c>
      <c r="E159" s="53">
        <v>0</v>
      </c>
      <c r="F159" s="51">
        <v>3</v>
      </c>
    </row>
    <row r="160" ht="16.5" spans="1:6">
      <c r="A160" s="53" t="s">
        <v>165</v>
      </c>
      <c r="B160" s="53">
        <v>16</v>
      </c>
      <c r="C160" s="53">
        <v>3</v>
      </c>
      <c r="D160" s="53">
        <v>21</v>
      </c>
      <c r="E160" s="53">
        <v>0</v>
      </c>
      <c r="F160" s="51">
        <v>3</v>
      </c>
    </row>
    <row r="161" ht="16.5" spans="1:6">
      <c r="A161" s="53" t="s">
        <v>166</v>
      </c>
      <c r="B161" s="53">
        <v>12</v>
      </c>
      <c r="C161" s="53">
        <v>3</v>
      </c>
      <c r="D161" s="53">
        <v>21</v>
      </c>
      <c r="E161" s="53">
        <v>1</v>
      </c>
      <c r="F161" s="51">
        <v>3</v>
      </c>
    </row>
    <row r="162" ht="16.5" spans="1:6">
      <c r="A162" s="53" t="s">
        <v>167</v>
      </c>
      <c r="B162" s="53">
        <v>22</v>
      </c>
      <c r="C162" s="53">
        <v>3</v>
      </c>
      <c r="D162" s="53">
        <v>3</v>
      </c>
      <c r="E162" s="53">
        <v>1</v>
      </c>
      <c r="F162" s="51">
        <v>1</v>
      </c>
    </row>
    <row r="163" ht="16.5" spans="1:6">
      <c r="A163" s="53" t="s">
        <v>168</v>
      </c>
      <c r="B163" s="53">
        <v>34</v>
      </c>
      <c r="C163" s="53">
        <v>4</v>
      </c>
      <c r="D163" s="53">
        <v>3</v>
      </c>
      <c r="E163" s="53">
        <v>1</v>
      </c>
      <c r="F163" s="51">
        <v>1</v>
      </c>
    </row>
    <row r="164" ht="16.5" spans="1:6">
      <c r="A164" s="53" t="s">
        <v>169</v>
      </c>
      <c r="B164" s="53">
        <v>10</v>
      </c>
      <c r="C164" s="53">
        <v>6</v>
      </c>
      <c r="D164" s="53">
        <v>3</v>
      </c>
      <c r="E164" s="53">
        <v>0</v>
      </c>
      <c r="F164" s="51">
        <v>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"/>
  <sheetViews>
    <sheetView workbookViewId="0">
      <selection activeCell="C3" sqref="C3"/>
    </sheetView>
  </sheetViews>
  <sheetFormatPr defaultColWidth="9" defaultRowHeight="15" outlineLevelRow="5" outlineLevelCol="3"/>
  <cols>
    <col min="1" max="1" width="21.7111111111111" customWidth="1"/>
    <col min="2" max="2" width="20.4222222222222" customWidth="1"/>
  </cols>
  <sheetData>
    <row r="1" spans="1:1">
      <c r="A1" s="12" t="s">
        <v>170</v>
      </c>
    </row>
    <row r="3" spans="1:3">
      <c r="A3" s="32" t="s">
        <v>1</v>
      </c>
      <c r="B3" s="32">
        <f ca="1">RAND()</f>
        <v>0.193301514511792</v>
      </c>
      <c r="C3" t="str">
        <f ca="1">INDEX($A$3:$A$6,MATCH(LARGE($B$3:$B$6,ROW(Y1)),$B$3:$B$6,0))</f>
        <v>Jenis Kelamin</v>
      </c>
    </row>
    <row r="4" spans="1:3">
      <c r="A4" s="32" t="s">
        <v>2</v>
      </c>
      <c r="B4" s="32">
        <f ca="1">RAND()</f>
        <v>0.647253519449667</v>
      </c>
      <c r="C4" t="str">
        <f ca="1">INDEX($A$3:$A$6,MATCH(LARGE($B$3:$B$6,ROW(Y2)),$B$3:$B$6,0))</f>
        <v>Lama Rawat Inap</v>
      </c>
    </row>
    <row r="5" spans="1:2">
      <c r="A5" s="32" t="s">
        <v>4</v>
      </c>
      <c r="B5" s="32">
        <f ca="1">RAND()</f>
        <v>0.908588714058967</v>
      </c>
    </row>
    <row r="6" spans="1:4">
      <c r="A6" s="32" t="s">
        <v>171</v>
      </c>
      <c r="B6" s="32">
        <f ca="1">RAND()</f>
        <v>0.251987246814187</v>
      </c>
      <c r="D6">
        <v>9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"/>
  <sheetViews>
    <sheetView workbookViewId="0">
      <selection activeCell="A1" sqref="A1:E11"/>
    </sheetView>
  </sheetViews>
  <sheetFormatPr defaultColWidth="9" defaultRowHeight="15" outlineLevelCol="4"/>
  <cols>
    <col min="2" max="2" width="24.2814814814815" customWidth="1"/>
    <col min="3" max="3" width="29.1407407407407" customWidth="1"/>
    <col min="4" max="4" width="16.4222222222222" customWidth="1"/>
    <col min="5" max="5" width="24" customWidth="1"/>
  </cols>
  <sheetData>
    <row r="1" ht="16.5" spans="1:5">
      <c r="A1" s="48" t="s">
        <v>1</v>
      </c>
      <c r="B1" s="49" t="s">
        <v>2</v>
      </c>
      <c r="C1" s="49" t="s">
        <v>3</v>
      </c>
      <c r="D1" s="49" t="s">
        <v>4</v>
      </c>
      <c r="E1" s="49" t="s">
        <v>6</v>
      </c>
    </row>
    <row r="2" ht="16.5" spans="1:5">
      <c r="A2" s="50">
        <v>34</v>
      </c>
      <c r="B2" s="51">
        <v>3</v>
      </c>
      <c r="C2" s="51">
        <v>12</v>
      </c>
      <c r="D2" s="51">
        <v>0</v>
      </c>
      <c r="E2" s="51">
        <v>2</v>
      </c>
    </row>
    <row r="3" ht="16.5" spans="1:5">
      <c r="A3" s="50">
        <v>43</v>
      </c>
      <c r="B3" s="51">
        <v>3</v>
      </c>
      <c r="C3" s="51">
        <v>12</v>
      </c>
      <c r="D3" s="51">
        <v>1</v>
      </c>
      <c r="E3" s="51">
        <v>2</v>
      </c>
    </row>
    <row r="4" ht="16.5" spans="1:5">
      <c r="A4" s="50">
        <v>49</v>
      </c>
      <c r="B4" s="51">
        <v>4</v>
      </c>
      <c r="C4" s="51">
        <v>7</v>
      </c>
      <c r="D4" s="51">
        <v>1</v>
      </c>
      <c r="E4" s="51">
        <v>1</v>
      </c>
    </row>
    <row r="5" ht="16.5" spans="1:5">
      <c r="A5" s="50">
        <v>21</v>
      </c>
      <c r="B5" s="51">
        <v>2</v>
      </c>
      <c r="C5" s="51">
        <v>7</v>
      </c>
      <c r="D5" s="51">
        <v>0</v>
      </c>
      <c r="E5" s="51">
        <v>1</v>
      </c>
    </row>
    <row r="6" ht="16.5" spans="1:5">
      <c r="A6" s="50">
        <v>16</v>
      </c>
      <c r="B6" s="51">
        <v>2</v>
      </c>
      <c r="C6" s="51">
        <v>18</v>
      </c>
      <c r="D6" s="51">
        <v>1</v>
      </c>
      <c r="E6" s="51">
        <v>3</v>
      </c>
    </row>
    <row r="7" ht="16.5" spans="1:5">
      <c r="A7" s="50">
        <v>16</v>
      </c>
      <c r="B7" s="51">
        <v>2</v>
      </c>
      <c r="C7" s="51">
        <v>18</v>
      </c>
      <c r="D7" s="51">
        <v>1</v>
      </c>
      <c r="E7" s="51">
        <v>3</v>
      </c>
    </row>
    <row r="8" ht="16.5" spans="1:5">
      <c r="A8" s="50">
        <v>4</v>
      </c>
      <c r="B8" s="51">
        <v>2</v>
      </c>
      <c r="C8" s="51">
        <v>18</v>
      </c>
      <c r="D8" s="51">
        <v>1</v>
      </c>
      <c r="E8" s="51">
        <v>3</v>
      </c>
    </row>
    <row r="9" ht="16.5" spans="1:5">
      <c r="A9" s="50">
        <v>19</v>
      </c>
      <c r="B9" s="51">
        <v>6</v>
      </c>
      <c r="C9" s="51">
        <v>18</v>
      </c>
      <c r="D9" s="51">
        <v>0</v>
      </c>
      <c r="E9" s="51">
        <v>3</v>
      </c>
    </row>
    <row r="10" ht="16.5" spans="1:5">
      <c r="A10" s="50">
        <v>12</v>
      </c>
      <c r="B10" s="51">
        <v>3</v>
      </c>
      <c r="C10" s="51">
        <v>21</v>
      </c>
      <c r="D10" s="51">
        <v>1</v>
      </c>
      <c r="E10" s="51">
        <v>3</v>
      </c>
    </row>
    <row r="11" ht="16.5" spans="1:5">
      <c r="A11" s="50">
        <v>22</v>
      </c>
      <c r="B11" s="51">
        <v>3</v>
      </c>
      <c r="C11" s="51">
        <v>3</v>
      </c>
      <c r="D11" s="51">
        <v>1</v>
      </c>
      <c r="E11" s="51">
        <v>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64"/>
  <sheetViews>
    <sheetView topLeftCell="D85" workbookViewId="0">
      <selection activeCell="E1" sqref="E1:E53"/>
    </sheetView>
  </sheetViews>
  <sheetFormatPr defaultColWidth="9" defaultRowHeight="15" outlineLevelCol="4"/>
  <cols>
    <col min="2" max="2" width="23.5703703703704" customWidth="1"/>
    <col min="3" max="3" width="22" customWidth="1"/>
    <col min="4" max="4" width="17.5703703703704" customWidth="1"/>
    <col min="5" max="5" width="22" customWidth="1"/>
  </cols>
  <sheetData>
    <row r="1" spans="1:5">
      <c r="A1" s="29" t="s">
        <v>1</v>
      </c>
      <c r="B1" s="29" t="s">
        <v>2</v>
      </c>
      <c r="C1" s="29" t="s">
        <v>171</v>
      </c>
      <c r="D1" s="29" t="s">
        <v>4</v>
      </c>
      <c r="E1" s="29" t="s">
        <v>6</v>
      </c>
    </row>
    <row r="2" spans="1:5">
      <c r="A2" s="30">
        <v>21</v>
      </c>
      <c r="B2" s="30">
        <v>5</v>
      </c>
      <c r="C2" s="30">
        <v>13</v>
      </c>
      <c r="D2" s="30">
        <v>1</v>
      </c>
      <c r="E2" s="30" t="s">
        <v>172</v>
      </c>
    </row>
    <row r="3" spans="1:5">
      <c r="A3" s="30">
        <v>19</v>
      </c>
      <c r="B3" s="30">
        <v>2</v>
      </c>
      <c r="C3" s="30">
        <v>13</v>
      </c>
      <c r="D3" s="30">
        <v>0</v>
      </c>
      <c r="E3" s="30" t="s">
        <v>172</v>
      </c>
    </row>
    <row r="4" spans="1:5">
      <c r="A4" s="30">
        <v>22</v>
      </c>
      <c r="B4" s="30">
        <v>4</v>
      </c>
      <c r="C4" s="30">
        <v>33</v>
      </c>
      <c r="D4" s="30">
        <v>0</v>
      </c>
      <c r="E4" s="30" t="s">
        <v>173</v>
      </c>
    </row>
    <row r="5" spans="1:5">
      <c r="A5" s="30">
        <v>59</v>
      </c>
      <c r="B5" s="30">
        <v>4</v>
      </c>
      <c r="C5" s="30">
        <v>15</v>
      </c>
      <c r="D5" s="30">
        <v>1</v>
      </c>
      <c r="E5" s="30" t="s">
        <v>172</v>
      </c>
    </row>
    <row r="6" spans="1:5">
      <c r="A6" s="30">
        <v>25</v>
      </c>
      <c r="B6" s="30">
        <v>4</v>
      </c>
      <c r="C6" s="30">
        <v>33</v>
      </c>
      <c r="D6" s="30">
        <v>0</v>
      </c>
      <c r="E6" s="30" t="s">
        <v>173</v>
      </c>
    </row>
    <row r="7" spans="1:5">
      <c r="A7" s="30">
        <v>5</v>
      </c>
      <c r="B7" s="30">
        <v>2</v>
      </c>
      <c r="C7" s="30">
        <v>21</v>
      </c>
      <c r="D7" s="30">
        <v>0</v>
      </c>
      <c r="E7" s="30" t="s">
        <v>173</v>
      </c>
    </row>
    <row r="8" spans="1:5">
      <c r="A8" s="30">
        <v>35</v>
      </c>
      <c r="B8" s="30">
        <v>1</v>
      </c>
      <c r="C8" s="30">
        <v>15</v>
      </c>
      <c r="D8" s="30">
        <v>0</v>
      </c>
      <c r="E8" s="30" t="s">
        <v>172</v>
      </c>
    </row>
    <row r="9" spans="1:5">
      <c r="A9" s="30">
        <v>16</v>
      </c>
      <c r="B9" s="30">
        <v>3</v>
      </c>
      <c r="C9" s="30">
        <v>21</v>
      </c>
      <c r="D9" s="30">
        <v>0</v>
      </c>
      <c r="E9" s="30" t="s">
        <v>173</v>
      </c>
    </row>
    <row r="10" spans="1:5">
      <c r="A10" s="30">
        <v>28</v>
      </c>
      <c r="B10" s="30">
        <v>3</v>
      </c>
      <c r="C10" s="30">
        <v>13</v>
      </c>
      <c r="D10" s="30">
        <v>1</v>
      </c>
      <c r="E10" s="30" t="s">
        <v>172</v>
      </c>
    </row>
    <row r="11" spans="1:5">
      <c r="A11" s="30">
        <v>14</v>
      </c>
      <c r="B11" s="30">
        <v>4</v>
      </c>
      <c r="C11" s="30">
        <v>12</v>
      </c>
      <c r="D11" s="30">
        <v>0</v>
      </c>
      <c r="E11" s="30" t="s">
        <v>172</v>
      </c>
    </row>
    <row r="12" spans="1:5">
      <c r="A12" s="30">
        <v>82</v>
      </c>
      <c r="B12" s="30">
        <v>5</v>
      </c>
      <c r="C12" s="30">
        <v>33</v>
      </c>
      <c r="D12" s="30">
        <v>1</v>
      </c>
      <c r="E12" s="30" t="s">
        <v>173</v>
      </c>
    </row>
    <row r="13" spans="1:5">
      <c r="A13" s="30">
        <v>13</v>
      </c>
      <c r="B13" s="30">
        <v>3</v>
      </c>
      <c r="C13" s="30">
        <v>33</v>
      </c>
      <c r="D13" s="30">
        <v>1</v>
      </c>
      <c r="E13" s="30" t="s">
        <v>173</v>
      </c>
    </row>
    <row r="14" spans="1:5">
      <c r="A14" s="30">
        <v>28</v>
      </c>
      <c r="B14" s="30">
        <v>3</v>
      </c>
      <c r="C14" s="30">
        <v>33</v>
      </c>
      <c r="D14" s="30">
        <v>1</v>
      </c>
      <c r="E14" s="30" t="s">
        <v>173</v>
      </c>
    </row>
    <row r="15" spans="1:5">
      <c r="A15" s="30">
        <v>18</v>
      </c>
      <c r="B15" s="30">
        <v>5</v>
      </c>
      <c r="C15" s="30">
        <v>12</v>
      </c>
      <c r="D15" s="30">
        <v>0</v>
      </c>
      <c r="E15" s="30" t="s">
        <v>172</v>
      </c>
    </row>
    <row r="16" spans="1:5">
      <c r="A16" s="30">
        <v>84</v>
      </c>
      <c r="B16" s="30">
        <v>3</v>
      </c>
      <c r="C16" s="30">
        <v>10</v>
      </c>
      <c r="D16" s="30">
        <v>0</v>
      </c>
      <c r="E16" s="30" t="s">
        <v>172</v>
      </c>
    </row>
    <row r="17" spans="1:5">
      <c r="A17" s="30">
        <v>38</v>
      </c>
      <c r="B17" s="30">
        <v>2</v>
      </c>
      <c r="C17" s="30">
        <v>33</v>
      </c>
      <c r="D17" s="30">
        <v>0</v>
      </c>
      <c r="E17" s="30" t="s">
        <v>173</v>
      </c>
    </row>
    <row r="18" spans="1:5">
      <c r="A18" s="30">
        <v>66</v>
      </c>
      <c r="B18" s="30">
        <v>10</v>
      </c>
      <c r="C18" s="30">
        <v>21</v>
      </c>
      <c r="D18" s="30">
        <v>1</v>
      </c>
      <c r="E18" s="30" t="s">
        <v>173</v>
      </c>
    </row>
    <row r="19" spans="1:5">
      <c r="A19" s="30">
        <v>21</v>
      </c>
      <c r="B19" s="30">
        <v>2</v>
      </c>
      <c r="C19" s="30">
        <v>7</v>
      </c>
      <c r="D19" s="30">
        <v>0</v>
      </c>
      <c r="E19" s="30" t="s">
        <v>174</v>
      </c>
    </row>
    <row r="20" spans="1:5">
      <c r="A20" s="30">
        <v>24</v>
      </c>
      <c r="B20" s="30">
        <v>3</v>
      </c>
      <c r="C20" s="30">
        <v>21</v>
      </c>
      <c r="D20" s="30">
        <v>0</v>
      </c>
      <c r="E20" s="30" t="s">
        <v>173</v>
      </c>
    </row>
    <row r="21" spans="1:5">
      <c r="A21" s="30">
        <v>28</v>
      </c>
      <c r="B21" s="30">
        <v>4</v>
      </c>
      <c r="C21" s="30">
        <v>4</v>
      </c>
      <c r="D21" s="30">
        <v>1</v>
      </c>
      <c r="E21" s="30" t="s">
        <v>174</v>
      </c>
    </row>
    <row r="22" spans="1:5">
      <c r="A22" s="30">
        <v>23</v>
      </c>
      <c r="B22" s="30">
        <v>3</v>
      </c>
      <c r="C22" s="30">
        <v>18</v>
      </c>
      <c r="D22" s="30">
        <v>1</v>
      </c>
      <c r="E22" s="30" t="s">
        <v>173</v>
      </c>
    </row>
    <row r="23" spans="1:5">
      <c r="A23" s="30">
        <v>68</v>
      </c>
      <c r="B23" s="30">
        <v>4</v>
      </c>
      <c r="C23" s="30">
        <v>15</v>
      </c>
      <c r="D23" s="30">
        <v>0</v>
      </c>
      <c r="E23" s="30" t="s">
        <v>172</v>
      </c>
    </row>
    <row r="24" spans="1:5">
      <c r="A24" s="30">
        <v>8</v>
      </c>
      <c r="B24" s="30">
        <v>4</v>
      </c>
      <c r="C24" s="30">
        <v>13</v>
      </c>
      <c r="D24" s="30">
        <v>0</v>
      </c>
      <c r="E24" s="30" t="s">
        <v>172</v>
      </c>
    </row>
    <row r="25" spans="1:5">
      <c r="A25" s="30">
        <v>21</v>
      </c>
      <c r="B25" s="30">
        <v>2</v>
      </c>
      <c r="C25" s="30">
        <v>33</v>
      </c>
      <c r="D25" s="30">
        <v>0</v>
      </c>
      <c r="E25" s="30" t="s">
        <v>173</v>
      </c>
    </row>
    <row r="26" spans="1:5">
      <c r="A26" s="30">
        <v>61</v>
      </c>
      <c r="B26" s="30">
        <v>3</v>
      </c>
      <c r="C26" s="30">
        <v>18</v>
      </c>
      <c r="D26" s="30">
        <v>1</v>
      </c>
      <c r="E26" s="30" t="s">
        <v>173</v>
      </c>
    </row>
    <row r="27" spans="1:5">
      <c r="A27" s="30">
        <v>54</v>
      </c>
      <c r="B27" s="30">
        <v>4</v>
      </c>
      <c r="C27" s="30">
        <v>14</v>
      </c>
      <c r="D27" s="30">
        <v>0</v>
      </c>
      <c r="E27" s="30" t="s">
        <v>172</v>
      </c>
    </row>
    <row r="28" spans="1:5">
      <c r="A28" s="30">
        <v>4</v>
      </c>
      <c r="B28" s="30">
        <v>3</v>
      </c>
      <c r="C28" s="30">
        <v>15</v>
      </c>
      <c r="D28" s="30">
        <v>0</v>
      </c>
      <c r="E28" s="30" t="s">
        <v>172</v>
      </c>
    </row>
    <row r="29" spans="1:5">
      <c r="A29" s="30">
        <v>52</v>
      </c>
      <c r="B29" s="30">
        <v>7</v>
      </c>
      <c r="C29" s="30">
        <v>21</v>
      </c>
      <c r="D29" s="30">
        <v>0</v>
      </c>
      <c r="E29" s="30" t="s">
        <v>173</v>
      </c>
    </row>
    <row r="30" spans="1:5">
      <c r="A30" s="30">
        <v>23</v>
      </c>
      <c r="B30" s="30">
        <v>3</v>
      </c>
      <c r="C30" s="30">
        <v>18</v>
      </c>
      <c r="D30" s="30">
        <v>1</v>
      </c>
      <c r="E30" s="30" t="s">
        <v>173</v>
      </c>
    </row>
    <row r="31" spans="1:5">
      <c r="A31" s="30">
        <v>69</v>
      </c>
      <c r="B31" s="30">
        <v>7</v>
      </c>
      <c r="C31" s="30">
        <v>33</v>
      </c>
      <c r="D31" s="30">
        <v>1</v>
      </c>
      <c r="E31" s="30" t="s">
        <v>173</v>
      </c>
    </row>
    <row r="32" spans="1:5">
      <c r="A32" s="30">
        <v>17</v>
      </c>
      <c r="B32" s="30">
        <v>3</v>
      </c>
      <c r="C32" s="30">
        <v>15</v>
      </c>
      <c r="D32" s="30">
        <v>0</v>
      </c>
      <c r="E32" s="30" t="s">
        <v>172</v>
      </c>
    </row>
    <row r="33" spans="1:5">
      <c r="A33" s="30">
        <v>10</v>
      </c>
      <c r="B33" s="30">
        <v>5</v>
      </c>
      <c r="C33" s="30">
        <v>14</v>
      </c>
      <c r="D33" s="30">
        <v>1</v>
      </c>
      <c r="E33" s="30" t="s">
        <v>172</v>
      </c>
    </row>
    <row r="34" spans="1:5">
      <c r="A34" s="30">
        <v>23</v>
      </c>
      <c r="B34" s="30">
        <v>3</v>
      </c>
      <c r="C34" s="30">
        <v>18</v>
      </c>
      <c r="D34" s="30">
        <v>1</v>
      </c>
      <c r="E34" s="30" t="s">
        <v>173</v>
      </c>
    </row>
    <row r="35" spans="1:5">
      <c r="A35" s="30">
        <v>42</v>
      </c>
      <c r="B35" s="30">
        <v>4</v>
      </c>
      <c r="C35" s="30">
        <v>13</v>
      </c>
      <c r="D35" s="30">
        <v>1</v>
      </c>
      <c r="E35" s="30" t="s">
        <v>172</v>
      </c>
    </row>
    <row r="36" spans="1:5">
      <c r="A36" s="30">
        <v>50</v>
      </c>
      <c r="B36" s="30">
        <v>3</v>
      </c>
      <c r="C36" s="30">
        <v>13</v>
      </c>
      <c r="D36" s="30">
        <v>0</v>
      </c>
      <c r="E36" s="30" t="s">
        <v>172</v>
      </c>
    </row>
    <row r="37" spans="1:5">
      <c r="A37" s="30">
        <v>55</v>
      </c>
      <c r="B37" s="30">
        <v>3</v>
      </c>
      <c r="C37" s="30">
        <v>21</v>
      </c>
      <c r="D37" s="30">
        <v>1</v>
      </c>
      <c r="E37" s="30" t="s">
        <v>173</v>
      </c>
    </row>
    <row r="38" spans="1:5">
      <c r="A38" s="30">
        <v>15</v>
      </c>
      <c r="B38" s="30">
        <v>5</v>
      </c>
      <c r="C38" s="30">
        <v>7</v>
      </c>
      <c r="D38" s="30">
        <v>0</v>
      </c>
      <c r="E38" s="30" t="s">
        <v>174</v>
      </c>
    </row>
    <row r="39" spans="1:5">
      <c r="A39" s="30">
        <v>4</v>
      </c>
      <c r="B39" s="30">
        <v>3</v>
      </c>
      <c r="C39" s="30">
        <v>15</v>
      </c>
      <c r="D39" s="30">
        <v>0</v>
      </c>
      <c r="E39" s="30" t="s">
        <v>172</v>
      </c>
    </row>
    <row r="40" spans="1:5">
      <c r="A40" s="30">
        <v>61</v>
      </c>
      <c r="B40" s="30">
        <v>4</v>
      </c>
      <c r="C40" s="30">
        <v>21</v>
      </c>
      <c r="D40" s="30">
        <v>1</v>
      </c>
      <c r="E40" s="30" t="s">
        <v>173</v>
      </c>
    </row>
    <row r="41" spans="1:5">
      <c r="A41" s="30">
        <v>10</v>
      </c>
      <c r="B41" s="30">
        <v>2</v>
      </c>
      <c r="C41" s="30">
        <v>33</v>
      </c>
      <c r="D41" s="30">
        <v>0</v>
      </c>
      <c r="E41" s="30" t="s">
        <v>173</v>
      </c>
    </row>
    <row r="42" spans="1:5">
      <c r="A42" s="30">
        <v>61</v>
      </c>
      <c r="B42" s="30">
        <v>3</v>
      </c>
      <c r="C42" s="30">
        <v>33</v>
      </c>
      <c r="D42" s="30">
        <v>1</v>
      </c>
      <c r="E42" s="30" t="s">
        <v>173</v>
      </c>
    </row>
    <row r="43" spans="1:5">
      <c r="A43" s="30">
        <v>29</v>
      </c>
      <c r="B43" s="30">
        <v>3</v>
      </c>
      <c r="C43" s="30">
        <v>15</v>
      </c>
      <c r="D43" s="30">
        <v>1</v>
      </c>
      <c r="E43" s="30" t="s">
        <v>172</v>
      </c>
    </row>
    <row r="44" spans="1:5">
      <c r="A44" s="30">
        <v>65</v>
      </c>
      <c r="B44" s="30">
        <v>4</v>
      </c>
      <c r="C44" s="30">
        <v>18</v>
      </c>
      <c r="D44" s="30">
        <v>0</v>
      </c>
      <c r="E44" s="30" t="s">
        <v>173</v>
      </c>
    </row>
    <row r="45" spans="1:5">
      <c r="A45" s="30">
        <v>5</v>
      </c>
      <c r="B45" s="30">
        <v>2</v>
      </c>
      <c r="C45" s="30">
        <v>21</v>
      </c>
      <c r="D45" s="30">
        <v>0</v>
      </c>
      <c r="E45" s="30" t="s">
        <v>173</v>
      </c>
    </row>
    <row r="46" spans="1:5">
      <c r="A46" s="30">
        <v>30</v>
      </c>
      <c r="B46" s="30">
        <v>7</v>
      </c>
      <c r="C46" s="30">
        <v>33</v>
      </c>
      <c r="D46" s="30">
        <v>0</v>
      </c>
      <c r="E46" s="30" t="s">
        <v>173</v>
      </c>
    </row>
    <row r="47" spans="1:5">
      <c r="A47" s="30">
        <v>61</v>
      </c>
      <c r="B47" s="30">
        <v>3</v>
      </c>
      <c r="C47" s="30">
        <v>18</v>
      </c>
      <c r="D47" s="30">
        <v>1</v>
      </c>
      <c r="E47" s="30" t="s">
        <v>173</v>
      </c>
    </row>
    <row r="48" spans="1:5">
      <c r="A48" s="30">
        <v>75</v>
      </c>
      <c r="B48" s="30">
        <v>4</v>
      </c>
      <c r="C48" s="30">
        <v>14</v>
      </c>
      <c r="D48" s="30">
        <v>1</v>
      </c>
      <c r="E48" s="30" t="s">
        <v>172</v>
      </c>
    </row>
    <row r="49" spans="1:5">
      <c r="A49" s="30">
        <v>24</v>
      </c>
      <c r="B49" s="30">
        <v>3</v>
      </c>
      <c r="C49" s="30">
        <v>33</v>
      </c>
      <c r="D49" s="30">
        <v>1</v>
      </c>
      <c r="E49" s="30" t="s">
        <v>173</v>
      </c>
    </row>
    <row r="50" spans="1:5">
      <c r="A50" s="30">
        <v>21</v>
      </c>
      <c r="B50" s="30">
        <v>2</v>
      </c>
      <c r="C50" s="30">
        <v>7</v>
      </c>
      <c r="D50" s="30">
        <v>0</v>
      </c>
      <c r="E50" s="30" t="s">
        <v>174</v>
      </c>
    </row>
    <row r="51" spans="1:5">
      <c r="A51" s="30">
        <v>43</v>
      </c>
      <c r="B51" s="30">
        <v>3</v>
      </c>
      <c r="C51" s="30">
        <v>12</v>
      </c>
      <c r="D51" s="30">
        <v>1</v>
      </c>
      <c r="E51" s="30" t="s">
        <v>172</v>
      </c>
    </row>
    <row r="52" spans="1:5">
      <c r="A52" s="30">
        <v>18</v>
      </c>
      <c r="B52" s="30">
        <v>5</v>
      </c>
      <c r="C52" s="30">
        <v>12</v>
      </c>
      <c r="D52" s="30">
        <v>0</v>
      </c>
      <c r="E52" s="30" t="s">
        <v>172</v>
      </c>
    </row>
    <row r="53" spans="1:5">
      <c r="A53" s="30">
        <v>28</v>
      </c>
      <c r="B53" s="30">
        <v>4</v>
      </c>
      <c r="C53" s="30">
        <v>4</v>
      </c>
      <c r="D53" s="30">
        <v>1</v>
      </c>
      <c r="E53" s="30" t="s">
        <v>174</v>
      </c>
    </row>
    <row r="54" spans="1:5">
      <c r="A54" s="30">
        <v>12</v>
      </c>
      <c r="B54" s="30">
        <v>3</v>
      </c>
      <c r="C54" s="30">
        <v>21</v>
      </c>
      <c r="D54" s="30">
        <v>1</v>
      </c>
      <c r="E54" s="30" t="s">
        <v>173</v>
      </c>
    </row>
    <row r="55" spans="1:5">
      <c r="A55" s="30">
        <v>75</v>
      </c>
      <c r="B55" s="30">
        <v>3</v>
      </c>
      <c r="C55" s="30">
        <v>13</v>
      </c>
      <c r="D55" s="30">
        <v>1</v>
      </c>
      <c r="E55" s="30" t="s">
        <v>172</v>
      </c>
    </row>
    <row r="56" spans="1:5">
      <c r="A56" s="30">
        <v>24</v>
      </c>
      <c r="B56" s="30">
        <v>3</v>
      </c>
      <c r="C56" s="30">
        <v>21</v>
      </c>
      <c r="D56" s="30">
        <v>0</v>
      </c>
      <c r="E56" s="30" t="s">
        <v>173</v>
      </c>
    </row>
    <row r="57" spans="1:5">
      <c r="A57" s="30">
        <v>4</v>
      </c>
      <c r="B57" s="30">
        <v>3</v>
      </c>
      <c r="C57" s="30">
        <v>15</v>
      </c>
      <c r="D57" s="30">
        <v>0</v>
      </c>
      <c r="E57" s="30" t="s">
        <v>172</v>
      </c>
    </row>
    <row r="58" spans="1:5">
      <c r="A58" s="30">
        <v>54</v>
      </c>
      <c r="B58" s="30">
        <v>4</v>
      </c>
      <c r="C58" s="30">
        <v>14</v>
      </c>
      <c r="D58" s="30">
        <v>0</v>
      </c>
      <c r="E58" s="30" t="s">
        <v>172</v>
      </c>
    </row>
    <row r="59" spans="1:5">
      <c r="A59" s="30">
        <v>28</v>
      </c>
      <c r="B59" s="30">
        <v>4</v>
      </c>
      <c r="C59" s="30">
        <v>14</v>
      </c>
      <c r="D59" s="30">
        <v>1</v>
      </c>
      <c r="E59" s="30" t="s">
        <v>172</v>
      </c>
    </row>
    <row r="60" spans="1:5">
      <c r="A60" s="30">
        <v>21</v>
      </c>
      <c r="B60" s="30">
        <v>5</v>
      </c>
      <c r="C60" s="30">
        <v>15</v>
      </c>
      <c r="D60" s="30">
        <v>1</v>
      </c>
      <c r="E60" s="30" t="s">
        <v>172</v>
      </c>
    </row>
    <row r="61" spans="1:5">
      <c r="A61" s="30">
        <v>61</v>
      </c>
      <c r="B61" s="30">
        <v>3</v>
      </c>
      <c r="C61" s="30">
        <v>18</v>
      </c>
      <c r="D61" s="30">
        <v>1</v>
      </c>
      <c r="E61" s="30" t="s">
        <v>173</v>
      </c>
    </row>
    <row r="62" spans="1:5">
      <c r="A62" s="30">
        <v>15</v>
      </c>
      <c r="B62" s="30">
        <v>4</v>
      </c>
      <c r="C62" s="30">
        <v>21</v>
      </c>
      <c r="D62" s="30">
        <v>1</v>
      </c>
      <c r="E62" s="30" t="s">
        <v>173</v>
      </c>
    </row>
    <row r="63" spans="1:5">
      <c r="A63" s="30">
        <v>4</v>
      </c>
      <c r="B63" s="30">
        <v>2</v>
      </c>
      <c r="C63" s="30">
        <v>18</v>
      </c>
      <c r="D63" s="30">
        <v>1</v>
      </c>
      <c r="E63" s="30" t="s">
        <v>173</v>
      </c>
    </row>
    <row r="64" spans="1:5">
      <c r="A64" s="30">
        <v>68</v>
      </c>
      <c r="B64" s="30">
        <v>4</v>
      </c>
      <c r="C64" s="30">
        <v>15</v>
      </c>
      <c r="D64" s="30">
        <v>0</v>
      </c>
      <c r="E64" s="30" t="s">
        <v>172</v>
      </c>
    </row>
    <row r="65" spans="1:5">
      <c r="A65" s="30">
        <v>36</v>
      </c>
      <c r="B65" s="30">
        <v>2</v>
      </c>
      <c r="C65" s="30">
        <v>21</v>
      </c>
      <c r="D65" s="30">
        <v>0</v>
      </c>
      <c r="E65" s="30" t="s">
        <v>173</v>
      </c>
    </row>
    <row r="66" spans="1:5">
      <c r="A66" s="30">
        <v>38</v>
      </c>
      <c r="B66" s="30">
        <v>2</v>
      </c>
      <c r="C66" s="30">
        <v>33</v>
      </c>
      <c r="D66" s="30">
        <v>0</v>
      </c>
      <c r="E66" s="30" t="s">
        <v>173</v>
      </c>
    </row>
    <row r="67" spans="1:5">
      <c r="A67" s="30">
        <v>32</v>
      </c>
      <c r="B67" s="30">
        <v>4</v>
      </c>
      <c r="C67" s="30">
        <v>13</v>
      </c>
      <c r="D67" s="30">
        <v>0</v>
      </c>
      <c r="E67" s="30" t="s">
        <v>172</v>
      </c>
    </row>
    <row r="68" spans="1:5">
      <c r="A68" s="30">
        <v>24</v>
      </c>
      <c r="B68" s="30">
        <v>5</v>
      </c>
      <c r="C68" s="30">
        <v>12</v>
      </c>
      <c r="D68" s="30">
        <v>1</v>
      </c>
      <c r="E68" s="30" t="s">
        <v>172</v>
      </c>
    </row>
    <row r="69" spans="1:5">
      <c r="A69" s="30">
        <v>29</v>
      </c>
      <c r="B69" s="30">
        <v>3</v>
      </c>
      <c r="C69" s="30">
        <v>13</v>
      </c>
      <c r="D69" s="30">
        <v>0</v>
      </c>
      <c r="E69" s="30" t="s">
        <v>172</v>
      </c>
    </row>
    <row r="70" spans="1:5">
      <c r="A70" s="30">
        <v>6</v>
      </c>
      <c r="B70" s="30">
        <v>4</v>
      </c>
      <c r="C70" s="30">
        <v>33</v>
      </c>
      <c r="D70" s="30">
        <v>0</v>
      </c>
      <c r="E70" s="30" t="s">
        <v>173</v>
      </c>
    </row>
    <row r="71" spans="1:5">
      <c r="A71" s="30">
        <v>6</v>
      </c>
      <c r="B71" s="30">
        <v>4</v>
      </c>
      <c r="C71" s="30">
        <v>33</v>
      </c>
      <c r="D71" s="30">
        <v>0</v>
      </c>
      <c r="E71" s="30" t="s">
        <v>173</v>
      </c>
    </row>
    <row r="72" spans="1:5">
      <c r="A72" s="30">
        <v>12</v>
      </c>
      <c r="B72" s="30">
        <v>4</v>
      </c>
      <c r="C72" s="30">
        <v>18</v>
      </c>
      <c r="D72" s="30">
        <v>0</v>
      </c>
      <c r="E72" s="30" t="s">
        <v>173</v>
      </c>
    </row>
    <row r="73" spans="1:5">
      <c r="A73" s="30">
        <v>42</v>
      </c>
      <c r="B73" s="30">
        <v>4</v>
      </c>
      <c r="C73" s="30">
        <v>13</v>
      </c>
      <c r="D73" s="30">
        <v>1</v>
      </c>
      <c r="E73" s="30" t="s">
        <v>172</v>
      </c>
    </row>
    <row r="74" spans="1:5">
      <c r="A74" s="30">
        <v>19</v>
      </c>
      <c r="B74" s="30">
        <v>4</v>
      </c>
      <c r="C74" s="30">
        <v>14</v>
      </c>
      <c r="D74" s="30">
        <v>1</v>
      </c>
      <c r="E74" s="30" t="s">
        <v>172</v>
      </c>
    </row>
    <row r="75" spans="1:5">
      <c r="A75" s="30">
        <v>14</v>
      </c>
      <c r="B75" s="30">
        <v>2</v>
      </c>
      <c r="C75" s="30">
        <v>33</v>
      </c>
      <c r="D75" s="30">
        <v>1</v>
      </c>
      <c r="E75" s="30" t="s">
        <v>173</v>
      </c>
    </row>
    <row r="76" spans="1:5">
      <c r="A76" s="30">
        <v>16</v>
      </c>
      <c r="B76" s="30">
        <v>4</v>
      </c>
      <c r="C76" s="30">
        <v>13</v>
      </c>
      <c r="D76" s="30">
        <v>1</v>
      </c>
      <c r="E76" s="30" t="s">
        <v>172</v>
      </c>
    </row>
    <row r="77" spans="1:5">
      <c r="A77" s="30">
        <v>14</v>
      </c>
      <c r="B77" s="30">
        <v>2</v>
      </c>
      <c r="C77" s="30">
        <v>33</v>
      </c>
      <c r="D77" s="30">
        <v>1</v>
      </c>
      <c r="E77" s="30" t="s">
        <v>173</v>
      </c>
    </row>
    <row r="78" spans="1:5">
      <c r="A78" s="30">
        <v>41</v>
      </c>
      <c r="B78" s="30">
        <v>4</v>
      </c>
      <c r="C78" s="30">
        <v>18</v>
      </c>
      <c r="D78" s="30">
        <v>0</v>
      </c>
      <c r="E78" s="30" t="s">
        <v>173</v>
      </c>
    </row>
    <row r="79" spans="1:5">
      <c r="A79" s="30">
        <v>43</v>
      </c>
      <c r="B79" s="30">
        <v>3</v>
      </c>
      <c r="C79" s="30">
        <v>12</v>
      </c>
      <c r="D79" s="30">
        <v>1</v>
      </c>
      <c r="E79" s="30" t="s">
        <v>172</v>
      </c>
    </row>
    <row r="80" spans="1:5">
      <c r="A80" s="30">
        <v>3</v>
      </c>
      <c r="B80" s="30">
        <v>5</v>
      </c>
      <c r="C80" s="30">
        <v>10</v>
      </c>
      <c r="D80" s="30">
        <v>1</v>
      </c>
      <c r="E80" s="30" t="s">
        <v>172</v>
      </c>
    </row>
    <row r="81" spans="1:5">
      <c r="A81" s="30">
        <v>55</v>
      </c>
      <c r="B81" s="30">
        <v>7</v>
      </c>
      <c r="C81" s="30">
        <v>18</v>
      </c>
      <c r="D81" s="30">
        <v>0</v>
      </c>
      <c r="E81" s="30" t="s">
        <v>173</v>
      </c>
    </row>
    <row r="82" spans="1:5">
      <c r="A82" s="30">
        <v>49</v>
      </c>
      <c r="B82" s="30">
        <v>3</v>
      </c>
      <c r="C82" s="30">
        <v>15</v>
      </c>
      <c r="D82" s="30">
        <v>0</v>
      </c>
      <c r="E82" s="30" t="s">
        <v>172</v>
      </c>
    </row>
    <row r="83" spans="1:5">
      <c r="A83" s="30">
        <v>47</v>
      </c>
      <c r="B83" s="30">
        <v>3</v>
      </c>
      <c r="C83" s="30">
        <v>18</v>
      </c>
      <c r="D83" s="30">
        <v>0</v>
      </c>
      <c r="E83" s="30" t="s">
        <v>173</v>
      </c>
    </row>
    <row r="84" spans="1:5">
      <c r="A84" s="30">
        <v>65</v>
      </c>
      <c r="B84" s="30">
        <v>4</v>
      </c>
      <c r="C84" s="30">
        <v>18</v>
      </c>
      <c r="D84" s="30">
        <v>0</v>
      </c>
      <c r="E84" s="30" t="s">
        <v>173</v>
      </c>
    </row>
    <row r="85" spans="1:5">
      <c r="A85" s="30">
        <v>66</v>
      </c>
      <c r="B85" s="30">
        <v>5</v>
      </c>
      <c r="C85" s="30">
        <v>7</v>
      </c>
      <c r="D85" s="30">
        <v>1</v>
      </c>
      <c r="E85" s="30" t="s">
        <v>174</v>
      </c>
    </row>
    <row r="86" spans="1:5">
      <c r="A86" s="30">
        <v>34</v>
      </c>
      <c r="B86" s="30">
        <v>2</v>
      </c>
      <c r="C86" s="30">
        <v>21</v>
      </c>
      <c r="D86" s="30">
        <v>1</v>
      </c>
      <c r="E86" s="30" t="s">
        <v>173</v>
      </c>
    </row>
    <row r="87" spans="1:5">
      <c r="A87" s="30">
        <v>18</v>
      </c>
      <c r="B87" s="30">
        <v>5</v>
      </c>
      <c r="C87" s="30">
        <v>12</v>
      </c>
      <c r="D87" s="30">
        <v>0</v>
      </c>
      <c r="E87" s="30" t="s">
        <v>172</v>
      </c>
    </row>
    <row r="88" spans="1:5">
      <c r="A88" s="30">
        <v>32</v>
      </c>
      <c r="B88" s="30">
        <v>4</v>
      </c>
      <c r="C88" s="30">
        <v>33</v>
      </c>
      <c r="D88" s="30">
        <v>1</v>
      </c>
      <c r="E88" s="30" t="s">
        <v>173</v>
      </c>
    </row>
    <row r="89" spans="1:5">
      <c r="A89" s="30">
        <v>61</v>
      </c>
      <c r="B89" s="30">
        <v>4</v>
      </c>
      <c r="C89" s="30">
        <v>21</v>
      </c>
      <c r="D89" s="30">
        <v>1</v>
      </c>
      <c r="E89" s="30" t="s">
        <v>173</v>
      </c>
    </row>
    <row r="90" spans="1:5">
      <c r="A90" s="30">
        <v>75</v>
      </c>
      <c r="B90" s="30">
        <v>3</v>
      </c>
      <c r="C90" s="30">
        <v>13</v>
      </c>
      <c r="D90" s="30">
        <v>1</v>
      </c>
      <c r="E90" s="30" t="s">
        <v>172</v>
      </c>
    </row>
    <row r="91" spans="1:5">
      <c r="A91" s="30">
        <v>21</v>
      </c>
      <c r="B91" s="30">
        <v>5</v>
      </c>
      <c r="C91" s="30">
        <v>15</v>
      </c>
      <c r="D91" s="30">
        <v>1</v>
      </c>
      <c r="E91" s="30" t="s">
        <v>172</v>
      </c>
    </row>
    <row r="92" spans="1:5">
      <c r="A92" s="30">
        <v>8</v>
      </c>
      <c r="B92" s="30">
        <v>4</v>
      </c>
      <c r="C92" s="30">
        <v>13</v>
      </c>
      <c r="D92" s="30">
        <v>0</v>
      </c>
      <c r="E92" s="30" t="s">
        <v>172</v>
      </c>
    </row>
    <row r="93" spans="1:5">
      <c r="A93" s="30">
        <v>50</v>
      </c>
      <c r="B93" s="30">
        <v>3</v>
      </c>
      <c r="C93" s="30">
        <v>13</v>
      </c>
      <c r="D93" s="30">
        <v>0</v>
      </c>
      <c r="E93" s="30" t="s">
        <v>172</v>
      </c>
    </row>
    <row r="94" spans="1:5">
      <c r="A94" s="30">
        <v>28</v>
      </c>
      <c r="B94" s="30">
        <v>3</v>
      </c>
      <c r="C94" s="30">
        <v>13</v>
      </c>
      <c r="D94" s="30">
        <v>1</v>
      </c>
      <c r="E94" s="30" t="s">
        <v>172</v>
      </c>
    </row>
    <row r="95" spans="1:5">
      <c r="A95" s="30">
        <v>82</v>
      </c>
      <c r="B95" s="30">
        <v>5</v>
      </c>
      <c r="C95" s="30">
        <v>33</v>
      </c>
      <c r="D95" s="30">
        <v>1</v>
      </c>
      <c r="E95" s="30" t="s">
        <v>173</v>
      </c>
    </row>
    <row r="96" spans="1:5">
      <c r="A96" s="30">
        <v>48</v>
      </c>
      <c r="B96" s="30">
        <v>4</v>
      </c>
      <c r="C96" s="30">
        <v>13</v>
      </c>
      <c r="D96" s="30">
        <v>0</v>
      </c>
      <c r="E96" s="30" t="s">
        <v>172</v>
      </c>
    </row>
    <row r="97" spans="1:5">
      <c r="A97" s="30">
        <v>51</v>
      </c>
      <c r="B97" s="30">
        <v>3</v>
      </c>
      <c r="C97" s="30">
        <v>33</v>
      </c>
      <c r="D97" s="30">
        <v>1</v>
      </c>
      <c r="E97" s="30" t="s">
        <v>173</v>
      </c>
    </row>
    <row r="98" spans="1:5">
      <c r="A98" s="30">
        <v>39</v>
      </c>
      <c r="B98" s="30">
        <v>4</v>
      </c>
      <c r="C98" s="30">
        <v>33</v>
      </c>
      <c r="D98" s="30">
        <v>0</v>
      </c>
      <c r="E98" s="30" t="s">
        <v>173</v>
      </c>
    </row>
    <row r="99" spans="1:5">
      <c r="A99" s="30">
        <v>12</v>
      </c>
      <c r="B99" s="30">
        <v>5</v>
      </c>
      <c r="C99" s="30">
        <v>13</v>
      </c>
      <c r="D99" s="30">
        <v>1</v>
      </c>
      <c r="E99" s="30" t="s">
        <v>172</v>
      </c>
    </row>
    <row r="100" spans="1:5">
      <c r="A100" s="30">
        <v>4</v>
      </c>
      <c r="B100" s="30">
        <v>2</v>
      </c>
      <c r="C100" s="30">
        <v>12</v>
      </c>
      <c r="D100" s="30">
        <v>0</v>
      </c>
      <c r="E100" s="30" t="s">
        <v>172</v>
      </c>
    </row>
    <row r="101" spans="1:5">
      <c r="A101" s="30">
        <v>49</v>
      </c>
      <c r="B101" s="30">
        <v>4</v>
      </c>
      <c r="C101" s="30">
        <v>7</v>
      </c>
      <c r="D101" s="30">
        <v>1</v>
      </c>
      <c r="E101" s="30" t="s">
        <v>174</v>
      </c>
    </row>
    <row r="102" spans="1:5">
      <c r="A102" s="30">
        <v>10</v>
      </c>
      <c r="B102" s="30">
        <v>2</v>
      </c>
      <c r="C102" s="30">
        <v>33</v>
      </c>
      <c r="D102" s="30">
        <v>0</v>
      </c>
      <c r="E102" s="30" t="s">
        <v>173</v>
      </c>
    </row>
    <row r="103" spans="1:5">
      <c r="A103" s="30">
        <v>27</v>
      </c>
      <c r="B103" s="30">
        <v>3</v>
      </c>
      <c r="C103" s="30">
        <v>13</v>
      </c>
      <c r="D103" s="30">
        <v>1</v>
      </c>
      <c r="E103" s="30" t="s">
        <v>172</v>
      </c>
    </row>
    <row r="104" spans="1:5">
      <c r="A104" s="30">
        <v>35</v>
      </c>
      <c r="B104" s="30">
        <v>4</v>
      </c>
      <c r="C104" s="30">
        <v>15</v>
      </c>
      <c r="D104" s="30">
        <v>1</v>
      </c>
      <c r="E104" s="30" t="s">
        <v>172</v>
      </c>
    </row>
    <row r="105" spans="1:5">
      <c r="A105" s="30">
        <v>42</v>
      </c>
      <c r="B105" s="30">
        <v>4</v>
      </c>
      <c r="C105" s="30">
        <v>13</v>
      </c>
      <c r="D105" s="30">
        <v>1</v>
      </c>
      <c r="E105" s="30" t="s">
        <v>172</v>
      </c>
    </row>
    <row r="106" spans="1:5">
      <c r="A106" s="30">
        <v>23</v>
      </c>
      <c r="B106" s="30">
        <v>5</v>
      </c>
      <c r="C106" s="30">
        <v>13</v>
      </c>
      <c r="D106" s="30">
        <v>1</v>
      </c>
      <c r="E106" s="30" t="s">
        <v>172</v>
      </c>
    </row>
    <row r="107" spans="1:5">
      <c r="A107" s="30">
        <v>23</v>
      </c>
      <c r="B107" s="30">
        <v>3</v>
      </c>
      <c r="C107" s="30">
        <v>12</v>
      </c>
      <c r="D107" s="30">
        <v>0</v>
      </c>
      <c r="E107" s="30" t="s">
        <v>172</v>
      </c>
    </row>
    <row r="108" spans="1:5">
      <c r="A108" s="30">
        <v>52</v>
      </c>
      <c r="B108" s="30">
        <v>3</v>
      </c>
      <c r="C108" s="30">
        <v>33</v>
      </c>
      <c r="D108" s="30">
        <v>1</v>
      </c>
      <c r="E108" s="30" t="s">
        <v>173</v>
      </c>
    </row>
    <row r="109" spans="1:5">
      <c r="A109" s="30">
        <v>48</v>
      </c>
      <c r="B109" s="30">
        <v>5</v>
      </c>
      <c r="C109" s="30">
        <v>18</v>
      </c>
      <c r="D109" s="30">
        <v>0</v>
      </c>
      <c r="E109" s="30" t="s">
        <v>173</v>
      </c>
    </row>
    <row r="110" spans="1:5">
      <c r="A110" s="30">
        <v>70</v>
      </c>
      <c r="B110" s="30">
        <v>2</v>
      </c>
      <c r="C110" s="30">
        <v>10</v>
      </c>
      <c r="D110" s="30">
        <v>0</v>
      </c>
      <c r="E110" s="30" t="s">
        <v>172</v>
      </c>
    </row>
    <row r="111" spans="1:5">
      <c r="A111" s="30">
        <v>42</v>
      </c>
      <c r="B111" s="30">
        <v>4</v>
      </c>
      <c r="C111" s="30">
        <v>13</v>
      </c>
      <c r="D111" s="30">
        <v>1</v>
      </c>
      <c r="E111" s="30" t="s">
        <v>172</v>
      </c>
    </row>
    <row r="112" spans="1:5">
      <c r="A112" s="30">
        <v>68</v>
      </c>
      <c r="B112" s="30">
        <v>4</v>
      </c>
      <c r="C112" s="30">
        <v>15</v>
      </c>
      <c r="D112" s="30">
        <v>0</v>
      </c>
      <c r="E112" s="30" t="s">
        <v>172</v>
      </c>
    </row>
    <row r="113" spans="1:5">
      <c r="A113" s="30">
        <v>23</v>
      </c>
      <c r="B113" s="30">
        <v>3</v>
      </c>
      <c r="C113" s="30">
        <v>13</v>
      </c>
      <c r="D113" s="30">
        <v>0</v>
      </c>
      <c r="E113" s="30" t="s">
        <v>172</v>
      </c>
    </row>
    <row r="114" spans="1:5">
      <c r="A114" s="30">
        <v>4</v>
      </c>
      <c r="B114" s="30">
        <v>2</v>
      </c>
      <c r="C114" s="30">
        <v>33</v>
      </c>
      <c r="D114" s="30">
        <v>1</v>
      </c>
      <c r="E114" s="30" t="s">
        <v>173</v>
      </c>
    </row>
    <row r="115" spans="1:5">
      <c r="A115" s="30">
        <v>34</v>
      </c>
      <c r="B115" s="30">
        <v>4</v>
      </c>
      <c r="C115" s="30">
        <v>3</v>
      </c>
      <c r="D115" s="30">
        <v>1</v>
      </c>
      <c r="E115" s="30" t="s">
        <v>174</v>
      </c>
    </row>
    <row r="116" spans="1:5">
      <c r="A116" s="30">
        <v>52</v>
      </c>
      <c r="B116" s="30">
        <v>3</v>
      </c>
      <c r="C116" s="30">
        <v>33</v>
      </c>
      <c r="D116" s="30">
        <v>1</v>
      </c>
      <c r="E116" s="30" t="s">
        <v>173</v>
      </c>
    </row>
    <row r="117" spans="1:5">
      <c r="A117" s="30">
        <v>10</v>
      </c>
      <c r="B117" s="30">
        <v>5</v>
      </c>
      <c r="C117" s="30">
        <v>14</v>
      </c>
      <c r="D117" s="30">
        <v>1</v>
      </c>
      <c r="E117" s="30" t="s">
        <v>172</v>
      </c>
    </row>
    <row r="118" spans="1:5">
      <c r="A118" s="30">
        <v>28</v>
      </c>
      <c r="B118" s="30">
        <v>4</v>
      </c>
      <c r="C118" s="30">
        <v>21</v>
      </c>
      <c r="D118" s="30">
        <v>1</v>
      </c>
      <c r="E118" s="30" t="s">
        <v>173</v>
      </c>
    </row>
    <row r="119" spans="1:5">
      <c r="A119" s="30">
        <v>49</v>
      </c>
      <c r="B119" s="30">
        <v>4</v>
      </c>
      <c r="C119" s="30">
        <v>33</v>
      </c>
      <c r="D119" s="30">
        <v>1</v>
      </c>
      <c r="E119" s="30" t="s">
        <v>173</v>
      </c>
    </row>
    <row r="120" spans="1:5">
      <c r="A120" s="30">
        <v>65</v>
      </c>
      <c r="B120" s="30">
        <v>4</v>
      </c>
      <c r="C120" s="30">
        <v>18</v>
      </c>
      <c r="D120" s="30">
        <v>0</v>
      </c>
      <c r="E120" s="30" t="s">
        <v>173</v>
      </c>
    </row>
    <row r="121" spans="1:5">
      <c r="A121" s="30">
        <v>6</v>
      </c>
      <c r="B121" s="30">
        <v>3</v>
      </c>
      <c r="C121" s="30">
        <v>13</v>
      </c>
      <c r="D121" s="30">
        <v>0</v>
      </c>
      <c r="E121" s="30" t="s">
        <v>172</v>
      </c>
    </row>
    <row r="122" spans="1:5">
      <c r="A122" s="30">
        <v>37</v>
      </c>
      <c r="B122" s="30">
        <v>4</v>
      </c>
      <c r="C122" s="30">
        <v>14</v>
      </c>
      <c r="D122" s="30">
        <v>1</v>
      </c>
      <c r="E122" s="30" t="s">
        <v>172</v>
      </c>
    </row>
    <row r="123" spans="1:5">
      <c r="A123" s="30">
        <v>29</v>
      </c>
      <c r="B123" s="30">
        <v>3</v>
      </c>
      <c r="C123" s="30">
        <v>13</v>
      </c>
      <c r="D123" s="30">
        <v>0</v>
      </c>
      <c r="E123" s="30" t="s">
        <v>172</v>
      </c>
    </row>
    <row r="124" spans="1:5">
      <c r="A124" s="30">
        <v>34</v>
      </c>
      <c r="B124" s="30">
        <v>3</v>
      </c>
      <c r="C124" s="30">
        <v>12</v>
      </c>
      <c r="D124" s="30">
        <v>0</v>
      </c>
      <c r="E124" s="30" t="s">
        <v>172</v>
      </c>
    </row>
    <row r="125" spans="1:5">
      <c r="A125" s="30">
        <v>61</v>
      </c>
      <c r="B125" s="30">
        <v>3</v>
      </c>
      <c r="C125" s="30">
        <v>33</v>
      </c>
      <c r="D125" s="30">
        <v>1</v>
      </c>
      <c r="E125" s="30" t="s">
        <v>173</v>
      </c>
    </row>
    <row r="126" spans="1:5">
      <c r="A126" s="30">
        <v>23</v>
      </c>
      <c r="B126" s="30">
        <v>3</v>
      </c>
      <c r="C126" s="30">
        <v>13</v>
      </c>
      <c r="D126" s="30">
        <v>0</v>
      </c>
      <c r="E126" s="30" t="s">
        <v>172</v>
      </c>
    </row>
    <row r="127" spans="1:5">
      <c r="A127" s="30">
        <v>84</v>
      </c>
      <c r="B127" s="30">
        <v>3</v>
      </c>
      <c r="C127" s="30">
        <v>10</v>
      </c>
      <c r="D127" s="30">
        <v>0</v>
      </c>
      <c r="E127" s="30" t="s">
        <v>172</v>
      </c>
    </row>
    <row r="128" spans="1:5">
      <c r="A128" s="30">
        <v>55</v>
      </c>
      <c r="B128" s="30">
        <v>3</v>
      </c>
      <c r="C128" s="30">
        <v>21</v>
      </c>
      <c r="D128" s="30">
        <v>1</v>
      </c>
      <c r="E128" s="30" t="s">
        <v>173</v>
      </c>
    </row>
    <row r="129" spans="1:5">
      <c r="A129" s="30">
        <v>42</v>
      </c>
      <c r="B129" s="30">
        <v>2</v>
      </c>
      <c r="C129" s="30">
        <v>33</v>
      </c>
      <c r="D129" s="30">
        <v>1</v>
      </c>
      <c r="E129" s="30" t="s">
        <v>173</v>
      </c>
    </row>
    <row r="130" spans="1:5">
      <c r="A130" s="30">
        <v>16</v>
      </c>
      <c r="B130" s="30">
        <v>2</v>
      </c>
      <c r="C130" s="30">
        <v>18</v>
      </c>
      <c r="D130" s="30">
        <v>1</v>
      </c>
      <c r="E130" s="30" t="s">
        <v>173</v>
      </c>
    </row>
    <row r="131" spans="1:5">
      <c r="A131" s="30">
        <v>32</v>
      </c>
      <c r="B131" s="30">
        <v>4</v>
      </c>
      <c r="C131" s="30">
        <v>33</v>
      </c>
      <c r="D131" s="30">
        <v>1</v>
      </c>
      <c r="E131" s="30" t="s">
        <v>173</v>
      </c>
    </row>
    <row r="132" spans="1:5">
      <c r="A132" s="30">
        <v>4</v>
      </c>
      <c r="B132" s="30">
        <v>3</v>
      </c>
      <c r="C132" s="30">
        <v>15</v>
      </c>
      <c r="D132" s="30">
        <v>0</v>
      </c>
      <c r="E132" s="30" t="s">
        <v>172</v>
      </c>
    </row>
    <row r="133" spans="1:5">
      <c r="A133" s="30">
        <v>6</v>
      </c>
      <c r="B133" s="30">
        <v>3</v>
      </c>
      <c r="C133" s="30">
        <v>14</v>
      </c>
      <c r="D133" s="30">
        <v>0</v>
      </c>
      <c r="E133" s="30" t="s">
        <v>172</v>
      </c>
    </row>
    <row r="134" spans="1:5">
      <c r="A134" s="30">
        <v>43</v>
      </c>
      <c r="B134" s="30">
        <v>4</v>
      </c>
      <c r="C134" s="30">
        <v>15</v>
      </c>
      <c r="D134" s="30">
        <v>1</v>
      </c>
      <c r="E134" s="30" t="s">
        <v>172</v>
      </c>
    </row>
    <row r="135" spans="1:5">
      <c r="A135" s="30">
        <v>32</v>
      </c>
      <c r="B135" s="30">
        <v>4</v>
      </c>
      <c r="C135" s="30">
        <v>13</v>
      </c>
      <c r="D135" s="30">
        <v>0</v>
      </c>
      <c r="E135" s="30" t="s">
        <v>172</v>
      </c>
    </row>
    <row r="136" spans="1:5">
      <c r="A136" s="30">
        <v>64</v>
      </c>
      <c r="B136" s="30">
        <v>4</v>
      </c>
      <c r="C136" s="30">
        <v>14</v>
      </c>
      <c r="D136" s="30">
        <v>1</v>
      </c>
      <c r="E136" s="30" t="s">
        <v>172</v>
      </c>
    </row>
    <row r="137" spans="1:5">
      <c r="A137" s="30">
        <v>61</v>
      </c>
      <c r="B137" s="30">
        <v>3</v>
      </c>
      <c r="C137" s="30">
        <v>33</v>
      </c>
      <c r="D137" s="30">
        <v>1</v>
      </c>
      <c r="E137" s="30" t="s">
        <v>173</v>
      </c>
    </row>
    <row r="138" spans="1:5">
      <c r="A138" s="30">
        <v>47</v>
      </c>
      <c r="B138" s="30">
        <v>3</v>
      </c>
      <c r="C138" s="30">
        <v>21</v>
      </c>
      <c r="D138" s="30">
        <v>1</v>
      </c>
      <c r="E138" s="30" t="s">
        <v>173</v>
      </c>
    </row>
    <row r="139" spans="1:5">
      <c r="A139" s="30">
        <v>54</v>
      </c>
      <c r="B139" s="30">
        <v>4</v>
      </c>
      <c r="C139" s="30">
        <v>14</v>
      </c>
      <c r="D139" s="30">
        <v>0</v>
      </c>
      <c r="E139" s="30" t="s">
        <v>172</v>
      </c>
    </row>
    <row r="140" spans="1:5">
      <c r="A140" s="30">
        <v>2</v>
      </c>
      <c r="B140" s="30">
        <v>3</v>
      </c>
      <c r="C140" s="30">
        <v>7</v>
      </c>
      <c r="D140" s="30">
        <v>0</v>
      </c>
      <c r="E140" s="30" t="s">
        <v>174</v>
      </c>
    </row>
    <row r="141" spans="1:5">
      <c r="A141" s="30">
        <v>2</v>
      </c>
      <c r="B141" s="30">
        <v>2</v>
      </c>
      <c r="C141" s="30">
        <v>10</v>
      </c>
      <c r="D141" s="30">
        <v>1</v>
      </c>
      <c r="E141" s="30" t="s">
        <v>172</v>
      </c>
    </row>
    <row r="142" spans="1:5">
      <c r="A142" s="30">
        <v>27</v>
      </c>
      <c r="B142" s="30">
        <v>1</v>
      </c>
      <c r="C142" s="30">
        <v>4</v>
      </c>
      <c r="D142" s="30">
        <v>1</v>
      </c>
      <c r="E142" s="30" t="s">
        <v>174</v>
      </c>
    </row>
    <row r="143" spans="1:5">
      <c r="A143" s="30">
        <v>22</v>
      </c>
      <c r="B143" s="30">
        <v>3</v>
      </c>
      <c r="C143" s="30">
        <v>3</v>
      </c>
      <c r="D143" s="30">
        <v>1</v>
      </c>
      <c r="E143" s="30" t="s">
        <v>174</v>
      </c>
    </row>
    <row r="144" spans="1:5">
      <c r="A144" s="30">
        <v>42</v>
      </c>
      <c r="B144" s="30">
        <v>5</v>
      </c>
      <c r="C144" s="30">
        <v>18</v>
      </c>
      <c r="D144" s="30">
        <v>0</v>
      </c>
      <c r="E144" s="30" t="s">
        <v>173</v>
      </c>
    </row>
    <row r="145" spans="1:5">
      <c r="A145" s="30">
        <v>61</v>
      </c>
      <c r="B145" s="30">
        <v>4</v>
      </c>
      <c r="C145" s="30">
        <v>21</v>
      </c>
      <c r="D145" s="30">
        <v>1</v>
      </c>
      <c r="E145" s="30" t="s">
        <v>173</v>
      </c>
    </row>
    <row r="146" spans="1:5">
      <c r="A146" s="30">
        <v>65</v>
      </c>
      <c r="B146" s="30">
        <v>4</v>
      </c>
      <c r="C146" s="30">
        <v>18</v>
      </c>
      <c r="D146" s="30">
        <v>0</v>
      </c>
      <c r="E146" s="30" t="s">
        <v>173</v>
      </c>
    </row>
    <row r="147" spans="1:5">
      <c r="A147" s="30">
        <v>7</v>
      </c>
      <c r="B147" s="30">
        <v>3</v>
      </c>
      <c r="C147" s="30">
        <v>15</v>
      </c>
      <c r="D147" s="30">
        <v>0</v>
      </c>
      <c r="E147" s="30" t="s">
        <v>172</v>
      </c>
    </row>
    <row r="148" spans="1:5">
      <c r="A148" s="30">
        <v>19</v>
      </c>
      <c r="B148" s="30">
        <v>4</v>
      </c>
      <c r="C148" s="30">
        <v>14</v>
      </c>
      <c r="D148" s="30">
        <v>1</v>
      </c>
      <c r="E148" s="30" t="s">
        <v>172</v>
      </c>
    </row>
    <row r="149" spans="1:5">
      <c r="A149" s="30">
        <v>42</v>
      </c>
      <c r="B149" s="30">
        <v>5</v>
      </c>
      <c r="C149" s="30">
        <v>18</v>
      </c>
      <c r="D149" s="30">
        <v>0</v>
      </c>
      <c r="E149" s="30" t="s">
        <v>173</v>
      </c>
    </row>
    <row r="150" spans="1:5">
      <c r="A150" s="30">
        <v>49</v>
      </c>
      <c r="B150" s="30">
        <v>4</v>
      </c>
      <c r="C150" s="30">
        <v>33</v>
      </c>
      <c r="D150" s="30">
        <v>1</v>
      </c>
      <c r="E150" s="30" t="s">
        <v>173</v>
      </c>
    </row>
    <row r="151" spans="1:5">
      <c r="A151" s="30">
        <v>18</v>
      </c>
      <c r="B151" s="30">
        <v>2</v>
      </c>
      <c r="C151" s="30">
        <v>12</v>
      </c>
      <c r="D151" s="30">
        <v>1</v>
      </c>
      <c r="E151" s="30" t="s">
        <v>172</v>
      </c>
    </row>
    <row r="152" spans="1:5">
      <c r="A152" s="30">
        <v>6</v>
      </c>
      <c r="B152" s="30">
        <v>4</v>
      </c>
      <c r="C152" s="30">
        <v>33</v>
      </c>
      <c r="D152" s="30">
        <v>0</v>
      </c>
      <c r="E152" s="30" t="s">
        <v>173</v>
      </c>
    </row>
    <row r="153" spans="1:5">
      <c r="A153" s="30">
        <v>60</v>
      </c>
      <c r="B153" s="30">
        <v>4</v>
      </c>
      <c r="C153" s="30">
        <v>14</v>
      </c>
      <c r="D153" s="30">
        <v>0</v>
      </c>
      <c r="E153" s="30" t="s">
        <v>172</v>
      </c>
    </row>
    <row r="154" spans="1:5">
      <c r="A154" s="30">
        <v>7</v>
      </c>
      <c r="B154" s="30">
        <v>4</v>
      </c>
      <c r="C154" s="30">
        <v>15</v>
      </c>
      <c r="D154" s="30">
        <v>1</v>
      </c>
      <c r="E154" s="30" t="s">
        <v>172</v>
      </c>
    </row>
    <row r="155" spans="1:5">
      <c r="A155" s="30">
        <v>16</v>
      </c>
      <c r="B155" s="30">
        <v>4</v>
      </c>
      <c r="C155" s="30">
        <v>13</v>
      </c>
      <c r="D155" s="30">
        <v>1</v>
      </c>
      <c r="E155" s="30" t="s">
        <v>172</v>
      </c>
    </row>
    <row r="156" spans="1:5">
      <c r="A156" s="30">
        <v>55</v>
      </c>
      <c r="B156" s="30">
        <v>7</v>
      </c>
      <c r="C156" s="30">
        <v>18</v>
      </c>
      <c r="D156" s="30">
        <v>0</v>
      </c>
      <c r="E156" s="30" t="s">
        <v>173</v>
      </c>
    </row>
    <row r="157" spans="1:5">
      <c r="A157" s="30">
        <v>64</v>
      </c>
      <c r="B157" s="30">
        <v>4</v>
      </c>
      <c r="C157" s="30">
        <v>14</v>
      </c>
      <c r="D157" s="30">
        <v>1</v>
      </c>
      <c r="E157" s="30" t="s">
        <v>172</v>
      </c>
    </row>
    <row r="158" spans="1:5">
      <c r="A158" s="30">
        <v>52</v>
      </c>
      <c r="B158" s="30">
        <v>3</v>
      </c>
      <c r="C158" s="30">
        <v>33</v>
      </c>
      <c r="D158" s="30">
        <v>1</v>
      </c>
      <c r="E158" s="30" t="s">
        <v>173</v>
      </c>
    </row>
    <row r="159" spans="1:5">
      <c r="A159" s="30">
        <v>12</v>
      </c>
      <c r="B159" s="30">
        <v>5</v>
      </c>
      <c r="C159" s="30">
        <v>13</v>
      </c>
      <c r="D159" s="30">
        <v>1</v>
      </c>
      <c r="E159" s="30" t="s">
        <v>172</v>
      </c>
    </row>
    <row r="160" spans="1:5">
      <c r="A160" s="30">
        <v>17</v>
      </c>
      <c r="B160" s="30">
        <v>3</v>
      </c>
      <c r="C160" s="30">
        <v>15</v>
      </c>
      <c r="D160" s="30">
        <v>0</v>
      </c>
      <c r="E160" s="30" t="s">
        <v>172</v>
      </c>
    </row>
    <row r="161" spans="1:5">
      <c r="A161" s="30">
        <v>34</v>
      </c>
      <c r="B161" s="30">
        <v>2</v>
      </c>
      <c r="C161" s="30">
        <v>21</v>
      </c>
      <c r="D161" s="30">
        <v>1</v>
      </c>
      <c r="E161" s="30" t="s">
        <v>173</v>
      </c>
    </row>
    <row r="162" spans="1:5">
      <c r="A162" s="30">
        <v>61</v>
      </c>
      <c r="B162" s="30">
        <v>4</v>
      </c>
      <c r="C162" s="30">
        <v>21</v>
      </c>
      <c r="D162" s="30">
        <v>1</v>
      </c>
      <c r="E162" s="30" t="s">
        <v>173</v>
      </c>
    </row>
    <row r="163" spans="1:5">
      <c r="A163" s="30">
        <v>23</v>
      </c>
      <c r="B163" s="30">
        <v>5</v>
      </c>
      <c r="C163" s="30">
        <v>12</v>
      </c>
      <c r="D163" s="30">
        <v>0</v>
      </c>
      <c r="E163" s="30" t="s">
        <v>172</v>
      </c>
    </row>
    <row r="164" spans="1:5">
      <c r="A164" s="30">
        <v>24</v>
      </c>
      <c r="B164" s="30">
        <v>4</v>
      </c>
      <c r="C164" s="30">
        <v>10</v>
      </c>
      <c r="D164" s="30">
        <v>1</v>
      </c>
      <c r="E164" s="30" t="s">
        <v>172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32"/>
  <sheetViews>
    <sheetView zoomScale="93" zoomScaleNormal="93" topLeftCell="A121" workbookViewId="0">
      <selection activeCell="Q64" sqref="Q64:T73"/>
    </sheetView>
  </sheetViews>
  <sheetFormatPr defaultColWidth="9" defaultRowHeight="15"/>
  <cols>
    <col min="2" max="2" width="8.71111111111111"/>
    <col min="3" max="3" width="15.8518518518519" customWidth="1"/>
    <col min="4" max="4" width="22" customWidth="1"/>
    <col min="5" max="5" width="13.2814814814815" customWidth="1"/>
    <col min="6" max="6" width="13.8518518518519" customWidth="1"/>
    <col min="7" max="7" width="12.4222222222222" customWidth="1"/>
    <col min="10" max="11" width="22.4222222222222" customWidth="1"/>
    <col min="12" max="12" width="16.1407407407407" customWidth="1"/>
    <col min="13" max="13" width="19.2814814814815" customWidth="1"/>
    <col min="15" max="15" width="26.4222222222222" customWidth="1"/>
    <col min="16" max="16" width="12.7111111111111" customWidth="1"/>
    <col min="17" max="17" width="17.7111111111111" customWidth="1"/>
    <col min="18" max="18" width="14.7111111111111" customWidth="1"/>
    <col min="20" max="20" width="24.8518518518519" customWidth="1"/>
    <col min="21" max="21" width="12.7111111111111" customWidth="1"/>
    <col min="22" max="22" width="12" customWidth="1"/>
  </cols>
  <sheetData>
    <row r="1" spans="1:17">
      <c r="A1" s="29" t="s">
        <v>175</v>
      </c>
      <c r="B1" s="29" t="s">
        <v>1</v>
      </c>
      <c r="C1" s="29" t="s">
        <v>2</v>
      </c>
      <c r="D1" s="29" t="s">
        <v>171</v>
      </c>
      <c r="E1" s="29" t="s">
        <v>4</v>
      </c>
      <c r="F1" s="29" t="s">
        <v>6</v>
      </c>
      <c r="H1" s="29" t="s">
        <v>175</v>
      </c>
      <c r="I1" s="29" t="s">
        <v>1</v>
      </c>
      <c r="J1" s="29" t="s">
        <v>2</v>
      </c>
      <c r="K1" s="29" t="s">
        <v>171</v>
      </c>
      <c r="L1" s="29" t="s">
        <v>4</v>
      </c>
      <c r="M1" s="29" t="s">
        <v>6</v>
      </c>
      <c r="O1" s="29" t="s">
        <v>176</v>
      </c>
      <c r="P1" s="32"/>
      <c r="Q1" s="32"/>
    </row>
    <row r="2" spans="1:20">
      <c r="A2" s="30">
        <f ca="1">RANDBETWEEN(2,164)</f>
        <v>4</v>
      </c>
      <c r="B2" s="30">
        <f ca="1" t="array" ref="B2">INDEX(Data_DBD!$B:$B,$A2)</f>
        <v>23</v>
      </c>
      <c r="C2" s="30">
        <f ca="1" t="array" ref="C2">INDEX(Data_DBD!$C:$C,$A2)</f>
        <v>5</v>
      </c>
      <c r="D2" s="30">
        <f ca="1" t="array" ref="D2">INDEX(Data_DBD!$D:$D,$A2)</f>
        <v>12</v>
      </c>
      <c r="E2" s="30">
        <f ca="1" t="array" ref="E2">INDEX(Data_DBD!$E:$E,$A2)</f>
        <v>0</v>
      </c>
      <c r="F2" s="30">
        <f ca="1" t="array" ref="F2">INDEX(Data_DBD!$F:$F,$A2)</f>
        <v>2</v>
      </c>
      <c r="H2" s="30">
        <v>39</v>
      </c>
      <c r="I2" s="30">
        <v>12</v>
      </c>
      <c r="J2" s="30">
        <v>5</v>
      </c>
      <c r="K2" s="30">
        <v>13</v>
      </c>
      <c r="L2" s="30">
        <v>1</v>
      </c>
      <c r="M2" s="30">
        <v>2</v>
      </c>
      <c r="O2" s="33">
        <v>1</v>
      </c>
      <c r="P2" s="32">
        <f>COUNTIF(M2:M164,"1")</f>
        <v>6</v>
      </c>
      <c r="Q2" s="32">
        <f>P2/163</f>
        <v>0.0368098159509202</v>
      </c>
      <c r="S2" s="12" t="s">
        <v>177</v>
      </c>
      <c r="T2" s="12" t="s">
        <v>178</v>
      </c>
    </row>
    <row r="3" spans="1:20">
      <c r="A3" s="30">
        <f ca="1" t="shared" ref="A3:A66" si="0">RANDBETWEEN(2,164)</f>
        <v>78</v>
      </c>
      <c r="B3" s="30">
        <f ca="1" t="array" ref="B3">INDEX(Data_DBD!$B:$B,$A3)</f>
        <v>6</v>
      </c>
      <c r="C3" s="30">
        <f ca="1" t="array" ref="C3">INDEX(Data_DBD!$C:$C,$A3)</f>
        <v>3</v>
      </c>
      <c r="D3" s="30">
        <f ca="1" t="array" ref="D3">INDEX(Data_DBD!$D:$D,$A3)</f>
        <v>13</v>
      </c>
      <c r="E3" s="30">
        <f ca="1" t="array" ref="E3">INDEX(Data_DBD!$E:$E,$A3)</f>
        <v>0</v>
      </c>
      <c r="F3" s="30">
        <f ca="1" t="array" ref="F3">INDEX(Data_DBD!$F:$F,$A3)</f>
        <v>2</v>
      </c>
      <c r="H3" s="30">
        <v>72</v>
      </c>
      <c r="I3" s="30">
        <v>3</v>
      </c>
      <c r="J3" s="30">
        <v>5</v>
      </c>
      <c r="K3" s="30">
        <v>10</v>
      </c>
      <c r="L3" s="30">
        <v>1</v>
      </c>
      <c r="M3" s="30">
        <v>2</v>
      </c>
      <c r="O3" s="32">
        <v>2</v>
      </c>
      <c r="P3" s="32">
        <f>COUNTIF(M2:M164,"2")</f>
        <v>81</v>
      </c>
      <c r="Q3" s="32">
        <f>P3/163</f>
        <v>0.496932515337423</v>
      </c>
      <c r="T3" s="12" t="s">
        <v>179</v>
      </c>
    </row>
    <row r="4" spans="1:20">
      <c r="A4" s="30">
        <f ca="1" t="shared" si="0"/>
        <v>116</v>
      </c>
      <c r="B4" s="30">
        <f ca="1" t="array" ref="B4">INDEX(Data_DBD!$B:$B,$A4)</f>
        <v>32</v>
      </c>
      <c r="C4" s="30">
        <f ca="1" t="array" ref="C4">INDEX(Data_DBD!$C:$C,$A4)</f>
        <v>4</v>
      </c>
      <c r="D4" s="30">
        <f ca="1" t="array" ref="D4">INDEX(Data_DBD!$D:$D,$A4)</f>
        <v>33</v>
      </c>
      <c r="E4" s="30">
        <f ca="1" t="array" ref="E4">INDEX(Data_DBD!$E:$E,$A4)</f>
        <v>1</v>
      </c>
      <c r="F4" s="30">
        <f ca="1" t="array" ref="F4">INDEX(Data_DBD!$F:$F,$A4)</f>
        <v>3</v>
      </c>
      <c r="H4" s="30">
        <v>135</v>
      </c>
      <c r="I4" s="30">
        <v>10</v>
      </c>
      <c r="J4" s="30">
        <v>2</v>
      </c>
      <c r="K4" s="30">
        <v>33</v>
      </c>
      <c r="L4" s="30">
        <v>0</v>
      </c>
      <c r="M4" s="30">
        <v>3</v>
      </c>
      <c r="O4" s="32">
        <v>3</v>
      </c>
      <c r="P4" s="32">
        <f>COUNTIF(M2:M164,"3")</f>
        <v>76</v>
      </c>
      <c r="Q4" s="32">
        <f>P4/163</f>
        <v>0.466257668711656</v>
      </c>
      <c r="T4" s="12" t="s">
        <v>180</v>
      </c>
    </row>
    <row r="5" spans="1:16">
      <c r="A5" s="30">
        <f ca="1" t="shared" si="0"/>
        <v>125</v>
      </c>
      <c r="B5" s="30">
        <f ca="1" t="array" ref="B5">INDEX(Data_DBD!$B:$B,$A5)</f>
        <v>39</v>
      </c>
      <c r="C5" s="30">
        <f ca="1" t="array" ref="C5">INDEX(Data_DBD!$C:$C,$A5)</f>
        <v>4</v>
      </c>
      <c r="D5" s="30">
        <f ca="1" t="array" ref="D5">INDEX(Data_DBD!$D:$D,$A5)</f>
        <v>33</v>
      </c>
      <c r="E5" s="30">
        <f ca="1" t="array" ref="E5">INDEX(Data_DBD!$E:$E,$A5)</f>
        <v>0</v>
      </c>
      <c r="F5" s="30">
        <f ca="1" t="array" ref="F5">INDEX(Data_DBD!$F:$F,$A5)</f>
        <v>3</v>
      </c>
      <c r="H5" s="30">
        <v>74</v>
      </c>
      <c r="I5" s="30">
        <v>9</v>
      </c>
      <c r="J5" s="30">
        <v>4</v>
      </c>
      <c r="K5" s="30">
        <v>10</v>
      </c>
      <c r="L5" s="30">
        <v>0</v>
      </c>
      <c r="M5" s="30">
        <v>2</v>
      </c>
      <c r="O5" s="34" t="s">
        <v>181</v>
      </c>
      <c r="P5">
        <f>-(IFERROR(Q2*LOG(Q2,2),0)+IFERROR(Q3*LOG(Q3,2),0)+IFERROR(Q4*LOG(Q4,2),0))</f>
        <v>1.18995443484645</v>
      </c>
    </row>
    <row r="6" spans="1:13">
      <c r="A6" s="30">
        <f ca="1" t="shared" si="0"/>
        <v>125</v>
      </c>
      <c r="B6" s="30">
        <f ca="1" t="array" ref="B6">INDEX(Data_DBD!$B:$B,$A6)</f>
        <v>39</v>
      </c>
      <c r="C6" s="30">
        <f ca="1" t="array" ref="C6">INDEX(Data_DBD!$C:$C,$A6)</f>
        <v>4</v>
      </c>
      <c r="D6" s="30">
        <f ca="1" t="array" ref="D6">INDEX(Data_DBD!$D:$D,$A6)</f>
        <v>33</v>
      </c>
      <c r="E6" s="30">
        <f ca="1" t="array" ref="E6">INDEX(Data_DBD!$E:$E,$A6)</f>
        <v>0</v>
      </c>
      <c r="F6" s="30">
        <f ca="1" t="array" ref="F6">INDEX(Data_DBD!$F:$F,$A6)</f>
        <v>3</v>
      </c>
      <c r="H6" s="30">
        <v>78</v>
      </c>
      <c r="I6" s="30">
        <v>6</v>
      </c>
      <c r="J6" s="30">
        <v>3</v>
      </c>
      <c r="K6" s="30">
        <v>13</v>
      </c>
      <c r="L6" s="30">
        <v>0</v>
      </c>
      <c r="M6" s="30">
        <v>2</v>
      </c>
    </row>
    <row r="7" spans="1:13">
      <c r="A7" s="30">
        <f ca="1" t="shared" si="0"/>
        <v>85</v>
      </c>
      <c r="B7" s="30">
        <f ca="1" t="array" ref="B7">INDEX(Data_DBD!$B:$B,$A7)</f>
        <v>27</v>
      </c>
      <c r="C7" s="30">
        <f ca="1" t="array" ref="C7">INDEX(Data_DBD!$C:$C,$A7)</f>
        <v>9</v>
      </c>
      <c r="D7" s="30">
        <f ca="1" t="array" ref="D7">INDEX(Data_DBD!$D:$D,$A7)</f>
        <v>13</v>
      </c>
      <c r="E7" s="30">
        <f ca="1" t="array" ref="E7">INDEX(Data_DBD!$E:$E,$A7)</f>
        <v>0</v>
      </c>
      <c r="F7" s="30">
        <f ca="1" t="array" ref="F7">INDEX(Data_DBD!$F:$F,$A7)</f>
        <v>2</v>
      </c>
      <c r="H7" s="30">
        <v>94</v>
      </c>
      <c r="I7" s="30">
        <v>12</v>
      </c>
      <c r="J7" s="30">
        <v>4</v>
      </c>
      <c r="K7" s="30">
        <v>18</v>
      </c>
      <c r="L7" s="30">
        <v>0</v>
      </c>
      <c r="M7" s="30">
        <v>3</v>
      </c>
    </row>
    <row r="8" spans="1:13">
      <c r="A8" s="30">
        <f ca="1" t="shared" si="0"/>
        <v>125</v>
      </c>
      <c r="B8" s="30">
        <f ca="1" t="array" ref="B8">INDEX(Data_DBD!$B:$B,$A8)</f>
        <v>39</v>
      </c>
      <c r="C8" s="30">
        <f ca="1" t="array" ref="C8">INDEX(Data_DBD!$C:$C,$A8)</f>
        <v>4</v>
      </c>
      <c r="D8" s="30">
        <f ca="1" t="array" ref="D8">INDEX(Data_DBD!$D:$D,$A8)</f>
        <v>33</v>
      </c>
      <c r="E8" s="30">
        <f ca="1" t="array" ref="E8">INDEX(Data_DBD!$E:$E,$A8)</f>
        <v>0</v>
      </c>
      <c r="F8" s="30">
        <f ca="1" t="array" ref="F8">INDEX(Data_DBD!$F:$F,$A8)</f>
        <v>3</v>
      </c>
      <c r="H8" s="30">
        <v>124</v>
      </c>
      <c r="I8" s="30">
        <v>24</v>
      </c>
      <c r="J8" s="30">
        <v>3</v>
      </c>
      <c r="K8" s="30">
        <v>33</v>
      </c>
      <c r="L8" s="30">
        <v>1</v>
      </c>
      <c r="M8" s="30">
        <v>3</v>
      </c>
    </row>
    <row r="9" spans="1:13">
      <c r="A9" s="30">
        <f ca="1" t="shared" si="0"/>
        <v>61</v>
      </c>
      <c r="B9" s="30">
        <f ca="1" t="array" ref="B9">INDEX(Data_DBD!$B:$B,$A9)</f>
        <v>29</v>
      </c>
      <c r="C9" s="30">
        <f ca="1" t="array" ref="C9">INDEX(Data_DBD!$C:$C,$A9)</f>
        <v>3</v>
      </c>
      <c r="D9" s="30">
        <f ca="1" t="array" ref="D9">INDEX(Data_DBD!$D:$D,$A9)</f>
        <v>15</v>
      </c>
      <c r="E9" s="30">
        <f ca="1" t="array" ref="E9">INDEX(Data_DBD!$E:$E,$A9)</f>
        <v>1</v>
      </c>
      <c r="F9" s="30">
        <f ca="1" t="array" ref="F9">INDEX(Data_DBD!$F:$F,$A9)</f>
        <v>2</v>
      </c>
      <c r="H9" s="30">
        <v>63</v>
      </c>
      <c r="I9" s="30">
        <v>25</v>
      </c>
      <c r="J9" s="30">
        <v>3</v>
      </c>
      <c r="K9" s="30">
        <v>15</v>
      </c>
      <c r="L9" s="30">
        <v>0</v>
      </c>
      <c r="M9" s="30">
        <v>2</v>
      </c>
    </row>
    <row r="10" spans="1:13">
      <c r="A10" s="30">
        <f ca="1" t="shared" si="0"/>
        <v>90</v>
      </c>
      <c r="B10" s="30">
        <f ca="1" t="array" ref="B10">INDEX(Data_DBD!$B:$B,$A10)</f>
        <v>47</v>
      </c>
      <c r="C10" s="30">
        <f ca="1" t="array" ref="C10">INDEX(Data_DBD!$C:$C,$A10)</f>
        <v>3</v>
      </c>
      <c r="D10" s="30">
        <f ca="1" t="array" ref="D10">INDEX(Data_DBD!$D:$D,$A10)</f>
        <v>18</v>
      </c>
      <c r="E10" s="30">
        <f ca="1" t="array" ref="E10">INDEX(Data_DBD!$E:$E,$A10)</f>
        <v>0</v>
      </c>
      <c r="F10" s="30">
        <f ca="1" t="array" ref="F10">INDEX(Data_DBD!$F:$F,$A10)</f>
        <v>3</v>
      </c>
      <c r="G10" s="12" t="s">
        <v>182</v>
      </c>
      <c r="H10" s="30">
        <v>70</v>
      </c>
      <c r="I10" s="30">
        <v>26</v>
      </c>
      <c r="J10" s="30">
        <v>3</v>
      </c>
      <c r="K10" s="30">
        <v>10</v>
      </c>
      <c r="L10" s="30">
        <v>1</v>
      </c>
      <c r="M10" s="30">
        <v>2</v>
      </c>
    </row>
    <row r="11" spans="1:13">
      <c r="A11" s="30">
        <f ca="1" t="shared" si="0"/>
        <v>78</v>
      </c>
      <c r="B11" s="30">
        <f ca="1" t="array" ref="B11">INDEX(Data_DBD!$B:$B,$A11)</f>
        <v>6</v>
      </c>
      <c r="C11" s="30">
        <f ca="1" t="array" ref="C11">INDEX(Data_DBD!$C:$C,$A11)</f>
        <v>3</v>
      </c>
      <c r="D11" s="30">
        <f ca="1" t="array" ref="D11">INDEX(Data_DBD!$D:$D,$A11)</f>
        <v>13</v>
      </c>
      <c r="E11" s="30">
        <f ca="1" t="array" ref="E11">INDEX(Data_DBD!$E:$E,$A11)</f>
        <v>0</v>
      </c>
      <c r="F11" s="30">
        <f ca="1" t="array" ref="F11">INDEX(Data_DBD!$F:$F,$A11)</f>
        <v>2</v>
      </c>
      <c r="H11" s="30">
        <v>29</v>
      </c>
      <c r="I11" s="30">
        <v>19</v>
      </c>
      <c r="J11" s="30">
        <v>2</v>
      </c>
      <c r="K11" s="30">
        <v>14</v>
      </c>
      <c r="L11" s="30">
        <v>1</v>
      </c>
      <c r="M11" s="30">
        <v>2</v>
      </c>
    </row>
    <row r="12" spans="1:13">
      <c r="A12" s="30">
        <f ca="1" t="shared" si="0"/>
        <v>144</v>
      </c>
      <c r="B12" s="30">
        <f ca="1" t="array" ref="B12">INDEX(Data_DBD!$B:$B,$A12)</f>
        <v>61</v>
      </c>
      <c r="C12" s="30">
        <f ca="1" t="array" ref="C12">INDEX(Data_DBD!$C:$C,$A12)</f>
        <v>4</v>
      </c>
      <c r="D12" s="30">
        <f ca="1" t="array" ref="D12">INDEX(Data_DBD!$D:$D,$A12)</f>
        <v>21</v>
      </c>
      <c r="E12" s="30">
        <f ca="1" t="array" ref="E12">INDEX(Data_DBD!$E:$E,$A12)</f>
        <v>1</v>
      </c>
      <c r="F12" s="30">
        <f ca="1" t="array" ref="F12">INDEX(Data_DBD!$F:$F,$A12)</f>
        <v>3</v>
      </c>
      <c r="H12" s="30">
        <v>146</v>
      </c>
      <c r="I12" s="30">
        <v>34</v>
      </c>
      <c r="J12" s="30">
        <v>2</v>
      </c>
      <c r="K12" s="30">
        <v>21</v>
      </c>
      <c r="L12" s="30">
        <v>1</v>
      </c>
      <c r="M12" s="30">
        <v>3</v>
      </c>
    </row>
    <row r="13" spans="1:13">
      <c r="A13" s="30">
        <f ca="1" t="shared" si="0"/>
        <v>158</v>
      </c>
      <c r="B13" s="30">
        <f ca="1" t="array" ref="B13">INDEX(Data_DBD!$B:$B,$A13)</f>
        <v>5</v>
      </c>
      <c r="C13" s="30">
        <f ca="1" t="array" ref="C13">INDEX(Data_DBD!$C:$C,$A13)</f>
        <v>2</v>
      </c>
      <c r="D13" s="30">
        <f ca="1" t="array" ref="D13">INDEX(Data_DBD!$D:$D,$A13)</f>
        <v>21</v>
      </c>
      <c r="E13" s="30">
        <f ca="1" t="array" ref="E13">INDEX(Data_DBD!$E:$E,$A13)</f>
        <v>0</v>
      </c>
      <c r="F13" s="30">
        <f ca="1" t="array" ref="F13">INDEX(Data_DBD!$F:$F,$A13)</f>
        <v>3</v>
      </c>
      <c r="H13" s="30">
        <v>4</v>
      </c>
      <c r="I13" s="30">
        <v>23</v>
      </c>
      <c r="J13" s="30">
        <v>5</v>
      </c>
      <c r="K13" s="30">
        <v>12</v>
      </c>
      <c r="L13" s="30">
        <v>0</v>
      </c>
      <c r="M13" s="30">
        <v>2</v>
      </c>
    </row>
    <row r="14" spans="1:13">
      <c r="A14" s="30">
        <f ca="1" t="shared" si="0"/>
        <v>65</v>
      </c>
      <c r="B14" s="30">
        <f ca="1" t="array" ref="B14">INDEX(Data_DBD!$B:$B,$A14)</f>
        <v>49</v>
      </c>
      <c r="C14" s="30">
        <f ca="1" t="array" ref="C14">INDEX(Data_DBD!$C:$C,$A14)</f>
        <v>3</v>
      </c>
      <c r="D14" s="30">
        <f ca="1" t="array" ref="D14">INDEX(Data_DBD!$D:$D,$A14)</f>
        <v>15</v>
      </c>
      <c r="E14" s="30">
        <f ca="1" t="array" ref="E14">INDEX(Data_DBD!$E:$E,$A14)</f>
        <v>0</v>
      </c>
      <c r="F14" s="30">
        <f ca="1" t="array" ref="F14">INDEX(Data_DBD!$F:$F,$A14)</f>
        <v>2</v>
      </c>
      <c r="H14" s="30">
        <v>121</v>
      </c>
      <c r="I14" s="30">
        <v>82</v>
      </c>
      <c r="J14" s="30">
        <v>5</v>
      </c>
      <c r="K14" s="30">
        <v>33</v>
      </c>
      <c r="L14" s="30">
        <v>1</v>
      </c>
      <c r="M14" s="30">
        <v>3</v>
      </c>
    </row>
    <row r="15" spans="1:13">
      <c r="A15" s="30">
        <f ca="1" t="shared" si="0"/>
        <v>107</v>
      </c>
      <c r="B15" s="30">
        <f ca="1" t="array" ref="B15">INDEX(Data_DBD!$B:$B,$A15)</f>
        <v>48</v>
      </c>
      <c r="C15" s="30">
        <f ca="1" t="array" ref="C15">INDEX(Data_DBD!$C:$C,$A15)</f>
        <v>5</v>
      </c>
      <c r="D15" s="30">
        <f ca="1" t="array" ref="D15">INDEX(Data_DBD!$D:$D,$A15)</f>
        <v>18</v>
      </c>
      <c r="E15" s="30">
        <f ca="1" t="array" ref="E15">INDEX(Data_DBD!$E:$E,$A15)</f>
        <v>0</v>
      </c>
      <c r="F15" s="30">
        <f ca="1" t="array" ref="F15">INDEX(Data_DBD!$F:$F,$A15)</f>
        <v>3</v>
      </c>
      <c r="H15" s="30">
        <v>53</v>
      </c>
      <c r="I15" s="30">
        <v>35</v>
      </c>
      <c r="J15" s="30">
        <v>4</v>
      </c>
      <c r="K15" s="30">
        <v>15</v>
      </c>
      <c r="L15" s="30">
        <v>1</v>
      </c>
      <c r="M15" s="30">
        <v>2</v>
      </c>
    </row>
    <row r="16" spans="1:13">
      <c r="A16" s="30">
        <f ca="1" t="shared" si="0"/>
        <v>25</v>
      </c>
      <c r="B16" s="30">
        <f ca="1" t="array" ref="B16">INDEX(Data_DBD!$B:$B,$A16)</f>
        <v>81</v>
      </c>
      <c r="C16" s="30">
        <f ca="1" t="array" ref="C16">INDEX(Data_DBD!$C:$C,$A16)</f>
        <v>5</v>
      </c>
      <c r="D16" s="30">
        <f ca="1" t="array" ref="D16">INDEX(Data_DBD!$D:$D,$A16)</f>
        <v>14</v>
      </c>
      <c r="E16" s="30">
        <f ca="1" t="array" ref="E16">INDEX(Data_DBD!$E:$E,$A16)</f>
        <v>0</v>
      </c>
      <c r="F16" s="30">
        <f ca="1" t="array" ref="F16">INDEX(Data_DBD!$F:$F,$A16)</f>
        <v>2</v>
      </c>
      <c r="H16" s="30">
        <v>127</v>
      </c>
      <c r="I16" s="30">
        <v>21</v>
      </c>
      <c r="J16" s="30">
        <v>2</v>
      </c>
      <c r="K16" s="30">
        <v>33</v>
      </c>
      <c r="L16" s="30">
        <v>0</v>
      </c>
      <c r="M16" s="30">
        <v>3</v>
      </c>
    </row>
    <row r="17" spans="1:13">
      <c r="A17" s="30">
        <f ca="1" t="shared" si="0"/>
        <v>63</v>
      </c>
      <c r="B17" s="30">
        <f ca="1" t="array" ref="B17">INDEX(Data_DBD!$B:$B,$A17)</f>
        <v>25</v>
      </c>
      <c r="C17" s="30">
        <f ca="1" t="array" ref="C17">INDEX(Data_DBD!$C:$C,$A17)</f>
        <v>3</v>
      </c>
      <c r="D17" s="30">
        <f ca="1" t="array" ref="D17">INDEX(Data_DBD!$D:$D,$A17)</f>
        <v>15</v>
      </c>
      <c r="E17" s="30">
        <f ca="1" t="array" ref="E17">INDEX(Data_DBD!$E:$E,$A17)</f>
        <v>0</v>
      </c>
      <c r="F17" s="30">
        <f ca="1" t="array" ref="F17">INDEX(Data_DBD!$F:$F,$A17)</f>
        <v>2</v>
      </c>
      <c r="H17" s="30">
        <v>52</v>
      </c>
      <c r="I17" s="30">
        <v>59</v>
      </c>
      <c r="J17" s="30">
        <v>4</v>
      </c>
      <c r="K17" s="30">
        <v>15</v>
      </c>
      <c r="L17" s="30">
        <v>1</v>
      </c>
      <c r="M17" s="30">
        <v>2</v>
      </c>
    </row>
    <row r="18" spans="1:13">
      <c r="A18" s="30">
        <f ca="1" t="shared" si="0"/>
        <v>65</v>
      </c>
      <c r="B18" s="30">
        <f ca="1" t="array" ref="B18">INDEX(Data_DBD!$B:$B,$A18)</f>
        <v>49</v>
      </c>
      <c r="C18" s="30">
        <f ca="1" t="array" ref="C18">INDEX(Data_DBD!$C:$C,$A18)</f>
        <v>3</v>
      </c>
      <c r="D18" s="30">
        <f ca="1" t="array" ref="D18">INDEX(Data_DBD!$D:$D,$A18)</f>
        <v>15</v>
      </c>
      <c r="E18" s="30">
        <f ca="1" t="array" ref="E18">INDEX(Data_DBD!$E:$E,$A18)</f>
        <v>0</v>
      </c>
      <c r="F18" s="30">
        <f ca="1" t="array" ref="F18">INDEX(Data_DBD!$F:$F,$A18)</f>
        <v>2</v>
      </c>
      <c r="H18" s="30">
        <v>88</v>
      </c>
      <c r="I18" s="30">
        <v>20</v>
      </c>
      <c r="J18" s="30">
        <v>4</v>
      </c>
      <c r="K18" s="30">
        <v>13</v>
      </c>
      <c r="L18" s="30">
        <v>1</v>
      </c>
      <c r="M18" s="30">
        <v>2</v>
      </c>
    </row>
    <row r="19" spans="1:13">
      <c r="A19" s="30">
        <f ca="1" t="shared" si="0"/>
        <v>25</v>
      </c>
      <c r="B19" s="30">
        <f ca="1" t="array" ref="B19">INDEX(Data_DBD!$B:$B,$A19)</f>
        <v>81</v>
      </c>
      <c r="C19" s="30">
        <f ca="1" t="array" ref="C19">INDEX(Data_DBD!$C:$C,$A19)</f>
        <v>5</v>
      </c>
      <c r="D19" s="30">
        <f ca="1" t="array" ref="D19">INDEX(Data_DBD!$D:$D,$A19)</f>
        <v>14</v>
      </c>
      <c r="E19" s="30">
        <f ca="1" t="array" ref="E19">INDEX(Data_DBD!$E:$E,$A19)</f>
        <v>0</v>
      </c>
      <c r="F19" s="30">
        <f ca="1" t="array" ref="F19">INDEX(Data_DBD!$F:$F,$A19)</f>
        <v>2</v>
      </c>
      <c r="H19" s="30">
        <v>86</v>
      </c>
      <c r="I19" s="30">
        <v>23</v>
      </c>
      <c r="J19" s="30">
        <v>3</v>
      </c>
      <c r="K19" s="30">
        <v>13</v>
      </c>
      <c r="L19" s="30">
        <v>0</v>
      </c>
      <c r="M19" s="30">
        <v>2</v>
      </c>
    </row>
    <row r="20" spans="1:13">
      <c r="A20" s="30">
        <f ca="1" t="shared" si="0"/>
        <v>89</v>
      </c>
      <c r="B20" s="30">
        <f ca="1" t="array" ref="B20">INDEX(Data_DBD!$B:$B,$A20)</f>
        <v>32</v>
      </c>
      <c r="C20" s="30">
        <f ca="1" t="array" ref="C20">INDEX(Data_DBD!$C:$C,$A20)</f>
        <v>4</v>
      </c>
      <c r="D20" s="30">
        <f ca="1" t="array" ref="D20">INDEX(Data_DBD!$D:$D,$A20)</f>
        <v>13</v>
      </c>
      <c r="E20" s="30">
        <f ca="1" t="array" ref="E20">INDEX(Data_DBD!$E:$E,$A20)</f>
        <v>0</v>
      </c>
      <c r="F20" s="30">
        <f ca="1" t="array" ref="F20">INDEX(Data_DBD!$F:$F,$A20)</f>
        <v>2</v>
      </c>
      <c r="H20" s="30">
        <v>56</v>
      </c>
      <c r="I20" s="30">
        <v>4</v>
      </c>
      <c r="J20" s="30">
        <v>3</v>
      </c>
      <c r="K20" s="30">
        <v>15</v>
      </c>
      <c r="L20" s="30">
        <v>0</v>
      </c>
      <c r="M20" s="30">
        <v>2</v>
      </c>
    </row>
    <row r="21" spans="1:13">
      <c r="A21" s="30">
        <f ca="1" t="shared" si="0"/>
        <v>128</v>
      </c>
      <c r="B21" s="30">
        <f ca="1" t="array" ref="B21">INDEX(Data_DBD!$B:$B,$A21)</f>
        <v>38</v>
      </c>
      <c r="C21" s="30">
        <f ca="1" t="array" ref="C21">INDEX(Data_DBD!$C:$C,$A21)</f>
        <v>2</v>
      </c>
      <c r="D21" s="30">
        <f ca="1" t="array" ref="D21">INDEX(Data_DBD!$D:$D,$A21)</f>
        <v>33</v>
      </c>
      <c r="E21" s="30">
        <f ca="1" t="array" ref="E21">INDEX(Data_DBD!$E:$E,$A21)</f>
        <v>0</v>
      </c>
      <c r="F21" s="30">
        <f ca="1" t="array" ref="F21">INDEX(Data_DBD!$F:$F,$A21)</f>
        <v>3</v>
      </c>
      <c r="H21" s="30">
        <v>114</v>
      </c>
      <c r="I21" s="30">
        <v>14</v>
      </c>
      <c r="J21" s="30">
        <v>2</v>
      </c>
      <c r="K21" s="30">
        <v>33</v>
      </c>
      <c r="L21" s="30">
        <v>1</v>
      </c>
      <c r="M21" s="30">
        <v>3</v>
      </c>
    </row>
    <row r="22" spans="1:13">
      <c r="A22" s="30">
        <f ca="1" t="shared" si="0"/>
        <v>60</v>
      </c>
      <c r="B22" s="30">
        <f ca="1" t="array" ref="B22">INDEX(Data_DBD!$B:$B,$A22)</f>
        <v>68</v>
      </c>
      <c r="C22" s="30">
        <f ca="1" t="array" ref="C22">INDEX(Data_DBD!$C:$C,$A22)</f>
        <v>4</v>
      </c>
      <c r="D22" s="30">
        <f ca="1" t="array" ref="D22">INDEX(Data_DBD!$D:$D,$A22)</f>
        <v>15</v>
      </c>
      <c r="E22" s="30">
        <f ca="1" t="array" ref="E22">INDEX(Data_DBD!$E:$E,$A22)</f>
        <v>0</v>
      </c>
      <c r="F22" s="30">
        <f ca="1" t="array" ref="F22">INDEX(Data_DBD!$F:$F,$A22)</f>
        <v>2</v>
      </c>
      <c r="H22" s="30">
        <v>103</v>
      </c>
      <c r="I22" s="30">
        <v>22</v>
      </c>
      <c r="J22" s="30">
        <v>5</v>
      </c>
      <c r="K22" s="30">
        <v>18</v>
      </c>
      <c r="L22" s="30">
        <v>0</v>
      </c>
      <c r="M22" s="30">
        <v>3</v>
      </c>
    </row>
    <row r="23" spans="1:13">
      <c r="A23" s="30">
        <f ca="1" t="shared" si="0"/>
        <v>48</v>
      </c>
      <c r="B23" s="30">
        <f ca="1" t="array" ref="B23">INDEX(Data_DBD!$B:$B,$A23)</f>
        <v>50</v>
      </c>
      <c r="C23" s="30">
        <f ca="1" t="array" ref="C23">INDEX(Data_DBD!$C:$C,$A23)</f>
        <v>5</v>
      </c>
      <c r="D23" s="30">
        <f ca="1" t="array" ref="D23">INDEX(Data_DBD!$D:$D,$A23)</f>
        <v>13</v>
      </c>
      <c r="E23" s="30">
        <f ca="1" t="array" ref="E23">INDEX(Data_DBD!$E:$E,$A23)</f>
        <v>1</v>
      </c>
      <c r="F23" s="30">
        <f ca="1" t="array" ref="F23">INDEX(Data_DBD!$F:$F,$A23)</f>
        <v>2</v>
      </c>
      <c r="H23" s="30">
        <v>128</v>
      </c>
      <c r="I23" s="30">
        <v>38</v>
      </c>
      <c r="J23" s="30">
        <v>2</v>
      </c>
      <c r="K23" s="30">
        <v>33</v>
      </c>
      <c r="L23" s="30">
        <v>0</v>
      </c>
      <c r="M23" s="30">
        <v>3</v>
      </c>
    </row>
    <row r="24" spans="1:13">
      <c r="A24" s="30">
        <f ca="1" t="shared" si="0"/>
        <v>158</v>
      </c>
      <c r="B24" s="30">
        <f ca="1" t="array" ref="B24">INDEX(Data_DBD!$B:$B,$A24)</f>
        <v>5</v>
      </c>
      <c r="C24" s="30">
        <f ca="1" t="array" ref="C24">INDEX(Data_DBD!$C:$C,$A24)</f>
        <v>2</v>
      </c>
      <c r="D24" s="30">
        <f ca="1" t="array" ref="D24">INDEX(Data_DBD!$D:$D,$A24)</f>
        <v>21</v>
      </c>
      <c r="E24" s="30">
        <f ca="1" t="array" ref="E24">INDEX(Data_DBD!$E:$E,$A24)</f>
        <v>0</v>
      </c>
      <c r="F24" s="30">
        <f ca="1" t="array" ref="F24">INDEX(Data_DBD!$F:$F,$A24)</f>
        <v>3</v>
      </c>
      <c r="H24" s="30">
        <v>130</v>
      </c>
      <c r="I24" s="30">
        <v>12</v>
      </c>
      <c r="J24" s="30">
        <v>4</v>
      </c>
      <c r="K24" s="30">
        <v>33</v>
      </c>
      <c r="L24" s="30">
        <v>0</v>
      </c>
      <c r="M24" s="30">
        <v>3</v>
      </c>
    </row>
    <row r="25" spans="1:13">
      <c r="A25" s="30">
        <f ca="1" t="shared" si="0"/>
        <v>13</v>
      </c>
      <c r="B25" s="30">
        <f ca="1" t="array" ref="B25">INDEX(Data_DBD!$B:$B,$A25)</f>
        <v>47</v>
      </c>
      <c r="C25" s="30">
        <f ca="1" t="array" ref="C25">INDEX(Data_DBD!$C:$C,$A25)</f>
        <v>2</v>
      </c>
      <c r="D25" s="30">
        <f ca="1" t="array" ref="D25">INDEX(Data_DBD!$D:$D,$A25)</f>
        <v>12</v>
      </c>
      <c r="E25" s="30">
        <f ca="1" t="array" ref="E25">INDEX(Data_DBD!$E:$E,$A25)</f>
        <v>0</v>
      </c>
      <c r="F25" s="30">
        <f ca="1" t="array" ref="F25">INDEX(Data_DBD!$F:$F,$A25)</f>
        <v>2</v>
      </c>
      <c r="H25" s="30">
        <v>11</v>
      </c>
      <c r="I25" s="30">
        <v>24</v>
      </c>
      <c r="J25" s="30">
        <v>5</v>
      </c>
      <c r="K25" s="30">
        <v>12</v>
      </c>
      <c r="L25" s="30">
        <v>1</v>
      </c>
      <c r="M25" s="30">
        <v>2</v>
      </c>
    </row>
    <row r="26" spans="1:13">
      <c r="A26" s="30">
        <f ca="1" t="shared" si="0"/>
        <v>38</v>
      </c>
      <c r="B26" s="30">
        <f ca="1" t="array" ref="B26">INDEX(Data_DBD!$B:$B,$A26)</f>
        <v>52</v>
      </c>
      <c r="C26" s="30">
        <f ca="1" t="array" ref="C26">INDEX(Data_DBD!$C:$C,$A26)</f>
        <v>3</v>
      </c>
      <c r="D26" s="30">
        <f ca="1" t="array" ref="D26">INDEX(Data_DBD!$D:$D,$A26)</f>
        <v>4</v>
      </c>
      <c r="E26" s="30">
        <f ca="1" t="array" ref="E26">INDEX(Data_DBD!$E:$E,$A26)</f>
        <v>1</v>
      </c>
      <c r="F26" s="30">
        <f ca="1" t="array" ref="F26">INDEX(Data_DBD!$F:$F,$A26)</f>
        <v>1</v>
      </c>
      <c r="H26" s="30">
        <v>24</v>
      </c>
      <c r="I26" s="30">
        <v>60</v>
      </c>
      <c r="J26" s="30">
        <v>4</v>
      </c>
      <c r="K26" s="30">
        <v>14</v>
      </c>
      <c r="L26" s="30">
        <v>0</v>
      </c>
      <c r="M26" s="30">
        <v>2</v>
      </c>
    </row>
    <row r="27" spans="1:13">
      <c r="A27" s="30">
        <f ca="1" t="shared" si="0"/>
        <v>81</v>
      </c>
      <c r="B27" s="30">
        <f ca="1" t="array" ref="B27">INDEX(Data_DBD!$B:$B,$A27)</f>
        <v>23</v>
      </c>
      <c r="C27" s="30">
        <f ca="1" t="array" ref="C27">INDEX(Data_DBD!$C:$C,$A27)</f>
        <v>5</v>
      </c>
      <c r="D27" s="30">
        <f ca="1" t="array" ref="D27">INDEX(Data_DBD!$D:$D,$A27)</f>
        <v>13</v>
      </c>
      <c r="E27" s="30">
        <f ca="1" t="array" ref="E27">INDEX(Data_DBD!$E:$E,$A27)</f>
        <v>1</v>
      </c>
      <c r="F27" s="30">
        <f ca="1" t="array" ref="F27">INDEX(Data_DBD!$F:$F,$A27)</f>
        <v>2</v>
      </c>
      <c r="H27" s="30">
        <v>40</v>
      </c>
      <c r="I27" s="30">
        <v>65</v>
      </c>
      <c r="J27" s="30">
        <v>3</v>
      </c>
      <c r="K27" s="30">
        <v>13</v>
      </c>
      <c r="L27" s="30">
        <v>1</v>
      </c>
      <c r="M27" s="30">
        <v>2</v>
      </c>
    </row>
    <row r="28" spans="1:13">
      <c r="A28" s="30">
        <f ca="1" t="shared" si="0"/>
        <v>160</v>
      </c>
      <c r="B28" s="30">
        <f ca="1" t="array" ref="B28">INDEX(Data_DBD!$B:$B,$A28)</f>
        <v>16</v>
      </c>
      <c r="C28" s="30">
        <f ca="1" t="array" ref="C28">INDEX(Data_DBD!$C:$C,$A28)</f>
        <v>3</v>
      </c>
      <c r="D28" s="30">
        <f ca="1" t="array" ref="D28">INDEX(Data_DBD!$D:$D,$A28)</f>
        <v>21</v>
      </c>
      <c r="E28" s="30">
        <f ca="1" t="array" ref="E28">INDEX(Data_DBD!$E:$E,$A28)</f>
        <v>0</v>
      </c>
      <c r="F28" s="30">
        <f ca="1" t="array" ref="F28">INDEX(Data_DBD!$F:$F,$A28)</f>
        <v>3</v>
      </c>
      <c r="H28" s="30">
        <v>5</v>
      </c>
      <c r="I28" s="30">
        <v>18</v>
      </c>
      <c r="J28" s="30">
        <v>2</v>
      </c>
      <c r="K28" s="30">
        <v>12</v>
      </c>
      <c r="L28" s="30">
        <v>1</v>
      </c>
      <c r="M28" s="30">
        <v>2</v>
      </c>
    </row>
    <row r="29" spans="1:13">
      <c r="A29" s="30">
        <f ca="1" t="shared" si="0"/>
        <v>89</v>
      </c>
      <c r="B29" s="30">
        <f ca="1" t="array" ref="B29">INDEX(Data_DBD!$B:$B,$A29)</f>
        <v>32</v>
      </c>
      <c r="C29" s="30">
        <f ca="1" t="array" ref="C29">INDEX(Data_DBD!$C:$C,$A29)</f>
        <v>4</v>
      </c>
      <c r="D29" s="30">
        <f ca="1" t="array" ref="D29">INDEX(Data_DBD!$D:$D,$A29)</f>
        <v>13</v>
      </c>
      <c r="E29" s="30">
        <f ca="1" t="array" ref="E29">INDEX(Data_DBD!$E:$E,$A29)</f>
        <v>0</v>
      </c>
      <c r="F29" s="30">
        <f ca="1" t="array" ref="F29">INDEX(Data_DBD!$F:$F,$A29)</f>
        <v>2</v>
      </c>
      <c r="H29" s="30">
        <v>31</v>
      </c>
      <c r="I29" s="30">
        <v>64</v>
      </c>
      <c r="J29" s="30">
        <v>4</v>
      </c>
      <c r="K29" s="30">
        <v>14</v>
      </c>
      <c r="L29" s="30">
        <v>1</v>
      </c>
      <c r="M29" s="30">
        <v>2</v>
      </c>
    </row>
    <row r="30" spans="1:13">
      <c r="A30" s="30">
        <f ca="1" t="shared" si="0"/>
        <v>9</v>
      </c>
      <c r="B30" s="30">
        <f ca="1" t="array" ref="B30">INDEX(Data_DBD!$B:$B,$A30)</f>
        <v>16</v>
      </c>
      <c r="C30" s="30">
        <f ca="1" t="array" ref="C30">INDEX(Data_DBD!$C:$C,$A30)</f>
        <v>6</v>
      </c>
      <c r="D30" s="30">
        <f ca="1" t="array" ref="D30">INDEX(Data_DBD!$D:$D,$A30)</f>
        <v>12</v>
      </c>
      <c r="E30" s="30">
        <f ca="1" t="array" ref="E30">INDEX(Data_DBD!$E:$E,$A30)</f>
        <v>1</v>
      </c>
      <c r="F30" s="30">
        <f ca="1" t="array" ref="F30">INDEX(Data_DBD!$F:$F,$A30)</f>
        <v>2</v>
      </c>
      <c r="H30" s="30">
        <v>146</v>
      </c>
      <c r="I30" s="30">
        <v>34</v>
      </c>
      <c r="J30" s="30">
        <v>2</v>
      </c>
      <c r="K30" s="30">
        <v>21</v>
      </c>
      <c r="L30" s="30">
        <v>1</v>
      </c>
      <c r="M30" s="30">
        <v>3</v>
      </c>
    </row>
    <row r="31" spans="1:13">
      <c r="A31" s="30">
        <f ca="1" t="shared" si="0"/>
        <v>129</v>
      </c>
      <c r="B31" s="30">
        <f ca="1" t="array" ref="B31">INDEX(Data_DBD!$B:$B,$A31)</f>
        <v>4.5</v>
      </c>
      <c r="C31" s="30">
        <f ca="1" t="array" ref="C31">INDEX(Data_DBD!$C:$C,$A31)</f>
        <v>3</v>
      </c>
      <c r="D31" s="30">
        <f ca="1" t="array" ref="D31">INDEX(Data_DBD!$D:$D,$A31)</f>
        <v>33</v>
      </c>
      <c r="E31" s="30">
        <f ca="1" t="array" ref="E31">INDEX(Data_DBD!$E:$E,$A31)</f>
        <v>0</v>
      </c>
      <c r="F31" s="30">
        <f ca="1" t="array" ref="F31">INDEX(Data_DBD!$F:$F,$A31)</f>
        <v>3</v>
      </c>
      <c r="H31" s="30">
        <v>82</v>
      </c>
      <c r="I31" s="30">
        <v>28</v>
      </c>
      <c r="J31" s="30">
        <v>3</v>
      </c>
      <c r="K31" s="30">
        <v>13</v>
      </c>
      <c r="L31" s="30">
        <v>1</v>
      </c>
      <c r="M31" s="30">
        <v>2</v>
      </c>
    </row>
    <row r="32" spans="1:13">
      <c r="A32" s="30">
        <f ca="1" t="shared" si="0"/>
        <v>46</v>
      </c>
      <c r="B32" s="30">
        <f ca="1" t="array" ref="B32">INDEX(Data_DBD!$B:$B,$A32)</f>
        <v>62</v>
      </c>
      <c r="C32" s="30">
        <f ca="1" t="array" ref="C32">INDEX(Data_DBD!$C:$C,$A32)</f>
        <v>2</v>
      </c>
      <c r="D32" s="30">
        <f ca="1" t="array" ref="D32">INDEX(Data_DBD!$D:$D,$A32)</f>
        <v>13</v>
      </c>
      <c r="E32" s="30">
        <f ca="1" t="array" ref="E32">INDEX(Data_DBD!$E:$E,$A32)</f>
        <v>0</v>
      </c>
      <c r="F32" s="30">
        <f ca="1" t="array" ref="F32">INDEX(Data_DBD!$F:$F,$A32)</f>
        <v>2</v>
      </c>
      <c r="H32" s="30">
        <v>109</v>
      </c>
      <c r="I32" s="30">
        <v>40</v>
      </c>
      <c r="J32" s="30">
        <v>3</v>
      </c>
      <c r="K32" s="30">
        <v>33</v>
      </c>
      <c r="L32" s="30">
        <v>1</v>
      </c>
      <c r="M32" s="30">
        <v>3</v>
      </c>
    </row>
    <row r="33" spans="1:13">
      <c r="A33" s="30">
        <f ca="1" t="shared" si="0"/>
        <v>60</v>
      </c>
      <c r="B33" s="30">
        <f ca="1" t="array" ref="B33">INDEX(Data_DBD!$B:$B,$A33)</f>
        <v>68</v>
      </c>
      <c r="C33" s="30">
        <f ca="1" t="array" ref="C33">INDEX(Data_DBD!$C:$C,$A33)</f>
        <v>4</v>
      </c>
      <c r="D33" s="30">
        <f ca="1" t="array" ref="D33">INDEX(Data_DBD!$D:$D,$A33)</f>
        <v>15</v>
      </c>
      <c r="E33" s="30">
        <f ca="1" t="array" ref="E33">INDEX(Data_DBD!$E:$E,$A33)</f>
        <v>0</v>
      </c>
      <c r="F33" s="30">
        <f ca="1" t="array" ref="F33">INDEX(Data_DBD!$F:$F,$A33)</f>
        <v>2</v>
      </c>
      <c r="H33" s="30">
        <v>102</v>
      </c>
      <c r="I33" s="30">
        <v>41</v>
      </c>
      <c r="J33" s="30">
        <v>4</v>
      </c>
      <c r="K33" s="30">
        <v>18</v>
      </c>
      <c r="L33" s="30">
        <v>0</v>
      </c>
      <c r="M33" s="30">
        <v>3</v>
      </c>
    </row>
    <row r="34" spans="1:13">
      <c r="A34" s="30">
        <f ca="1" t="shared" si="0"/>
        <v>100</v>
      </c>
      <c r="B34" s="30">
        <f ca="1" t="array" ref="B34">INDEX(Data_DBD!$B:$B,$A34)</f>
        <v>19</v>
      </c>
      <c r="C34" s="30">
        <f ca="1" t="array" ref="C34">INDEX(Data_DBD!$C:$C,$A34)</f>
        <v>6</v>
      </c>
      <c r="D34" s="30">
        <f ca="1" t="array" ref="D34">INDEX(Data_DBD!$D:$D,$A34)</f>
        <v>18</v>
      </c>
      <c r="E34" s="30">
        <f ca="1" t="array" ref="E34">INDEX(Data_DBD!$E:$E,$A34)</f>
        <v>0</v>
      </c>
      <c r="F34" s="30">
        <f ca="1" t="array" ref="F34">INDEX(Data_DBD!$F:$F,$A34)</f>
        <v>3</v>
      </c>
      <c r="H34" s="30">
        <v>159</v>
      </c>
      <c r="I34" s="30">
        <v>17</v>
      </c>
      <c r="J34" s="30">
        <v>2</v>
      </c>
      <c r="K34" s="30">
        <v>21</v>
      </c>
      <c r="L34" s="30">
        <v>0</v>
      </c>
      <c r="M34" s="30">
        <v>3</v>
      </c>
    </row>
    <row r="35" spans="1:13">
      <c r="A35" s="30">
        <f ca="1" t="shared" si="0"/>
        <v>25</v>
      </c>
      <c r="B35" s="30">
        <f ca="1" t="array" ref="B35">INDEX(Data_DBD!$B:$B,$A35)</f>
        <v>81</v>
      </c>
      <c r="C35" s="30">
        <f ca="1" t="array" ref="C35">INDEX(Data_DBD!$C:$C,$A35)</f>
        <v>5</v>
      </c>
      <c r="D35" s="30">
        <f ca="1" t="array" ref="D35">INDEX(Data_DBD!$D:$D,$A35)</f>
        <v>14</v>
      </c>
      <c r="E35" s="30">
        <f ca="1" t="array" ref="E35">INDEX(Data_DBD!$E:$E,$A35)</f>
        <v>0</v>
      </c>
      <c r="F35" s="30">
        <f ca="1" t="array" ref="F35">INDEX(Data_DBD!$F:$F,$A35)</f>
        <v>2</v>
      </c>
      <c r="H35" s="30">
        <v>154</v>
      </c>
      <c r="I35" s="30">
        <v>18</v>
      </c>
      <c r="J35" s="30">
        <v>5</v>
      </c>
      <c r="K35" s="30">
        <v>21</v>
      </c>
      <c r="L35" s="30">
        <v>1</v>
      </c>
      <c r="M35" s="30">
        <v>3</v>
      </c>
    </row>
    <row r="36" spans="1:13">
      <c r="A36" s="30">
        <f ca="1" t="shared" si="0"/>
        <v>130</v>
      </c>
      <c r="B36" s="30">
        <f ca="1" t="array" ref="B36">INDEX(Data_DBD!$B:$B,$A36)</f>
        <v>12</v>
      </c>
      <c r="C36" s="30">
        <f ca="1" t="array" ref="C36">INDEX(Data_DBD!$C:$C,$A36)</f>
        <v>4</v>
      </c>
      <c r="D36" s="30">
        <f ca="1" t="array" ref="D36">INDEX(Data_DBD!$D:$D,$A36)</f>
        <v>33</v>
      </c>
      <c r="E36" s="30">
        <f ca="1" t="array" ref="E36">INDEX(Data_DBD!$E:$E,$A36)</f>
        <v>0</v>
      </c>
      <c r="F36" s="30">
        <f ca="1" t="array" ref="F36">INDEX(Data_DBD!$F:$F,$A36)</f>
        <v>3</v>
      </c>
      <c r="H36" s="30">
        <v>67</v>
      </c>
      <c r="I36" s="30">
        <v>21</v>
      </c>
      <c r="J36" s="30">
        <v>3</v>
      </c>
      <c r="K36" s="30">
        <v>10</v>
      </c>
      <c r="L36" s="30">
        <v>1</v>
      </c>
      <c r="M36" s="30">
        <v>2</v>
      </c>
    </row>
    <row r="37" spans="1:13">
      <c r="A37" s="30">
        <f ca="1" t="shared" si="0"/>
        <v>21</v>
      </c>
      <c r="B37" s="30">
        <f ca="1" t="array" ref="B37">INDEX(Data_DBD!$B:$B,$A37)</f>
        <v>10</v>
      </c>
      <c r="C37" s="30">
        <f ca="1" t="array" ref="C37">INDEX(Data_DBD!$C:$C,$A37)</f>
        <v>5</v>
      </c>
      <c r="D37" s="30">
        <f ca="1" t="array" ref="D37">INDEX(Data_DBD!$D:$D,$A37)</f>
        <v>14</v>
      </c>
      <c r="E37" s="30">
        <f ca="1" t="array" ref="E37">INDEX(Data_DBD!$E:$E,$A37)</f>
        <v>1</v>
      </c>
      <c r="F37" s="30">
        <f ca="1" t="array" ref="F37">INDEX(Data_DBD!$F:$F,$A37)</f>
        <v>2</v>
      </c>
      <c r="H37" s="30">
        <v>8</v>
      </c>
      <c r="I37" s="30">
        <v>4</v>
      </c>
      <c r="J37" s="30">
        <v>2</v>
      </c>
      <c r="K37" s="30">
        <v>12</v>
      </c>
      <c r="L37" s="30">
        <v>0</v>
      </c>
      <c r="M37" s="30">
        <v>2</v>
      </c>
    </row>
    <row r="38" spans="1:13">
      <c r="A38" s="30">
        <f ca="1" t="shared" si="0"/>
        <v>73</v>
      </c>
      <c r="B38" s="30">
        <f ca="1" t="array" ref="B38">INDEX(Data_DBD!$B:$B,$A38)</f>
        <v>15</v>
      </c>
      <c r="C38" s="30">
        <f ca="1" t="array" ref="C38">INDEX(Data_DBD!$C:$C,$A38)</f>
        <v>3</v>
      </c>
      <c r="D38" s="30">
        <f ca="1" t="array" ref="D38">INDEX(Data_DBD!$D:$D,$A38)</f>
        <v>10</v>
      </c>
      <c r="E38" s="30">
        <f ca="1" t="array" ref="E38">INDEX(Data_DBD!$E:$E,$A38)</f>
        <v>1</v>
      </c>
      <c r="F38" s="30">
        <f ca="1" t="array" ref="F38">INDEX(Data_DBD!$F:$F,$A38)</f>
        <v>2</v>
      </c>
      <c r="H38" s="30">
        <v>99</v>
      </c>
      <c r="I38" s="30">
        <v>4</v>
      </c>
      <c r="J38" s="30">
        <v>2</v>
      </c>
      <c r="K38" s="30">
        <v>18</v>
      </c>
      <c r="L38" s="30">
        <v>1</v>
      </c>
      <c r="M38" s="30">
        <v>3</v>
      </c>
    </row>
    <row r="39" spans="1:13">
      <c r="A39" s="30">
        <f ca="1" t="shared" si="0"/>
        <v>139</v>
      </c>
      <c r="B39" s="30">
        <f ca="1" t="array" ref="B39">INDEX(Data_DBD!$B:$B,$A39)</f>
        <v>52</v>
      </c>
      <c r="C39" s="30">
        <f ca="1" t="array" ref="C39">INDEX(Data_DBD!$C:$C,$A39)</f>
        <v>7</v>
      </c>
      <c r="D39" s="30">
        <f ca="1" t="array" ref="D39">INDEX(Data_DBD!$D:$D,$A39)</f>
        <v>21</v>
      </c>
      <c r="E39" s="30">
        <f ca="1" t="array" ref="E39">INDEX(Data_DBD!$E:$E,$A39)</f>
        <v>0</v>
      </c>
      <c r="F39" s="30">
        <f ca="1" t="array" ref="F39">INDEX(Data_DBD!$F:$F,$A39)</f>
        <v>3</v>
      </c>
      <c r="H39" s="30">
        <v>114</v>
      </c>
      <c r="I39" s="30">
        <v>14</v>
      </c>
      <c r="J39" s="30">
        <v>2</v>
      </c>
      <c r="K39" s="30">
        <v>33</v>
      </c>
      <c r="L39" s="30">
        <v>1</v>
      </c>
      <c r="M39" s="30">
        <v>3</v>
      </c>
    </row>
    <row r="40" spans="1:13">
      <c r="A40" s="30">
        <f ca="1" t="shared" si="0"/>
        <v>153</v>
      </c>
      <c r="B40" s="30">
        <f ca="1" t="array" ref="B40">INDEX(Data_DBD!$B:$B,$A40)</f>
        <v>73</v>
      </c>
      <c r="C40" s="30">
        <f ca="1" t="array" ref="C40">INDEX(Data_DBD!$C:$C,$A40)</f>
        <v>7</v>
      </c>
      <c r="D40" s="30">
        <f ca="1" t="array" ref="D40">INDEX(Data_DBD!$D:$D,$A40)</f>
        <v>21</v>
      </c>
      <c r="E40" s="30">
        <f ca="1" t="array" ref="E40">INDEX(Data_DBD!$E:$E,$A40)</f>
        <v>1</v>
      </c>
      <c r="F40" s="30">
        <f ca="1" t="array" ref="F40">INDEX(Data_DBD!$F:$F,$A40)</f>
        <v>3</v>
      </c>
      <c r="H40" s="30">
        <v>147</v>
      </c>
      <c r="I40" s="30">
        <v>66</v>
      </c>
      <c r="J40" s="30">
        <v>10</v>
      </c>
      <c r="K40" s="30">
        <v>21</v>
      </c>
      <c r="L40" s="30">
        <v>1</v>
      </c>
      <c r="M40" s="30">
        <v>3</v>
      </c>
    </row>
    <row r="41" spans="1:13">
      <c r="A41" s="30">
        <f ca="1" t="shared" si="0"/>
        <v>116</v>
      </c>
      <c r="B41" s="30">
        <f ca="1" t="array" ref="B41">INDEX(Data_DBD!$B:$B,$A41)</f>
        <v>32</v>
      </c>
      <c r="C41" s="30">
        <f ca="1" t="array" ref="C41">INDEX(Data_DBD!$C:$C,$A41)</f>
        <v>4</v>
      </c>
      <c r="D41" s="30">
        <f ca="1" t="array" ref="D41">INDEX(Data_DBD!$D:$D,$A41)</f>
        <v>33</v>
      </c>
      <c r="E41" s="30">
        <f ca="1" t="array" ref="E41">INDEX(Data_DBD!$E:$E,$A41)</f>
        <v>1</v>
      </c>
      <c r="F41" s="30">
        <f ca="1" t="array" ref="F41">INDEX(Data_DBD!$F:$F,$A41)</f>
        <v>3</v>
      </c>
      <c r="H41" s="30">
        <v>32</v>
      </c>
      <c r="I41" s="30">
        <v>54</v>
      </c>
      <c r="J41" s="30">
        <v>4</v>
      </c>
      <c r="K41" s="30">
        <v>14</v>
      </c>
      <c r="L41" s="30">
        <v>0</v>
      </c>
      <c r="M41" s="30">
        <v>2</v>
      </c>
    </row>
    <row r="42" spans="1:13">
      <c r="A42" s="30">
        <f ca="1" t="shared" si="0"/>
        <v>106</v>
      </c>
      <c r="B42" s="30">
        <f ca="1" t="array" ref="B42">INDEX(Data_DBD!$B:$B,$A42)</f>
        <v>23</v>
      </c>
      <c r="C42" s="30">
        <f ca="1" t="array" ref="C42">INDEX(Data_DBD!$C:$C,$A42)</f>
        <v>3</v>
      </c>
      <c r="D42" s="30">
        <f ca="1" t="array" ref="D42">INDEX(Data_DBD!$D:$D,$A42)</f>
        <v>18</v>
      </c>
      <c r="E42" s="30">
        <f ca="1" t="array" ref="E42">INDEX(Data_DBD!$E:$E,$A42)</f>
        <v>1</v>
      </c>
      <c r="F42" s="30">
        <f ca="1" t="array" ref="F42">INDEX(Data_DBD!$F:$F,$A42)</f>
        <v>3</v>
      </c>
      <c r="H42" s="30">
        <v>134</v>
      </c>
      <c r="I42" s="30">
        <v>4</v>
      </c>
      <c r="J42" s="30">
        <v>2</v>
      </c>
      <c r="K42" s="30">
        <v>33</v>
      </c>
      <c r="L42" s="30">
        <v>1</v>
      </c>
      <c r="M42" s="30">
        <v>3</v>
      </c>
    </row>
    <row r="43" spans="1:13">
      <c r="A43" s="30">
        <f ca="1" t="shared" si="0"/>
        <v>109</v>
      </c>
      <c r="B43" s="30">
        <f ca="1" t="array" ref="B43">INDEX(Data_DBD!$B:$B,$A43)</f>
        <v>40</v>
      </c>
      <c r="C43" s="30">
        <f ca="1" t="array" ref="C43">INDEX(Data_DBD!$C:$C,$A43)</f>
        <v>3</v>
      </c>
      <c r="D43" s="30">
        <f ca="1" t="array" ref="D43">INDEX(Data_DBD!$D:$D,$A43)</f>
        <v>33</v>
      </c>
      <c r="E43" s="30">
        <f ca="1" t="array" ref="E43">INDEX(Data_DBD!$E:$E,$A43)</f>
        <v>1</v>
      </c>
      <c r="F43" s="30">
        <f ca="1" t="array" ref="F43">INDEX(Data_DBD!$F:$F,$A43)</f>
        <v>3</v>
      </c>
      <c r="H43" s="30">
        <v>135</v>
      </c>
      <c r="I43" s="30">
        <v>10</v>
      </c>
      <c r="J43" s="30">
        <v>2</v>
      </c>
      <c r="K43" s="30">
        <v>33</v>
      </c>
      <c r="L43" s="30">
        <v>0</v>
      </c>
      <c r="M43" s="30">
        <v>3</v>
      </c>
    </row>
    <row r="44" spans="1:13">
      <c r="A44" s="30">
        <f ca="1" t="shared" si="0"/>
        <v>68</v>
      </c>
      <c r="B44" s="30">
        <f ca="1" t="array" ref="B44">INDEX(Data_DBD!$B:$B,$A44)</f>
        <v>44</v>
      </c>
      <c r="C44" s="30">
        <f ca="1" t="array" ref="C44">INDEX(Data_DBD!$C:$C,$A44)</f>
        <v>5</v>
      </c>
      <c r="D44" s="30">
        <f ca="1" t="array" ref="D44">INDEX(Data_DBD!$D:$D,$A44)</f>
        <v>10</v>
      </c>
      <c r="E44" s="30">
        <f ca="1" t="array" ref="E44">INDEX(Data_DBD!$E:$E,$A44)</f>
        <v>0</v>
      </c>
      <c r="F44" s="30">
        <f ca="1" t="array" ref="F44">INDEX(Data_DBD!$F:$F,$A44)</f>
        <v>2</v>
      </c>
      <c r="H44" s="30">
        <v>7</v>
      </c>
      <c r="I44" s="30">
        <v>12</v>
      </c>
      <c r="J44" s="30">
        <v>1</v>
      </c>
      <c r="K44" s="30">
        <v>12</v>
      </c>
      <c r="L44" s="30">
        <v>1</v>
      </c>
      <c r="M44" s="30">
        <v>2</v>
      </c>
    </row>
    <row r="45" spans="1:13">
      <c r="A45" s="30">
        <f ca="1" t="shared" si="0"/>
        <v>21</v>
      </c>
      <c r="B45" s="30">
        <f ca="1" t="array" ref="B45">INDEX(Data_DBD!$B:$B,$A45)</f>
        <v>10</v>
      </c>
      <c r="C45" s="30">
        <f ca="1" t="array" ref="C45">INDEX(Data_DBD!$C:$C,$A45)</f>
        <v>5</v>
      </c>
      <c r="D45" s="30">
        <f ca="1" t="array" ref="D45">INDEX(Data_DBD!$D:$D,$A45)</f>
        <v>14</v>
      </c>
      <c r="E45" s="30">
        <f ca="1" t="array" ref="E45">INDEX(Data_DBD!$E:$E,$A45)</f>
        <v>1</v>
      </c>
      <c r="F45" s="30">
        <f ca="1" t="array" ref="F45">INDEX(Data_DBD!$F:$F,$A45)</f>
        <v>2</v>
      </c>
      <c r="H45" s="30">
        <v>154</v>
      </c>
      <c r="I45" s="30">
        <v>18</v>
      </c>
      <c r="J45" s="30">
        <v>5</v>
      </c>
      <c r="K45" s="30">
        <v>21</v>
      </c>
      <c r="L45" s="30">
        <v>1</v>
      </c>
      <c r="M45" s="30">
        <v>3</v>
      </c>
    </row>
    <row r="46" spans="1:13">
      <c r="A46" s="30">
        <f ca="1" t="shared" si="0"/>
        <v>73</v>
      </c>
      <c r="B46" s="30">
        <f ca="1" t="array" ref="B46">INDEX(Data_DBD!$B:$B,$A46)</f>
        <v>15</v>
      </c>
      <c r="C46" s="30">
        <f ca="1" t="array" ref="C46">INDEX(Data_DBD!$C:$C,$A46)</f>
        <v>3</v>
      </c>
      <c r="D46" s="30">
        <f ca="1" t="array" ref="D46">INDEX(Data_DBD!$D:$D,$A46)</f>
        <v>10</v>
      </c>
      <c r="E46" s="30">
        <f ca="1" t="array" ref="E46">INDEX(Data_DBD!$E:$E,$A46)</f>
        <v>1</v>
      </c>
      <c r="F46" s="30">
        <f ca="1" t="array" ref="F46">INDEX(Data_DBD!$F:$F,$A46)</f>
        <v>2</v>
      </c>
      <c r="H46" s="30">
        <v>107</v>
      </c>
      <c r="I46" s="30">
        <v>48</v>
      </c>
      <c r="J46" s="30">
        <v>5</v>
      </c>
      <c r="K46" s="30">
        <v>18</v>
      </c>
      <c r="L46" s="30">
        <v>0</v>
      </c>
      <c r="M46" s="30">
        <v>3</v>
      </c>
    </row>
    <row r="47" spans="1:13">
      <c r="A47" s="30">
        <f ca="1" t="shared" si="0"/>
        <v>159</v>
      </c>
      <c r="B47" s="30">
        <f ca="1" t="array" ref="B47">INDEX(Data_DBD!$B:$B,$A47)</f>
        <v>17</v>
      </c>
      <c r="C47" s="30">
        <f ca="1" t="array" ref="C47">INDEX(Data_DBD!$C:$C,$A47)</f>
        <v>2</v>
      </c>
      <c r="D47" s="30">
        <f ca="1" t="array" ref="D47">INDEX(Data_DBD!$D:$D,$A47)</f>
        <v>21</v>
      </c>
      <c r="E47" s="30">
        <f ca="1" t="array" ref="E47">INDEX(Data_DBD!$E:$E,$A47)</f>
        <v>0</v>
      </c>
      <c r="F47" s="30">
        <f ca="1" t="array" ref="F47">INDEX(Data_DBD!$F:$F,$A47)</f>
        <v>3</v>
      </c>
      <c r="H47" s="30">
        <v>107</v>
      </c>
      <c r="I47" s="30">
        <v>48</v>
      </c>
      <c r="J47" s="30">
        <v>5</v>
      </c>
      <c r="K47" s="30">
        <v>18</v>
      </c>
      <c r="L47" s="30">
        <v>0</v>
      </c>
      <c r="M47" s="30">
        <v>3</v>
      </c>
    </row>
    <row r="48" spans="1:13">
      <c r="A48" s="30">
        <f ca="1" t="shared" si="0"/>
        <v>130</v>
      </c>
      <c r="B48" s="30">
        <f ca="1" t="array" ref="B48">INDEX(Data_DBD!$B:$B,$A48)</f>
        <v>12</v>
      </c>
      <c r="C48" s="30">
        <f ca="1" t="array" ref="C48">INDEX(Data_DBD!$C:$C,$A48)</f>
        <v>4</v>
      </c>
      <c r="D48" s="30">
        <f ca="1" t="array" ref="D48">INDEX(Data_DBD!$D:$D,$A48)</f>
        <v>33</v>
      </c>
      <c r="E48" s="30">
        <f ca="1" t="array" ref="E48">INDEX(Data_DBD!$E:$E,$A48)</f>
        <v>0</v>
      </c>
      <c r="F48" s="30">
        <f ca="1" t="array" ref="F48">INDEX(Data_DBD!$F:$F,$A48)</f>
        <v>3</v>
      </c>
      <c r="H48" s="30">
        <v>112</v>
      </c>
      <c r="I48" s="30">
        <v>61</v>
      </c>
      <c r="J48" s="30">
        <v>3</v>
      </c>
      <c r="K48" s="30">
        <v>33</v>
      </c>
      <c r="L48" s="30">
        <v>1</v>
      </c>
      <c r="M48" s="30">
        <v>3</v>
      </c>
    </row>
    <row r="49" spans="1:13">
      <c r="A49" s="30">
        <f ca="1" t="shared" si="0"/>
        <v>60</v>
      </c>
      <c r="B49" s="30">
        <f ca="1" t="array" ref="B49">INDEX(Data_DBD!$B:$B,$A49)</f>
        <v>68</v>
      </c>
      <c r="C49" s="30">
        <f ca="1" t="array" ref="C49">INDEX(Data_DBD!$C:$C,$A49)</f>
        <v>4</v>
      </c>
      <c r="D49" s="30">
        <f ca="1" t="array" ref="D49">INDEX(Data_DBD!$D:$D,$A49)</f>
        <v>15</v>
      </c>
      <c r="E49" s="30">
        <f ca="1" t="array" ref="E49">INDEX(Data_DBD!$E:$E,$A49)</f>
        <v>0</v>
      </c>
      <c r="F49" s="30">
        <f ca="1" t="array" ref="F49">INDEX(Data_DBD!$F:$F,$A49)</f>
        <v>2</v>
      </c>
      <c r="H49" s="30">
        <v>34</v>
      </c>
      <c r="I49" s="30">
        <v>55</v>
      </c>
      <c r="J49" s="30">
        <v>3</v>
      </c>
      <c r="K49" s="30">
        <v>14</v>
      </c>
      <c r="L49" s="30">
        <v>0</v>
      </c>
      <c r="M49" s="30">
        <v>2</v>
      </c>
    </row>
    <row r="50" spans="1:13">
      <c r="A50" s="30">
        <f ca="1" t="shared" si="0"/>
        <v>61</v>
      </c>
      <c r="B50" s="30">
        <f ca="1" t="array" ref="B50">INDEX(Data_DBD!$B:$B,$A50)</f>
        <v>29</v>
      </c>
      <c r="C50" s="30">
        <f ca="1" t="array" ref="C50">INDEX(Data_DBD!$C:$C,$A50)</f>
        <v>3</v>
      </c>
      <c r="D50" s="30">
        <f ca="1" t="array" ref="D50">INDEX(Data_DBD!$D:$D,$A50)</f>
        <v>15</v>
      </c>
      <c r="E50" s="30">
        <f ca="1" t="array" ref="E50">INDEX(Data_DBD!$E:$E,$A50)</f>
        <v>1</v>
      </c>
      <c r="F50" s="30">
        <f ca="1" t="array" ref="F50">INDEX(Data_DBD!$F:$F,$A50)</f>
        <v>2</v>
      </c>
      <c r="H50" s="30">
        <v>30</v>
      </c>
      <c r="I50" s="30" t="s">
        <v>36</v>
      </c>
      <c r="J50" s="30">
        <v>2</v>
      </c>
      <c r="K50" s="30">
        <v>14</v>
      </c>
      <c r="L50" s="30">
        <v>1</v>
      </c>
      <c r="M50" s="30">
        <v>2</v>
      </c>
    </row>
    <row r="51" spans="1:13">
      <c r="A51" s="30">
        <f ca="1" t="shared" si="0"/>
        <v>8</v>
      </c>
      <c r="B51" s="30">
        <f ca="1" t="array" ref="B51">INDEX(Data_DBD!$B:$B,$A51)</f>
        <v>4</v>
      </c>
      <c r="C51" s="30">
        <f ca="1" t="array" ref="C51">INDEX(Data_DBD!$C:$C,$A51)</f>
        <v>2</v>
      </c>
      <c r="D51" s="30">
        <f ca="1" t="array" ref="D51">INDEX(Data_DBD!$D:$D,$A51)</f>
        <v>12</v>
      </c>
      <c r="E51" s="30">
        <f ca="1" t="array" ref="E51">INDEX(Data_DBD!$E:$E,$A51)</f>
        <v>0</v>
      </c>
      <c r="F51" s="30">
        <f ca="1" t="array" ref="F51">INDEX(Data_DBD!$F:$F,$A51)</f>
        <v>2</v>
      </c>
      <c r="H51" s="30">
        <v>65</v>
      </c>
      <c r="I51" s="30">
        <v>49</v>
      </c>
      <c r="J51" s="30">
        <v>3</v>
      </c>
      <c r="K51" s="30">
        <v>15</v>
      </c>
      <c r="L51" s="30">
        <v>0</v>
      </c>
      <c r="M51" s="30">
        <v>2</v>
      </c>
    </row>
    <row r="52" spans="1:13">
      <c r="A52" s="30">
        <f ca="1" t="shared" si="0"/>
        <v>90</v>
      </c>
      <c r="B52" s="30">
        <f ca="1" t="array" ref="B52">INDEX(Data_DBD!$B:$B,$A52)</f>
        <v>47</v>
      </c>
      <c r="C52" s="30">
        <f ca="1" t="array" ref="C52">INDEX(Data_DBD!$C:$C,$A52)</f>
        <v>3</v>
      </c>
      <c r="D52" s="30">
        <f ca="1" t="array" ref="D52">INDEX(Data_DBD!$D:$D,$A52)</f>
        <v>18</v>
      </c>
      <c r="E52" s="30">
        <f ca="1" t="array" ref="E52">INDEX(Data_DBD!$E:$E,$A52)</f>
        <v>0</v>
      </c>
      <c r="F52" s="30">
        <f ca="1" t="array" ref="F52">INDEX(Data_DBD!$F:$F,$A52)</f>
        <v>3</v>
      </c>
      <c r="H52" s="30">
        <v>34</v>
      </c>
      <c r="I52" s="30">
        <v>55</v>
      </c>
      <c r="J52" s="30">
        <v>3</v>
      </c>
      <c r="K52" s="30">
        <v>14</v>
      </c>
      <c r="L52" s="30">
        <v>0</v>
      </c>
      <c r="M52" s="30">
        <v>2</v>
      </c>
    </row>
    <row r="53" spans="1:13">
      <c r="A53" s="30">
        <f ca="1" t="shared" si="0"/>
        <v>60</v>
      </c>
      <c r="B53" s="30">
        <f ca="1" t="array" ref="B53">INDEX(Data_DBD!$B:$B,$A53)</f>
        <v>68</v>
      </c>
      <c r="C53" s="30">
        <f ca="1" t="array" ref="C53">INDEX(Data_DBD!$C:$C,$A53)</f>
        <v>4</v>
      </c>
      <c r="D53" s="30">
        <f ca="1" t="array" ref="D53">INDEX(Data_DBD!$D:$D,$A53)</f>
        <v>15</v>
      </c>
      <c r="E53" s="30">
        <f ca="1" t="array" ref="E53">INDEX(Data_DBD!$E:$E,$A53)</f>
        <v>0</v>
      </c>
      <c r="F53" s="30">
        <f ca="1" t="array" ref="F53">INDEX(Data_DBD!$F:$F,$A53)</f>
        <v>2</v>
      </c>
      <c r="H53" s="30">
        <v>109</v>
      </c>
      <c r="I53" s="30">
        <v>40</v>
      </c>
      <c r="J53" s="30">
        <v>3</v>
      </c>
      <c r="K53" s="30">
        <v>33</v>
      </c>
      <c r="L53" s="30">
        <v>1</v>
      </c>
      <c r="M53" s="30">
        <v>3</v>
      </c>
    </row>
    <row r="54" spans="1:13">
      <c r="A54" s="30">
        <f ca="1" t="shared" si="0"/>
        <v>116</v>
      </c>
      <c r="B54" s="30">
        <f ca="1" t="array" ref="B54">INDEX(Data_DBD!$B:$B,$A54)</f>
        <v>32</v>
      </c>
      <c r="C54" s="30">
        <f ca="1" t="array" ref="C54">INDEX(Data_DBD!$C:$C,$A54)</f>
        <v>4</v>
      </c>
      <c r="D54" s="30">
        <f ca="1" t="array" ref="D54">INDEX(Data_DBD!$D:$D,$A54)</f>
        <v>33</v>
      </c>
      <c r="E54" s="30">
        <f ca="1" t="array" ref="E54">INDEX(Data_DBD!$E:$E,$A54)</f>
        <v>1</v>
      </c>
      <c r="F54" s="30">
        <f ca="1" t="array" ref="F54">INDEX(Data_DBD!$F:$F,$A54)</f>
        <v>3</v>
      </c>
      <c r="H54" s="30">
        <v>101</v>
      </c>
      <c r="I54" s="30">
        <v>42</v>
      </c>
      <c r="J54" s="30">
        <v>5</v>
      </c>
      <c r="K54" s="30">
        <v>18</v>
      </c>
      <c r="L54" s="30">
        <v>0</v>
      </c>
      <c r="M54" s="30">
        <v>3</v>
      </c>
    </row>
    <row r="55" spans="1:13">
      <c r="A55" s="30">
        <f ca="1" t="shared" si="0"/>
        <v>13</v>
      </c>
      <c r="B55" s="30">
        <f ca="1" t="array" ref="B55">INDEX(Data_DBD!$B:$B,$A55)</f>
        <v>47</v>
      </c>
      <c r="C55" s="30">
        <f ca="1" t="array" ref="C55">INDEX(Data_DBD!$C:$C,$A55)</f>
        <v>2</v>
      </c>
      <c r="D55" s="30">
        <f ca="1" t="array" ref="D55">INDEX(Data_DBD!$D:$D,$A55)</f>
        <v>12</v>
      </c>
      <c r="E55" s="30">
        <f ca="1" t="array" ref="E55">INDEX(Data_DBD!$E:$E,$A55)</f>
        <v>0</v>
      </c>
      <c r="F55" s="30">
        <f ca="1" t="array" ref="F55">INDEX(Data_DBD!$F:$F,$A55)</f>
        <v>2</v>
      </c>
      <c r="H55" s="30">
        <v>146</v>
      </c>
      <c r="I55" s="30">
        <v>34</v>
      </c>
      <c r="J55" s="30">
        <v>2</v>
      </c>
      <c r="K55" s="30">
        <v>21</v>
      </c>
      <c r="L55" s="30">
        <v>1</v>
      </c>
      <c r="M55" s="30">
        <v>3</v>
      </c>
    </row>
    <row r="56" spans="1:13">
      <c r="A56" s="30">
        <f ca="1" t="shared" si="0"/>
        <v>126</v>
      </c>
      <c r="B56" s="30">
        <f ca="1" t="array" ref="B56">INDEX(Data_DBD!$B:$B,$A56)</f>
        <v>51</v>
      </c>
      <c r="C56" s="30">
        <f ca="1" t="array" ref="C56">INDEX(Data_DBD!$C:$C,$A56)</f>
        <v>3</v>
      </c>
      <c r="D56" s="30">
        <f ca="1" t="array" ref="D56">INDEX(Data_DBD!$D:$D,$A56)</f>
        <v>33</v>
      </c>
      <c r="E56" s="30">
        <f ca="1" t="array" ref="E56">INDEX(Data_DBD!$E:$E,$A56)</f>
        <v>1</v>
      </c>
      <c r="F56" s="30">
        <f ca="1" t="array" ref="F56">INDEX(Data_DBD!$F:$F,$A56)</f>
        <v>3</v>
      </c>
      <c r="H56" s="30">
        <v>127</v>
      </c>
      <c r="I56" s="30">
        <v>21</v>
      </c>
      <c r="J56" s="30">
        <v>2</v>
      </c>
      <c r="K56" s="30">
        <v>33</v>
      </c>
      <c r="L56" s="30">
        <v>0</v>
      </c>
      <c r="M56" s="30">
        <v>3</v>
      </c>
    </row>
    <row r="57" spans="1:13">
      <c r="A57" s="30">
        <f ca="1" t="shared" si="0"/>
        <v>21</v>
      </c>
      <c r="B57" s="30">
        <f ca="1" t="array" ref="B57">INDEX(Data_DBD!$B:$B,$A57)</f>
        <v>10</v>
      </c>
      <c r="C57" s="30">
        <f ca="1" t="array" ref="C57">INDEX(Data_DBD!$C:$C,$A57)</f>
        <v>5</v>
      </c>
      <c r="D57" s="30">
        <f ca="1" t="array" ref="D57">INDEX(Data_DBD!$D:$D,$A57)</f>
        <v>14</v>
      </c>
      <c r="E57" s="30">
        <f ca="1" t="array" ref="E57">INDEX(Data_DBD!$E:$E,$A57)</f>
        <v>1</v>
      </c>
      <c r="F57" s="30">
        <f ca="1" t="array" ref="F57">INDEX(Data_DBD!$F:$F,$A57)</f>
        <v>2</v>
      </c>
      <c r="H57" s="30">
        <v>59</v>
      </c>
      <c r="I57" s="30">
        <v>28</v>
      </c>
      <c r="J57" s="30">
        <v>4</v>
      </c>
      <c r="K57" s="30">
        <v>15</v>
      </c>
      <c r="L57" s="30">
        <v>0</v>
      </c>
      <c r="M57" s="30">
        <v>2</v>
      </c>
    </row>
    <row r="58" spans="1:13">
      <c r="A58" s="30">
        <f ca="1" t="shared" si="0"/>
        <v>14</v>
      </c>
      <c r="B58" s="30">
        <f ca="1" t="array" ref="B58">INDEX(Data_DBD!$B:$B,$A58)</f>
        <v>49</v>
      </c>
      <c r="C58" s="30">
        <f ca="1" t="array" ref="C58">INDEX(Data_DBD!$C:$C,$A58)</f>
        <v>4</v>
      </c>
      <c r="D58" s="30">
        <f ca="1" t="array" ref="D58">INDEX(Data_DBD!$D:$D,$A58)</f>
        <v>7</v>
      </c>
      <c r="E58" s="30">
        <f ca="1" t="array" ref="E58">INDEX(Data_DBD!$E:$E,$A58)</f>
        <v>1</v>
      </c>
      <c r="F58" s="30">
        <f ca="1" t="array" ref="F58">INDEX(Data_DBD!$F:$F,$A58)</f>
        <v>1</v>
      </c>
      <c r="H58" s="30">
        <v>13</v>
      </c>
      <c r="I58" s="30">
        <v>47</v>
      </c>
      <c r="J58" s="30">
        <v>2</v>
      </c>
      <c r="K58" s="30">
        <v>12</v>
      </c>
      <c r="L58" s="30">
        <v>0</v>
      </c>
      <c r="M58" s="30">
        <v>2</v>
      </c>
    </row>
    <row r="59" spans="1:13">
      <c r="A59" s="30">
        <f ca="1" t="shared" si="0"/>
        <v>56</v>
      </c>
      <c r="B59" s="30">
        <f ca="1" t="array" ref="B59">INDEX(Data_DBD!$B:$B,$A59)</f>
        <v>4</v>
      </c>
      <c r="C59" s="30">
        <f ca="1" t="array" ref="C59">INDEX(Data_DBD!$C:$C,$A59)</f>
        <v>3</v>
      </c>
      <c r="D59" s="30">
        <f ca="1" t="array" ref="D59">INDEX(Data_DBD!$D:$D,$A59)</f>
        <v>15</v>
      </c>
      <c r="E59" s="30">
        <f ca="1" t="array" ref="E59">INDEX(Data_DBD!$E:$E,$A59)</f>
        <v>0</v>
      </c>
      <c r="F59" s="30">
        <f ca="1" t="array" ref="F59">INDEX(Data_DBD!$F:$F,$A59)</f>
        <v>2</v>
      </c>
      <c r="H59" s="30">
        <v>9</v>
      </c>
      <c r="I59" s="30">
        <v>16</v>
      </c>
      <c r="J59" s="30">
        <v>6</v>
      </c>
      <c r="K59" s="30">
        <v>12</v>
      </c>
      <c r="L59" s="30">
        <v>1</v>
      </c>
      <c r="M59" s="30">
        <v>2</v>
      </c>
    </row>
    <row r="60" spans="1:13">
      <c r="A60" s="30">
        <f ca="1" t="shared" si="0"/>
        <v>38</v>
      </c>
      <c r="B60" s="30">
        <f ca="1" t="array" ref="B60">INDEX(Data_DBD!$B:$B,$A60)</f>
        <v>52</v>
      </c>
      <c r="C60" s="30">
        <f ca="1" t="array" ref="C60">INDEX(Data_DBD!$C:$C,$A60)</f>
        <v>3</v>
      </c>
      <c r="D60" s="30">
        <f ca="1" t="array" ref="D60">INDEX(Data_DBD!$D:$D,$A60)</f>
        <v>4</v>
      </c>
      <c r="E60" s="30">
        <f ca="1" t="array" ref="E60">INDEX(Data_DBD!$E:$E,$A60)</f>
        <v>1</v>
      </c>
      <c r="F60" s="30">
        <f ca="1" t="array" ref="F60">INDEX(Data_DBD!$F:$F,$A60)</f>
        <v>1</v>
      </c>
      <c r="H60" s="30">
        <v>126</v>
      </c>
      <c r="I60" s="30">
        <v>51</v>
      </c>
      <c r="J60" s="30">
        <v>3</v>
      </c>
      <c r="K60" s="30">
        <v>33</v>
      </c>
      <c r="L60" s="30">
        <v>1</v>
      </c>
      <c r="M60" s="30">
        <v>3</v>
      </c>
    </row>
    <row r="61" spans="1:13">
      <c r="A61" s="30">
        <f ca="1" t="shared" si="0"/>
        <v>152</v>
      </c>
      <c r="B61" s="30">
        <f ca="1" t="array" ref="B61">INDEX(Data_DBD!$B:$B,$A61)</f>
        <v>47</v>
      </c>
      <c r="C61" s="30">
        <f ca="1" t="array" ref="C61">INDEX(Data_DBD!$C:$C,$A61)</f>
        <v>3</v>
      </c>
      <c r="D61" s="30">
        <f ca="1" t="array" ref="D61">INDEX(Data_DBD!$D:$D,$A61)</f>
        <v>21</v>
      </c>
      <c r="E61" s="30">
        <f ca="1" t="array" ref="E61">INDEX(Data_DBD!$E:$E,$A61)</f>
        <v>1</v>
      </c>
      <c r="F61" s="30">
        <f ca="1" t="array" ref="F61">INDEX(Data_DBD!$F:$F,$A61)</f>
        <v>3</v>
      </c>
      <c r="H61" s="30">
        <v>128</v>
      </c>
      <c r="I61" s="30">
        <v>38</v>
      </c>
      <c r="J61" s="30">
        <v>2</v>
      </c>
      <c r="K61" s="30">
        <v>33</v>
      </c>
      <c r="L61" s="30">
        <v>0</v>
      </c>
      <c r="M61" s="30">
        <v>3</v>
      </c>
    </row>
    <row r="62" spans="1:13">
      <c r="A62" s="30">
        <f ca="1" t="shared" si="0"/>
        <v>79</v>
      </c>
      <c r="B62" s="30">
        <f ca="1" t="array" ref="B62">INDEX(Data_DBD!$B:$B,$A62)</f>
        <v>29</v>
      </c>
      <c r="C62" s="30">
        <f ca="1" t="array" ref="C62">INDEX(Data_DBD!$C:$C,$A62)</f>
        <v>3</v>
      </c>
      <c r="D62" s="30">
        <f ca="1" t="array" ref="D62">INDEX(Data_DBD!$D:$D,$A62)</f>
        <v>13</v>
      </c>
      <c r="E62" s="30">
        <f ca="1" t="array" ref="E62">INDEX(Data_DBD!$E:$E,$A62)</f>
        <v>0</v>
      </c>
      <c r="F62" s="30">
        <f ca="1" t="array" ref="F62">INDEX(Data_DBD!$F:$F,$A62)</f>
        <v>2</v>
      </c>
      <c r="H62" s="30">
        <v>103</v>
      </c>
      <c r="I62" s="30">
        <v>22</v>
      </c>
      <c r="J62" s="30">
        <v>5</v>
      </c>
      <c r="K62" s="30">
        <v>18</v>
      </c>
      <c r="L62" s="30">
        <v>0</v>
      </c>
      <c r="M62" s="30">
        <v>3</v>
      </c>
    </row>
    <row r="63" spans="1:13">
      <c r="A63" s="30">
        <f ca="1" t="shared" si="0"/>
        <v>11</v>
      </c>
      <c r="B63" s="30">
        <f ca="1" t="array" ref="B63">INDEX(Data_DBD!$B:$B,$A63)</f>
        <v>24</v>
      </c>
      <c r="C63" s="30">
        <f ca="1" t="array" ref="C63">INDEX(Data_DBD!$C:$C,$A63)</f>
        <v>5</v>
      </c>
      <c r="D63" s="30">
        <f ca="1" t="array" ref="D63">INDEX(Data_DBD!$D:$D,$A63)</f>
        <v>12</v>
      </c>
      <c r="E63" s="30">
        <f ca="1" t="array" ref="E63">INDEX(Data_DBD!$E:$E,$A63)</f>
        <v>1</v>
      </c>
      <c r="F63" s="30">
        <f ca="1" t="array" ref="F63">INDEX(Data_DBD!$F:$F,$A63)</f>
        <v>2</v>
      </c>
      <c r="H63" s="30">
        <v>65</v>
      </c>
      <c r="I63" s="30">
        <v>49</v>
      </c>
      <c r="J63" s="30">
        <v>3</v>
      </c>
      <c r="K63" s="30">
        <v>15</v>
      </c>
      <c r="L63" s="30">
        <v>0</v>
      </c>
      <c r="M63" s="30">
        <v>2</v>
      </c>
    </row>
    <row r="64" spans="1:13">
      <c r="A64" s="30">
        <f ca="1" t="shared" si="0"/>
        <v>35</v>
      </c>
      <c r="B64" s="30">
        <f ca="1" t="array" ref="B64">INDEX(Data_DBD!$B:$B,$A64)</f>
        <v>40</v>
      </c>
      <c r="C64" s="30">
        <f ca="1" t="array" ref="C64">INDEX(Data_DBD!$C:$C,$A64)</f>
        <v>3</v>
      </c>
      <c r="D64" s="30">
        <f ca="1" t="array" ref="D64">INDEX(Data_DBD!$D:$D,$A64)</f>
        <v>4</v>
      </c>
      <c r="E64" s="30">
        <f ca="1" t="array" ref="E64">INDEX(Data_DBD!$E:$E,$A64)</f>
        <v>1</v>
      </c>
      <c r="F64" s="30">
        <f ca="1" t="array" ref="F64">INDEX(Data_DBD!$F:$F,$A64)</f>
        <v>1</v>
      </c>
      <c r="H64" s="30">
        <v>73</v>
      </c>
      <c r="I64" s="30">
        <v>15</v>
      </c>
      <c r="J64" s="30">
        <v>3</v>
      </c>
      <c r="K64" s="30">
        <v>10</v>
      </c>
      <c r="L64" s="30">
        <v>1</v>
      </c>
      <c r="M64" s="30">
        <v>2</v>
      </c>
    </row>
    <row r="65" spans="1:13">
      <c r="A65" s="30">
        <f ca="1" t="shared" si="0"/>
        <v>51</v>
      </c>
      <c r="B65" s="30">
        <f ca="1" t="array" ref="B65">INDEX(Data_DBD!$B:$B,$A65)</f>
        <v>48</v>
      </c>
      <c r="C65" s="30">
        <f ca="1" t="array" ref="C65">INDEX(Data_DBD!$C:$C,$A65)</f>
        <v>4</v>
      </c>
      <c r="D65" s="30">
        <f ca="1" t="array" ref="D65">INDEX(Data_DBD!$D:$D,$A65)</f>
        <v>13</v>
      </c>
      <c r="E65" s="30">
        <f ca="1" t="array" ref="E65">INDEX(Data_DBD!$E:$E,$A65)</f>
        <v>0</v>
      </c>
      <c r="F65" s="30">
        <f ca="1" t="array" ref="F65">INDEX(Data_DBD!$F:$F,$A65)</f>
        <v>2</v>
      </c>
      <c r="H65" s="30">
        <v>23</v>
      </c>
      <c r="I65" s="30">
        <v>28</v>
      </c>
      <c r="J65" s="30">
        <v>4</v>
      </c>
      <c r="K65" s="30">
        <v>14</v>
      </c>
      <c r="L65" s="30">
        <v>1</v>
      </c>
      <c r="M65" s="30">
        <v>2</v>
      </c>
    </row>
    <row r="66" ht="15.75" spans="1:21">
      <c r="A66" s="30">
        <f ca="1" t="shared" si="0"/>
        <v>16</v>
      </c>
      <c r="B66" s="30">
        <f ca="1" t="array" ref="B66">INDEX(Data_DBD!$B:$B,$A66)</f>
        <v>66</v>
      </c>
      <c r="C66" s="30">
        <f ca="1" t="array" ref="C66">INDEX(Data_DBD!$C:$C,$A66)</f>
        <v>5</v>
      </c>
      <c r="D66" s="30">
        <f ca="1" t="array" ref="D66">INDEX(Data_DBD!$D:$D,$A66)</f>
        <v>7</v>
      </c>
      <c r="E66" s="30">
        <f ca="1" t="array" ref="E66">INDEX(Data_DBD!$E:$E,$A66)</f>
        <v>1</v>
      </c>
      <c r="F66" s="30">
        <f ca="1" t="array" ref="F66">INDEX(Data_DBD!$F:$F,$A66)</f>
        <v>1</v>
      </c>
      <c r="H66" s="30">
        <v>56</v>
      </c>
      <c r="I66" s="30">
        <v>4</v>
      </c>
      <c r="J66" s="30">
        <v>3</v>
      </c>
      <c r="K66" s="30">
        <v>15</v>
      </c>
      <c r="L66" s="30">
        <v>0</v>
      </c>
      <c r="M66" s="30">
        <v>2</v>
      </c>
      <c r="U66" s="43"/>
    </row>
    <row r="67" ht="15.75" spans="1:21">
      <c r="A67" s="30">
        <f ca="1" t="shared" ref="A67:A130" si="1">RANDBETWEEN(2,164)</f>
        <v>29</v>
      </c>
      <c r="B67" s="30">
        <f ca="1" t="array" ref="B67">INDEX(Data_DBD!$B:$B,$A67)</f>
        <v>19</v>
      </c>
      <c r="C67" s="30">
        <f ca="1" t="array" ref="C67">INDEX(Data_DBD!$C:$C,$A67)</f>
        <v>2</v>
      </c>
      <c r="D67" s="30">
        <f ca="1" t="array" ref="D67">INDEX(Data_DBD!$D:$D,$A67)</f>
        <v>14</v>
      </c>
      <c r="E67" s="30">
        <f ca="1" t="array" ref="E67">INDEX(Data_DBD!$E:$E,$A67)</f>
        <v>1</v>
      </c>
      <c r="F67" s="30">
        <f ca="1" t="array" ref="F67">INDEX(Data_DBD!$F:$F,$A67)</f>
        <v>2</v>
      </c>
      <c r="H67" s="30">
        <v>86</v>
      </c>
      <c r="I67" s="30">
        <v>23</v>
      </c>
      <c r="J67" s="30">
        <v>3</v>
      </c>
      <c r="K67" s="30">
        <v>13</v>
      </c>
      <c r="L67" s="30">
        <v>0</v>
      </c>
      <c r="M67" s="30">
        <v>2</v>
      </c>
      <c r="U67" s="44"/>
    </row>
    <row r="68" ht="15.75" spans="1:21">
      <c r="A68" s="30">
        <f ca="1" t="shared" si="1"/>
        <v>150</v>
      </c>
      <c r="B68" s="30">
        <f ca="1" t="array" ref="B68">INDEX(Data_DBD!$B:$B,$A68)</f>
        <v>61</v>
      </c>
      <c r="C68" s="30">
        <f ca="1" t="array" ref="C68">INDEX(Data_DBD!$C:$C,$A68)</f>
        <v>5</v>
      </c>
      <c r="D68" s="30">
        <f ca="1" t="array" ref="D68">INDEX(Data_DBD!$D:$D,$A68)</f>
        <v>21</v>
      </c>
      <c r="E68" s="30">
        <f ca="1" t="array" ref="E68">INDEX(Data_DBD!$E:$E,$A68)</f>
        <v>1</v>
      </c>
      <c r="F68" s="30">
        <f ca="1" t="array" ref="F68">INDEX(Data_DBD!$F:$F,$A68)</f>
        <v>3</v>
      </c>
      <c r="H68" s="30">
        <v>72</v>
      </c>
      <c r="I68" s="30">
        <v>3</v>
      </c>
      <c r="J68" s="30">
        <v>5</v>
      </c>
      <c r="K68" s="30">
        <v>10</v>
      </c>
      <c r="L68" s="30">
        <v>1</v>
      </c>
      <c r="M68" s="30">
        <v>2</v>
      </c>
      <c r="U68" s="45"/>
    </row>
    <row r="69" ht="15.75" spans="1:21">
      <c r="A69" s="30">
        <f ca="1" t="shared" si="1"/>
        <v>25</v>
      </c>
      <c r="B69" s="30">
        <f ca="1" t="array" ref="B69">INDEX(Data_DBD!$B:$B,$A69)</f>
        <v>81</v>
      </c>
      <c r="C69" s="30">
        <f ca="1" t="array" ref="C69">INDEX(Data_DBD!$C:$C,$A69)</f>
        <v>5</v>
      </c>
      <c r="D69" s="30">
        <f ca="1" t="array" ref="D69">INDEX(Data_DBD!$D:$D,$A69)</f>
        <v>14</v>
      </c>
      <c r="E69" s="30">
        <f ca="1" t="array" ref="E69">INDEX(Data_DBD!$E:$E,$A69)</f>
        <v>0</v>
      </c>
      <c r="F69" s="30">
        <f ca="1" t="array" ref="F69">INDEX(Data_DBD!$F:$F,$A69)</f>
        <v>2</v>
      </c>
      <c r="H69" s="30">
        <v>92</v>
      </c>
      <c r="I69" s="30">
        <v>55</v>
      </c>
      <c r="J69" s="30">
        <v>7</v>
      </c>
      <c r="K69" s="30">
        <v>18</v>
      </c>
      <c r="L69" s="30">
        <v>0</v>
      </c>
      <c r="M69" s="30">
        <v>3</v>
      </c>
      <c r="U69" s="45"/>
    </row>
    <row r="70" ht="15.75" spans="1:21">
      <c r="A70" s="30">
        <f ca="1" t="shared" si="1"/>
        <v>11</v>
      </c>
      <c r="B70" s="30">
        <f ca="1" t="array" ref="B70">INDEX(Data_DBD!$B:$B,$A70)</f>
        <v>24</v>
      </c>
      <c r="C70" s="30">
        <f ca="1" t="array" ref="C70">INDEX(Data_DBD!$C:$C,$A70)</f>
        <v>5</v>
      </c>
      <c r="D70" s="30">
        <f ca="1" t="array" ref="D70">INDEX(Data_DBD!$D:$D,$A70)</f>
        <v>12</v>
      </c>
      <c r="E70" s="30">
        <f ca="1" t="array" ref="E70">INDEX(Data_DBD!$E:$E,$A70)</f>
        <v>1</v>
      </c>
      <c r="F70" s="30">
        <f ca="1" t="array" ref="F70">INDEX(Data_DBD!$F:$F,$A70)</f>
        <v>2</v>
      </c>
      <c r="H70" s="30">
        <v>34</v>
      </c>
      <c r="I70" s="30">
        <v>55</v>
      </c>
      <c r="J70" s="30">
        <v>3</v>
      </c>
      <c r="K70" s="30">
        <v>14</v>
      </c>
      <c r="L70" s="30">
        <v>0</v>
      </c>
      <c r="M70" s="30">
        <v>2</v>
      </c>
      <c r="U70" s="44"/>
    </row>
    <row r="71" ht="15.75" spans="1:21">
      <c r="A71" s="30">
        <f ca="1" t="shared" si="1"/>
        <v>139</v>
      </c>
      <c r="B71" s="30">
        <f ca="1" t="array" ref="B71">INDEX(Data_DBD!$B:$B,$A71)</f>
        <v>52</v>
      </c>
      <c r="C71" s="30">
        <f ca="1" t="array" ref="C71">INDEX(Data_DBD!$C:$C,$A71)</f>
        <v>7</v>
      </c>
      <c r="D71" s="30">
        <f ca="1" t="array" ref="D71">INDEX(Data_DBD!$D:$D,$A71)</f>
        <v>21</v>
      </c>
      <c r="E71" s="30">
        <f ca="1" t="array" ref="E71">INDEX(Data_DBD!$E:$E,$A71)</f>
        <v>0</v>
      </c>
      <c r="F71" s="30">
        <f ca="1" t="array" ref="F71">INDEX(Data_DBD!$F:$F,$A71)</f>
        <v>3</v>
      </c>
      <c r="H71" s="30">
        <v>78</v>
      </c>
      <c r="I71" s="30">
        <v>6</v>
      </c>
      <c r="J71" s="30">
        <v>3</v>
      </c>
      <c r="K71" s="30">
        <v>13</v>
      </c>
      <c r="L71" s="30">
        <v>0</v>
      </c>
      <c r="M71" s="30">
        <v>2</v>
      </c>
      <c r="U71" s="45"/>
    </row>
    <row r="72" ht="15.75" spans="1:21">
      <c r="A72" s="30">
        <f ca="1" t="shared" si="1"/>
        <v>107</v>
      </c>
      <c r="B72" s="30">
        <f ca="1" t="array" ref="B72">INDEX(Data_DBD!$B:$B,$A72)</f>
        <v>48</v>
      </c>
      <c r="C72" s="30">
        <f ca="1" t="array" ref="C72">INDEX(Data_DBD!$C:$C,$A72)</f>
        <v>5</v>
      </c>
      <c r="D72" s="30">
        <f ca="1" t="array" ref="D72">INDEX(Data_DBD!$D:$D,$A72)</f>
        <v>18</v>
      </c>
      <c r="E72" s="30">
        <f ca="1" t="array" ref="E72">INDEX(Data_DBD!$E:$E,$A72)</f>
        <v>0</v>
      </c>
      <c r="F72" s="30">
        <f ca="1" t="array" ref="F72">INDEX(Data_DBD!$F:$F,$A72)</f>
        <v>3</v>
      </c>
      <c r="H72" s="30">
        <v>34</v>
      </c>
      <c r="I72" s="30">
        <v>55</v>
      </c>
      <c r="J72" s="30">
        <v>3</v>
      </c>
      <c r="K72" s="30">
        <v>14</v>
      </c>
      <c r="L72" s="30">
        <v>0</v>
      </c>
      <c r="M72" s="30">
        <v>2</v>
      </c>
      <c r="U72" s="45"/>
    </row>
    <row r="73" ht="15.75" spans="1:21">
      <c r="A73" s="30">
        <f ca="1" t="shared" si="1"/>
        <v>76</v>
      </c>
      <c r="B73" s="30">
        <f ca="1" t="array" ref="B73">INDEX(Data_DBD!$B:$B,$A73)</f>
        <v>70</v>
      </c>
      <c r="C73" s="30">
        <f ca="1" t="array" ref="C73">INDEX(Data_DBD!$C:$C,$A73)</f>
        <v>2</v>
      </c>
      <c r="D73" s="30">
        <f ca="1" t="array" ref="D73">INDEX(Data_DBD!$D:$D,$A73)</f>
        <v>10</v>
      </c>
      <c r="E73" s="30">
        <f ca="1" t="array" ref="E73">INDEX(Data_DBD!$E:$E,$A73)</f>
        <v>0</v>
      </c>
      <c r="F73" s="30">
        <f ca="1" t="array" ref="F73">INDEX(Data_DBD!$F:$F,$A73)</f>
        <v>2</v>
      </c>
      <c r="H73" s="30">
        <v>96</v>
      </c>
      <c r="I73" s="30">
        <v>56</v>
      </c>
      <c r="J73" s="30">
        <v>4</v>
      </c>
      <c r="K73" s="30">
        <v>18</v>
      </c>
      <c r="L73" s="30">
        <v>0</v>
      </c>
      <c r="M73" s="30">
        <v>3</v>
      </c>
      <c r="U73" s="44"/>
    </row>
    <row r="74" ht="15.75" spans="1:21">
      <c r="A74" s="30">
        <f ca="1" t="shared" si="1"/>
        <v>14</v>
      </c>
      <c r="B74" s="30">
        <f ca="1" t="array" ref="B74">INDEX(Data_DBD!$B:$B,$A74)</f>
        <v>49</v>
      </c>
      <c r="C74" s="30">
        <f ca="1" t="array" ref="C74">INDEX(Data_DBD!$C:$C,$A74)</f>
        <v>4</v>
      </c>
      <c r="D74" s="30">
        <f ca="1" t="array" ref="D74">INDEX(Data_DBD!$D:$D,$A74)</f>
        <v>7</v>
      </c>
      <c r="E74" s="30">
        <f ca="1" t="array" ref="E74">INDEX(Data_DBD!$E:$E,$A74)</f>
        <v>1</v>
      </c>
      <c r="F74" s="30">
        <f ca="1" t="array" ref="F74">INDEX(Data_DBD!$F:$F,$A74)</f>
        <v>1</v>
      </c>
      <c r="H74" s="30">
        <v>83</v>
      </c>
      <c r="I74" s="30">
        <v>50</v>
      </c>
      <c r="J74" s="30">
        <v>3</v>
      </c>
      <c r="K74" s="30">
        <v>13</v>
      </c>
      <c r="L74" s="30">
        <v>0</v>
      </c>
      <c r="M74" s="30">
        <v>2</v>
      </c>
      <c r="U74" s="45"/>
    </row>
    <row r="75" spans="1:13">
      <c r="A75" s="30">
        <f ca="1" t="shared" si="1"/>
        <v>52</v>
      </c>
      <c r="B75" s="30">
        <f ca="1" t="array" ref="B75">INDEX(Data_DBD!$B:$B,$A75)</f>
        <v>59</v>
      </c>
      <c r="C75" s="30">
        <f ca="1" t="array" ref="C75">INDEX(Data_DBD!$C:$C,$A75)</f>
        <v>4</v>
      </c>
      <c r="D75" s="30">
        <f ca="1" t="array" ref="D75">INDEX(Data_DBD!$D:$D,$A75)</f>
        <v>15</v>
      </c>
      <c r="E75" s="30">
        <f ca="1" t="array" ref="E75">INDEX(Data_DBD!$E:$E,$A75)</f>
        <v>1</v>
      </c>
      <c r="F75" s="30">
        <f ca="1" t="array" ref="F75">INDEX(Data_DBD!$F:$F,$A75)</f>
        <v>2</v>
      </c>
      <c r="H75" s="30">
        <v>108</v>
      </c>
      <c r="I75" s="30">
        <v>69</v>
      </c>
      <c r="J75" s="30">
        <v>7</v>
      </c>
      <c r="K75" s="30">
        <v>33</v>
      </c>
      <c r="L75" s="30">
        <v>1</v>
      </c>
      <c r="M75" s="30">
        <v>3</v>
      </c>
    </row>
    <row r="76" spans="1:13">
      <c r="A76" s="30">
        <f ca="1" t="shared" si="1"/>
        <v>126</v>
      </c>
      <c r="B76" s="30">
        <f ca="1" t="array" ref="B76">INDEX(Data_DBD!$B:$B,$A76)</f>
        <v>51</v>
      </c>
      <c r="C76" s="30">
        <f ca="1" t="array" ref="C76">INDEX(Data_DBD!$C:$C,$A76)</f>
        <v>3</v>
      </c>
      <c r="D76" s="30">
        <f ca="1" t="array" ref="D76">INDEX(Data_DBD!$D:$D,$A76)</f>
        <v>33</v>
      </c>
      <c r="E76" s="30">
        <f ca="1" t="array" ref="E76">INDEX(Data_DBD!$E:$E,$A76)</f>
        <v>1</v>
      </c>
      <c r="F76" s="30">
        <f ca="1" t="array" ref="F76">INDEX(Data_DBD!$F:$F,$A76)</f>
        <v>3</v>
      </c>
      <c r="H76" s="30">
        <v>69</v>
      </c>
      <c r="I76" s="30">
        <v>24</v>
      </c>
      <c r="J76" s="30">
        <v>4</v>
      </c>
      <c r="K76" s="30">
        <v>10</v>
      </c>
      <c r="L76" s="30">
        <v>1</v>
      </c>
      <c r="M76" s="30">
        <v>2</v>
      </c>
    </row>
    <row r="77" spans="1:13">
      <c r="A77" s="30">
        <f ca="1" t="shared" si="1"/>
        <v>140</v>
      </c>
      <c r="B77" s="30">
        <f ca="1" t="array" ref="B77">INDEX(Data_DBD!$B:$B,$A77)</f>
        <v>74</v>
      </c>
      <c r="C77" s="30">
        <f ca="1" t="array" ref="C77">INDEX(Data_DBD!$C:$C,$A77)</f>
        <v>5</v>
      </c>
      <c r="D77" s="30">
        <f ca="1" t="array" ref="D77">INDEX(Data_DBD!$D:$D,$A77)</f>
        <v>21</v>
      </c>
      <c r="E77" s="30">
        <f ca="1" t="array" ref="E77">INDEX(Data_DBD!$E:$E,$A77)</f>
        <v>1</v>
      </c>
      <c r="F77" s="30">
        <f ca="1" t="array" ref="F77">INDEX(Data_DBD!$F:$F,$A77)</f>
        <v>3</v>
      </c>
      <c r="H77" s="30">
        <v>123</v>
      </c>
      <c r="I77" s="30">
        <v>22</v>
      </c>
      <c r="J77" s="30">
        <v>4</v>
      </c>
      <c r="K77" s="30">
        <v>33</v>
      </c>
      <c r="L77" s="30">
        <v>0</v>
      </c>
      <c r="M77" s="30">
        <v>3</v>
      </c>
    </row>
    <row r="78" spans="1:13">
      <c r="A78" s="30">
        <f ca="1" t="shared" si="1"/>
        <v>29</v>
      </c>
      <c r="B78" s="30">
        <f ca="1" t="array" ref="B78">INDEX(Data_DBD!$B:$B,$A78)</f>
        <v>19</v>
      </c>
      <c r="C78" s="30">
        <f ca="1" t="array" ref="C78">INDEX(Data_DBD!$C:$C,$A78)</f>
        <v>2</v>
      </c>
      <c r="D78" s="30">
        <f ca="1" t="array" ref="D78">INDEX(Data_DBD!$D:$D,$A78)</f>
        <v>14</v>
      </c>
      <c r="E78" s="30">
        <f ca="1" t="array" ref="E78">INDEX(Data_DBD!$E:$E,$A78)</f>
        <v>1</v>
      </c>
      <c r="F78" s="30">
        <f ca="1" t="array" ref="F78">INDEX(Data_DBD!$F:$F,$A78)</f>
        <v>2</v>
      </c>
      <c r="H78" s="30">
        <v>62</v>
      </c>
      <c r="I78" s="30">
        <v>43</v>
      </c>
      <c r="J78" s="30">
        <v>4</v>
      </c>
      <c r="K78" s="30">
        <v>15</v>
      </c>
      <c r="L78" s="30">
        <v>1</v>
      </c>
      <c r="M78" s="30">
        <v>2</v>
      </c>
    </row>
    <row r="79" spans="1:13">
      <c r="A79" s="30">
        <f ca="1" t="shared" si="1"/>
        <v>13</v>
      </c>
      <c r="B79" s="30">
        <f ca="1" t="array" ref="B79">INDEX(Data_DBD!$B:$B,$A79)</f>
        <v>47</v>
      </c>
      <c r="C79" s="30">
        <f ca="1" t="array" ref="C79">INDEX(Data_DBD!$C:$C,$A79)</f>
        <v>2</v>
      </c>
      <c r="D79" s="30">
        <f ca="1" t="array" ref="D79">INDEX(Data_DBD!$D:$D,$A79)</f>
        <v>12</v>
      </c>
      <c r="E79" s="30">
        <f ca="1" t="array" ref="E79">INDEX(Data_DBD!$E:$E,$A79)</f>
        <v>0</v>
      </c>
      <c r="F79" s="30">
        <f ca="1" t="array" ref="F79">INDEX(Data_DBD!$F:$F,$A79)</f>
        <v>2</v>
      </c>
      <c r="H79" s="30">
        <v>116</v>
      </c>
      <c r="I79" s="30">
        <v>32</v>
      </c>
      <c r="J79" s="30">
        <v>4</v>
      </c>
      <c r="K79" s="30">
        <v>33</v>
      </c>
      <c r="L79" s="30">
        <v>1</v>
      </c>
      <c r="M79" s="30">
        <v>3</v>
      </c>
    </row>
    <row r="80" spans="1:13">
      <c r="A80" s="30">
        <f ca="1" t="shared" si="1"/>
        <v>5</v>
      </c>
      <c r="B80" s="30">
        <f ca="1" t="array" ref="B80">INDEX(Data_DBD!$B:$B,$A80)</f>
        <v>18</v>
      </c>
      <c r="C80" s="30">
        <f ca="1" t="array" ref="C80">INDEX(Data_DBD!$C:$C,$A80)</f>
        <v>2</v>
      </c>
      <c r="D80" s="30">
        <f ca="1" t="array" ref="D80">INDEX(Data_DBD!$D:$D,$A80)</f>
        <v>12</v>
      </c>
      <c r="E80" s="30">
        <f ca="1" t="array" ref="E80">INDEX(Data_DBD!$E:$E,$A80)</f>
        <v>1</v>
      </c>
      <c r="F80" s="30">
        <f ca="1" t="array" ref="F80">INDEX(Data_DBD!$F:$F,$A80)</f>
        <v>2</v>
      </c>
      <c r="H80" s="30">
        <v>112</v>
      </c>
      <c r="I80" s="30">
        <v>61</v>
      </c>
      <c r="J80" s="30">
        <v>3</v>
      </c>
      <c r="K80" s="30">
        <v>33</v>
      </c>
      <c r="L80" s="30">
        <v>1</v>
      </c>
      <c r="M80" s="30">
        <v>3</v>
      </c>
    </row>
    <row r="81" spans="1:13">
      <c r="A81" s="30">
        <f ca="1" t="shared" si="1"/>
        <v>18</v>
      </c>
      <c r="B81" s="30">
        <f ca="1" t="array" ref="B81">INDEX(Data_DBD!$B:$B,$A81)</f>
        <v>49</v>
      </c>
      <c r="C81" s="30">
        <f ca="1" t="array" ref="C81">INDEX(Data_DBD!$C:$C,$A81)</f>
        <v>4</v>
      </c>
      <c r="D81" s="30">
        <f ca="1" t="array" ref="D81">INDEX(Data_DBD!$D:$D,$A81)</f>
        <v>7</v>
      </c>
      <c r="E81" s="30">
        <f ca="1" t="array" ref="E81">INDEX(Data_DBD!$E:$E,$A81)</f>
        <v>1</v>
      </c>
      <c r="F81" s="30">
        <f ca="1" t="array" ref="F81">INDEX(Data_DBD!$F:$F,$A81)</f>
        <v>1</v>
      </c>
      <c r="H81" s="30">
        <v>101</v>
      </c>
      <c r="I81" s="30">
        <v>42</v>
      </c>
      <c r="J81" s="30">
        <v>5</v>
      </c>
      <c r="K81" s="30">
        <v>18</v>
      </c>
      <c r="L81" s="30">
        <v>0</v>
      </c>
      <c r="M81" s="30">
        <v>3</v>
      </c>
    </row>
    <row r="82" spans="1:13">
      <c r="A82" s="30">
        <f ca="1" t="shared" si="1"/>
        <v>7</v>
      </c>
      <c r="B82" s="30">
        <f ca="1" t="array" ref="B82">INDEX(Data_DBD!$B:$B,$A82)</f>
        <v>12</v>
      </c>
      <c r="C82" s="30">
        <f ca="1" t="array" ref="C82">INDEX(Data_DBD!$C:$C,$A82)</f>
        <v>1</v>
      </c>
      <c r="D82" s="30">
        <f ca="1" t="array" ref="D82">INDEX(Data_DBD!$D:$D,$A82)</f>
        <v>12</v>
      </c>
      <c r="E82" s="30">
        <f ca="1" t="array" ref="E82">INDEX(Data_DBD!$E:$E,$A82)</f>
        <v>1</v>
      </c>
      <c r="F82" s="30">
        <f ca="1" t="array" ref="F82">INDEX(Data_DBD!$F:$F,$A82)</f>
        <v>2</v>
      </c>
      <c r="H82" s="30">
        <v>28</v>
      </c>
      <c r="I82" s="30">
        <v>22</v>
      </c>
      <c r="J82" s="30">
        <v>2</v>
      </c>
      <c r="K82" s="30">
        <v>14</v>
      </c>
      <c r="L82" s="30">
        <v>1</v>
      </c>
      <c r="M82" s="30">
        <v>2</v>
      </c>
    </row>
    <row r="83" spans="1:13">
      <c r="A83" s="30">
        <f ca="1" t="shared" si="1"/>
        <v>129</v>
      </c>
      <c r="B83" s="30">
        <f ca="1" t="array" ref="B83">INDEX(Data_DBD!$B:$B,$A83)</f>
        <v>4.5</v>
      </c>
      <c r="C83" s="30">
        <f ca="1" t="array" ref="C83">INDEX(Data_DBD!$C:$C,$A83)</f>
        <v>3</v>
      </c>
      <c r="D83" s="30">
        <f ca="1" t="array" ref="D83">INDEX(Data_DBD!$D:$D,$A83)</f>
        <v>33</v>
      </c>
      <c r="E83" s="30">
        <f ca="1" t="array" ref="E83">INDEX(Data_DBD!$E:$E,$A83)</f>
        <v>0</v>
      </c>
      <c r="F83" s="30">
        <f ca="1" t="array" ref="F83">INDEX(Data_DBD!$F:$F,$A83)</f>
        <v>3</v>
      </c>
      <c r="H83" s="30">
        <v>27</v>
      </c>
      <c r="I83" s="30">
        <v>37</v>
      </c>
      <c r="J83" s="30">
        <v>4</v>
      </c>
      <c r="K83" s="30">
        <v>14</v>
      </c>
      <c r="L83" s="30">
        <v>1</v>
      </c>
      <c r="M83" s="30">
        <v>2</v>
      </c>
    </row>
    <row r="84" spans="1:13">
      <c r="A84" s="30">
        <f ca="1" t="shared" si="1"/>
        <v>113</v>
      </c>
      <c r="B84" s="30">
        <f ca="1" t="array" ref="B84">INDEX(Data_DBD!$B:$B,$A84)</f>
        <v>69</v>
      </c>
      <c r="C84" s="30">
        <f ca="1" t="array" ref="C84">INDEX(Data_DBD!$C:$C,$A84)</f>
        <v>1</v>
      </c>
      <c r="D84" s="30">
        <f ca="1" t="array" ref="D84">INDEX(Data_DBD!$D:$D,$A84)</f>
        <v>33</v>
      </c>
      <c r="E84" s="30">
        <f ca="1" t="array" ref="E84">INDEX(Data_DBD!$E:$E,$A84)</f>
        <v>1</v>
      </c>
      <c r="F84" s="30">
        <f ca="1" t="array" ref="F84">INDEX(Data_DBD!$F:$F,$A84)</f>
        <v>3</v>
      </c>
      <c r="H84" s="30">
        <v>101</v>
      </c>
      <c r="I84" s="30">
        <v>42</v>
      </c>
      <c r="J84" s="30">
        <v>5</v>
      </c>
      <c r="K84" s="30">
        <v>18</v>
      </c>
      <c r="L84" s="30">
        <v>0</v>
      </c>
      <c r="M84" s="30">
        <v>3</v>
      </c>
    </row>
    <row r="85" spans="1:13">
      <c r="A85" s="30">
        <f ca="1" t="shared" si="1"/>
        <v>96</v>
      </c>
      <c r="B85" s="30">
        <f ca="1" t="array" ref="B85">INDEX(Data_DBD!$B:$B,$A85)</f>
        <v>56</v>
      </c>
      <c r="C85" s="30">
        <f ca="1" t="array" ref="C85">INDEX(Data_DBD!$C:$C,$A85)</f>
        <v>4</v>
      </c>
      <c r="D85" s="30">
        <f ca="1" t="array" ref="D85">INDEX(Data_DBD!$D:$D,$A85)</f>
        <v>18</v>
      </c>
      <c r="E85" s="30">
        <f ca="1" t="array" ref="E85">INDEX(Data_DBD!$E:$E,$A85)</f>
        <v>0</v>
      </c>
      <c r="F85" s="30">
        <f ca="1" t="array" ref="F85">INDEX(Data_DBD!$F:$F,$A85)</f>
        <v>3</v>
      </c>
      <c r="H85" s="30">
        <v>119</v>
      </c>
      <c r="I85" s="30">
        <v>30</v>
      </c>
      <c r="J85" s="30">
        <v>7</v>
      </c>
      <c r="K85" s="30">
        <v>33</v>
      </c>
      <c r="L85" s="30">
        <v>0</v>
      </c>
      <c r="M85" s="30">
        <v>3</v>
      </c>
    </row>
    <row r="86" spans="1:13">
      <c r="A86" s="30">
        <f ca="1" t="shared" si="1"/>
        <v>56</v>
      </c>
      <c r="B86" s="30">
        <f ca="1" t="array" ref="B86">INDEX(Data_DBD!$B:$B,$A86)</f>
        <v>4</v>
      </c>
      <c r="C86" s="30">
        <f ca="1" t="array" ref="C86">INDEX(Data_DBD!$C:$C,$A86)</f>
        <v>3</v>
      </c>
      <c r="D86" s="30">
        <f ca="1" t="array" ref="D86">INDEX(Data_DBD!$D:$D,$A86)</f>
        <v>15</v>
      </c>
      <c r="E86" s="30">
        <f ca="1" t="array" ref="E86">INDEX(Data_DBD!$E:$E,$A86)</f>
        <v>0</v>
      </c>
      <c r="F86" s="30">
        <f ca="1" t="array" ref="F86">INDEX(Data_DBD!$F:$F,$A86)</f>
        <v>2</v>
      </c>
      <c r="H86" s="30">
        <v>93</v>
      </c>
      <c r="I86" s="30">
        <v>65</v>
      </c>
      <c r="J86" s="30">
        <v>4</v>
      </c>
      <c r="K86" s="30">
        <v>18</v>
      </c>
      <c r="L86" s="30">
        <v>0</v>
      </c>
      <c r="M86" s="30">
        <v>3</v>
      </c>
    </row>
    <row r="87" spans="1:13">
      <c r="A87" s="30">
        <f ca="1" t="shared" si="1"/>
        <v>11</v>
      </c>
      <c r="B87" s="30">
        <f ca="1" t="array" ref="B87">INDEX(Data_DBD!$B:$B,$A87)</f>
        <v>24</v>
      </c>
      <c r="C87" s="30">
        <f ca="1" t="array" ref="C87">INDEX(Data_DBD!$C:$C,$A87)</f>
        <v>5</v>
      </c>
      <c r="D87" s="30">
        <f ca="1" t="array" ref="D87">INDEX(Data_DBD!$D:$D,$A87)</f>
        <v>12</v>
      </c>
      <c r="E87" s="30">
        <f ca="1" t="array" ref="E87">INDEX(Data_DBD!$E:$E,$A87)</f>
        <v>1</v>
      </c>
      <c r="F87" s="30">
        <f ca="1" t="array" ref="F87">INDEX(Data_DBD!$F:$F,$A87)</f>
        <v>2</v>
      </c>
      <c r="H87" s="30">
        <v>66</v>
      </c>
      <c r="I87" s="30">
        <v>21</v>
      </c>
      <c r="J87" s="30">
        <v>5</v>
      </c>
      <c r="K87" s="30">
        <v>15</v>
      </c>
      <c r="L87" s="30">
        <v>1</v>
      </c>
      <c r="M87" s="30">
        <v>2</v>
      </c>
    </row>
    <row r="88" spans="1:13">
      <c r="A88" s="30">
        <f ca="1" t="shared" si="1"/>
        <v>16</v>
      </c>
      <c r="B88" s="30">
        <f ca="1" t="array" ref="B88">INDEX(Data_DBD!$B:$B,$A88)</f>
        <v>66</v>
      </c>
      <c r="C88" s="30">
        <f ca="1" t="array" ref="C88">INDEX(Data_DBD!$C:$C,$A88)</f>
        <v>5</v>
      </c>
      <c r="D88" s="30">
        <f ca="1" t="array" ref="D88">INDEX(Data_DBD!$D:$D,$A88)</f>
        <v>7</v>
      </c>
      <c r="E88" s="30">
        <f ca="1" t="array" ref="E88">INDEX(Data_DBD!$E:$E,$A88)</f>
        <v>1</v>
      </c>
      <c r="F88" s="30">
        <f ca="1" t="array" ref="F88">INDEX(Data_DBD!$F:$F,$A88)</f>
        <v>1</v>
      </c>
      <c r="H88" s="30">
        <v>74</v>
      </c>
      <c r="I88" s="30">
        <v>9</v>
      </c>
      <c r="J88" s="30">
        <v>4</v>
      </c>
      <c r="K88" s="30">
        <v>10</v>
      </c>
      <c r="L88" s="30">
        <v>0</v>
      </c>
      <c r="M88" s="30">
        <v>2</v>
      </c>
    </row>
    <row r="89" spans="1:13">
      <c r="A89" s="30">
        <f ca="1" t="shared" si="1"/>
        <v>62</v>
      </c>
      <c r="B89" s="30">
        <f ca="1" t="array" ref="B89">INDEX(Data_DBD!$B:$B,$A89)</f>
        <v>43</v>
      </c>
      <c r="C89" s="30">
        <f ca="1" t="array" ref="C89">INDEX(Data_DBD!$C:$C,$A89)</f>
        <v>4</v>
      </c>
      <c r="D89" s="30">
        <f ca="1" t="array" ref="D89">INDEX(Data_DBD!$D:$D,$A89)</f>
        <v>15</v>
      </c>
      <c r="E89" s="30">
        <f ca="1" t="array" ref="E89">INDEX(Data_DBD!$E:$E,$A89)</f>
        <v>1</v>
      </c>
      <c r="F89" s="30">
        <f ca="1" t="array" ref="F89">INDEX(Data_DBD!$F:$F,$A89)</f>
        <v>2</v>
      </c>
      <c r="H89" s="30">
        <v>102</v>
      </c>
      <c r="I89" s="30">
        <v>41</v>
      </c>
      <c r="J89" s="30">
        <v>4</v>
      </c>
      <c r="K89" s="30">
        <v>18</v>
      </c>
      <c r="L89" s="30">
        <v>0</v>
      </c>
      <c r="M89" s="30">
        <v>3</v>
      </c>
    </row>
    <row r="90" spans="1:13">
      <c r="A90" s="30">
        <f ca="1" t="shared" si="1"/>
        <v>129</v>
      </c>
      <c r="B90" s="30">
        <f ca="1" t="array" ref="B90">INDEX(Data_DBD!$B:$B,$A90)</f>
        <v>4.5</v>
      </c>
      <c r="C90" s="30">
        <f ca="1" t="array" ref="C90">INDEX(Data_DBD!$C:$C,$A90)</f>
        <v>3</v>
      </c>
      <c r="D90" s="30">
        <f ca="1" t="array" ref="D90">INDEX(Data_DBD!$D:$D,$A90)</f>
        <v>33</v>
      </c>
      <c r="E90" s="30">
        <f ca="1" t="array" ref="E90">INDEX(Data_DBD!$E:$E,$A90)</f>
        <v>0</v>
      </c>
      <c r="F90" s="30">
        <f ca="1" t="array" ref="F90">INDEX(Data_DBD!$F:$F,$A90)</f>
        <v>3</v>
      </c>
      <c r="H90" s="30">
        <v>103</v>
      </c>
      <c r="I90" s="30">
        <v>22</v>
      </c>
      <c r="J90" s="30">
        <v>5</v>
      </c>
      <c r="K90" s="30">
        <v>18</v>
      </c>
      <c r="L90" s="30">
        <v>0</v>
      </c>
      <c r="M90" s="30">
        <v>3</v>
      </c>
    </row>
    <row r="91" spans="1:13">
      <c r="A91" s="30">
        <f ca="1" t="shared" si="1"/>
        <v>56</v>
      </c>
      <c r="B91" s="30">
        <f ca="1" t="array" ref="B91">INDEX(Data_DBD!$B:$B,$A91)</f>
        <v>4</v>
      </c>
      <c r="C91" s="30">
        <f ca="1" t="array" ref="C91">INDEX(Data_DBD!$C:$C,$A91)</f>
        <v>3</v>
      </c>
      <c r="D91" s="30">
        <f ca="1" t="array" ref="D91">INDEX(Data_DBD!$D:$D,$A91)</f>
        <v>15</v>
      </c>
      <c r="E91" s="30">
        <f ca="1" t="array" ref="E91">INDEX(Data_DBD!$E:$E,$A91)</f>
        <v>0</v>
      </c>
      <c r="F91" s="30">
        <f ca="1" t="array" ref="F91">INDEX(Data_DBD!$F:$F,$A91)</f>
        <v>2</v>
      </c>
      <c r="H91" s="30">
        <v>52</v>
      </c>
      <c r="I91" s="30">
        <v>59</v>
      </c>
      <c r="J91" s="30">
        <v>4</v>
      </c>
      <c r="K91" s="30">
        <v>15</v>
      </c>
      <c r="L91" s="30">
        <v>1</v>
      </c>
      <c r="M91" s="30">
        <v>2</v>
      </c>
    </row>
    <row r="92" spans="1:13">
      <c r="A92" s="30">
        <f ca="1" t="shared" si="1"/>
        <v>7</v>
      </c>
      <c r="B92" s="30">
        <f ca="1" t="array" ref="B92">INDEX(Data_DBD!$B:$B,$A92)</f>
        <v>12</v>
      </c>
      <c r="C92" s="30">
        <f ca="1" t="array" ref="C92">INDEX(Data_DBD!$C:$C,$A92)</f>
        <v>1</v>
      </c>
      <c r="D92" s="30">
        <f ca="1" t="array" ref="D92">INDEX(Data_DBD!$D:$D,$A92)</f>
        <v>12</v>
      </c>
      <c r="E92" s="30">
        <f ca="1" t="array" ref="E92">INDEX(Data_DBD!$E:$E,$A92)</f>
        <v>1</v>
      </c>
      <c r="F92" s="30">
        <f ca="1" t="array" ref="F92">INDEX(Data_DBD!$F:$F,$A92)</f>
        <v>2</v>
      </c>
      <c r="H92" s="30">
        <v>81</v>
      </c>
      <c r="I92" s="30">
        <v>23</v>
      </c>
      <c r="J92" s="30">
        <v>5</v>
      </c>
      <c r="K92" s="30">
        <v>13</v>
      </c>
      <c r="L92" s="30">
        <v>1</v>
      </c>
      <c r="M92" s="30">
        <v>2</v>
      </c>
    </row>
    <row r="93" spans="1:13">
      <c r="A93" s="30">
        <f ca="1" t="shared" si="1"/>
        <v>38</v>
      </c>
      <c r="B93" s="30">
        <f ca="1" t="array" ref="B93">INDEX(Data_DBD!$B:$B,$A93)</f>
        <v>52</v>
      </c>
      <c r="C93" s="30">
        <f ca="1" t="array" ref="C93">INDEX(Data_DBD!$C:$C,$A93)</f>
        <v>3</v>
      </c>
      <c r="D93" s="30">
        <f ca="1" t="array" ref="D93">INDEX(Data_DBD!$D:$D,$A93)</f>
        <v>4</v>
      </c>
      <c r="E93" s="30">
        <f ca="1" t="array" ref="E93">INDEX(Data_DBD!$E:$E,$A93)</f>
        <v>1</v>
      </c>
      <c r="F93" s="30">
        <f ca="1" t="array" ref="F93">INDEX(Data_DBD!$F:$F,$A93)</f>
        <v>1</v>
      </c>
      <c r="H93" s="30">
        <v>108</v>
      </c>
      <c r="I93" s="30">
        <v>69</v>
      </c>
      <c r="J93" s="30">
        <v>7</v>
      </c>
      <c r="K93" s="30">
        <v>33</v>
      </c>
      <c r="L93" s="30">
        <v>1</v>
      </c>
      <c r="M93" s="30">
        <v>3</v>
      </c>
    </row>
    <row r="94" spans="1:13">
      <c r="A94" s="30">
        <f ca="1" t="shared" si="1"/>
        <v>139</v>
      </c>
      <c r="B94" s="30">
        <f ca="1" t="array" ref="B94">INDEX(Data_DBD!$B:$B,$A94)</f>
        <v>52</v>
      </c>
      <c r="C94" s="30">
        <f ca="1" t="array" ref="C94">INDEX(Data_DBD!$C:$C,$A94)</f>
        <v>7</v>
      </c>
      <c r="D94" s="30">
        <f ca="1" t="array" ref="D94">INDEX(Data_DBD!$D:$D,$A94)</f>
        <v>21</v>
      </c>
      <c r="E94" s="30">
        <f ca="1" t="array" ref="E94">INDEX(Data_DBD!$E:$E,$A94)</f>
        <v>0</v>
      </c>
      <c r="F94" s="30">
        <f ca="1" t="array" ref="F94">INDEX(Data_DBD!$F:$F,$A94)</f>
        <v>3</v>
      </c>
      <c r="H94" s="30">
        <v>68</v>
      </c>
      <c r="I94" s="30">
        <v>44</v>
      </c>
      <c r="J94" s="30">
        <v>5</v>
      </c>
      <c r="K94" s="30">
        <v>10</v>
      </c>
      <c r="L94" s="30">
        <v>0</v>
      </c>
      <c r="M94" s="30">
        <v>2</v>
      </c>
    </row>
    <row r="95" spans="1:13">
      <c r="A95" s="30">
        <f ca="1" t="shared" si="1"/>
        <v>56</v>
      </c>
      <c r="B95" s="30">
        <f ca="1" t="array" ref="B95">INDEX(Data_DBD!$B:$B,$A95)</f>
        <v>4</v>
      </c>
      <c r="C95" s="30">
        <f ca="1" t="array" ref="C95">INDEX(Data_DBD!$C:$C,$A95)</f>
        <v>3</v>
      </c>
      <c r="D95" s="30">
        <f ca="1" t="array" ref="D95">INDEX(Data_DBD!$D:$D,$A95)</f>
        <v>15</v>
      </c>
      <c r="E95" s="30">
        <f ca="1" t="array" ref="E95">INDEX(Data_DBD!$E:$E,$A95)</f>
        <v>0</v>
      </c>
      <c r="F95" s="30">
        <f ca="1" t="array" ref="F95">INDEX(Data_DBD!$F:$F,$A95)</f>
        <v>2</v>
      </c>
      <c r="H95" s="30">
        <v>12</v>
      </c>
      <c r="I95" s="30">
        <v>23</v>
      </c>
      <c r="J95" s="30">
        <v>3</v>
      </c>
      <c r="K95" s="30">
        <v>12</v>
      </c>
      <c r="L95" s="30">
        <v>0</v>
      </c>
      <c r="M95" s="30">
        <v>2</v>
      </c>
    </row>
    <row r="96" spans="1:13">
      <c r="A96" s="30">
        <f ca="1" t="shared" si="1"/>
        <v>161</v>
      </c>
      <c r="B96" s="30">
        <f ca="1" t="array" ref="B96">INDEX(Data_DBD!$B:$B,$A96)</f>
        <v>12</v>
      </c>
      <c r="C96" s="30">
        <f ca="1" t="array" ref="C96">INDEX(Data_DBD!$C:$C,$A96)</f>
        <v>3</v>
      </c>
      <c r="D96" s="30">
        <f ca="1" t="array" ref="D96">INDEX(Data_DBD!$D:$D,$A96)</f>
        <v>21</v>
      </c>
      <c r="E96" s="30">
        <f ca="1" t="array" ref="E96">INDEX(Data_DBD!$E:$E,$A96)</f>
        <v>1</v>
      </c>
      <c r="F96" s="30">
        <f ca="1" t="array" ref="F96">INDEX(Data_DBD!$F:$F,$A96)</f>
        <v>3</v>
      </c>
      <c r="H96" s="30">
        <v>33</v>
      </c>
      <c r="I96" s="30">
        <v>19</v>
      </c>
      <c r="J96" s="30">
        <v>4</v>
      </c>
      <c r="K96" s="30">
        <v>14</v>
      </c>
      <c r="L96" s="30">
        <v>1</v>
      </c>
      <c r="M96" s="30">
        <v>2</v>
      </c>
    </row>
    <row r="97" spans="1:13">
      <c r="A97" s="30">
        <f ca="1" t="shared" si="1"/>
        <v>150</v>
      </c>
      <c r="B97" s="30">
        <f ca="1" t="array" ref="B97">INDEX(Data_DBD!$B:$B,$A97)</f>
        <v>61</v>
      </c>
      <c r="C97" s="30">
        <f ca="1" t="array" ref="C97">INDEX(Data_DBD!$C:$C,$A97)</f>
        <v>5</v>
      </c>
      <c r="D97" s="30">
        <f ca="1" t="array" ref="D97">INDEX(Data_DBD!$D:$D,$A97)</f>
        <v>21</v>
      </c>
      <c r="E97" s="30">
        <f ca="1" t="array" ref="E97">INDEX(Data_DBD!$E:$E,$A97)</f>
        <v>1</v>
      </c>
      <c r="F97" s="30">
        <f ca="1" t="array" ref="F97">INDEX(Data_DBD!$F:$F,$A97)</f>
        <v>3</v>
      </c>
      <c r="H97" s="30">
        <v>124</v>
      </c>
      <c r="I97" s="30">
        <v>24</v>
      </c>
      <c r="J97" s="30">
        <v>3</v>
      </c>
      <c r="K97" s="30">
        <v>33</v>
      </c>
      <c r="L97" s="30">
        <v>1</v>
      </c>
      <c r="M97" s="30">
        <v>3</v>
      </c>
    </row>
    <row r="98" spans="1:13">
      <c r="A98" s="30">
        <f ca="1" t="shared" si="1"/>
        <v>5</v>
      </c>
      <c r="B98" s="30">
        <f ca="1" t="array" ref="B98">INDEX(Data_DBD!$B:$B,$A98)</f>
        <v>18</v>
      </c>
      <c r="C98" s="30">
        <f ca="1" t="array" ref="C98">INDEX(Data_DBD!$C:$C,$A98)</f>
        <v>2</v>
      </c>
      <c r="D98" s="30">
        <f ca="1" t="array" ref="D98">INDEX(Data_DBD!$D:$D,$A98)</f>
        <v>12</v>
      </c>
      <c r="E98" s="30">
        <f ca="1" t="array" ref="E98">INDEX(Data_DBD!$E:$E,$A98)</f>
        <v>1</v>
      </c>
      <c r="F98" s="30">
        <f ca="1" t="array" ref="F98">INDEX(Data_DBD!$F:$F,$A98)</f>
        <v>2</v>
      </c>
      <c r="H98" s="30">
        <v>121</v>
      </c>
      <c r="I98" s="30">
        <v>82</v>
      </c>
      <c r="J98" s="30">
        <v>5</v>
      </c>
      <c r="K98" s="30">
        <v>33</v>
      </c>
      <c r="L98" s="30">
        <v>1</v>
      </c>
      <c r="M98" s="30">
        <v>3</v>
      </c>
    </row>
    <row r="99" spans="1:13">
      <c r="A99" s="30">
        <f ca="1" t="shared" si="1"/>
        <v>164</v>
      </c>
      <c r="B99" s="30">
        <f ca="1" t="array" ref="B99">INDEX(Data_DBD!$B:$B,$A99)</f>
        <v>10</v>
      </c>
      <c r="C99" s="30">
        <f ca="1" t="array" ref="C99">INDEX(Data_DBD!$C:$C,$A99)</f>
        <v>6</v>
      </c>
      <c r="D99" s="30">
        <f ca="1" t="array" ref="D99">INDEX(Data_DBD!$D:$D,$A99)</f>
        <v>3</v>
      </c>
      <c r="E99" s="30">
        <f ca="1" t="array" ref="E99">INDEX(Data_DBD!$E:$E,$A99)</f>
        <v>0</v>
      </c>
      <c r="F99" s="30">
        <f ca="1" t="array" ref="F99">INDEX(Data_DBD!$F:$F,$A99)</f>
        <v>1</v>
      </c>
      <c r="H99" s="30">
        <v>143</v>
      </c>
      <c r="I99" s="30">
        <v>20</v>
      </c>
      <c r="J99" s="30">
        <v>4</v>
      </c>
      <c r="K99" s="30">
        <v>21</v>
      </c>
      <c r="L99" s="30">
        <v>1</v>
      </c>
      <c r="M99" s="30">
        <v>3</v>
      </c>
    </row>
    <row r="100" spans="1:13">
      <c r="A100" s="30">
        <f ca="1" t="shared" si="1"/>
        <v>50</v>
      </c>
      <c r="B100" s="30">
        <f ca="1" t="array" ref="B100">INDEX(Data_DBD!$B:$B,$A100)</f>
        <v>19</v>
      </c>
      <c r="C100" s="30">
        <f ca="1" t="array" ref="C100">INDEX(Data_DBD!$C:$C,$A100)</f>
        <v>5</v>
      </c>
      <c r="D100" s="30">
        <f ca="1" t="array" ref="D100">INDEX(Data_DBD!$D:$D,$A100)</f>
        <v>13</v>
      </c>
      <c r="E100" s="30">
        <f ca="1" t="array" ref="E100">INDEX(Data_DBD!$E:$E,$A100)</f>
        <v>0</v>
      </c>
      <c r="F100" s="30">
        <f ca="1" t="array" ref="F100">INDEX(Data_DBD!$F:$F,$A100)</f>
        <v>2</v>
      </c>
      <c r="H100" s="30">
        <v>119</v>
      </c>
      <c r="I100" s="30">
        <v>30</v>
      </c>
      <c r="J100" s="30">
        <v>7</v>
      </c>
      <c r="K100" s="30">
        <v>33</v>
      </c>
      <c r="L100" s="30">
        <v>0</v>
      </c>
      <c r="M100" s="30">
        <v>3</v>
      </c>
    </row>
    <row r="101" spans="1:13">
      <c r="A101" s="30">
        <f ca="1" t="shared" si="1"/>
        <v>161</v>
      </c>
      <c r="B101" s="30">
        <f ca="1" t="array" ref="B101">INDEX(Data_DBD!$B:$B,$A101)</f>
        <v>12</v>
      </c>
      <c r="C101" s="30">
        <f ca="1" t="array" ref="C101">INDEX(Data_DBD!$C:$C,$A101)</f>
        <v>3</v>
      </c>
      <c r="D101" s="30">
        <f ca="1" t="array" ref="D101">INDEX(Data_DBD!$D:$D,$A101)</f>
        <v>21</v>
      </c>
      <c r="E101" s="30">
        <f ca="1" t="array" ref="E101">INDEX(Data_DBD!$E:$E,$A101)</f>
        <v>1</v>
      </c>
      <c r="F101" s="30">
        <f ca="1" t="array" ref="F101">INDEX(Data_DBD!$F:$F,$A101)</f>
        <v>3</v>
      </c>
      <c r="H101" s="30">
        <v>69</v>
      </c>
      <c r="I101" s="30">
        <v>24</v>
      </c>
      <c r="J101" s="30">
        <v>4</v>
      </c>
      <c r="K101" s="30">
        <v>10</v>
      </c>
      <c r="L101" s="30">
        <v>1</v>
      </c>
      <c r="M101" s="30">
        <v>2</v>
      </c>
    </row>
    <row r="102" spans="1:13">
      <c r="A102" s="30">
        <f ca="1" t="shared" si="1"/>
        <v>43</v>
      </c>
      <c r="B102" s="30">
        <f ca="1" t="array" ref="B102">INDEX(Data_DBD!$B:$B,$A102)</f>
        <v>15</v>
      </c>
      <c r="C102" s="30">
        <f ca="1" t="array" ref="C102">INDEX(Data_DBD!$C:$C,$A102)</f>
        <v>4</v>
      </c>
      <c r="D102" s="30">
        <f ca="1" t="array" ref="D102">INDEX(Data_DBD!$D:$D,$A102)</f>
        <v>13</v>
      </c>
      <c r="E102" s="30">
        <f ca="1" t="array" ref="E102">INDEX(Data_DBD!$E:$E,$A102)</f>
        <v>0</v>
      </c>
      <c r="F102" s="30">
        <f ca="1" t="array" ref="F102">INDEX(Data_DBD!$F:$F,$A102)</f>
        <v>2</v>
      </c>
      <c r="H102" s="30">
        <v>27</v>
      </c>
      <c r="I102" s="30">
        <v>37</v>
      </c>
      <c r="J102" s="30">
        <v>4</v>
      </c>
      <c r="K102" s="30">
        <v>14</v>
      </c>
      <c r="L102" s="30">
        <v>1</v>
      </c>
      <c r="M102" s="30">
        <v>2</v>
      </c>
    </row>
    <row r="103" spans="1:13">
      <c r="A103" s="30">
        <f ca="1" t="shared" si="1"/>
        <v>60</v>
      </c>
      <c r="B103" s="30">
        <f ca="1" t="array" ref="B103">INDEX(Data_DBD!$B:$B,$A103)</f>
        <v>68</v>
      </c>
      <c r="C103" s="30">
        <f ca="1" t="array" ref="C103">INDEX(Data_DBD!$C:$C,$A103)</f>
        <v>4</v>
      </c>
      <c r="D103" s="30">
        <f ca="1" t="array" ref="D103">INDEX(Data_DBD!$D:$D,$A103)</f>
        <v>15</v>
      </c>
      <c r="E103" s="30">
        <f ca="1" t="array" ref="E103">INDEX(Data_DBD!$E:$E,$A103)</f>
        <v>0</v>
      </c>
      <c r="F103" s="30">
        <f ca="1" t="array" ref="F103">INDEX(Data_DBD!$F:$F,$A103)</f>
        <v>2</v>
      </c>
      <c r="H103" s="30">
        <v>51</v>
      </c>
      <c r="I103" s="30">
        <v>48</v>
      </c>
      <c r="J103" s="30">
        <v>4</v>
      </c>
      <c r="K103" s="30">
        <v>13</v>
      </c>
      <c r="L103" s="30">
        <v>0</v>
      </c>
      <c r="M103" s="30">
        <v>2</v>
      </c>
    </row>
    <row r="104" spans="1:13">
      <c r="A104" s="30">
        <f ca="1" t="shared" si="1"/>
        <v>21</v>
      </c>
      <c r="B104" s="30">
        <f ca="1" t="array" ref="B104">INDEX(Data_DBD!$B:$B,$A104)</f>
        <v>10</v>
      </c>
      <c r="C104" s="30">
        <f ca="1" t="array" ref="C104">INDEX(Data_DBD!$C:$C,$A104)</f>
        <v>5</v>
      </c>
      <c r="D104" s="30">
        <f ca="1" t="array" ref="D104">INDEX(Data_DBD!$D:$D,$A104)</f>
        <v>14</v>
      </c>
      <c r="E104" s="30">
        <f ca="1" t="array" ref="E104">INDEX(Data_DBD!$E:$E,$A104)</f>
        <v>1</v>
      </c>
      <c r="F104" s="30">
        <f ca="1" t="array" ref="F104">INDEX(Data_DBD!$F:$F,$A104)</f>
        <v>2</v>
      </c>
      <c r="H104" s="30">
        <v>107</v>
      </c>
      <c r="I104" s="30">
        <v>48</v>
      </c>
      <c r="J104" s="30">
        <v>5</v>
      </c>
      <c r="K104" s="30">
        <v>18</v>
      </c>
      <c r="L104" s="30">
        <v>0</v>
      </c>
      <c r="M104" s="30">
        <v>3</v>
      </c>
    </row>
    <row r="105" spans="1:13">
      <c r="A105" s="30">
        <f ca="1" t="shared" si="1"/>
        <v>114</v>
      </c>
      <c r="B105" s="30">
        <f ca="1" t="array" ref="B105">INDEX(Data_DBD!$B:$B,$A105)</f>
        <v>14</v>
      </c>
      <c r="C105" s="30">
        <f ca="1" t="array" ref="C105">INDEX(Data_DBD!$C:$C,$A105)</f>
        <v>2</v>
      </c>
      <c r="D105" s="30">
        <f ca="1" t="array" ref="D105">INDEX(Data_DBD!$D:$D,$A105)</f>
        <v>33</v>
      </c>
      <c r="E105" s="30">
        <f ca="1" t="array" ref="E105">INDEX(Data_DBD!$E:$E,$A105)</f>
        <v>1</v>
      </c>
      <c r="F105" s="30">
        <f ca="1" t="array" ref="F105">INDEX(Data_DBD!$F:$F,$A105)</f>
        <v>3</v>
      </c>
      <c r="H105" s="30">
        <v>29</v>
      </c>
      <c r="I105" s="30">
        <v>19</v>
      </c>
      <c r="J105" s="30">
        <v>2</v>
      </c>
      <c r="K105" s="30">
        <v>14</v>
      </c>
      <c r="L105" s="30">
        <v>1</v>
      </c>
      <c r="M105" s="30">
        <v>2</v>
      </c>
    </row>
    <row r="106" spans="1:13">
      <c r="A106" s="30">
        <f ca="1" t="shared" si="1"/>
        <v>24</v>
      </c>
      <c r="B106" s="30">
        <f ca="1" t="array" ref="B106">INDEX(Data_DBD!$B:$B,$A106)</f>
        <v>60</v>
      </c>
      <c r="C106" s="30">
        <f ca="1" t="array" ref="C106">INDEX(Data_DBD!$C:$C,$A106)</f>
        <v>4</v>
      </c>
      <c r="D106" s="30">
        <f ca="1" t="array" ref="D106">INDEX(Data_DBD!$D:$D,$A106)</f>
        <v>14</v>
      </c>
      <c r="E106" s="30">
        <f ca="1" t="array" ref="E106">INDEX(Data_DBD!$E:$E,$A106)</f>
        <v>0</v>
      </c>
      <c r="F106" s="30">
        <f ca="1" t="array" ref="F106">INDEX(Data_DBD!$F:$F,$A106)</f>
        <v>2</v>
      </c>
      <c r="H106" s="30">
        <v>16</v>
      </c>
      <c r="I106" s="30">
        <v>66</v>
      </c>
      <c r="J106" s="30">
        <v>5</v>
      </c>
      <c r="K106" s="30">
        <v>7</v>
      </c>
      <c r="L106" s="30">
        <v>1</v>
      </c>
      <c r="M106" s="30">
        <v>1</v>
      </c>
    </row>
    <row r="107" spans="1:13">
      <c r="A107" s="30">
        <f ca="1" t="shared" si="1"/>
        <v>106</v>
      </c>
      <c r="B107" s="30">
        <f ca="1" t="array" ref="B107">INDEX(Data_DBD!$B:$B,$A107)</f>
        <v>23</v>
      </c>
      <c r="C107" s="30">
        <f ca="1" t="array" ref="C107">INDEX(Data_DBD!$C:$C,$A107)</f>
        <v>3</v>
      </c>
      <c r="D107" s="30">
        <f ca="1" t="array" ref="D107">INDEX(Data_DBD!$D:$D,$A107)</f>
        <v>18</v>
      </c>
      <c r="E107" s="30">
        <f ca="1" t="array" ref="E107">INDEX(Data_DBD!$E:$E,$A107)</f>
        <v>1</v>
      </c>
      <c r="F107" s="30">
        <f ca="1" t="array" ref="F107">INDEX(Data_DBD!$F:$F,$A107)</f>
        <v>3</v>
      </c>
      <c r="H107" s="30">
        <v>46</v>
      </c>
      <c r="I107" s="30">
        <v>62</v>
      </c>
      <c r="J107" s="30">
        <v>2</v>
      </c>
      <c r="K107" s="30">
        <v>13</v>
      </c>
      <c r="L107" s="30">
        <v>0</v>
      </c>
      <c r="M107" s="30">
        <v>2</v>
      </c>
    </row>
    <row r="108" spans="1:13">
      <c r="A108" s="30">
        <f ca="1" t="shared" si="1"/>
        <v>123</v>
      </c>
      <c r="B108" s="30">
        <f ca="1" t="array" ref="B108">INDEX(Data_DBD!$B:$B,$A108)</f>
        <v>22</v>
      </c>
      <c r="C108" s="30">
        <f ca="1" t="array" ref="C108">INDEX(Data_DBD!$C:$C,$A108)</f>
        <v>4</v>
      </c>
      <c r="D108" s="30">
        <f ca="1" t="array" ref="D108">INDEX(Data_DBD!$D:$D,$A108)</f>
        <v>33</v>
      </c>
      <c r="E108" s="30">
        <f ca="1" t="array" ref="E108">INDEX(Data_DBD!$E:$E,$A108)</f>
        <v>0</v>
      </c>
      <c r="F108" s="30">
        <f ca="1" t="array" ref="F108">INDEX(Data_DBD!$F:$F,$A108)</f>
        <v>3</v>
      </c>
      <c r="H108" s="30">
        <v>98</v>
      </c>
      <c r="I108" s="30">
        <v>16</v>
      </c>
      <c r="J108" s="30">
        <v>2</v>
      </c>
      <c r="K108" s="30">
        <v>18</v>
      </c>
      <c r="L108" s="30">
        <v>1</v>
      </c>
      <c r="M108" s="30">
        <v>3</v>
      </c>
    </row>
    <row r="109" spans="1:13">
      <c r="A109" s="30">
        <f ca="1" t="shared" si="1"/>
        <v>61</v>
      </c>
      <c r="B109" s="30">
        <f ca="1" t="array" ref="B109">INDEX(Data_DBD!$B:$B,$A109)</f>
        <v>29</v>
      </c>
      <c r="C109" s="30">
        <f ca="1" t="array" ref="C109">INDEX(Data_DBD!$C:$C,$A109)</f>
        <v>3</v>
      </c>
      <c r="D109" s="30">
        <f ca="1" t="array" ref="D109">INDEX(Data_DBD!$D:$D,$A109)</f>
        <v>15</v>
      </c>
      <c r="E109" s="30">
        <f ca="1" t="array" ref="E109">INDEX(Data_DBD!$E:$E,$A109)</f>
        <v>1</v>
      </c>
      <c r="F109" s="30">
        <f ca="1" t="array" ref="F109">INDEX(Data_DBD!$F:$F,$A109)</f>
        <v>2</v>
      </c>
      <c r="H109" s="30">
        <v>109</v>
      </c>
      <c r="I109" s="30">
        <v>40</v>
      </c>
      <c r="J109" s="30">
        <v>3</v>
      </c>
      <c r="K109" s="30">
        <v>33</v>
      </c>
      <c r="L109" s="30">
        <v>1</v>
      </c>
      <c r="M109" s="30">
        <v>3</v>
      </c>
    </row>
    <row r="110" spans="1:13">
      <c r="A110" s="30">
        <f ca="1" t="shared" si="1"/>
        <v>57</v>
      </c>
      <c r="B110" s="30">
        <f ca="1" t="array" ref="B110">INDEX(Data_DBD!$B:$B,$A110)</f>
        <v>2</v>
      </c>
      <c r="C110" s="30">
        <f ca="1" t="array" ref="C110">INDEX(Data_DBD!$C:$C,$A110)</f>
        <v>2</v>
      </c>
      <c r="D110" s="30">
        <f ca="1" t="array" ref="D110">INDEX(Data_DBD!$D:$D,$A110)</f>
        <v>15</v>
      </c>
      <c r="E110" s="30">
        <f ca="1" t="array" ref="E110">INDEX(Data_DBD!$E:$E,$A110)</f>
        <v>1</v>
      </c>
      <c r="F110" s="30">
        <f ca="1" t="array" ref="F110">INDEX(Data_DBD!$F:$F,$A110)</f>
        <v>2</v>
      </c>
      <c r="H110" s="30">
        <v>55</v>
      </c>
      <c r="I110" s="30">
        <v>7</v>
      </c>
      <c r="J110" s="30">
        <v>4</v>
      </c>
      <c r="K110" s="30">
        <v>15</v>
      </c>
      <c r="L110" s="30">
        <v>1</v>
      </c>
      <c r="M110" s="30">
        <v>2</v>
      </c>
    </row>
    <row r="111" spans="1:13">
      <c r="A111" s="30">
        <f ca="1" t="shared" si="1"/>
        <v>34</v>
      </c>
      <c r="B111" s="30">
        <f ca="1" t="array" ref="B111">INDEX(Data_DBD!$B:$B,$A111)</f>
        <v>55</v>
      </c>
      <c r="C111" s="30">
        <f ca="1" t="array" ref="C111">INDEX(Data_DBD!$C:$C,$A111)</f>
        <v>3</v>
      </c>
      <c r="D111" s="30">
        <f ca="1" t="array" ref="D111">INDEX(Data_DBD!$D:$D,$A111)</f>
        <v>14</v>
      </c>
      <c r="E111" s="30">
        <f ca="1" t="array" ref="E111">INDEX(Data_DBD!$E:$E,$A111)</f>
        <v>0</v>
      </c>
      <c r="F111" s="30">
        <f ca="1" t="array" ref="F111">INDEX(Data_DBD!$F:$F,$A111)</f>
        <v>2</v>
      </c>
      <c r="H111" s="30">
        <v>158</v>
      </c>
      <c r="I111" s="30">
        <v>5</v>
      </c>
      <c r="J111" s="30">
        <v>2</v>
      </c>
      <c r="K111" s="30">
        <v>21</v>
      </c>
      <c r="L111" s="30">
        <v>0</v>
      </c>
      <c r="M111" s="30">
        <v>3</v>
      </c>
    </row>
    <row r="112" spans="1:13">
      <c r="A112" s="30">
        <f ca="1" t="shared" si="1"/>
        <v>7</v>
      </c>
      <c r="B112" s="30">
        <f ca="1" t="array" ref="B112">INDEX(Data_DBD!$B:$B,$A112)</f>
        <v>12</v>
      </c>
      <c r="C112" s="30">
        <f ca="1" t="array" ref="C112">INDEX(Data_DBD!$C:$C,$A112)</f>
        <v>1</v>
      </c>
      <c r="D112" s="30">
        <f ca="1" t="array" ref="D112">INDEX(Data_DBD!$D:$D,$A112)</f>
        <v>12</v>
      </c>
      <c r="E112" s="30">
        <f ca="1" t="array" ref="E112">INDEX(Data_DBD!$E:$E,$A112)</f>
        <v>1</v>
      </c>
      <c r="F112" s="30">
        <f ca="1" t="array" ref="F112">INDEX(Data_DBD!$F:$F,$A112)</f>
        <v>2</v>
      </c>
      <c r="H112" s="30">
        <v>63</v>
      </c>
      <c r="I112" s="30">
        <v>25</v>
      </c>
      <c r="J112" s="30">
        <v>3</v>
      </c>
      <c r="K112" s="30">
        <v>15</v>
      </c>
      <c r="L112" s="30">
        <v>0</v>
      </c>
      <c r="M112" s="30">
        <v>2</v>
      </c>
    </row>
    <row r="113" spans="1:13">
      <c r="A113" s="30">
        <f ca="1" t="shared" si="1"/>
        <v>161</v>
      </c>
      <c r="B113" s="30">
        <f ca="1" t="array" ref="B113">INDEX(Data_DBD!$B:$B,$A113)</f>
        <v>12</v>
      </c>
      <c r="C113" s="30">
        <f ca="1" t="array" ref="C113">INDEX(Data_DBD!$C:$C,$A113)</f>
        <v>3</v>
      </c>
      <c r="D113" s="30">
        <f ca="1" t="array" ref="D113">INDEX(Data_DBD!$D:$D,$A113)</f>
        <v>21</v>
      </c>
      <c r="E113" s="30">
        <f ca="1" t="array" ref="E113">INDEX(Data_DBD!$E:$E,$A113)</f>
        <v>1</v>
      </c>
      <c r="F113" s="30">
        <f ca="1" t="array" ref="F113">INDEX(Data_DBD!$F:$F,$A113)</f>
        <v>3</v>
      </c>
      <c r="H113" s="30">
        <v>17</v>
      </c>
      <c r="I113" s="30">
        <v>2</v>
      </c>
      <c r="J113" s="30">
        <v>3</v>
      </c>
      <c r="K113" s="30">
        <v>7</v>
      </c>
      <c r="L113" s="30">
        <v>0</v>
      </c>
      <c r="M113" s="30">
        <v>1</v>
      </c>
    </row>
    <row r="114" spans="1:13">
      <c r="A114" s="30">
        <f ca="1" t="shared" si="1"/>
        <v>139</v>
      </c>
      <c r="B114" s="30">
        <f ca="1" t="array" ref="B114">INDEX(Data_DBD!$B:$B,$A114)</f>
        <v>52</v>
      </c>
      <c r="C114" s="30">
        <f ca="1" t="array" ref="C114">INDEX(Data_DBD!$C:$C,$A114)</f>
        <v>7</v>
      </c>
      <c r="D114" s="30">
        <f ca="1" t="array" ref="D114">INDEX(Data_DBD!$D:$D,$A114)</f>
        <v>21</v>
      </c>
      <c r="E114" s="30">
        <f ca="1" t="array" ref="E114">INDEX(Data_DBD!$E:$E,$A114)</f>
        <v>0</v>
      </c>
      <c r="F114" s="30">
        <f ca="1" t="array" ref="F114">INDEX(Data_DBD!$F:$F,$A114)</f>
        <v>3</v>
      </c>
      <c r="H114" s="30">
        <v>112</v>
      </c>
      <c r="I114" s="30">
        <v>61</v>
      </c>
      <c r="J114" s="30">
        <v>3</v>
      </c>
      <c r="K114" s="30">
        <v>33</v>
      </c>
      <c r="L114" s="30">
        <v>1</v>
      </c>
      <c r="M114" s="30">
        <v>3</v>
      </c>
    </row>
    <row r="115" spans="1:13">
      <c r="A115" s="30">
        <f ca="1" t="shared" si="1"/>
        <v>60</v>
      </c>
      <c r="B115" s="30">
        <f ca="1" t="array" ref="B115">INDEX(Data_DBD!$B:$B,$A115)</f>
        <v>68</v>
      </c>
      <c r="C115" s="30">
        <f ca="1" t="array" ref="C115">INDEX(Data_DBD!$C:$C,$A115)</f>
        <v>4</v>
      </c>
      <c r="D115" s="30">
        <f ca="1" t="array" ref="D115">INDEX(Data_DBD!$D:$D,$A115)</f>
        <v>15</v>
      </c>
      <c r="E115" s="30">
        <f ca="1" t="array" ref="E115">INDEX(Data_DBD!$E:$E,$A115)</f>
        <v>0</v>
      </c>
      <c r="F115" s="30">
        <f ca="1" t="array" ref="F115">INDEX(Data_DBD!$F:$F,$A115)</f>
        <v>2</v>
      </c>
      <c r="H115" s="30">
        <v>41</v>
      </c>
      <c r="I115" s="30">
        <v>8</v>
      </c>
      <c r="J115" s="30">
        <v>4</v>
      </c>
      <c r="K115" s="30">
        <v>13</v>
      </c>
      <c r="L115" s="30">
        <v>0</v>
      </c>
      <c r="M115" s="30">
        <v>2</v>
      </c>
    </row>
    <row r="116" spans="1:13">
      <c r="A116" s="30">
        <f ca="1" t="shared" si="1"/>
        <v>60</v>
      </c>
      <c r="B116" s="30">
        <f ca="1" t="array" ref="B116">INDEX(Data_DBD!$B:$B,$A116)</f>
        <v>68</v>
      </c>
      <c r="C116" s="30">
        <f ca="1" t="array" ref="C116">INDEX(Data_DBD!$C:$C,$A116)</f>
        <v>4</v>
      </c>
      <c r="D116" s="30">
        <f ca="1" t="array" ref="D116">INDEX(Data_DBD!$D:$D,$A116)</f>
        <v>15</v>
      </c>
      <c r="E116" s="30">
        <f ca="1" t="array" ref="E116">INDEX(Data_DBD!$E:$E,$A116)</f>
        <v>0</v>
      </c>
      <c r="F116" s="30">
        <f ca="1" t="array" ref="F116">INDEX(Data_DBD!$F:$F,$A116)</f>
        <v>2</v>
      </c>
      <c r="H116" s="30">
        <v>100</v>
      </c>
      <c r="I116" s="30">
        <v>19</v>
      </c>
      <c r="J116" s="30">
        <v>6</v>
      </c>
      <c r="K116" s="30">
        <v>18</v>
      </c>
      <c r="L116" s="30">
        <v>0</v>
      </c>
      <c r="M116" s="30">
        <v>3</v>
      </c>
    </row>
    <row r="117" spans="1:13">
      <c r="A117" s="30">
        <f ca="1" t="shared" si="1"/>
        <v>113</v>
      </c>
      <c r="B117" s="30">
        <f ca="1" t="array" ref="B117">INDEX(Data_DBD!$B:$B,$A117)</f>
        <v>69</v>
      </c>
      <c r="C117" s="30">
        <f ca="1" t="array" ref="C117">INDEX(Data_DBD!$C:$C,$A117)</f>
        <v>1</v>
      </c>
      <c r="D117" s="30">
        <f ca="1" t="array" ref="D117">INDEX(Data_DBD!$D:$D,$A117)</f>
        <v>33</v>
      </c>
      <c r="E117" s="30">
        <f ca="1" t="array" ref="E117">INDEX(Data_DBD!$E:$E,$A117)</f>
        <v>1</v>
      </c>
      <c r="F117" s="30">
        <f ca="1" t="array" ref="F117">INDEX(Data_DBD!$F:$F,$A117)</f>
        <v>3</v>
      </c>
      <c r="H117" s="30">
        <v>135</v>
      </c>
      <c r="I117" s="30">
        <v>10</v>
      </c>
      <c r="J117" s="30">
        <v>2</v>
      </c>
      <c r="K117" s="30">
        <v>33</v>
      </c>
      <c r="L117" s="30">
        <v>0</v>
      </c>
      <c r="M117" s="30">
        <v>3</v>
      </c>
    </row>
    <row r="118" spans="1:13">
      <c r="A118" s="30">
        <f ca="1" t="shared" si="1"/>
        <v>63</v>
      </c>
      <c r="B118" s="30">
        <f ca="1" t="array" ref="B118">INDEX(Data_DBD!$B:$B,$A118)</f>
        <v>25</v>
      </c>
      <c r="C118" s="30">
        <f ca="1" t="array" ref="C118">INDEX(Data_DBD!$C:$C,$A118)</f>
        <v>3</v>
      </c>
      <c r="D118" s="30">
        <f ca="1" t="array" ref="D118">INDEX(Data_DBD!$D:$D,$A118)</f>
        <v>15</v>
      </c>
      <c r="E118" s="30">
        <f ca="1" t="array" ref="E118">INDEX(Data_DBD!$E:$E,$A118)</f>
        <v>0</v>
      </c>
      <c r="F118" s="30">
        <f ca="1" t="array" ref="F118">INDEX(Data_DBD!$F:$F,$A118)</f>
        <v>2</v>
      </c>
      <c r="H118" s="30">
        <v>6</v>
      </c>
      <c r="I118" s="30">
        <v>14</v>
      </c>
      <c r="J118" s="30">
        <v>4</v>
      </c>
      <c r="K118" s="30">
        <v>12</v>
      </c>
      <c r="L118" s="30">
        <v>0</v>
      </c>
      <c r="M118" s="30">
        <v>2</v>
      </c>
    </row>
    <row r="119" spans="1:13">
      <c r="A119" s="30">
        <f ca="1" t="shared" si="1"/>
        <v>2</v>
      </c>
      <c r="B119" s="30">
        <f ca="1" t="array" ref="B119">INDEX(Data_DBD!$B:$B,$A119)</f>
        <v>34</v>
      </c>
      <c r="C119" s="30">
        <f ca="1" t="array" ref="C119">INDEX(Data_DBD!$C:$C,$A119)</f>
        <v>3</v>
      </c>
      <c r="D119" s="30">
        <f ca="1" t="array" ref="D119">INDEX(Data_DBD!$D:$D,$A119)</f>
        <v>12</v>
      </c>
      <c r="E119" s="30">
        <f ca="1" t="array" ref="E119">INDEX(Data_DBD!$E:$E,$A119)</f>
        <v>0</v>
      </c>
      <c r="F119" s="30">
        <f ca="1" t="array" ref="F119">INDEX(Data_DBD!$F:$F,$A119)</f>
        <v>2</v>
      </c>
      <c r="H119" s="30">
        <v>112</v>
      </c>
      <c r="I119" s="30">
        <v>61</v>
      </c>
      <c r="J119" s="30">
        <v>3</v>
      </c>
      <c r="K119" s="30">
        <v>33</v>
      </c>
      <c r="L119" s="30">
        <v>1</v>
      </c>
      <c r="M119" s="30">
        <v>3</v>
      </c>
    </row>
    <row r="120" spans="1:13">
      <c r="A120" s="30">
        <f ca="1" t="shared" si="1"/>
        <v>45</v>
      </c>
      <c r="B120" s="30">
        <f ca="1" t="array" ref="B120">INDEX(Data_DBD!$B:$B,$A120)</f>
        <v>75</v>
      </c>
      <c r="C120" s="30">
        <f ca="1" t="array" ref="C120">INDEX(Data_DBD!$C:$C,$A120)</f>
        <v>3</v>
      </c>
      <c r="D120" s="30">
        <f ca="1" t="array" ref="D120">INDEX(Data_DBD!$D:$D,$A120)</f>
        <v>13</v>
      </c>
      <c r="E120" s="30">
        <f ca="1" t="array" ref="E120">INDEX(Data_DBD!$E:$E,$A120)</f>
        <v>1</v>
      </c>
      <c r="F120" s="30">
        <f ca="1" t="array" ref="F120">INDEX(Data_DBD!$F:$F,$A120)</f>
        <v>2</v>
      </c>
      <c r="H120" s="30">
        <v>80</v>
      </c>
      <c r="I120" s="30">
        <v>27</v>
      </c>
      <c r="J120" s="30">
        <v>3</v>
      </c>
      <c r="K120" s="30">
        <v>13</v>
      </c>
      <c r="L120" s="30">
        <v>1</v>
      </c>
      <c r="M120" s="30">
        <v>2</v>
      </c>
    </row>
    <row r="121" spans="1:13">
      <c r="A121" s="30">
        <f ca="1" t="shared" si="1"/>
        <v>38</v>
      </c>
      <c r="B121" s="30">
        <f ca="1" t="array" ref="B121">INDEX(Data_DBD!$B:$B,$A121)</f>
        <v>52</v>
      </c>
      <c r="C121" s="30">
        <f ca="1" t="array" ref="C121">INDEX(Data_DBD!$C:$C,$A121)</f>
        <v>3</v>
      </c>
      <c r="D121" s="30">
        <f ca="1" t="array" ref="D121">INDEX(Data_DBD!$D:$D,$A121)</f>
        <v>4</v>
      </c>
      <c r="E121" s="30">
        <f ca="1" t="array" ref="E121">INDEX(Data_DBD!$E:$E,$A121)</f>
        <v>1</v>
      </c>
      <c r="F121" s="30">
        <f ca="1" t="array" ref="F121">INDEX(Data_DBD!$F:$F,$A121)</f>
        <v>1</v>
      </c>
      <c r="H121" s="30">
        <v>64</v>
      </c>
      <c r="I121" s="30">
        <v>35</v>
      </c>
      <c r="J121" s="30">
        <v>1</v>
      </c>
      <c r="K121" s="30">
        <v>15</v>
      </c>
      <c r="L121" s="30">
        <v>0</v>
      </c>
      <c r="M121" s="30">
        <v>2</v>
      </c>
    </row>
    <row r="122" spans="1:13">
      <c r="A122" s="30">
        <f ca="1" t="shared" si="1"/>
        <v>153</v>
      </c>
      <c r="B122" s="30">
        <f ca="1" t="array" ref="B122">INDEX(Data_DBD!$B:$B,$A122)</f>
        <v>73</v>
      </c>
      <c r="C122" s="30">
        <f ca="1" t="array" ref="C122">INDEX(Data_DBD!$C:$C,$A122)</f>
        <v>7</v>
      </c>
      <c r="D122" s="30">
        <f ca="1" t="array" ref="D122">INDEX(Data_DBD!$D:$D,$A122)</f>
        <v>21</v>
      </c>
      <c r="E122" s="30">
        <f ca="1" t="array" ref="E122">INDEX(Data_DBD!$E:$E,$A122)</f>
        <v>1</v>
      </c>
      <c r="F122" s="30">
        <f ca="1" t="array" ref="F122">INDEX(Data_DBD!$F:$F,$A122)</f>
        <v>3</v>
      </c>
      <c r="H122" s="30">
        <v>105</v>
      </c>
      <c r="I122" s="30">
        <v>61</v>
      </c>
      <c r="J122" s="30">
        <v>3</v>
      </c>
      <c r="K122" s="30">
        <v>18</v>
      </c>
      <c r="L122" s="30">
        <v>1</v>
      </c>
      <c r="M122" s="30">
        <v>3</v>
      </c>
    </row>
    <row r="123" spans="1:13">
      <c r="A123" s="30">
        <f ca="1" t="shared" si="1"/>
        <v>99</v>
      </c>
      <c r="B123" s="30">
        <f ca="1" t="array" ref="B123">INDEX(Data_DBD!$B:$B,$A123)</f>
        <v>4</v>
      </c>
      <c r="C123" s="30">
        <f ca="1" t="array" ref="C123">INDEX(Data_DBD!$C:$C,$A123)</f>
        <v>2</v>
      </c>
      <c r="D123" s="30">
        <f ca="1" t="array" ref="D123">INDEX(Data_DBD!$D:$D,$A123)</f>
        <v>18</v>
      </c>
      <c r="E123" s="30">
        <f ca="1" t="array" ref="E123">INDEX(Data_DBD!$E:$E,$A123)</f>
        <v>1</v>
      </c>
      <c r="F123" s="30">
        <f ca="1" t="array" ref="F123">INDEX(Data_DBD!$F:$F,$A123)</f>
        <v>3</v>
      </c>
      <c r="H123" s="30">
        <v>21</v>
      </c>
      <c r="I123" s="30">
        <v>10</v>
      </c>
      <c r="J123" s="30">
        <v>5</v>
      </c>
      <c r="K123" s="30">
        <v>14</v>
      </c>
      <c r="L123" s="30">
        <v>1</v>
      </c>
      <c r="M123" s="30">
        <v>2</v>
      </c>
    </row>
    <row r="124" spans="1:13">
      <c r="A124" s="30">
        <f ca="1" t="shared" si="1"/>
        <v>148</v>
      </c>
      <c r="B124" s="30">
        <f ca="1" t="array" ref="B124">INDEX(Data_DBD!$B:$B,$A124)</f>
        <v>55</v>
      </c>
      <c r="C124" s="30">
        <f ca="1" t="array" ref="C124">INDEX(Data_DBD!$C:$C,$A124)</f>
        <v>3</v>
      </c>
      <c r="D124" s="30">
        <f ca="1" t="array" ref="D124">INDEX(Data_DBD!$D:$D,$A124)</f>
        <v>21</v>
      </c>
      <c r="E124" s="30">
        <f ca="1" t="array" ref="E124">INDEX(Data_DBD!$E:$E,$A124)</f>
        <v>1</v>
      </c>
      <c r="F124" s="30">
        <f ca="1" t="array" ref="F124">INDEX(Data_DBD!$F:$F,$A124)</f>
        <v>3</v>
      </c>
      <c r="H124" s="30">
        <v>70</v>
      </c>
      <c r="I124" s="30">
        <v>26</v>
      </c>
      <c r="J124" s="30">
        <v>3</v>
      </c>
      <c r="K124" s="30">
        <v>10</v>
      </c>
      <c r="L124" s="30">
        <v>1</v>
      </c>
      <c r="M124" s="30">
        <v>2</v>
      </c>
    </row>
    <row r="125" spans="1:13">
      <c r="A125" s="30">
        <f ca="1" t="shared" si="1"/>
        <v>127</v>
      </c>
      <c r="B125" s="30">
        <f ca="1" t="array" ref="B125">INDEX(Data_DBD!$B:$B,$A125)</f>
        <v>21</v>
      </c>
      <c r="C125" s="30">
        <f ca="1" t="array" ref="C125">INDEX(Data_DBD!$C:$C,$A125)</f>
        <v>2</v>
      </c>
      <c r="D125" s="30">
        <f ca="1" t="array" ref="D125">INDEX(Data_DBD!$D:$D,$A125)</f>
        <v>33</v>
      </c>
      <c r="E125" s="30">
        <f ca="1" t="array" ref="E125">INDEX(Data_DBD!$E:$E,$A125)</f>
        <v>0</v>
      </c>
      <c r="F125" s="30">
        <f ca="1" t="array" ref="F125">INDEX(Data_DBD!$F:$F,$A125)</f>
        <v>3</v>
      </c>
      <c r="H125" s="30">
        <v>108</v>
      </c>
      <c r="I125" s="30">
        <v>69</v>
      </c>
      <c r="J125" s="30">
        <v>7</v>
      </c>
      <c r="K125" s="30">
        <v>33</v>
      </c>
      <c r="L125" s="30">
        <v>1</v>
      </c>
      <c r="M125" s="30">
        <v>3</v>
      </c>
    </row>
    <row r="126" spans="1:13">
      <c r="A126" s="30">
        <f ca="1" t="shared" si="1"/>
        <v>83</v>
      </c>
      <c r="B126" s="30">
        <f ca="1" t="array" ref="B126">INDEX(Data_DBD!$B:$B,$A126)</f>
        <v>50</v>
      </c>
      <c r="C126" s="30">
        <f ca="1" t="array" ref="C126">INDEX(Data_DBD!$C:$C,$A126)</f>
        <v>3</v>
      </c>
      <c r="D126" s="30">
        <f ca="1" t="array" ref="D126">INDEX(Data_DBD!$D:$D,$A126)</f>
        <v>13</v>
      </c>
      <c r="E126" s="30">
        <f ca="1" t="array" ref="E126">INDEX(Data_DBD!$E:$E,$A126)</f>
        <v>0</v>
      </c>
      <c r="F126" s="30">
        <f ca="1" t="array" ref="F126">INDEX(Data_DBD!$F:$F,$A126)</f>
        <v>2</v>
      </c>
      <c r="H126" s="30">
        <v>29</v>
      </c>
      <c r="I126" s="30">
        <v>19</v>
      </c>
      <c r="J126" s="30">
        <v>2</v>
      </c>
      <c r="K126" s="30">
        <v>14</v>
      </c>
      <c r="L126" s="30">
        <v>1</v>
      </c>
      <c r="M126" s="30">
        <v>2</v>
      </c>
    </row>
    <row r="127" spans="1:13">
      <c r="A127" s="30">
        <f ca="1" t="shared" si="1"/>
        <v>125</v>
      </c>
      <c r="B127" s="30">
        <f ca="1" t="array" ref="B127">INDEX(Data_DBD!$B:$B,$A127)</f>
        <v>39</v>
      </c>
      <c r="C127" s="30">
        <f ca="1" t="array" ref="C127">INDEX(Data_DBD!$C:$C,$A127)</f>
        <v>4</v>
      </c>
      <c r="D127" s="30">
        <f ca="1" t="array" ref="D127">INDEX(Data_DBD!$D:$D,$A127)</f>
        <v>33</v>
      </c>
      <c r="E127" s="30">
        <f ca="1" t="array" ref="E127">INDEX(Data_DBD!$E:$E,$A127)</f>
        <v>0</v>
      </c>
      <c r="F127" s="30">
        <f ca="1" t="array" ref="F127">INDEX(Data_DBD!$F:$F,$A127)</f>
        <v>3</v>
      </c>
      <c r="H127" s="30">
        <v>143</v>
      </c>
      <c r="I127" s="30">
        <v>20</v>
      </c>
      <c r="J127" s="30">
        <v>4</v>
      </c>
      <c r="K127" s="30">
        <v>21</v>
      </c>
      <c r="L127" s="30">
        <v>1</v>
      </c>
      <c r="M127" s="30">
        <v>3</v>
      </c>
    </row>
    <row r="128" spans="1:13">
      <c r="A128" s="30">
        <f ca="1" t="shared" si="1"/>
        <v>74</v>
      </c>
      <c r="B128" s="30">
        <f ca="1" t="array" ref="B128">INDEX(Data_DBD!$B:$B,$A128)</f>
        <v>9</v>
      </c>
      <c r="C128" s="30">
        <f ca="1" t="array" ref="C128">INDEX(Data_DBD!$C:$C,$A128)</f>
        <v>4</v>
      </c>
      <c r="D128" s="30">
        <f ca="1" t="array" ref="D128">INDEX(Data_DBD!$D:$D,$A128)</f>
        <v>10</v>
      </c>
      <c r="E128" s="30">
        <f ca="1" t="array" ref="E128">INDEX(Data_DBD!$E:$E,$A128)</f>
        <v>0</v>
      </c>
      <c r="F128" s="30">
        <f ca="1" t="array" ref="F128">INDEX(Data_DBD!$F:$F,$A128)</f>
        <v>2</v>
      </c>
      <c r="H128" s="30">
        <v>69</v>
      </c>
      <c r="I128" s="30">
        <v>24</v>
      </c>
      <c r="J128" s="30">
        <v>4</v>
      </c>
      <c r="K128" s="30">
        <v>10</v>
      </c>
      <c r="L128" s="30">
        <v>1</v>
      </c>
      <c r="M128" s="30">
        <v>2</v>
      </c>
    </row>
    <row r="129" spans="1:13">
      <c r="A129" s="30">
        <f ca="1" t="shared" si="1"/>
        <v>65</v>
      </c>
      <c r="B129" s="30">
        <f ca="1" t="array" ref="B129">INDEX(Data_DBD!$B:$B,$A129)</f>
        <v>49</v>
      </c>
      <c r="C129" s="30">
        <f ca="1" t="array" ref="C129">INDEX(Data_DBD!$C:$C,$A129)</f>
        <v>3</v>
      </c>
      <c r="D129" s="30">
        <f ca="1" t="array" ref="D129">INDEX(Data_DBD!$D:$D,$A129)</f>
        <v>15</v>
      </c>
      <c r="E129" s="30">
        <f ca="1" t="array" ref="E129">INDEX(Data_DBD!$E:$E,$A129)</f>
        <v>0</v>
      </c>
      <c r="F129" s="30">
        <f ca="1" t="array" ref="F129">INDEX(Data_DBD!$F:$F,$A129)</f>
        <v>2</v>
      </c>
      <c r="H129" s="30">
        <v>59</v>
      </c>
      <c r="I129" s="30">
        <v>28</v>
      </c>
      <c r="J129" s="30">
        <v>4</v>
      </c>
      <c r="K129" s="30">
        <v>15</v>
      </c>
      <c r="L129" s="30">
        <v>0</v>
      </c>
      <c r="M129" s="30">
        <v>2</v>
      </c>
    </row>
    <row r="130" spans="1:13">
      <c r="A130" s="30">
        <f ca="1" t="shared" si="1"/>
        <v>111</v>
      </c>
      <c r="B130" s="30">
        <f ca="1" t="array" ref="B130">INDEX(Data_DBD!$B:$B,$A130)</f>
        <v>25</v>
      </c>
      <c r="C130" s="30">
        <f ca="1" t="array" ref="C130">INDEX(Data_DBD!$C:$C,$A130)</f>
        <v>4</v>
      </c>
      <c r="D130" s="30">
        <f ca="1" t="array" ref="D130">INDEX(Data_DBD!$D:$D,$A130)</f>
        <v>33</v>
      </c>
      <c r="E130" s="30">
        <f ca="1" t="array" ref="E130">INDEX(Data_DBD!$E:$E,$A130)</f>
        <v>0</v>
      </c>
      <c r="F130" s="30">
        <f ca="1" t="array" ref="F130">INDEX(Data_DBD!$F:$F,$A130)</f>
        <v>3</v>
      </c>
      <c r="H130" s="30">
        <v>7</v>
      </c>
      <c r="I130" s="30">
        <v>12</v>
      </c>
      <c r="J130" s="30">
        <v>1</v>
      </c>
      <c r="K130" s="30">
        <v>12</v>
      </c>
      <c r="L130" s="30">
        <v>1</v>
      </c>
      <c r="M130" s="30">
        <v>2</v>
      </c>
    </row>
    <row r="131" spans="1:13">
      <c r="A131" s="30">
        <f ca="1" t="shared" ref="A131:A164" si="2">RANDBETWEEN(2,164)</f>
        <v>153</v>
      </c>
      <c r="B131" s="30">
        <f ca="1" t="array" ref="B131">INDEX(Data_DBD!$B:$B,$A131)</f>
        <v>73</v>
      </c>
      <c r="C131" s="30">
        <f ca="1" t="array" ref="C131">INDEX(Data_DBD!$C:$C,$A131)</f>
        <v>7</v>
      </c>
      <c r="D131" s="30">
        <f ca="1" t="array" ref="D131">INDEX(Data_DBD!$D:$D,$A131)</f>
        <v>21</v>
      </c>
      <c r="E131" s="30">
        <f ca="1" t="array" ref="E131">INDEX(Data_DBD!$E:$E,$A131)</f>
        <v>1</v>
      </c>
      <c r="F131" s="30">
        <f ca="1" t="array" ref="F131">INDEX(Data_DBD!$F:$F,$A131)</f>
        <v>3</v>
      </c>
      <c r="H131" s="30">
        <v>6</v>
      </c>
      <c r="I131" s="30">
        <v>14</v>
      </c>
      <c r="J131" s="30">
        <v>4</v>
      </c>
      <c r="K131" s="30">
        <v>12</v>
      </c>
      <c r="L131" s="30">
        <v>0</v>
      </c>
      <c r="M131" s="30">
        <v>2</v>
      </c>
    </row>
    <row r="132" spans="1:13">
      <c r="A132" s="30">
        <f ca="1" t="shared" si="2"/>
        <v>75</v>
      </c>
      <c r="B132" s="30">
        <f ca="1" t="array" ref="B132">INDEX(Data_DBD!$B:$B,$A132)</f>
        <v>2</v>
      </c>
      <c r="C132" s="30">
        <f ca="1" t="array" ref="C132">INDEX(Data_DBD!$C:$C,$A132)</f>
        <v>2</v>
      </c>
      <c r="D132" s="30">
        <f ca="1" t="array" ref="D132">INDEX(Data_DBD!$D:$D,$A132)</f>
        <v>10</v>
      </c>
      <c r="E132" s="30">
        <f ca="1" t="array" ref="E132">INDEX(Data_DBD!$E:$E,$A132)</f>
        <v>1</v>
      </c>
      <c r="F132" s="30">
        <f ca="1" t="array" ref="F132">INDEX(Data_DBD!$F:$F,$A132)</f>
        <v>2</v>
      </c>
      <c r="H132" s="30">
        <v>83</v>
      </c>
      <c r="I132" s="30">
        <v>50</v>
      </c>
      <c r="J132" s="30">
        <v>3</v>
      </c>
      <c r="K132" s="30">
        <v>13</v>
      </c>
      <c r="L132" s="30">
        <v>0</v>
      </c>
      <c r="M132" s="30">
        <v>2</v>
      </c>
    </row>
    <row r="133" spans="1:13">
      <c r="A133" s="30">
        <f ca="1" t="shared" si="2"/>
        <v>57</v>
      </c>
      <c r="B133" s="30">
        <f ca="1" t="array" ref="B133">INDEX(Data_DBD!$B:$B,$A133)</f>
        <v>2</v>
      </c>
      <c r="C133" s="30">
        <f ca="1" t="array" ref="C133">INDEX(Data_DBD!$C:$C,$A133)</f>
        <v>2</v>
      </c>
      <c r="D133" s="30">
        <f ca="1" t="array" ref="D133">INDEX(Data_DBD!$D:$D,$A133)</f>
        <v>15</v>
      </c>
      <c r="E133" s="30">
        <f ca="1" t="array" ref="E133">INDEX(Data_DBD!$E:$E,$A133)</f>
        <v>1</v>
      </c>
      <c r="F133" s="30">
        <f ca="1" t="array" ref="F133">INDEX(Data_DBD!$F:$F,$A133)</f>
        <v>2</v>
      </c>
      <c r="H133" s="30">
        <v>10</v>
      </c>
      <c r="I133" s="30">
        <v>18</v>
      </c>
      <c r="J133" s="30">
        <v>5</v>
      </c>
      <c r="K133" s="30">
        <v>12</v>
      </c>
      <c r="L133" s="30">
        <v>0</v>
      </c>
      <c r="M133" s="30">
        <v>2</v>
      </c>
    </row>
    <row r="134" spans="1:13">
      <c r="A134" s="30">
        <f ca="1" t="shared" si="2"/>
        <v>73</v>
      </c>
      <c r="B134" s="30">
        <f ca="1" t="array" ref="B134">INDEX(Data_DBD!$B:$B,$A134)</f>
        <v>15</v>
      </c>
      <c r="C134" s="30">
        <f ca="1" t="array" ref="C134">INDEX(Data_DBD!$C:$C,$A134)</f>
        <v>3</v>
      </c>
      <c r="D134" s="30">
        <f ca="1" t="array" ref="D134">INDEX(Data_DBD!$D:$D,$A134)</f>
        <v>10</v>
      </c>
      <c r="E134" s="30">
        <f ca="1" t="array" ref="E134">INDEX(Data_DBD!$E:$E,$A134)</f>
        <v>1</v>
      </c>
      <c r="F134" s="30">
        <f ca="1" t="array" ref="F134">INDEX(Data_DBD!$F:$F,$A134)</f>
        <v>2</v>
      </c>
      <c r="H134" s="30">
        <v>122</v>
      </c>
      <c r="I134" s="30">
        <v>28</v>
      </c>
      <c r="J134" s="30">
        <v>3</v>
      </c>
      <c r="K134" s="30">
        <v>33</v>
      </c>
      <c r="L134" s="30">
        <v>1</v>
      </c>
      <c r="M134" s="30">
        <v>3</v>
      </c>
    </row>
    <row r="135" spans="1:13">
      <c r="A135" s="30">
        <f ca="1" t="shared" si="2"/>
        <v>78</v>
      </c>
      <c r="B135" s="30">
        <f ca="1" t="array" ref="B135">INDEX(Data_DBD!$B:$B,$A135)</f>
        <v>6</v>
      </c>
      <c r="C135" s="30">
        <f ca="1" t="array" ref="C135">INDEX(Data_DBD!$C:$C,$A135)</f>
        <v>3</v>
      </c>
      <c r="D135" s="30">
        <f ca="1" t="array" ref="D135">INDEX(Data_DBD!$D:$D,$A135)</f>
        <v>13</v>
      </c>
      <c r="E135" s="30">
        <f ca="1" t="array" ref="E135">INDEX(Data_DBD!$E:$E,$A135)</f>
        <v>0</v>
      </c>
      <c r="F135" s="30">
        <f ca="1" t="array" ref="F135">INDEX(Data_DBD!$F:$F,$A135)</f>
        <v>2</v>
      </c>
      <c r="H135" s="30">
        <v>18</v>
      </c>
      <c r="I135" s="30">
        <v>49</v>
      </c>
      <c r="J135" s="30">
        <v>4</v>
      </c>
      <c r="K135" s="30">
        <v>7</v>
      </c>
      <c r="L135" s="30">
        <v>1</v>
      </c>
      <c r="M135" s="30">
        <v>1</v>
      </c>
    </row>
    <row r="136" spans="1:13">
      <c r="A136" s="30">
        <f ca="1" t="shared" si="2"/>
        <v>55</v>
      </c>
      <c r="B136" s="30">
        <f ca="1" t="array" ref="B136">INDEX(Data_DBD!$B:$B,$A136)</f>
        <v>7</v>
      </c>
      <c r="C136" s="30">
        <f ca="1" t="array" ref="C136">INDEX(Data_DBD!$C:$C,$A136)</f>
        <v>4</v>
      </c>
      <c r="D136" s="30">
        <f ca="1" t="array" ref="D136">INDEX(Data_DBD!$D:$D,$A136)</f>
        <v>15</v>
      </c>
      <c r="E136" s="30">
        <f ca="1" t="array" ref="E136">INDEX(Data_DBD!$E:$E,$A136)</f>
        <v>1</v>
      </c>
      <c r="F136" s="30">
        <f ca="1" t="array" ref="F136">INDEX(Data_DBD!$F:$F,$A136)</f>
        <v>2</v>
      </c>
      <c r="H136" s="30">
        <v>36</v>
      </c>
      <c r="I136" s="30">
        <v>27</v>
      </c>
      <c r="J136" s="30">
        <v>1</v>
      </c>
      <c r="K136" s="30">
        <v>4</v>
      </c>
      <c r="L136" s="30">
        <v>1</v>
      </c>
      <c r="M136" s="30">
        <v>1</v>
      </c>
    </row>
    <row r="137" spans="1:13">
      <c r="A137" s="30">
        <f ca="1" t="shared" si="2"/>
        <v>8</v>
      </c>
      <c r="B137" s="30">
        <f ca="1" t="array" ref="B137">INDEX(Data_DBD!$B:$B,$A137)</f>
        <v>4</v>
      </c>
      <c r="C137" s="30">
        <f ca="1" t="array" ref="C137">INDEX(Data_DBD!$C:$C,$A137)</f>
        <v>2</v>
      </c>
      <c r="D137" s="30">
        <f ca="1" t="array" ref="D137">INDEX(Data_DBD!$D:$D,$A137)</f>
        <v>12</v>
      </c>
      <c r="E137" s="30">
        <f ca="1" t="array" ref="E137">INDEX(Data_DBD!$E:$E,$A137)</f>
        <v>0</v>
      </c>
      <c r="F137" s="30">
        <f ca="1" t="array" ref="F137">INDEX(Data_DBD!$F:$F,$A137)</f>
        <v>2</v>
      </c>
      <c r="H137" s="30">
        <v>152</v>
      </c>
      <c r="I137" s="30">
        <v>47</v>
      </c>
      <c r="J137" s="30">
        <v>3</v>
      </c>
      <c r="K137" s="30">
        <v>21</v>
      </c>
      <c r="L137" s="30">
        <v>1</v>
      </c>
      <c r="M137" s="30">
        <v>3</v>
      </c>
    </row>
    <row r="138" spans="1:13">
      <c r="A138" s="30">
        <f ca="1" t="shared" si="2"/>
        <v>153</v>
      </c>
      <c r="B138" s="30">
        <f ca="1" t="array" ref="B138">INDEX(Data_DBD!$B:$B,$A138)</f>
        <v>73</v>
      </c>
      <c r="C138" s="30">
        <f ca="1" t="array" ref="C138">INDEX(Data_DBD!$C:$C,$A138)</f>
        <v>7</v>
      </c>
      <c r="D138" s="30">
        <f ca="1" t="array" ref="D138">INDEX(Data_DBD!$D:$D,$A138)</f>
        <v>21</v>
      </c>
      <c r="E138" s="30">
        <f ca="1" t="array" ref="E138">INDEX(Data_DBD!$E:$E,$A138)</f>
        <v>1</v>
      </c>
      <c r="F138" s="30">
        <f ca="1" t="array" ref="F138">INDEX(Data_DBD!$F:$F,$A138)</f>
        <v>3</v>
      </c>
      <c r="H138" s="30">
        <v>21</v>
      </c>
      <c r="I138" s="30">
        <v>10</v>
      </c>
      <c r="J138" s="30">
        <v>5</v>
      </c>
      <c r="K138" s="30">
        <v>14</v>
      </c>
      <c r="L138" s="30">
        <v>1</v>
      </c>
      <c r="M138" s="30">
        <v>2</v>
      </c>
    </row>
    <row r="139" spans="1:13">
      <c r="A139" s="30">
        <f ca="1" t="shared" si="2"/>
        <v>60</v>
      </c>
      <c r="B139" s="30">
        <f ca="1" t="array" ref="B139">INDEX(Data_DBD!$B:$B,$A139)</f>
        <v>68</v>
      </c>
      <c r="C139" s="30">
        <f ca="1" t="array" ref="C139">INDEX(Data_DBD!$C:$C,$A139)</f>
        <v>4</v>
      </c>
      <c r="D139" s="30">
        <f ca="1" t="array" ref="D139">INDEX(Data_DBD!$D:$D,$A139)</f>
        <v>15</v>
      </c>
      <c r="E139" s="30">
        <f ca="1" t="array" ref="E139">INDEX(Data_DBD!$E:$E,$A139)</f>
        <v>0</v>
      </c>
      <c r="F139" s="30">
        <f ca="1" t="array" ref="F139">INDEX(Data_DBD!$F:$F,$A139)</f>
        <v>2</v>
      </c>
      <c r="H139" s="30">
        <v>108</v>
      </c>
      <c r="I139" s="30">
        <v>69</v>
      </c>
      <c r="J139" s="30">
        <v>7</v>
      </c>
      <c r="K139" s="30">
        <v>33</v>
      </c>
      <c r="L139" s="30">
        <v>1</v>
      </c>
      <c r="M139" s="30">
        <v>3</v>
      </c>
    </row>
    <row r="140" spans="1:13">
      <c r="A140" s="30">
        <f ca="1" t="shared" si="2"/>
        <v>36</v>
      </c>
      <c r="B140" s="30">
        <f ca="1" t="array" ref="B140">INDEX(Data_DBD!$B:$B,$A140)</f>
        <v>27</v>
      </c>
      <c r="C140" s="30">
        <f ca="1" t="array" ref="C140">INDEX(Data_DBD!$C:$C,$A140)</f>
        <v>1</v>
      </c>
      <c r="D140" s="30">
        <f ca="1" t="array" ref="D140">INDEX(Data_DBD!$D:$D,$A140)</f>
        <v>4</v>
      </c>
      <c r="E140" s="30">
        <f ca="1" t="array" ref="E140">INDEX(Data_DBD!$E:$E,$A140)</f>
        <v>1</v>
      </c>
      <c r="F140" s="30">
        <f ca="1" t="array" ref="F140">INDEX(Data_DBD!$F:$F,$A140)</f>
        <v>1</v>
      </c>
      <c r="H140" s="30">
        <v>139</v>
      </c>
      <c r="I140" s="30">
        <v>52</v>
      </c>
      <c r="J140" s="30">
        <v>7</v>
      </c>
      <c r="K140" s="30">
        <v>21</v>
      </c>
      <c r="L140" s="30">
        <v>0</v>
      </c>
      <c r="M140" s="30">
        <v>3</v>
      </c>
    </row>
    <row r="141" spans="1:13">
      <c r="A141" s="30">
        <f ca="1" t="shared" si="2"/>
        <v>155</v>
      </c>
      <c r="B141" s="30">
        <f ca="1" t="array" ref="B141">INDEX(Data_DBD!$B:$B,$A141)</f>
        <v>19</v>
      </c>
      <c r="C141" s="30">
        <f ca="1" t="array" ref="C141">INDEX(Data_DBD!$C:$C,$A141)</f>
        <v>5</v>
      </c>
      <c r="D141" s="30">
        <f ca="1" t="array" ref="D141">INDEX(Data_DBD!$D:$D,$A141)</f>
        <v>21</v>
      </c>
      <c r="E141" s="30">
        <f ca="1" t="array" ref="E141">INDEX(Data_DBD!$E:$E,$A141)</f>
        <v>1</v>
      </c>
      <c r="F141" s="30">
        <f ca="1" t="array" ref="F141">INDEX(Data_DBD!$F:$F,$A141)</f>
        <v>3</v>
      </c>
      <c r="H141" s="30">
        <v>5</v>
      </c>
      <c r="I141" s="30">
        <v>18</v>
      </c>
      <c r="J141" s="30">
        <v>2</v>
      </c>
      <c r="K141" s="30">
        <v>12</v>
      </c>
      <c r="L141" s="30">
        <v>1</v>
      </c>
      <c r="M141" s="30">
        <v>2</v>
      </c>
    </row>
    <row r="142" spans="1:13">
      <c r="A142" s="30">
        <f ca="1" t="shared" si="2"/>
        <v>73</v>
      </c>
      <c r="B142" s="30">
        <f ca="1" t="array" ref="B142">INDEX(Data_DBD!$B:$B,$A142)</f>
        <v>15</v>
      </c>
      <c r="C142" s="30">
        <f ca="1" t="array" ref="C142">INDEX(Data_DBD!$C:$C,$A142)</f>
        <v>3</v>
      </c>
      <c r="D142" s="30">
        <f ca="1" t="array" ref="D142">INDEX(Data_DBD!$D:$D,$A142)</f>
        <v>10</v>
      </c>
      <c r="E142" s="30">
        <f ca="1" t="array" ref="E142">INDEX(Data_DBD!$E:$E,$A142)</f>
        <v>1</v>
      </c>
      <c r="F142" s="30">
        <f ca="1" t="array" ref="F142">INDEX(Data_DBD!$F:$F,$A142)</f>
        <v>2</v>
      </c>
      <c r="H142" s="30">
        <v>30</v>
      </c>
      <c r="I142" s="30" t="s">
        <v>36</v>
      </c>
      <c r="J142" s="30">
        <v>2</v>
      </c>
      <c r="K142" s="30">
        <v>14</v>
      </c>
      <c r="L142" s="30">
        <v>1</v>
      </c>
      <c r="M142" s="30">
        <v>2</v>
      </c>
    </row>
    <row r="143" spans="1:13">
      <c r="A143" s="30">
        <f ca="1" t="shared" si="2"/>
        <v>11</v>
      </c>
      <c r="B143" s="30">
        <f ca="1" t="array" ref="B143">INDEX(Data_DBD!$B:$B,$A143)</f>
        <v>24</v>
      </c>
      <c r="C143" s="30">
        <f ca="1" t="array" ref="C143">INDEX(Data_DBD!$C:$C,$A143)</f>
        <v>5</v>
      </c>
      <c r="D143" s="30">
        <f ca="1" t="array" ref="D143">INDEX(Data_DBD!$D:$D,$A143)</f>
        <v>12</v>
      </c>
      <c r="E143" s="30">
        <f ca="1" t="array" ref="E143">INDEX(Data_DBD!$E:$E,$A143)</f>
        <v>1</v>
      </c>
      <c r="F143" s="30">
        <f ca="1" t="array" ref="F143">INDEX(Data_DBD!$F:$F,$A143)</f>
        <v>2</v>
      </c>
      <c r="H143" s="30">
        <v>72</v>
      </c>
      <c r="I143" s="30">
        <v>3</v>
      </c>
      <c r="J143" s="30">
        <v>5</v>
      </c>
      <c r="K143" s="30">
        <v>10</v>
      </c>
      <c r="L143" s="30">
        <v>1</v>
      </c>
      <c r="M143" s="30">
        <v>2</v>
      </c>
    </row>
    <row r="144" spans="1:13">
      <c r="A144" s="30">
        <f ca="1" t="shared" si="2"/>
        <v>53</v>
      </c>
      <c r="B144" s="30">
        <f ca="1" t="array" ref="B144">INDEX(Data_DBD!$B:$B,$A144)</f>
        <v>35</v>
      </c>
      <c r="C144" s="30">
        <f ca="1" t="array" ref="C144">INDEX(Data_DBD!$C:$C,$A144)</f>
        <v>4</v>
      </c>
      <c r="D144" s="30">
        <f ca="1" t="array" ref="D144">INDEX(Data_DBD!$D:$D,$A144)</f>
        <v>15</v>
      </c>
      <c r="E144" s="30">
        <f ca="1" t="array" ref="E144">INDEX(Data_DBD!$E:$E,$A144)</f>
        <v>1</v>
      </c>
      <c r="F144" s="30">
        <f ca="1" t="array" ref="F144">INDEX(Data_DBD!$F:$F,$A144)</f>
        <v>2</v>
      </c>
      <c r="H144" s="30">
        <v>155</v>
      </c>
      <c r="I144" s="30">
        <v>19</v>
      </c>
      <c r="J144" s="30">
        <v>5</v>
      </c>
      <c r="K144" s="30">
        <v>21</v>
      </c>
      <c r="L144" s="30">
        <v>1</v>
      </c>
      <c r="M144" s="30">
        <v>3</v>
      </c>
    </row>
    <row r="145" spans="1:13">
      <c r="A145" s="30">
        <f ca="1" t="shared" si="2"/>
        <v>16</v>
      </c>
      <c r="B145" s="30">
        <f ca="1" t="array" ref="B145">INDEX(Data_DBD!$B:$B,$A145)</f>
        <v>66</v>
      </c>
      <c r="C145" s="30">
        <f ca="1" t="array" ref="C145">INDEX(Data_DBD!$C:$C,$A145)</f>
        <v>5</v>
      </c>
      <c r="D145" s="30">
        <f ca="1" t="array" ref="D145">INDEX(Data_DBD!$D:$D,$A145)</f>
        <v>7</v>
      </c>
      <c r="E145" s="30">
        <f ca="1" t="array" ref="E145">INDEX(Data_DBD!$E:$E,$A145)</f>
        <v>1</v>
      </c>
      <c r="F145" s="30">
        <f ca="1" t="array" ref="F145">INDEX(Data_DBD!$F:$F,$A145)</f>
        <v>1</v>
      </c>
      <c r="H145" s="30">
        <v>66</v>
      </c>
      <c r="I145" s="30">
        <v>21</v>
      </c>
      <c r="J145" s="30">
        <v>5</v>
      </c>
      <c r="K145" s="30">
        <v>15</v>
      </c>
      <c r="L145" s="30">
        <v>1</v>
      </c>
      <c r="M145" s="30">
        <v>2</v>
      </c>
    </row>
    <row r="146" spans="1:13">
      <c r="A146" s="30">
        <f ca="1" t="shared" si="2"/>
        <v>43</v>
      </c>
      <c r="B146" s="30">
        <f ca="1" t="array" ref="B146">INDEX(Data_DBD!$B:$B,$A146)</f>
        <v>15</v>
      </c>
      <c r="C146" s="30">
        <f ca="1" t="array" ref="C146">INDEX(Data_DBD!$C:$C,$A146)</f>
        <v>4</v>
      </c>
      <c r="D146" s="30">
        <f ca="1" t="array" ref="D146">INDEX(Data_DBD!$D:$D,$A146)</f>
        <v>13</v>
      </c>
      <c r="E146" s="30">
        <f ca="1" t="array" ref="E146">INDEX(Data_DBD!$E:$E,$A146)</f>
        <v>0</v>
      </c>
      <c r="F146" s="30">
        <f ca="1" t="array" ref="F146">INDEX(Data_DBD!$F:$F,$A146)</f>
        <v>2</v>
      </c>
      <c r="H146" s="30">
        <v>163</v>
      </c>
      <c r="I146" s="30">
        <v>34</v>
      </c>
      <c r="J146" s="30">
        <v>4</v>
      </c>
      <c r="K146" s="30">
        <v>3</v>
      </c>
      <c r="L146" s="30">
        <v>1</v>
      </c>
      <c r="M146" s="30">
        <v>1</v>
      </c>
    </row>
    <row r="147" spans="1:13">
      <c r="A147" s="30">
        <f ca="1" t="shared" si="2"/>
        <v>62</v>
      </c>
      <c r="B147" s="30">
        <f ca="1" t="array" ref="B147">INDEX(Data_DBD!$B:$B,$A147)</f>
        <v>43</v>
      </c>
      <c r="C147" s="30">
        <f ca="1" t="array" ref="C147">INDEX(Data_DBD!$C:$C,$A147)</f>
        <v>4</v>
      </c>
      <c r="D147" s="30">
        <f ca="1" t="array" ref="D147">INDEX(Data_DBD!$D:$D,$A147)</f>
        <v>15</v>
      </c>
      <c r="E147" s="30">
        <f ca="1" t="array" ref="E147">INDEX(Data_DBD!$E:$E,$A147)</f>
        <v>1</v>
      </c>
      <c r="F147" s="30">
        <f ca="1" t="array" ref="F147">INDEX(Data_DBD!$F:$F,$A147)</f>
        <v>2</v>
      </c>
      <c r="H147" s="30">
        <v>55</v>
      </c>
      <c r="I147" s="30">
        <v>7</v>
      </c>
      <c r="J147" s="30">
        <v>4</v>
      </c>
      <c r="K147" s="30">
        <v>15</v>
      </c>
      <c r="L147" s="30">
        <v>1</v>
      </c>
      <c r="M147" s="30">
        <v>2</v>
      </c>
    </row>
    <row r="148" spans="1:13">
      <c r="A148" s="30">
        <f ca="1" t="shared" si="2"/>
        <v>62</v>
      </c>
      <c r="B148" s="30">
        <f ca="1" t="array" ref="B148">INDEX(Data_DBD!$B:$B,$A148)</f>
        <v>43</v>
      </c>
      <c r="C148" s="30">
        <f ca="1" t="array" ref="C148">INDEX(Data_DBD!$C:$C,$A148)</f>
        <v>4</v>
      </c>
      <c r="D148" s="30">
        <f ca="1" t="array" ref="D148">INDEX(Data_DBD!$D:$D,$A148)</f>
        <v>15</v>
      </c>
      <c r="E148" s="30">
        <f ca="1" t="array" ref="E148">INDEX(Data_DBD!$E:$E,$A148)</f>
        <v>1</v>
      </c>
      <c r="F148" s="30">
        <f ca="1" t="array" ref="F148">INDEX(Data_DBD!$F:$F,$A148)</f>
        <v>2</v>
      </c>
      <c r="H148" s="30">
        <v>97</v>
      </c>
      <c r="I148" s="30">
        <v>16</v>
      </c>
      <c r="J148" s="30">
        <v>2</v>
      </c>
      <c r="K148" s="30">
        <v>18</v>
      </c>
      <c r="L148" s="30">
        <v>1</v>
      </c>
      <c r="M148" s="30">
        <v>3</v>
      </c>
    </row>
    <row r="149" spans="1:13">
      <c r="A149" s="30">
        <f ca="1" t="shared" si="2"/>
        <v>38</v>
      </c>
      <c r="B149" s="30">
        <f ca="1" t="array" ref="B149">INDEX(Data_DBD!$B:$B,$A149)</f>
        <v>52</v>
      </c>
      <c r="C149" s="30">
        <f ca="1" t="array" ref="C149">INDEX(Data_DBD!$C:$C,$A149)</f>
        <v>3</v>
      </c>
      <c r="D149" s="30">
        <f ca="1" t="array" ref="D149">INDEX(Data_DBD!$D:$D,$A149)</f>
        <v>4</v>
      </c>
      <c r="E149" s="30">
        <f ca="1" t="array" ref="E149">INDEX(Data_DBD!$E:$E,$A149)</f>
        <v>1</v>
      </c>
      <c r="F149" s="30">
        <f ca="1" t="array" ref="F149">INDEX(Data_DBD!$F:$F,$A149)</f>
        <v>1</v>
      </c>
      <c r="H149" s="30">
        <v>161</v>
      </c>
      <c r="I149" s="30">
        <v>12</v>
      </c>
      <c r="J149" s="30">
        <v>3</v>
      </c>
      <c r="K149" s="30">
        <v>21</v>
      </c>
      <c r="L149" s="30">
        <v>1</v>
      </c>
      <c r="M149" s="30">
        <v>3</v>
      </c>
    </row>
    <row r="150" spans="1:13">
      <c r="A150" s="30">
        <f ca="1" t="shared" si="2"/>
        <v>55</v>
      </c>
      <c r="B150" s="30">
        <f ca="1" t="array" ref="B150">INDEX(Data_DBD!$B:$B,$A150)</f>
        <v>7</v>
      </c>
      <c r="C150" s="30">
        <f ca="1" t="array" ref="C150">INDEX(Data_DBD!$C:$C,$A150)</f>
        <v>4</v>
      </c>
      <c r="D150" s="30">
        <f ca="1" t="array" ref="D150">INDEX(Data_DBD!$D:$D,$A150)</f>
        <v>15</v>
      </c>
      <c r="E150" s="30">
        <f ca="1" t="array" ref="E150">INDEX(Data_DBD!$E:$E,$A150)</f>
        <v>1</v>
      </c>
      <c r="F150" s="30">
        <f ca="1" t="array" ref="F150">INDEX(Data_DBD!$F:$F,$A150)</f>
        <v>2</v>
      </c>
      <c r="H150" s="30">
        <v>97</v>
      </c>
      <c r="I150" s="30">
        <v>16</v>
      </c>
      <c r="J150" s="30">
        <v>2</v>
      </c>
      <c r="K150" s="30">
        <v>18</v>
      </c>
      <c r="L150" s="30">
        <v>1</v>
      </c>
      <c r="M150" s="30">
        <v>3</v>
      </c>
    </row>
    <row r="151" spans="1:13">
      <c r="A151" s="30">
        <f ca="1" t="shared" si="2"/>
        <v>153</v>
      </c>
      <c r="B151" s="30">
        <f ca="1" t="array" ref="B151">INDEX(Data_DBD!$B:$B,$A151)</f>
        <v>73</v>
      </c>
      <c r="C151" s="30">
        <f ca="1" t="array" ref="C151">INDEX(Data_DBD!$C:$C,$A151)</f>
        <v>7</v>
      </c>
      <c r="D151" s="30">
        <f ca="1" t="array" ref="D151">INDEX(Data_DBD!$D:$D,$A151)</f>
        <v>21</v>
      </c>
      <c r="E151" s="30">
        <f ca="1" t="array" ref="E151">INDEX(Data_DBD!$E:$E,$A151)</f>
        <v>1</v>
      </c>
      <c r="F151" s="30">
        <f ca="1" t="array" ref="F151">INDEX(Data_DBD!$F:$F,$A151)</f>
        <v>3</v>
      </c>
      <c r="H151" s="30">
        <v>127</v>
      </c>
      <c r="I151" s="30">
        <v>21</v>
      </c>
      <c r="J151" s="30">
        <v>2</v>
      </c>
      <c r="K151" s="30">
        <v>33</v>
      </c>
      <c r="L151" s="30">
        <v>0</v>
      </c>
      <c r="M151" s="30">
        <v>3</v>
      </c>
    </row>
    <row r="152" spans="1:13">
      <c r="A152" s="30">
        <f ca="1" t="shared" si="2"/>
        <v>150</v>
      </c>
      <c r="B152" s="30">
        <f ca="1" t="array" ref="B152">INDEX(Data_DBD!$B:$B,$A152)</f>
        <v>61</v>
      </c>
      <c r="C152" s="30">
        <f ca="1" t="array" ref="C152">INDEX(Data_DBD!$C:$C,$A152)</f>
        <v>5</v>
      </c>
      <c r="D152" s="30">
        <f ca="1" t="array" ref="D152">INDEX(Data_DBD!$D:$D,$A152)</f>
        <v>21</v>
      </c>
      <c r="E152" s="30">
        <f ca="1" t="array" ref="E152">INDEX(Data_DBD!$E:$E,$A152)</f>
        <v>1</v>
      </c>
      <c r="F152" s="30">
        <f ca="1" t="array" ref="F152">INDEX(Data_DBD!$F:$F,$A152)</f>
        <v>3</v>
      </c>
      <c r="H152" s="30">
        <v>123</v>
      </c>
      <c r="I152" s="30">
        <v>22</v>
      </c>
      <c r="J152" s="30">
        <v>4</v>
      </c>
      <c r="K152" s="30">
        <v>33</v>
      </c>
      <c r="L152" s="30">
        <v>0</v>
      </c>
      <c r="M152" s="30">
        <v>3</v>
      </c>
    </row>
    <row r="153" spans="1:13">
      <c r="A153" s="30">
        <f ca="1" t="shared" si="2"/>
        <v>38</v>
      </c>
      <c r="B153" s="30">
        <f ca="1" t="array" ref="B153">INDEX(Data_DBD!$B:$B,$A153)</f>
        <v>52</v>
      </c>
      <c r="C153" s="30">
        <f ca="1" t="array" ref="C153">INDEX(Data_DBD!$C:$C,$A153)</f>
        <v>3</v>
      </c>
      <c r="D153" s="30">
        <f ca="1" t="array" ref="D153">INDEX(Data_DBD!$D:$D,$A153)</f>
        <v>4</v>
      </c>
      <c r="E153" s="30">
        <f ca="1" t="array" ref="E153">INDEX(Data_DBD!$E:$E,$A153)</f>
        <v>1</v>
      </c>
      <c r="F153" s="30">
        <f ca="1" t="array" ref="F153">INDEX(Data_DBD!$F:$F,$A153)</f>
        <v>1</v>
      </c>
      <c r="H153" s="30">
        <v>27</v>
      </c>
      <c r="I153" s="30">
        <v>37</v>
      </c>
      <c r="J153" s="30">
        <v>4</v>
      </c>
      <c r="K153" s="30">
        <v>14</v>
      </c>
      <c r="L153" s="30">
        <v>1</v>
      </c>
      <c r="M153" s="30">
        <v>2</v>
      </c>
    </row>
    <row r="154" spans="1:13">
      <c r="A154" s="30">
        <f ca="1" t="shared" si="2"/>
        <v>158</v>
      </c>
      <c r="B154" s="30">
        <f ca="1" t="array" ref="B154">INDEX(Data_DBD!$B:$B,$A154)</f>
        <v>5</v>
      </c>
      <c r="C154" s="30">
        <f ca="1" t="array" ref="C154">INDEX(Data_DBD!$C:$C,$A154)</f>
        <v>2</v>
      </c>
      <c r="D154" s="30">
        <f ca="1" t="array" ref="D154">INDEX(Data_DBD!$D:$D,$A154)</f>
        <v>21</v>
      </c>
      <c r="E154" s="30">
        <f ca="1" t="array" ref="E154">INDEX(Data_DBD!$E:$E,$A154)</f>
        <v>0</v>
      </c>
      <c r="F154" s="30">
        <f ca="1" t="array" ref="F154">INDEX(Data_DBD!$F:$F,$A154)</f>
        <v>3</v>
      </c>
      <c r="H154" s="30">
        <v>125</v>
      </c>
      <c r="I154" s="30">
        <v>39</v>
      </c>
      <c r="J154" s="30">
        <v>4</v>
      </c>
      <c r="K154" s="30">
        <v>33</v>
      </c>
      <c r="L154" s="30">
        <v>0</v>
      </c>
      <c r="M154" s="30">
        <v>3</v>
      </c>
    </row>
    <row r="155" spans="1:13">
      <c r="A155" s="30">
        <f ca="1" t="shared" si="2"/>
        <v>34</v>
      </c>
      <c r="B155" s="30">
        <f ca="1" t="array" ref="B155">INDEX(Data_DBD!$B:$B,$A155)</f>
        <v>55</v>
      </c>
      <c r="C155" s="30">
        <f ca="1" t="array" ref="C155">INDEX(Data_DBD!$C:$C,$A155)</f>
        <v>3</v>
      </c>
      <c r="D155" s="30">
        <f ca="1" t="array" ref="D155">INDEX(Data_DBD!$D:$D,$A155)</f>
        <v>14</v>
      </c>
      <c r="E155" s="30">
        <f ca="1" t="array" ref="E155">INDEX(Data_DBD!$E:$E,$A155)</f>
        <v>0</v>
      </c>
      <c r="F155" s="30">
        <f ca="1" t="array" ref="F155">INDEX(Data_DBD!$F:$F,$A155)</f>
        <v>2</v>
      </c>
      <c r="H155" s="30">
        <v>17</v>
      </c>
      <c r="I155" s="30">
        <v>2</v>
      </c>
      <c r="J155" s="30">
        <v>3</v>
      </c>
      <c r="K155" s="30">
        <v>7</v>
      </c>
      <c r="L155" s="30">
        <v>0</v>
      </c>
      <c r="M155" s="30">
        <v>1</v>
      </c>
    </row>
    <row r="156" spans="1:13">
      <c r="A156" s="30">
        <f ca="1" t="shared" si="2"/>
        <v>90</v>
      </c>
      <c r="B156" s="30">
        <f ca="1" t="array" ref="B156">INDEX(Data_DBD!$B:$B,$A156)</f>
        <v>47</v>
      </c>
      <c r="C156" s="30">
        <f ca="1" t="array" ref="C156">INDEX(Data_DBD!$C:$C,$A156)</f>
        <v>3</v>
      </c>
      <c r="D156" s="30">
        <f ca="1" t="array" ref="D156">INDEX(Data_DBD!$D:$D,$A156)</f>
        <v>18</v>
      </c>
      <c r="E156" s="30">
        <f ca="1" t="array" ref="E156">INDEX(Data_DBD!$E:$E,$A156)</f>
        <v>0</v>
      </c>
      <c r="F156" s="30">
        <f ca="1" t="array" ref="F156">INDEX(Data_DBD!$F:$F,$A156)</f>
        <v>3</v>
      </c>
      <c r="H156" s="30">
        <v>123</v>
      </c>
      <c r="I156" s="30">
        <v>22</v>
      </c>
      <c r="J156" s="30">
        <v>4</v>
      </c>
      <c r="K156" s="30">
        <v>33</v>
      </c>
      <c r="L156" s="30">
        <v>0</v>
      </c>
      <c r="M156" s="30">
        <v>3</v>
      </c>
    </row>
    <row r="157" spans="1:13">
      <c r="A157" s="30">
        <f ca="1" t="shared" si="2"/>
        <v>152</v>
      </c>
      <c r="B157" s="30">
        <f ca="1" t="array" ref="B157">INDEX(Data_DBD!$B:$B,$A157)</f>
        <v>47</v>
      </c>
      <c r="C157" s="30">
        <f ca="1" t="array" ref="C157">INDEX(Data_DBD!$C:$C,$A157)</f>
        <v>3</v>
      </c>
      <c r="D157" s="30">
        <f ca="1" t="array" ref="D157">INDEX(Data_DBD!$D:$D,$A157)</f>
        <v>21</v>
      </c>
      <c r="E157" s="30">
        <f ca="1" t="array" ref="E157">INDEX(Data_DBD!$E:$E,$A157)</f>
        <v>1</v>
      </c>
      <c r="F157" s="30">
        <f ca="1" t="array" ref="F157">INDEX(Data_DBD!$F:$F,$A157)</f>
        <v>3</v>
      </c>
      <c r="H157" s="30">
        <v>137</v>
      </c>
      <c r="I157" s="30">
        <v>3.5</v>
      </c>
      <c r="J157" s="30">
        <v>1</v>
      </c>
      <c r="K157" s="30">
        <v>33</v>
      </c>
      <c r="L157" s="30">
        <v>1</v>
      </c>
      <c r="M157" s="30">
        <v>3</v>
      </c>
    </row>
    <row r="158" spans="1:13">
      <c r="A158" s="30">
        <f ca="1" t="shared" si="2"/>
        <v>127</v>
      </c>
      <c r="B158" s="30">
        <f ca="1" t="array" ref="B158">INDEX(Data_DBD!$B:$B,$A158)</f>
        <v>21</v>
      </c>
      <c r="C158" s="30">
        <f ca="1" t="array" ref="C158">INDEX(Data_DBD!$C:$C,$A158)</f>
        <v>2</v>
      </c>
      <c r="D158" s="30">
        <f ca="1" t="array" ref="D158">INDEX(Data_DBD!$D:$D,$A158)</f>
        <v>33</v>
      </c>
      <c r="E158" s="30">
        <f ca="1" t="array" ref="E158">INDEX(Data_DBD!$E:$E,$A158)</f>
        <v>0</v>
      </c>
      <c r="F158" s="30">
        <f ca="1" t="array" ref="F158">INDEX(Data_DBD!$F:$F,$A158)</f>
        <v>3</v>
      </c>
      <c r="H158" s="30">
        <v>65</v>
      </c>
      <c r="I158" s="30">
        <v>49</v>
      </c>
      <c r="J158" s="30">
        <v>3</v>
      </c>
      <c r="K158" s="30">
        <v>15</v>
      </c>
      <c r="L158" s="30">
        <v>0</v>
      </c>
      <c r="M158" s="30">
        <v>2</v>
      </c>
    </row>
    <row r="159" spans="1:13">
      <c r="A159" s="30">
        <f ca="1" t="shared" si="2"/>
        <v>65</v>
      </c>
      <c r="B159" s="30">
        <f ca="1" t="array" ref="B159">INDEX(Data_DBD!$B:$B,$A159)</f>
        <v>49</v>
      </c>
      <c r="C159" s="30">
        <f ca="1" t="array" ref="C159">INDEX(Data_DBD!$C:$C,$A159)</f>
        <v>3</v>
      </c>
      <c r="D159" s="30">
        <f ca="1" t="array" ref="D159">INDEX(Data_DBD!$D:$D,$A159)</f>
        <v>15</v>
      </c>
      <c r="E159" s="30">
        <f ca="1" t="array" ref="E159">INDEX(Data_DBD!$E:$E,$A159)</f>
        <v>0</v>
      </c>
      <c r="F159" s="30">
        <f ca="1" t="array" ref="F159">INDEX(Data_DBD!$F:$F,$A159)</f>
        <v>2</v>
      </c>
      <c r="H159" s="30">
        <v>32</v>
      </c>
      <c r="I159" s="30">
        <v>54</v>
      </c>
      <c r="J159" s="30">
        <v>4</v>
      </c>
      <c r="K159" s="30">
        <v>14</v>
      </c>
      <c r="L159" s="30">
        <v>0</v>
      </c>
      <c r="M159" s="30">
        <v>2</v>
      </c>
    </row>
    <row r="160" spans="1:13">
      <c r="A160" s="30">
        <f ca="1" t="shared" si="2"/>
        <v>60</v>
      </c>
      <c r="B160" s="30">
        <f ca="1" t="array" ref="B160">INDEX(Data_DBD!$B:$B,$A160)</f>
        <v>68</v>
      </c>
      <c r="C160" s="30">
        <f ca="1" t="array" ref="C160">INDEX(Data_DBD!$C:$C,$A160)</f>
        <v>4</v>
      </c>
      <c r="D160" s="30">
        <f ca="1" t="array" ref="D160">INDEX(Data_DBD!$D:$D,$A160)</f>
        <v>15</v>
      </c>
      <c r="E160" s="30">
        <f ca="1" t="array" ref="E160">INDEX(Data_DBD!$E:$E,$A160)</f>
        <v>0</v>
      </c>
      <c r="F160" s="30">
        <f ca="1" t="array" ref="F160">INDEX(Data_DBD!$F:$F,$A160)</f>
        <v>2</v>
      </c>
      <c r="H160" s="30">
        <v>143</v>
      </c>
      <c r="I160" s="30">
        <v>20</v>
      </c>
      <c r="J160" s="30">
        <v>4</v>
      </c>
      <c r="K160" s="30">
        <v>21</v>
      </c>
      <c r="L160" s="30">
        <v>1</v>
      </c>
      <c r="M160" s="30">
        <v>3</v>
      </c>
    </row>
    <row r="161" spans="1:13">
      <c r="A161" s="30">
        <f ca="1" t="shared" si="2"/>
        <v>4</v>
      </c>
      <c r="B161" s="30">
        <f ca="1" t="array" ref="B161">INDEX(Data_DBD!$B:$B,$A161)</f>
        <v>23</v>
      </c>
      <c r="C161" s="30">
        <f ca="1" t="array" ref="C161">INDEX(Data_DBD!$C:$C,$A161)</f>
        <v>5</v>
      </c>
      <c r="D161" s="30">
        <f ca="1" t="array" ref="D161">INDEX(Data_DBD!$D:$D,$A161)</f>
        <v>12</v>
      </c>
      <c r="E161" s="30">
        <f ca="1" t="array" ref="E161">INDEX(Data_DBD!$E:$E,$A161)</f>
        <v>0</v>
      </c>
      <c r="F161" s="30">
        <f ca="1" t="array" ref="F161">INDEX(Data_DBD!$F:$F,$A161)</f>
        <v>2</v>
      </c>
      <c r="H161" s="30">
        <v>89</v>
      </c>
      <c r="I161" s="30">
        <v>32</v>
      </c>
      <c r="J161" s="30">
        <v>4</v>
      </c>
      <c r="K161" s="30">
        <v>13</v>
      </c>
      <c r="L161" s="30">
        <v>0</v>
      </c>
      <c r="M161" s="30">
        <v>2</v>
      </c>
    </row>
    <row r="162" spans="1:13">
      <c r="A162" s="30">
        <f ca="1" t="shared" si="2"/>
        <v>126</v>
      </c>
      <c r="B162" s="30">
        <f ca="1" t="array" ref="B162">INDEX(Data_DBD!$B:$B,$A162)</f>
        <v>51</v>
      </c>
      <c r="C162" s="30">
        <f ca="1" t="array" ref="C162">INDEX(Data_DBD!$C:$C,$A162)</f>
        <v>3</v>
      </c>
      <c r="D162" s="30">
        <f ca="1" t="array" ref="D162">INDEX(Data_DBD!$D:$D,$A162)</f>
        <v>33</v>
      </c>
      <c r="E162" s="30">
        <f ca="1" t="array" ref="E162">INDEX(Data_DBD!$E:$E,$A162)</f>
        <v>1</v>
      </c>
      <c r="F162" s="30">
        <f ca="1" t="array" ref="F162">INDEX(Data_DBD!$F:$F,$A162)</f>
        <v>3</v>
      </c>
      <c r="H162" s="30">
        <v>101</v>
      </c>
      <c r="I162" s="30">
        <v>42</v>
      </c>
      <c r="J162" s="30">
        <v>5</v>
      </c>
      <c r="K162" s="30">
        <v>18</v>
      </c>
      <c r="L162" s="30">
        <v>0</v>
      </c>
      <c r="M162" s="30">
        <v>3</v>
      </c>
    </row>
    <row r="163" spans="1:13">
      <c r="A163" s="30">
        <f ca="1" t="shared" si="2"/>
        <v>107</v>
      </c>
      <c r="B163" s="30">
        <f ca="1" t="array" ref="B163">INDEX(Data_DBD!$B:$B,$A163)</f>
        <v>48</v>
      </c>
      <c r="C163" s="30">
        <f ca="1" t="array" ref="C163">INDEX(Data_DBD!$C:$C,$A163)</f>
        <v>5</v>
      </c>
      <c r="D163" s="30">
        <f ca="1" t="array" ref="D163">INDEX(Data_DBD!$D:$D,$A163)</f>
        <v>18</v>
      </c>
      <c r="E163" s="30">
        <f ca="1" t="array" ref="E163">INDEX(Data_DBD!$E:$E,$A163)</f>
        <v>0</v>
      </c>
      <c r="F163" s="30">
        <f ca="1" t="array" ref="F163">INDEX(Data_DBD!$F:$F,$A163)</f>
        <v>3</v>
      </c>
      <c r="H163" s="30">
        <v>126</v>
      </c>
      <c r="I163" s="30">
        <v>51</v>
      </c>
      <c r="J163" s="30">
        <v>3</v>
      </c>
      <c r="K163" s="30">
        <v>33</v>
      </c>
      <c r="L163" s="30">
        <v>1</v>
      </c>
      <c r="M163" s="30">
        <v>3</v>
      </c>
    </row>
    <row r="164" spans="1:13">
      <c r="A164" s="30">
        <f ca="1" t="shared" si="2"/>
        <v>127</v>
      </c>
      <c r="B164" s="30">
        <f ca="1" t="array" ref="B164">INDEX(Data_DBD!$B:$B,$A164)</f>
        <v>21</v>
      </c>
      <c r="C164" s="30">
        <f ca="1" t="array" ref="C164">INDEX(Data_DBD!$C:$C,$A164)</f>
        <v>2</v>
      </c>
      <c r="D164" s="30">
        <f ca="1" t="array" ref="D164">INDEX(Data_DBD!$D:$D,$A164)</f>
        <v>33</v>
      </c>
      <c r="E164" s="30">
        <f ca="1" t="array" ref="E164">INDEX(Data_DBD!$E:$E,$A164)</f>
        <v>0</v>
      </c>
      <c r="F164" s="30">
        <f ca="1" t="array" ref="F164">INDEX(Data_DBD!$F:$F,$A164)</f>
        <v>3</v>
      </c>
      <c r="H164" s="30">
        <v>93</v>
      </c>
      <c r="I164" s="30">
        <v>65</v>
      </c>
      <c r="J164" s="30">
        <v>4</v>
      </c>
      <c r="K164" s="30">
        <v>18</v>
      </c>
      <c r="L164" s="30">
        <v>0</v>
      </c>
      <c r="M164" s="30">
        <v>3</v>
      </c>
    </row>
    <row r="165" spans="9:12">
      <c r="I165" s="47">
        <f>AVERAGE(I2:I164)</f>
        <v>31.3695652173913</v>
      </c>
      <c r="J165" s="47">
        <f>AVERAGE(J2:J164)</f>
        <v>3.65644171779141</v>
      </c>
      <c r="K165" s="47">
        <f>AVERAGE(K2:K164)</f>
        <v>18.8711656441718</v>
      </c>
      <c r="L165" s="47">
        <f>AVERAGE(L2:L164)</f>
        <v>0.539877300613497</v>
      </c>
    </row>
    <row r="166" spans="9:12">
      <c r="I166">
        <f>SUM(I2:I164)</f>
        <v>5050.5</v>
      </c>
      <c r="J166">
        <f>SUM(J2:J164)</f>
        <v>596</v>
      </c>
      <c r="K166">
        <f>SUM(K2:K164)</f>
        <v>3076</v>
      </c>
      <c r="L166" s="47">
        <f>SUM(L2:L164)</f>
        <v>88</v>
      </c>
    </row>
    <row r="167" spans="2:2">
      <c r="B167">
        <v>8</v>
      </c>
    </row>
    <row r="168" spans="5:20">
      <c r="E168" s="35" t="s">
        <v>183</v>
      </c>
      <c r="J168" s="35" t="s">
        <v>184</v>
      </c>
      <c r="O168" s="35" t="s">
        <v>185</v>
      </c>
      <c r="T168" s="35" t="s">
        <v>186</v>
      </c>
    </row>
    <row r="169" spans="5:22">
      <c r="E169" s="30" t="s">
        <v>1</v>
      </c>
      <c r="F169" s="30">
        <f>AVERAGEIF($I$2:$I$164,"&lt;="&amp;$I$165)</f>
        <v>16.8097826086957</v>
      </c>
      <c r="G169" s="30">
        <f>AVERAGEIF($I$2:$I$164,"&gt;"&amp;$I$165)</f>
        <v>50.7826086956522</v>
      </c>
      <c r="J169" s="30" t="s">
        <v>187</v>
      </c>
      <c r="K169" s="30">
        <f>AVERAGEIF($J$2:$J$164,"&lt;="&amp;$J$165)</f>
        <v>2.47435897435897</v>
      </c>
      <c r="L169" s="30">
        <f>AVERAGEIF($J$2:$J$164,"&gt;"&amp;$J$165)</f>
        <v>4.74117647058824</v>
      </c>
      <c r="O169" s="30" t="s">
        <v>188</v>
      </c>
      <c r="P169" s="30">
        <f>AVERAGEIF($K$2:$K$164,"&lt;="&amp;$K$165)</f>
        <v>13.7</v>
      </c>
      <c r="Q169" s="30">
        <f>AVERAGEIF($K$2:$K$164,"&gt;"&amp;$K$165)</f>
        <v>29.6037735849057</v>
      </c>
      <c r="T169" s="30" t="s">
        <v>189</v>
      </c>
      <c r="U169" s="30">
        <f>AVERAGEIF($L$2:$L$164,"&lt;="&amp;$L$165)</f>
        <v>0</v>
      </c>
      <c r="V169" s="30">
        <f>AVERAGEIF($L$2:$L$164,"&gt;"&amp;$L$165)</f>
        <v>1</v>
      </c>
    </row>
    <row r="170" spans="5:22">
      <c r="E170" s="30" t="str">
        <f t="array" ref="E170:E332">IF($I$2:$I$164&lt;$F$169,"kiri",IF($I$2:$I$164&lt;$G$169,"tengah","kanan"))</f>
        <v>kiri</v>
      </c>
      <c r="F170" s="36" t="s">
        <v>190</v>
      </c>
      <c r="G170" s="30"/>
      <c r="J170" s="30" t="str">
        <f t="array" ref="J170:J332">IF($J$2:$J$164&lt;$K$169,"kiri",IF($J$2:$J$164&lt;$L$169,"tengah","kanan"))</f>
        <v>kanan</v>
      </c>
      <c r="K170" s="36" t="s">
        <v>191</v>
      </c>
      <c r="L170" s="30"/>
      <c r="O170" s="30" t="str">
        <f t="array" ref="O170:O332">IF($K$2:$K$164&lt;$P$169,"kiri",IF($K$2:$K$164&lt;$Q$169,"tengah","kanan"))</f>
        <v>kiri</v>
      </c>
      <c r="P170" s="36" t="s">
        <v>192</v>
      </c>
      <c r="Q170" s="30"/>
      <c r="T170" s="30" t="str">
        <f t="array" ref="T170:T332">IF($L$2:$L$164&lt;$U$169,"kiri",IF($L$2:$L$164&lt;$V$169,"tengah","kanan"))</f>
        <v>kanan</v>
      </c>
      <c r="U170" s="30" t="s">
        <v>193</v>
      </c>
      <c r="V170" s="30"/>
    </row>
    <row r="171" spans="5:22">
      <c r="E171" s="30" t="str">
        <v>kiri</v>
      </c>
      <c r="F171" s="30">
        <f>COUNTIFS($E$170:$E$332,"Kanan",$M$2:$M$164,"1")</f>
        <v>1</v>
      </c>
      <c r="G171" s="30">
        <f>F171/34</f>
        <v>0.0294117647058824</v>
      </c>
      <c r="J171" s="30" t="str">
        <v>kanan</v>
      </c>
      <c r="K171" s="30">
        <f t="array" ref="K171">SUMPRODUCT((J170:J332="Kanan")*(M2:M164=1))</f>
        <v>1</v>
      </c>
      <c r="L171" s="30">
        <f>K171/40</f>
        <v>0.025</v>
      </c>
      <c r="O171" s="30" t="str">
        <v>kiri</v>
      </c>
      <c r="P171" s="30">
        <f>COUNTIFS($O$170:$O$332,"Kanan",$M$2:$M$164,"1")</f>
        <v>0</v>
      </c>
      <c r="Q171" s="30">
        <f>P171/38</f>
        <v>0</v>
      </c>
      <c r="T171" s="30" t="str">
        <v>kanan</v>
      </c>
      <c r="U171" s="30">
        <f>COUNTIFS($T$170:$T$332,"Kanan",$M$2:$M$164,"1")</f>
        <v>4</v>
      </c>
      <c r="V171" s="30">
        <f>U171/88</f>
        <v>0.0454545454545455</v>
      </c>
    </row>
    <row r="172" spans="5:22">
      <c r="E172" s="30" t="str">
        <v>kiri</v>
      </c>
      <c r="F172" s="30">
        <f>COUNTIFS($E$170:$E$332,"Kanan",$M$2:$M$164,"2")</f>
        <v>14</v>
      </c>
      <c r="G172" s="30">
        <f t="shared" ref="G172:G173" si="3">F172/34</f>
        <v>0.411764705882353</v>
      </c>
      <c r="J172" s="30" t="str">
        <v>kiri</v>
      </c>
      <c r="K172" s="30">
        <f>COUNTIFS($J$170:$J$332,"Kanan",$M$2:$M$164,"2")</f>
        <v>14</v>
      </c>
      <c r="L172" s="30">
        <f t="shared" ref="L172:L173" si="4">K172/40</f>
        <v>0.35</v>
      </c>
      <c r="O172" s="30" t="str">
        <v>kanan</v>
      </c>
      <c r="P172" s="30">
        <f>COUNTIFS($O$170:$O$332,"Kanan",$M$2:$M$164,"2")</f>
        <v>0</v>
      </c>
      <c r="Q172" s="30">
        <f t="shared" ref="Q172:Q173" si="5">P172/38</f>
        <v>0</v>
      </c>
      <c r="T172" s="30" t="str">
        <v>tengah</v>
      </c>
      <c r="U172" s="30">
        <f>COUNTIFS($T$170:$T$332,"Kanan",$M$2:$M$164,"2")</f>
        <v>44</v>
      </c>
      <c r="V172" s="30">
        <f t="shared" ref="V172:V173" si="6">U172/88</f>
        <v>0.5</v>
      </c>
    </row>
    <row r="173" spans="5:22">
      <c r="E173" s="30" t="str">
        <v>kiri</v>
      </c>
      <c r="F173" s="30">
        <f t="array" ref="F173">SUMPRODUCT((E170:E332="KANAN")*(M2:M164=3))</f>
        <v>19</v>
      </c>
      <c r="G173" s="30">
        <f t="shared" si="3"/>
        <v>0.558823529411765</v>
      </c>
      <c r="J173" s="30" t="str">
        <v>tengah</v>
      </c>
      <c r="K173" s="30">
        <f>COUNTIFS($J$170:$J$332,"Kanan",$M$2:$M$164,"3")</f>
        <v>25</v>
      </c>
      <c r="L173" s="30">
        <f t="shared" si="4"/>
        <v>0.625</v>
      </c>
      <c r="O173" s="30" t="str">
        <v>kiri</v>
      </c>
      <c r="P173" s="30">
        <f>COUNTIFS($O$170:$O$332,"Kanan",$M$2:$M$164,"3")</f>
        <v>38</v>
      </c>
      <c r="Q173" s="30">
        <f t="shared" si="5"/>
        <v>1</v>
      </c>
      <c r="T173" s="30" t="str">
        <v>tengah</v>
      </c>
      <c r="U173" s="30">
        <f>COUNTIFS($T$170:$T$332,"Kanan",$M$2:$M$164,"3")</f>
        <v>40</v>
      </c>
      <c r="V173" s="30">
        <f t="shared" si="6"/>
        <v>0.454545454545455</v>
      </c>
    </row>
    <row r="174" spans="5:22">
      <c r="E174" s="30" t="str">
        <v>kiri</v>
      </c>
      <c r="F174" s="30" t="s">
        <v>194</v>
      </c>
      <c r="G174" s="30">
        <f>-(IFERROR(G171*LOG(G171,2),0)+IFERROR(G172*LOG(G172,2),0)+IFERROR(G173*LOG(G173,2),0))</f>
        <v>1.14588661583168</v>
      </c>
      <c r="J174" s="30" t="str">
        <v>tengah</v>
      </c>
      <c r="K174" s="30" t="s">
        <v>194</v>
      </c>
      <c r="L174" s="30">
        <f>-(IFERROR(L171*LOG(L171,2),0)+IFERROR(L172*LOG(L172,2),0)+IFERROR(L173*LOG(L173,2),0))</f>
        <v>1.086943753558</v>
      </c>
      <c r="O174" s="30" t="str">
        <v>kiri</v>
      </c>
      <c r="P174" s="30" t="s">
        <v>194</v>
      </c>
      <c r="Q174" s="30">
        <f>-(IFERROR(Q171*LOG(Q171,2),0)+IFERROR(Q172*LOG(Q172,2),0)+IFERROR(Q173*LOG(Q173,2),0))</f>
        <v>0</v>
      </c>
      <c r="T174" s="30" t="str">
        <v>tengah</v>
      </c>
      <c r="U174" s="30" t="s">
        <v>194</v>
      </c>
      <c r="V174" s="30">
        <f>-(IFERROR(V171*LOG(V171,2),0)+IFERROR(V172*LOG(V172,2),0)+IFERROR(V173*LOG(V173,2),0))</f>
        <v>1.21974849346076</v>
      </c>
    </row>
    <row r="175" spans="5:22">
      <c r="E175" s="30" t="str">
        <v>kiri</v>
      </c>
      <c r="F175" s="30"/>
      <c r="G175" s="30">
        <f>SUM(F171:F173)/163</f>
        <v>0.208588957055215</v>
      </c>
      <c r="J175" s="30" t="str">
        <v>tengah</v>
      </c>
      <c r="K175" s="30"/>
      <c r="L175" s="30">
        <f>SUM(K171:K173)/163</f>
        <v>0.245398773006135</v>
      </c>
      <c r="O175" s="30" t="str">
        <v>tengah</v>
      </c>
      <c r="P175" s="30"/>
      <c r="Q175" s="30">
        <f>SUM(P171:P173)/163</f>
        <v>0.233128834355828</v>
      </c>
      <c r="T175" s="30" t="str">
        <v>tengah</v>
      </c>
      <c r="U175" s="30"/>
      <c r="V175" s="30">
        <f>SUM(U171:U173)/163</f>
        <v>0.539877300613497</v>
      </c>
    </row>
    <row r="176" spans="5:22">
      <c r="E176" s="30" t="str">
        <v>tengah</v>
      </c>
      <c r="F176" s="30"/>
      <c r="G176" s="37">
        <f>G174*G175</f>
        <v>0.239019294099859</v>
      </c>
      <c r="J176" s="30" t="str">
        <v>tengah</v>
      </c>
      <c r="K176" s="30"/>
      <c r="L176" s="37">
        <f>L174*L175</f>
        <v>0.266734663449815</v>
      </c>
      <c r="O176" s="30" t="str">
        <v>kanan</v>
      </c>
      <c r="P176" s="30"/>
      <c r="Q176" s="37">
        <f>Q174*Q175</f>
        <v>0</v>
      </c>
      <c r="T176" s="30" t="str">
        <v>kanan</v>
      </c>
      <c r="U176" s="30"/>
      <c r="V176" s="37">
        <f>V174*V175</f>
        <v>0.658514524076973</v>
      </c>
    </row>
    <row r="177" spans="5:22">
      <c r="E177" s="30" t="str">
        <v>tengah</v>
      </c>
      <c r="F177" s="30"/>
      <c r="G177" s="30"/>
      <c r="J177" s="30" t="str">
        <v>tengah</v>
      </c>
      <c r="K177" s="30"/>
      <c r="L177" s="30"/>
      <c r="O177" s="30" t="str">
        <v>tengah</v>
      </c>
      <c r="P177" s="30"/>
      <c r="Q177" s="30"/>
      <c r="T177" s="30" t="str">
        <v>tengah</v>
      </c>
      <c r="U177" s="30"/>
      <c r="V177" s="30"/>
    </row>
    <row r="178" spans="5:22">
      <c r="E178" s="30" t="str">
        <v>tengah</v>
      </c>
      <c r="F178" s="30"/>
      <c r="G178" s="30"/>
      <c r="J178" s="30" t="str">
        <v>tengah</v>
      </c>
      <c r="K178" s="30"/>
      <c r="L178" s="30"/>
      <c r="O178" s="30" t="str">
        <v>kiri</v>
      </c>
      <c r="P178" s="30"/>
      <c r="Q178" s="30"/>
      <c r="T178" s="30" t="str">
        <v>kanan</v>
      </c>
      <c r="U178" s="30"/>
      <c r="V178" s="30"/>
    </row>
    <row r="179" spans="5:22">
      <c r="E179" s="30" t="str">
        <v>tengah</v>
      </c>
      <c r="F179" s="36" t="s">
        <v>195</v>
      </c>
      <c r="G179" s="30"/>
      <c r="J179" s="30" t="str">
        <v>kiri</v>
      </c>
      <c r="K179" s="36" t="s">
        <v>196</v>
      </c>
      <c r="L179" s="30"/>
      <c r="O179" s="30" t="str">
        <v>tengah</v>
      </c>
      <c r="P179" s="36" t="s">
        <v>197</v>
      </c>
      <c r="Q179" s="30"/>
      <c r="T179" s="30" t="str">
        <v>kanan</v>
      </c>
      <c r="U179" s="30" t="s">
        <v>198</v>
      </c>
      <c r="V179" s="30"/>
    </row>
    <row r="180" spans="5:22">
      <c r="E180" s="30" t="str">
        <v>tengah</v>
      </c>
      <c r="F180" s="30">
        <f t="array" ref="F180">SUMPRODUCT((E170:E332="kiri")*(M2:M164=1))</f>
        <v>2</v>
      </c>
      <c r="G180" s="30">
        <f>F180/39</f>
        <v>0.0512820512820513</v>
      </c>
      <c r="J180" s="30" t="str">
        <v>kiri</v>
      </c>
      <c r="K180" s="30">
        <f>COUNTIFS($J$170:$J$332,"Kiri",$M$2:$M$164,"1")</f>
        <v>1</v>
      </c>
      <c r="L180" s="30">
        <f>K180/36</f>
        <v>0.0277777777777778</v>
      </c>
      <c r="O180" s="30" t="str">
        <v>tengah</v>
      </c>
      <c r="P180" s="30">
        <f>COUNTIFS($O$170:$O$332,"Kiri",$M$2:$M$164,"1")</f>
        <v>6</v>
      </c>
      <c r="Q180" s="30">
        <f>P180/48</f>
        <v>0.125</v>
      </c>
      <c r="T180" s="30" t="str">
        <v>kanan</v>
      </c>
      <c r="U180" s="30">
        <f>COUNTIFS($T$170:$T$332,"Kiri",$M$2:$M$164,"1")</f>
        <v>0</v>
      </c>
      <c r="V180" s="30">
        <f>U180/57</f>
        <v>0</v>
      </c>
    </row>
    <row r="181" spans="5:22">
      <c r="E181" s="30" t="str">
        <v>tengah</v>
      </c>
      <c r="F181" s="30">
        <f t="array" ref="F181">SUMPRODUCT((E170:E332="kiri")*(M2:M164=2))</f>
        <v>22</v>
      </c>
      <c r="G181" s="30">
        <f>F181/39</f>
        <v>0.564102564102564</v>
      </c>
      <c r="J181" s="30" t="str">
        <v>kanan</v>
      </c>
      <c r="K181" s="30">
        <f>COUNTIFS($J$170:$J$332,"Kiri",$M$2:$M$164,"2")</f>
        <v>14</v>
      </c>
      <c r="L181" s="30">
        <f t="shared" ref="L181:L182" si="7">K181/36</f>
        <v>0.388888888888889</v>
      </c>
      <c r="O181" s="30" t="str">
        <v>kiri</v>
      </c>
      <c r="P181" s="30">
        <f>COUNTIFS($O$170:$O$332,"Kiri",$M$2:$M$164,"2")</f>
        <v>42</v>
      </c>
      <c r="Q181" s="30">
        <f t="shared" ref="Q181:Q182" si="8">P181/48</f>
        <v>0.875</v>
      </c>
      <c r="T181" s="30" t="str">
        <v>tengah</v>
      </c>
      <c r="U181" s="30">
        <f>COUNTIFS($T$170:$T$332,"Kiri",$M$2:$M$164,"2")</f>
        <v>0</v>
      </c>
      <c r="V181" s="30">
        <f>U181/57</f>
        <v>0</v>
      </c>
    </row>
    <row r="182" spans="5:22">
      <c r="E182" s="30" t="str">
        <v>kanan</v>
      </c>
      <c r="F182" s="30">
        <f t="array" ref="F182">SUMPRODUCT((E170:E332="kiri")*(M2:M164=3))</f>
        <v>15</v>
      </c>
      <c r="G182" s="30">
        <f>F182/39</f>
        <v>0.384615384615385</v>
      </c>
      <c r="J182" s="30" t="str">
        <v>kanan</v>
      </c>
      <c r="K182" s="30">
        <f>COUNTIFS($J$170:$J$332,"Kiri",$M$2:$M$164,"3")</f>
        <v>21</v>
      </c>
      <c r="L182" s="30">
        <f t="shared" si="7"/>
        <v>0.583333333333333</v>
      </c>
      <c r="O182" s="30" t="str">
        <v>kanan</v>
      </c>
      <c r="P182" s="30">
        <f>COUNTIFS($O$170:$O$332,"Kiri",$M$2:$M$164,"3")</f>
        <v>0</v>
      </c>
      <c r="Q182" s="30">
        <f t="shared" si="8"/>
        <v>0</v>
      </c>
      <c r="T182" s="30" t="str">
        <v>kanan</v>
      </c>
      <c r="U182" s="30">
        <f>COUNTIFS($T$170:$T$332,"Kiri",$M$2:$M$164,"3")</f>
        <v>0</v>
      </c>
      <c r="V182" s="30">
        <f>U182/57</f>
        <v>0</v>
      </c>
    </row>
    <row r="183" spans="5:22">
      <c r="E183" s="30" t="str">
        <v>tengah</v>
      </c>
      <c r="F183" s="30" t="s">
        <v>194</v>
      </c>
      <c r="G183" s="30">
        <f>-(IFERROR(G180*LOG(G180,2),0)+IFERROR(G181*LOG(G181,2),0)+IFERROR(G182*LOG(G182,2),0))</f>
        <v>1.21589312798665</v>
      </c>
      <c r="J183" s="30" t="str">
        <v>tengah</v>
      </c>
      <c r="K183" s="30" t="s">
        <v>194</v>
      </c>
      <c r="L183" s="30">
        <f>-(IFERROR(L180*LOG(L180,2),0)+IFERROR(L181*LOG(L181,2),0)+IFERROR(L182*LOG(L182,2),0))</f>
        <v>1.12710181291008</v>
      </c>
      <c r="O183" s="30" t="str">
        <v>tengah</v>
      </c>
      <c r="P183" s="30" t="s">
        <v>194</v>
      </c>
      <c r="Q183" s="30">
        <f>-(IFERROR(Q180*LOG(Q180,2),0)+IFERROR(Q181*LOG(Q181,2),0)+IFERROR(Q182*LOG(Q182,2),0))</f>
        <v>0.543564443199596</v>
      </c>
      <c r="T183" s="30" t="str">
        <v>kanan</v>
      </c>
      <c r="U183" s="30" t="s">
        <v>194</v>
      </c>
      <c r="V183" s="30">
        <f>-(IFERROR(V180*LOG(V180,2),0)+IFERROR(V181*LOG(V181,2),0)+IFERROR(V182*LOG(V182,2),0))</f>
        <v>0</v>
      </c>
    </row>
    <row r="184" spans="5:22">
      <c r="E184" s="30" t="str">
        <v>tengah</v>
      </c>
      <c r="F184" s="30"/>
      <c r="G184" s="30">
        <f>SUM(F180:F182)/163</f>
        <v>0.239263803680982</v>
      </c>
      <c r="J184" s="30" t="str">
        <v>kiri</v>
      </c>
      <c r="K184" s="30"/>
      <c r="L184" s="30">
        <f>SUM(K180:K182)/163</f>
        <v>0.220858895705521</v>
      </c>
      <c r="O184" s="30" t="str">
        <v>kanan</v>
      </c>
      <c r="P184" s="30"/>
      <c r="Q184" s="30">
        <f>SUM(P180:P182)/163</f>
        <v>0.294478527607362</v>
      </c>
      <c r="T184" s="30" t="str">
        <v>tengah</v>
      </c>
      <c r="U184" s="30"/>
      <c r="V184" s="30">
        <f>SUM(U180:U182)/163</f>
        <v>0</v>
      </c>
    </row>
    <row r="185" spans="5:22">
      <c r="E185" s="30" t="str">
        <v>kanan</v>
      </c>
      <c r="F185" s="30"/>
      <c r="G185" s="37">
        <f>G183*G184</f>
        <v>0.290919214671653</v>
      </c>
      <c r="J185" s="30" t="str">
        <v>tengah</v>
      </c>
      <c r="K185" s="30"/>
      <c r="L185" s="37">
        <f>L183*L184</f>
        <v>0.248930461747011</v>
      </c>
      <c r="O185" s="30" t="str">
        <v>tengah</v>
      </c>
      <c r="P185" s="30"/>
      <c r="Q185" s="37">
        <f>Q183*Q184</f>
        <v>0.160068056893133</v>
      </c>
      <c r="T185" s="30" t="str">
        <v>kanan</v>
      </c>
      <c r="U185" s="30"/>
      <c r="V185" s="37">
        <f>V183*V184</f>
        <v>0</v>
      </c>
    </row>
    <row r="186" spans="5:22">
      <c r="E186" s="30" t="str">
        <v>tengah</v>
      </c>
      <c r="F186" s="30"/>
      <c r="G186" s="30"/>
      <c r="J186" s="30" t="str">
        <v>tengah</v>
      </c>
      <c r="K186" s="30"/>
      <c r="L186" s="30"/>
      <c r="O186" s="30" t="str">
        <v>kiri</v>
      </c>
      <c r="P186" s="30"/>
      <c r="Q186" s="30"/>
      <c r="T186" s="30" t="str">
        <v>kanan</v>
      </c>
      <c r="U186" s="30"/>
      <c r="V186" s="30"/>
    </row>
    <row r="187" spans="5:22">
      <c r="E187" s="30" t="str">
        <v>tengah</v>
      </c>
      <c r="F187" s="30"/>
      <c r="G187" s="30"/>
      <c r="J187" s="30" t="str">
        <v>tengah</v>
      </c>
      <c r="K187" s="30"/>
      <c r="L187" s="30"/>
      <c r="O187" s="30" t="str">
        <v>kiri</v>
      </c>
      <c r="P187" s="30"/>
      <c r="Q187" s="30"/>
      <c r="T187" s="30" t="str">
        <v>tengah</v>
      </c>
      <c r="U187" s="30"/>
      <c r="V187" s="30"/>
    </row>
    <row r="188" spans="5:22">
      <c r="E188" s="30" t="str">
        <v>kiri</v>
      </c>
      <c r="F188" s="30" t="s">
        <v>199</v>
      </c>
      <c r="G188" s="30"/>
      <c r="J188" s="30" t="str">
        <v>tengah</v>
      </c>
      <c r="K188" s="30" t="s">
        <v>199</v>
      </c>
      <c r="L188" s="30"/>
      <c r="O188" s="30" t="str">
        <v>tengah</v>
      </c>
      <c r="P188" s="30" t="s">
        <v>199</v>
      </c>
      <c r="Q188" s="30"/>
      <c r="T188" s="30" t="str">
        <v>tengah</v>
      </c>
      <c r="U188" s="30" t="s">
        <v>199</v>
      </c>
      <c r="V188" s="30"/>
    </row>
    <row r="189" spans="5:22">
      <c r="E189" s="30" t="str">
        <v>kiri</v>
      </c>
      <c r="F189" s="30">
        <f t="array" ref="F189">SUMPRODUCT((E170:E332="tengah")*(M2:M164=1))</f>
        <v>3</v>
      </c>
      <c r="G189" s="30">
        <f>F189/90</f>
        <v>0.0333333333333333</v>
      </c>
      <c r="J189" s="30" t="str">
        <v>kiri</v>
      </c>
      <c r="K189" s="30">
        <f>COUNTIFS($J$170:$J$332,"Tengah",$M$2:$M$164,"1")</f>
        <v>4</v>
      </c>
      <c r="L189" s="30">
        <f>K189/87</f>
        <v>0.0459770114942529</v>
      </c>
      <c r="O189" s="30" t="str">
        <v>kanan</v>
      </c>
      <c r="P189" s="30">
        <f>COUNTIFS($O$170:$O$332,"Tengah",$M$2:$M$164,"1")</f>
        <v>0</v>
      </c>
      <c r="Q189" s="30">
        <f>P189/77</f>
        <v>0</v>
      </c>
      <c r="T189" s="30" t="str">
        <v>kanan</v>
      </c>
      <c r="U189" s="30">
        <f>COUNTIFS($T$170:$T$332,"Tengah",$M$2:$M$164,"1")</f>
        <v>2</v>
      </c>
      <c r="V189" s="30">
        <f>U189/75</f>
        <v>0.0266666666666667</v>
      </c>
    </row>
    <row r="190" spans="5:22">
      <c r="E190" s="30" t="str">
        <v>tengah</v>
      </c>
      <c r="F190" s="30">
        <f t="array" ref="F190">SUMPRODUCT((E170:E332="tengah")*(M2:M164=2))</f>
        <v>45</v>
      </c>
      <c r="G190" s="30">
        <f t="shared" ref="G190:G191" si="9">F190/90</f>
        <v>0.5</v>
      </c>
      <c r="J190" s="30" t="str">
        <v>kanan</v>
      </c>
      <c r="K190" s="30">
        <f>COUNTIFS($J$170:$J$332,"Tengah",$M$2:$M$164,"2")</f>
        <v>53</v>
      </c>
      <c r="L190" s="30">
        <f t="shared" ref="L190:L191" si="10">K190/87</f>
        <v>0.609195402298851</v>
      </c>
      <c r="O190" s="30" t="str">
        <v>tengah</v>
      </c>
      <c r="P190" s="30">
        <f>COUNTIFS($O$170:$O$332,"Tengah",$M$2:$M$164,"2")</f>
        <v>39</v>
      </c>
      <c r="Q190" s="30">
        <f t="shared" ref="Q190:Q191" si="11">P190/77</f>
        <v>0.506493506493506</v>
      </c>
      <c r="T190" s="30" t="str">
        <v>tengah</v>
      </c>
      <c r="U190" s="30">
        <f>COUNTIFS($T$170:$T$332,"Tengah",$M$2:$M$164,"2")</f>
        <v>37</v>
      </c>
      <c r="V190" s="30">
        <f t="shared" ref="V190:V191" si="12">U190/75</f>
        <v>0.493333333333333</v>
      </c>
    </row>
    <row r="191" spans="5:22">
      <c r="E191" s="30" t="str">
        <v>tengah</v>
      </c>
      <c r="F191" s="30">
        <f t="array" ref="F191">SUMPRODUCT((E170:E332="tengah")*(M2:M164=3))</f>
        <v>42</v>
      </c>
      <c r="G191" s="30">
        <f t="shared" si="9"/>
        <v>0.466666666666667</v>
      </c>
      <c r="J191" s="30" t="str">
        <v>kiri</v>
      </c>
      <c r="K191" s="30">
        <f>COUNTIFS($J$170:$J$332,"Tengah",$M$2:$M$164,"3")</f>
        <v>30</v>
      </c>
      <c r="L191" s="30">
        <f t="shared" si="10"/>
        <v>0.344827586206897</v>
      </c>
      <c r="O191" s="30" t="str">
        <v>kanan</v>
      </c>
      <c r="P191" s="30">
        <f>COUNTIFS($O$170:$O$332,"Tengah",$M$2:$M$164,"3")</f>
        <v>38</v>
      </c>
      <c r="Q191" s="30">
        <f t="shared" si="11"/>
        <v>0.493506493506494</v>
      </c>
      <c r="T191" s="30" t="str">
        <v>tengah</v>
      </c>
      <c r="U191" s="30">
        <f>COUNTIFS($T$170:$T$332,"Tengah",$M$2:$M$164,"3")</f>
        <v>36</v>
      </c>
      <c r="V191" s="30">
        <f t="shared" si="12"/>
        <v>0.48</v>
      </c>
    </row>
    <row r="192" spans="5:22">
      <c r="E192" s="30" t="str">
        <v>kiri</v>
      </c>
      <c r="F192" s="30" t="s">
        <v>194</v>
      </c>
      <c r="G192" s="30">
        <f>-(IFERROR(G189*LOG(G189,2),0)+IFERROR(G190*LOG(G190,2),0)+IFERROR(G191*LOG(G191,2),0))</f>
        <v>1.17667966751071</v>
      </c>
      <c r="J192" s="30" t="str">
        <v>tengah</v>
      </c>
      <c r="K192" s="30" t="s">
        <v>194</v>
      </c>
      <c r="L192" s="30">
        <f>-(IFERROR(L189*LOG(L189,2),0)+IFERROR(L190*LOG(L190,2),0)+IFERROR(L191*LOG(L191,2),0))</f>
        <v>1.16953542734177</v>
      </c>
      <c r="O192" s="30" t="str">
        <v>kanan</v>
      </c>
      <c r="P192" s="30" t="s">
        <v>194</v>
      </c>
      <c r="Q192" s="30">
        <f>-(IFERROR(Q189*LOG(Q189,2),0)+IFERROR(Q190*LOG(Q190,2),0)+IFERROR(Q191*LOG(Q191,2),0))</f>
        <v>0.999878332299006</v>
      </c>
      <c r="T192" s="30" t="str">
        <v>tengah</v>
      </c>
      <c r="U192" s="30" t="s">
        <v>194</v>
      </c>
      <c r="V192" s="30">
        <f>-(IFERROR(V189*LOG(V189,2),0)+IFERROR(V190*LOG(V190,2),0)+IFERROR(V191*LOG(V191,2),0))</f>
        <v>1.15059102942662</v>
      </c>
    </row>
    <row r="193" spans="5:22">
      <c r="E193" s="30" t="str">
        <v>tengah</v>
      </c>
      <c r="F193" s="30"/>
      <c r="G193" s="30">
        <f>SUM(F189:F191)/163</f>
        <v>0.552147239263804</v>
      </c>
      <c r="J193" s="30" t="str">
        <v>kanan</v>
      </c>
      <c r="K193" s="30"/>
      <c r="L193" s="30">
        <f>SUM(K189:K191)/163</f>
        <v>0.533742331288344</v>
      </c>
      <c r="O193" s="30" t="str">
        <v>kiri</v>
      </c>
      <c r="P193" s="30"/>
      <c r="Q193" s="30">
        <f>SUM(P189:P191)/163</f>
        <v>0.47239263803681</v>
      </c>
      <c r="T193" s="30" t="str">
        <v>kanan</v>
      </c>
      <c r="U193" s="30"/>
      <c r="V193" s="30">
        <f>SUM(U189:U191)/163</f>
        <v>0.460122699386503</v>
      </c>
    </row>
    <row r="194" spans="5:22">
      <c r="E194" s="30" t="str">
        <v>kanan</v>
      </c>
      <c r="F194" s="30"/>
      <c r="G194" s="37">
        <f>G192*G193</f>
        <v>0.649700429913889</v>
      </c>
      <c r="J194" s="30" t="str">
        <v>tengah</v>
      </c>
      <c r="K194" s="30"/>
      <c r="L194" s="37">
        <f>L192*L193</f>
        <v>0.624230565513707</v>
      </c>
      <c r="O194" s="30" t="str">
        <v>tengah</v>
      </c>
      <c r="P194" s="30"/>
      <c r="Q194" s="37">
        <f>Q192*Q193</f>
        <v>0.472335163110573</v>
      </c>
      <c r="T194" s="30" t="str">
        <v>tengah</v>
      </c>
      <c r="U194" s="30"/>
      <c r="V194" s="37">
        <f>V192*V193</f>
        <v>0.529413050349673</v>
      </c>
    </row>
    <row r="195" spans="5:22">
      <c r="E195" s="30" t="str">
        <v>kanan</v>
      </c>
      <c r="F195" s="30"/>
      <c r="G195" s="30"/>
      <c r="J195" s="30" t="str">
        <v>tengah</v>
      </c>
      <c r="K195" s="30"/>
      <c r="L195" s="30"/>
      <c r="O195" s="30" t="str">
        <v>kiri</v>
      </c>
      <c r="P195" s="30"/>
      <c r="Q195" s="30"/>
      <c r="T195" s="30" t="str">
        <v>kanan</v>
      </c>
      <c r="U195" s="30"/>
      <c r="V195" s="30"/>
    </row>
    <row r="196" spans="5:22">
      <c r="E196" s="30" t="str">
        <v>tengah</v>
      </c>
      <c r="F196" s="30" t="s">
        <v>200</v>
      </c>
      <c r="G196" s="36" t="s">
        <v>194</v>
      </c>
      <c r="J196" s="30" t="str">
        <v>kiri</v>
      </c>
      <c r="K196" s="30" t="s">
        <v>200</v>
      </c>
      <c r="L196" s="36" t="s">
        <v>194</v>
      </c>
      <c r="O196" s="30" t="str">
        <v>kiri</v>
      </c>
      <c r="P196" s="30" t="s">
        <v>200</v>
      </c>
      <c r="Q196" s="36" t="s">
        <v>194</v>
      </c>
      <c r="T196" s="30" t="str">
        <v>kanan</v>
      </c>
      <c r="U196" s="30" t="s">
        <v>200</v>
      </c>
      <c r="V196" s="36" t="s">
        <v>194</v>
      </c>
    </row>
    <row r="197" spans="5:22">
      <c r="E197" s="30" t="str">
        <v>kanan</v>
      </c>
      <c r="F197" s="41">
        <f>P5-(G176+G185+G194)</f>
        <v>0.0103154961610508</v>
      </c>
      <c r="G197" s="37">
        <f>(G176+G185+G194)</f>
        <v>1.1796389386854</v>
      </c>
      <c r="J197" s="30" t="str">
        <v>tengah</v>
      </c>
      <c r="K197" s="41">
        <f>P5-(L176+L185+L194)</f>
        <v>0.0500587441359177</v>
      </c>
      <c r="L197" s="37">
        <f>(L176+L185+L194)</f>
        <v>1.13989569071053</v>
      </c>
      <c r="O197" s="30" t="str">
        <v>tengah</v>
      </c>
      <c r="P197" s="41">
        <f>P5-(Q176+Q185+Q194)</f>
        <v>0.557551214842745</v>
      </c>
      <c r="Q197" s="37">
        <f>(Q176+Q185+Q194)</f>
        <v>0.632403220003706</v>
      </c>
      <c r="T197" s="30" t="str">
        <v>kanan</v>
      </c>
      <c r="U197" s="41">
        <f>P5-(V176+V185+V194)</f>
        <v>0.00202686041980549</v>
      </c>
      <c r="V197" s="37">
        <f>(V176+V185+V194)</f>
        <v>1.18792757442665</v>
      </c>
    </row>
    <row r="198" spans="5:22">
      <c r="E198" s="30" t="str">
        <v>tengah</v>
      </c>
      <c r="F198" s="30"/>
      <c r="G198" s="30"/>
      <c r="J198" s="30" t="str">
        <v>kiri</v>
      </c>
      <c r="K198" s="30"/>
      <c r="L198" s="30"/>
      <c r="O198" s="30" t="str">
        <v>tengah</v>
      </c>
      <c r="P198" s="30"/>
      <c r="Q198" s="30"/>
      <c r="T198" s="30" t="str">
        <v>kanan</v>
      </c>
      <c r="U198" s="30"/>
      <c r="V198" s="30"/>
    </row>
    <row r="199" spans="5:22">
      <c r="E199" s="30" t="str">
        <v>tengah</v>
      </c>
      <c r="F199" s="30"/>
      <c r="G199" s="30"/>
      <c r="J199" s="30" t="str">
        <v>tengah</v>
      </c>
      <c r="K199" s="30"/>
      <c r="L199" s="30"/>
      <c r="O199" s="30" t="str">
        <v>kiri</v>
      </c>
      <c r="P199" s="30"/>
      <c r="Q199" s="30"/>
      <c r="T199" s="30" t="str">
        <v>kanan</v>
      </c>
      <c r="U199" s="30"/>
      <c r="V199" s="30"/>
    </row>
    <row r="200" spans="5:22">
      <c r="E200" s="30" t="str">
        <v>tengah</v>
      </c>
      <c r="F200" s="30"/>
      <c r="G200" s="30"/>
      <c r="J200" s="30" t="str">
        <v>tengah</v>
      </c>
      <c r="K200" s="30"/>
      <c r="L200" s="30"/>
      <c r="O200" s="30" t="str">
        <v>kanan</v>
      </c>
      <c r="P200" s="30"/>
      <c r="Q200" s="30"/>
      <c r="T200" s="30" t="str">
        <v>kanan</v>
      </c>
      <c r="U200" s="30"/>
      <c r="V200" s="30"/>
    </row>
    <row r="201" spans="5:22">
      <c r="E201" s="30" t="str">
        <v>tengah</v>
      </c>
      <c r="F201" s="30"/>
      <c r="G201" s="30"/>
      <c r="J201" s="30" t="str">
        <v>tengah</v>
      </c>
      <c r="K201" s="30"/>
      <c r="L201" s="30"/>
      <c r="O201" s="30" t="str">
        <v>tengah</v>
      </c>
      <c r="P201" s="30"/>
      <c r="Q201" s="30"/>
      <c r="T201" s="30" t="str">
        <v>tengah</v>
      </c>
      <c r="U201" s="30"/>
      <c r="V201" s="30"/>
    </row>
    <row r="202" spans="5:22">
      <c r="E202" s="30" t="str">
        <v>tengah</v>
      </c>
      <c r="F202" s="30"/>
      <c r="G202" s="30"/>
      <c r="J202" s="30" t="str">
        <v>kiri</v>
      </c>
      <c r="K202" s="30"/>
      <c r="L202" s="30"/>
      <c r="O202" s="30" t="str">
        <v>tengah</v>
      </c>
      <c r="P202" s="30"/>
      <c r="Q202" s="30"/>
      <c r="T202" s="30" t="str">
        <v>tengah</v>
      </c>
      <c r="U202" s="30"/>
      <c r="V202" s="30"/>
    </row>
    <row r="203" spans="5:22">
      <c r="E203" s="30" t="str">
        <v>tengah</v>
      </c>
      <c r="F203" s="30"/>
      <c r="G203" s="30"/>
      <c r="J203" s="30" t="str">
        <v>kanan</v>
      </c>
      <c r="K203" s="30"/>
      <c r="L203" s="30"/>
      <c r="O203" s="30" t="str">
        <v>tengah</v>
      </c>
      <c r="P203" s="30"/>
      <c r="Q203" s="30"/>
      <c r="T203" s="30" t="str">
        <v>kanan</v>
      </c>
      <c r="U203" s="30"/>
      <c r="V203" s="30"/>
    </row>
    <row r="204" spans="5:22">
      <c r="E204" s="30" t="str">
        <v>tengah</v>
      </c>
      <c r="F204" s="30"/>
      <c r="G204" s="30"/>
      <c r="J204" s="30" t="str">
        <v>tengah</v>
      </c>
      <c r="K204" s="30"/>
      <c r="L204" s="30"/>
      <c r="O204" s="30" t="str">
        <v>kiri</v>
      </c>
      <c r="P204" s="30"/>
      <c r="Q204" s="30"/>
      <c r="T204" s="30" t="str">
        <v>kanan</v>
      </c>
      <c r="U204" s="30"/>
      <c r="V204" s="30"/>
    </row>
    <row r="205" spans="5:22">
      <c r="E205" s="30" t="str">
        <v>kiri</v>
      </c>
      <c r="F205" s="30"/>
      <c r="G205" s="30"/>
      <c r="J205" s="30" t="str">
        <v>kiri</v>
      </c>
      <c r="K205" s="30"/>
      <c r="L205" s="30"/>
      <c r="O205" s="30" t="str">
        <v>kiri</v>
      </c>
      <c r="P205" s="30"/>
      <c r="Q205" s="30"/>
      <c r="T205" s="30" t="str">
        <v>tengah</v>
      </c>
      <c r="U205" s="30"/>
      <c r="V205" s="30"/>
    </row>
    <row r="206" spans="5:22">
      <c r="E206" s="30" t="str">
        <v>kiri</v>
      </c>
      <c r="F206" s="30"/>
      <c r="G206" s="30"/>
      <c r="J206" s="30" t="str">
        <v>kiri</v>
      </c>
      <c r="K206" s="30"/>
      <c r="L206" s="30"/>
      <c r="O206" s="30" t="str">
        <v>tengah</v>
      </c>
      <c r="P206" s="30"/>
      <c r="Q206" s="30"/>
      <c r="T206" s="30" t="str">
        <v>kanan</v>
      </c>
      <c r="U206" s="30"/>
      <c r="V206" s="30"/>
    </row>
    <row r="207" spans="5:22">
      <c r="E207" s="30" t="str">
        <v>kiri</v>
      </c>
      <c r="F207" s="30"/>
      <c r="G207" s="30"/>
      <c r="J207" s="30" t="str">
        <v>kiri</v>
      </c>
      <c r="K207" s="30"/>
      <c r="L207" s="30"/>
      <c r="O207" s="30" t="str">
        <v>kanan</v>
      </c>
      <c r="P207" s="30"/>
      <c r="Q207" s="30"/>
      <c r="T207" s="30" t="str">
        <v>kanan</v>
      </c>
      <c r="U207" s="30"/>
      <c r="V207" s="30"/>
    </row>
    <row r="208" spans="5:22">
      <c r="E208" s="30" t="str">
        <v>kanan</v>
      </c>
      <c r="F208" s="30"/>
      <c r="G208" s="30"/>
      <c r="J208" s="30" t="str">
        <v>kanan</v>
      </c>
      <c r="K208" s="30"/>
      <c r="L208" s="30"/>
      <c r="O208" s="30" t="str">
        <v>tengah</v>
      </c>
      <c r="P208" s="30"/>
      <c r="Q208" s="30"/>
      <c r="T208" s="30" t="str">
        <v>kanan</v>
      </c>
      <c r="U208" s="30"/>
      <c r="V208" s="30"/>
    </row>
    <row r="209" spans="5:22">
      <c r="E209" s="30" t="str">
        <v>kanan</v>
      </c>
      <c r="F209" s="30"/>
      <c r="G209" s="30"/>
      <c r="J209" s="30" t="str">
        <v>tengah</v>
      </c>
      <c r="K209" s="30"/>
      <c r="L209" s="30"/>
      <c r="O209" s="30" t="str">
        <v>tengah</v>
      </c>
      <c r="P209" s="30"/>
      <c r="Q209" s="30"/>
      <c r="T209" s="30" t="str">
        <v>tengah</v>
      </c>
      <c r="U209" s="30"/>
      <c r="V209" s="30"/>
    </row>
    <row r="210" spans="5:22">
      <c r="E210" s="30" t="str">
        <v>kiri</v>
      </c>
      <c r="F210" s="30"/>
      <c r="G210" s="30"/>
      <c r="J210" s="30" t="str">
        <v>kiri</v>
      </c>
      <c r="K210" s="30"/>
      <c r="L210" s="30"/>
      <c r="O210" s="30" t="str">
        <v>kanan</v>
      </c>
      <c r="P210" s="30"/>
      <c r="Q210" s="30"/>
      <c r="T210" s="30" t="str">
        <v>kanan</v>
      </c>
      <c r="U210" s="30"/>
      <c r="V210" s="30"/>
    </row>
    <row r="211" spans="5:22">
      <c r="E211" s="30" t="str">
        <v>kiri</v>
      </c>
      <c r="F211" s="30"/>
      <c r="G211" s="30"/>
      <c r="J211" s="30" t="str">
        <v>kiri</v>
      </c>
      <c r="K211" s="30"/>
      <c r="L211" s="30"/>
      <c r="O211" s="30" t="str">
        <v>kanan</v>
      </c>
      <c r="P211" s="30"/>
      <c r="Q211" s="30"/>
      <c r="T211" s="30" t="str">
        <v>tengah</v>
      </c>
      <c r="U211" s="30"/>
      <c r="V211" s="30"/>
    </row>
    <row r="212" spans="5:22">
      <c r="E212" s="30" t="str">
        <v>kiri</v>
      </c>
      <c r="F212" s="30"/>
      <c r="G212" s="30"/>
      <c r="J212" s="30" t="str">
        <v>kiri</v>
      </c>
      <c r="K212" s="30"/>
      <c r="L212" s="30"/>
      <c r="O212" s="30" t="str">
        <v>kiri</v>
      </c>
      <c r="P212" s="30"/>
      <c r="Q212" s="30"/>
      <c r="T212" s="30" t="str">
        <v>kanan</v>
      </c>
      <c r="U212" s="30"/>
      <c r="V212" s="30"/>
    </row>
    <row r="213" spans="5:22">
      <c r="E213" s="30" t="str">
        <v>tengah</v>
      </c>
      <c r="F213" s="30"/>
      <c r="G213" s="30"/>
      <c r="J213" s="30" t="str">
        <v>kanan</v>
      </c>
      <c r="K213" s="30"/>
      <c r="L213" s="30"/>
      <c r="O213" s="30" t="str">
        <v>tengah</v>
      </c>
      <c r="P213" s="30"/>
      <c r="Q213" s="30"/>
      <c r="T213" s="30" t="str">
        <v>kanan</v>
      </c>
      <c r="U213" s="30"/>
      <c r="V213" s="30"/>
    </row>
    <row r="214" spans="5:22">
      <c r="E214" s="30" t="str">
        <v>tengah</v>
      </c>
      <c r="F214" s="30"/>
      <c r="G214" s="30"/>
      <c r="J214" s="30" t="str">
        <v>kanan</v>
      </c>
      <c r="K214" s="30"/>
      <c r="L214" s="30"/>
      <c r="O214" s="30" t="str">
        <v>tengah</v>
      </c>
      <c r="P214" s="30"/>
      <c r="Q214" s="30"/>
      <c r="T214" s="30" t="str">
        <v>tengah</v>
      </c>
      <c r="U214" s="30"/>
      <c r="V214" s="30"/>
    </row>
    <row r="215" spans="5:22">
      <c r="E215" s="30" t="str">
        <v>tengah</v>
      </c>
      <c r="F215" s="30"/>
      <c r="G215" s="30"/>
      <c r="J215" s="30" t="str">
        <v>kanan</v>
      </c>
      <c r="K215" s="30"/>
      <c r="L215" s="30"/>
      <c r="O215" s="30" t="str">
        <v>tengah</v>
      </c>
      <c r="P215" s="30"/>
      <c r="Q215" s="30"/>
      <c r="T215" s="30" t="str">
        <v>tengah</v>
      </c>
      <c r="U215" s="30"/>
      <c r="V215" s="30"/>
    </row>
    <row r="216" spans="5:22">
      <c r="E216" s="30" t="str">
        <v>kanan</v>
      </c>
      <c r="F216" s="30"/>
      <c r="G216" s="30"/>
      <c r="J216" s="30" t="str">
        <v>tengah</v>
      </c>
      <c r="K216" s="30"/>
      <c r="L216" s="30"/>
      <c r="O216" s="30" t="str">
        <v>kanan</v>
      </c>
      <c r="P216" s="30"/>
      <c r="Q216" s="30"/>
      <c r="T216" s="30" t="str">
        <v>kanan</v>
      </c>
      <c r="U216" s="30"/>
      <c r="V216" s="30"/>
    </row>
    <row r="217" spans="5:22">
      <c r="E217" s="30" t="str">
        <v>kanan</v>
      </c>
      <c r="F217" s="30"/>
      <c r="G217" s="30"/>
      <c r="J217" s="30" t="str">
        <v>tengah</v>
      </c>
      <c r="K217" s="30"/>
      <c r="L217" s="30"/>
      <c r="O217" s="30" t="str">
        <v>tengah</v>
      </c>
      <c r="P217" s="30"/>
      <c r="Q217" s="30"/>
      <c r="T217" s="30" t="str">
        <v>tengah</v>
      </c>
      <c r="U217" s="30"/>
      <c r="V217" s="30"/>
    </row>
    <row r="218" spans="5:22">
      <c r="E218" s="30" t="str">
        <v>kanan</v>
      </c>
      <c r="F218" s="30"/>
      <c r="G218" s="30"/>
      <c r="J218" s="30" t="str">
        <v>kiri</v>
      </c>
      <c r="K218" s="30"/>
      <c r="L218" s="30"/>
      <c r="O218" s="30" t="str">
        <v>tengah</v>
      </c>
      <c r="P218" s="30"/>
      <c r="Q218" s="30"/>
      <c r="T218" s="30" t="str">
        <v>kanan</v>
      </c>
      <c r="U218" s="30"/>
      <c r="V218" s="30"/>
    </row>
    <row r="219" spans="5:22">
      <c r="E219" s="30" t="str">
        <v>tengah</v>
      </c>
      <c r="F219" s="30"/>
      <c r="G219" s="30"/>
      <c r="J219" s="30" t="str">
        <v>tengah</v>
      </c>
      <c r="K219" s="30"/>
      <c r="L219" s="30"/>
      <c r="O219" s="30" t="str">
        <v>tengah</v>
      </c>
      <c r="P219" s="30"/>
      <c r="Q219" s="30"/>
      <c r="T219" s="30" t="str">
        <v>tengah</v>
      </c>
      <c r="U219" s="30"/>
      <c r="V219" s="30"/>
    </row>
    <row r="220" spans="5:22">
      <c r="E220" s="30" t="str">
        <v>kanan</v>
      </c>
      <c r="F220" s="30"/>
      <c r="G220" s="30"/>
      <c r="J220" s="30" t="str">
        <v>tengah</v>
      </c>
      <c r="K220" s="30"/>
      <c r="L220" s="30"/>
      <c r="O220" s="30" t="str">
        <v>tengah</v>
      </c>
      <c r="P220" s="30"/>
      <c r="Q220" s="30"/>
      <c r="T220" s="30" t="str">
        <v>tengah</v>
      </c>
      <c r="U220" s="30"/>
      <c r="V220" s="30"/>
    </row>
    <row r="221" spans="5:22">
      <c r="E221" s="30" t="str">
        <v>tengah</v>
      </c>
      <c r="F221" s="30"/>
      <c r="G221" s="30"/>
      <c r="J221" s="30" t="str">
        <v>tengah</v>
      </c>
      <c r="K221" s="30"/>
      <c r="L221" s="30"/>
      <c r="O221" s="30" t="str">
        <v>kanan</v>
      </c>
      <c r="P221" s="30"/>
      <c r="Q221" s="30"/>
      <c r="T221" s="30" t="str">
        <v>kanan</v>
      </c>
      <c r="U221" s="30"/>
      <c r="V221" s="30"/>
    </row>
    <row r="222" spans="5:22">
      <c r="E222" s="30" t="str">
        <v>tengah</v>
      </c>
      <c r="F222" s="30"/>
      <c r="G222" s="30"/>
      <c r="J222" s="30" t="str">
        <v>kanan</v>
      </c>
      <c r="K222" s="30"/>
      <c r="L222" s="30"/>
      <c r="O222" s="30" t="str">
        <v>tengah</v>
      </c>
      <c r="P222" s="30"/>
      <c r="Q222" s="30"/>
      <c r="T222" s="30" t="str">
        <v>tengah</v>
      </c>
      <c r="U222" s="30"/>
      <c r="V222" s="30"/>
    </row>
    <row r="223" spans="5:22">
      <c r="E223" s="30" t="str">
        <v>tengah</v>
      </c>
      <c r="F223" s="30"/>
      <c r="G223" s="30"/>
      <c r="J223" s="30" t="str">
        <v>kiri</v>
      </c>
      <c r="K223" s="30"/>
      <c r="L223" s="30"/>
      <c r="O223" s="30" t="str">
        <v>tengah</v>
      </c>
      <c r="P223" s="30"/>
      <c r="Q223" s="30"/>
      <c r="T223" s="30" t="str">
        <v>kanan</v>
      </c>
      <c r="U223" s="30"/>
      <c r="V223" s="30"/>
    </row>
    <row r="224" spans="5:22">
      <c r="E224" s="30" t="str">
        <v>tengah</v>
      </c>
      <c r="F224" s="30"/>
      <c r="G224" s="30"/>
      <c r="J224" s="30" t="str">
        <v>kiri</v>
      </c>
      <c r="K224" s="30"/>
      <c r="L224" s="30"/>
      <c r="O224" s="30" t="str">
        <v>kanan</v>
      </c>
      <c r="P224" s="30"/>
      <c r="Q224" s="30"/>
      <c r="T224" s="30" t="str">
        <v>tengah</v>
      </c>
      <c r="U224" s="30"/>
      <c r="V224" s="30"/>
    </row>
    <row r="225" spans="5:22">
      <c r="E225" s="30" t="str">
        <v>tengah</v>
      </c>
      <c r="F225" s="30"/>
      <c r="G225" s="30"/>
      <c r="J225" s="30" t="str">
        <v>tengah</v>
      </c>
      <c r="K225" s="30"/>
      <c r="L225" s="30"/>
      <c r="O225" s="30" t="str">
        <v>tengah</v>
      </c>
      <c r="P225" s="30"/>
      <c r="Q225" s="30"/>
      <c r="T225" s="30" t="str">
        <v>tengah</v>
      </c>
      <c r="U225" s="30"/>
      <c r="V225" s="30"/>
    </row>
    <row r="226" spans="5:22">
      <c r="E226" s="30" t="str">
        <v>tengah</v>
      </c>
      <c r="F226" s="30"/>
      <c r="G226" s="30"/>
      <c r="J226" s="30" t="str">
        <v>kiri</v>
      </c>
      <c r="K226" s="30"/>
      <c r="L226" s="30"/>
      <c r="O226" s="30" t="str">
        <v>kiri</v>
      </c>
      <c r="P226" s="30"/>
      <c r="Q226" s="30"/>
      <c r="T226" s="30" t="str">
        <v>tengah</v>
      </c>
      <c r="U226" s="30"/>
      <c r="V226" s="30"/>
    </row>
    <row r="227" spans="5:22">
      <c r="E227" s="30" t="str">
        <v>kiri</v>
      </c>
      <c r="F227" s="30"/>
      <c r="G227" s="30"/>
      <c r="J227" s="30" t="str">
        <v>kanan</v>
      </c>
      <c r="K227" s="30"/>
      <c r="L227" s="30"/>
      <c r="O227" s="30" t="str">
        <v>kiri</v>
      </c>
      <c r="P227" s="30"/>
      <c r="Q227" s="30"/>
      <c r="T227" s="30" t="str">
        <v>kanan</v>
      </c>
      <c r="U227" s="30"/>
      <c r="V227" s="30"/>
    </row>
    <row r="228" spans="5:22">
      <c r="E228" s="30" t="str">
        <v>kanan</v>
      </c>
      <c r="F228" s="30"/>
      <c r="G228" s="30"/>
      <c r="J228" s="30" t="str">
        <v>tengah</v>
      </c>
      <c r="K228" s="30"/>
      <c r="L228" s="30"/>
      <c r="O228" s="30" t="str">
        <v>kanan</v>
      </c>
      <c r="P228" s="30"/>
      <c r="Q228" s="30"/>
      <c r="T228" s="30" t="str">
        <v>kanan</v>
      </c>
      <c r="U228" s="30"/>
      <c r="V228" s="30"/>
    </row>
    <row r="229" spans="5:22">
      <c r="E229" s="30" t="str">
        <v>tengah</v>
      </c>
      <c r="F229" s="30"/>
      <c r="G229" s="30"/>
      <c r="J229" s="30" t="str">
        <v>kiri</v>
      </c>
      <c r="K229" s="30"/>
      <c r="L229" s="30"/>
      <c r="O229" s="30" t="str">
        <v>kanan</v>
      </c>
      <c r="P229" s="30"/>
      <c r="Q229" s="30"/>
      <c r="T229" s="30" t="str">
        <v>tengah</v>
      </c>
      <c r="U229" s="30"/>
      <c r="V229" s="30"/>
    </row>
    <row r="230" spans="5:22">
      <c r="E230" s="30" t="str">
        <v>tengah</v>
      </c>
      <c r="F230" s="30"/>
      <c r="G230" s="30"/>
      <c r="J230" s="30" t="str">
        <v>kanan</v>
      </c>
      <c r="K230" s="30"/>
      <c r="L230" s="30"/>
      <c r="O230" s="30" t="str">
        <v>tengah</v>
      </c>
      <c r="P230" s="30"/>
      <c r="Q230" s="30"/>
      <c r="T230" s="30" t="str">
        <v>tengah</v>
      </c>
      <c r="U230" s="30"/>
      <c r="V230" s="30"/>
    </row>
    <row r="231" spans="5:22">
      <c r="E231" s="30" t="str">
        <v>tengah</v>
      </c>
      <c r="F231" s="30"/>
      <c r="G231" s="30"/>
      <c r="J231" s="30" t="str">
        <v>tengah</v>
      </c>
      <c r="K231" s="30"/>
      <c r="L231" s="30"/>
      <c r="O231" s="30" t="str">
        <v>tengah</v>
      </c>
      <c r="P231" s="30"/>
      <c r="Q231" s="30"/>
      <c r="T231" s="30" t="str">
        <v>tengah</v>
      </c>
      <c r="U231" s="30"/>
      <c r="V231" s="30"/>
    </row>
    <row r="232" spans="5:22">
      <c r="E232" s="30" t="str">
        <v>kiri</v>
      </c>
      <c r="F232" s="30"/>
      <c r="G232" s="30"/>
      <c r="J232" s="30" t="str">
        <v>tengah</v>
      </c>
      <c r="K232" s="30"/>
      <c r="L232" s="30"/>
      <c r="O232" s="30" t="str">
        <v>kiri</v>
      </c>
      <c r="P232" s="30"/>
      <c r="Q232" s="30"/>
      <c r="T232" s="30" t="str">
        <v>kanan</v>
      </c>
      <c r="U232" s="30"/>
      <c r="V232" s="30"/>
    </row>
    <row r="233" spans="5:22">
      <c r="E233" s="30" t="str">
        <v>tengah</v>
      </c>
      <c r="F233" s="30"/>
      <c r="G233" s="30"/>
      <c r="J233" s="30" t="str">
        <v>tengah</v>
      </c>
      <c r="K233" s="30"/>
      <c r="L233" s="30"/>
      <c r="O233" s="30" t="str">
        <v>tengah</v>
      </c>
      <c r="P233" s="30"/>
      <c r="Q233" s="30"/>
      <c r="T233" s="30" t="str">
        <v>kanan</v>
      </c>
      <c r="U233" s="30"/>
      <c r="V233" s="30"/>
    </row>
    <row r="234" spans="5:22">
      <c r="E234" s="30" t="str">
        <v>kiri</v>
      </c>
      <c r="F234" s="30"/>
      <c r="G234" s="30"/>
      <c r="J234" s="30" t="str">
        <v>tengah</v>
      </c>
      <c r="K234" s="30"/>
      <c r="L234" s="30"/>
      <c r="O234" s="30" t="str">
        <v>tengah</v>
      </c>
      <c r="P234" s="30"/>
      <c r="Q234" s="30"/>
      <c r="T234" s="30" t="str">
        <v>tengah</v>
      </c>
      <c r="U234" s="30"/>
      <c r="V234" s="30"/>
    </row>
    <row r="235" spans="5:22">
      <c r="E235" s="30" t="str">
        <v>tengah</v>
      </c>
      <c r="F235" s="30"/>
      <c r="G235" s="30"/>
      <c r="J235" s="30" t="str">
        <v>tengah</v>
      </c>
      <c r="K235" s="30"/>
      <c r="L235" s="30"/>
      <c r="O235" s="30" t="str">
        <v>kiri</v>
      </c>
      <c r="P235" s="30"/>
      <c r="Q235" s="30"/>
      <c r="T235" s="30" t="str">
        <v>tengah</v>
      </c>
      <c r="U235" s="30"/>
      <c r="V235" s="30"/>
    </row>
    <row r="236" spans="5:22">
      <c r="E236" s="30" t="str">
        <v>kiri</v>
      </c>
      <c r="F236" s="30"/>
      <c r="G236" s="30"/>
      <c r="J236" s="30" t="str">
        <v>kanan</v>
      </c>
      <c r="K236" s="30"/>
      <c r="L236" s="30"/>
      <c r="O236" s="30" t="str">
        <v>kiri</v>
      </c>
      <c r="P236" s="30"/>
      <c r="Q236" s="30"/>
      <c r="T236" s="30" t="str">
        <v>kanan</v>
      </c>
      <c r="U236" s="30"/>
      <c r="V236" s="30"/>
    </row>
    <row r="237" spans="5:22">
      <c r="E237" s="30" t="str">
        <v>kanan</v>
      </c>
      <c r="F237" s="30"/>
      <c r="G237" s="30"/>
      <c r="J237" s="30" t="str">
        <v>kanan</v>
      </c>
      <c r="K237" s="30"/>
      <c r="L237" s="30"/>
      <c r="O237" s="30" t="str">
        <v>tengah</v>
      </c>
      <c r="P237" s="30"/>
      <c r="Q237" s="30"/>
      <c r="T237" s="30" t="str">
        <v>tengah</v>
      </c>
      <c r="U237" s="30"/>
      <c r="V237" s="30"/>
    </row>
    <row r="238" spans="5:22">
      <c r="E238" s="30" t="str">
        <v>kanan</v>
      </c>
      <c r="F238" s="30"/>
      <c r="G238" s="30"/>
      <c r="J238" s="30" t="str">
        <v>tengah</v>
      </c>
      <c r="K238" s="30"/>
      <c r="L238" s="30"/>
      <c r="O238" s="30" t="str">
        <v>tengah</v>
      </c>
      <c r="P238" s="30"/>
      <c r="Q238" s="30"/>
      <c r="T238" s="30" t="str">
        <v>tengah</v>
      </c>
      <c r="U238" s="30"/>
      <c r="V238" s="30"/>
    </row>
    <row r="239" spans="5:22">
      <c r="E239" s="30" t="str">
        <v>kiri</v>
      </c>
      <c r="F239" s="30"/>
      <c r="G239" s="30"/>
      <c r="J239" s="30" t="str">
        <v>tengah</v>
      </c>
      <c r="K239" s="30"/>
      <c r="L239" s="30"/>
      <c r="O239" s="30" t="str">
        <v>kiri</v>
      </c>
      <c r="P239" s="30"/>
      <c r="Q239" s="30"/>
      <c r="T239" s="30" t="str">
        <v>tengah</v>
      </c>
      <c r="U239" s="30"/>
      <c r="V239" s="30"/>
    </row>
    <row r="240" spans="5:22">
      <c r="E240" s="30" t="str">
        <v>kanan</v>
      </c>
      <c r="F240" s="30"/>
      <c r="G240" s="30"/>
      <c r="J240" s="30" t="str">
        <v>tengah</v>
      </c>
      <c r="K240" s="30"/>
      <c r="L240" s="30"/>
      <c r="O240" s="30" t="str">
        <v>tengah</v>
      </c>
      <c r="P240" s="30"/>
      <c r="Q240" s="30"/>
      <c r="T240" s="30" t="str">
        <v>tengah</v>
      </c>
      <c r="U240" s="30"/>
      <c r="V240" s="30"/>
    </row>
    <row r="241" spans="5:22">
      <c r="E241" s="30" t="str">
        <v>kanan</v>
      </c>
      <c r="F241" s="30"/>
      <c r="G241" s="30"/>
      <c r="J241" s="30" t="str">
        <v>tengah</v>
      </c>
      <c r="K241" s="30"/>
      <c r="L241" s="30"/>
      <c r="O241" s="30" t="str">
        <v>tengah</v>
      </c>
      <c r="P241" s="30"/>
      <c r="Q241" s="30"/>
      <c r="T241" s="30" t="str">
        <v>tengah</v>
      </c>
      <c r="U241" s="30"/>
      <c r="V241" s="30"/>
    </row>
    <row r="242" spans="5:22">
      <c r="E242" s="30" t="str">
        <v>tengah</v>
      </c>
      <c r="F242" s="30"/>
      <c r="G242" s="30"/>
      <c r="J242" s="30" t="str">
        <v>tengah</v>
      </c>
      <c r="K242" s="30"/>
      <c r="L242" s="30"/>
      <c r="O242" s="30" t="str">
        <v>kiri</v>
      </c>
      <c r="P242" s="30"/>
      <c r="Q242" s="30"/>
      <c r="T242" s="30" t="str">
        <v>tengah</v>
      </c>
      <c r="U242" s="30"/>
      <c r="V242" s="30"/>
    </row>
    <row r="243" spans="5:22">
      <c r="E243" s="30" t="str">
        <v>kanan</v>
      </c>
      <c r="F243" s="30"/>
      <c r="G243" s="30"/>
      <c r="J243" s="30" t="str">
        <v>kanan</v>
      </c>
      <c r="K243" s="30"/>
      <c r="L243" s="30"/>
      <c r="O243" s="30" t="str">
        <v>kanan</v>
      </c>
      <c r="P243" s="30"/>
      <c r="Q243" s="30"/>
      <c r="T243" s="30" t="str">
        <v>kanan</v>
      </c>
      <c r="U243" s="30"/>
      <c r="V243" s="30"/>
    </row>
    <row r="244" spans="5:22">
      <c r="E244" s="30" t="str">
        <v>tengah</v>
      </c>
      <c r="F244" s="30"/>
      <c r="G244" s="30"/>
      <c r="J244" s="30" t="str">
        <v>tengah</v>
      </c>
      <c r="K244" s="30"/>
      <c r="L244" s="30"/>
      <c r="O244" s="30" t="str">
        <v>kiri</v>
      </c>
      <c r="P244" s="30"/>
      <c r="Q244" s="30"/>
      <c r="T244" s="30" t="str">
        <v>kanan</v>
      </c>
      <c r="U244" s="30"/>
      <c r="V244" s="30"/>
    </row>
    <row r="245" spans="5:22">
      <c r="E245" s="30" t="str">
        <v>tengah</v>
      </c>
      <c r="F245" s="30"/>
      <c r="G245" s="30"/>
      <c r="J245" s="30" t="str">
        <v>tengah</v>
      </c>
      <c r="K245" s="30"/>
      <c r="L245" s="30"/>
      <c r="O245" s="30" t="str">
        <v>kanan</v>
      </c>
      <c r="P245" s="30"/>
      <c r="Q245" s="30"/>
      <c r="T245" s="30" t="str">
        <v>tengah</v>
      </c>
      <c r="U245" s="30"/>
      <c r="V245" s="30"/>
    </row>
    <row r="246" spans="5:22">
      <c r="E246" s="30" t="str">
        <v>tengah</v>
      </c>
      <c r="F246" s="30"/>
      <c r="G246" s="30"/>
      <c r="J246" s="30" t="str">
        <v>tengah</v>
      </c>
      <c r="K246" s="30"/>
      <c r="L246" s="30"/>
      <c r="O246" s="30" t="str">
        <v>tengah</v>
      </c>
      <c r="P246" s="30"/>
      <c r="Q246" s="30"/>
      <c r="T246" s="30" t="str">
        <v>kanan</v>
      </c>
      <c r="U246" s="30"/>
      <c r="V246" s="30"/>
    </row>
    <row r="247" spans="5:22">
      <c r="E247" s="30" t="str">
        <v>tengah</v>
      </c>
      <c r="F247" s="30"/>
      <c r="G247" s="30"/>
      <c r="J247" s="30" t="str">
        <v>tengah</v>
      </c>
      <c r="K247" s="30"/>
      <c r="L247" s="30"/>
      <c r="O247" s="30" t="str">
        <v>kanan</v>
      </c>
      <c r="P247" s="30"/>
      <c r="Q247" s="30"/>
      <c r="T247" s="30" t="str">
        <v>kanan</v>
      </c>
      <c r="U247" s="30"/>
      <c r="V247" s="30"/>
    </row>
    <row r="248" spans="5:22">
      <c r="E248" s="30" t="str">
        <v>kanan</v>
      </c>
      <c r="F248" s="30"/>
      <c r="G248" s="30"/>
      <c r="J248" s="30" t="str">
        <v>tengah</v>
      </c>
      <c r="K248" s="30"/>
      <c r="L248" s="30"/>
      <c r="O248" s="30" t="str">
        <v>kanan</v>
      </c>
      <c r="P248" s="30"/>
      <c r="Q248" s="30"/>
      <c r="T248" s="30" t="str">
        <v>kanan</v>
      </c>
      <c r="U248" s="30"/>
      <c r="V248" s="30"/>
    </row>
    <row r="249" spans="5:22">
      <c r="E249" s="30" t="str">
        <v>tengah</v>
      </c>
      <c r="F249" s="30"/>
      <c r="G249" s="30"/>
      <c r="J249" s="30" t="str">
        <v>kanan</v>
      </c>
      <c r="K249" s="30"/>
      <c r="L249" s="30"/>
      <c r="O249" s="30" t="str">
        <v>tengah</v>
      </c>
      <c r="P249" s="30"/>
      <c r="Q249" s="30"/>
      <c r="T249" s="30" t="str">
        <v>tengah</v>
      </c>
      <c r="U249" s="30"/>
      <c r="V249" s="30"/>
    </row>
    <row r="250" spans="5:22">
      <c r="E250" s="30" t="str">
        <v>tengah</v>
      </c>
      <c r="F250" s="30"/>
      <c r="G250" s="30"/>
      <c r="J250" s="30" t="str">
        <v>kiri</v>
      </c>
      <c r="K250" s="30"/>
      <c r="L250" s="30"/>
      <c r="O250" s="30" t="str">
        <v>tengah</v>
      </c>
      <c r="P250" s="30"/>
      <c r="Q250" s="30"/>
      <c r="T250" s="30" t="str">
        <v>kanan</v>
      </c>
      <c r="U250" s="30"/>
      <c r="V250" s="30"/>
    </row>
    <row r="251" spans="5:22">
      <c r="E251" s="30" t="str">
        <v>tengah</v>
      </c>
      <c r="F251" s="30"/>
      <c r="G251" s="30"/>
      <c r="J251" s="30" t="str">
        <v>tengah</v>
      </c>
      <c r="K251" s="30"/>
      <c r="L251" s="30"/>
      <c r="O251" s="30" t="str">
        <v>tengah</v>
      </c>
      <c r="P251" s="30"/>
      <c r="Q251" s="30"/>
      <c r="T251" s="30" t="str">
        <v>kanan</v>
      </c>
      <c r="U251" s="30"/>
      <c r="V251" s="30"/>
    </row>
    <row r="252" spans="5:22">
      <c r="E252" s="30" t="str">
        <v>tengah</v>
      </c>
      <c r="F252" s="30"/>
      <c r="G252" s="30"/>
      <c r="J252" s="30" t="str">
        <v>kanan</v>
      </c>
      <c r="K252" s="30"/>
      <c r="L252" s="30"/>
      <c r="O252" s="30" t="str">
        <v>tengah</v>
      </c>
      <c r="P252" s="30"/>
      <c r="Q252" s="30"/>
      <c r="T252" s="30" t="str">
        <v>tengah</v>
      </c>
      <c r="U252" s="30"/>
      <c r="V252" s="30"/>
    </row>
    <row r="253" spans="5:22">
      <c r="E253" s="30" t="str">
        <v>tengah</v>
      </c>
      <c r="F253" s="30"/>
      <c r="G253" s="30"/>
      <c r="J253" s="30" t="str">
        <v>kanan</v>
      </c>
      <c r="K253" s="30"/>
      <c r="L253" s="30"/>
      <c r="O253" s="30" t="str">
        <v>kanan</v>
      </c>
      <c r="P253" s="30"/>
      <c r="Q253" s="30"/>
      <c r="T253" s="30" t="str">
        <v>tengah</v>
      </c>
      <c r="U253" s="30"/>
      <c r="V253" s="30"/>
    </row>
    <row r="254" spans="5:22">
      <c r="E254" s="30" t="str">
        <v>kanan</v>
      </c>
      <c r="F254" s="30"/>
      <c r="G254" s="30"/>
      <c r="J254" s="30" t="str">
        <v>tengah</v>
      </c>
      <c r="K254" s="30"/>
      <c r="L254" s="30"/>
      <c r="O254" s="30" t="str">
        <v>tengah</v>
      </c>
      <c r="P254" s="30"/>
      <c r="Q254" s="30"/>
      <c r="T254" s="30" t="str">
        <v>tengah</v>
      </c>
      <c r="U254" s="30"/>
      <c r="V254" s="30"/>
    </row>
    <row r="255" spans="5:22">
      <c r="E255" s="30" t="str">
        <v>tengah</v>
      </c>
      <c r="F255" s="30"/>
      <c r="G255" s="30"/>
      <c r="J255" s="30" t="str">
        <v>kanan</v>
      </c>
      <c r="K255" s="30"/>
      <c r="L255" s="30"/>
      <c r="O255" s="30" t="str">
        <v>tengah</v>
      </c>
      <c r="P255" s="30"/>
      <c r="Q255" s="30"/>
      <c r="T255" s="30" t="str">
        <v>kanan</v>
      </c>
      <c r="U255" s="30"/>
      <c r="V255" s="30"/>
    </row>
    <row r="256" spans="5:22">
      <c r="E256" s="30" t="str">
        <v>kiri</v>
      </c>
      <c r="F256" s="30"/>
      <c r="G256" s="30"/>
      <c r="J256" s="30" t="str">
        <v>tengah</v>
      </c>
      <c r="K256" s="30"/>
      <c r="L256" s="30"/>
      <c r="O256" s="30" t="str">
        <v>kiri</v>
      </c>
      <c r="P256" s="30"/>
      <c r="Q256" s="30"/>
      <c r="T256" s="30" t="str">
        <v>tengah</v>
      </c>
      <c r="U256" s="30"/>
      <c r="V256" s="30"/>
    </row>
    <row r="257" spans="5:22">
      <c r="E257" s="30" t="str">
        <v>tengah</v>
      </c>
      <c r="F257" s="30"/>
      <c r="G257" s="30"/>
      <c r="J257" s="30" t="str">
        <v>tengah</v>
      </c>
      <c r="K257" s="30"/>
      <c r="L257" s="30"/>
      <c r="O257" s="30" t="str">
        <v>tengah</v>
      </c>
      <c r="P257" s="30"/>
      <c r="Q257" s="30"/>
      <c r="T257" s="30" t="str">
        <v>tengah</v>
      </c>
      <c r="U257" s="30"/>
      <c r="V257" s="30"/>
    </row>
    <row r="258" spans="5:22">
      <c r="E258" s="30" t="str">
        <v>tengah</v>
      </c>
      <c r="F258" s="30"/>
      <c r="G258" s="30"/>
      <c r="J258" s="30" t="str">
        <v>kanan</v>
      </c>
      <c r="K258" s="30"/>
      <c r="L258" s="30"/>
      <c r="O258" s="30" t="str">
        <v>tengah</v>
      </c>
      <c r="P258" s="30"/>
      <c r="Q258" s="30"/>
      <c r="T258" s="30" t="str">
        <v>tengah</v>
      </c>
      <c r="U258" s="30"/>
      <c r="V258" s="30"/>
    </row>
    <row r="259" spans="5:22">
      <c r="E259" s="30" t="str">
        <v>kanan</v>
      </c>
      <c r="F259" s="30"/>
      <c r="G259" s="30"/>
      <c r="J259" s="30" t="str">
        <v>tengah</v>
      </c>
      <c r="K259" s="30"/>
      <c r="L259" s="30"/>
      <c r="O259" s="30" t="str">
        <v>tengah</v>
      </c>
      <c r="P259" s="30"/>
      <c r="Q259" s="30"/>
      <c r="T259" s="30" t="str">
        <v>kanan</v>
      </c>
      <c r="U259" s="30"/>
      <c r="V259" s="30"/>
    </row>
    <row r="260" spans="5:22">
      <c r="E260" s="30" t="str">
        <v>tengah</v>
      </c>
      <c r="F260" s="30"/>
      <c r="G260" s="30"/>
      <c r="J260" s="30" t="str">
        <v>kanan</v>
      </c>
      <c r="K260" s="30"/>
      <c r="L260" s="30"/>
      <c r="O260" s="30" t="str">
        <v>kiri</v>
      </c>
      <c r="P260" s="30"/>
      <c r="Q260" s="30"/>
      <c r="T260" s="30" t="str">
        <v>kanan</v>
      </c>
      <c r="U260" s="30"/>
      <c r="V260" s="30"/>
    </row>
    <row r="261" spans="5:22">
      <c r="E261" s="30" t="str">
        <v>kanan</v>
      </c>
      <c r="F261" s="30"/>
      <c r="G261" s="30"/>
      <c r="J261" s="30" t="str">
        <v>kanan</v>
      </c>
      <c r="K261" s="30"/>
      <c r="L261" s="30"/>
      <c r="O261" s="30" t="str">
        <v>kanan</v>
      </c>
      <c r="P261" s="30"/>
      <c r="Q261" s="30"/>
      <c r="T261" s="30" t="str">
        <v>kanan</v>
      </c>
      <c r="U261" s="30"/>
      <c r="V261" s="30"/>
    </row>
    <row r="262" spans="5:22">
      <c r="E262" s="30" t="str">
        <v>tengah</v>
      </c>
      <c r="F262" s="30"/>
      <c r="G262" s="30"/>
      <c r="J262" s="30" t="str">
        <v>kanan</v>
      </c>
      <c r="K262" s="30"/>
      <c r="L262" s="30"/>
      <c r="O262" s="30" t="str">
        <v>kiri</v>
      </c>
      <c r="P262" s="30"/>
      <c r="Q262" s="30"/>
      <c r="T262" s="30" t="str">
        <v>tengah</v>
      </c>
      <c r="U262" s="30"/>
      <c r="V262" s="30"/>
    </row>
    <row r="263" spans="5:22">
      <c r="E263" s="30" t="str">
        <v>tengah</v>
      </c>
      <c r="F263" s="30"/>
      <c r="G263" s="30"/>
      <c r="J263" s="30" t="str">
        <v>tengah</v>
      </c>
      <c r="K263" s="30"/>
      <c r="L263" s="30"/>
      <c r="O263" s="30" t="str">
        <v>kiri</v>
      </c>
      <c r="P263" s="30"/>
      <c r="Q263" s="30"/>
      <c r="T263" s="30" t="str">
        <v>tengah</v>
      </c>
      <c r="U263" s="30"/>
      <c r="V263" s="30"/>
    </row>
    <row r="264" spans="5:22">
      <c r="E264" s="30" t="str">
        <v>tengah</v>
      </c>
      <c r="F264" s="30"/>
      <c r="G264" s="30"/>
      <c r="J264" s="30" t="str">
        <v>tengah</v>
      </c>
      <c r="K264" s="30"/>
      <c r="L264" s="30"/>
      <c r="O264" s="30" t="str">
        <v>tengah</v>
      </c>
      <c r="P264" s="30"/>
      <c r="Q264" s="30"/>
      <c r="T264" s="30" t="str">
        <v>kanan</v>
      </c>
      <c r="U264" s="30"/>
      <c r="V264" s="30"/>
    </row>
    <row r="265" spans="5:22">
      <c r="E265" s="30" t="str">
        <v>tengah</v>
      </c>
      <c r="F265" s="30"/>
      <c r="G265" s="30"/>
      <c r="J265" s="30" t="str">
        <v>tengah</v>
      </c>
      <c r="K265" s="30"/>
      <c r="L265" s="30"/>
      <c r="O265" s="30" t="str">
        <v>kanan</v>
      </c>
      <c r="P265" s="30"/>
      <c r="Q265" s="30"/>
      <c r="T265" s="30" t="str">
        <v>kanan</v>
      </c>
      <c r="U265" s="30"/>
      <c r="V265" s="30"/>
    </row>
    <row r="266" spans="5:22">
      <c r="E266" s="30" t="str">
        <v>kanan</v>
      </c>
      <c r="F266" s="30"/>
      <c r="G266" s="30"/>
      <c r="J266" s="30" t="str">
        <v>kanan</v>
      </c>
      <c r="K266" s="30"/>
      <c r="L266" s="30"/>
      <c r="O266" s="30" t="str">
        <v>kanan</v>
      </c>
      <c r="P266" s="30"/>
      <c r="Q266" s="30"/>
      <c r="T266" s="30" t="str">
        <v>kanan</v>
      </c>
      <c r="U266" s="30"/>
      <c r="V266" s="30"/>
    </row>
    <row r="267" spans="5:22">
      <c r="E267" s="30" t="str">
        <v>tengah</v>
      </c>
      <c r="F267" s="30"/>
      <c r="G267" s="30"/>
      <c r="J267" s="30" t="str">
        <v>tengah</v>
      </c>
      <c r="K267" s="30"/>
      <c r="L267" s="30"/>
      <c r="O267" s="30" t="str">
        <v>tengah</v>
      </c>
      <c r="P267" s="30"/>
      <c r="Q267" s="30"/>
      <c r="T267" s="30" t="str">
        <v>kanan</v>
      </c>
      <c r="U267" s="30"/>
      <c r="V267" s="30"/>
    </row>
    <row r="268" spans="5:22">
      <c r="E268" s="30" t="str">
        <v>tengah</v>
      </c>
      <c r="F268" s="30"/>
      <c r="G268" s="30"/>
      <c r="J268" s="30" t="str">
        <v>kanan</v>
      </c>
      <c r="K268" s="30"/>
      <c r="L268" s="30"/>
      <c r="O268" s="30" t="str">
        <v>kanan</v>
      </c>
      <c r="P268" s="30"/>
      <c r="Q268" s="30"/>
      <c r="T268" s="30" t="str">
        <v>tengah</v>
      </c>
      <c r="U268" s="30"/>
      <c r="V268" s="30"/>
    </row>
    <row r="269" spans="5:22">
      <c r="E269" s="30" t="str">
        <v>tengah</v>
      </c>
      <c r="F269" s="30"/>
      <c r="G269" s="30"/>
      <c r="J269" s="30" t="str">
        <v>tengah</v>
      </c>
      <c r="K269" s="30"/>
      <c r="L269" s="30"/>
      <c r="O269" s="30" t="str">
        <v>kiri</v>
      </c>
      <c r="P269" s="30"/>
      <c r="Q269" s="30"/>
      <c r="T269" s="30" t="str">
        <v>kanan</v>
      </c>
      <c r="U269" s="30"/>
      <c r="V269" s="30"/>
    </row>
    <row r="270" spans="5:22">
      <c r="E270" s="30" t="str">
        <v>tengah</v>
      </c>
      <c r="F270" s="30"/>
      <c r="G270" s="30"/>
      <c r="J270" s="30" t="str">
        <v>tengah</v>
      </c>
      <c r="K270" s="30"/>
      <c r="L270" s="30"/>
      <c r="O270" s="30" t="str">
        <v>tengah</v>
      </c>
      <c r="P270" s="30"/>
      <c r="Q270" s="30"/>
      <c r="T270" s="30" t="str">
        <v>kanan</v>
      </c>
      <c r="U270" s="30"/>
      <c r="V270" s="30"/>
    </row>
    <row r="271" spans="5:22">
      <c r="E271" s="30" t="str">
        <v>tengah</v>
      </c>
      <c r="F271" s="30"/>
      <c r="G271" s="30"/>
      <c r="J271" s="30" t="str">
        <v>tengah</v>
      </c>
      <c r="K271" s="30"/>
      <c r="L271" s="30"/>
      <c r="O271" s="30" t="str">
        <v>kiri</v>
      </c>
      <c r="P271" s="30"/>
      <c r="Q271" s="30"/>
      <c r="T271" s="30" t="str">
        <v>tengah</v>
      </c>
      <c r="U271" s="30"/>
      <c r="V271" s="30"/>
    </row>
    <row r="272" spans="5:22">
      <c r="E272" s="30" t="str">
        <v>tengah</v>
      </c>
      <c r="F272" s="30"/>
      <c r="G272" s="30"/>
      <c r="J272" s="30" t="str">
        <v>kanan</v>
      </c>
      <c r="K272" s="30"/>
      <c r="L272" s="30"/>
      <c r="O272" s="30" t="str">
        <v>tengah</v>
      </c>
      <c r="P272" s="30"/>
      <c r="Q272" s="30"/>
      <c r="T272" s="30" t="str">
        <v>tengah</v>
      </c>
      <c r="U272" s="30"/>
      <c r="V272" s="30"/>
    </row>
    <row r="273" spans="5:22">
      <c r="E273" s="30" t="str">
        <v>tengah</v>
      </c>
      <c r="F273" s="30"/>
      <c r="G273" s="30"/>
      <c r="J273" s="30" t="str">
        <v>kiri</v>
      </c>
      <c r="K273" s="30"/>
      <c r="L273" s="30"/>
      <c r="O273" s="30" t="str">
        <v>tengah</v>
      </c>
      <c r="P273" s="30"/>
      <c r="Q273" s="30"/>
      <c r="T273" s="30" t="str">
        <v>kanan</v>
      </c>
      <c r="U273" s="30"/>
      <c r="V273" s="30"/>
    </row>
    <row r="274" spans="5:22">
      <c r="E274" s="30" t="str">
        <v>kanan</v>
      </c>
      <c r="F274" s="30"/>
      <c r="G274" s="30"/>
      <c r="J274" s="30" t="str">
        <v>kanan</v>
      </c>
      <c r="K274" s="30"/>
      <c r="L274" s="30"/>
      <c r="O274" s="30" t="str">
        <v>kiri</v>
      </c>
      <c r="P274" s="30"/>
      <c r="Q274" s="30"/>
      <c r="T274" s="30" t="str">
        <v>kanan</v>
      </c>
      <c r="U274" s="30"/>
      <c r="V274" s="30"/>
    </row>
    <row r="275" spans="5:22">
      <c r="E275" s="30" t="str">
        <v>kanan</v>
      </c>
      <c r="F275" s="30"/>
      <c r="G275" s="30"/>
      <c r="J275" s="30" t="str">
        <v>kiri</v>
      </c>
      <c r="K275" s="30"/>
      <c r="L275" s="30"/>
      <c r="O275" s="30" t="str">
        <v>kiri</v>
      </c>
      <c r="P275" s="30"/>
      <c r="Q275" s="30"/>
      <c r="T275" s="30" t="str">
        <v>tengah</v>
      </c>
      <c r="U275" s="30"/>
      <c r="V275" s="30"/>
    </row>
    <row r="276" spans="5:22">
      <c r="E276" s="30" t="str">
        <v>kiri</v>
      </c>
      <c r="F276" s="30"/>
      <c r="G276" s="30"/>
      <c r="J276" s="30" t="str">
        <v>kiri</v>
      </c>
      <c r="K276" s="30"/>
      <c r="L276" s="30"/>
      <c r="O276" s="30" t="str">
        <v>tengah</v>
      </c>
      <c r="P276" s="30"/>
      <c r="Q276" s="30"/>
      <c r="T276" s="30" t="str">
        <v>kanan</v>
      </c>
      <c r="U276" s="30"/>
      <c r="V276" s="30"/>
    </row>
    <row r="277" spans="5:22">
      <c r="E277" s="30" t="str">
        <v>tengah</v>
      </c>
      <c r="F277" s="30"/>
      <c r="G277" s="30"/>
      <c r="J277" s="30" t="str">
        <v>tengah</v>
      </c>
      <c r="K277" s="30"/>
      <c r="L277" s="30"/>
      <c r="O277" s="30" t="str">
        <v>kanan</v>
      </c>
      <c r="P277" s="30"/>
      <c r="Q277" s="30"/>
      <c r="T277" s="30" t="str">
        <v>kanan</v>
      </c>
      <c r="U277" s="30"/>
      <c r="V277" s="30"/>
    </row>
    <row r="278" spans="5:22">
      <c r="E278" s="30" t="str">
        <v>kiri</v>
      </c>
      <c r="F278" s="30"/>
      <c r="G278" s="30"/>
      <c r="J278" s="30" t="str">
        <v>tengah</v>
      </c>
      <c r="K278" s="30"/>
      <c r="L278" s="30"/>
      <c r="O278" s="30" t="str">
        <v>tengah</v>
      </c>
      <c r="P278" s="30"/>
      <c r="Q278" s="30"/>
      <c r="T278" s="30" t="str">
        <v>kanan</v>
      </c>
      <c r="U278" s="30"/>
      <c r="V278" s="30"/>
    </row>
    <row r="279" spans="5:22">
      <c r="E279" s="30" t="str">
        <v>kiri</v>
      </c>
      <c r="F279" s="30"/>
      <c r="G279" s="30"/>
      <c r="J279" s="30" t="str">
        <v>kiri</v>
      </c>
      <c r="K279" s="30"/>
      <c r="L279" s="30"/>
      <c r="O279" s="30" t="str">
        <v>tengah</v>
      </c>
      <c r="P279" s="30"/>
      <c r="Q279" s="30"/>
      <c r="T279" s="30" t="str">
        <v>tengah</v>
      </c>
      <c r="U279" s="30"/>
      <c r="V279" s="30"/>
    </row>
    <row r="280" spans="5:22">
      <c r="E280" s="30" t="str">
        <v>tengah</v>
      </c>
      <c r="F280" s="30"/>
      <c r="G280" s="30"/>
      <c r="J280" s="30" t="str">
        <v>tengah</v>
      </c>
      <c r="K280" s="30"/>
      <c r="L280" s="30"/>
      <c r="O280" s="30" t="str">
        <v>tengah</v>
      </c>
      <c r="P280" s="30"/>
      <c r="Q280" s="30"/>
      <c r="T280" s="30" t="str">
        <v>tengah</v>
      </c>
      <c r="U280" s="30"/>
      <c r="V280" s="30"/>
    </row>
    <row r="281" spans="5:22">
      <c r="E281" s="30" t="str">
        <v>kiri</v>
      </c>
      <c r="F281" s="30"/>
      <c r="G281" s="30"/>
      <c r="J281" s="30" t="str">
        <v>tengah</v>
      </c>
      <c r="K281" s="30"/>
      <c r="L281" s="30"/>
      <c r="O281" s="30" t="str">
        <v>kiri</v>
      </c>
      <c r="P281" s="30"/>
      <c r="Q281" s="30"/>
      <c r="T281" s="30" t="str">
        <v>tengah</v>
      </c>
      <c r="U281" s="30"/>
      <c r="V281" s="30"/>
    </row>
    <row r="282" spans="5:22">
      <c r="E282" s="30" t="str">
        <v>kanan</v>
      </c>
      <c r="F282" s="30"/>
      <c r="G282" s="30"/>
      <c r="J282" s="30" t="str">
        <v>tengah</v>
      </c>
      <c r="K282" s="30"/>
      <c r="L282" s="30"/>
      <c r="O282" s="30" t="str">
        <v>kanan</v>
      </c>
      <c r="P282" s="30"/>
      <c r="Q282" s="30"/>
      <c r="T282" s="30" t="str">
        <v>kanan</v>
      </c>
      <c r="U282" s="30"/>
      <c r="V282" s="30"/>
    </row>
    <row r="283" spans="5:22">
      <c r="E283" s="30" t="str">
        <v>kiri</v>
      </c>
      <c r="F283" s="30"/>
      <c r="G283" s="30"/>
      <c r="J283" s="30" t="str">
        <v>tengah</v>
      </c>
      <c r="K283" s="30"/>
      <c r="L283" s="30"/>
      <c r="O283" s="30" t="str">
        <v>kiri</v>
      </c>
      <c r="P283" s="30"/>
      <c r="Q283" s="30"/>
      <c r="T283" s="30" t="str">
        <v>tengah</v>
      </c>
      <c r="U283" s="30"/>
      <c r="V283" s="30"/>
    </row>
    <row r="284" spans="5:22">
      <c r="E284" s="30" t="str">
        <v>tengah</v>
      </c>
      <c r="F284" s="30"/>
      <c r="G284" s="30"/>
      <c r="J284" s="30" t="str">
        <v>kanan</v>
      </c>
      <c r="K284" s="30"/>
      <c r="L284" s="30"/>
      <c r="O284" s="30" t="str">
        <v>tengah</v>
      </c>
      <c r="P284" s="30"/>
      <c r="Q284" s="30"/>
      <c r="T284" s="30" t="str">
        <v>tengah</v>
      </c>
      <c r="U284" s="30"/>
      <c r="V284" s="30"/>
    </row>
    <row r="285" spans="5:22">
      <c r="E285" s="30" t="str">
        <v>kiri</v>
      </c>
      <c r="F285" s="30"/>
      <c r="G285" s="30"/>
      <c r="J285" s="30" t="str">
        <v>kiri</v>
      </c>
      <c r="K285" s="30"/>
      <c r="L285" s="30"/>
      <c r="O285" s="30" t="str">
        <v>kanan</v>
      </c>
      <c r="P285" s="30"/>
      <c r="Q285" s="30"/>
      <c r="T285" s="30" t="str">
        <v>tengah</v>
      </c>
      <c r="U285" s="30"/>
      <c r="V285" s="30"/>
    </row>
    <row r="286" spans="5:22">
      <c r="E286" s="30" t="str">
        <v>kiri</v>
      </c>
      <c r="F286" s="30"/>
      <c r="G286" s="30"/>
      <c r="J286" s="30" t="str">
        <v>tengah</v>
      </c>
      <c r="K286" s="30"/>
      <c r="L286" s="30"/>
      <c r="O286" s="30" t="str">
        <v>kiri</v>
      </c>
      <c r="P286" s="30"/>
      <c r="Q286" s="30"/>
      <c r="T286" s="30" t="str">
        <v>tengah</v>
      </c>
      <c r="U286" s="30"/>
      <c r="V286" s="30"/>
    </row>
    <row r="287" spans="5:22">
      <c r="E287" s="30" t="str">
        <v>kanan</v>
      </c>
      <c r="F287" s="30"/>
      <c r="G287" s="30"/>
      <c r="J287" s="30" t="str">
        <v>tengah</v>
      </c>
      <c r="K287" s="30"/>
      <c r="L287" s="30"/>
      <c r="O287" s="30" t="str">
        <v>kanan</v>
      </c>
      <c r="P287" s="30"/>
      <c r="Q287" s="30"/>
      <c r="T287" s="30" t="str">
        <v>kanan</v>
      </c>
      <c r="U287" s="30"/>
      <c r="V287" s="30"/>
    </row>
    <row r="288" spans="5:22">
      <c r="E288" s="30" t="str">
        <v>tengah</v>
      </c>
      <c r="F288" s="30"/>
      <c r="G288" s="30"/>
      <c r="J288" s="30" t="str">
        <v>tengah</v>
      </c>
      <c r="K288" s="30"/>
      <c r="L288" s="30"/>
      <c r="O288" s="30" t="str">
        <v>kiri</v>
      </c>
      <c r="P288" s="30"/>
      <c r="Q288" s="30"/>
      <c r="T288" s="30" t="str">
        <v>kanan</v>
      </c>
      <c r="U288" s="30"/>
      <c r="V288" s="30"/>
    </row>
    <row r="289" spans="5:22">
      <c r="E289" s="30" t="str">
        <v>tengah</v>
      </c>
      <c r="F289" s="30"/>
      <c r="G289" s="30"/>
      <c r="J289" s="30" t="str">
        <v>kiri</v>
      </c>
      <c r="K289" s="30"/>
      <c r="L289" s="30"/>
      <c r="O289" s="30" t="str">
        <v>tengah</v>
      </c>
      <c r="P289" s="30"/>
      <c r="Q289" s="30"/>
      <c r="T289" s="30" t="str">
        <v>tengah</v>
      </c>
      <c r="U289" s="30"/>
      <c r="V289" s="30"/>
    </row>
    <row r="290" spans="5:22">
      <c r="E290" s="30" t="str">
        <v>kanan</v>
      </c>
      <c r="F290" s="30"/>
      <c r="G290" s="30"/>
      <c r="J290" s="30" t="str">
        <v>tengah</v>
      </c>
      <c r="K290" s="30"/>
      <c r="L290" s="30"/>
      <c r="O290" s="30" t="str">
        <v>tengah</v>
      </c>
      <c r="P290" s="30"/>
      <c r="Q290" s="30"/>
      <c r="T290" s="30" t="str">
        <v>kanan</v>
      </c>
      <c r="U290" s="30"/>
      <c r="V290" s="30"/>
    </row>
    <row r="291" spans="5:22">
      <c r="E291" s="30" t="str">
        <v>kiri</v>
      </c>
      <c r="F291" s="30"/>
      <c r="G291" s="30"/>
      <c r="J291" s="30" t="str">
        <v>kanan</v>
      </c>
      <c r="K291" s="30"/>
      <c r="L291" s="30"/>
      <c r="O291" s="30" t="str">
        <v>tengah</v>
      </c>
      <c r="P291" s="30"/>
      <c r="Q291" s="30"/>
      <c r="T291" s="30" t="str">
        <v>kanan</v>
      </c>
      <c r="U291" s="30"/>
      <c r="V291" s="30"/>
    </row>
    <row r="292" spans="5:22">
      <c r="E292" s="30" t="str">
        <v>tengah</v>
      </c>
      <c r="F292" s="30"/>
      <c r="G292" s="30"/>
      <c r="J292" s="30" t="str">
        <v>tengah</v>
      </c>
      <c r="K292" s="30"/>
      <c r="L292" s="30"/>
      <c r="O292" s="30" t="str">
        <v>kiri</v>
      </c>
      <c r="P292" s="30"/>
      <c r="Q292" s="30"/>
      <c r="T292" s="30" t="str">
        <v>kanan</v>
      </c>
      <c r="U292" s="30"/>
      <c r="V292" s="30"/>
    </row>
    <row r="293" spans="5:22">
      <c r="E293" s="30" t="str">
        <v>kanan</v>
      </c>
      <c r="F293" s="30"/>
      <c r="G293" s="30"/>
      <c r="J293" s="30" t="str">
        <v>kanan</v>
      </c>
      <c r="K293" s="30"/>
      <c r="L293" s="30"/>
      <c r="O293" s="30" t="str">
        <v>kanan</v>
      </c>
      <c r="P293" s="30"/>
      <c r="Q293" s="30"/>
      <c r="T293" s="30" t="str">
        <v>kanan</v>
      </c>
      <c r="U293" s="30"/>
      <c r="V293" s="30"/>
    </row>
    <row r="294" spans="5:22">
      <c r="E294" s="30" t="str">
        <v>tengah</v>
      </c>
      <c r="F294" s="30"/>
      <c r="G294" s="30"/>
      <c r="J294" s="30" t="str">
        <v>kiri</v>
      </c>
      <c r="K294" s="30"/>
      <c r="L294" s="30"/>
      <c r="O294" s="30" t="str">
        <v>tengah</v>
      </c>
      <c r="P294" s="30"/>
      <c r="Q294" s="30"/>
      <c r="T294" s="30" t="str">
        <v>kanan</v>
      </c>
      <c r="U294" s="30"/>
      <c r="V294" s="30"/>
    </row>
    <row r="295" spans="5:22">
      <c r="E295" s="30" t="str">
        <v>tengah</v>
      </c>
      <c r="F295" s="30"/>
      <c r="G295" s="30"/>
      <c r="J295" s="30" t="str">
        <v>tengah</v>
      </c>
      <c r="K295" s="30"/>
      <c r="L295" s="30"/>
      <c r="O295" s="30" t="str">
        <v>tengah</v>
      </c>
      <c r="P295" s="30"/>
      <c r="Q295" s="30"/>
      <c r="T295" s="30" t="str">
        <v>kanan</v>
      </c>
      <c r="U295" s="30"/>
      <c r="V295" s="30"/>
    </row>
    <row r="296" spans="5:22">
      <c r="E296" s="30" t="str">
        <v>tengah</v>
      </c>
      <c r="F296" s="30"/>
      <c r="G296" s="30"/>
      <c r="J296" s="30" t="str">
        <v>tengah</v>
      </c>
      <c r="K296" s="30"/>
      <c r="L296" s="30"/>
      <c r="O296" s="30" t="str">
        <v>kiri</v>
      </c>
      <c r="P296" s="30"/>
      <c r="Q296" s="30"/>
      <c r="T296" s="30" t="str">
        <v>kanan</v>
      </c>
      <c r="U296" s="30"/>
      <c r="V296" s="30"/>
    </row>
    <row r="297" spans="5:22">
      <c r="E297" s="30" t="str">
        <v>tengah</v>
      </c>
      <c r="F297" s="30"/>
      <c r="G297" s="30"/>
      <c r="J297" s="30" t="str">
        <v>tengah</v>
      </c>
      <c r="K297" s="30"/>
      <c r="L297" s="30"/>
      <c r="O297" s="30" t="str">
        <v>tengah</v>
      </c>
      <c r="P297" s="30"/>
      <c r="Q297" s="30"/>
      <c r="T297" s="30" t="str">
        <v>tengah</v>
      </c>
      <c r="U297" s="30"/>
      <c r="V297" s="30"/>
    </row>
    <row r="298" spans="5:22">
      <c r="E298" s="30" t="str">
        <v>kiri</v>
      </c>
      <c r="F298" s="30"/>
      <c r="G298" s="30"/>
      <c r="J298" s="30" t="str">
        <v>kiri</v>
      </c>
      <c r="K298" s="30"/>
      <c r="L298" s="30"/>
      <c r="O298" s="30" t="str">
        <v>kiri</v>
      </c>
      <c r="P298" s="30"/>
      <c r="Q298" s="30"/>
      <c r="T298" s="30" t="str">
        <v>kanan</v>
      </c>
      <c r="U298" s="30"/>
      <c r="V298" s="30"/>
    </row>
    <row r="299" spans="5:22">
      <c r="E299" s="30" t="str">
        <v>kiri</v>
      </c>
      <c r="F299" s="30"/>
      <c r="G299" s="30"/>
      <c r="J299" s="30" t="str">
        <v>tengah</v>
      </c>
      <c r="K299" s="30"/>
      <c r="L299" s="30"/>
      <c r="O299" s="30" t="str">
        <v>kiri</v>
      </c>
      <c r="P299" s="30"/>
      <c r="Q299" s="30"/>
      <c r="T299" s="30" t="str">
        <v>tengah</v>
      </c>
      <c r="U299" s="30"/>
      <c r="V299" s="30"/>
    </row>
    <row r="300" spans="5:22">
      <c r="E300" s="30" t="str">
        <v>tengah</v>
      </c>
      <c r="F300" s="30"/>
      <c r="G300" s="30"/>
      <c r="J300" s="30" t="str">
        <v>tengah</v>
      </c>
      <c r="K300" s="30"/>
      <c r="L300" s="30"/>
      <c r="O300" s="30" t="str">
        <v>kiri</v>
      </c>
      <c r="P300" s="30"/>
      <c r="Q300" s="30"/>
      <c r="T300" s="30" t="str">
        <v>tengah</v>
      </c>
      <c r="U300" s="30"/>
      <c r="V300" s="30"/>
    </row>
    <row r="301" spans="5:22">
      <c r="E301" s="30" t="str">
        <v>tengah</v>
      </c>
      <c r="F301" s="30"/>
      <c r="G301" s="30"/>
      <c r="J301" s="30" t="str">
        <v>kanan</v>
      </c>
      <c r="K301" s="30"/>
      <c r="L301" s="30"/>
      <c r="O301" s="30" t="str">
        <v>kiri</v>
      </c>
      <c r="P301" s="30"/>
      <c r="Q301" s="30"/>
      <c r="T301" s="30" t="str">
        <v>tengah</v>
      </c>
      <c r="U301" s="30"/>
      <c r="V301" s="30"/>
    </row>
    <row r="302" spans="5:22">
      <c r="E302" s="30" t="str">
        <v>tengah</v>
      </c>
      <c r="F302" s="30"/>
      <c r="G302" s="30"/>
      <c r="J302" s="30" t="str">
        <v>tengah</v>
      </c>
      <c r="K302" s="30"/>
      <c r="L302" s="30"/>
      <c r="O302" s="30" t="str">
        <v>kanan</v>
      </c>
      <c r="P302" s="30"/>
      <c r="Q302" s="30"/>
      <c r="T302" s="30" t="str">
        <v>kanan</v>
      </c>
      <c r="U302" s="30"/>
      <c r="V302" s="30"/>
    </row>
    <row r="303" spans="5:22">
      <c r="E303" s="30" t="str">
        <v>tengah</v>
      </c>
      <c r="F303" s="30"/>
      <c r="G303" s="30"/>
      <c r="J303" s="30" t="str">
        <v>tengah</v>
      </c>
      <c r="K303" s="30"/>
      <c r="L303" s="30"/>
      <c r="O303" s="30" t="str">
        <v>kiri</v>
      </c>
      <c r="P303" s="30"/>
      <c r="Q303" s="30"/>
      <c r="T303" s="30" t="str">
        <v>kanan</v>
      </c>
      <c r="U303" s="30"/>
      <c r="V303" s="30"/>
    </row>
    <row r="304" spans="5:22">
      <c r="E304" s="30" t="str">
        <v>tengah</v>
      </c>
      <c r="F304" s="30"/>
      <c r="G304" s="30"/>
      <c r="J304" s="30" t="str">
        <v>kiri</v>
      </c>
      <c r="K304" s="30"/>
      <c r="L304" s="30"/>
      <c r="O304" s="30" t="str">
        <v>kiri</v>
      </c>
      <c r="P304" s="30"/>
      <c r="Q304" s="30"/>
      <c r="T304" s="30" t="str">
        <v>kanan</v>
      </c>
      <c r="U304" s="30"/>
      <c r="V304" s="30"/>
    </row>
    <row r="305" spans="5:22">
      <c r="E305" s="30" t="str">
        <v>tengah</v>
      </c>
      <c r="F305" s="30"/>
      <c r="G305" s="30"/>
      <c r="J305" s="30" t="str">
        <v>tengah</v>
      </c>
      <c r="K305" s="30"/>
      <c r="L305" s="30"/>
      <c r="O305" s="30" t="str">
        <v>tengah</v>
      </c>
      <c r="P305" s="30"/>
      <c r="Q305" s="30"/>
      <c r="T305" s="30" t="str">
        <v>kanan</v>
      </c>
      <c r="U305" s="30"/>
      <c r="V305" s="30"/>
    </row>
    <row r="306" spans="5:22">
      <c r="E306" s="30" t="str">
        <v>kiri</v>
      </c>
      <c r="F306" s="30"/>
      <c r="G306" s="30"/>
      <c r="J306" s="30" t="str">
        <v>kanan</v>
      </c>
      <c r="K306" s="30"/>
      <c r="L306" s="30"/>
      <c r="O306" s="30" t="str">
        <v>tengah</v>
      </c>
      <c r="P306" s="30"/>
      <c r="Q306" s="30"/>
      <c r="T306" s="30" t="str">
        <v>kanan</v>
      </c>
      <c r="U306" s="30"/>
      <c r="V306" s="30"/>
    </row>
    <row r="307" spans="5:22">
      <c r="E307" s="30" t="str">
        <v>kanan</v>
      </c>
      <c r="F307" s="30"/>
      <c r="G307" s="30"/>
      <c r="J307" s="30" t="str">
        <v>kanan</v>
      </c>
      <c r="K307" s="30"/>
      <c r="L307" s="30"/>
      <c r="O307" s="30" t="str">
        <v>kanan</v>
      </c>
      <c r="P307" s="30"/>
      <c r="Q307" s="30"/>
      <c r="T307" s="30" t="str">
        <v>kanan</v>
      </c>
      <c r="U307" s="30"/>
      <c r="V307" s="30"/>
    </row>
    <row r="308" spans="5:22">
      <c r="E308" s="30" t="str">
        <v>kanan</v>
      </c>
      <c r="F308" s="30"/>
      <c r="G308" s="30"/>
      <c r="J308" s="30" t="str">
        <v>kanan</v>
      </c>
      <c r="K308" s="30"/>
      <c r="L308" s="30"/>
      <c r="O308" s="30" t="str">
        <v>tengah</v>
      </c>
      <c r="P308" s="30"/>
      <c r="Q308" s="30"/>
      <c r="T308" s="30" t="str">
        <v>tengah</v>
      </c>
      <c r="U308" s="30"/>
      <c r="V308" s="30"/>
    </row>
    <row r="309" spans="5:22">
      <c r="E309" s="30" t="str">
        <v>tengah</v>
      </c>
      <c r="F309" s="30"/>
      <c r="G309" s="30"/>
      <c r="J309" s="30" t="str">
        <v>kiri</v>
      </c>
      <c r="K309" s="30"/>
      <c r="L309" s="30"/>
      <c r="O309" s="30" t="str">
        <v>kiri</v>
      </c>
      <c r="P309" s="30"/>
      <c r="Q309" s="30"/>
      <c r="T309" s="30" t="str">
        <v>kanan</v>
      </c>
      <c r="U309" s="30"/>
      <c r="V309" s="30"/>
    </row>
    <row r="310" spans="5:22">
      <c r="E310" s="30" t="str">
        <v>kanan</v>
      </c>
      <c r="F310" s="30"/>
      <c r="G310" s="30"/>
      <c r="J310" s="30" t="str">
        <v>kiri</v>
      </c>
      <c r="K310" s="30"/>
      <c r="L310" s="30"/>
      <c r="O310" s="30" t="str">
        <v>tengah</v>
      </c>
      <c r="P310" s="30"/>
      <c r="Q310" s="30"/>
      <c r="T310" s="30" t="str">
        <v>kanan</v>
      </c>
      <c r="U310" s="30"/>
      <c r="V310" s="30"/>
    </row>
    <row r="311" spans="5:22">
      <c r="E311" s="30" t="str">
        <v>kiri</v>
      </c>
      <c r="F311" s="30"/>
      <c r="G311" s="30"/>
      <c r="J311" s="30" t="str">
        <v>kanan</v>
      </c>
      <c r="K311" s="30"/>
      <c r="L311" s="30"/>
      <c r="O311" s="30" t="str">
        <v>kiri</v>
      </c>
      <c r="P311" s="30"/>
      <c r="Q311" s="30"/>
      <c r="T311" s="30" t="str">
        <v>kanan</v>
      </c>
      <c r="U311" s="30"/>
      <c r="V311" s="30"/>
    </row>
    <row r="312" spans="5:22">
      <c r="E312" s="30" t="str">
        <v>tengah</v>
      </c>
      <c r="F312" s="30"/>
      <c r="G312" s="30"/>
      <c r="J312" s="30" t="str">
        <v>kanan</v>
      </c>
      <c r="K312" s="30"/>
      <c r="L312" s="30"/>
      <c r="O312" s="30" t="str">
        <v>tengah</v>
      </c>
      <c r="P312" s="30"/>
      <c r="Q312" s="30"/>
      <c r="T312" s="30" t="str">
        <v>kanan</v>
      </c>
      <c r="U312" s="30"/>
      <c r="V312" s="30"/>
    </row>
    <row r="313" spans="5:22">
      <c r="E313" s="30" t="str">
        <v>tengah</v>
      </c>
      <c r="F313" s="30"/>
      <c r="G313" s="30"/>
      <c r="J313" s="30" t="str">
        <v>kanan</v>
      </c>
      <c r="K313" s="30"/>
      <c r="L313" s="30"/>
      <c r="O313" s="30" t="str">
        <v>tengah</v>
      </c>
      <c r="P313" s="30"/>
      <c r="Q313" s="30"/>
      <c r="T313" s="30" t="str">
        <v>kanan</v>
      </c>
      <c r="U313" s="30"/>
      <c r="V313" s="30"/>
    </row>
    <row r="314" spans="5:22">
      <c r="E314" s="30" t="str">
        <v>tengah</v>
      </c>
      <c r="F314" s="30"/>
      <c r="G314" s="30"/>
      <c r="J314" s="30" t="str">
        <v>tengah</v>
      </c>
      <c r="K314" s="30"/>
      <c r="L314" s="30"/>
      <c r="O314" s="30" t="str">
        <v>kiri</v>
      </c>
      <c r="P314" s="30"/>
      <c r="Q314" s="30"/>
      <c r="T314" s="30" t="str">
        <v>kanan</v>
      </c>
      <c r="U314" s="30"/>
      <c r="V314" s="30"/>
    </row>
    <row r="315" spans="5:22">
      <c r="E315" s="30" t="str">
        <v>kiri</v>
      </c>
      <c r="F315" s="30"/>
      <c r="G315" s="30"/>
      <c r="J315" s="30" t="str">
        <v>tengah</v>
      </c>
      <c r="K315" s="30"/>
      <c r="L315" s="30"/>
      <c r="O315" s="30" t="str">
        <v>tengah</v>
      </c>
      <c r="P315" s="30"/>
      <c r="Q315" s="30"/>
      <c r="T315" s="30" t="str">
        <v>kanan</v>
      </c>
      <c r="U315" s="30"/>
      <c r="V315" s="30"/>
    </row>
    <row r="316" spans="5:22">
      <c r="E316" s="30" t="str">
        <v>kiri</v>
      </c>
      <c r="F316" s="30"/>
      <c r="G316" s="30"/>
      <c r="J316" s="30" t="str">
        <v>kiri</v>
      </c>
      <c r="K316" s="30"/>
      <c r="L316" s="30"/>
      <c r="O316" s="30" t="str">
        <v>tengah</v>
      </c>
      <c r="P316" s="30"/>
      <c r="Q316" s="30"/>
      <c r="T316" s="30" t="str">
        <v>kanan</v>
      </c>
      <c r="U316" s="30"/>
      <c r="V316" s="30"/>
    </row>
    <row r="317" spans="5:22">
      <c r="E317" s="30" t="str">
        <v>kiri</v>
      </c>
      <c r="F317" s="30"/>
      <c r="G317" s="30"/>
      <c r="J317" s="30" t="str">
        <v>tengah</v>
      </c>
      <c r="K317" s="30"/>
      <c r="L317" s="30"/>
      <c r="O317" s="30" t="str">
        <v>tengah</v>
      </c>
      <c r="P317" s="30"/>
      <c r="Q317" s="30"/>
      <c r="T317" s="30" t="str">
        <v>kanan</v>
      </c>
      <c r="U317" s="30"/>
      <c r="V317" s="30"/>
    </row>
    <row r="318" spans="5:22">
      <c r="E318" s="30" t="str">
        <v>kiri</v>
      </c>
      <c r="F318" s="30"/>
      <c r="G318" s="30"/>
      <c r="J318" s="30" t="str">
        <v>kiri</v>
      </c>
      <c r="K318" s="30"/>
      <c r="L318" s="30"/>
      <c r="O318" s="30" t="str">
        <v>tengah</v>
      </c>
      <c r="P318" s="30"/>
      <c r="Q318" s="30"/>
      <c r="T318" s="30" t="str">
        <v>kanan</v>
      </c>
      <c r="U318" s="30"/>
      <c r="V318" s="30"/>
    </row>
    <row r="319" spans="5:22">
      <c r="E319" s="30" t="str">
        <v>tengah</v>
      </c>
      <c r="F319" s="30"/>
      <c r="G319" s="30"/>
      <c r="J319" s="30" t="str">
        <v>kiri</v>
      </c>
      <c r="K319" s="30"/>
      <c r="L319" s="30"/>
      <c r="O319" s="30" t="str">
        <v>kanan</v>
      </c>
      <c r="P319" s="30"/>
      <c r="Q319" s="30"/>
      <c r="T319" s="30" t="str">
        <v>tengah</v>
      </c>
      <c r="U319" s="30"/>
      <c r="V319" s="30"/>
    </row>
    <row r="320" spans="5:22">
      <c r="E320" s="30" t="str">
        <v>tengah</v>
      </c>
      <c r="F320" s="30"/>
      <c r="G320" s="30"/>
      <c r="J320" s="30" t="str">
        <v>tengah</v>
      </c>
      <c r="K320" s="30"/>
      <c r="L320" s="30"/>
      <c r="O320" s="30" t="str">
        <v>kanan</v>
      </c>
      <c r="P320" s="30"/>
      <c r="Q320" s="30"/>
      <c r="T320" s="30" t="str">
        <v>tengah</v>
      </c>
      <c r="U320" s="30"/>
      <c r="V320" s="30"/>
    </row>
    <row r="321" spans="5:22">
      <c r="E321" s="30" t="str">
        <v>tengah</v>
      </c>
      <c r="F321" s="30"/>
      <c r="G321" s="30"/>
      <c r="J321" s="30" t="str">
        <v>tengah</v>
      </c>
      <c r="K321" s="30"/>
      <c r="L321" s="30"/>
      <c r="O321" s="30" t="str">
        <v>tengah</v>
      </c>
      <c r="P321" s="30"/>
      <c r="Q321" s="30"/>
      <c r="T321" s="30" t="str">
        <v>kanan</v>
      </c>
      <c r="U321" s="30"/>
      <c r="V321" s="30"/>
    </row>
    <row r="322" spans="5:22">
      <c r="E322" s="30" t="str">
        <v>tengah</v>
      </c>
      <c r="F322" s="30"/>
      <c r="G322" s="30"/>
      <c r="J322" s="30" t="str">
        <v>tengah</v>
      </c>
      <c r="K322" s="30"/>
      <c r="L322" s="30"/>
      <c r="O322" s="30" t="str">
        <v>kanan</v>
      </c>
      <c r="P322" s="30"/>
      <c r="Q322" s="30"/>
      <c r="T322" s="30" t="str">
        <v>tengah</v>
      </c>
      <c r="U322" s="30"/>
      <c r="V322" s="30"/>
    </row>
    <row r="323" spans="5:22">
      <c r="E323" s="30" t="str">
        <v>kiri</v>
      </c>
      <c r="F323" s="30"/>
      <c r="G323" s="30"/>
      <c r="J323" s="30" t="str">
        <v>tengah</v>
      </c>
      <c r="K323" s="30"/>
      <c r="L323" s="30"/>
      <c r="O323" s="30" t="str">
        <v>kiri</v>
      </c>
      <c r="P323" s="30"/>
      <c r="Q323" s="30"/>
      <c r="T323" s="30" t="str">
        <v>tengah</v>
      </c>
      <c r="U323" s="30"/>
      <c r="V323" s="30"/>
    </row>
    <row r="324" spans="5:22">
      <c r="E324" s="30" t="str">
        <v>tengah</v>
      </c>
      <c r="F324" s="30"/>
      <c r="G324" s="30"/>
      <c r="J324" s="30" t="str">
        <v>tengah</v>
      </c>
      <c r="K324" s="30"/>
      <c r="L324" s="30"/>
      <c r="O324" s="30" t="str">
        <v>kanan</v>
      </c>
      <c r="P324" s="30"/>
      <c r="Q324" s="30"/>
      <c r="T324" s="30" t="str">
        <v>tengah</v>
      </c>
      <c r="U324" s="30"/>
      <c r="V324" s="30"/>
    </row>
    <row r="325" spans="5:22">
      <c r="E325" s="30" t="str">
        <v>kiri</v>
      </c>
      <c r="F325" s="30"/>
      <c r="G325" s="30"/>
      <c r="J325" s="30" t="str">
        <v>kiri</v>
      </c>
      <c r="K325" s="30"/>
      <c r="L325" s="30"/>
      <c r="O325" s="30" t="str">
        <v>kanan</v>
      </c>
      <c r="P325" s="30"/>
      <c r="Q325" s="30"/>
      <c r="T325" s="30" t="str">
        <v>kanan</v>
      </c>
      <c r="U325" s="30"/>
      <c r="V325" s="30"/>
    </row>
    <row r="326" spans="5:22">
      <c r="E326" s="30" t="str">
        <v>tengah</v>
      </c>
      <c r="F326" s="30"/>
      <c r="G326" s="30"/>
      <c r="J326" s="30" t="str">
        <v>tengah</v>
      </c>
      <c r="K326" s="30"/>
      <c r="L326" s="30"/>
      <c r="O326" s="30" t="str">
        <v>tengah</v>
      </c>
      <c r="P326" s="30"/>
      <c r="Q326" s="30"/>
      <c r="T326" s="30" t="str">
        <v>tengah</v>
      </c>
      <c r="U326" s="30"/>
      <c r="V326" s="30"/>
    </row>
    <row r="327" spans="5:22">
      <c r="E327" s="30" t="str">
        <v>kanan</v>
      </c>
      <c r="F327" s="30"/>
      <c r="G327" s="30"/>
      <c r="J327" s="30" t="str">
        <v>tengah</v>
      </c>
      <c r="K327" s="30"/>
      <c r="L327" s="30"/>
      <c r="O327" s="30" t="str">
        <v>tengah</v>
      </c>
      <c r="P327" s="30"/>
      <c r="Q327" s="30"/>
      <c r="T327" s="30" t="str">
        <v>tengah</v>
      </c>
      <c r="U327" s="30"/>
      <c r="V327" s="30"/>
    </row>
    <row r="328" spans="5:22">
      <c r="E328" s="30" t="str">
        <v>tengah</v>
      </c>
      <c r="F328" s="30"/>
      <c r="G328" s="30"/>
      <c r="J328" s="30" t="str">
        <v>tengah</v>
      </c>
      <c r="K328" s="30"/>
      <c r="L328" s="30"/>
      <c r="O328" s="30" t="str">
        <v>tengah</v>
      </c>
      <c r="P328" s="30"/>
      <c r="Q328" s="30"/>
      <c r="T328" s="30" t="str">
        <v>kanan</v>
      </c>
      <c r="U328" s="30"/>
      <c r="V328" s="30"/>
    </row>
    <row r="329" spans="5:22">
      <c r="E329" s="30" t="str">
        <v>tengah</v>
      </c>
      <c r="F329" s="30"/>
      <c r="G329" s="30"/>
      <c r="J329" s="30" t="str">
        <v>tengah</v>
      </c>
      <c r="K329" s="30"/>
      <c r="L329" s="30"/>
      <c r="O329" s="30" t="str">
        <v>kiri</v>
      </c>
      <c r="P329" s="30"/>
      <c r="Q329" s="30"/>
      <c r="T329" s="30" t="str">
        <v>tengah</v>
      </c>
      <c r="U329" s="30"/>
      <c r="V329" s="30"/>
    </row>
    <row r="330" spans="5:22">
      <c r="E330" s="30" t="str">
        <v>tengah</v>
      </c>
      <c r="F330" s="30"/>
      <c r="G330" s="30"/>
      <c r="J330" s="30" t="str">
        <v>kanan</v>
      </c>
      <c r="K330" s="30"/>
      <c r="L330" s="30"/>
      <c r="O330" s="30" t="str">
        <v>tengah</v>
      </c>
      <c r="P330" s="30"/>
      <c r="Q330" s="30"/>
      <c r="T330" s="30" t="str">
        <v>tengah</v>
      </c>
      <c r="U330" s="30"/>
      <c r="V330" s="30"/>
    </row>
    <row r="331" spans="5:22">
      <c r="E331" s="30" t="str">
        <v>kanan</v>
      </c>
      <c r="F331" s="30"/>
      <c r="G331" s="30"/>
      <c r="J331" s="30" t="str">
        <v>tengah</v>
      </c>
      <c r="K331" s="30"/>
      <c r="L331" s="30"/>
      <c r="O331" s="30" t="str">
        <v>kanan</v>
      </c>
      <c r="P331" s="30"/>
      <c r="Q331" s="30"/>
      <c r="T331" s="30" t="str">
        <v>kanan</v>
      </c>
      <c r="U331" s="30"/>
      <c r="V331" s="30"/>
    </row>
    <row r="332" spans="5:22">
      <c r="E332" s="30" t="str">
        <v>kanan</v>
      </c>
      <c r="F332" s="30"/>
      <c r="G332" s="30"/>
      <c r="J332" s="30" t="str">
        <v>tengah</v>
      </c>
      <c r="K332" s="30"/>
      <c r="L332" s="30"/>
      <c r="O332" s="30" t="str">
        <v>tengah</v>
      </c>
      <c r="P332" s="30"/>
      <c r="Q332" s="30"/>
      <c r="T332" s="30" t="str">
        <v>tengah</v>
      </c>
      <c r="U332" s="30"/>
      <c r="V332" s="30"/>
    </row>
  </sheetData>
  <pageMargins left="0.7" right="0.7" top="0.75" bottom="0.75" header="0.3" footer="0.3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32"/>
  <sheetViews>
    <sheetView topLeftCell="K164" workbookViewId="0">
      <selection activeCell="M173" sqref="M173"/>
    </sheetView>
  </sheetViews>
  <sheetFormatPr defaultColWidth="9" defaultRowHeight="15"/>
  <cols>
    <col min="3" max="3" width="15.8518518518519" customWidth="1"/>
    <col min="4" max="4" width="22" customWidth="1"/>
    <col min="5" max="5" width="13.2814814814815" customWidth="1"/>
    <col min="6" max="6" width="13.8518518518519" customWidth="1"/>
    <col min="7" max="7" width="12" customWidth="1"/>
    <col min="10" max="10" width="15.8518518518519" customWidth="1"/>
    <col min="11" max="11" width="16.2814814814815" customWidth="1"/>
    <col min="12" max="12" width="13.8518518518519" customWidth="1"/>
    <col min="13" max="13" width="15.7111111111111" customWidth="1"/>
    <col min="15" max="15" width="24.8518518518519" customWidth="1"/>
    <col min="16" max="16" width="12" customWidth="1"/>
    <col min="17" max="17" width="14.1407407407407" customWidth="1"/>
    <col min="20" max="20" width="14.2814814814815" customWidth="1"/>
  </cols>
  <sheetData>
    <row r="1" spans="1:17">
      <c r="A1" s="29" t="s">
        <v>175</v>
      </c>
      <c r="B1" s="29" t="s">
        <v>1</v>
      </c>
      <c r="C1" s="29" t="s">
        <v>2</v>
      </c>
      <c r="D1" s="29" t="s">
        <v>171</v>
      </c>
      <c r="E1" s="29" t="s">
        <v>4</v>
      </c>
      <c r="F1" s="29" t="s">
        <v>6</v>
      </c>
      <c r="H1" s="42" t="s">
        <v>175</v>
      </c>
      <c r="I1" s="42" t="s">
        <v>1</v>
      </c>
      <c r="J1" s="42" t="s">
        <v>2</v>
      </c>
      <c r="K1" s="42" t="s">
        <v>171</v>
      </c>
      <c r="L1" s="42" t="s">
        <v>4</v>
      </c>
      <c r="M1" s="42" t="s">
        <v>6</v>
      </c>
      <c r="O1" s="29" t="s">
        <v>176</v>
      </c>
      <c r="P1" s="32"/>
      <c r="Q1" s="32"/>
    </row>
    <row r="2" spans="1:17">
      <c r="A2" s="30">
        <f ca="1">RANDBETWEEN(2,164)</f>
        <v>73</v>
      </c>
      <c r="B2" s="30">
        <f ca="1" t="array" ref="B2">INDEX(Data_DBD!$B:$B,$A2)</f>
        <v>15</v>
      </c>
      <c r="C2" s="30">
        <f ca="1" t="array" ref="C2">INDEX(Data_DBD!$C:$C,$A2)</f>
        <v>3</v>
      </c>
      <c r="D2" s="30">
        <f ca="1" t="array" ref="D2">INDEX(Data_DBD!$D:$D,$A2)</f>
        <v>10</v>
      </c>
      <c r="E2" s="30">
        <f ca="1" t="array" ref="E2">INDEX(Data_DBD!$E:$E,$A2)</f>
        <v>1</v>
      </c>
      <c r="F2" s="30">
        <f ca="1" t="array" ref="F2">INDEX(Data_DBD!$F:$F,$A2)</f>
        <v>2</v>
      </c>
      <c r="H2" s="42">
        <v>57</v>
      </c>
      <c r="I2" s="42">
        <v>2</v>
      </c>
      <c r="J2" s="42">
        <v>2</v>
      </c>
      <c r="K2" s="42">
        <v>15</v>
      </c>
      <c r="L2" s="42">
        <v>1</v>
      </c>
      <c r="M2" s="42">
        <v>2</v>
      </c>
      <c r="O2" s="33">
        <v>1</v>
      </c>
      <c r="P2" s="32">
        <f>COUNTIF(M2:M164,"1")</f>
        <v>10</v>
      </c>
      <c r="Q2" s="32">
        <f>P2/163</f>
        <v>0.0613496932515337</v>
      </c>
    </row>
    <row r="3" spans="1:17">
      <c r="A3" s="30">
        <f ca="1" t="shared" ref="A3:A66" si="0">RANDBETWEEN(2,164)</f>
        <v>29</v>
      </c>
      <c r="B3" s="30">
        <f ca="1" t="array" ref="B3">INDEX(Data_DBD!$B:$B,$A3)</f>
        <v>19</v>
      </c>
      <c r="C3" s="30">
        <f ca="1" t="array" ref="C3">INDEX(Data_DBD!$C:$C,$A3)</f>
        <v>2</v>
      </c>
      <c r="D3" s="30">
        <f ca="1" t="array" ref="D3">INDEX(Data_DBD!$D:$D,$A3)</f>
        <v>14</v>
      </c>
      <c r="E3" s="30">
        <f ca="1" t="array" ref="E3">INDEX(Data_DBD!$E:$E,$A3)</f>
        <v>1</v>
      </c>
      <c r="F3" s="30">
        <f ca="1" t="array" ref="F3">INDEX(Data_DBD!$F:$F,$A3)</f>
        <v>2</v>
      </c>
      <c r="H3" s="42">
        <v>52</v>
      </c>
      <c r="I3" s="42">
        <v>59</v>
      </c>
      <c r="J3" s="42">
        <v>4</v>
      </c>
      <c r="K3" s="42">
        <v>15</v>
      </c>
      <c r="L3" s="42">
        <v>1</v>
      </c>
      <c r="M3" s="42">
        <v>2</v>
      </c>
      <c r="O3" s="32">
        <v>2</v>
      </c>
      <c r="P3" s="32">
        <f>COUNTIF(M2:M164,"2")</f>
        <v>80</v>
      </c>
      <c r="Q3" s="32">
        <f>P3/163</f>
        <v>0.49079754601227</v>
      </c>
    </row>
    <row r="4" spans="1:17">
      <c r="A4" s="30">
        <f ca="1" t="shared" si="0"/>
        <v>25</v>
      </c>
      <c r="B4" s="30">
        <f ca="1" t="array" ref="B4">INDEX(Data_DBD!$B:$B,$A4)</f>
        <v>81</v>
      </c>
      <c r="C4" s="30">
        <f ca="1" t="array" ref="C4">INDEX(Data_DBD!$C:$C,$A4)</f>
        <v>5</v>
      </c>
      <c r="D4" s="30">
        <f ca="1" t="array" ref="D4">INDEX(Data_DBD!$D:$D,$A4)</f>
        <v>14</v>
      </c>
      <c r="E4" s="30">
        <f ca="1" t="array" ref="E4">INDEX(Data_DBD!$E:$E,$A4)</f>
        <v>0</v>
      </c>
      <c r="F4" s="30">
        <f ca="1" t="array" ref="F4">INDEX(Data_DBD!$F:$F,$A4)</f>
        <v>2</v>
      </c>
      <c r="H4" s="42">
        <v>91</v>
      </c>
      <c r="I4" s="42">
        <v>35</v>
      </c>
      <c r="J4" s="42">
        <v>1</v>
      </c>
      <c r="K4" s="42">
        <v>18</v>
      </c>
      <c r="L4" s="42">
        <v>1</v>
      </c>
      <c r="M4" s="42">
        <v>3</v>
      </c>
      <c r="O4" s="32">
        <v>3</v>
      </c>
      <c r="P4" s="32">
        <f>COUNTIF(M2:M164,"3")</f>
        <v>73</v>
      </c>
      <c r="Q4" s="32">
        <f>P4/163</f>
        <v>0.447852760736196</v>
      </c>
    </row>
    <row r="5" spans="1:16">
      <c r="A5" s="30">
        <f ca="1" t="shared" si="0"/>
        <v>73</v>
      </c>
      <c r="B5" s="30">
        <f ca="1" t="array" ref="B5">INDEX(Data_DBD!$B:$B,$A5)</f>
        <v>15</v>
      </c>
      <c r="C5" s="30">
        <f ca="1" t="array" ref="C5">INDEX(Data_DBD!$C:$C,$A5)</f>
        <v>3</v>
      </c>
      <c r="D5" s="30">
        <f ca="1" t="array" ref="D5">INDEX(Data_DBD!$D:$D,$A5)</f>
        <v>10</v>
      </c>
      <c r="E5" s="30">
        <f ca="1" t="array" ref="E5">INDEX(Data_DBD!$E:$E,$A5)</f>
        <v>1</v>
      </c>
      <c r="F5" s="30">
        <f ca="1" t="array" ref="F5">INDEX(Data_DBD!$F:$F,$A5)</f>
        <v>2</v>
      </c>
      <c r="H5" s="42">
        <v>45</v>
      </c>
      <c r="I5" s="42">
        <v>75</v>
      </c>
      <c r="J5" s="42">
        <v>3</v>
      </c>
      <c r="K5" s="42">
        <v>13</v>
      </c>
      <c r="L5" s="42">
        <v>1</v>
      </c>
      <c r="M5" s="42">
        <v>2</v>
      </c>
      <c r="O5" s="34" t="s">
        <v>181</v>
      </c>
      <c r="P5">
        <f>-(IFERROR(Q2*LOG(Q2,2),0)+IFERROR(Q3*LOG(Q3,2),0)+IFERROR(Q4*LOG(Q4,2),0))</f>
        <v>1.27001207240222</v>
      </c>
    </row>
    <row r="6" spans="1:13">
      <c r="A6" s="30">
        <f ca="1" t="shared" si="0"/>
        <v>55</v>
      </c>
      <c r="B6" s="30">
        <f ca="1" t="array" ref="B6">INDEX(Data_DBD!$B:$B,$A6)</f>
        <v>7</v>
      </c>
      <c r="C6" s="30">
        <f ca="1" t="array" ref="C6">INDEX(Data_DBD!$C:$C,$A6)</f>
        <v>4</v>
      </c>
      <c r="D6" s="30">
        <f ca="1" t="array" ref="D6">INDEX(Data_DBD!$D:$D,$A6)</f>
        <v>15</v>
      </c>
      <c r="E6" s="30">
        <f ca="1" t="array" ref="E6">INDEX(Data_DBD!$E:$E,$A6)</f>
        <v>1</v>
      </c>
      <c r="F6" s="30">
        <f ca="1" t="array" ref="F6">INDEX(Data_DBD!$F:$F,$A6)</f>
        <v>2</v>
      </c>
      <c r="H6" s="42">
        <v>76</v>
      </c>
      <c r="I6" s="42">
        <v>70</v>
      </c>
      <c r="J6" s="42">
        <v>2</v>
      </c>
      <c r="K6" s="42">
        <v>10</v>
      </c>
      <c r="L6" s="42">
        <v>0</v>
      </c>
      <c r="M6" s="42">
        <v>2</v>
      </c>
    </row>
    <row r="7" spans="1:13">
      <c r="A7" s="30">
        <f ca="1" t="shared" si="0"/>
        <v>139</v>
      </c>
      <c r="B7" s="30">
        <f ca="1" t="array" ref="B7">INDEX(Data_DBD!$B:$B,$A7)</f>
        <v>52</v>
      </c>
      <c r="C7" s="30">
        <f ca="1" t="array" ref="C7">INDEX(Data_DBD!$C:$C,$A7)</f>
        <v>7</v>
      </c>
      <c r="D7" s="30">
        <f ca="1" t="array" ref="D7">INDEX(Data_DBD!$D:$D,$A7)</f>
        <v>21</v>
      </c>
      <c r="E7" s="30">
        <f ca="1" t="array" ref="E7">INDEX(Data_DBD!$E:$E,$A7)</f>
        <v>0</v>
      </c>
      <c r="F7" s="30">
        <f ca="1" t="array" ref="F7">INDEX(Data_DBD!$F:$F,$A7)</f>
        <v>3</v>
      </c>
      <c r="H7" s="42">
        <v>131</v>
      </c>
      <c r="I7" s="42">
        <v>10</v>
      </c>
      <c r="J7" s="42">
        <v>2</v>
      </c>
      <c r="K7" s="42">
        <v>33</v>
      </c>
      <c r="L7" s="42">
        <v>0</v>
      </c>
      <c r="M7" s="42">
        <v>3</v>
      </c>
    </row>
    <row r="8" spans="1:13">
      <c r="A8" s="30">
        <f ca="1" t="shared" si="0"/>
        <v>155</v>
      </c>
      <c r="B8" s="30">
        <f ca="1" t="array" ref="B8">INDEX(Data_DBD!$B:$B,$A8)</f>
        <v>19</v>
      </c>
      <c r="C8" s="30">
        <f ca="1" t="array" ref="C8">INDEX(Data_DBD!$C:$C,$A8)</f>
        <v>5</v>
      </c>
      <c r="D8" s="30">
        <f ca="1" t="array" ref="D8">INDEX(Data_DBD!$D:$D,$A8)</f>
        <v>21</v>
      </c>
      <c r="E8" s="30">
        <f ca="1" t="array" ref="E8">INDEX(Data_DBD!$E:$E,$A8)</f>
        <v>1</v>
      </c>
      <c r="F8" s="30">
        <f ca="1" t="array" ref="F8">INDEX(Data_DBD!$F:$F,$A8)</f>
        <v>3</v>
      </c>
      <c r="H8" s="42">
        <v>133</v>
      </c>
      <c r="I8" s="42">
        <v>6</v>
      </c>
      <c r="J8" s="42">
        <v>4</v>
      </c>
      <c r="K8" s="42">
        <v>33</v>
      </c>
      <c r="L8" s="42">
        <v>0</v>
      </c>
      <c r="M8" s="42">
        <v>3</v>
      </c>
    </row>
    <row r="9" spans="1:13">
      <c r="A9" s="30">
        <f ca="1" t="shared" si="0"/>
        <v>59</v>
      </c>
      <c r="B9" s="30">
        <f ca="1" t="array" ref="B9">INDEX(Data_DBD!$B:$B,$A9)</f>
        <v>28</v>
      </c>
      <c r="C9" s="30">
        <f ca="1" t="array" ref="C9">INDEX(Data_DBD!$C:$C,$A9)</f>
        <v>4</v>
      </c>
      <c r="D9" s="30">
        <f ca="1" t="array" ref="D9">INDEX(Data_DBD!$D:$D,$A9)</f>
        <v>15</v>
      </c>
      <c r="E9" s="30">
        <f ca="1" t="array" ref="E9">INDEX(Data_DBD!$E:$E,$A9)</f>
        <v>0</v>
      </c>
      <c r="F9" s="30">
        <f ca="1" t="array" ref="F9">INDEX(Data_DBD!$F:$F,$A9)</f>
        <v>2</v>
      </c>
      <c r="H9" s="42">
        <v>114</v>
      </c>
      <c r="I9" s="42">
        <v>14</v>
      </c>
      <c r="J9" s="42">
        <v>2</v>
      </c>
      <c r="K9" s="42">
        <v>33</v>
      </c>
      <c r="L9" s="42">
        <v>1</v>
      </c>
      <c r="M9" s="42">
        <v>3</v>
      </c>
    </row>
    <row r="10" spans="1:13">
      <c r="A10" s="30">
        <f ca="1" t="shared" si="0"/>
        <v>125</v>
      </c>
      <c r="B10" s="30">
        <f ca="1" t="array" ref="B10">INDEX(Data_DBD!$B:$B,$A10)</f>
        <v>39</v>
      </c>
      <c r="C10" s="30">
        <f ca="1" t="array" ref="C10">INDEX(Data_DBD!$C:$C,$A10)</f>
        <v>4</v>
      </c>
      <c r="D10" s="30">
        <f ca="1" t="array" ref="D10">INDEX(Data_DBD!$D:$D,$A10)</f>
        <v>33</v>
      </c>
      <c r="E10" s="30">
        <f ca="1" t="array" ref="E10">INDEX(Data_DBD!$E:$E,$A10)</f>
        <v>0</v>
      </c>
      <c r="F10" s="30">
        <f ca="1" t="array" ref="F10">INDEX(Data_DBD!$F:$F,$A10)</f>
        <v>3</v>
      </c>
      <c r="H10" s="42">
        <v>50</v>
      </c>
      <c r="I10" s="42">
        <v>19</v>
      </c>
      <c r="J10" s="42">
        <v>5</v>
      </c>
      <c r="K10" s="42">
        <v>13</v>
      </c>
      <c r="L10" s="42">
        <v>0</v>
      </c>
      <c r="M10" s="42">
        <v>2</v>
      </c>
    </row>
    <row r="11" spans="1:13">
      <c r="A11" s="30">
        <f ca="1" t="shared" si="0"/>
        <v>64</v>
      </c>
      <c r="B11" s="30">
        <f ca="1" t="array" ref="B11">INDEX(Data_DBD!$B:$B,$A11)</f>
        <v>35</v>
      </c>
      <c r="C11" s="30">
        <f ca="1" t="array" ref="C11">INDEX(Data_DBD!$C:$C,$A11)</f>
        <v>1</v>
      </c>
      <c r="D11" s="30">
        <f ca="1" t="array" ref="D11">INDEX(Data_DBD!$D:$D,$A11)</f>
        <v>15</v>
      </c>
      <c r="E11" s="30">
        <f ca="1" t="array" ref="E11">INDEX(Data_DBD!$E:$E,$A11)</f>
        <v>0</v>
      </c>
      <c r="F11" s="30">
        <f ca="1" t="array" ref="F11">INDEX(Data_DBD!$F:$F,$A11)</f>
        <v>2</v>
      </c>
      <c r="H11" s="42">
        <v>124</v>
      </c>
      <c r="I11" s="42">
        <v>24</v>
      </c>
      <c r="J11" s="42">
        <v>3</v>
      </c>
      <c r="K11" s="42">
        <v>33</v>
      </c>
      <c r="L11" s="42">
        <v>1</v>
      </c>
      <c r="M11" s="42">
        <v>3</v>
      </c>
    </row>
    <row r="12" spans="1:13">
      <c r="A12" s="30">
        <f ca="1" t="shared" si="0"/>
        <v>55</v>
      </c>
      <c r="B12" s="30">
        <f ca="1" t="array" ref="B12">INDEX(Data_DBD!$B:$B,$A12)</f>
        <v>7</v>
      </c>
      <c r="C12" s="30">
        <f ca="1" t="array" ref="C12">INDEX(Data_DBD!$C:$C,$A12)</f>
        <v>4</v>
      </c>
      <c r="D12" s="30">
        <f ca="1" t="array" ref="D12">INDEX(Data_DBD!$D:$D,$A12)</f>
        <v>15</v>
      </c>
      <c r="E12" s="30">
        <f ca="1" t="array" ref="E12">INDEX(Data_DBD!$E:$E,$A12)</f>
        <v>1</v>
      </c>
      <c r="F12" s="30">
        <f ca="1" t="array" ref="F12">INDEX(Data_DBD!$F:$F,$A12)</f>
        <v>2</v>
      </c>
      <c r="H12" s="42">
        <v>89</v>
      </c>
      <c r="I12" s="42">
        <v>32</v>
      </c>
      <c r="J12" s="42">
        <v>4</v>
      </c>
      <c r="K12" s="42">
        <v>13</v>
      </c>
      <c r="L12" s="42">
        <v>0</v>
      </c>
      <c r="M12" s="42">
        <v>2</v>
      </c>
    </row>
    <row r="13" spans="1:13">
      <c r="A13" s="30">
        <f ca="1" t="shared" si="0"/>
        <v>152</v>
      </c>
      <c r="B13" s="30">
        <f ca="1" t="array" ref="B13">INDEX(Data_DBD!$B:$B,$A13)</f>
        <v>47</v>
      </c>
      <c r="C13" s="30">
        <f ca="1" t="array" ref="C13">INDEX(Data_DBD!$C:$C,$A13)</f>
        <v>3</v>
      </c>
      <c r="D13" s="30">
        <f ca="1" t="array" ref="D13">INDEX(Data_DBD!$D:$D,$A13)</f>
        <v>21</v>
      </c>
      <c r="E13" s="30">
        <f ca="1" t="array" ref="E13">INDEX(Data_DBD!$E:$E,$A13)</f>
        <v>1</v>
      </c>
      <c r="F13" s="30">
        <f ca="1" t="array" ref="F13">INDEX(Data_DBD!$F:$F,$A13)</f>
        <v>3</v>
      </c>
      <c r="H13" s="42">
        <v>89</v>
      </c>
      <c r="I13" s="42">
        <v>32</v>
      </c>
      <c r="J13" s="42">
        <v>4</v>
      </c>
      <c r="K13" s="42">
        <v>13</v>
      </c>
      <c r="L13" s="42">
        <v>0</v>
      </c>
      <c r="M13" s="42">
        <v>2</v>
      </c>
    </row>
    <row r="14" spans="1:13">
      <c r="A14" s="30">
        <f ca="1" t="shared" si="0"/>
        <v>155</v>
      </c>
      <c r="B14" s="30">
        <f ca="1" t="array" ref="B14">INDEX(Data_DBD!$B:$B,$A14)</f>
        <v>19</v>
      </c>
      <c r="C14" s="30">
        <f ca="1" t="array" ref="C14">INDEX(Data_DBD!$C:$C,$A14)</f>
        <v>5</v>
      </c>
      <c r="D14" s="30">
        <f ca="1" t="array" ref="D14">INDEX(Data_DBD!$D:$D,$A14)</f>
        <v>21</v>
      </c>
      <c r="E14" s="30">
        <f ca="1" t="array" ref="E14">INDEX(Data_DBD!$E:$E,$A14)</f>
        <v>1</v>
      </c>
      <c r="F14" s="30">
        <f ca="1" t="array" ref="F14">INDEX(Data_DBD!$F:$F,$A14)</f>
        <v>3</v>
      </c>
      <c r="H14" s="42">
        <v>119</v>
      </c>
      <c r="I14" s="42">
        <v>30</v>
      </c>
      <c r="J14" s="42">
        <v>7</v>
      </c>
      <c r="K14" s="42">
        <v>33</v>
      </c>
      <c r="L14" s="42">
        <v>0</v>
      </c>
      <c r="M14" s="42">
        <v>3</v>
      </c>
    </row>
    <row r="15" spans="1:13">
      <c r="A15" s="30">
        <f ca="1" t="shared" si="0"/>
        <v>42</v>
      </c>
      <c r="B15" s="30">
        <f ca="1" t="array" ref="B15">INDEX(Data_DBD!$B:$B,$A15)</f>
        <v>21</v>
      </c>
      <c r="C15" s="30">
        <f ca="1" t="array" ref="C15">INDEX(Data_DBD!$C:$C,$A15)</f>
        <v>5</v>
      </c>
      <c r="D15" s="30">
        <f ca="1" t="array" ref="D15">INDEX(Data_DBD!$D:$D,$A15)</f>
        <v>13</v>
      </c>
      <c r="E15" s="30">
        <f ca="1" t="array" ref="E15">INDEX(Data_DBD!$E:$E,$A15)</f>
        <v>1</v>
      </c>
      <c r="F15" s="30">
        <f ca="1" t="array" ref="F15">INDEX(Data_DBD!$F:$F,$A15)</f>
        <v>2</v>
      </c>
      <c r="H15" s="42">
        <v>112</v>
      </c>
      <c r="I15" s="42">
        <v>61</v>
      </c>
      <c r="J15" s="42">
        <v>3</v>
      </c>
      <c r="K15" s="42">
        <v>33</v>
      </c>
      <c r="L15" s="42">
        <v>1</v>
      </c>
      <c r="M15" s="42">
        <v>3</v>
      </c>
    </row>
    <row r="16" spans="1:13">
      <c r="A16" s="30">
        <f ca="1" t="shared" si="0"/>
        <v>158</v>
      </c>
      <c r="B16" s="30">
        <f ca="1" t="array" ref="B16">INDEX(Data_DBD!$B:$B,$A16)</f>
        <v>5</v>
      </c>
      <c r="C16" s="30">
        <f ca="1" t="array" ref="C16">INDEX(Data_DBD!$C:$C,$A16)</f>
        <v>2</v>
      </c>
      <c r="D16" s="30">
        <f ca="1" t="array" ref="D16">INDEX(Data_DBD!$D:$D,$A16)</f>
        <v>21</v>
      </c>
      <c r="E16" s="30">
        <f ca="1" t="array" ref="E16">INDEX(Data_DBD!$E:$E,$A16)</f>
        <v>0</v>
      </c>
      <c r="F16" s="30">
        <f ca="1" t="array" ref="F16">INDEX(Data_DBD!$F:$F,$A16)</f>
        <v>3</v>
      </c>
      <c r="H16" s="42">
        <v>39</v>
      </c>
      <c r="I16" s="42">
        <v>12</v>
      </c>
      <c r="J16" s="42">
        <v>5</v>
      </c>
      <c r="K16" s="42">
        <v>13</v>
      </c>
      <c r="L16" s="42">
        <v>1</v>
      </c>
      <c r="M16" s="42">
        <v>2</v>
      </c>
    </row>
    <row r="17" spans="1:13">
      <c r="A17" s="30">
        <f ca="1" t="shared" si="0"/>
        <v>126</v>
      </c>
      <c r="B17" s="30">
        <f ca="1" t="array" ref="B17">INDEX(Data_DBD!$B:$B,$A17)</f>
        <v>51</v>
      </c>
      <c r="C17" s="30">
        <f ca="1" t="array" ref="C17">INDEX(Data_DBD!$C:$C,$A17)</f>
        <v>3</v>
      </c>
      <c r="D17" s="30">
        <f ca="1" t="array" ref="D17">INDEX(Data_DBD!$D:$D,$A17)</f>
        <v>33</v>
      </c>
      <c r="E17" s="30">
        <f ca="1" t="array" ref="E17">INDEX(Data_DBD!$E:$E,$A17)</f>
        <v>1</v>
      </c>
      <c r="F17" s="30">
        <f ca="1" t="array" ref="F17">INDEX(Data_DBD!$F:$F,$A17)</f>
        <v>3</v>
      </c>
      <c r="H17" s="42">
        <v>5</v>
      </c>
      <c r="I17" s="42">
        <v>18</v>
      </c>
      <c r="J17" s="42">
        <v>2</v>
      </c>
      <c r="K17" s="42">
        <v>12</v>
      </c>
      <c r="L17" s="42">
        <v>1</v>
      </c>
      <c r="M17" s="42">
        <v>2</v>
      </c>
    </row>
    <row r="18" spans="1:13">
      <c r="A18" s="30">
        <f ca="1" t="shared" si="0"/>
        <v>78</v>
      </c>
      <c r="B18" s="30">
        <f ca="1" t="array" ref="B18">INDEX(Data_DBD!$B:$B,$A18)</f>
        <v>6</v>
      </c>
      <c r="C18" s="30">
        <f ca="1" t="array" ref="C18">INDEX(Data_DBD!$C:$C,$A18)</f>
        <v>3</v>
      </c>
      <c r="D18" s="30">
        <f ca="1" t="array" ref="D18">INDEX(Data_DBD!$D:$D,$A18)</f>
        <v>13</v>
      </c>
      <c r="E18" s="30">
        <f ca="1" t="array" ref="E18">INDEX(Data_DBD!$E:$E,$A18)</f>
        <v>0</v>
      </c>
      <c r="F18" s="30">
        <f ca="1" t="array" ref="F18">INDEX(Data_DBD!$F:$F,$A18)</f>
        <v>2</v>
      </c>
      <c r="H18" s="42">
        <v>164</v>
      </c>
      <c r="I18" s="42">
        <v>10</v>
      </c>
      <c r="J18" s="42">
        <v>6</v>
      </c>
      <c r="K18" s="42">
        <v>3</v>
      </c>
      <c r="L18" s="42">
        <v>0</v>
      </c>
      <c r="M18" s="42">
        <v>1</v>
      </c>
    </row>
    <row r="19" spans="1:13">
      <c r="A19" s="30">
        <f ca="1" t="shared" si="0"/>
        <v>73</v>
      </c>
      <c r="B19" s="30">
        <f ca="1" t="array" ref="B19">INDEX(Data_DBD!$B:$B,$A19)</f>
        <v>15</v>
      </c>
      <c r="C19" s="30">
        <f ca="1" t="array" ref="C19">INDEX(Data_DBD!$C:$C,$A19)</f>
        <v>3</v>
      </c>
      <c r="D19" s="30">
        <f ca="1" t="array" ref="D19">INDEX(Data_DBD!$D:$D,$A19)</f>
        <v>10</v>
      </c>
      <c r="E19" s="30">
        <f ca="1" t="array" ref="E19">INDEX(Data_DBD!$E:$E,$A19)</f>
        <v>1</v>
      </c>
      <c r="F19" s="30">
        <f ca="1" t="array" ref="F19">INDEX(Data_DBD!$F:$F,$A19)</f>
        <v>2</v>
      </c>
      <c r="H19" s="42">
        <v>87</v>
      </c>
      <c r="I19" s="42">
        <v>21</v>
      </c>
      <c r="J19" s="42">
        <v>3</v>
      </c>
      <c r="K19" s="42">
        <v>13</v>
      </c>
      <c r="L19" s="42">
        <v>0</v>
      </c>
      <c r="M19" s="42">
        <v>2</v>
      </c>
    </row>
    <row r="20" spans="1:13">
      <c r="A20" s="30">
        <f ca="1" t="shared" si="0"/>
        <v>55</v>
      </c>
      <c r="B20" s="30">
        <f ca="1" t="array" ref="B20">INDEX(Data_DBD!$B:$B,$A20)</f>
        <v>7</v>
      </c>
      <c r="C20" s="30">
        <f ca="1" t="array" ref="C20">INDEX(Data_DBD!$C:$C,$A20)</f>
        <v>4</v>
      </c>
      <c r="D20" s="30">
        <f ca="1" t="array" ref="D20">INDEX(Data_DBD!$D:$D,$A20)</f>
        <v>15</v>
      </c>
      <c r="E20" s="30">
        <f ca="1" t="array" ref="E20">INDEX(Data_DBD!$E:$E,$A20)</f>
        <v>1</v>
      </c>
      <c r="F20" s="30">
        <f ca="1" t="array" ref="F20">INDEX(Data_DBD!$F:$F,$A20)</f>
        <v>2</v>
      </c>
      <c r="H20" s="42">
        <v>141</v>
      </c>
      <c r="I20" s="42">
        <v>36</v>
      </c>
      <c r="J20" s="42">
        <v>2</v>
      </c>
      <c r="K20" s="42">
        <v>21</v>
      </c>
      <c r="L20" s="42">
        <v>0</v>
      </c>
      <c r="M20" s="42">
        <v>3</v>
      </c>
    </row>
    <row r="21" spans="1:13">
      <c r="A21" s="30">
        <f ca="1" t="shared" si="0"/>
        <v>139</v>
      </c>
      <c r="B21" s="30">
        <f ca="1" t="array" ref="B21">INDEX(Data_DBD!$B:$B,$A21)</f>
        <v>52</v>
      </c>
      <c r="C21" s="30">
        <f ca="1" t="array" ref="C21">INDEX(Data_DBD!$C:$C,$A21)</f>
        <v>7</v>
      </c>
      <c r="D21" s="30">
        <f ca="1" t="array" ref="D21">INDEX(Data_DBD!$D:$D,$A21)</f>
        <v>21</v>
      </c>
      <c r="E21" s="30">
        <f ca="1" t="array" ref="E21">INDEX(Data_DBD!$E:$E,$A21)</f>
        <v>0</v>
      </c>
      <c r="F21" s="30">
        <f ca="1" t="array" ref="F21">INDEX(Data_DBD!$F:$F,$A21)</f>
        <v>3</v>
      </c>
      <c r="H21" s="42">
        <v>31</v>
      </c>
      <c r="I21" s="42">
        <v>64</v>
      </c>
      <c r="J21" s="42">
        <v>4</v>
      </c>
      <c r="K21" s="42">
        <v>14</v>
      </c>
      <c r="L21" s="42">
        <v>1</v>
      </c>
      <c r="M21" s="42">
        <v>2</v>
      </c>
    </row>
    <row r="22" spans="1:13">
      <c r="A22" s="30">
        <f ca="1" t="shared" si="0"/>
        <v>156</v>
      </c>
      <c r="B22" s="30">
        <f ca="1" t="array" ref="B22">INDEX(Data_DBD!$B:$B,$A22)</f>
        <v>5</v>
      </c>
      <c r="C22" s="30">
        <f ca="1" t="array" ref="C22">INDEX(Data_DBD!$C:$C,$A22)</f>
        <v>2</v>
      </c>
      <c r="D22" s="30">
        <f ca="1" t="array" ref="D22">INDEX(Data_DBD!$D:$D,$A22)</f>
        <v>21</v>
      </c>
      <c r="E22" s="30">
        <f ca="1" t="array" ref="E22">INDEX(Data_DBD!$E:$E,$A22)</f>
        <v>0</v>
      </c>
      <c r="F22" s="30">
        <f ca="1" t="array" ref="F22">INDEX(Data_DBD!$F:$F,$A22)</f>
        <v>3</v>
      </c>
      <c r="H22" s="42">
        <v>66</v>
      </c>
      <c r="I22" s="42">
        <v>21</v>
      </c>
      <c r="J22" s="42">
        <v>5</v>
      </c>
      <c r="K22" s="42">
        <v>15</v>
      </c>
      <c r="L22" s="42">
        <v>1</v>
      </c>
      <c r="M22" s="42">
        <v>2</v>
      </c>
    </row>
    <row r="23" spans="1:13">
      <c r="A23" s="30">
        <f ca="1" t="shared" si="0"/>
        <v>156</v>
      </c>
      <c r="B23" s="30">
        <f ca="1" t="array" ref="B23">INDEX(Data_DBD!$B:$B,$A23)</f>
        <v>5</v>
      </c>
      <c r="C23" s="30">
        <f ca="1" t="array" ref="C23">INDEX(Data_DBD!$C:$C,$A23)</f>
        <v>2</v>
      </c>
      <c r="D23" s="30">
        <f ca="1" t="array" ref="D23">INDEX(Data_DBD!$D:$D,$A23)</f>
        <v>21</v>
      </c>
      <c r="E23" s="30">
        <f ca="1" t="array" ref="E23">INDEX(Data_DBD!$E:$E,$A23)</f>
        <v>0</v>
      </c>
      <c r="F23" s="30">
        <f ca="1" t="array" ref="F23">INDEX(Data_DBD!$F:$F,$A23)</f>
        <v>3</v>
      </c>
      <c r="H23" s="42">
        <v>82</v>
      </c>
      <c r="I23" s="42">
        <v>28</v>
      </c>
      <c r="J23" s="42">
        <v>3</v>
      </c>
      <c r="K23" s="42">
        <v>13</v>
      </c>
      <c r="L23" s="42">
        <v>1</v>
      </c>
      <c r="M23" s="42">
        <v>2</v>
      </c>
    </row>
    <row r="24" spans="1:13">
      <c r="A24" s="30">
        <f ca="1" t="shared" si="0"/>
        <v>38</v>
      </c>
      <c r="B24" s="30">
        <f ca="1" t="array" ref="B24">INDEX(Data_DBD!$B:$B,$A24)</f>
        <v>52</v>
      </c>
      <c r="C24" s="30">
        <f ca="1" t="array" ref="C24">INDEX(Data_DBD!$C:$C,$A24)</f>
        <v>3</v>
      </c>
      <c r="D24" s="30">
        <f ca="1" t="array" ref="D24">INDEX(Data_DBD!$D:$D,$A24)</f>
        <v>4</v>
      </c>
      <c r="E24" s="30">
        <f ca="1" t="array" ref="E24">INDEX(Data_DBD!$E:$E,$A24)</f>
        <v>1</v>
      </c>
      <c r="F24" s="30">
        <f ca="1" t="array" ref="F24">INDEX(Data_DBD!$F:$F,$A24)</f>
        <v>1</v>
      </c>
      <c r="H24" s="42">
        <v>11</v>
      </c>
      <c r="I24" s="42">
        <v>24</v>
      </c>
      <c r="J24" s="42">
        <v>5</v>
      </c>
      <c r="K24" s="42">
        <v>12</v>
      </c>
      <c r="L24" s="42">
        <v>1</v>
      </c>
      <c r="M24" s="42">
        <v>2</v>
      </c>
    </row>
    <row r="25" spans="1:13">
      <c r="A25" s="30">
        <f ca="1" t="shared" si="0"/>
        <v>65</v>
      </c>
      <c r="B25" s="30">
        <f ca="1" t="array" ref="B25">INDEX(Data_DBD!$B:$B,$A25)</f>
        <v>49</v>
      </c>
      <c r="C25" s="30">
        <f ca="1" t="array" ref="C25">INDEX(Data_DBD!$C:$C,$A25)</f>
        <v>3</v>
      </c>
      <c r="D25" s="30">
        <f ca="1" t="array" ref="D25">INDEX(Data_DBD!$D:$D,$A25)</f>
        <v>15</v>
      </c>
      <c r="E25" s="30">
        <f ca="1" t="array" ref="E25">INDEX(Data_DBD!$E:$E,$A25)</f>
        <v>0</v>
      </c>
      <c r="F25" s="30">
        <f ca="1" t="array" ref="F25">INDEX(Data_DBD!$F:$F,$A25)</f>
        <v>2</v>
      </c>
      <c r="H25" s="42">
        <v>68</v>
      </c>
      <c r="I25" s="42">
        <v>44</v>
      </c>
      <c r="J25" s="42">
        <v>5</v>
      </c>
      <c r="K25" s="42">
        <v>10</v>
      </c>
      <c r="L25" s="42">
        <v>0</v>
      </c>
      <c r="M25" s="42">
        <v>2</v>
      </c>
    </row>
    <row r="26" spans="1:13">
      <c r="A26" s="30">
        <f ca="1" t="shared" si="0"/>
        <v>152</v>
      </c>
      <c r="B26" s="30">
        <f ca="1" t="array" ref="B26">INDEX(Data_DBD!$B:$B,$A26)</f>
        <v>47</v>
      </c>
      <c r="C26" s="30">
        <f ca="1" t="array" ref="C26">INDEX(Data_DBD!$C:$C,$A26)</f>
        <v>3</v>
      </c>
      <c r="D26" s="30">
        <f ca="1" t="array" ref="D26">INDEX(Data_DBD!$D:$D,$A26)</f>
        <v>21</v>
      </c>
      <c r="E26" s="30">
        <f ca="1" t="array" ref="E26">INDEX(Data_DBD!$E:$E,$A26)</f>
        <v>1</v>
      </c>
      <c r="F26" s="30">
        <f ca="1" t="array" ref="F26">INDEX(Data_DBD!$F:$F,$A26)</f>
        <v>3</v>
      </c>
      <c r="H26" s="42">
        <v>47</v>
      </c>
      <c r="I26" s="42">
        <v>19</v>
      </c>
      <c r="J26" s="42">
        <v>2</v>
      </c>
      <c r="K26" s="42">
        <v>13</v>
      </c>
      <c r="L26" s="42">
        <v>0</v>
      </c>
      <c r="M26" s="42">
        <v>2</v>
      </c>
    </row>
    <row r="27" spans="1:13">
      <c r="A27" s="30">
        <f ca="1" t="shared" si="0"/>
        <v>65</v>
      </c>
      <c r="B27" s="30">
        <f ca="1" t="array" ref="B27">INDEX(Data_DBD!$B:$B,$A27)</f>
        <v>49</v>
      </c>
      <c r="C27" s="30">
        <f ca="1" t="array" ref="C27">INDEX(Data_DBD!$C:$C,$A27)</f>
        <v>3</v>
      </c>
      <c r="D27" s="30">
        <f ca="1" t="array" ref="D27">INDEX(Data_DBD!$D:$D,$A27)</f>
        <v>15</v>
      </c>
      <c r="E27" s="30">
        <f ca="1" t="array" ref="E27">INDEX(Data_DBD!$E:$E,$A27)</f>
        <v>0</v>
      </c>
      <c r="F27" s="30">
        <f ca="1" t="array" ref="F27">INDEX(Data_DBD!$F:$F,$A27)</f>
        <v>2</v>
      </c>
      <c r="H27" s="42">
        <v>132</v>
      </c>
      <c r="I27" s="42">
        <v>10</v>
      </c>
      <c r="J27" s="42">
        <v>3</v>
      </c>
      <c r="K27" s="42">
        <v>33</v>
      </c>
      <c r="L27" s="42">
        <v>1</v>
      </c>
      <c r="M27" s="42">
        <v>3</v>
      </c>
    </row>
    <row r="28" spans="1:13">
      <c r="A28" s="30">
        <f ca="1" t="shared" si="0"/>
        <v>134</v>
      </c>
      <c r="B28" s="30">
        <f ca="1" t="array" ref="B28">INDEX(Data_DBD!$B:$B,$A28)</f>
        <v>4</v>
      </c>
      <c r="C28" s="30">
        <f ca="1" t="array" ref="C28">INDEX(Data_DBD!$C:$C,$A28)</f>
        <v>2</v>
      </c>
      <c r="D28" s="30">
        <f ca="1" t="array" ref="D28">INDEX(Data_DBD!$D:$D,$A28)</f>
        <v>33</v>
      </c>
      <c r="E28" s="30">
        <f ca="1" t="array" ref="E28">INDEX(Data_DBD!$E:$E,$A28)</f>
        <v>1</v>
      </c>
      <c r="F28" s="30">
        <f ca="1" t="array" ref="F28">INDEX(Data_DBD!$F:$F,$A28)</f>
        <v>3</v>
      </c>
      <c r="H28" s="42">
        <v>9</v>
      </c>
      <c r="I28" s="42">
        <v>16</v>
      </c>
      <c r="J28" s="42">
        <v>6</v>
      </c>
      <c r="K28" s="42">
        <v>12</v>
      </c>
      <c r="L28" s="42">
        <v>1</v>
      </c>
      <c r="M28" s="42">
        <v>2</v>
      </c>
    </row>
    <row r="29" spans="1:13">
      <c r="A29" s="30">
        <f ca="1" t="shared" si="0"/>
        <v>4</v>
      </c>
      <c r="B29" s="30">
        <f ca="1" t="array" ref="B29">INDEX(Data_DBD!$B:$B,$A29)</f>
        <v>23</v>
      </c>
      <c r="C29" s="30">
        <f ca="1" t="array" ref="C29">INDEX(Data_DBD!$C:$C,$A29)</f>
        <v>5</v>
      </c>
      <c r="D29" s="30">
        <f ca="1" t="array" ref="D29">INDEX(Data_DBD!$D:$D,$A29)</f>
        <v>12</v>
      </c>
      <c r="E29" s="30">
        <f ca="1" t="array" ref="E29">INDEX(Data_DBD!$E:$E,$A29)</f>
        <v>0</v>
      </c>
      <c r="F29" s="30">
        <f ca="1" t="array" ref="F29">INDEX(Data_DBD!$F:$F,$A29)</f>
        <v>2</v>
      </c>
      <c r="H29" s="42">
        <v>126</v>
      </c>
      <c r="I29" s="42">
        <v>51</v>
      </c>
      <c r="J29" s="42">
        <v>3</v>
      </c>
      <c r="K29" s="42">
        <v>33</v>
      </c>
      <c r="L29" s="42">
        <v>1</v>
      </c>
      <c r="M29" s="42">
        <v>3</v>
      </c>
    </row>
    <row r="30" spans="1:13">
      <c r="A30" s="30">
        <f ca="1" t="shared" si="0"/>
        <v>38</v>
      </c>
      <c r="B30" s="30">
        <f ca="1" t="array" ref="B30">INDEX(Data_DBD!$B:$B,$A30)</f>
        <v>52</v>
      </c>
      <c r="C30" s="30">
        <f ca="1" t="array" ref="C30">INDEX(Data_DBD!$C:$C,$A30)</f>
        <v>3</v>
      </c>
      <c r="D30" s="30">
        <f ca="1" t="array" ref="D30">INDEX(Data_DBD!$D:$D,$A30)</f>
        <v>4</v>
      </c>
      <c r="E30" s="30">
        <f ca="1" t="array" ref="E30">INDEX(Data_DBD!$E:$E,$A30)</f>
        <v>1</v>
      </c>
      <c r="F30" s="30">
        <f ca="1" t="array" ref="F30">INDEX(Data_DBD!$F:$F,$A30)</f>
        <v>1</v>
      </c>
      <c r="H30" s="42">
        <v>121</v>
      </c>
      <c r="I30" s="42">
        <v>82</v>
      </c>
      <c r="J30" s="42">
        <v>5</v>
      </c>
      <c r="K30" s="42">
        <v>33</v>
      </c>
      <c r="L30" s="42">
        <v>1</v>
      </c>
      <c r="M30" s="42">
        <v>3</v>
      </c>
    </row>
    <row r="31" spans="1:13">
      <c r="A31" s="30">
        <f ca="1" t="shared" si="0"/>
        <v>89</v>
      </c>
      <c r="B31" s="30">
        <f ca="1" t="array" ref="B31">INDEX(Data_DBD!$B:$B,$A31)</f>
        <v>32</v>
      </c>
      <c r="C31" s="30">
        <f ca="1" t="array" ref="C31">INDEX(Data_DBD!$C:$C,$A31)</f>
        <v>4</v>
      </c>
      <c r="D31" s="30">
        <f ca="1" t="array" ref="D31">INDEX(Data_DBD!$D:$D,$A31)</f>
        <v>13</v>
      </c>
      <c r="E31" s="30">
        <f ca="1" t="array" ref="E31">INDEX(Data_DBD!$E:$E,$A31)</f>
        <v>0</v>
      </c>
      <c r="F31" s="30">
        <f ca="1" t="array" ref="F31">INDEX(Data_DBD!$F:$F,$A31)</f>
        <v>2</v>
      </c>
      <c r="H31" s="42">
        <v>50</v>
      </c>
      <c r="I31" s="42">
        <v>19</v>
      </c>
      <c r="J31" s="42">
        <v>5</v>
      </c>
      <c r="K31" s="42">
        <v>13</v>
      </c>
      <c r="L31" s="42">
        <v>0</v>
      </c>
      <c r="M31" s="42">
        <v>2</v>
      </c>
    </row>
    <row r="32" spans="1:13">
      <c r="A32" s="30">
        <f ca="1" t="shared" si="0"/>
        <v>56</v>
      </c>
      <c r="B32" s="30">
        <f ca="1" t="array" ref="B32">INDEX(Data_DBD!$B:$B,$A32)</f>
        <v>4</v>
      </c>
      <c r="C32" s="30">
        <f ca="1" t="array" ref="C32">INDEX(Data_DBD!$C:$C,$A32)</f>
        <v>3</v>
      </c>
      <c r="D32" s="30">
        <f ca="1" t="array" ref="D32">INDEX(Data_DBD!$D:$D,$A32)</f>
        <v>15</v>
      </c>
      <c r="E32" s="30">
        <f ca="1" t="array" ref="E32">INDEX(Data_DBD!$E:$E,$A32)</f>
        <v>0</v>
      </c>
      <c r="F32" s="30">
        <f ca="1" t="array" ref="F32">INDEX(Data_DBD!$F:$F,$A32)</f>
        <v>2</v>
      </c>
      <c r="H32" s="42">
        <v>30</v>
      </c>
      <c r="I32" s="42" t="s">
        <v>36</v>
      </c>
      <c r="J32" s="42">
        <v>2</v>
      </c>
      <c r="K32" s="42">
        <v>14</v>
      </c>
      <c r="L32" s="42">
        <v>1</v>
      </c>
      <c r="M32" s="42">
        <v>2</v>
      </c>
    </row>
    <row r="33" spans="1:13">
      <c r="A33" s="30">
        <f ca="1" t="shared" si="0"/>
        <v>53</v>
      </c>
      <c r="B33" s="30">
        <f ca="1" t="array" ref="B33">INDEX(Data_DBD!$B:$B,$A33)</f>
        <v>35</v>
      </c>
      <c r="C33" s="30">
        <f ca="1" t="array" ref="C33">INDEX(Data_DBD!$C:$C,$A33)</f>
        <v>4</v>
      </c>
      <c r="D33" s="30">
        <f ca="1" t="array" ref="D33">INDEX(Data_DBD!$D:$D,$A33)</f>
        <v>15</v>
      </c>
      <c r="E33" s="30">
        <f ca="1" t="array" ref="E33">INDEX(Data_DBD!$E:$E,$A33)</f>
        <v>1</v>
      </c>
      <c r="F33" s="30">
        <f ca="1" t="array" ref="F33">INDEX(Data_DBD!$F:$F,$A33)</f>
        <v>2</v>
      </c>
      <c r="H33" s="42">
        <v>96</v>
      </c>
      <c r="I33" s="42">
        <v>56</v>
      </c>
      <c r="J33" s="42">
        <v>4</v>
      </c>
      <c r="K33" s="42">
        <v>18</v>
      </c>
      <c r="L33" s="42">
        <v>0</v>
      </c>
      <c r="M33" s="42">
        <v>3</v>
      </c>
    </row>
    <row r="34" spans="1:13">
      <c r="A34" s="30">
        <f ca="1" t="shared" si="0"/>
        <v>130</v>
      </c>
      <c r="B34" s="30">
        <f ca="1" t="array" ref="B34">INDEX(Data_DBD!$B:$B,$A34)</f>
        <v>12</v>
      </c>
      <c r="C34" s="30">
        <f ca="1" t="array" ref="C34">INDEX(Data_DBD!$C:$C,$A34)</f>
        <v>4</v>
      </c>
      <c r="D34" s="30">
        <f ca="1" t="array" ref="D34">INDEX(Data_DBD!$D:$D,$A34)</f>
        <v>33</v>
      </c>
      <c r="E34" s="30">
        <f ca="1" t="array" ref="E34">INDEX(Data_DBD!$E:$E,$A34)</f>
        <v>0</v>
      </c>
      <c r="F34" s="30">
        <f ca="1" t="array" ref="F34">INDEX(Data_DBD!$F:$F,$A34)</f>
        <v>3</v>
      </c>
      <c r="H34" s="42">
        <v>118</v>
      </c>
      <c r="I34" s="42">
        <v>67</v>
      </c>
      <c r="J34" s="42">
        <v>4</v>
      </c>
      <c r="K34" s="42">
        <v>33</v>
      </c>
      <c r="L34" s="42">
        <v>1</v>
      </c>
      <c r="M34" s="42">
        <v>3</v>
      </c>
    </row>
    <row r="35" spans="1:13">
      <c r="A35" s="30">
        <f ca="1" t="shared" si="0"/>
        <v>57</v>
      </c>
      <c r="B35" s="30">
        <f ca="1" t="array" ref="B35">INDEX(Data_DBD!$B:$B,$A35)</f>
        <v>2</v>
      </c>
      <c r="C35" s="30">
        <f ca="1" t="array" ref="C35">INDEX(Data_DBD!$C:$C,$A35)</f>
        <v>2</v>
      </c>
      <c r="D35" s="30">
        <f ca="1" t="array" ref="D35">INDEX(Data_DBD!$D:$D,$A35)</f>
        <v>15</v>
      </c>
      <c r="E35" s="30">
        <f ca="1" t="array" ref="E35">INDEX(Data_DBD!$E:$E,$A35)</f>
        <v>1</v>
      </c>
      <c r="F35" s="30">
        <f ca="1" t="array" ref="F35">INDEX(Data_DBD!$F:$F,$A35)</f>
        <v>2</v>
      </c>
      <c r="H35" s="42">
        <v>19</v>
      </c>
      <c r="I35" s="42">
        <v>8</v>
      </c>
      <c r="J35" s="42">
        <v>4</v>
      </c>
      <c r="K35" s="42">
        <v>7</v>
      </c>
      <c r="L35" s="42">
        <v>0</v>
      </c>
      <c r="M35" s="42">
        <v>1</v>
      </c>
    </row>
    <row r="36" spans="1:13">
      <c r="A36" s="30">
        <f ca="1" t="shared" si="0"/>
        <v>34</v>
      </c>
      <c r="B36" s="30">
        <f ca="1" t="array" ref="B36">INDEX(Data_DBD!$B:$B,$A36)</f>
        <v>55</v>
      </c>
      <c r="C36" s="30">
        <f ca="1" t="array" ref="C36">INDEX(Data_DBD!$C:$C,$A36)</f>
        <v>3</v>
      </c>
      <c r="D36" s="30">
        <f ca="1" t="array" ref="D36">INDEX(Data_DBD!$D:$D,$A36)</f>
        <v>14</v>
      </c>
      <c r="E36" s="30">
        <f ca="1" t="array" ref="E36">INDEX(Data_DBD!$E:$E,$A36)</f>
        <v>0</v>
      </c>
      <c r="F36" s="30">
        <f ca="1" t="array" ref="F36">INDEX(Data_DBD!$F:$F,$A36)</f>
        <v>2</v>
      </c>
      <c r="H36" s="42">
        <v>51</v>
      </c>
      <c r="I36" s="42">
        <v>48</v>
      </c>
      <c r="J36" s="42">
        <v>4</v>
      </c>
      <c r="K36" s="42">
        <v>13</v>
      </c>
      <c r="L36" s="42">
        <v>0</v>
      </c>
      <c r="M36" s="42">
        <v>2</v>
      </c>
    </row>
    <row r="37" spans="1:13">
      <c r="A37" s="30">
        <f ca="1" t="shared" si="0"/>
        <v>78</v>
      </c>
      <c r="B37" s="30">
        <f ca="1" t="array" ref="B37">INDEX(Data_DBD!$B:$B,$A37)</f>
        <v>6</v>
      </c>
      <c r="C37" s="30">
        <f ca="1" t="array" ref="C37">INDEX(Data_DBD!$C:$C,$A37)</f>
        <v>3</v>
      </c>
      <c r="D37" s="30">
        <f ca="1" t="array" ref="D37">INDEX(Data_DBD!$D:$D,$A37)</f>
        <v>13</v>
      </c>
      <c r="E37" s="30">
        <f ca="1" t="array" ref="E37">INDEX(Data_DBD!$E:$E,$A37)</f>
        <v>0</v>
      </c>
      <c r="F37" s="30">
        <f ca="1" t="array" ref="F37">INDEX(Data_DBD!$F:$F,$A37)</f>
        <v>2</v>
      </c>
      <c r="H37" s="42">
        <v>136</v>
      </c>
      <c r="I37" s="42">
        <v>6</v>
      </c>
      <c r="J37" s="42">
        <v>2</v>
      </c>
      <c r="K37" s="42">
        <v>33</v>
      </c>
      <c r="L37" s="42">
        <v>0</v>
      </c>
      <c r="M37" s="42">
        <v>3</v>
      </c>
    </row>
    <row r="38" spans="1:13">
      <c r="A38" s="30">
        <f ca="1" t="shared" si="0"/>
        <v>35</v>
      </c>
      <c r="B38" s="30">
        <f ca="1" t="array" ref="B38">INDEX(Data_DBD!$B:$B,$A38)</f>
        <v>40</v>
      </c>
      <c r="C38" s="30">
        <f ca="1" t="array" ref="C38">INDEX(Data_DBD!$C:$C,$A38)</f>
        <v>3</v>
      </c>
      <c r="D38" s="30">
        <f ca="1" t="array" ref="D38">INDEX(Data_DBD!$D:$D,$A38)</f>
        <v>4</v>
      </c>
      <c r="E38" s="30">
        <f ca="1" t="array" ref="E38">INDEX(Data_DBD!$E:$E,$A38)</f>
        <v>1</v>
      </c>
      <c r="F38" s="30">
        <f ca="1" t="array" ref="F38">INDEX(Data_DBD!$F:$F,$A38)</f>
        <v>1</v>
      </c>
      <c r="H38" s="42">
        <v>164</v>
      </c>
      <c r="I38" s="42">
        <v>10</v>
      </c>
      <c r="J38" s="42">
        <v>6</v>
      </c>
      <c r="K38" s="42">
        <v>3</v>
      </c>
      <c r="L38" s="42">
        <v>0</v>
      </c>
      <c r="M38" s="42">
        <v>1</v>
      </c>
    </row>
    <row r="39" spans="1:13">
      <c r="A39" s="30">
        <f ca="1" t="shared" si="0"/>
        <v>60</v>
      </c>
      <c r="B39" s="30">
        <f ca="1" t="array" ref="B39">INDEX(Data_DBD!$B:$B,$A39)</f>
        <v>68</v>
      </c>
      <c r="C39" s="30">
        <f ca="1" t="array" ref="C39">INDEX(Data_DBD!$C:$C,$A39)</f>
        <v>4</v>
      </c>
      <c r="D39" s="30">
        <f ca="1" t="array" ref="D39">INDEX(Data_DBD!$D:$D,$A39)</f>
        <v>15</v>
      </c>
      <c r="E39" s="30">
        <f ca="1" t="array" ref="E39">INDEX(Data_DBD!$E:$E,$A39)</f>
        <v>0</v>
      </c>
      <c r="F39" s="30">
        <f ca="1" t="array" ref="F39">INDEX(Data_DBD!$F:$F,$A39)</f>
        <v>2</v>
      </c>
      <c r="H39" s="42">
        <v>82</v>
      </c>
      <c r="I39" s="42">
        <v>28</v>
      </c>
      <c r="J39" s="42">
        <v>3</v>
      </c>
      <c r="K39" s="42">
        <v>13</v>
      </c>
      <c r="L39" s="42">
        <v>1</v>
      </c>
      <c r="M39" s="42">
        <v>2</v>
      </c>
    </row>
    <row r="40" spans="1:13">
      <c r="A40" s="30">
        <f ca="1" t="shared" si="0"/>
        <v>60</v>
      </c>
      <c r="B40" s="30">
        <f ca="1" t="array" ref="B40">INDEX(Data_DBD!$B:$B,$A40)</f>
        <v>68</v>
      </c>
      <c r="C40" s="30">
        <f ca="1" t="array" ref="C40">INDEX(Data_DBD!$C:$C,$A40)</f>
        <v>4</v>
      </c>
      <c r="D40" s="30">
        <f ca="1" t="array" ref="D40">INDEX(Data_DBD!$D:$D,$A40)</f>
        <v>15</v>
      </c>
      <c r="E40" s="30">
        <f ca="1" t="array" ref="E40">INDEX(Data_DBD!$E:$E,$A40)</f>
        <v>0</v>
      </c>
      <c r="F40" s="30">
        <f ca="1" t="array" ref="F40">INDEX(Data_DBD!$F:$F,$A40)</f>
        <v>2</v>
      </c>
      <c r="H40" s="42">
        <v>56</v>
      </c>
      <c r="I40" s="42">
        <v>4</v>
      </c>
      <c r="J40" s="42">
        <v>3</v>
      </c>
      <c r="K40" s="42">
        <v>15</v>
      </c>
      <c r="L40" s="42">
        <v>0</v>
      </c>
      <c r="M40" s="42">
        <v>2</v>
      </c>
    </row>
    <row r="41" spans="1:13">
      <c r="A41" s="30">
        <f ca="1" t="shared" si="0"/>
        <v>126</v>
      </c>
      <c r="B41" s="30">
        <f ca="1" t="array" ref="B41">INDEX(Data_DBD!$B:$B,$A41)</f>
        <v>51</v>
      </c>
      <c r="C41" s="30">
        <f ca="1" t="array" ref="C41">INDEX(Data_DBD!$C:$C,$A41)</f>
        <v>3</v>
      </c>
      <c r="D41" s="30">
        <f ca="1" t="array" ref="D41">INDEX(Data_DBD!$D:$D,$A41)</f>
        <v>33</v>
      </c>
      <c r="E41" s="30">
        <f ca="1" t="array" ref="E41">INDEX(Data_DBD!$E:$E,$A41)</f>
        <v>1</v>
      </c>
      <c r="F41" s="30">
        <f ca="1" t="array" ref="F41">INDEX(Data_DBD!$F:$F,$A41)</f>
        <v>3</v>
      </c>
      <c r="H41" s="42">
        <v>131</v>
      </c>
      <c r="I41" s="42">
        <v>10</v>
      </c>
      <c r="J41" s="42">
        <v>2</v>
      </c>
      <c r="K41" s="42">
        <v>33</v>
      </c>
      <c r="L41" s="42">
        <v>0</v>
      </c>
      <c r="M41" s="42">
        <v>3</v>
      </c>
    </row>
    <row r="42" spans="1:13">
      <c r="A42" s="30">
        <f ca="1" t="shared" si="0"/>
        <v>127</v>
      </c>
      <c r="B42" s="30">
        <f ca="1" t="array" ref="B42">INDEX(Data_DBD!$B:$B,$A42)</f>
        <v>21</v>
      </c>
      <c r="C42" s="30">
        <f ca="1" t="array" ref="C42">INDEX(Data_DBD!$C:$C,$A42)</f>
        <v>2</v>
      </c>
      <c r="D42" s="30">
        <f ca="1" t="array" ref="D42">INDEX(Data_DBD!$D:$D,$A42)</f>
        <v>33</v>
      </c>
      <c r="E42" s="30">
        <f ca="1" t="array" ref="E42">INDEX(Data_DBD!$E:$E,$A42)</f>
        <v>0</v>
      </c>
      <c r="F42" s="30">
        <f ca="1" t="array" ref="F42">INDEX(Data_DBD!$F:$F,$A42)</f>
        <v>3</v>
      </c>
      <c r="H42" s="42">
        <v>33</v>
      </c>
      <c r="I42" s="42">
        <v>19</v>
      </c>
      <c r="J42" s="42">
        <v>4</v>
      </c>
      <c r="K42" s="42">
        <v>14</v>
      </c>
      <c r="L42" s="42">
        <v>1</v>
      </c>
      <c r="M42" s="42">
        <v>2</v>
      </c>
    </row>
    <row r="43" spans="1:13">
      <c r="A43" s="30">
        <f ca="1" t="shared" si="0"/>
        <v>62</v>
      </c>
      <c r="B43" s="30">
        <f ca="1" t="array" ref="B43">INDEX(Data_DBD!$B:$B,$A43)</f>
        <v>43</v>
      </c>
      <c r="C43" s="30">
        <f ca="1" t="array" ref="C43">INDEX(Data_DBD!$C:$C,$A43)</f>
        <v>4</v>
      </c>
      <c r="D43" s="30">
        <f ca="1" t="array" ref="D43">INDEX(Data_DBD!$D:$D,$A43)</f>
        <v>15</v>
      </c>
      <c r="E43" s="30">
        <f ca="1" t="array" ref="E43">INDEX(Data_DBD!$E:$E,$A43)</f>
        <v>1</v>
      </c>
      <c r="F43" s="30">
        <f ca="1" t="array" ref="F43">INDEX(Data_DBD!$F:$F,$A43)</f>
        <v>2</v>
      </c>
      <c r="H43" s="42">
        <v>43</v>
      </c>
      <c r="I43" s="42">
        <v>15</v>
      </c>
      <c r="J43" s="42">
        <v>4</v>
      </c>
      <c r="K43" s="42">
        <v>13</v>
      </c>
      <c r="L43" s="42">
        <v>0</v>
      </c>
      <c r="M43" s="42">
        <v>2</v>
      </c>
    </row>
    <row r="44" spans="1:13">
      <c r="A44" s="30">
        <f ca="1" t="shared" si="0"/>
        <v>4</v>
      </c>
      <c r="B44" s="30">
        <f ca="1" t="array" ref="B44">INDEX(Data_DBD!$B:$B,$A44)</f>
        <v>23</v>
      </c>
      <c r="C44" s="30">
        <f ca="1" t="array" ref="C44">INDEX(Data_DBD!$C:$C,$A44)</f>
        <v>5</v>
      </c>
      <c r="D44" s="30">
        <f ca="1" t="array" ref="D44">INDEX(Data_DBD!$D:$D,$A44)</f>
        <v>12</v>
      </c>
      <c r="E44" s="30">
        <f ca="1" t="array" ref="E44">INDEX(Data_DBD!$E:$E,$A44)</f>
        <v>0</v>
      </c>
      <c r="F44" s="30">
        <f ca="1" t="array" ref="F44">INDEX(Data_DBD!$F:$F,$A44)</f>
        <v>2</v>
      </c>
      <c r="H44" s="42">
        <v>18</v>
      </c>
      <c r="I44" s="42">
        <v>49</v>
      </c>
      <c r="J44" s="42">
        <v>4</v>
      </c>
      <c r="K44" s="42">
        <v>7</v>
      </c>
      <c r="L44" s="42">
        <v>1</v>
      </c>
      <c r="M44" s="42">
        <v>1</v>
      </c>
    </row>
    <row r="45" spans="1:13">
      <c r="A45" s="30">
        <f ca="1" t="shared" si="0"/>
        <v>125</v>
      </c>
      <c r="B45" s="30">
        <f ca="1" t="array" ref="B45">INDEX(Data_DBD!$B:$B,$A45)</f>
        <v>39</v>
      </c>
      <c r="C45" s="30">
        <f ca="1" t="array" ref="C45">INDEX(Data_DBD!$C:$C,$A45)</f>
        <v>4</v>
      </c>
      <c r="D45" s="30">
        <f ca="1" t="array" ref="D45">INDEX(Data_DBD!$D:$D,$A45)</f>
        <v>33</v>
      </c>
      <c r="E45" s="30">
        <f ca="1" t="array" ref="E45">INDEX(Data_DBD!$E:$E,$A45)</f>
        <v>0</v>
      </c>
      <c r="F45" s="30">
        <f ca="1" t="array" ref="F45">INDEX(Data_DBD!$F:$F,$A45)</f>
        <v>3</v>
      </c>
      <c r="H45" s="42">
        <v>161</v>
      </c>
      <c r="I45" s="42">
        <v>12</v>
      </c>
      <c r="J45" s="42">
        <v>3</v>
      </c>
      <c r="K45" s="42">
        <v>21</v>
      </c>
      <c r="L45" s="42">
        <v>1</v>
      </c>
      <c r="M45" s="42">
        <v>3</v>
      </c>
    </row>
    <row r="46" spans="1:13">
      <c r="A46" s="30">
        <f ca="1" t="shared" si="0"/>
        <v>61</v>
      </c>
      <c r="B46" s="30">
        <f ca="1" t="array" ref="B46">INDEX(Data_DBD!$B:$B,$A46)</f>
        <v>29</v>
      </c>
      <c r="C46" s="30">
        <f ca="1" t="array" ref="C46">INDEX(Data_DBD!$C:$C,$A46)</f>
        <v>3</v>
      </c>
      <c r="D46" s="30">
        <f ca="1" t="array" ref="D46">INDEX(Data_DBD!$D:$D,$A46)</f>
        <v>15</v>
      </c>
      <c r="E46" s="30">
        <f ca="1" t="array" ref="E46">INDEX(Data_DBD!$E:$E,$A46)</f>
        <v>1</v>
      </c>
      <c r="F46" s="30">
        <f ca="1" t="array" ref="F46">INDEX(Data_DBD!$F:$F,$A46)</f>
        <v>2</v>
      </c>
      <c r="H46" s="42">
        <v>142</v>
      </c>
      <c r="I46" s="42">
        <v>39</v>
      </c>
      <c r="J46" s="42">
        <v>2</v>
      </c>
      <c r="K46" s="42">
        <v>21</v>
      </c>
      <c r="L46" s="42">
        <v>1</v>
      </c>
      <c r="M46" s="42">
        <v>3</v>
      </c>
    </row>
    <row r="47" spans="1:13">
      <c r="A47" s="30">
        <f ca="1" t="shared" si="0"/>
        <v>96</v>
      </c>
      <c r="B47" s="30">
        <f ca="1" t="array" ref="B47">INDEX(Data_DBD!$B:$B,$A47)</f>
        <v>56</v>
      </c>
      <c r="C47" s="30">
        <f ca="1" t="array" ref="C47">INDEX(Data_DBD!$C:$C,$A47)</f>
        <v>4</v>
      </c>
      <c r="D47" s="30">
        <f ca="1" t="array" ref="D47">INDEX(Data_DBD!$D:$D,$A47)</f>
        <v>18</v>
      </c>
      <c r="E47" s="30">
        <f ca="1" t="array" ref="E47">INDEX(Data_DBD!$E:$E,$A47)</f>
        <v>0</v>
      </c>
      <c r="F47" s="30">
        <f ca="1" t="array" ref="F47">INDEX(Data_DBD!$F:$F,$A47)</f>
        <v>3</v>
      </c>
      <c r="H47" s="42">
        <v>59</v>
      </c>
      <c r="I47" s="42">
        <v>28</v>
      </c>
      <c r="J47" s="42">
        <v>4</v>
      </c>
      <c r="K47" s="42">
        <v>15</v>
      </c>
      <c r="L47" s="42">
        <v>0</v>
      </c>
      <c r="M47" s="42">
        <v>2</v>
      </c>
    </row>
    <row r="48" spans="1:13">
      <c r="A48" s="30">
        <f ca="1" t="shared" si="0"/>
        <v>127</v>
      </c>
      <c r="B48" s="30">
        <f ca="1" t="array" ref="B48">INDEX(Data_DBD!$B:$B,$A48)</f>
        <v>21</v>
      </c>
      <c r="C48" s="30">
        <f ca="1" t="array" ref="C48">INDEX(Data_DBD!$C:$C,$A48)</f>
        <v>2</v>
      </c>
      <c r="D48" s="30">
        <f ca="1" t="array" ref="D48">INDEX(Data_DBD!$D:$D,$A48)</f>
        <v>33</v>
      </c>
      <c r="E48" s="30">
        <f ca="1" t="array" ref="E48">INDEX(Data_DBD!$E:$E,$A48)</f>
        <v>0</v>
      </c>
      <c r="F48" s="30">
        <f ca="1" t="array" ref="F48">INDEX(Data_DBD!$F:$F,$A48)</f>
        <v>3</v>
      </c>
      <c r="H48" s="42">
        <v>158</v>
      </c>
      <c r="I48" s="42">
        <v>5</v>
      </c>
      <c r="J48" s="42">
        <v>2</v>
      </c>
      <c r="K48" s="42">
        <v>21</v>
      </c>
      <c r="L48" s="42">
        <v>0</v>
      </c>
      <c r="M48" s="42">
        <v>3</v>
      </c>
    </row>
    <row r="49" spans="1:13">
      <c r="A49" s="30">
        <f ca="1" t="shared" si="0"/>
        <v>21</v>
      </c>
      <c r="B49" s="30">
        <f ca="1" t="array" ref="B49">INDEX(Data_DBD!$B:$B,$A49)</f>
        <v>10</v>
      </c>
      <c r="C49" s="30">
        <f ca="1" t="array" ref="C49">INDEX(Data_DBD!$C:$C,$A49)</f>
        <v>5</v>
      </c>
      <c r="D49" s="30">
        <f ca="1" t="array" ref="D49">INDEX(Data_DBD!$D:$D,$A49)</f>
        <v>14</v>
      </c>
      <c r="E49" s="30">
        <f ca="1" t="array" ref="E49">INDEX(Data_DBD!$E:$E,$A49)</f>
        <v>1</v>
      </c>
      <c r="F49" s="30">
        <f ca="1" t="array" ref="F49">INDEX(Data_DBD!$F:$F,$A49)</f>
        <v>2</v>
      </c>
      <c r="H49" s="42">
        <v>119</v>
      </c>
      <c r="I49" s="42">
        <v>30</v>
      </c>
      <c r="J49" s="42">
        <v>7</v>
      </c>
      <c r="K49" s="42">
        <v>33</v>
      </c>
      <c r="L49" s="42">
        <v>0</v>
      </c>
      <c r="M49" s="42">
        <v>3</v>
      </c>
    </row>
    <row r="50" spans="1:13">
      <c r="A50" s="30">
        <f ca="1" t="shared" si="0"/>
        <v>150</v>
      </c>
      <c r="B50" s="30">
        <f ca="1" t="array" ref="B50">INDEX(Data_DBD!$B:$B,$A50)</f>
        <v>61</v>
      </c>
      <c r="C50" s="30">
        <f ca="1" t="array" ref="C50">INDEX(Data_DBD!$C:$C,$A50)</f>
        <v>5</v>
      </c>
      <c r="D50" s="30">
        <f ca="1" t="array" ref="D50">INDEX(Data_DBD!$D:$D,$A50)</f>
        <v>21</v>
      </c>
      <c r="E50" s="30">
        <f ca="1" t="array" ref="E50">INDEX(Data_DBD!$E:$E,$A50)</f>
        <v>1</v>
      </c>
      <c r="F50" s="30">
        <f ca="1" t="array" ref="F50">INDEX(Data_DBD!$F:$F,$A50)</f>
        <v>3</v>
      </c>
      <c r="H50" s="42">
        <v>75</v>
      </c>
      <c r="I50" s="42">
        <v>2</v>
      </c>
      <c r="J50" s="42">
        <v>2</v>
      </c>
      <c r="K50" s="42">
        <v>10</v>
      </c>
      <c r="L50" s="42">
        <v>1</v>
      </c>
      <c r="M50" s="42">
        <v>2</v>
      </c>
    </row>
    <row r="51" spans="1:13">
      <c r="A51" s="30">
        <f ca="1" t="shared" si="0"/>
        <v>148</v>
      </c>
      <c r="B51" s="30">
        <f ca="1" t="array" ref="B51">INDEX(Data_DBD!$B:$B,$A51)</f>
        <v>55</v>
      </c>
      <c r="C51" s="30">
        <f ca="1" t="array" ref="C51">INDEX(Data_DBD!$C:$C,$A51)</f>
        <v>3</v>
      </c>
      <c r="D51" s="30">
        <f ca="1" t="array" ref="D51">INDEX(Data_DBD!$D:$D,$A51)</f>
        <v>21</v>
      </c>
      <c r="E51" s="30">
        <f ca="1" t="array" ref="E51">INDEX(Data_DBD!$E:$E,$A51)</f>
        <v>1</v>
      </c>
      <c r="F51" s="30">
        <f ca="1" t="array" ref="F51">INDEX(Data_DBD!$F:$F,$A51)</f>
        <v>3</v>
      </c>
      <c r="H51" s="42">
        <v>65</v>
      </c>
      <c r="I51" s="42">
        <v>49</v>
      </c>
      <c r="J51" s="42">
        <v>3</v>
      </c>
      <c r="K51" s="42">
        <v>15</v>
      </c>
      <c r="L51" s="42">
        <v>0</v>
      </c>
      <c r="M51" s="42">
        <v>2</v>
      </c>
    </row>
    <row r="52" spans="1:13">
      <c r="A52" s="30">
        <f ca="1" t="shared" si="0"/>
        <v>14</v>
      </c>
      <c r="B52" s="30">
        <f ca="1" t="array" ref="B52">INDEX(Data_DBD!$B:$B,$A52)</f>
        <v>49</v>
      </c>
      <c r="C52" s="30">
        <f ca="1" t="array" ref="C52">INDEX(Data_DBD!$C:$C,$A52)</f>
        <v>4</v>
      </c>
      <c r="D52" s="30">
        <f ca="1" t="array" ref="D52">INDEX(Data_DBD!$D:$D,$A52)</f>
        <v>7</v>
      </c>
      <c r="E52" s="30">
        <f ca="1" t="array" ref="E52">INDEX(Data_DBD!$E:$E,$A52)</f>
        <v>1</v>
      </c>
      <c r="F52" s="30">
        <f ca="1" t="array" ref="F52">INDEX(Data_DBD!$F:$F,$A52)</f>
        <v>1</v>
      </c>
      <c r="H52" s="42">
        <v>39</v>
      </c>
      <c r="I52" s="42">
        <v>12</v>
      </c>
      <c r="J52" s="42">
        <v>5</v>
      </c>
      <c r="K52" s="42">
        <v>13</v>
      </c>
      <c r="L52" s="42">
        <v>1</v>
      </c>
      <c r="M52" s="42">
        <v>2</v>
      </c>
    </row>
    <row r="53" spans="1:13">
      <c r="A53" s="30">
        <f ca="1" t="shared" si="0"/>
        <v>57</v>
      </c>
      <c r="B53" s="30">
        <f ca="1" t="array" ref="B53">INDEX(Data_DBD!$B:$B,$A53)</f>
        <v>2</v>
      </c>
      <c r="C53" s="30">
        <f ca="1" t="array" ref="C53">INDEX(Data_DBD!$C:$C,$A53)</f>
        <v>2</v>
      </c>
      <c r="D53" s="30">
        <f ca="1" t="array" ref="D53">INDEX(Data_DBD!$D:$D,$A53)</f>
        <v>15</v>
      </c>
      <c r="E53" s="30">
        <f ca="1" t="array" ref="E53">INDEX(Data_DBD!$E:$E,$A53)</f>
        <v>1</v>
      </c>
      <c r="F53" s="30">
        <f ca="1" t="array" ref="F53">INDEX(Data_DBD!$F:$F,$A53)</f>
        <v>2</v>
      </c>
      <c r="H53" s="42">
        <v>61</v>
      </c>
      <c r="I53" s="42">
        <v>29</v>
      </c>
      <c r="J53" s="42">
        <v>3</v>
      </c>
      <c r="K53" s="42">
        <v>15</v>
      </c>
      <c r="L53" s="42">
        <v>1</v>
      </c>
      <c r="M53" s="42">
        <v>2</v>
      </c>
    </row>
    <row r="54" spans="1:13">
      <c r="A54" s="30">
        <f ca="1" t="shared" si="0"/>
        <v>56</v>
      </c>
      <c r="B54" s="30">
        <f ca="1" t="array" ref="B54">INDEX(Data_DBD!$B:$B,$A54)</f>
        <v>4</v>
      </c>
      <c r="C54" s="30">
        <f ca="1" t="array" ref="C54">INDEX(Data_DBD!$C:$C,$A54)</f>
        <v>3</v>
      </c>
      <c r="D54" s="30">
        <f ca="1" t="array" ref="D54">INDEX(Data_DBD!$D:$D,$A54)</f>
        <v>15</v>
      </c>
      <c r="E54" s="30">
        <f ca="1" t="array" ref="E54">INDEX(Data_DBD!$E:$E,$A54)</f>
        <v>0</v>
      </c>
      <c r="F54" s="30">
        <f ca="1" t="array" ref="F54">INDEX(Data_DBD!$F:$F,$A54)</f>
        <v>2</v>
      </c>
      <c r="H54" s="42">
        <v>112</v>
      </c>
      <c r="I54" s="42">
        <v>61</v>
      </c>
      <c r="J54" s="42">
        <v>3</v>
      </c>
      <c r="K54" s="42">
        <v>33</v>
      </c>
      <c r="L54" s="42">
        <v>1</v>
      </c>
      <c r="M54" s="42">
        <v>3</v>
      </c>
    </row>
    <row r="55" spans="1:13">
      <c r="A55" s="30">
        <f ca="1" t="shared" si="0"/>
        <v>161</v>
      </c>
      <c r="B55" s="30">
        <f ca="1" t="array" ref="B55">INDEX(Data_DBD!$B:$B,$A55)</f>
        <v>12</v>
      </c>
      <c r="C55" s="30">
        <f ca="1" t="array" ref="C55">INDEX(Data_DBD!$C:$C,$A55)</f>
        <v>3</v>
      </c>
      <c r="D55" s="30">
        <f ca="1" t="array" ref="D55">INDEX(Data_DBD!$D:$D,$A55)</f>
        <v>21</v>
      </c>
      <c r="E55" s="30">
        <f ca="1" t="array" ref="E55">INDEX(Data_DBD!$E:$E,$A55)</f>
        <v>1</v>
      </c>
      <c r="F55" s="30">
        <f ca="1" t="array" ref="F55">INDEX(Data_DBD!$F:$F,$A55)</f>
        <v>3</v>
      </c>
      <c r="H55" s="42">
        <v>12</v>
      </c>
      <c r="I55" s="42">
        <v>23</v>
      </c>
      <c r="J55" s="42">
        <v>3</v>
      </c>
      <c r="K55" s="42">
        <v>12</v>
      </c>
      <c r="L55" s="42">
        <v>0</v>
      </c>
      <c r="M55" s="42">
        <v>2</v>
      </c>
    </row>
    <row r="56" spans="1:13">
      <c r="A56" s="30">
        <f ca="1" t="shared" si="0"/>
        <v>116</v>
      </c>
      <c r="B56" s="30">
        <f ca="1" t="array" ref="B56">INDEX(Data_DBD!$B:$B,$A56)</f>
        <v>32</v>
      </c>
      <c r="C56" s="30">
        <f ca="1" t="array" ref="C56">INDEX(Data_DBD!$C:$C,$A56)</f>
        <v>4</v>
      </c>
      <c r="D56" s="30">
        <f ca="1" t="array" ref="D56">INDEX(Data_DBD!$D:$D,$A56)</f>
        <v>33</v>
      </c>
      <c r="E56" s="30">
        <f ca="1" t="array" ref="E56">INDEX(Data_DBD!$E:$E,$A56)</f>
        <v>1</v>
      </c>
      <c r="F56" s="30">
        <f ca="1" t="array" ref="F56">INDEX(Data_DBD!$F:$F,$A56)</f>
        <v>3</v>
      </c>
      <c r="H56" s="42">
        <v>22</v>
      </c>
      <c r="I56" s="42">
        <v>6</v>
      </c>
      <c r="J56" s="42">
        <v>3</v>
      </c>
      <c r="K56" s="42">
        <v>14</v>
      </c>
      <c r="L56" s="42">
        <v>0</v>
      </c>
      <c r="M56" s="42">
        <v>2</v>
      </c>
    </row>
    <row r="57" spans="1:13">
      <c r="A57" s="30">
        <f ca="1" t="shared" si="0"/>
        <v>38</v>
      </c>
      <c r="B57" s="30">
        <f ca="1" t="array" ref="B57">INDEX(Data_DBD!$B:$B,$A57)</f>
        <v>52</v>
      </c>
      <c r="C57" s="30">
        <f ca="1" t="array" ref="C57">INDEX(Data_DBD!$C:$C,$A57)</f>
        <v>3</v>
      </c>
      <c r="D57" s="30">
        <f ca="1" t="array" ref="D57">INDEX(Data_DBD!$D:$D,$A57)</f>
        <v>4</v>
      </c>
      <c r="E57" s="30">
        <f ca="1" t="array" ref="E57">INDEX(Data_DBD!$E:$E,$A57)</f>
        <v>1</v>
      </c>
      <c r="F57" s="30">
        <f ca="1" t="array" ref="F57">INDEX(Data_DBD!$F:$F,$A57)</f>
        <v>1</v>
      </c>
      <c r="H57" s="42">
        <v>151</v>
      </c>
      <c r="I57" s="42">
        <v>24</v>
      </c>
      <c r="J57" s="42">
        <v>3</v>
      </c>
      <c r="K57" s="42">
        <v>21</v>
      </c>
      <c r="L57" s="42">
        <v>0</v>
      </c>
      <c r="M57" s="42">
        <v>3</v>
      </c>
    </row>
    <row r="58" spans="1:13">
      <c r="A58" s="30">
        <f ca="1" t="shared" si="0"/>
        <v>61</v>
      </c>
      <c r="B58" s="30">
        <f ca="1" t="array" ref="B58">INDEX(Data_DBD!$B:$B,$A58)</f>
        <v>29</v>
      </c>
      <c r="C58" s="30">
        <f ca="1" t="array" ref="C58">INDEX(Data_DBD!$C:$C,$A58)</f>
        <v>3</v>
      </c>
      <c r="D58" s="30">
        <f ca="1" t="array" ref="D58">INDEX(Data_DBD!$D:$D,$A58)</f>
        <v>15</v>
      </c>
      <c r="E58" s="30">
        <f ca="1" t="array" ref="E58">INDEX(Data_DBD!$E:$E,$A58)</f>
        <v>1</v>
      </c>
      <c r="F58" s="30">
        <f ca="1" t="array" ref="F58">INDEX(Data_DBD!$F:$F,$A58)</f>
        <v>2</v>
      </c>
      <c r="H58" s="42">
        <v>12</v>
      </c>
      <c r="I58" s="42">
        <v>23</v>
      </c>
      <c r="J58" s="42">
        <v>3</v>
      </c>
      <c r="K58" s="42">
        <v>12</v>
      </c>
      <c r="L58" s="42">
        <v>0</v>
      </c>
      <c r="M58" s="42">
        <v>2</v>
      </c>
    </row>
    <row r="59" spans="1:13">
      <c r="A59" s="30">
        <f ca="1" t="shared" si="0"/>
        <v>16</v>
      </c>
      <c r="B59" s="30">
        <f ca="1" t="array" ref="B59">INDEX(Data_DBD!$B:$B,$A59)</f>
        <v>66</v>
      </c>
      <c r="C59" s="30">
        <f ca="1" t="array" ref="C59">INDEX(Data_DBD!$C:$C,$A59)</f>
        <v>5</v>
      </c>
      <c r="D59" s="30">
        <f ca="1" t="array" ref="D59">INDEX(Data_DBD!$D:$D,$A59)</f>
        <v>7</v>
      </c>
      <c r="E59" s="30">
        <f ca="1" t="array" ref="E59">INDEX(Data_DBD!$E:$E,$A59)</f>
        <v>1</v>
      </c>
      <c r="F59" s="30">
        <f ca="1" t="array" ref="F59">INDEX(Data_DBD!$F:$F,$A59)</f>
        <v>1</v>
      </c>
      <c r="H59" s="42">
        <v>63</v>
      </c>
      <c r="I59" s="42">
        <v>25</v>
      </c>
      <c r="J59" s="42">
        <v>3</v>
      </c>
      <c r="K59" s="42">
        <v>15</v>
      </c>
      <c r="L59" s="42">
        <v>0</v>
      </c>
      <c r="M59" s="42">
        <v>2</v>
      </c>
    </row>
    <row r="60" spans="1:13">
      <c r="A60" s="30">
        <f ca="1" t="shared" si="0"/>
        <v>65</v>
      </c>
      <c r="B60" s="30">
        <f ca="1" t="array" ref="B60">INDEX(Data_DBD!$B:$B,$A60)</f>
        <v>49</v>
      </c>
      <c r="C60" s="30">
        <f ca="1" t="array" ref="C60">INDEX(Data_DBD!$C:$C,$A60)</f>
        <v>3</v>
      </c>
      <c r="D60" s="30">
        <f ca="1" t="array" ref="D60">INDEX(Data_DBD!$D:$D,$A60)</f>
        <v>15</v>
      </c>
      <c r="E60" s="30">
        <f ca="1" t="array" ref="E60">INDEX(Data_DBD!$E:$E,$A60)</f>
        <v>0</v>
      </c>
      <c r="F60" s="30">
        <f ca="1" t="array" ref="F60">INDEX(Data_DBD!$F:$F,$A60)</f>
        <v>2</v>
      </c>
      <c r="H60" s="42">
        <v>143</v>
      </c>
      <c r="I60" s="42">
        <v>20</v>
      </c>
      <c r="J60" s="42">
        <v>4</v>
      </c>
      <c r="K60" s="42">
        <v>21</v>
      </c>
      <c r="L60" s="42">
        <v>1</v>
      </c>
      <c r="M60" s="42">
        <v>3</v>
      </c>
    </row>
    <row r="61" spans="1:13">
      <c r="A61" s="30">
        <f ca="1" t="shared" si="0"/>
        <v>38</v>
      </c>
      <c r="B61" s="30">
        <f ca="1" t="array" ref="B61">INDEX(Data_DBD!$B:$B,$A61)</f>
        <v>52</v>
      </c>
      <c r="C61" s="30">
        <f ca="1" t="array" ref="C61">INDEX(Data_DBD!$C:$C,$A61)</f>
        <v>3</v>
      </c>
      <c r="D61" s="30">
        <f ca="1" t="array" ref="D61">INDEX(Data_DBD!$D:$D,$A61)</f>
        <v>4</v>
      </c>
      <c r="E61" s="30">
        <f ca="1" t="array" ref="E61">INDEX(Data_DBD!$E:$E,$A61)</f>
        <v>1</v>
      </c>
      <c r="F61" s="30">
        <f ca="1" t="array" ref="F61">INDEX(Data_DBD!$F:$F,$A61)</f>
        <v>1</v>
      </c>
      <c r="H61" s="42">
        <v>6</v>
      </c>
      <c r="I61" s="42">
        <v>14</v>
      </c>
      <c r="J61" s="42">
        <v>4</v>
      </c>
      <c r="K61" s="42">
        <v>12</v>
      </c>
      <c r="L61" s="42">
        <v>0</v>
      </c>
      <c r="M61" s="42">
        <v>2</v>
      </c>
    </row>
    <row r="62" spans="1:13">
      <c r="A62" s="30">
        <f ca="1" t="shared" si="0"/>
        <v>13</v>
      </c>
      <c r="B62" s="30">
        <f ca="1" t="array" ref="B62">INDEX(Data_DBD!$B:$B,$A62)</f>
        <v>47</v>
      </c>
      <c r="C62" s="30">
        <f ca="1" t="array" ref="C62">INDEX(Data_DBD!$C:$C,$A62)</f>
        <v>2</v>
      </c>
      <c r="D62" s="30">
        <f ca="1" t="array" ref="D62">INDEX(Data_DBD!$D:$D,$A62)</f>
        <v>12</v>
      </c>
      <c r="E62" s="30">
        <f ca="1" t="array" ref="E62">INDEX(Data_DBD!$E:$E,$A62)</f>
        <v>0</v>
      </c>
      <c r="F62" s="30">
        <f ca="1" t="array" ref="F62">INDEX(Data_DBD!$F:$F,$A62)</f>
        <v>2</v>
      </c>
      <c r="H62" s="42">
        <v>17</v>
      </c>
      <c r="I62" s="42">
        <v>2</v>
      </c>
      <c r="J62" s="42">
        <v>3</v>
      </c>
      <c r="K62" s="42">
        <v>7</v>
      </c>
      <c r="L62" s="42">
        <v>0</v>
      </c>
      <c r="M62" s="42">
        <v>1</v>
      </c>
    </row>
    <row r="63" spans="1:13">
      <c r="A63" s="30">
        <f ca="1" t="shared" si="0"/>
        <v>40</v>
      </c>
      <c r="B63" s="30">
        <f ca="1" t="array" ref="B63">INDEX(Data_DBD!$B:$B,$A63)</f>
        <v>65</v>
      </c>
      <c r="C63" s="30">
        <f ca="1" t="array" ref="C63">INDEX(Data_DBD!$C:$C,$A63)</f>
        <v>3</v>
      </c>
      <c r="D63" s="30">
        <f ca="1" t="array" ref="D63">INDEX(Data_DBD!$D:$D,$A63)</f>
        <v>13</v>
      </c>
      <c r="E63" s="30">
        <f ca="1" t="array" ref="E63">INDEX(Data_DBD!$E:$E,$A63)</f>
        <v>1</v>
      </c>
      <c r="F63" s="30">
        <f ca="1" t="array" ref="F63">INDEX(Data_DBD!$F:$F,$A63)</f>
        <v>2</v>
      </c>
      <c r="H63" s="42">
        <v>115</v>
      </c>
      <c r="I63" s="42">
        <v>52</v>
      </c>
      <c r="J63" s="42">
        <v>3</v>
      </c>
      <c r="K63" s="42">
        <v>33</v>
      </c>
      <c r="L63" s="42">
        <v>1</v>
      </c>
      <c r="M63" s="42">
        <v>3</v>
      </c>
    </row>
    <row r="64" spans="1:13">
      <c r="A64" s="30">
        <f ca="1" t="shared" si="0"/>
        <v>29</v>
      </c>
      <c r="B64" s="30">
        <f ca="1" t="array" ref="B64">INDEX(Data_DBD!$B:$B,$A64)</f>
        <v>19</v>
      </c>
      <c r="C64" s="30">
        <f ca="1" t="array" ref="C64">INDEX(Data_DBD!$C:$C,$A64)</f>
        <v>2</v>
      </c>
      <c r="D64" s="30">
        <f ca="1" t="array" ref="D64">INDEX(Data_DBD!$D:$D,$A64)</f>
        <v>14</v>
      </c>
      <c r="E64" s="30">
        <f ca="1" t="array" ref="E64">INDEX(Data_DBD!$E:$E,$A64)</f>
        <v>1</v>
      </c>
      <c r="F64" s="30">
        <f ca="1" t="array" ref="F64">INDEX(Data_DBD!$F:$F,$A64)</f>
        <v>2</v>
      </c>
      <c r="H64" s="42">
        <v>98</v>
      </c>
      <c r="I64" s="42">
        <v>16</v>
      </c>
      <c r="J64" s="42">
        <v>2</v>
      </c>
      <c r="K64" s="42">
        <v>18</v>
      </c>
      <c r="L64" s="42">
        <v>1</v>
      </c>
      <c r="M64" s="42">
        <v>3</v>
      </c>
    </row>
    <row r="65" spans="1:13">
      <c r="A65" s="30">
        <f ca="1" t="shared" si="0"/>
        <v>126</v>
      </c>
      <c r="B65" s="30">
        <f ca="1" t="array" ref="B65">INDEX(Data_DBD!$B:$B,$A65)</f>
        <v>51</v>
      </c>
      <c r="C65" s="30">
        <f ca="1" t="array" ref="C65">INDEX(Data_DBD!$C:$C,$A65)</f>
        <v>3</v>
      </c>
      <c r="D65" s="30">
        <f ca="1" t="array" ref="D65">INDEX(Data_DBD!$D:$D,$A65)</f>
        <v>33</v>
      </c>
      <c r="E65" s="30">
        <f ca="1" t="array" ref="E65">INDEX(Data_DBD!$E:$E,$A65)</f>
        <v>1</v>
      </c>
      <c r="F65" s="30">
        <f ca="1" t="array" ref="F65">INDEX(Data_DBD!$F:$F,$A65)</f>
        <v>3</v>
      </c>
      <c r="H65" s="42">
        <v>71</v>
      </c>
      <c r="I65" s="42">
        <v>84</v>
      </c>
      <c r="J65" s="42">
        <v>3</v>
      </c>
      <c r="K65" s="42">
        <v>10</v>
      </c>
      <c r="L65" s="42">
        <v>0</v>
      </c>
      <c r="M65" s="42">
        <v>2</v>
      </c>
    </row>
    <row r="66" spans="1:13">
      <c r="A66" s="30">
        <f ca="1" t="shared" si="0"/>
        <v>5</v>
      </c>
      <c r="B66" s="30">
        <f ca="1" t="array" ref="B66">INDEX(Data_DBD!$B:$B,$A66)</f>
        <v>18</v>
      </c>
      <c r="C66" s="30">
        <f ca="1" t="array" ref="C66">INDEX(Data_DBD!$C:$C,$A66)</f>
        <v>2</v>
      </c>
      <c r="D66" s="30">
        <f ca="1" t="array" ref="D66">INDEX(Data_DBD!$D:$D,$A66)</f>
        <v>12</v>
      </c>
      <c r="E66" s="30">
        <f ca="1" t="array" ref="E66">INDEX(Data_DBD!$E:$E,$A66)</f>
        <v>1</v>
      </c>
      <c r="F66" s="30">
        <f ca="1" t="array" ref="F66">INDEX(Data_DBD!$F:$F,$A66)</f>
        <v>2</v>
      </c>
      <c r="H66" s="42">
        <v>48</v>
      </c>
      <c r="I66" s="42">
        <v>50</v>
      </c>
      <c r="J66" s="42">
        <v>5</v>
      </c>
      <c r="K66" s="42">
        <v>13</v>
      </c>
      <c r="L66" s="42">
        <v>1</v>
      </c>
      <c r="M66" s="42">
        <v>2</v>
      </c>
    </row>
    <row r="67" spans="1:13">
      <c r="A67" s="30">
        <f ca="1" t="shared" ref="A67:A130" si="1">RANDBETWEEN(2,164)</f>
        <v>65</v>
      </c>
      <c r="B67" s="30">
        <f ca="1" t="array" ref="B67">INDEX(Data_DBD!$B:$B,$A67)</f>
        <v>49</v>
      </c>
      <c r="C67" s="30">
        <f ca="1" t="array" ref="C67">INDEX(Data_DBD!$C:$C,$A67)</f>
        <v>3</v>
      </c>
      <c r="D67" s="30">
        <f ca="1" t="array" ref="D67">INDEX(Data_DBD!$D:$D,$A67)</f>
        <v>15</v>
      </c>
      <c r="E67" s="30">
        <f ca="1" t="array" ref="E67">INDEX(Data_DBD!$E:$E,$A67)</f>
        <v>0</v>
      </c>
      <c r="F67" s="30">
        <f ca="1" t="array" ref="F67">INDEX(Data_DBD!$F:$F,$A67)</f>
        <v>2</v>
      </c>
      <c r="H67" s="42">
        <v>96</v>
      </c>
      <c r="I67" s="42">
        <v>56</v>
      </c>
      <c r="J67" s="42">
        <v>4</v>
      </c>
      <c r="K67" s="42">
        <v>18</v>
      </c>
      <c r="L67" s="42">
        <v>0</v>
      </c>
      <c r="M67" s="42">
        <v>3</v>
      </c>
    </row>
    <row r="68" spans="1:13">
      <c r="A68" s="30">
        <f ca="1" t="shared" si="1"/>
        <v>114</v>
      </c>
      <c r="B68" s="30">
        <f ca="1" t="array" ref="B68">INDEX(Data_DBD!$B:$B,$A68)</f>
        <v>14</v>
      </c>
      <c r="C68" s="30">
        <f ca="1" t="array" ref="C68">INDEX(Data_DBD!$C:$C,$A68)</f>
        <v>2</v>
      </c>
      <c r="D68" s="30">
        <f ca="1" t="array" ref="D68">INDEX(Data_DBD!$D:$D,$A68)</f>
        <v>33</v>
      </c>
      <c r="E68" s="30">
        <f ca="1" t="array" ref="E68">INDEX(Data_DBD!$E:$E,$A68)</f>
        <v>1</v>
      </c>
      <c r="F68" s="30">
        <f ca="1" t="array" ref="F68">INDEX(Data_DBD!$F:$F,$A68)</f>
        <v>3</v>
      </c>
      <c r="H68" s="42">
        <v>66</v>
      </c>
      <c r="I68" s="42">
        <v>21</v>
      </c>
      <c r="J68" s="42">
        <v>5</v>
      </c>
      <c r="K68" s="42">
        <v>15</v>
      </c>
      <c r="L68" s="42">
        <v>1</v>
      </c>
      <c r="M68" s="42">
        <v>2</v>
      </c>
    </row>
    <row r="69" spans="1:13">
      <c r="A69" s="30">
        <f ca="1" t="shared" si="1"/>
        <v>2</v>
      </c>
      <c r="B69" s="30">
        <f ca="1" t="array" ref="B69">INDEX(Data_DBD!$B:$B,$A69)</f>
        <v>34</v>
      </c>
      <c r="C69" s="30">
        <f ca="1" t="array" ref="C69">INDEX(Data_DBD!$C:$C,$A69)</f>
        <v>3</v>
      </c>
      <c r="D69" s="30">
        <f ca="1" t="array" ref="D69">INDEX(Data_DBD!$D:$D,$A69)</f>
        <v>12</v>
      </c>
      <c r="E69" s="30">
        <f ca="1" t="array" ref="E69">INDEX(Data_DBD!$E:$E,$A69)</f>
        <v>0</v>
      </c>
      <c r="F69" s="30">
        <f ca="1" t="array" ref="F69">INDEX(Data_DBD!$F:$F,$A69)</f>
        <v>2</v>
      </c>
      <c r="H69" s="42">
        <v>63</v>
      </c>
      <c r="I69" s="42">
        <v>25</v>
      </c>
      <c r="J69" s="42">
        <v>3</v>
      </c>
      <c r="K69" s="42">
        <v>15</v>
      </c>
      <c r="L69" s="42">
        <v>0</v>
      </c>
      <c r="M69" s="42">
        <v>2</v>
      </c>
    </row>
    <row r="70" spans="1:13">
      <c r="A70" s="30">
        <f ca="1" t="shared" si="1"/>
        <v>75</v>
      </c>
      <c r="B70" s="30">
        <f ca="1" t="array" ref="B70">INDEX(Data_DBD!$B:$B,$A70)</f>
        <v>2</v>
      </c>
      <c r="C70" s="30">
        <f ca="1" t="array" ref="C70">INDEX(Data_DBD!$C:$C,$A70)</f>
        <v>2</v>
      </c>
      <c r="D70" s="30">
        <f ca="1" t="array" ref="D70">INDEX(Data_DBD!$D:$D,$A70)</f>
        <v>10</v>
      </c>
      <c r="E70" s="30">
        <f ca="1" t="array" ref="E70">INDEX(Data_DBD!$E:$E,$A70)</f>
        <v>1</v>
      </c>
      <c r="F70" s="30">
        <f ca="1" t="array" ref="F70">INDEX(Data_DBD!$F:$F,$A70)</f>
        <v>2</v>
      </c>
      <c r="H70" s="42">
        <v>112</v>
      </c>
      <c r="I70" s="42">
        <v>61</v>
      </c>
      <c r="J70" s="42">
        <v>3</v>
      </c>
      <c r="K70" s="42">
        <v>33</v>
      </c>
      <c r="L70" s="42">
        <v>1</v>
      </c>
      <c r="M70" s="42">
        <v>3</v>
      </c>
    </row>
    <row r="71" spans="1:13">
      <c r="A71" s="30">
        <f ca="1" t="shared" si="1"/>
        <v>148</v>
      </c>
      <c r="B71" s="30">
        <f ca="1" t="array" ref="B71">INDEX(Data_DBD!$B:$B,$A71)</f>
        <v>55</v>
      </c>
      <c r="C71" s="30">
        <f ca="1" t="array" ref="C71">INDEX(Data_DBD!$C:$C,$A71)</f>
        <v>3</v>
      </c>
      <c r="D71" s="30">
        <f ca="1" t="array" ref="D71">INDEX(Data_DBD!$D:$D,$A71)</f>
        <v>21</v>
      </c>
      <c r="E71" s="30">
        <f ca="1" t="array" ref="E71">INDEX(Data_DBD!$E:$E,$A71)</f>
        <v>1</v>
      </c>
      <c r="F71" s="30">
        <f ca="1" t="array" ref="F71">INDEX(Data_DBD!$F:$F,$A71)</f>
        <v>3</v>
      </c>
      <c r="H71" s="42">
        <v>109</v>
      </c>
      <c r="I71" s="42">
        <v>40</v>
      </c>
      <c r="J71" s="42">
        <v>3</v>
      </c>
      <c r="K71" s="42">
        <v>33</v>
      </c>
      <c r="L71" s="42">
        <v>1</v>
      </c>
      <c r="M71" s="42">
        <v>3</v>
      </c>
    </row>
    <row r="72" spans="1:13">
      <c r="A72" s="30">
        <f ca="1" t="shared" si="1"/>
        <v>134</v>
      </c>
      <c r="B72" s="30">
        <f ca="1" t="array" ref="B72">INDEX(Data_DBD!$B:$B,$A72)</f>
        <v>4</v>
      </c>
      <c r="C72" s="30">
        <f ca="1" t="array" ref="C72">INDEX(Data_DBD!$C:$C,$A72)</f>
        <v>2</v>
      </c>
      <c r="D72" s="30">
        <f ca="1" t="array" ref="D72">INDEX(Data_DBD!$D:$D,$A72)</f>
        <v>33</v>
      </c>
      <c r="E72" s="30">
        <f ca="1" t="array" ref="E72">INDEX(Data_DBD!$E:$E,$A72)</f>
        <v>1</v>
      </c>
      <c r="F72" s="30">
        <f ca="1" t="array" ref="F72">INDEX(Data_DBD!$F:$F,$A72)</f>
        <v>3</v>
      </c>
      <c r="H72" s="42">
        <v>43</v>
      </c>
      <c r="I72" s="42">
        <v>15</v>
      </c>
      <c r="J72" s="42">
        <v>4</v>
      </c>
      <c r="K72" s="42">
        <v>13</v>
      </c>
      <c r="L72" s="42">
        <v>0</v>
      </c>
      <c r="M72" s="42">
        <v>2</v>
      </c>
    </row>
    <row r="73" spans="1:13">
      <c r="A73" s="30">
        <f ca="1" t="shared" si="1"/>
        <v>129</v>
      </c>
      <c r="B73" s="30">
        <f ca="1" t="array" ref="B73">INDEX(Data_DBD!$B:$B,$A73)</f>
        <v>4.5</v>
      </c>
      <c r="C73" s="30">
        <f ca="1" t="array" ref="C73">INDEX(Data_DBD!$C:$C,$A73)</f>
        <v>3</v>
      </c>
      <c r="D73" s="30">
        <f ca="1" t="array" ref="D73">INDEX(Data_DBD!$D:$D,$A73)</f>
        <v>33</v>
      </c>
      <c r="E73" s="30">
        <f ca="1" t="array" ref="E73">INDEX(Data_DBD!$E:$E,$A73)</f>
        <v>0</v>
      </c>
      <c r="F73" s="30">
        <f ca="1" t="array" ref="F73">INDEX(Data_DBD!$F:$F,$A73)</f>
        <v>3</v>
      </c>
      <c r="H73" s="42">
        <v>109</v>
      </c>
      <c r="I73" s="42">
        <v>40</v>
      </c>
      <c r="J73" s="42">
        <v>3</v>
      </c>
      <c r="K73" s="42">
        <v>33</v>
      </c>
      <c r="L73" s="42">
        <v>1</v>
      </c>
      <c r="M73" s="42">
        <v>3</v>
      </c>
    </row>
    <row r="74" spans="1:13">
      <c r="A74" s="30">
        <f ca="1" t="shared" si="1"/>
        <v>5</v>
      </c>
      <c r="B74" s="30">
        <f ca="1" t="array" ref="B74">INDEX(Data_DBD!$B:$B,$A74)</f>
        <v>18</v>
      </c>
      <c r="C74" s="30">
        <f ca="1" t="array" ref="C74">INDEX(Data_DBD!$C:$C,$A74)</f>
        <v>2</v>
      </c>
      <c r="D74" s="30">
        <f ca="1" t="array" ref="D74">INDEX(Data_DBD!$D:$D,$A74)</f>
        <v>12</v>
      </c>
      <c r="E74" s="30">
        <f ca="1" t="array" ref="E74">INDEX(Data_DBD!$E:$E,$A74)</f>
        <v>1</v>
      </c>
      <c r="F74" s="30">
        <f ca="1" t="array" ref="F74">INDEX(Data_DBD!$F:$F,$A74)</f>
        <v>2</v>
      </c>
      <c r="H74" s="42">
        <v>158</v>
      </c>
      <c r="I74" s="42">
        <v>5</v>
      </c>
      <c r="J74" s="42">
        <v>2</v>
      </c>
      <c r="K74" s="42">
        <v>21</v>
      </c>
      <c r="L74" s="42">
        <v>0</v>
      </c>
      <c r="M74" s="42">
        <v>3</v>
      </c>
    </row>
    <row r="75" spans="1:13">
      <c r="A75" s="30">
        <f ca="1" t="shared" si="1"/>
        <v>7</v>
      </c>
      <c r="B75" s="30">
        <f ca="1" t="array" ref="B75">INDEX(Data_DBD!$B:$B,$A75)</f>
        <v>12</v>
      </c>
      <c r="C75" s="30">
        <f ca="1" t="array" ref="C75">INDEX(Data_DBD!$C:$C,$A75)</f>
        <v>1</v>
      </c>
      <c r="D75" s="30">
        <f ca="1" t="array" ref="D75">INDEX(Data_DBD!$D:$D,$A75)</f>
        <v>12</v>
      </c>
      <c r="E75" s="30">
        <f ca="1" t="array" ref="E75">INDEX(Data_DBD!$E:$E,$A75)</f>
        <v>1</v>
      </c>
      <c r="F75" s="30">
        <f ca="1" t="array" ref="F75">INDEX(Data_DBD!$F:$F,$A75)</f>
        <v>2</v>
      </c>
      <c r="H75" s="42">
        <v>90</v>
      </c>
      <c r="I75" s="42">
        <v>47</v>
      </c>
      <c r="J75" s="42">
        <v>3</v>
      </c>
      <c r="K75" s="42">
        <v>18</v>
      </c>
      <c r="L75" s="42">
        <v>0</v>
      </c>
      <c r="M75" s="42">
        <v>3</v>
      </c>
    </row>
    <row r="76" spans="1:13">
      <c r="A76" s="30">
        <f ca="1" t="shared" si="1"/>
        <v>57</v>
      </c>
      <c r="B76" s="30">
        <f ca="1" t="array" ref="B76">INDEX(Data_DBD!$B:$B,$A76)</f>
        <v>2</v>
      </c>
      <c r="C76" s="30">
        <f ca="1" t="array" ref="C76">INDEX(Data_DBD!$C:$C,$A76)</f>
        <v>2</v>
      </c>
      <c r="D76" s="30">
        <f ca="1" t="array" ref="D76">INDEX(Data_DBD!$D:$D,$A76)</f>
        <v>15</v>
      </c>
      <c r="E76" s="30">
        <f ca="1" t="array" ref="E76">INDEX(Data_DBD!$E:$E,$A76)</f>
        <v>1</v>
      </c>
      <c r="F76" s="30">
        <f ca="1" t="array" ref="F76">INDEX(Data_DBD!$F:$F,$A76)</f>
        <v>2</v>
      </c>
      <c r="H76" s="42">
        <v>134</v>
      </c>
      <c r="I76" s="42">
        <v>4</v>
      </c>
      <c r="J76" s="42">
        <v>2</v>
      </c>
      <c r="K76" s="42">
        <v>33</v>
      </c>
      <c r="L76" s="42">
        <v>1</v>
      </c>
      <c r="M76" s="42">
        <v>3</v>
      </c>
    </row>
    <row r="77" spans="1:13">
      <c r="A77" s="30">
        <f ca="1" t="shared" si="1"/>
        <v>147</v>
      </c>
      <c r="B77" s="30">
        <f ca="1" t="array" ref="B77">INDEX(Data_DBD!$B:$B,$A77)</f>
        <v>66</v>
      </c>
      <c r="C77" s="30">
        <f ca="1" t="array" ref="C77">INDEX(Data_DBD!$C:$C,$A77)</f>
        <v>10</v>
      </c>
      <c r="D77" s="30">
        <f ca="1" t="array" ref="D77">INDEX(Data_DBD!$D:$D,$A77)</f>
        <v>21</v>
      </c>
      <c r="E77" s="30">
        <f ca="1" t="array" ref="E77">INDEX(Data_DBD!$E:$E,$A77)</f>
        <v>1</v>
      </c>
      <c r="F77" s="30">
        <f ca="1" t="array" ref="F77">INDEX(Data_DBD!$F:$F,$A77)</f>
        <v>3</v>
      </c>
      <c r="H77" s="42">
        <v>2</v>
      </c>
      <c r="I77" s="42">
        <v>34</v>
      </c>
      <c r="J77" s="42">
        <v>3</v>
      </c>
      <c r="K77" s="42">
        <v>12</v>
      </c>
      <c r="L77" s="42">
        <v>0</v>
      </c>
      <c r="M77" s="42">
        <v>2</v>
      </c>
    </row>
    <row r="78" spans="1:13">
      <c r="A78" s="30">
        <f ca="1" t="shared" si="1"/>
        <v>113</v>
      </c>
      <c r="B78" s="30">
        <f ca="1" t="array" ref="B78">INDEX(Data_DBD!$B:$B,$A78)</f>
        <v>69</v>
      </c>
      <c r="C78" s="30">
        <f ca="1" t="array" ref="C78">INDEX(Data_DBD!$C:$C,$A78)</f>
        <v>1</v>
      </c>
      <c r="D78" s="30">
        <f ca="1" t="array" ref="D78">INDEX(Data_DBD!$D:$D,$A78)</f>
        <v>33</v>
      </c>
      <c r="E78" s="30">
        <f ca="1" t="array" ref="E78">INDEX(Data_DBD!$E:$E,$A78)</f>
        <v>1</v>
      </c>
      <c r="F78" s="30">
        <f ca="1" t="array" ref="F78">INDEX(Data_DBD!$F:$F,$A78)</f>
        <v>3</v>
      </c>
      <c r="H78" s="42">
        <v>120</v>
      </c>
      <c r="I78" s="42">
        <v>26</v>
      </c>
      <c r="J78" s="42">
        <v>4</v>
      </c>
      <c r="K78" s="42">
        <v>33</v>
      </c>
      <c r="L78" s="42">
        <v>1</v>
      </c>
      <c r="M78" s="42">
        <v>3</v>
      </c>
    </row>
    <row r="79" spans="1:13">
      <c r="A79" s="30">
        <f ca="1" t="shared" si="1"/>
        <v>139</v>
      </c>
      <c r="B79" s="30">
        <f ca="1" t="array" ref="B79">INDEX(Data_DBD!$B:$B,$A79)</f>
        <v>52</v>
      </c>
      <c r="C79" s="30">
        <f ca="1" t="array" ref="C79">INDEX(Data_DBD!$C:$C,$A79)</f>
        <v>7</v>
      </c>
      <c r="D79" s="30">
        <f ca="1" t="array" ref="D79">INDEX(Data_DBD!$D:$D,$A79)</f>
        <v>21</v>
      </c>
      <c r="E79" s="30">
        <f ca="1" t="array" ref="E79">INDEX(Data_DBD!$E:$E,$A79)</f>
        <v>0</v>
      </c>
      <c r="F79" s="30">
        <f ca="1" t="array" ref="F79">INDEX(Data_DBD!$F:$F,$A79)</f>
        <v>3</v>
      </c>
      <c r="H79" s="42">
        <v>91</v>
      </c>
      <c r="I79" s="42">
        <v>35</v>
      </c>
      <c r="J79" s="42">
        <v>1</v>
      </c>
      <c r="K79" s="42">
        <v>18</v>
      </c>
      <c r="L79" s="42">
        <v>1</v>
      </c>
      <c r="M79" s="42">
        <v>3</v>
      </c>
    </row>
    <row r="80" spans="1:13">
      <c r="A80" s="30">
        <f ca="1" t="shared" si="1"/>
        <v>88</v>
      </c>
      <c r="B80" s="30">
        <f ca="1" t="array" ref="B80">INDEX(Data_DBD!$B:$B,$A80)</f>
        <v>20</v>
      </c>
      <c r="C80" s="30">
        <f ca="1" t="array" ref="C80">INDEX(Data_DBD!$C:$C,$A80)</f>
        <v>4</v>
      </c>
      <c r="D80" s="30">
        <f ca="1" t="array" ref="D80">INDEX(Data_DBD!$D:$D,$A80)</f>
        <v>13</v>
      </c>
      <c r="E80" s="30">
        <f ca="1" t="array" ref="E80">INDEX(Data_DBD!$E:$E,$A80)</f>
        <v>1</v>
      </c>
      <c r="F80" s="30">
        <f ca="1" t="array" ref="F80">INDEX(Data_DBD!$F:$F,$A80)</f>
        <v>2</v>
      </c>
      <c r="H80" s="42">
        <v>126</v>
      </c>
      <c r="I80" s="42">
        <v>51</v>
      </c>
      <c r="J80" s="42">
        <v>3</v>
      </c>
      <c r="K80" s="42">
        <v>33</v>
      </c>
      <c r="L80" s="42">
        <v>1</v>
      </c>
      <c r="M80" s="42">
        <v>3</v>
      </c>
    </row>
    <row r="81" spans="1:13">
      <c r="A81" s="30">
        <f ca="1" t="shared" si="1"/>
        <v>56</v>
      </c>
      <c r="B81" s="30">
        <f ca="1" t="array" ref="B81">INDEX(Data_DBD!$B:$B,$A81)</f>
        <v>4</v>
      </c>
      <c r="C81" s="30">
        <f ca="1" t="array" ref="C81">INDEX(Data_DBD!$C:$C,$A81)</f>
        <v>3</v>
      </c>
      <c r="D81" s="30">
        <f ca="1" t="array" ref="D81">INDEX(Data_DBD!$D:$D,$A81)</f>
        <v>15</v>
      </c>
      <c r="E81" s="30">
        <f ca="1" t="array" ref="E81">INDEX(Data_DBD!$E:$E,$A81)</f>
        <v>0</v>
      </c>
      <c r="F81" s="30">
        <f ca="1" t="array" ref="F81">INDEX(Data_DBD!$F:$F,$A81)</f>
        <v>2</v>
      </c>
      <c r="H81" s="42">
        <v>100</v>
      </c>
      <c r="I81" s="42">
        <v>19</v>
      </c>
      <c r="J81" s="42">
        <v>6</v>
      </c>
      <c r="K81" s="42">
        <v>18</v>
      </c>
      <c r="L81" s="42">
        <v>0</v>
      </c>
      <c r="M81" s="42">
        <v>3</v>
      </c>
    </row>
    <row r="82" spans="1:13">
      <c r="A82" s="30">
        <f ca="1" t="shared" si="1"/>
        <v>114</v>
      </c>
      <c r="B82" s="30">
        <f ca="1" t="array" ref="B82">INDEX(Data_DBD!$B:$B,$A82)</f>
        <v>14</v>
      </c>
      <c r="C82" s="30">
        <f ca="1" t="array" ref="C82">INDEX(Data_DBD!$C:$C,$A82)</f>
        <v>2</v>
      </c>
      <c r="D82" s="30">
        <f ca="1" t="array" ref="D82">INDEX(Data_DBD!$D:$D,$A82)</f>
        <v>33</v>
      </c>
      <c r="E82" s="30">
        <f ca="1" t="array" ref="E82">INDEX(Data_DBD!$E:$E,$A82)</f>
        <v>1</v>
      </c>
      <c r="F82" s="30">
        <f ca="1" t="array" ref="F82">INDEX(Data_DBD!$F:$F,$A82)</f>
        <v>3</v>
      </c>
      <c r="H82" s="42">
        <v>12</v>
      </c>
      <c r="I82" s="42">
        <v>23</v>
      </c>
      <c r="J82" s="42">
        <v>3</v>
      </c>
      <c r="K82" s="42">
        <v>12</v>
      </c>
      <c r="L82" s="42">
        <v>0</v>
      </c>
      <c r="M82" s="42">
        <v>2</v>
      </c>
    </row>
    <row r="83" spans="1:13">
      <c r="A83" s="30">
        <f ca="1" t="shared" si="1"/>
        <v>25</v>
      </c>
      <c r="B83" s="30">
        <f ca="1" t="array" ref="B83">INDEX(Data_DBD!$B:$B,$A83)</f>
        <v>81</v>
      </c>
      <c r="C83" s="30">
        <f ca="1" t="array" ref="C83">INDEX(Data_DBD!$C:$C,$A83)</f>
        <v>5</v>
      </c>
      <c r="D83" s="30">
        <f ca="1" t="array" ref="D83">INDEX(Data_DBD!$D:$D,$A83)</f>
        <v>14</v>
      </c>
      <c r="E83" s="30">
        <f ca="1" t="array" ref="E83">INDEX(Data_DBD!$E:$E,$A83)</f>
        <v>0</v>
      </c>
      <c r="F83" s="30">
        <f ca="1" t="array" ref="F83">INDEX(Data_DBD!$F:$F,$A83)</f>
        <v>2</v>
      </c>
      <c r="H83" s="42">
        <v>67</v>
      </c>
      <c r="I83" s="42">
        <v>21</v>
      </c>
      <c r="J83" s="42">
        <v>3</v>
      </c>
      <c r="K83" s="42">
        <v>10</v>
      </c>
      <c r="L83" s="42">
        <v>1</v>
      </c>
      <c r="M83" s="42">
        <v>2</v>
      </c>
    </row>
    <row r="84" spans="1:13">
      <c r="A84" s="30">
        <f ca="1" t="shared" si="1"/>
        <v>44</v>
      </c>
      <c r="B84" s="30">
        <f ca="1" t="array" ref="B84">INDEX(Data_DBD!$B:$B,$A84)</f>
        <v>28</v>
      </c>
      <c r="C84" s="30">
        <f ca="1" t="array" ref="C84">INDEX(Data_DBD!$C:$C,$A84)</f>
        <v>5</v>
      </c>
      <c r="D84" s="30">
        <f ca="1" t="array" ref="D84">INDEX(Data_DBD!$D:$D,$A84)</f>
        <v>13</v>
      </c>
      <c r="E84" s="30">
        <f ca="1" t="array" ref="E84">INDEX(Data_DBD!$E:$E,$A84)</f>
        <v>1</v>
      </c>
      <c r="F84" s="30">
        <f ca="1" t="array" ref="F84">INDEX(Data_DBD!$F:$F,$A84)</f>
        <v>2</v>
      </c>
      <c r="H84" s="42">
        <v>38</v>
      </c>
      <c r="I84" s="42">
        <v>52</v>
      </c>
      <c r="J84" s="42">
        <v>3</v>
      </c>
      <c r="K84" s="42">
        <v>4</v>
      </c>
      <c r="L84" s="42">
        <v>1</v>
      </c>
      <c r="M84" s="42">
        <v>1</v>
      </c>
    </row>
    <row r="85" spans="1:13">
      <c r="A85" s="30">
        <f ca="1" t="shared" si="1"/>
        <v>54</v>
      </c>
      <c r="B85" s="30">
        <f ca="1" t="array" ref="B85">INDEX(Data_DBD!$B:$B,$A85)</f>
        <v>7</v>
      </c>
      <c r="C85" s="30">
        <f ca="1" t="array" ref="C85">INDEX(Data_DBD!$C:$C,$A85)</f>
        <v>3</v>
      </c>
      <c r="D85" s="30">
        <f ca="1" t="array" ref="D85">INDEX(Data_DBD!$D:$D,$A85)</f>
        <v>15</v>
      </c>
      <c r="E85" s="30">
        <f ca="1" t="array" ref="E85">INDEX(Data_DBD!$E:$E,$A85)</f>
        <v>0</v>
      </c>
      <c r="F85" s="30">
        <f ca="1" t="array" ref="F85">INDEX(Data_DBD!$F:$F,$A85)</f>
        <v>2</v>
      </c>
      <c r="H85" s="42">
        <v>59</v>
      </c>
      <c r="I85" s="42">
        <v>28</v>
      </c>
      <c r="J85" s="42">
        <v>4</v>
      </c>
      <c r="K85" s="42">
        <v>15</v>
      </c>
      <c r="L85" s="42">
        <v>0</v>
      </c>
      <c r="M85" s="42">
        <v>2</v>
      </c>
    </row>
    <row r="86" spans="1:13">
      <c r="A86" s="30">
        <f ca="1" t="shared" si="1"/>
        <v>161</v>
      </c>
      <c r="B86" s="30">
        <f ca="1" t="array" ref="B86">INDEX(Data_DBD!$B:$B,$A86)</f>
        <v>12</v>
      </c>
      <c r="C86" s="30">
        <f ca="1" t="array" ref="C86">INDEX(Data_DBD!$C:$C,$A86)</f>
        <v>3</v>
      </c>
      <c r="D86" s="30">
        <f ca="1" t="array" ref="D86">INDEX(Data_DBD!$D:$D,$A86)</f>
        <v>21</v>
      </c>
      <c r="E86" s="30">
        <f ca="1" t="array" ref="E86">INDEX(Data_DBD!$E:$E,$A86)</f>
        <v>1</v>
      </c>
      <c r="F86" s="30">
        <f ca="1" t="array" ref="F86">INDEX(Data_DBD!$F:$F,$A86)</f>
        <v>3</v>
      </c>
      <c r="H86" s="42">
        <v>24</v>
      </c>
      <c r="I86" s="42">
        <v>60</v>
      </c>
      <c r="J86" s="42">
        <v>4</v>
      </c>
      <c r="K86" s="42">
        <v>14</v>
      </c>
      <c r="L86" s="42">
        <v>0</v>
      </c>
      <c r="M86" s="42">
        <v>2</v>
      </c>
    </row>
    <row r="87" spans="1:13">
      <c r="A87" s="30">
        <f ca="1" t="shared" si="1"/>
        <v>152</v>
      </c>
      <c r="B87" s="30">
        <f ca="1" t="array" ref="B87">INDEX(Data_DBD!$B:$B,$A87)</f>
        <v>47</v>
      </c>
      <c r="C87" s="30">
        <f ca="1" t="array" ref="C87">INDEX(Data_DBD!$C:$C,$A87)</f>
        <v>3</v>
      </c>
      <c r="D87" s="30">
        <f ca="1" t="array" ref="D87">INDEX(Data_DBD!$D:$D,$A87)</f>
        <v>21</v>
      </c>
      <c r="E87" s="30">
        <f ca="1" t="array" ref="E87">INDEX(Data_DBD!$E:$E,$A87)</f>
        <v>1</v>
      </c>
      <c r="F87" s="30">
        <f ca="1" t="array" ref="F87">INDEX(Data_DBD!$F:$F,$A87)</f>
        <v>3</v>
      </c>
      <c r="H87" s="42">
        <v>89</v>
      </c>
      <c r="I87" s="42">
        <v>32</v>
      </c>
      <c r="J87" s="42">
        <v>4</v>
      </c>
      <c r="K87" s="42">
        <v>13</v>
      </c>
      <c r="L87" s="42">
        <v>0</v>
      </c>
      <c r="M87" s="42">
        <v>2</v>
      </c>
    </row>
    <row r="88" spans="1:13">
      <c r="A88" s="30">
        <f ca="1" t="shared" si="1"/>
        <v>73</v>
      </c>
      <c r="B88" s="30">
        <f ca="1" t="array" ref="B88">INDEX(Data_DBD!$B:$B,$A88)</f>
        <v>15</v>
      </c>
      <c r="C88" s="30">
        <f ca="1" t="array" ref="C88">INDEX(Data_DBD!$C:$C,$A88)</f>
        <v>3</v>
      </c>
      <c r="D88" s="30">
        <f ca="1" t="array" ref="D88">INDEX(Data_DBD!$D:$D,$A88)</f>
        <v>10</v>
      </c>
      <c r="E88" s="30">
        <f ca="1" t="array" ref="E88">INDEX(Data_DBD!$E:$E,$A88)</f>
        <v>1</v>
      </c>
      <c r="F88" s="30">
        <f ca="1" t="array" ref="F88">INDEX(Data_DBD!$F:$F,$A88)</f>
        <v>2</v>
      </c>
      <c r="H88" s="42">
        <v>108</v>
      </c>
      <c r="I88" s="42">
        <v>69</v>
      </c>
      <c r="J88" s="42">
        <v>7</v>
      </c>
      <c r="K88" s="42">
        <v>33</v>
      </c>
      <c r="L88" s="42">
        <v>1</v>
      </c>
      <c r="M88" s="42">
        <v>3</v>
      </c>
    </row>
    <row r="89" spans="1:13">
      <c r="A89" s="30">
        <f ca="1" t="shared" si="1"/>
        <v>60</v>
      </c>
      <c r="B89" s="30">
        <f ca="1" t="array" ref="B89">INDEX(Data_DBD!$B:$B,$A89)</f>
        <v>68</v>
      </c>
      <c r="C89" s="30">
        <f ca="1" t="array" ref="C89">INDEX(Data_DBD!$C:$C,$A89)</f>
        <v>4</v>
      </c>
      <c r="D89" s="30">
        <f ca="1" t="array" ref="D89">INDEX(Data_DBD!$D:$D,$A89)</f>
        <v>15</v>
      </c>
      <c r="E89" s="30">
        <f ca="1" t="array" ref="E89">INDEX(Data_DBD!$E:$E,$A89)</f>
        <v>0</v>
      </c>
      <c r="F89" s="30">
        <f ca="1" t="array" ref="F89">INDEX(Data_DBD!$F:$F,$A89)</f>
        <v>2</v>
      </c>
      <c r="H89" s="42">
        <v>50</v>
      </c>
      <c r="I89" s="42">
        <v>19</v>
      </c>
      <c r="J89" s="42">
        <v>5</v>
      </c>
      <c r="K89" s="42">
        <v>13</v>
      </c>
      <c r="L89" s="42">
        <v>0</v>
      </c>
      <c r="M89" s="42">
        <v>2</v>
      </c>
    </row>
    <row r="90" spans="1:13">
      <c r="A90" s="30">
        <f ca="1" t="shared" si="1"/>
        <v>121</v>
      </c>
      <c r="B90" s="30">
        <f ca="1" t="array" ref="B90">INDEX(Data_DBD!$B:$B,$A90)</f>
        <v>82</v>
      </c>
      <c r="C90" s="30">
        <f ca="1" t="array" ref="C90">INDEX(Data_DBD!$C:$C,$A90)</f>
        <v>5</v>
      </c>
      <c r="D90" s="30">
        <f ca="1" t="array" ref="D90">INDEX(Data_DBD!$D:$D,$A90)</f>
        <v>33</v>
      </c>
      <c r="E90" s="30">
        <f ca="1" t="array" ref="E90">INDEX(Data_DBD!$E:$E,$A90)</f>
        <v>1</v>
      </c>
      <c r="F90" s="30">
        <f ca="1" t="array" ref="F90">INDEX(Data_DBD!$F:$F,$A90)</f>
        <v>3</v>
      </c>
      <c r="H90" s="42">
        <v>99</v>
      </c>
      <c r="I90" s="42">
        <v>4</v>
      </c>
      <c r="J90" s="42">
        <v>2</v>
      </c>
      <c r="K90" s="42">
        <v>18</v>
      </c>
      <c r="L90" s="42">
        <v>1</v>
      </c>
      <c r="M90" s="42">
        <v>3</v>
      </c>
    </row>
    <row r="91" spans="1:13">
      <c r="A91" s="30">
        <f ca="1" t="shared" si="1"/>
        <v>73</v>
      </c>
      <c r="B91" s="30">
        <f ca="1" t="array" ref="B91">INDEX(Data_DBD!$B:$B,$A91)</f>
        <v>15</v>
      </c>
      <c r="C91" s="30">
        <f ca="1" t="array" ref="C91">INDEX(Data_DBD!$C:$C,$A91)</f>
        <v>3</v>
      </c>
      <c r="D91" s="30">
        <f ca="1" t="array" ref="D91">INDEX(Data_DBD!$D:$D,$A91)</f>
        <v>10</v>
      </c>
      <c r="E91" s="30">
        <f ca="1" t="array" ref="E91">INDEX(Data_DBD!$E:$E,$A91)</f>
        <v>1</v>
      </c>
      <c r="F91" s="30">
        <f ca="1" t="array" ref="F91">INDEX(Data_DBD!$F:$F,$A91)</f>
        <v>2</v>
      </c>
      <c r="H91" s="42">
        <v>31</v>
      </c>
      <c r="I91" s="42">
        <v>64</v>
      </c>
      <c r="J91" s="42">
        <v>4</v>
      </c>
      <c r="K91" s="42">
        <v>14</v>
      </c>
      <c r="L91" s="42">
        <v>1</v>
      </c>
      <c r="M91" s="42">
        <v>2</v>
      </c>
    </row>
    <row r="92" spans="1:13">
      <c r="A92" s="30">
        <f ca="1" t="shared" si="1"/>
        <v>11</v>
      </c>
      <c r="B92" s="30">
        <f ca="1" t="array" ref="B92">INDEX(Data_DBD!$B:$B,$A92)</f>
        <v>24</v>
      </c>
      <c r="C92" s="30">
        <f ca="1" t="array" ref="C92">INDEX(Data_DBD!$C:$C,$A92)</f>
        <v>5</v>
      </c>
      <c r="D92" s="30">
        <f ca="1" t="array" ref="D92">INDEX(Data_DBD!$D:$D,$A92)</f>
        <v>12</v>
      </c>
      <c r="E92" s="30">
        <f ca="1" t="array" ref="E92">INDEX(Data_DBD!$E:$E,$A92)</f>
        <v>1</v>
      </c>
      <c r="F92" s="30">
        <f ca="1" t="array" ref="F92">INDEX(Data_DBD!$F:$F,$A92)</f>
        <v>2</v>
      </c>
      <c r="H92" s="42">
        <v>39</v>
      </c>
      <c r="I92" s="42">
        <v>12</v>
      </c>
      <c r="J92" s="42">
        <v>5</v>
      </c>
      <c r="K92" s="42">
        <v>13</v>
      </c>
      <c r="L92" s="42">
        <v>1</v>
      </c>
      <c r="M92" s="42">
        <v>2</v>
      </c>
    </row>
    <row r="93" spans="1:13">
      <c r="A93" s="30">
        <f ca="1" t="shared" si="1"/>
        <v>110</v>
      </c>
      <c r="B93" s="30">
        <f ca="1" t="array" ref="B93">INDEX(Data_DBD!$B:$B,$A93)</f>
        <v>42</v>
      </c>
      <c r="C93" s="30">
        <f ca="1" t="array" ref="C93">INDEX(Data_DBD!$C:$C,$A93)</f>
        <v>2</v>
      </c>
      <c r="D93" s="30">
        <f ca="1" t="array" ref="D93">INDEX(Data_DBD!$D:$D,$A93)</f>
        <v>33</v>
      </c>
      <c r="E93" s="30">
        <f ca="1" t="array" ref="E93">INDEX(Data_DBD!$E:$E,$A93)</f>
        <v>1</v>
      </c>
      <c r="F93" s="30">
        <f ca="1" t="array" ref="F93">INDEX(Data_DBD!$F:$F,$A93)</f>
        <v>3</v>
      </c>
      <c r="H93" s="42">
        <v>111</v>
      </c>
      <c r="I93" s="42">
        <v>25</v>
      </c>
      <c r="J93" s="42">
        <v>4</v>
      </c>
      <c r="K93" s="42">
        <v>33</v>
      </c>
      <c r="L93" s="42">
        <v>0</v>
      </c>
      <c r="M93" s="42">
        <v>3</v>
      </c>
    </row>
    <row r="94" spans="1:13">
      <c r="A94" s="30">
        <f ca="1" t="shared" si="1"/>
        <v>150</v>
      </c>
      <c r="B94" s="30">
        <f ca="1" t="array" ref="B94">INDEX(Data_DBD!$B:$B,$A94)</f>
        <v>61</v>
      </c>
      <c r="C94" s="30">
        <f ca="1" t="array" ref="C94">INDEX(Data_DBD!$C:$C,$A94)</f>
        <v>5</v>
      </c>
      <c r="D94" s="30">
        <f ca="1" t="array" ref="D94">INDEX(Data_DBD!$D:$D,$A94)</f>
        <v>21</v>
      </c>
      <c r="E94" s="30">
        <f ca="1" t="array" ref="E94">INDEX(Data_DBD!$E:$E,$A94)</f>
        <v>1</v>
      </c>
      <c r="F94" s="30">
        <f ca="1" t="array" ref="F94">INDEX(Data_DBD!$F:$F,$A94)</f>
        <v>3</v>
      </c>
      <c r="H94" s="42">
        <v>65</v>
      </c>
      <c r="I94" s="42">
        <v>49</v>
      </c>
      <c r="J94" s="42">
        <v>3</v>
      </c>
      <c r="K94" s="42">
        <v>15</v>
      </c>
      <c r="L94" s="42">
        <v>0</v>
      </c>
      <c r="M94" s="42">
        <v>2</v>
      </c>
    </row>
    <row r="95" spans="1:13">
      <c r="A95" s="30">
        <f ca="1" t="shared" si="1"/>
        <v>64</v>
      </c>
      <c r="B95" s="30">
        <f ca="1" t="array" ref="B95">INDEX(Data_DBD!$B:$B,$A95)</f>
        <v>35</v>
      </c>
      <c r="C95" s="30">
        <f ca="1" t="array" ref="C95">INDEX(Data_DBD!$C:$C,$A95)</f>
        <v>1</v>
      </c>
      <c r="D95" s="30">
        <f ca="1" t="array" ref="D95">INDEX(Data_DBD!$D:$D,$A95)</f>
        <v>15</v>
      </c>
      <c r="E95" s="30">
        <f ca="1" t="array" ref="E95">INDEX(Data_DBD!$E:$E,$A95)</f>
        <v>0</v>
      </c>
      <c r="F95" s="30">
        <f ca="1" t="array" ref="F95">INDEX(Data_DBD!$F:$F,$A95)</f>
        <v>2</v>
      </c>
      <c r="H95" s="42">
        <v>107</v>
      </c>
      <c r="I95" s="42">
        <v>48</v>
      </c>
      <c r="J95" s="42">
        <v>5</v>
      </c>
      <c r="K95" s="42">
        <v>18</v>
      </c>
      <c r="L95" s="42">
        <v>0</v>
      </c>
      <c r="M95" s="42">
        <v>3</v>
      </c>
    </row>
    <row r="96" spans="1:13">
      <c r="A96" s="30">
        <f ca="1" t="shared" si="1"/>
        <v>18</v>
      </c>
      <c r="B96" s="30">
        <f ca="1" t="array" ref="B96">INDEX(Data_DBD!$B:$B,$A96)</f>
        <v>49</v>
      </c>
      <c r="C96" s="30">
        <f ca="1" t="array" ref="C96">INDEX(Data_DBD!$C:$C,$A96)</f>
        <v>4</v>
      </c>
      <c r="D96" s="30">
        <f ca="1" t="array" ref="D96">INDEX(Data_DBD!$D:$D,$A96)</f>
        <v>7</v>
      </c>
      <c r="E96" s="30">
        <f ca="1" t="array" ref="E96">INDEX(Data_DBD!$E:$E,$A96)</f>
        <v>1</v>
      </c>
      <c r="F96" s="30">
        <f ca="1" t="array" ref="F96">INDEX(Data_DBD!$F:$F,$A96)</f>
        <v>1</v>
      </c>
      <c r="H96" s="42">
        <v>110</v>
      </c>
      <c r="I96" s="42">
        <v>42</v>
      </c>
      <c r="J96" s="42">
        <v>2</v>
      </c>
      <c r="K96" s="42">
        <v>33</v>
      </c>
      <c r="L96" s="42">
        <v>1</v>
      </c>
      <c r="M96" s="42">
        <v>3</v>
      </c>
    </row>
    <row r="97" spans="1:13">
      <c r="A97" s="30">
        <f ca="1" t="shared" si="1"/>
        <v>104</v>
      </c>
      <c r="B97" s="30">
        <f ca="1" t="array" ref="B97">INDEX(Data_DBD!$B:$B,$A97)</f>
        <v>37</v>
      </c>
      <c r="C97" s="30">
        <f ca="1" t="array" ref="C97">INDEX(Data_DBD!$C:$C,$A97)</f>
        <v>4</v>
      </c>
      <c r="D97" s="30">
        <f ca="1" t="array" ref="D97">INDEX(Data_DBD!$D:$D,$A97)</f>
        <v>18</v>
      </c>
      <c r="E97" s="30">
        <f ca="1" t="array" ref="E97">INDEX(Data_DBD!$E:$E,$A97)</f>
        <v>1</v>
      </c>
      <c r="F97" s="30">
        <f ca="1" t="array" ref="F97">INDEX(Data_DBD!$F:$F,$A97)</f>
        <v>3</v>
      </c>
      <c r="H97" s="42">
        <v>38</v>
      </c>
      <c r="I97" s="42">
        <v>52</v>
      </c>
      <c r="J97" s="42">
        <v>3</v>
      </c>
      <c r="K97" s="42">
        <v>4</v>
      </c>
      <c r="L97" s="42">
        <v>1</v>
      </c>
      <c r="M97" s="42">
        <v>1</v>
      </c>
    </row>
    <row r="98" spans="1:13">
      <c r="A98" s="30">
        <f ca="1" t="shared" si="1"/>
        <v>67</v>
      </c>
      <c r="B98" s="30">
        <f ca="1" t="array" ref="B98">INDEX(Data_DBD!$B:$B,$A98)</f>
        <v>21</v>
      </c>
      <c r="C98" s="30">
        <f ca="1" t="array" ref="C98">INDEX(Data_DBD!$C:$C,$A98)</f>
        <v>3</v>
      </c>
      <c r="D98" s="30">
        <f ca="1" t="array" ref="D98">INDEX(Data_DBD!$D:$D,$A98)</f>
        <v>10</v>
      </c>
      <c r="E98" s="30">
        <f ca="1" t="array" ref="E98">INDEX(Data_DBD!$E:$E,$A98)</f>
        <v>1</v>
      </c>
      <c r="F98" s="30">
        <f ca="1" t="array" ref="F98">INDEX(Data_DBD!$F:$F,$A98)</f>
        <v>2</v>
      </c>
      <c r="H98" s="42">
        <v>65</v>
      </c>
      <c r="I98" s="42">
        <v>49</v>
      </c>
      <c r="J98" s="42">
        <v>3</v>
      </c>
      <c r="K98" s="42">
        <v>15</v>
      </c>
      <c r="L98" s="42">
        <v>0</v>
      </c>
      <c r="M98" s="42">
        <v>2</v>
      </c>
    </row>
    <row r="99" spans="1:13">
      <c r="A99" s="30">
        <f ca="1" t="shared" si="1"/>
        <v>113</v>
      </c>
      <c r="B99" s="30">
        <f ca="1" t="array" ref="B99">INDEX(Data_DBD!$B:$B,$A99)</f>
        <v>69</v>
      </c>
      <c r="C99" s="30">
        <f ca="1" t="array" ref="C99">INDEX(Data_DBD!$C:$C,$A99)</f>
        <v>1</v>
      </c>
      <c r="D99" s="30">
        <f ca="1" t="array" ref="D99">INDEX(Data_DBD!$D:$D,$A99)</f>
        <v>33</v>
      </c>
      <c r="E99" s="30">
        <f ca="1" t="array" ref="E99">INDEX(Data_DBD!$E:$E,$A99)</f>
        <v>1</v>
      </c>
      <c r="F99" s="30">
        <f ca="1" t="array" ref="F99">INDEX(Data_DBD!$F:$F,$A99)</f>
        <v>3</v>
      </c>
      <c r="H99" s="42">
        <v>144</v>
      </c>
      <c r="I99" s="42">
        <v>61</v>
      </c>
      <c r="J99" s="42">
        <v>4</v>
      </c>
      <c r="K99" s="42">
        <v>21</v>
      </c>
      <c r="L99" s="42">
        <v>1</v>
      </c>
      <c r="M99" s="42">
        <v>3</v>
      </c>
    </row>
    <row r="100" spans="1:13">
      <c r="A100" s="30">
        <f ca="1" t="shared" si="1"/>
        <v>57</v>
      </c>
      <c r="B100" s="30">
        <f ca="1" t="array" ref="B100">INDEX(Data_DBD!$B:$B,$A100)</f>
        <v>2</v>
      </c>
      <c r="C100" s="30">
        <f ca="1" t="array" ref="C100">INDEX(Data_DBD!$C:$C,$A100)</f>
        <v>2</v>
      </c>
      <c r="D100" s="30">
        <f ca="1" t="array" ref="D100">INDEX(Data_DBD!$D:$D,$A100)</f>
        <v>15</v>
      </c>
      <c r="E100" s="30">
        <f ca="1" t="array" ref="E100">INDEX(Data_DBD!$E:$E,$A100)</f>
        <v>1</v>
      </c>
      <c r="F100" s="30">
        <f ca="1" t="array" ref="F100">INDEX(Data_DBD!$F:$F,$A100)</f>
        <v>2</v>
      </c>
      <c r="H100" s="42">
        <v>131</v>
      </c>
      <c r="I100" s="42">
        <v>10</v>
      </c>
      <c r="J100" s="42">
        <v>2</v>
      </c>
      <c r="K100" s="42">
        <v>33</v>
      </c>
      <c r="L100" s="42">
        <v>0</v>
      </c>
      <c r="M100" s="42">
        <v>3</v>
      </c>
    </row>
    <row r="101" spans="1:13">
      <c r="A101" s="30">
        <f ca="1" t="shared" si="1"/>
        <v>61</v>
      </c>
      <c r="B101" s="30">
        <f ca="1" t="array" ref="B101">INDEX(Data_DBD!$B:$B,$A101)</f>
        <v>29</v>
      </c>
      <c r="C101" s="30">
        <f ca="1" t="array" ref="C101">INDEX(Data_DBD!$C:$C,$A101)</f>
        <v>3</v>
      </c>
      <c r="D101" s="30">
        <f ca="1" t="array" ref="D101">INDEX(Data_DBD!$D:$D,$A101)</f>
        <v>15</v>
      </c>
      <c r="E101" s="30">
        <f ca="1" t="array" ref="E101">INDEX(Data_DBD!$E:$E,$A101)</f>
        <v>1</v>
      </c>
      <c r="F101" s="30">
        <f ca="1" t="array" ref="F101">INDEX(Data_DBD!$F:$F,$A101)</f>
        <v>2</v>
      </c>
      <c r="H101" s="42">
        <v>119</v>
      </c>
      <c r="I101" s="42">
        <v>30</v>
      </c>
      <c r="J101" s="42">
        <v>7</v>
      </c>
      <c r="K101" s="42">
        <v>33</v>
      </c>
      <c r="L101" s="42">
        <v>0</v>
      </c>
      <c r="M101" s="42">
        <v>3</v>
      </c>
    </row>
    <row r="102" spans="1:13">
      <c r="A102" s="30">
        <f ca="1" t="shared" si="1"/>
        <v>139</v>
      </c>
      <c r="B102" s="30">
        <f ca="1" t="array" ref="B102">INDEX(Data_DBD!$B:$B,$A102)</f>
        <v>52</v>
      </c>
      <c r="C102" s="30">
        <f ca="1" t="array" ref="C102">INDEX(Data_DBD!$C:$C,$A102)</f>
        <v>7</v>
      </c>
      <c r="D102" s="30">
        <f ca="1" t="array" ref="D102">INDEX(Data_DBD!$D:$D,$A102)</f>
        <v>21</v>
      </c>
      <c r="E102" s="30">
        <f ca="1" t="array" ref="E102">INDEX(Data_DBD!$E:$E,$A102)</f>
        <v>0</v>
      </c>
      <c r="F102" s="30">
        <f ca="1" t="array" ref="F102">INDEX(Data_DBD!$F:$F,$A102)</f>
        <v>3</v>
      </c>
      <c r="H102" s="42">
        <v>107</v>
      </c>
      <c r="I102" s="42">
        <v>48</v>
      </c>
      <c r="J102" s="42">
        <v>5</v>
      </c>
      <c r="K102" s="42">
        <v>18</v>
      </c>
      <c r="L102" s="42">
        <v>0</v>
      </c>
      <c r="M102" s="42">
        <v>3</v>
      </c>
    </row>
    <row r="103" spans="1:13">
      <c r="A103" s="30">
        <f ca="1" t="shared" si="1"/>
        <v>155</v>
      </c>
      <c r="B103" s="30">
        <f ca="1" t="array" ref="B103">INDEX(Data_DBD!$B:$B,$A103)</f>
        <v>19</v>
      </c>
      <c r="C103" s="30">
        <f ca="1" t="array" ref="C103">INDEX(Data_DBD!$C:$C,$A103)</f>
        <v>5</v>
      </c>
      <c r="D103" s="30">
        <f ca="1" t="array" ref="D103">INDEX(Data_DBD!$D:$D,$A103)</f>
        <v>21</v>
      </c>
      <c r="E103" s="30">
        <f ca="1" t="array" ref="E103">INDEX(Data_DBD!$E:$E,$A103)</f>
        <v>1</v>
      </c>
      <c r="F103" s="30">
        <f ca="1" t="array" ref="F103">INDEX(Data_DBD!$F:$F,$A103)</f>
        <v>3</v>
      </c>
      <c r="H103" s="42">
        <v>51</v>
      </c>
      <c r="I103" s="42">
        <v>48</v>
      </c>
      <c r="J103" s="42">
        <v>4</v>
      </c>
      <c r="K103" s="42">
        <v>13</v>
      </c>
      <c r="L103" s="42">
        <v>0</v>
      </c>
      <c r="M103" s="42">
        <v>2</v>
      </c>
    </row>
    <row r="104" spans="1:13">
      <c r="A104" s="30">
        <f ca="1" t="shared" si="1"/>
        <v>15</v>
      </c>
      <c r="B104" s="30">
        <f ca="1" t="array" ref="B104">INDEX(Data_DBD!$B:$B,$A104)</f>
        <v>21</v>
      </c>
      <c r="C104" s="30">
        <f ca="1" t="array" ref="C104">INDEX(Data_DBD!$C:$C,$A104)</f>
        <v>2</v>
      </c>
      <c r="D104" s="30">
        <f ca="1" t="array" ref="D104">INDEX(Data_DBD!$D:$D,$A104)</f>
        <v>7</v>
      </c>
      <c r="E104" s="30">
        <f ca="1" t="array" ref="E104">INDEX(Data_DBD!$E:$E,$A104)</f>
        <v>0</v>
      </c>
      <c r="F104" s="30">
        <f ca="1" t="array" ref="F104">INDEX(Data_DBD!$F:$F,$A104)</f>
        <v>1</v>
      </c>
      <c r="H104" s="42">
        <v>48</v>
      </c>
      <c r="I104" s="42">
        <v>50</v>
      </c>
      <c r="J104" s="42">
        <v>5</v>
      </c>
      <c r="K104" s="42">
        <v>13</v>
      </c>
      <c r="L104" s="42">
        <v>1</v>
      </c>
      <c r="M104" s="42">
        <v>2</v>
      </c>
    </row>
    <row r="105" spans="1:13">
      <c r="A105" s="30">
        <f ca="1" t="shared" si="1"/>
        <v>20</v>
      </c>
      <c r="B105" s="30">
        <f ca="1" t="array" ref="B105">INDEX(Data_DBD!$B:$B,$A105)</f>
        <v>15</v>
      </c>
      <c r="C105" s="30">
        <f ca="1" t="array" ref="C105">INDEX(Data_DBD!$C:$C,$A105)</f>
        <v>5</v>
      </c>
      <c r="D105" s="30">
        <f ca="1" t="array" ref="D105">INDEX(Data_DBD!$D:$D,$A105)</f>
        <v>7</v>
      </c>
      <c r="E105" s="30">
        <f ca="1" t="array" ref="E105">INDEX(Data_DBD!$E:$E,$A105)</f>
        <v>0</v>
      </c>
      <c r="F105" s="30">
        <f ca="1" t="array" ref="F105">INDEX(Data_DBD!$F:$F,$A105)</f>
        <v>1</v>
      </c>
      <c r="H105" s="42">
        <v>6</v>
      </c>
      <c r="I105" s="42">
        <v>14</v>
      </c>
      <c r="J105" s="42">
        <v>4</v>
      </c>
      <c r="K105" s="42">
        <v>12</v>
      </c>
      <c r="L105" s="42">
        <v>0</v>
      </c>
      <c r="M105" s="42">
        <v>2</v>
      </c>
    </row>
    <row r="106" spans="1:13">
      <c r="A106" s="30">
        <f ca="1" t="shared" si="1"/>
        <v>64</v>
      </c>
      <c r="B106" s="30">
        <f ca="1" t="array" ref="B106">INDEX(Data_DBD!$B:$B,$A106)</f>
        <v>35</v>
      </c>
      <c r="C106" s="30">
        <f ca="1" t="array" ref="C106">INDEX(Data_DBD!$C:$C,$A106)</f>
        <v>1</v>
      </c>
      <c r="D106" s="30">
        <f ca="1" t="array" ref="D106">INDEX(Data_DBD!$D:$D,$A106)</f>
        <v>15</v>
      </c>
      <c r="E106" s="30">
        <f ca="1" t="array" ref="E106">INDEX(Data_DBD!$E:$E,$A106)</f>
        <v>0</v>
      </c>
      <c r="F106" s="30">
        <f ca="1" t="array" ref="F106">INDEX(Data_DBD!$F:$F,$A106)</f>
        <v>2</v>
      </c>
      <c r="H106" s="42">
        <v>15</v>
      </c>
      <c r="I106" s="42">
        <v>21</v>
      </c>
      <c r="J106" s="42">
        <v>2</v>
      </c>
      <c r="K106" s="42">
        <v>7</v>
      </c>
      <c r="L106" s="42">
        <v>0</v>
      </c>
      <c r="M106" s="42">
        <v>1</v>
      </c>
    </row>
    <row r="107" spans="1:13">
      <c r="A107" s="30">
        <f ca="1" t="shared" si="1"/>
        <v>104</v>
      </c>
      <c r="B107" s="30">
        <f ca="1" t="array" ref="B107">INDEX(Data_DBD!$B:$B,$A107)</f>
        <v>37</v>
      </c>
      <c r="C107" s="30">
        <f ca="1" t="array" ref="C107">INDEX(Data_DBD!$C:$C,$A107)</f>
        <v>4</v>
      </c>
      <c r="D107" s="30">
        <f ca="1" t="array" ref="D107">INDEX(Data_DBD!$D:$D,$A107)</f>
        <v>18</v>
      </c>
      <c r="E107" s="30">
        <f ca="1" t="array" ref="E107">INDEX(Data_DBD!$E:$E,$A107)</f>
        <v>1</v>
      </c>
      <c r="F107" s="30">
        <f ca="1" t="array" ref="F107">INDEX(Data_DBD!$F:$F,$A107)</f>
        <v>3</v>
      </c>
      <c r="H107" s="42">
        <v>94</v>
      </c>
      <c r="I107" s="42">
        <v>12</v>
      </c>
      <c r="J107" s="42">
        <v>4</v>
      </c>
      <c r="K107" s="42">
        <v>18</v>
      </c>
      <c r="L107" s="42">
        <v>0</v>
      </c>
      <c r="M107" s="42">
        <v>3</v>
      </c>
    </row>
    <row r="108" spans="1:13">
      <c r="A108" s="30">
        <f ca="1" t="shared" si="1"/>
        <v>29</v>
      </c>
      <c r="B108" s="30">
        <f ca="1" t="array" ref="B108">INDEX(Data_DBD!$B:$B,$A108)</f>
        <v>19</v>
      </c>
      <c r="C108" s="30">
        <f ca="1" t="array" ref="C108">INDEX(Data_DBD!$C:$C,$A108)</f>
        <v>2</v>
      </c>
      <c r="D108" s="30">
        <f ca="1" t="array" ref="D108">INDEX(Data_DBD!$D:$D,$A108)</f>
        <v>14</v>
      </c>
      <c r="E108" s="30">
        <f ca="1" t="array" ref="E108">INDEX(Data_DBD!$E:$E,$A108)</f>
        <v>1</v>
      </c>
      <c r="F108" s="30">
        <f ca="1" t="array" ref="F108">INDEX(Data_DBD!$F:$F,$A108)</f>
        <v>2</v>
      </c>
      <c r="H108" s="42">
        <v>94</v>
      </c>
      <c r="I108" s="42">
        <v>12</v>
      </c>
      <c r="J108" s="42">
        <v>4</v>
      </c>
      <c r="K108" s="42">
        <v>18</v>
      </c>
      <c r="L108" s="42">
        <v>0</v>
      </c>
      <c r="M108" s="42">
        <v>3</v>
      </c>
    </row>
    <row r="109" spans="1:13">
      <c r="A109" s="30">
        <f ca="1" t="shared" si="1"/>
        <v>2</v>
      </c>
      <c r="B109" s="30">
        <f ca="1" t="array" ref="B109">INDEX(Data_DBD!$B:$B,$A109)</f>
        <v>34</v>
      </c>
      <c r="C109" s="30">
        <f ca="1" t="array" ref="C109">INDEX(Data_DBD!$C:$C,$A109)</f>
        <v>3</v>
      </c>
      <c r="D109" s="30">
        <f ca="1" t="array" ref="D109">INDEX(Data_DBD!$D:$D,$A109)</f>
        <v>12</v>
      </c>
      <c r="E109" s="30">
        <f ca="1" t="array" ref="E109">INDEX(Data_DBD!$E:$E,$A109)</f>
        <v>0</v>
      </c>
      <c r="F109" s="30">
        <f ca="1" t="array" ref="F109">INDEX(Data_DBD!$F:$F,$A109)</f>
        <v>2</v>
      </c>
      <c r="H109" s="42">
        <v>120</v>
      </c>
      <c r="I109" s="42">
        <v>26</v>
      </c>
      <c r="J109" s="42">
        <v>4</v>
      </c>
      <c r="K109" s="42">
        <v>33</v>
      </c>
      <c r="L109" s="42">
        <v>1</v>
      </c>
      <c r="M109" s="42">
        <v>3</v>
      </c>
    </row>
    <row r="110" spans="1:13">
      <c r="A110" s="30">
        <f ca="1" t="shared" si="1"/>
        <v>11</v>
      </c>
      <c r="B110" s="30">
        <f ca="1" t="array" ref="B110">INDEX(Data_DBD!$B:$B,$A110)</f>
        <v>24</v>
      </c>
      <c r="C110" s="30">
        <f ca="1" t="array" ref="C110">INDEX(Data_DBD!$C:$C,$A110)</f>
        <v>5</v>
      </c>
      <c r="D110" s="30">
        <f ca="1" t="array" ref="D110">INDEX(Data_DBD!$D:$D,$A110)</f>
        <v>12</v>
      </c>
      <c r="E110" s="30">
        <f ca="1" t="array" ref="E110">INDEX(Data_DBD!$E:$E,$A110)</f>
        <v>1</v>
      </c>
      <c r="F110" s="30">
        <f ca="1" t="array" ref="F110">INDEX(Data_DBD!$F:$F,$A110)</f>
        <v>2</v>
      </c>
      <c r="H110" s="42">
        <v>45</v>
      </c>
      <c r="I110" s="42">
        <v>75</v>
      </c>
      <c r="J110" s="42">
        <v>3</v>
      </c>
      <c r="K110" s="42">
        <v>13</v>
      </c>
      <c r="L110" s="42">
        <v>1</v>
      </c>
      <c r="M110" s="42">
        <v>2</v>
      </c>
    </row>
    <row r="111" spans="1:13">
      <c r="A111" s="30">
        <f ca="1" t="shared" si="1"/>
        <v>82</v>
      </c>
      <c r="B111" s="30">
        <f ca="1" t="array" ref="B111">INDEX(Data_DBD!$B:$B,$A111)</f>
        <v>28</v>
      </c>
      <c r="C111" s="30">
        <f ca="1" t="array" ref="C111">INDEX(Data_DBD!$C:$C,$A111)</f>
        <v>3</v>
      </c>
      <c r="D111" s="30">
        <f ca="1" t="array" ref="D111">INDEX(Data_DBD!$D:$D,$A111)</f>
        <v>13</v>
      </c>
      <c r="E111" s="30">
        <f ca="1" t="array" ref="E111">INDEX(Data_DBD!$E:$E,$A111)</f>
        <v>1</v>
      </c>
      <c r="F111" s="30">
        <f ca="1" t="array" ref="F111">INDEX(Data_DBD!$F:$F,$A111)</f>
        <v>2</v>
      </c>
      <c r="H111" s="42">
        <v>90</v>
      </c>
      <c r="I111" s="42">
        <v>47</v>
      </c>
      <c r="J111" s="42">
        <v>3</v>
      </c>
      <c r="K111" s="42">
        <v>18</v>
      </c>
      <c r="L111" s="42">
        <v>0</v>
      </c>
      <c r="M111" s="42">
        <v>3</v>
      </c>
    </row>
    <row r="112" spans="1:13">
      <c r="A112" s="30">
        <f ca="1" t="shared" si="1"/>
        <v>107</v>
      </c>
      <c r="B112" s="30">
        <f ca="1" t="array" ref="B112">INDEX(Data_DBD!$B:$B,$A112)</f>
        <v>48</v>
      </c>
      <c r="C112" s="30">
        <f ca="1" t="array" ref="C112">INDEX(Data_DBD!$C:$C,$A112)</f>
        <v>5</v>
      </c>
      <c r="D112" s="30">
        <f ca="1" t="array" ref="D112">INDEX(Data_DBD!$D:$D,$A112)</f>
        <v>18</v>
      </c>
      <c r="E112" s="30">
        <f ca="1" t="array" ref="E112">INDEX(Data_DBD!$E:$E,$A112)</f>
        <v>0</v>
      </c>
      <c r="F112" s="30">
        <f ca="1" t="array" ref="F112">INDEX(Data_DBD!$F:$F,$A112)</f>
        <v>3</v>
      </c>
      <c r="H112" s="42">
        <v>77</v>
      </c>
      <c r="I112" s="42">
        <v>16</v>
      </c>
      <c r="J112" s="42">
        <v>4</v>
      </c>
      <c r="K112" s="42">
        <v>13</v>
      </c>
      <c r="L112" s="42">
        <v>1</v>
      </c>
      <c r="M112" s="42">
        <v>2</v>
      </c>
    </row>
    <row r="113" spans="1:13">
      <c r="A113" s="30">
        <f ca="1" t="shared" si="1"/>
        <v>51</v>
      </c>
      <c r="B113" s="30">
        <f ca="1" t="array" ref="B113">INDEX(Data_DBD!$B:$B,$A113)</f>
        <v>48</v>
      </c>
      <c r="C113" s="30">
        <f ca="1" t="array" ref="C113">INDEX(Data_DBD!$C:$C,$A113)</f>
        <v>4</v>
      </c>
      <c r="D113" s="30">
        <f ca="1" t="array" ref="D113">INDEX(Data_DBD!$D:$D,$A113)</f>
        <v>13</v>
      </c>
      <c r="E113" s="30">
        <f ca="1" t="array" ref="E113">INDEX(Data_DBD!$E:$E,$A113)</f>
        <v>0</v>
      </c>
      <c r="F113" s="30">
        <f ca="1" t="array" ref="F113">INDEX(Data_DBD!$F:$F,$A113)</f>
        <v>2</v>
      </c>
      <c r="H113" s="42">
        <v>97</v>
      </c>
      <c r="I113" s="42">
        <v>16</v>
      </c>
      <c r="J113" s="42">
        <v>2</v>
      </c>
      <c r="K113" s="42">
        <v>18</v>
      </c>
      <c r="L113" s="42">
        <v>1</v>
      </c>
      <c r="M113" s="42">
        <v>3</v>
      </c>
    </row>
    <row r="114" spans="1:13">
      <c r="A114" s="30">
        <f ca="1" t="shared" si="1"/>
        <v>37</v>
      </c>
      <c r="B114" s="30">
        <f ca="1" t="array" ref="B114">INDEX(Data_DBD!$B:$B,$A114)</f>
        <v>28</v>
      </c>
      <c r="C114" s="30">
        <f ca="1" t="array" ref="C114">INDEX(Data_DBD!$C:$C,$A114)</f>
        <v>4</v>
      </c>
      <c r="D114" s="30">
        <f ca="1" t="array" ref="D114">INDEX(Data_DBD!$D:$D,$A114)</f>
        <v>4</v>
      </c>
      <c r="E114" s="30">
        <f ca="1" t="array" ref="E114">INDEX(Data_DBD!$E:$E,$A114)</f>
        <v>1</v>
      </c>
      <c r="F114" s="30">
        <f ca="1" t="array" ref="F114">INDEX(Data_DBD!$F:$F,$A114)</f>
        <v>1</v>
      </c>
      <c r="H114" s="42">
        <v>81</v>
      </c>
      <c r="I114" s="42">
        <v>23</v>
      </c>
      <c r="J114" s="42">
        <v>5</v>
      </c>
      <c r="K114" s="42">
        <v>13</v>
      </c>
      <c r="L114" s="42">
        <v>1</v>
      </c>
      <c r="M114" s="42">
        <v>2</v>
      </c>
    </row>
    <row r="115" spans="1:13">
      <c r="A115" s="30">
        <f ca="1" t="shared" si="1"/>
        <v>53</v>
      </c>
      <c r="B115" s="30">
        <f ca="1" t="array" ref="B115">INDEX(Data_DBD!$B:$B,$A115)</f>
        <v>35</v>
      </c>
      <c r="C115" s="30">
        <f ca="1" t="array" ref="C115">INDEX(Data_DBD!$C:$C,$A115)</f>
        <v>4</v>
      </c>
      <c r="D115" s="30">
        <f ca="1" t="array" ref="D115">INDEX(Data_DBD!$D:$D,$A115)</f>
        <v>15</v>
      </c>
      <c r="E115" s="30">
        <f ca="1" t="array" ref="E115">INDEX(Data_DBD!$E:$E,$A115)</f>
        <v>1</v>
      </c>
      <c r="F115" s="30">
        <f ca="1" t="array" ref="F115">INDEX(Data_DBD!$F:$F,$A115)</f>
        <v>2</v>
      </c>
      <c r="H115" s="42">
        <v>80</v>
      </c>
      <c r="I115" s="42">
        <v>27</v>
      </c>
      <c r="J115" s="42">
        <v>3</v>
      </c>
      <c r="K115" s="42">
        <v>13</v>
      </c>
      <c r="L115" s="42">
        <v>1</v>
      </c>
      <c r="M115" s="42">
        <v>2</v>
      </c>
    </row>
    <row r="116" spans="1:13">
      <c r="A116" s="30">
        <f ca="1" t="shared" si="1"/>
        <v>88</v>
      </c>
      <c r="B116" s="30">
        <f ca="1" t="array" ref="B116">INDEX(Data_DBD!$B:$B,$A116)</f>
        <v>20</v>
      </c>
      <c r="C116" s="30">
        <f ca="1" t="array" ref="C116">INDEX(Data_DBD!$C:$C,$A116)</f>
        <v>4</v>
      </c>
      <c r="D116" s="30">
        <f ca="1" t="array" ref="D116">INDEX(Data_DBD!$D:$D,$A116)</f>
        <v>13</v>
      </c>
      <c r="E116" s="30">
        <f ca="1" t="array" ref="E116">INDEX(Data_DBD!$E:$E,$A116)</f>
        <v>1</v>
      </c>
      <c r="F116" s="30">
        <f ca="1" t="array" ref="F116">INDEX(Data_DBD!$F:$F,$A116)</f>
        <v>2</v>
      </c>
      <c r="H116" s="42">
        <v>24</v>
      </c>
      <c r="I116" s="42">
        <v>60</v>
      </c>
      <c r="J116" s="42">
        <v>4</v>
      </c>
      <c r="K116" s="42">
        <v>14</v>
      </c>
      <c r="L116" s="42">
        <v>0</v>
      </c>
      <c r="M116" s="42">
        <v>2</v>
      </c>
    </row>
    <row r="117" spans="1:13">
      <c r="A117" s="30">
        <f ca="1" t="shared" si="1"/>
        <v>12</v>
      </c>
      <c r="B117" s="30">
        <f ca="1" t="array" ref="B117">INDEX(Data_DBD!$B:$B,$A117)</f>
        <v>23</v>
      </c>
      <c r="C117" s="30">
        <f ca="1" t="array" ref="C117">INDEX(Data_DBD!$C:$C,$A117)</f>
        <v>3</v>
      </c>
      <c r="D117" s="30">
        <f ca="1" t="array" ref="D117">INDEX(Data_DBD!$D:$D,$A117)</f>
        <v>12</v>
      </c>
      <c r="E117" s="30">
        <f ca="1" t="array" ref="E117">INDEX(Data_DBD!$E:$E,$A117)</f>
        <v>0</v>
      </c>
      <c r="F117" s="30">
        <f ca="1" t="array" ref="F117">INDEX(Data_DBD!$F:$F,$A117)</f>
        <v>2</v>
      </c>
      <c r="H117" s="42">
        <v>122</v>
      </c>
      <c r="I117" s="42">
        <v>28</v>
      </c>
      <c r="J117" s="42">
        <v>3</v>
      </c>
      <c r="K117" s="42">
        <v>33</v>
      </c>
      <c r="L117" s="42">
        <v>1</v>
      </c>
      <c r="M117" s="42">
        <v>3</v>
      </c>
    </row>
    <row r="118" spans="1:13">
      <c r="A118" s="30">
        <f ca="1" t="shared" si="1"/>
        <v>121</v>
      </c>
      <c r="B118" s="30">
        <f ca="1" t="array" ref="B118">INDEX(Data_DBD!$B:$B,$A118)</f>
        <v>82</v>
      </c>
      <c r="C118" s="30">
        <f ca="1" t="array" ref="C118">INDEX(Data_DBD!$C:$C,$A118)</f>
        <v>5</v>
      </c>
      <c r="D118" s="30">
        <f ca="1" t="array" ref="D118">INDEX(Data_DBD!$D:$D,$A118)</f>
        <v>33</v>
      </c>
      <c r="E118" s="30">
        <f ca="1" t="array" ref="E118">INDEX(Data_DBD!$E:$E,$A118)</f>
        <v>1</v>
      </c>
      <c r="F118" s="30">
        <f ca="1" t="array" ref="F118">INDEX(Data_DBD!$F:$F,$A118)</f>
        <v>3</v>
      </c>
      <c r="H118" s="42">
        <v>37</v>
      </c>
      <c r="I118" s="42">
        <v>28</v>
      </c>
      <c r="J118" s="42">
        <v>4</v>
      </c>
      <c r="K118" s="42">
        <v>4</v>
      </c>
      <c r="L118" s="42">
        <v>1</v>
      </c>
      <c r="M118" s="42">
        <v>1</v>
      </c>
    </row>
    <row r="119" spans="1:13">
      <c r="A119" s="30">
        <f ca="1" t="shared" si="1"/>
        <v>155</v>
      </c>
      <c r="B119" s="30">
        <f ca="1" t="array" ref="B119">INDEX(Data_DBD!$B:$B,$A119)</f>
        <v>19</v>
      </c>
      <c r="C119" s="30">
        <f ca="1" t="array" ref="C119">INDEX(Data_DBD!$C:$C,$A119)</f>
        <v>5</v>
      </c>
      <c r="D119" s="30">
        <f ca="1" t="array" ref="D119">INDEX(Data_DBD!$D:$D,$A119)</f>
        <v>21</v>
      </c>
      <c r="E119" s="30">
        <f ca="1" t="array" ref="E119">INDEX(Data_DBD!$E:$E,$A119)</f>
        <v>1</v>
      </c>
      <c r="F119" s="30">
        <f ca="1" t="array" ref="F119">INDEX(Data_DBD!$F:$F,$A119)</f>
        <v>3</v>
      </c>
      <c r="H119" s="42">
        <v>155</v>
      </c>
      <c r="I119" s="42">
        <v>19</v>
      </c>
      <c r="J119" s="42">
        <v>5</v>
      </c>
      <c r="K119" s="42">
        <v>21</v>
      </c>
      <c r="L119" s="42">
        <v>1</v>
      </c>
      <c r="M119" s="42">
        <v>3</v>
      </c>
    </row>
    <row r="120" spans="1:13">
      <c r="A120" s="30">
        <f ca="1" t="shared" si="1"/>
        <v>99</v>
      </c>
      <c r="B120" s="30">
        <f ca="1" t="array" ref="B120">INDEX(Data_DBD!$B:$B,$A120)</f>
        <v>4</v>
      </c>
      <c r="C120" s="30">
        <f ca="1" t="array" ref="C120">INDEX(Data_DBD!$C:$C,$A120)</f>
        <v>2</v>
      </c>
      <c r="D120" s="30">
        <f ca="1" t="array" ref="D120">INDEX(Data_DBD!$D:$D,$A120)</f>
        <v>18</v>
      </c>
      <c r="E120" s="30">
        <f ca="1" t="array" ref="E120">INDEX(Data_DBD!$E:$E,$A120)</f>
        <v>1</v>
      </c>
      <c r="F120" s="30">
        <f ca="1" t="array" ref="F120">INDEX(Data_DBD!$F:$F,$A120)</f>
        <v>3</v>
      </c>
      <c r="H120" s="42">
        <v>58</v>
      </c>
      <c r="I120" s="42">
        <v>17</v>
      </c>
      <c r="J120" s="42">
        <v>3</v>
      </c>
      <c r="K120" s="42">
        <v>15</v>
      </c>
      <c r="L120" s="42">
        <v>0</v>
      </c>
      <c r="M120" s="42">
        <v>2</v>
      </c>
    </row>
    <row r="121" spans="1:13">
      <c r="A121" s="30">
        <f ca="1" t="shared" si="1"/>
        <v>55</v>
      </c>
      <c r="B121" s="30">
        <f ca="1" t="array" ref="B121">INDEX(Data_DBD!$B:$B,$A121)</f>
        <v>7</v>
      </c>
      <c r="C121" s="30">
        <f ca="1" t="array" ref="C121">INDEX(Data_DBD!$C:$C,$A121)</f>
        <v>4</v>
      </c>
      <c r="D121" s="30">
        <f ca="1" t="array" ref="D121">INDEX(Data_DBD!$D:$D,$A121)</f>
        <v>15</v>
      </c>
      <c r="E121" s="30">
        <f ca="1" t="array" ref="E121">INDEX(Data_DBD!$E:$E,$A121)</f>
        <v>1</v>
      </c>
      <c r="F121" s="30">
        <f ca="1" t="array" ref="F121">INDEX(Data_DBD!$F:$F,$A121)</f>
        <v>2</v>
      </c>
      <c r="H121" s="42">
        <v>133</v>
      </c>
      <c r="I121" s="42">
        <v>6</v>
      </c>
      <c r="J121" s="42">
        <v>4</v>
      </c>
      <c r="K121" s="42">
        <v>33</v>
      </c>
      <c r="L121" s="42">
        <v>0</v>
      </c>
      <c r="M121" s="42">
        <v>3</v>
      </c>
    </row>
    <row r="122" spans="1:13">
      <c r="A122" s="30">
        <f ca="1" t="shared" si="1"/>
        <v>34</v>
      </c>
      <c r="B122" s="30">
        <f ca="1" t="array" ref="B122">INDEX(Data_DBD!$B:$B,$A122)</f>
        <v>55</v>
      </c>
      <c r="C122" s="30">
        <f ca="1" t="array" ref="C122">INDEX(Data_DBD!$C:$C,$A122)</f>
        <v>3</v>
      </c>
      <c r="D122" s="30">
        <f ca="1" t="array" ref="D122">INDEX(Data_DBD!$D:$D,$A122)</f>
        <v>14</v>
      </c>
      <c r="E122" s="30">
        <f ca="1" t="array" ref="E122">INDEX(Data_DBD!$E:$E,$A122)</f>
        <v>0</v>
      </c>
      <c r="F122" s="30">
        <f ca="1" t="array" ref="F122">INDEX(Data_DBD!$F:$F,$A122)</f>
        <v>2</v>
      </c>
      <c r="H122" s="42">
        <v>117</v>
      </c>
      <c r="I122" s="42">
        <v>49</v>
      </c>
      <c r="J122" s="42">
        <v>4</v>
      </c>
      <c r="K122" s="42">
        <v>33</v>
      </c>
      <c r="L122" s="42">
        <v>1</v>
      </c>
      <c r="M122" s="42">
        <v>3</v>
      </c>
    </row>
    <row r="123" spans="1:13">
      <c r="A123" s="30">
        <f ca="1" t="shared" si="1"/>
        <v>63</v>
      </c>
      <c r="B123" s="30">
        <f ca="1" t="array" ref="B123">INDEX(Data_DBD!$B:$B,$A123)</f>
        <v>25</v>
      </c>
      <c r="C123" s="30">
        <f ca="1" t="array" ref="C123">INDEX(Data_DBD!$C:$C,$A123)</f>
        <v>3</v>
      </c>
      <c r="D123" s="30">
        <f ca="1" t="array" ref="D123">INDEX(Data_DBD!$D:$D,$A123)</f>
        <v>15</v>
      </c>
      <c r="E123" s="30">
        <f ca="1" t="array" ref="E123">INDEX(Data_DBD!$E:$E,$A123)</f>
        <v>0</v>
      </c>
      <c r="F123" s="30">
        <f ca="1" t="array" ref="F123">INDEX(Data_DBD!$F:$F,$A123)</f>
        <v>2</v>
      </c>
      <c r="H123" s="42">
        <v>132</v>
      </c>
      <c r="I123" s="42">
        <v>10</v>
      </c>
      <c r="J123" s="42">
        <v>3</v>
      </c>
      <c r="K123" s="42">
        <v>33</v>
      </c>
      <c r="L123" s="42">
        <v>1</v>
      </c>
      <c r="M123" s="42">
        <v>3</v>
      </c>
    </row>
    <row r="124" spans="1:13">
      <c r="A124" s="30">
        <f ca="1" t="shared" si="1"/>
        <v>125</v>
      </c>
      <c r="B124" s="30">
        <f ca="1" t="array" ref="B124">INDEX(Data_DBD!$B:$B,$A124)</f>
        <v>39</v>
      </c>
      <c r="C124" s="30">
        <f ca="1" t="array" ref="C124">INDEX(Data_DBD!$C:$C,$A124)</f>
        <v>4</v>
      </c>
      <c r="D124" s="30">
        <f ca="1" t="array" ref="D124">INDEX(Data_DBD!$D:$D,$A124)</f>
        <v>33</v>
      </c>
      <c r="E124" s="30">
        <f ca="1" t="array" ref="E124">INDEX(Data_DBD!$E:$E,$A124)</f>
        <v>0</v>
      </c>
      <c r="F124" s="30">
        <f ca="1" t="array" ref="F124">INDEX(Data_DBD!$F:$F,$A124)</f>
        <v>3</v>
      </c>
      <c r="H124" s="42">
        <v>102</v>
      </c>
      <c r="I124" s="42">
        <v>41</v>
      </c>
      <c r="J124" s="42">
        <v>4</v>
      </c>
      <c r="K124" s="42">
        <v>18</v>
      </c>
      <c r="L124" s="42">
        <v>0</v>
      </c>
      <c r="M124" s="42">
        <v>3</v>
      </c>
    </row>
    <row r="125" spans="1:13">
      <c r="A125" s="30">
        <f ca="1" t="shared" si="1"/>
        <v>153</v>
      </c>
      <c r="B125" s="30">
        <f ca="1" t="array" ref="B125">INDEX(Data_DBD!$B:$B,$A125)</f>
        <v>73</v>
      </c>
      <c r="C125" s="30">
        <f ca="1" t="array" ref="C125">INDEX(Data_DBD!$C:$C,$A125)</f>
        <v>7</v>
      </c>
      <c r="D125" s="30">
        <f ca="1" t="array" ref="D125">INDEX(Data_DBD!$D:$D,$A125)</f>
        <v>21</v>
      </c>
      <c r="E125" s="30">
        <f ca="1" t="array" ref="E125">INDEX(Data_DBD!$E:$E,$A125)</f>
        <v>1</v>
      </c>
      <c r="F125" s="30">
        <f ca="1" t="array" ref="F125">INDEX(Data_DBD!$F:$F,$A125)</f>
        <v>3</v>
      </c>
      <c r="H125" s="42">
        <v>67</v>
      </c>
      <c r="I125" s="42">
        <v>21</v>
      </c>
      <c r="J125" s="42">
        <v>3</v>
      </c>
      <c r="K125" s="42">
        <v>10</v>
      </c>
      <c r="L125" s="42">
        <v>1</v>
      </c>
      <c r="M125" s="42">
        <v>2</v>
      </c>
    </row>
    <row r="126" spans="1:13">
      <c r="A126" s="30">
        <f ca="1" t="shared" si="1"/>
        <v>127</v>
      </c>
      <c r="B126" s="30">
        <f ca="1" t="array" ref="B126">INDEX(Data_DBD!$B:$B,$A126)</f>
        <v>21</v>
      </c>
      <c r="C126" s="30">
        <f ca="1" t="array" ref="C126">INDEX(Data_DBD!$C:$C,$A126)</f>
        <v>2</v>
      </c>
      <c r="D126" s="30">
        <f ca="1" t="array" ref="D126">INDEX(Data_DBD!$D:$D,$A126)</f>
        <v>33</v>
      </c>
      <c r="E126" s="30">
        <f ca="1" t="array" ref="E126">INDEX(Data_DBD!$E:$E,$A126)</f>
        <v>0</v>
      </c>
      <c r="F126" s="30">
        <f ca="1" t="array" ref="F126">INDEX(Data_DBD!$F:$F,$A126)</f>
        <v>3</v>
      </c>
      <c r="H126" s="42">
        <v>108</v>
      </c>
      <c r="I126" s="42">
        <v>69</v>
      </c>
      <c r="J126" s="42">
        <v>7</v>
      </c>
      <c r="K126" s="42">
        <v>33</v>
      </c>
      <c r="L126" s="42">
        <v>1</v>
      </c>
      <c r="M126" s="42">
        <v>3</v>
      </c>
    </row>
    <row r="127" spans="1:13">
      <c r="A127" s="30">
        <f ca="1" t="shared" si="1"/>
        <v>16</v>
      </c>
      <c r="B127" s="30">
        <f ca="1" t="array" ref="B127">INDEX(Data_DBD!$B:$B,$A127)</f>
        <v>66</v>
      </c>
      <c r="C127" s="30">
        <f ca="1" t="array" ref="C127">INDEX(Data_DBD!$C:$C,$A127)</f>
        <v>5</v>
      </c>
      <c r="D127" s="30">
        <f ca="1" t="array" ref="D127">INDEX(Data_DBD!$D:$D,$A127)</f>
        <v>7</v>
      </c>
      <c r="E127" s="30">
        <f ca="1" t="array" ref="E127">INDEX(Data_DBD!$E:$E,$A127)</f>
        <v>1</v>
      </c>
      <c r="F127" s="30">
        <f ca="1" t="array" ref="F127">INDEX(Data_DBD!$F:$F,$A127)</f>
        <v>1</v>
      </c>
      <c r="H127" s="42">
        <v>145</v>
      </c>
      <c r="I127" s="42">
        <v>28</v>
      </c>
      <c r="J127" s="42">
        <v>4</v>
      </c>
      <c r="K127" s="42">
        <v>21</v>
      </c>
      <c r="L127" s="42">
        <v>1</v>
      </c>
      <c r="M127" s="42">
        <v>3</v>
      </c>
    </row>
    <row r="128" spans="1:13">
      <c r="A128" s="30">
        <f ca="1" t="shared" si="1"/>
        <v>73</v>
      </c>
      <c r="B128" s="30">
        <f ca="1" t="array" ref="B128">INDEX(Data_DBD!$B:$B,$A128)</f>
        <v>15</v>
      </c>
      <c r="C128" s="30">
        <f ca="1" t="array" ref="C128">INDEX(Data_DBD!$C:$C,$A128)</f>
        <v>3</v>
      </c>
      <c r="D128" s="30">
        <f ca="1" t="array" ref="D128">INDEX(Data_DBD!$D:$D,$A128)</f>
        <v>10</v>
      </c>
      <c r="E128" s="30">
        <f ca="1" t="array" ref="E128">INDEX(Data_DBD!$E:$E,$A128)</f>
        <v>1</v>
      </c>
      <c r="F128" s="30">
        <f ca="1" t="array" ref="F128">INDEX(Data_DBD!$F:$F,$A128)</f>
        <v>2</v>
      </c>
      <c r="H128" s="42">
        <v>62</v>
      </c>
      <c r="I128" s="42">
        <v>43</v>
      </c>
      <c r="J128" s="42">
        <v>4</v>
      </c>
      <c r="K128" s="42">
        <v>15</v>
      </c>
      <c r="L128" s="42">
        <v>1</v>
      </c>
      <c r="M128" s="42">
        <v>2</v>
      </c>
    </row>
    <row r="129" spans="1:13">
      <c r="A129" s="30">
        <f ca="1" t="shared" si="1"/>
        <v>44</v>
      </c>
      <c r="B129" s="30">
        <f ca="1" t="array" ref="B129">INDEX(Data_DBD!$B:$B,$A129)</f>
        <v>28</v>
      </c>
      <c r="C129" s="30">
        <f ca="1" t="array" ref="C129">INDEX(Data_DBD!$C:$C,$A129)</f>
        <v>5</v>
      </c>
      <c r="D129" s="30">
        <f ca="1" t="array" ref="D129">INDEX(Data_DBD!$D:$D,$A129)</f>
        <v>13</v>
      </c>
      <c r="E129" s="30">
        <f ca="1" t="array" ref="E129">INDEX(Data_DBD!$E:$E,$A129)</f>
        <v>1</v>
      </c>
      <c r="F129" s="30">
        <f ca="1" t="array" ref="F129">INDEX(Data_DBD!$F:$F,$A129)</f>
        <v>2</v>
      </c>
      <c r="H129" s="42">
        <v>45</v>
      </c>
      <c r="I129" s="42">
        <v>75</v>
      </c>
      <c r="J129" s="42">
        <v>3</v>
      </c>
      <c r="K129" s="42">
        <v>13</v>
      </c>
      <c r="L129" s="42">
        <v>1</v>
      </c>
      <c r="M129" s="42">
        <v>2</v>
      </c>
    </row>
    <row r="130" spans="1:13">
      <c r="A130" s="30">
        <f ca="1" t="shared" si="1"/>
        <v>26</v>
      </c>
      <c r="B130" s="30">
        <f ca="1" t="array" ref="B130">INDEX(Data_DBD!$B:$B,$A130)</f>
        <v>75</v>
      </c>
      <c r="C130" s="30">
        <f ca="1" t="array" ref="C130">INDEX(Data_DBD!$C:$C,$A130)</f>
        <v>4</v>
      </c>
      <c r="D130" s="30">
        <f ca="1" t="array" ref="D130">INDEX(Data_DBD!$D:$D,$A130)</f>
        <v>14</v>
      </c>
      <c r="E130" s="30">
        <f ca="1" t="array" ref="E130">INDEX(Data_DBD!$E:$E,$A130)</f>
        <v>1</v>
      </c>
      <c r="F130" s="30">
        <f ca="1" t="array" ref="F130">INDEX(Data_DBD!$F:$F,$A130)</f>
        <v>2</v>
      </c>
      <c r="H130" s="42">
        <v>30</v>
      </c>
      <c r="I130" s="42" t="s">
        <v>36</v>
      </c>
      <c r="J130" s="42">
        <v>2</v>
      </c>
      <c r="K130" s="42">
        <v>14</v>
      </c>
      <c r="L130" s="42">
        <v>1</v>
      </c>
      <c r="M130" s="42">
        <v>2</v>
      </c>
    </row>
    <row r="131" spans="1:13">
      <c r="A131" s="30">
        <f ca="1" t="shared" ref="A131:A164" si="2">RANDBETWEEN(2,164)</f>
        <v>55</v>
      </c>
      <c r="B131" s="30">
        <f ca="1" t="array" ref="B131">INDEX(Data_DBD!$B:$B,$A131)</f>
        <v>7</v>
      </c>
      <c r="C131" s="30">
        <f ca="1" t="array" ref="C131">INDEX(Data_DBD!$C:$C,$A131)</f>
        <v>4</v>
      </c>
      <c r="D131" s="30">
        <f ca="1" t="array" ref="D131">INDEX(Data_DBD!$D:$D,$A131)</f>
        <v>15</v>
      </c>
      <c r="E131" s="30">
        <f ca="1" t="array" ref="E131">INDEX(Data_DBD!$E:$E,$A131)</f>
        <v>1</v>
      </c>
      <c r="F131" s="30">
        <f ca="1" t="array" ref="F131">INDEX(Data_DBD!$F:$F,$A131)</f>
        <v>2</v>
      </c>
      <c r="H131" s="42">
        <v>126</v>
      </c>
      <c r="I131" s="42">
        <v>51</v>
      </c>
      <c r="J131" s="42">
        <v>3</v>
      </c>
      <c r="K131" s="42">
        <v>33</v>
      </c>
      <c r="L131" s="42">
        <v>1</v>
      </c>
      <c r="M131" s="42">
        <v>3</v>
      </c>
    </row>
    <row r="132" spans="1:13">
      <c r="A132" s="30">
        <f ca="1" t="shared" si="2"/>
        <v>110</v>
      </c>
      <c r="B132" s="30">
        <f ca="1" t="array" ref="B132">INDEX(Data_DBD!$B:$B,$A132)</f>
        <v>42</v>
      </c>
      <c r="C132" s="30">
        <f ca="1" t="array" ref="C132">INDEX(Data_DBD!$C:$C,$A132)</f>
        <v>2</v>
      </c>
      <c r="D132" s="30">
        <f ca="1" t="array" ref="D132">INDEX(Data_DBD!$D:$D,$A132)</f>
        <v>33</v>
      </c>
      <c r="E132" s="30">
        <f ca="1" t="array" ref="E132">INDEX(Data_DBD!$E:$E,$A132)</f>
        <v>1</v>
      </c>
      <c r="F132" s="30">
        <f ca="1" t="array" ref="F132">INDEX(Data_DBD!$F:$F,$A132)</f>
        <v>3</v>
      </c>
      <c r="H132" s="42">
        <v>76</v>
      </c>
      <c r="I132" s="42">
        <v>70</v>
      </c>
      <c r="J132" s="42">
        <v>2</v>
      </c>
      <c r="K132" s="42">
        <v>10</v>
      </c>
      <c r="L132" s="42">
        <v>0</v>
      </c>
      <c r="M132" s="42">
        <v>2</v>
      </c>
    </row>
    <row r="133" spans="1:13">
      <c r="A133" s="30">
        <f ca="1" t="shared" si="2"/>
        <v>115</v>
      </c>
      <c r="B133" s="30">
        <f ca="1" t="array" ref="B133">INDEX(Data_DBD!$B:$B,$A133)</f>
        <v>52</v>
      </c>
      <c r="C133" s="30">
        <f ca="1" t="array" ref="C133">INDEX(Data_DBD!$C:$C,$A133)</f>
        <v>3</v>
      </c>
      <c r="D133" s="30">
        <f ca="1" t="array" ref="D133">INDEX(Data_DBD!$D:$D,$A133)</f>
        <v>33</v>
      </c>
      <c r="E133" s="30">
        <f ca="1" t="array" ref="E133">INDEX(Data_DBD!$E:$E,$A133)</f>
        <v>1</v>
      </c>
      <c r="F133" s="30">
        <f ca="1" t="array" ref="F133">INDEX(Data_DBD!$F:$F,$A133)</f>
        <v>3</v>
      </c>
      <c r="H133" s="42">
        <v>146</v>
      </c>
      <c r="I133" s="42">
        <v>34</v>
      </c>
      <c r="J133" s="42">
        <v>2</v>
      </c>
      <c r="K133" s="42">
        <v>21</v>
      </c>
      <c r="L133" s="42">
        <v>1</v>
      </c>
      <c r="M133" s="42">
        <v>3</v>
      </c>
    </row>
    <row r="134" spans="1:13">
      <c r="A134" s="30">
        <f ca="1" t="shared" si="2"/>
        <v>133</v>
      </c>
      <c r="B134" s="30">
        <f ca="1" t="array" ref="B134">INDEX(Data_DBD!$B:$B,$A134)</f>
        <v>6</v>
      </c>
      <c r="C134" s="30">
        <f ca="1" t="array" ref="C134">INDEX(Data_DBD!$C:$C,$A134)</f>
        <v>4</v>
      </c>
      <c r="D134" s="30">
        <f ca="1" t="array" ref="D134">INDEX(Data_DBD!$D:$D,$A134)</f>
        <v>33</v>
      </c>
      <c r="E134" s="30">
        <f ca="1" t="array" ref="E134">INDEX(Data_DBD!$E:$E,$A134)</f>
        <v>0</v>
      </c>
      <c r="F134" s="30">
        <f ca="1" t="array" ref="F134">INDEX(Data_DBD!$F:$F,$A134)</f>
        <v>3</v>
      </c>
      <c r="H134" s="42">
        <v>71</v>
      </c>
      <c r="I134" s="42">
        <v>84</v>
      </c>
      <c r="J134" s="42">
        <v>3</v>
      </c>
      <c r="K134" s="42">
        <v>10</v>
      </c>
      <c r="L134" s="42">
        <v>0</v>
      </c>
      <c r="M134" s="42">
        <v>2</v>
      </c>
    </row>
    <row r="135" spans="1:13">
      <c r="A135" s="30">
        <f ca="1" t="shared" si="2"/>
        <v>52</v>
      </c>
      <c r="B135" s="30">
        <f ca="1" t="array" ref="B135">INDEX(Data_DBD!$B:$B,$A135)</f>
        <v>59</v>
      </c>
      <c r="C135" s="30">
        <f ca="1" t="array" ref="C135">INDEX(Data_DBD!$C:$C,$A135)</f>
        <v>4</v>
      </c>
      <c r="D135" s="30">
        <f ca="1" t="array" ref="D135">INDEX(Data_DBD!$D:$D,$A135)</f>
        <v>15</v>
      </c>
      <c r="E135" s="30">
        <f ca="1" t="array" ref="E135">INDEX(Data_DBD!$E:$E,$A135)</f>
        <v>1</v>
      </c>
      <c r="F135" s="30">
        <f ca="1" t="array" ref="F135">INDEX(Data_DBD!$F:$F,$A135)</f>
        <v>2</v>
      </c>
      <c r="H135" s="42">
        <v>80</v>
      </c>
      <c r="I135" s="42">
        <v>27</v>
      </c>
      <c r="J135" s="42">
        <v>3</v>
      </c>
      <c r="K135" s="42">
        <v>13</v>
      </c>
      <c r="L135" s="42">
        <v>1</v>
      </c>
      <c r="M135" s="42">
        <v>2</v>
      </c>
    </row>
    <row r="136" spans="1:13">
      <c r="A136" s="30">
        <f ca="1" t="shared" si="2"/>
        <v>36</v>
      </c>
      <c r="B136" s="30">
        <f ca="1" t="array" ref="B136">INDEX(Data_DBD!$B:$B,$A136)</f>
        <v>27</v>
      </c>
      <c r="C136" s="30">
        <f ca="1" t="array" ref="C136">INDEX(Data_DBD!$C:$C,$A136)</f>
        <v>1</v>
      </c>
      <c r="D136" s="30">
        <f ca="1" t="array" ref="D136">INDEX(Data_DBD!$D:$D,$A136)</f>
        <v>4</v>
      </c>
      <c r="E136" s="30">
        <f ca="1" t="array" ref="E136">INDEX(Data_DBD!$E:$E,$A136)</f>
        <v>1</v>
      </c>
      <c r="F136" s="30">
        <f ca="1" t="array" ref="F136">INDEX(Data_DBD!$F:$F,$A136)</f>
        <v>1</v>
      </c>
      <c r="H136" s="42">
        <v>116</v>
      </c>
      <c r="I136" s="42">
        <v>32</v>
      </c>
      <c r="J136" s="42">
        <v>4</v>
      </c>
      <c r="K136" s="42">
        <v>33</v>
      </c>
      <c r="L136" s="42">
        <v>1</v>
      </c>
      <c r="M136" s="42">
        <v>3</v>
      </c>
    </row>
    <row r="137" spans="1:13">
      <c r="A137" s="30">
        <f ca="1" t="shared" si="2"/>
        <v>31</v>
      </c>
      <c r="B137" s="30">
        <f ca="1" t="array" ref="B137">INDEX(Data_DBD!$B:$B,$A137)</f>
        <v>64</v>
      </c>
      <c r="C137" s="30">
        <f ca="1" t="array" ref="C137">INDEX(Data_DBD!$C:$C,$A137)</f>
        <v>4</v>
      </c>
      <c r="D137" s="30">
        <f ca="1" t="array" ref="D137">INDEX(Data_DBD!$D:$D,$A137)</f>
        <v>14</v>
      </c>
      <c r="E137" s="30">
        <f ca="1" t="array" ref="E137">INDEX(Data_DBD!$E:$E,$A137)</f>
        <v>1</v>
      </c>
      <c r="F137" s="30">
        <f ca="1" t="array" ref="F137">INDEX(Data_DBD!$F:$F,$A137)</f>
        <v>2</v>
      </c>
      <c r="H137" s="42">
        <v>73</v>
      </c>
      <c r="I137" s="42">
        <v>15</v>
      </c>
      <c r="J137" s="42">
        <v>3</v>
      </c>
      <c r="K137" s="42">
        <v>10</v>
      </c>
      <c r="L137" s="42">
        <v>1</v>
      </c>
      <c r="M137" s="42">
        <v>2</v>
      </c>
    </row>
    <row r="138" spans="1:13">
      <c r="A138" s="30">
        <f ca="1" t="shared" si="2"/>
        <v>16</v>
      </c>
      <c r="B138" s="30">
        <f ca="1" t="array" ref="B138">INDEX(Data_DBD!$B:$B,$A138)</f>
        <v>66</v>
      </c>
      <c r="C138" s="30">
        <f ca="1" t="array" ref="C138">INDEX(Data_DBD!$C:$C,$A138)</f>
        <v>5</v>
      </c>
      <c r="D138" s="30">
        <f ca="1" t="array" ref="D138">INDEX(Data_DBD!$D:$D,$A138)</f>
        <v>7</v>
      </c>
      <c r="E138" s="30">
        <f ca="1" t="array" ref="E138">INDEX(Data_DBD!$E:$E,$A138)</f>
        <v>1</v>
      </c>
      <c r="F138" s="30">
        <f ca="1" t="array" ref="F138">INDEX(Data_DBD!$F:$F,$A138)</f>
        <v>1</v>
      </c>
      <c r="H138" s="42">
        <v>127</v>
      </c>
      <c r="I138" s="42">
        <v>21</v>
      </c>
      <c r="J138" s="42">
        <v>2</v>
      </c>
      <c r="K138" s="42">
        <v>33</v>
      </c>
      <c r="L138" s="42">
        <v>0</v>
      </c>
      <c r="M138" s="42">
        <v>3</v>
      </c>
    </row>
    <row r="139" spans="1:13">
      <c r="A139" s="30">
        <f ca="1" t="shared" si="2"/>
        <v>5</v>
      </c>
      <c r="B139" s="30">
        <f ca="1" t="array" ref="B139">INDEX(Data_DBD!$B:$B,$A139)</f>
        <v>18</v>
      </c>
      <c r="C139" s="30">
        <f ca="1" t="array" ref="C139">INDEX(Data_DBD!$C:$C,$A139)</f>
        <v>2</v>
      </c>
      <c r="D139" s="30">
        <f ca="1" t="array" ref="D139">INDEX(Data_DBD!$D:$D,$A139)</f>
        <v>12</v>
      </c>
      <c r="E139" s="30">
        <f ca="1" t="array" ref="E139">INDEX(Data_DBD!$E:$E,$A139)</f>
        <v>1</v>
      </c>
      <c r="F139" s="30">
        <f ca="1" t="array" ref="F139">INDEX(Data_DBD!$F:$F,$A139)</f>
        <v>2</v>
      </c>
      <c r="H139" s="42">
        <v>86</v>
      </c>
      <c r="I139" s="42">
        <v>23</v>
      </c>
      <c r="J139" s="42">
        <v>3</v>
      </c>
      <c r="K139" s="42">
        <v>13</v>
      </c>
      <c r="L139" s="42">
        <v>0</v>
      </c>
      <c r="M139" s="42">
        <v>2</v>
      </c>
    </row>
    <row r="140" spans="1:13">
      <c r="A140" s="30">
        <f ca="1" t="shared" si="2"/>
        <v>128</v>
      </c>
      <c r="B140" s="30">
        <f ca="1" t="array" ref="B140">INDEX(Data_DBD!$B:$B,$A140)</f>
        <v>38</v>
      </c>
      <c r="C140" s="30">
        <f ca="1" t="array" ref="C140">INDEX(Data_DBD!$C:$C,$A140)</f>
        <v>2</v>
      </c>
      <c r="D140" s="30">
        <f ca="1" t="array" ref="D140">INDEX(Data_DBD!$D:$D,$A140)</f>
        <v>33</v>
      </c>
      <c r="E140" s="30">
        <f ca="1" t="array" ref="E140">INDEX(Data_DBD!$E:$E,$A140)</f>
        <v>0</v>
      </c>
      <c r="F140" s="30">
        <f ca="1" t="array" ref="F140">INDEX(Data_DBD!$F:$F,$A140)</f>
        <v>3</v>
      </c>
      <c r="H140" s="42">
        <v>109</v>
      </c>
      <c r="I140" s="42">
        <v>40</v>
      </c>
      <c r="J140" s="42">
        <v>3</v>
      </c>
      <c r="K140" s="42">
        <v>33</v>
      </c>
      <c r="L140" s="42">
        <v>1</v>
      </c>
      <c r="M140" s="42">
        <v>3</v>
      </c>
    </row>
    <row r="141" spans="1:13">
      <c r="A141" s="30">
        <f ca="1" t="shared" si="2"/>
        <v>139</v>
      </c>
      <c r="B141" s="30">
        <f ca="1" t="array" ref="B141">INDEX(Data_DBD!$B:$B,$A141)</f>
        <v>52</v>
      </c>
      <c r="C141" s="30">
        <f ca="1" t="array" ref="C141">INDEX(Data_DBD!$C:$C,$A141)</f>
        <v>7</v>
      </c>
      <c r="D141" s="30">
        <f ca="1" t="array" ref="D141">INDEX(Data_DBD!$D:$D,$A141)</f>
        <v>21</v>
      </c>
      <c r="E141" s="30">
        <f ca="1" t="array" ref="E141">INDEX(Data_DBD!$E:$E,$A141)</f>
        <v>0</v>
      </c>
      <c r="F141" s="30">
        <f ca="1" t="array" ref="F141">INDEX(Data_DBD!$F:$F,$A141)</f>
        <v>3</v>
      </c>
      <c r="H141" s="42">
        <v>13</v>
      </c>
      <c r="I141" s="42">
        <v>47</v>
      </c>
      <c r="J141" s="42">
        <v>2</v>
      </c>
      <c r="K141" s="42">
        <v>12</v>
      </c>
      <c r="L141" s="42">
        <v>0</v>
      </c>
      <c r="M141" s="42">
        <v>2</v>
      </c>
    </row>
    <row r="142" spans="1:13">
      <c r="A142" s="30">
        <f ca="1" t="shared" si="2"/>
        <v>75</v>
      </c>
      <c r="B142" s="30">
        <f ca="1" t="array" ref="B142">INDEX(Data_DBD!$B:$B,$A142)</f>
        <v>2</v>
      </c>
      <c r="C142" s="30">
        <f ca="1" t="array" ref="C142">INDEX(Data_DBD!$C:$C,$A142)</f>
        <v>2</v>
      </c>
      <c r="D142" s="30">
        <f ca="1" t="array" ref="D142">INDEX(Data_DBD!$D:$D,$A142)</f>
        <v>10</v>
      </c>
      <c r="E142" s="30">
        <f ca="1" t="array" ref="E142">INDEX(Data_DBD!$E:$E,$A142)</f>
        <v>1</v>
      </c>
      <c r="F142" s="30">
        <f ca="1" t="array" ref="F142">INDEX(Data_DBD!$F:$F,$A142)</f>
        <v>2</v>
      </c>
      <c r="H142" s="42">
        <v>7</v>
      </c>
      <c r="I142" s="42">
        <v>12</v>
      </c>
      <c r="J142" s="42">
        <v>1</v>
      </c>
      <c r="K142" s="42">
        <v>12</v>
      </c>
      <c r="L142" s="42">
        <v>1</v>
      </c>
      <c r="M142" s="42">
        <v>2</v>
      </c>
    </row>
    <row r="143" spans="1:13">
      <c r="A143" s="30">
        <f ca="1" t="shared" si="2"/>
        <v>156</v>
      </c>
      <c r="B143" s="30">
        <f ca="1" t="array" ref="B143">INDEX(Data_DBD!$B:$B,$A143)</f>
        <v>5</v>
      </c>
      <c r="C143" s="30">
        <f ca="1" t="array" ref="C143">INDEX(Data_DBD!$C:$C,$A143)</f>
        <v>2</v>
      </c>
      <c r="D143" s="30">
        <f ca="1" t="array" ref="D143">INDEX(Data_DBD!$D:$D,$A143)</f>
        <v>21</v>
      </c>
      <c r="E143" s="30">
        <f ca="1" t="array" ref="E143">INDEX(Data_DBD!$E:$E,$A143)</f>
        <v>0</v>
      </c>
      <c r="F143" s="30">
        <f ca="1" t="array" ref="F143">INDEX(Data_DBD!$F:$F,$A143)</f>
        <v>3</v>
      </c>
      <c r="H143" s="42">
        <v>85</v>
      </c>
      <c r="I143" s="42">
        <v>27</v>
      </c>
      <c r="J143" s="42">
        <v>9</v>
      </c>
      <c r="K143" s="42">
        <v>13</v>
      </c>
      <c r="L143" s="42">
        <v>0</v>
      </c>
      <c r="M143" s="42">
        <v>2</v>
      </c>
    </row>
    <row r="144" spans="1:13">
      <c r="A144" s="30">
        <f ca="1" t="shared" si="2"/>
        <v>62</v>
      </c>
      <c r="B144" s="30">
        <f ca="1" t="array" ref="B144">INDEX(Data_DBD!$B:$B,$A144)</f>
        <v>43</v>
      </c>
      <c r="C144" s="30">
        <f ca="1" t="array" ref="C144">INDEX(Data_DBD!$C:$C,$A144)</f>
        <v>4</v>
      </c>
      <c r="D144" s="30">
        <f ca="1" t="array" ref="D144">INDEX(Data_DBD!$D:$D,$A144)</f>
        <v>15</v>
      </c>
      <c r="E144" s="30">
        <f ca="1" t="array" ref="E144">INDEX(Data_DBD!$E:$E,$A144)</f>
        <v>1</v>
      </c>
      <c r="F144" s="30">
        <f ca="1" t="array" ref="F144">INDEX(Data_DBD!$F:$F,$A144)</f>
        <v>2</v>
      </c>
      <c r="H144" s="42">
        <v>134</v>
      </c>
      <c r="I144" s="42">
        <v>4</v>
      </c>
      <c r="J144" s="42">
        <v>2</v>
      </c>
      <c r="K144" s="42">
        <v>33</v>
      </c>
      <c r="L144" s="42">
        <v>1</v>
      </c>
      <c r="M144" s="42">
        <v>3</v>
      </c>
    </row>
    <row r="145" spans="1:13">
      <c r="A145" s="30">
        <f ca="1" t="shared" si="2"/>
        <v>153</v>
      </c>
      <c r="B145" s="30">
        <f ca="1" t="array" ref="B145">INDEX(Data_DBD!$B:$B,$A145)</f>
        <v>73</v>
      </c>
      <c r="C145" s="30">
        <f ca="1" t="array" ref="C145">INDEX(Data_DBD!$C:$C,$A145)</f>
        <v>7</v>
      </c>
      <c r="D145" s="30">
        <f ca="1" t="array" ref="D145">INDEX(Data_DBD!$D:$D,$A145)</f>
        <v>21</v>
      </c>
      <c r="E145" s="30">
        <f ca="1" t="array" ref="E145">INDEX(Data_DBD!$E:$E,$A145)</f>
        <v>1</v>
      </c>
      <c r="F145" s="30">
        <f ca="1" t="array" ref="F145">INDEX(Data_DBD!$F:$F,$A145)</f>
        <v>3</v>
      </c>
      <c r="H145" s="42">
        <v>140</v>
      </c>
      <c r="I145" s="42">
        <v>74</v>
      </c>
      <c r="J145" s="42">
        <v>5</v>
      </c>
      <c r="K145" s="42">
        <v>21</v>
      </c>
      <c r="L145" s="42">
        <v>1</v>
      </c>
      <c r="M145" s="42">
        <v>3</v>
      </c>
    </row>
    <row r="146" spans="1:13">
      <c r="A146" s="30">
        <f ca="1" t="shared" si="2"/>
        <v>101</v>
      </c>
      <c r="B146" s="30">
        <f ca="1" t="array" ref="B146">INDEX(Data_DBD!$B:$B,$A146)</f>
        <v>42</v>
      </c>
      <c r="C146" s="30">
        <f ca="1" t="array" ref="C146">INDEX(Data_DBD!$C:$C,$A146)</f>
        <v>5</v>
      </c>
      <c r="D146" s="30">
        <f ca="1" t="array" ref="D146">INDEX(Data_DBD!$D:$D,$A146)</f>
        <v>18</v>
      </c>
      <c r="E146" s="30">
        <f ca="1" t="array" ref="E146">INDEX(Data_DBD!$E:$E,$A146)</f>
        <v>0</v>
      </c>
      <c r="F146" s="30">
        <f ca="1" t="array" ref="F146">INDEX(Data_DBD!$F:$F,$A146)</f>
        <v>3</v>
      </c>
      <c r="H146" s="42">
        <v>107</v>
      </c>
      <c r="I146" s="42">
        <v>48</v>
      </c>
      <c r="J146" s="42">
        <v>5</v>
      </c>
      <c r="K146" s="42">
        <v>18</v>
      </c>
      <c r="L146" s="42">
        <v>0</v>
      </c>
      <c r="M146" s="42">
        <v>3</v>
      </c>
    </row>
    <row r="147" spans="1:13">
      <c r="A147" s="30">
        <f ca="1" t="shared" si="2"/>
        <v>67</v>
      </c>
      <c r="B147" s="30">
        <f ca="1" t="array" ref="B147">INDEX(Data_DBD!$B:$B,$A147)</f>
        <v>21</v>
      </c>
      <c r="C147" s="30">
        <f ca="1" t="array" ref="C147">INDEX(Data_DBD!$C:$C,$A147)</f>
        <v>3</v>
      </c>
      <c r="D147" s="30">
        <f ca="1" t="array" ref="D147">INDEX(Data_DBD!$D:$D,$A147)</f>
        <v>10</v>
      </c>
      <c r="E147" s="30">
        <f ca="1" t="array" ref="E147">INDEX(Data_DBD!$E:$E,$A147)</f>
        <v>1</v>
      </c>
      <c r="F147" s="30">
        <f ca="1" t="array" ref="F147">INDEX(Data_DBD!$F:$F,$A147)</f>
        <v>2</v>
      </c>
      <c r="H147" s="42">
        <v>72</v>
      </c>
      <c r="I147" s="42">
        <v>3</v>
      </c>
      <c r="J147" s="42">
        <v>5</v>
      </c>
      <c r="K147" s="42">
        <v>10</v>
      </c>
      <c r="L147" s="42">
        <v>1</v>
      </c>
      <c r="M147" s="42">
        <v>2</v>
      </c>
    </row>
    <row r="148" spans="1:13">
      <c r="A148" s="30">
        <f ca="1" t="shared" si="2"/>
        <v>85</v>
      </c>
      <c r="B148" s="30">
        <f ca="1" t="array" ref="B148">INDEX(Data_DBD!$B:$B,$A148)</f>
        <v>27</v>
      </c>
      <c r="C148" s="30">
        <f ca="1" t="array" ref="C148">INDEX(Data_DBD!$C:$C,$A148)</f>
        <v>9</v>
      </c>
      <c r="D148" s="30">
        <f ca="1" t="array" ref="D148">INDEX(Data_DBD!$D:$D,$A148)</f>
        <v>13</v>
      </c>
      <c r="E148" s="30">
        <f ca="1" t="array" ref="E148">INDEX(Data_DBD!$E:$E,$A148)</f>
        <v>0</v>
      </c>
      <c r="F148" s="30">
        <f ca="1" t="array" ref="F148">INDEX(Data_DBD!$F:$F,$A148)</f>
        <v>2</v>
      </c>
      <c r="H148" s="42">
        <v>69</v>
      </c>
      <c r="I148" s="42">
        <v>24</v>
      </c>
      <c r="J148" s="42">
        <v>4</v>
      </c>
      <c r="K148" s="42">
        <v>10</v>
      </c>
      <c r="L148" s="42">
        <v>1</v>
      </c>
      <c r="M148" s="42">
        <v>2</v>
      </c>
    </row>
    <row r="149" spans="1:13">
      <c r="A149" s="30">
        <f ca="1" t="shared" si="2"/>
        <v>82</v>
      </c>
      <c r="B149" s="30">
        <f ca="1" t="array" ref="B149">INDEX(Data_DBD!$B:$B,$A149)</f>
        <v>28</v>
      </c>
      <c r="C149" s="30">
        <f ca="1" t="array" ref="C149">INDEX(Data_DBD!$C:$C,$A149)</f>
        <v>3</v>
      </c>
      <c r="D149" s="30">
        <f ca="1" t="array" ref="D149">INDEX(Data_DBD!$D:$D,$A149)</f>
        <v>13</v>
      </c>
      <c r="E149" s="30">
        <f ca="1" t="array" ref="E149">INDEX(Data_DBD!$E:$E,$A149)</f>
        <v>1</v>
      </c>
      <c r="F149" s="30">
        <f ca="1" t="array" ref="F149">INDEX(Data_DBD!$F:$F,$A149)</f>
        <v>2</v>
      </c>
      <c r="H149" s="42">
        <v>95</v>
      </c>
      <c r="I149" s="42">
        <v>11</v>
      </c>
      <c r="J149" s="42">
        <v>3</v>
      </c>
      <c r="K149" s="42">
        <v>18</v>
      </c>
      <c r="L149" s="42">
        <v>1</v>
      </c>
      <c r="M149" s="42">
        <v>3</v>
      </c>
    </row>
    <row r="150" spans="1:13">
      <c r="A150" s="30">
        <f ca="1" t="shared" si="2"/>
        <v>79</v>
      </c>
      <c r="B150" s="30">
        <f ca="1" t="array" ref="B150">INDEX(Data_DBD!$B:$B,$A150)</f>
        <v>29</v>
      </c>
      <c r="C150" s="30">
        <f ca="1" t="array" ref="C150">INDEX(Data_DBD!$C:$C,$A150)</f>
        <v>3</v>
      </c>
      <c r="D150" s="30">
        <f ca="1" t="array" ref="D150">INDEX(Data_DBD!$D:$D,$A150)</f>
        <v>13</v>
      </c>
      <c r="E150" s="30">
        <f ca="1" t="array" ref="E150">INDEX(Data_DBD!$E:$E,$A150)</f>
        <v>0</v>
      </c>
      <c r="F150" s="30">
        <f ca="1" t="array" ref="F150">INDEX(Data_DBD!$F:$F,$A150)</f>
        <v>2</v>
      </c>
      <c r="H150" s="42">
        <v>114</v>
      </c>
      <c r="I150" s="42">
        <v>14</v>
      </c>
      <c r="J150" s="42">
        <v>2</v>
      </c>
      <c r="K150" s="42">
        <v>33</v>
      </c>
      <c r="L150" s="42">
        <v>1</v>
      </c>
      <c r="M150" s="42">
        <v>3</v>
      </c>
    </row>
    <row r="151" spans="1:13">
      <c r="A151" s="30">
        <f ca="1" t="shared" si="2"/>
        <v>65</v>
      </c>
      <c r="B151" s="30">
        <f ca="1" t="array" ref="B151">INDEX(Data_DBD!$B:$B,$A151)</f>
        <v>49</v>
      </c>
      <c r="C151" s="30">
        <f ca="1" t="array" ref="C151">INDEX(Data_DBD!$C:$C,$A151)</f>
        <v>3</v>
      </c>
      <c r="D151" s="30">
        <f ca="1" t="array" ref="D151">INDEX(Data_DBD!$D:$D,$A151)</f>
        <v>15</v>
      </c>
      <c r="E151" s="30">
        <f ca="1" t="array" ref="E151">INDEX(Data_DBD!$E:$E,$A151)</f>
        <v>0</v>
      </c>
      <c r="F151" s="30">
        <f ca="1" t="array" ref="F151">INDEX(Data_DBD!$F:$F,$A151)</f>
        <v>2</v>
      </c>
      <c r="H151" s="42">
        <v>88</v>
      </c>
      <c r="I151" s="42">
        <v>20</v>
      </c>
      <c r="J151" s="42">
        <v>4</v>
      </c>
      <c r="K151" s="42">
        <v>13</v>
      </c>
      <c r="L151" s="42">
        <v>1</v>
      </c>
      <c r="M151" s="42">
        <v>2</v>
      </c>
    </row>
    <row r="152" spans="1:13">
      <c r="A152" s="30">
        <f ca="1" t="shared" si="2"/>
        <v>51</v>
      </c>
      <c r="B152" s="30">
        <f ca="1" t="array" ref="B152">INDEX(Data_DBD!$B:$B,$A152)</f>
        <v>48</v>
      </c>
      <c r="C152" s="30">
        <f ca="1" t="array" ref="C152">INDEX(Data_DBD!$C:$C,$A152)</f>
        <v>4</v>
      </c>
      <c r="D152" s="30">
        <f ca="1" t="array" ref="D152">INDEX(Data_DBD!$D:$D,$A152)</f>
        <v>13</v>
      </c>
      <c r="E152" s="30">
        <f ca="1" t="array" ref="E152">INDEX(Data_DBD!$E:$E,$A152)</f>
        <v>0</v>
      </c>
      <c r="F152" s="30">
        <f ca="1" t="array" ref="F152">INDEX(Data_DBD!$F:$F,$A152)</f>
        <v>2</v>
      </c>
      <c r="H152" s="42">
        <v>150</v>
      </c>
      <c r="I152" s="42">
        <v>61</v>
      </c>
      <c r="J152" s="42">
        <v>5</v>
      </c>
      <c r="K152" s="42">
        <v>21</v>
      </c>
      <c r="L152" s="42">
        <v>1</v>
      </c>
      <c r="M152" s="42">
        <v>3</v>
      </c>
    </row>
    <row r="153" spans="1:13">
      <c r="A153" s="30">
        <f ca="1" t="shared" si="2"/>
        <v>61</v>
      </c>
      <c r="B153" s="30">
        <f ca="1" t="array" ref="B153">INDEX(Data_DBD!$B:$B,$A153)</f>
        <v>29</v>
      </c>
      <c r="C153" s="30">
        <f ca="1" t="array" ref="C153">INDEX(Data_DBD!$C:$C,$A153)</f>
        <v>3</v>
      </c>
      <c r="D153" s="30">
        <f ca="1" t="array" ref="D153">INDEX(Data_DBD!$D:$D,$A153)</f>
        <v>15</v>
      </c>
      <c r="E153" s="30">
        <f ca="1" t="array" ref="E153">INDEX(Data_DBD!$E:$E,$A153)</f>
        <v>1</v>
      </c>
      <c r="F153" s="30">
        <f ca="1" t="array" ref="F153">INDEX(Data_DBD!$F:$F,$A153)</f>
        <v>2</v>
      </c>
      <c r="H153" s="42">
        <v>162</v>
      </c>
      <c r="I153" s="42">
        <v>22</v>
      </c>
      <c r="J153" s="42">
        <v>3</v>
      </c>
      <c r="K153" s="42">
        <v>3</v>
      </c>
      <c r="L153" s="42">
        <v>1</v>
      </c>
      <c r="M153" s="42">
        <v>1</v>
      </c>
    </row>
    <row r="154" ht="15.75" spans="1:22">
      <c r="A154" s="30">
        <f ca="1" t="shared" si="2"/>
        <v>62</v>
      </c>
      <c r="B154" s="30">
        <f ca="1" t="array" ref="B154">INDEX(Data_DBD!$B:$B,$A154)</f>
        <v>43</v>
      </c>
      <c r="C154" s="30">
        <f ca="1" t="array" ref="C154">INDEX(Data_DBD!$C:$C,$A154)</f>
        <v>4</v>
      </c>
      <c r="D154" s="30">
        <f ca="1" t="array" ref="D154">INDEX(Data_DBD!$D:$D,$A154)</f>
        <v>15</v>
      </c>
      <c r="E154" s="30">
        <f ca="1" t="array" ref="E154">INDEX(Data_DBD!$E:$E,$A154)</f>
        <v>1</v>
      </c>
      <c r="F154" s="30">
        <f ca="1" t="array" ref="F154">INDEX(Data_DBD!$F:$F,$A154)</f>
        <v>2</v>
      </c>
      <c r="H154" s="42">
        <v>100</v>
      </c>
      <c r="I154" s="42">
        <v>19</v>
      </c>
      <c r="J154" s="42">
        <v>6</v>
      </c>
      <c r="K154" s="42">
        <v>18</v>
      </c>
      <c r="L154" s="42">
        <v>0</v>
      </c>
      <c r="M154" s="42">
        <v>3</v>
      </c>
      <c r="V154" s="43"/>
    </row>
    <row r="155" ht="15.75" spans="1:22">
      <c r="A155" s="30">
        <f ca="1" t="shared" si="2"/>
        <v>113</v>
      </c>
      <c r="B155" s="30">
        <f ca="1" t="array" ref="B155">INDEX(Data_DBD!$B:$B,$A155)</f>
        <v>69</v>
      </c>
      <c r="C155" s="30">
        <f ca="1" t="array" ref="C155">INDEX(Data_DBD!$C:$C,$A155)</f>
        <v>1</v>
      </c>
      <c r="D155" s="30">
        <f ca="1" t="array" ref="D155">INDEX(Data_DBD!$D:$D,$A155)</f>
        <v>33</v>
      </c>
      <c r="E155" s="30">
        <f ca="1" t="array" ref="E155">INDEX(Data_DBD!$E:$E,$A155)</f>
        <v>1</v>
      </c>
      <c r="F155" s="30">
        <f ca="1" t="array" ref="F155">INDEX(Data_DBD!$F:$F,$A155)</f>
        <v>3</v>
      </c>
      <c r="H155" s="42">
        <v>4</v>
      </c>
      <c r="I155" s="42">
        <v>23</v>
      </c>
      <c r="J155" s="42">
        <v>5</v>
      </c>
      <c r="K155" s="42">
        <v>12</v>
      </c>
      <c r="L155" s="42">
        <v>0</v>
      </c>
      <c r="M155" s="42">
        <v>2</v>
      </c>
      <c r="V155" s="44"/>
    </row>
    <row r="156" ht="15.75" spans="1:22">
      <c r="A156" s="30">
        <f ca="1" t="shared" si="2"/>
        <v>114</v>
      </c>
      <c r="B156" s="30">
        <f ca="1" t="array" ref="B156">INDEX(Data_DBD!$B:$B,$A156)</f>
        <v>14</v>
      </c>
      <c r="C156" s="30">
        <f ca="1" t="array" ref="C156">INDEX(Data_DBD!$C:$C,$A156)</f>
        <v>2</v>
      </c>
      <c r="D156" s="30">
        <f ca="1" t="array" ref="D156">INDEX(Data_DBD!$D:$D,$A156)</f>
        <v>33</v>
      </c>
      <c r="E156" s="30">
        <f ca="1" t="array" ref="E156">INDEX(Data_DBD!$E:$E,$A156)</f>
        <v>1</v>
      </c>
      <c r="F156" s="30">
        <f ca="1" t="array" ref="F156">INDEX(Data_DBD!$F:$F,$A156)</f>
        <v>3</v>
      </c>
      <c r="H156" s="42">
        <v>63</v>
      </c>
      <c r="I156" s="42">
        <v>25</v>
      </c>
      <c r="J156" s="42">
        <v>3</v>
      </c>
      <c r="K156" s="42">
        <v>15</v>
      </c>
      <c r="L156" s="42">
        <v>0</v>
      </c>
      <c r="M156" s="42">
        <v>2</v>
      </c>
      <c r="V156" s="45"/>
    </row>
    <row r="157" ht="15.75" spans="1:22">
      <c r="A157" s="30">
        <f ca="1" t="shared" si="2"/>
        <v>55</v>
      </c>
      <c r="B157" s="30">
        <f ca="1" t="array" ref="B157">INDEX(Data_DBD!$B:$B,$A157)</f>
        <v>7</v>
      </c>
      <c r="C157" s="30">
        <f ca="1" t="array" ref="C157">INDEX(Data_DBD!$C:$C,$A157)</f>
        <v>4</v>
      </c>
      <c r="D157" s="30">
        <f ca="1" t="array" ref="D157">INDEX(Data_DBD!$D:$D,$A157)</f>
        <v>15</v>
      </c>
      <c r="E157" s="30">
        <f ca="1" t="array" ref="E157">INDEX(Data_DBD!$E:$E,$A157)</f>
        <v>1</v>
      </c>
      <c r="F157" s="30">
        <f ca="1" t="array" ref="F157">INDEX(Data_DBD!$F:$F,$A157)</f>
        <v>2</v>
      </c>
      <c r="H157" s="42">
        <v>96</v>
      </c>
      <c r="I157" s="42">
        <v>56</v>
      </c>
      <c r="J157" s="42">
        <v>4</v>
      </c>
      <c r="K157" s="42">
        <v>18</v>
      </c>
      <c r="L157" s="42">
        <v>0</v>
      </c>
      <c r="M157" s="42">
        <v>3</v>
      </c>
      <c r="V157" s="45"/>
    </row>
    <row r="158" ht="15.75" spans="1:22">
      <c r="A158" s="30">
        <f ca="1" t="shared" si="2"/>
        <v>53</v>
      </c>
      <c r="B158" s="30">
        <f ca="1" t="array" ref="B158">INDEX(Data_DBD!$B:$B,$A158)</f>
        <v>35</v>
      </c>
      <c r="C158" s="30">
        <f ca="1" t="array" ref="C158">INDEX(Data_DBD!$C:$C,$A158)</f>
        <v>4</v>
      </c>
      <c r="D158" s="30">
        <f ca="1" t="array" ref="D158">INDEX(Data_DBD!$D:$D,$A158)</f>
        <v>15</v>
      </c>
      <c r="E158" s="30">
        <f ca="1" t="array" ref="E158">INDEX(Data_DBD!$E:$E,$A158)</f>
        <v>1</v>
      </c>
      <c r="F158" s="30">
        <f ca="1" t="array" ref="F158">INDEX(Data_DBD!$F:$F,$A158)</f>
        <v>2</v>
      </c>
      <c r="H158" s="42">
        <v>126</v>
      </c>
      <c r="I158" s="42">
        <v>51</v>
      </c>
      <c r="J158" s="42">
        <v>3</v>
      </c>
      <c r="K158" s="42">
        <v>33</v>
      </c>
      <c r="L158" s="42">
        <v>1</v>
      </c>
      <c r="M158" s="42">
        <v>3</v>
      </c>
      <c r="V158" s="44"/>
    </row>
    <row r="159" ht="15.75" spans="1:22">
      <c r="A159" s="30">
        <f ca="1" t="shared" si="2"/>
        <v>44</v>
      </c>
      <c r="B159" s="30">
        <f ca="1" t="array" ref="B159">INDEX(Data_DBD!$B:$B,$A159)</f>
        <v>28</v>
      </c>
      <c r="C159" s="30">
        <f ca="1" t="array" ref="C159">INDEX(Data_DBD!$C:$C,$A159)</f>
        <v>5</v>
      </c>
      <c r="D159" s="30">
        <f ca="1" t="array" ref="D159">INDEX(Data_DBD!$D:$D,$A159)</f>
        <v>13</v>
      </c>
      <c r="E159" s="30">
        <f ca="1" t="array" ref="E159">INDEX(Data_DBD!$E:$E,$A159)</f>
        <v>1</v>
      </c>
      <c r="F159" s="30">
        <f ca="1" t="array" ref="F159">INDEX(Data_DBD!$F:$F,$A159)</f>
        <v>2</v>
      </c>
      <c r="H159" s="42">
        <v>72</v>
      </c>
      <c r="I159" s="42">
        <v>3</v>
      </c>
      <c r="J159" s="42">
        <v>5</v>
      </c>
      <c r="K159" s="42">
        <v>10</v>
      </c>
      <c r="L159" s="42">
        <v>1</v>
      </c>
      <c r="M159" s="42">
        <v>2</v>
      </c>
      <c r="V159" s="45"/>
    </row>
    <row r="160" ht="15.75" spans="1:22">
      <c r="A160" s="30">
        <f ca="1" t="shared" si="2"/>
        <v>56</v>
      </c>
      <c r="B160" s="30">
        <f ca="1" t="array" ref="B160">INDEX(Data_DBD!$B:$B,$A160)</f>
        <v>4</v>
      </c>
      <c r="C160" s="30">
        <f ca="1" t="array" ref="C160">INDEX(Data_DBD!$C:$C,$A160)</f>
        <v>3</v>
      </c>
      <c r="D160" s="30">
        <f ca="1" t="array" ref="D160">INDEX(Data_DBD!$D:$D,$A160)</f>
        <v>15</v>
      </c>
      <c r="E160" s="30">
        <f ca="1" t="array" ref="E160">INDEX(Data_DBD!$E:$E,$A160)</f>
        <v>0</v>
      </c>
      <c r="F160" s="30">
        <f ca="1" t="array" ref="F160">INDEX(Data_DBD!$F:$F,$A160)</f>
        <v>2</v>
      </c>
      <c r="H160" s="42">
        <v>41</v>
      </c>
      <c r="I160" s="42">
        <v>8</v>
      </c>
      <c r="J160" s="42">
        <v>4</v>
      </c>
      <c r="K160" s="42">
        <v>13</v>
      </c>
      <c r="L160" s="42">
        <v>0</v>
      </c>
      <c r="M160" s="42">
        <v>2</v>
      </c>
      <c r="V160" s="45"/>
    </row>
    <row r="161" ht="15.75" spans="1:22">
      <c r="A161" s="30">
        <f ca="1" t="shared" si="2"/>
        <v>48</v>
      </c>
      <c r="B161" s="30">
        <f ca="1" t="array" ref="B161">INDEX(Data_DBD!$B:$B,$A161)</f>
        <v>50</v>
      </c>
      <c r="C161" s="30">
        <f ca="1" t="array" ref="C161">INDEX(Data_DBD!$C:$C,$A161)</f>
        <v>5</v>
      </c>
      <c r="D161" s="30">
        <f ca="1" t="array" ref="D161">INDEX(Data_DBD!$D:$D,$A161)</f>
        <v>13</v>
      </c>
      <c r="E161" s="30">
        <f ca="1" t="array" ref="E161">INDEX(Data_DBD!$E:$E,$A161)</f>
        <v>1</v>
      </c>
      <c r="F161" s="30">
        <f ca="1" t="array" ref="F161">INDEX(Data_DBD!$F:$F,$A161)</f>
        <v>2</v>
      </c>
      <c r="H161" s="42">
        <v>129</v>
      </c>
      <c r="I161" s="42">
        <v>4.5</v>
      </c>
      <c r="J161" s="42">
        <v>3</v>
      </c>
      <c r="K161" s="42">
        <v>33</v>
      </c>
      <c r="L161" s="42">
        <v>0</v>
      </c>
      <c r="M161" s="42">
        <v>3</v>
      </c>
      <c r="V161" s="44"/>
    </row>
    <row r="162" ht="15.75" spans="1:22">
      <c r="A162" s="30">
        <f ca="1" t="shared" si="2"/>
        <v>18</v>
      </c>
      <c r="B162" s="30">
        <f ca="1" t="array" ref="B162">INDEX(Data_DBD!$B:$B,$A162)</f>
        <v>49</v>
      </c>
      <c r="C162" s="30">
        <f ca="1" t="array" ref="C162">INDEX(Data_DBD!$C:$C,$A162)</f>
        <v>4</v>
      </c>
      <c r="D162" s="30">
        <f ca="1" t="array" ref="D162">INDEX(Data_DBD!$D:$D,$A162)</f>
        <v>7</v>
      </c>
      <c r="E162" s="30">
        <f ca="1" t="array" ref="E162">INDEX(Data_DBD!$E:$E,$A162)</f>
        <v>1</v>
      </c>
      <c r="F162" s="30">
        <f ca="1" t="array" ref="F162">INDEX(Data_DBD!$F:$F,$A162)</f>
        <v>1</v>
      </c>
      <c r="H162" s="42">
        <v>46</v>
      </c>
      <c r="I162" s="42">
        <v>62</v>
      </c>
      <c r="J162" s="42">
        <v>2</v>
      </c>
      <c r="K162" s="42">
        <v>13</v>
      </c>
      <c r="L162" s="42">
        <v>0</v>
      </c>
      <c r="M162" s="42">
        <v>2</v>
      </c>
      <c r="V162" s="45"/>
    </row>
    <row r="163" spans="1:13">
      <c r="A163" s="30">
        <f ca="1" t="shared" si="2"/>
        <v>61</v>
      </c>
      <c r="B163" s="30">
        <f ca="1" t="array" ref="B163">INDEX(Data_DBD!$B:$B,$A163)</f>
        <v>29</v>
      </c>
      <c r="C163" s="30">
        <f ca="1" t="array" ref="C163">INDEX(Data_DBD!$C:$C,$A163)</f>
        <v>3</v>
      </c>
      <c r="D163" s="30">
        <f ca="1" t="array" ref="D163">INDEX(Data_DBD!$D:$D,$A163)</f>
        <v>15</v>
      </c>
      <c r="E163" s="30">
        <f ca="1" t="array" ref="E163">INDEX(Data_DBD!$E:$E,$A163)</f>
        <v>1</v>
      </c>
      <c r="F163" s="30">
        <f ca="1" t="array" ref="F163">INDEX(Data_DBD!$F:$F,$A163)</f>
        <v>2</v>
      </c>
      <c r="H163" s="42">
        <v>128</v>
      </c>
      <c r="I163" s="42">
        <v>38</v>
      </c>
      <c r="J163" s="42">
        <v>2</v>
      </c>
      <c r="K163" s="42">
        <v>33</v>
      </c>
      <c r="L163" s="42">
        <v>0</v>
      </c>
      <c r="M163" s="42">
        <v>3</v>
      </c>
    </row>
    <row r="164" spans="1:13">
      <c r="A164" s="30">
        <f ca="1" t="shared" si="2"/>
        <v>56</v>
      </c>
      <c r="B164" s="30">
        <f ca="1" t="array" ref="B164">INDEX(Data_DBD!$B:$B,$A164)</f>
        <v>4</v>
      </c>
      <c r="C164" s="30">
        <f ca="1" t="array" ref="C164">INDEX(Data_DBD!$C:$C,$A164)</f>
        <v>3</v>
      </c>
      <c r="D164" s="30">
        <f ca="1" t="array" ref="D164">INDEX(Data_DBD!$D:$D,$A164)</f>
        <v>15</v>
      </c>
      <c r="E164" s="30">
        <f ca="1" t="array" ref="E164">INDEX(Data_DBD!$E:$E,$A164)</f>
        <v>0</v>
      </c>
      <c r="F164" s="30">
        <f ca="1" t="array" ref="F164">INDEX(Data_DBD!$F:$F,$A164)</f>
        <v>2</v>
      </c>
      <c r="H164" s="42">
        <v>24</v>
      </c>
      <c r="I164" s="42">
        <v>60</v>
      </c>
      <c r="J164" s="42">
        <v>4</v>
      </c>
      <c r="K164" s="42">
        <v>14</v>
      </c>
      <c r="L164" s="42">
        <v>0</v>
      </c>
      <c r="M164" s="42">
        <v>2</v>
      </c>
    </row>
    <row r="165" spans="9:12">
      <c r="I165">
        <f>AVERAGE(I2:I164)</f>
        <v>31.9347826086957</v>
      </c>
      <c r="J165">
        <f>AVERAGE(J2:J164)</f>
        <v>3.57668711656442</v>
      </c>
      <c r="K165">
        <f>AVERAGE(K2:K164)</f>
        <v>18.7116564417178</v>
      </c>
      <c r="L165">
        <f>AVERAGE(L2:L164)</f>
        <v>0.521472392638037</v>
      </c>
    </row>
    <row r="167" spans="2:2">
      <c r="B167">
        <v>3</v>
      </c>
    </row>
    <row r="168" spans="5:20">
      <c r="E168" s="35" t="s">
        <v>183</v>
      </c>
      <c r="J168" s="35" t="s">
        <v>184</v>
      </c>
      <c r="O168" s="35" t="s">
        <v>185</v>
      </c>
      <c r="T168" s="35" t="s">
        <v>186</v>
      </c>
    </row>
    <row r="169" spans="5:22">
      <c r="E169" s="30" t="s">
        <v>1</v>
      </c>
      <c r="F169" s="30">
        <f>AVERAGEIF($I$2:$I$164,"&lt;="&amp;$I$165)</f>
        <v>16.9202127659574</v>
      </c>
      <c r="G169" s="30">
        <f>AVERAGEIF($I$2:$I$164,"&gt;"&amp;$I$165)</f>
        <v>53</v>
      </c>
      <c r="J169" s="30" t="s">
        <v>187</v>
      </c>
      <c r="K169" s="30">
        <f>AVERAGEIF($J$2:$J$164,"&lt;="&amp;$J$165)</f>
        <v>2.58139534883721</v>
      </c>
      <c r="L169" s="30">
        <f>AVERAGEIF($J$2:$J$164,"&gt;"&amp;$J$165)</f>
        <v>4.68831168831169</v>
      </c>
      <c r="O169" s="30" t="s">
        <v>188</v>
      </c>
      <c r="P169" s="30">
        <f>AVERAGEIF($K$2:$K$164,"&lt;="&amp;$K$165)</f>
        <v>13.0642201834862</v>
      </c>
      <c r="Q169" s="30">
        <f>AVERAGEIF($K$2:$K$164,"&gt;"&amp;$K$165)</f>
        <v>30.1111111111111</v>
      </c>
      <c r="T169" s="30" t="s">
        <v>189</v>
      </c>
      <c r="U169" s="30">
        <f>AVERAGEIF($L$2:$L$164,"&lt;="&amp;$L$165)</f>
        <v>0</v>
      </c>
      <c r="V169" s="30">
        <f>AVERAGEIF($L$2:$L$164,"&gt;"&amp;$L$165)</f>
        <v>1</v>
      </c>
    </row>
    <row r="170" spans="5:22">
      <c r="E170" s="30" t="str">
        <f t="array" ref="E170:E332">IF($I$2:$I$164&lt;$F$169,"kiri",IF($I$2:$I$164&lt;$G$169,"tengah","kanan"))</f>
        <v>kiri</v>
      </c>
      <c r="F170" s="36" t="s">
        <v>201</v>
      </c>
      <c r="G170" s="30"/>
      <c r="J170" s="30" t="str">
        <f t="array" ref="J170:J332">IF($J$2:$J$164&lt;$K$169,"kiri",IF($J$2:$J$164&lt;$L$169,"tengah","kanan"))</f>
        <v>kiri</v>
      </c>
      <c r="K170" s="36" t="s">
        <v>202</v>
      </c>
      <c r="L170" s="30"/>
      <c r="O170" s="30" t="str">
        <f t="array" ref="O170:O332">IF($K$2:$K$164&lt;$P$169,"kiri",IF($K$2:$K$164&lt;$Q$169,"tengah","kanan"))</f>
        <v>tengah</v>
      </c>
      <c r="P170" s="36" t="s">
        <v>203</v>
      </c>
      <c r="Q170" s="30"/>
      <c r="T170" s="30" t="str">
        <f t="array" ref="T170:T332">IF($L$2:$L$164&lt;$U$169,"kiri",IF($L$2:$L$164&lt;$V$169,"tengah","kanan"))</f>
        <v>kanan</v>
      </c>
      <c r="U170" s="30" t="s">
        <v>193</v>
      </c>
      <c r="V170" s="30"/>
    </row>
    <row r="171" spans="5:22">
      <c r="E171" s="30" t="str">
        <v>kanan</v>
      </c>
      <c r="F171" s="30">
        <f>COUNTIFS($E$170:$E$332,"Kanan",$M$2:$M$164,"1")</f>
        <v>0</v>
      </c>
      <c r="G171" s="30">
        <f>F171/29</f>
        <v>0</v>
      </c>
      <c r="J171" s="30" t="str">
        <v>tengah</v>
      </c>
      <c r="K171" s="30">
        <f t="array" ref="K171">SUMPRODUCT((J170:J332="Kanan")*(M2:M164=1))</f>
        <v>2</v>
      </c>
      <c r="L171" s="30">
        <f>K171/34</f>
        <v>0.0588235294117647</v>
      </c>
      <c r="O171" s="30" t="str">
        <v>tengah</v>
      </c>
      <c r="P171" s="30">
        <f>COUNTIFS($O$170:$O$332,"Kanan",$M$2:$M$164,"1")</f>
        <v>0</v>
      </c>
      <c r="Q171" s="30">
        <f>P171/41</f>
        <v>0</v>
      </c>
      <c r="T171" s="30" t="str">
        <v>kanan</v>
      </c>
      <c r="U171" s="30">
        <f>COUNTIFS($T$170:$T$332,"Kanan",$M$2:$M$164,"1")</f>
        <v>5</v>
      </c>
      <c r="V171" s="30">
        <f>U171/85</f>
        <v>0.0588235294117647</v>
      </c>
    </row>
    <row r="172" spans="5:22">
      <c r="E172" s="30" t="str">
        <v>tengah</v>
      </c>
      <c r="F172" s="30">
        <f>COUNTIFS($E$170:$E$332,"Kanan",$M$2:$M$164,"2")</f>
        <v>16</v>
      </c>
      <c r="G172" s="30">
        <f>F172/29</f>
        <v>0.551724137931034</v>
      </c>
      <c r="J172" s="30" t="str">
        <v>kiri</v>
      </c>
      <c r="K172" s="30">
        <f>COUNTIFS($J$170:$J$332,"Kanan",$M$2:$M$164,"2")</f>
        <v>18</v>
      </c>
      <c r="L172" s="30">
        <f t="shared" ref="L172:L173" si="3">K172/34</f>
        <v>0.529411764705882</v>
      </c>
      <c r="O172" s="30" t="str">
        <v>tengah</v>
      </c>
      <c r="P172" s="30">
        <f>COUNTIFS($O$170:$O$332,"Kanan",$M$2:$M$164,"2")</f>
        <v>0</v>
      </c>
      <c r="Q172" s="30">
        <f t="shared" ref="Q172:Q173" si="4">P172/41</f>
        <v>0</v>
      </c>
      <c r="T172" s="30" t="str">
        <v>kanan</v>
      </c>
      <c r="U172" s="30">
        <f>COUNTIFS($T$170:$T$332,"Kanan",$M$2:$M$164,"2")</f>
        <v>37</v>
      </c>
      <c r="V172" s="30">
        <f t="shared" ref="V172:V173" si="5">U172/85</f>
        <v>0.435294117647059</v>
      </c>
    </row>
    <row r="173" spans="5:22">
      <c r="E173" s="30" t="str">
        <v>kanan</v>
      </c>
      <c r="F173" s="30">
        <f t="array" ref="F173">SUMPRODUCT((E170:E332="KANAN")*(M2:M164=3))</f>
        <v>13</v>
      </c>
      <c r="G173" s="30">
        <f>F173/29</f>
        <v>0.448275862068966</v>
      </c>
      <c r="J173" s="30" t="str">
        <v>tengah</v>
      </c>
      <c r="K173" s="30">
        <f>COUNTIFS($J$170:$J$332,"Kanan",$M$2:$M$164,"3")</f>
        <v>14</v>
      </c>
      <c r="L173" s="30">
        <f t="shared" si="3"/>
        <v>0.411764705882353</v>
      </c>
      <c r="O173" s="30" t="str">
        <v>kiri</v>
      </c>
      <c r="P173" s="30">
        <f>COUNTIFS($O$170:$O$332,"Kanan",$M$2:$M$164,"3")</f>
        <v>41</v>
      </c>
      <c r="Q173" s="30">
        <f t="shared" si="4"/>
        <v>1</v>
      </c>
      <c r="T173" s="30" t="str">
        <v>kanan</v>
      </c>
      <c r="U173" s="30">
        <f>COUNTIFS($T$170:$T$332,"Kanan",$M$2:$M$164,"3")</f>
        <v>43</v>
      </c>
      <c r="V173" s="30">
        <f t="shared" si="5"/>
        <v>0.505882352941176</v>
      </c>
    </row>
    <row r="174" spans="5:22">
      <c r="E174" s="30" t="str">
        <v>kanan</v>
      </c>
      <c r="F174" s="30" t="s">
        <v>194</v>
      </c>
      <c r="G174" s="30">
        <f>-(IFERROR(G171*LOG(G171,2),0)+IFERROR(G172*LOG(G172,2),0)+IFERROR(G173*LOG(G173,2),0))</f>
        <v>0.992266638719496</v>
      </c>
      <c r="J174" s="30" t="str">
        <v>kiri</v>
      </c>
      <c r="K174" s="30" t="s">
        <v>194</v>
      </c>
      <c r="L174" s="30">
        <f>-(IFERROR(L171*LOG(L171,2),0)+IFERROR(L172*LOG(L172,2),0)+IFERROR(L173*LOG(L173,2),0))</f>
        <v>1.25329757846304</v>
      </c>
      <c r="O174" s="30" t="str">
        <v>kiri</v>
      </c>
      <c r="P174" s="30" t="s">
        <v>194</v>
      </c>
      <c r="Q174" s="30">
        <f>-(IFERROR(Q171*LOG(Q171,2),0)+IFERROR(Q172*LOG(Q172,2),0)+IFERROR(Q173*LOG(Q173,2),0))</f>
        <v>0</v>
      </c>
      <c r="T174" s="30" t="str">
        <v>tengah</v>
      </c>
      <c r="U174" s="30" t="s">
        <v>194</v>
      </c>
      <c r="V174" s="30">
        <f>-(IFERROR(V171*LOG(V171,2),0)+IFERROR(V172*LOG(V172,2),0)+IFERROR(V173*LOG(V173,2),0))</f>
        <v>1.26011094255066</v>
      </c>
    </row>
    <row r="175" spans="5:22">
      <c r="E175" s="30" t="str">
        <v>kiri</v>
      </c>
      <c r="F175" s="30"/>
      <c r="G175" s="30">
        <f>SUM(F171:F173)/163</f>
        <v>0.177914110429448</v>
      </c>
      <c r="J175" s="30" t="str">
        <v>kiri</v>
      </c>
      <c r="K175" s="30"/>
      <c r="L175" s="30">
        <f>SUM(K171:K173)/163</f>
        <v>0.208588957055215</v>
      </c>
      <c r="O175" s="30" t="str">
        <v>kanan</v>
      </c>
      <c r="P175" s="30"/>
      <c r="Q175" s="30">
        <f>SUM(P171:P173)/163</f>
        <v>0.251533742331288</v>
      </c>
      <c r="T175" s="30" t="str">
        <v>tengah</v>
      </c>
      <c r="U175" s="30"/>
      <c r="V175" s="30">
        <f>SUM(U171:U173)/163</f>
        <v>0.521472392638037</v>
      </c>
    </row>
    <row r="176" spans="5:22">
      <c r="E176" s="30" t="str">
        <v>kiri</v>
      </c>
      <c r="F176" s="30"/>
      <c r="G176" s="37">
        <f>G174*G175</f>
        <v>0.176538236336597</v>
      </c>
      <c r="J176" s="30" t="str">
        <v>tengah</v>
      </c>
      <c r="K176" s="30"/>
      <c r="L176" s="37">
        <f>L174*L175</f>
        <v>0.261424034771432</v>
      </c>
      <c r="O176" s="30" t="str">
        <v>kanan</v>
      </c>
      <c r="P176" s="30"/>
      <c r="Q176" s="37">
        <f>Q174*Q175</f>
        <v>0</v>
      </c>
      <c r="T176" s="30" t="str">
        <v>tengah</v>
      </c>
      <c r="U176" s="30"/>
      <c r="V176" s="37">
        <f>V174*V175</f>
        <v>0.657113068201267</v>
      </c>
    </row>
    <row r="177" spans="5:22">
      <c r="E177" s="30" t="str">
        <v>kiri</v>
      </c>
      <c r="F177" s="30"/>
      <c r="G177" s="30"/>
      <c r="J177" s="30" t="str">
        <v>kiri</v>
      </c>
      <c r="K177" s="30"/>
      <c r="L177" s="30"/>
      <c r="O177" s="30" t="str">
        <v>kanan</v>
      </c>
      <c r="P177" s="30"/>
      <c r="Q177" s="30"/>
      <c r="T177" s="30" t="str">
        <v>kanan</v>
      </c>
      <c r="U177" s="30"/>
      <c r="V177" s="30"/>
    </row>
    <row r="178" spans="5:22">
      <c r="E178" s="30" t="str">
        <v>tengah</v>
      </c>
      <c r="F178" s="30"/>
      <c r="G178" s="30"/>
      <c r="J178" s="30" t="str">
        <v>kanan</v>
      </c>
      <c r="K178" s="30"/>
      <c r="L178" s="30"/>
      <c r="O178" s="30" t="str">
        <v>kiri</v>
      </c>
      <c r="P178" s="30"/>
      <c r="Q178" s="30"/>
      <c r="T178" s="30" t="str">
        <v>tengah</v>
      </c>
      <c r="U178" s="30"/>
      <c r="V178" s="30"/>
    </row>
    <row r="179" spans="5:22">
      <c r="E179" s="30" t="str">
        <v>tengah</v>
      </c>
      <c r="F179" s="36" t="s">
        <v>204</v>
      </c>
      <c r="G179" s="30"/>
      <c r="J179" s="30" t="str">
        <v>tengah</v>
      </c>
      <c r="K179" s="36" t="s">
        <v>205</v>
      </c>
      <c r="L179" s="30"/>
      <c r="O179" s="30" t="str">
        <v>kanan</v>
      </c>
      <c r="P179" s="36" t="s">
        <v>206</v>
      </c>
      <c r="Q179" s="30"/>
      <c r="T179" s="30" t="str">
        <v>kanan</v>
      </c>
      <c r="U179" s="30" t="s">
        <v>198</v>
      </c>
      <c r="V179" s="30"/>
    </row>
    <row r="180" spans="5:22">
      <c r="E180" s="30" t="str">
        <v>tengah</v>
      </c>
      <c r="F180" s="30">
        <f t="array" ref="F180">SUMPRODUCT((E170:E332="kiri")*(M2:M164=1))</f>
        <v>4</v>
      </c>
      <c r="G180" s="30">
        <f>F180/44</f>
        <v>0.0909090909090909</v>
      </c>
      <c r="J180" s="30" t="str">
        <v>tengah</v>
      </c>
      <c r="K180" s="30">
        <f>COUNTIFS($J$170:$J$332,"Kiri",$M$2:$M$164,"1")</f>
        <v>1</v>
      </c>
      <c r="L180" s="30">
        <f>K180/33</f>
        <v>0.0303030303030303</v>
      </c>
      <c r="O180" s="30" t="str">
        <v>kiri</v>
      </c>
      <c r="P180" s="30">
        <f>COUNTIFS($O$170:$O$332,"Kiri",$M$2:$M$164,"1")</f>
        <v>10</v>
      </c>
      <c r="Q180" s="30">
        <f>P180/65</f>
        <v>0.153846153846154</v>
      </c>
      <c r="T180" s="30" t="str">
        <v>tengah</v>
      </c>
      <c r="U180" s="30">
        <f>COUNTIFS($T$170:$T$332,"Kiri",$M$2:$M$164,"1")</f>
        <v>0</v>
      </c>
      <c r="V180" s="30">
        <f>U180/57</f>
        <v>0</v>
      </c>
    </row>
    <row r="181" spans="5:22">
      <c r="E181" s="30" t="str">
        <v>tengah</v>
      </c>
      <c r="F181" s="30">
        <f t="array" ref="F181">SUMPRODUCT((E170:E332="kiri")*(M2:M164=2))</f>
        <v>18</v>
      </c>
      <c r="G181" s="30">
        <f t="shared" ref="G181:G182" si="6">F181/44</f>
        <v>0.409090909090909</v>
      </c>
      <c r="J181" s="30" t="str">
        <v>tengah</v>
      </c>
      <c r="K181" s="30">
        <f>COUNTIFS($J$170:$J$332,"Kiri",$M$2:$M$164,"2")</f>
        <v>11</v>
      </c>
      <c r="L181" s="30">
        <f t="shared" ref="L181:L182" si="7">K181/33</f>
        <v>0.333333333333333</v>
      </c>
      <c r="O181" s="30" t="str">
        <v>kiri</v>
      </c>
      <c r="P181" s="30">
        <f>COUNTIFS($O$170:$O$332,"Kiri",$M$2:$M$164,"2")</f>
        <v>55</v>
      </c>
      <c r="Q181" s="30">
        <f t="shared" ref="Q181:Q182" si="8">P181/65</f>
        <v>0.846153846153846</v>
      </c>
      <c r="T181" s="30" t="str">
        <v>tengah</v>
      </c>
      <c r="U181" s="30">
        <f>COUNTIFS($T$170:$T$332,"Kiri",$M$2:$M$164,"2")</f>
        <v>0</v>
      </c>
      <c r="V181" s="30">
        <f>U181/57</f>
        <v>0</v>
      </c>
    </row>
    <row r="182" spans="5:22">
      <c r="E182" s="30" t="str">
        <v>tengah</v>
      </c>
      <c r="F182" s="30">
        <f t="array" ref="F182">SUMPRODUCT((E170:E332="kiri")*(M2:M164=3))</f>
        <v>22</v>
      </c>
      <c r="G182" s="30">
        <f t="shared" si="6"/>
        <v>0.5</v>
      </c>
      <c r="J182" s="30" t="str">
        <v>kanan</v>
      </c>
      <c r="K182" s="30">
        <f>COUNTIFS($J$170:$J$332,"Kiri",$M$2:$M$164,"3")</f>
        <v>21</v>
      </c>
      <c r="L182" s="30">
        <f t="shared" si="7"/>
        <v>0.636363636363636</v>
      </c>
      <c r="O182" s="30" t="str">
        <v>kanan</v>
      </c>
      <c r="P182" s="30">
        <f>COUNTIFS($O$170:$O$332,"Kiri",$M$2:$M$164,"3")</f>
        <v>0</v>
      </c>
      <c r="Q182" s="30">
        <f t="shared" si="8"/>
        <v>0</v>
      </c>
      <c r="T182" s="30" t="str">
        <v>tengah</v>
      </c>
      <c r="U182" s="30">
        <f>COUNTIFS($T$170:$T$332,"Kiri",$M$2:$M$164,"3")</f>
        <v>0</v>
      </c>
      <c r="V182" s="30">
        <f>U182/57</f>
        <v>0</v>
      </c>
    </row>
    <row r="183" spans="5:22">
      <c r="E183" s="30" t="str">
        <v>kanan</v>
      </c>
      <c r="F183" s="30" t="s">
        <v>194</v>
      </c>
      <c r="G183" s="30">
        <f>-(IFERROR(G180*LOG(G180,2),0)+IFERROR(G181*LOG(G181,2),0)+IFERROR(G182*LOG(G182,2),0))</f>
        <v>1.34201921781952</v>
      </c>
      <c r="J183" s="30" t="str">
        <v>tengah</v>
      </c>
      <c r="K183" s="30" t="s">
        <v>194</v>
      </c>
      <c r="L183" s="30">
        <f>-(IFERROR(L180*LOG(L180,2),0)+IFERROR(L181*LOG(L181,2),0)+IFERROR(L182*LOG(L182,2),0))</f>
        <v>1.09613915925651</v>
      </c>
      <c r="O183" s="30" t="str">
        <v>kanan</v>
      </c>
      <c r="P183" s="30" t="s">
        <v>194</v>
      </c>
      <c r="Q183" s="30">
        <f>-(IFERROR(Q180*LOG(Q180,2),0)+IFERROR(Q181*LOG(Q181,2),0)+IFERROR(Q182*LOG(Q182,2),0))</f>
        <v>0.619382194678764</v>
      </c>
      <c r="T183" s="30" t="str">
        <v>kanan</v>
      </c>
      <c r="U183" s="30" t="s">
        <v>194</v>
      </c>
      <c r="V183" s="30">
        <f>-(IFERROR(V180*LOG(V180,2),0)+IFERROR(V181*LOG(V181,2),0)+IFERROR(V182*LOG(V182,2),0))</f>
        <v>0</v>
      </c>
    </row>
    <row r="184" spans="5:22">
      <c r="E184" s="30" t="str">
        <v>kiri</v>
      </c>
      <c r="F184" s="30"/>
      <c r="G184" s="30">
        <f>SUM(F180:F182)/163</f>
        <v>0.269938650306748</v>
      </c>
      <c r="J184" s="30" t="str">
        <v>kanan</v>
      </c>
      <c r="K184" s="30"/>
      <c r="L184" s="30">
        <f>SUM(K180:K182)/163</f>
        <v>0.202453987730061</v>
      </c>
      <c r="O184" s="30" t="str">
        <v>kiri</v>
      </c>
      <c r="P184" s="30"/>
      <c r="Q184" s="30">
        <f>SUM(P180:P182)/163</f>
        <v>0.398773006134969</v>
      </c>
      <c r="T184" s="30" t="str">
        <v>kanan</v>
      </c>
      <c r="U184" s="30"/>
      <c r="V184" s="30">
        <f>SUM(U180:U182)/163</f>
        <v>0</v>
      </c>
    </row>
    <row r="185" spans="5:22">
      <c r="E185" s="30" t="str">
        <v>tengah</v>
      </c>
      <c r="F185" s="30"/>
      <c r="G185" s="37">
        <f>G183*G184</f>
        <v>0.36226285634392</v>
      </c>
      <c r="J185" s="30" t="str">
        <v>kiri</v>
      </c>
      <c r="K185" s="30"/>
      <c r="L185" s="37">
        <f>L183*L184</f>
        <v>0.221917743898557</v>
      </c>
      <c r="O185" s="30" t="str">
        <v>kiri</v>
      </c>
      <c r="P185" s="30"/>
      <c r="Q185" s="37">
        <f>Q183*Q184</f>
        <v>0.246992899718525</v>
      </c>
      <c r="T185" s="30" t="str">
        <v>kanan</v>
      </c>
      <c r="U185" s="30"/>
      <c r="V185" s="37">
        <f>V183*V184</f>
        <v>0</v>
      </c>
    </row>
    <row r="186" spans="5:22">
      <c r="E186" s="30" t="str">
        <v>kiri</v>
      </c>
      <c r="F186" s="30"/>
      <c r="G186" s="30"/>
      <c r="J186" s="30" t="str">
        <v>kanan</v>
      </c>
      <c r="K186" s="30"/>
      <c r="L186" s="30"/>
      <c r="O186" s="30" t="str">
        <v>kiri</v>
      </c>
      <c r="P186" s="30"/>
      <c r="Q186" s="30"/>
      <c r="T186" s="30" t="str">
        <v>tengah</v>
      </c>
      <c r="U186" s="30"/>
      <c r="V186" s="30"/>
    </row>
    <row r="187" spans="5:22">
      <c r="E187" s="30" t="str">
        <v>tengah</v>
      </c>
      <c r="F187" s="30"/>
      <c r="G187" s="30"/>
      <c r="J187" s="30" t="str">
        <v>tengah</v>
      </c>
      <c r="K187" s="30"/>
      <c r="L187" s="30"/>
      <c r="O187" s="30" t="str">
        <v>kiri</v>
      </c>
      <c r="P187" s="30"/>
      <c r="Q187" s="30"/>
      <c r="T187" s="30" t="str">
        <v>tengah</v>
      </c>
      <c r="U187" s="30"/>
      <c r="V187" s="30"/>
    </row>
    <row r="188" spans="5:22">
      <c r="E188" s="30" t="str">
        <v>tengah</v>
      </c>
      <c r="F188" s="30" t="s">
        <v>199</v>
      </c>
      <c r="G188" s="30"/>
      <c r="J188" s="30" t="str">
        <v>kiri</v>
      </c>
      <c r="K188" s="30" t="s">
        <v>199</v>
      </c>
      <c r="L188" s="30"/>
      <c r="O188" s="30" t="str">
        <v>tengah</v>
      </c>
      <c r="P188" s="30" t="s">
        <v>199</v>
      </c>
      <c r="Q188" s="30"/>
      <c r="T188" s="30" t="str">
        <v>tengah</v>
      </c>
      <c r="U188" s="30" t="s">
        <v>199</v>
      </c>
      <c r="V188" s="30"/>
    </row>
    <row r="189" spans="5:22">
      <c r="E189" s="30" t="str">
        <v>kanan</v>
      </c>
      <c r="F189" s="30">
        <f t="array" ref="F189">SUMPRODUCT((E170:E332="tengah")*(M2:M164=1))</f>
        <v>6</v>
      </c>
      <c r="G189" s="30">
        <f>F189/90</f>
        <v>0.0666666666666667</v>
      </c>
      <c r="J189" s="30" t="str">
        <v>tengah</v>
      </c>
      <c r="K189" s="30">
        <f>COUNTIFS($J$170:$J$332,"Tengah",$M$2:$M$164,"1")</f>
        <v>7</v>
      </c>
      <c r="L189" s="30">
        <f>K189/96</f>
        <v>0.0729166666666667</v>
      </c>
      <c r="O189" s="30" t="str">
        <v>tengah</v>
      </c>
      <c r="P189" s="30">
        <f>COUNTIFS($O$170:$O$332,"Tengah",$M$2:$M$164,"1")</f>
        <v>0</v>
      </c>
      <c r="Q189" s="30">
        <f>P189/57</f>
        <v>0</v>
      </c>
      <c r="T189" s="30" t="str">
        <v>kanan</v>
      </c>
      <c r="U189" s="30">
        <f>COUNTIFS($T$170:$T$332,"Tengah",$M$2:$M$164,"1")</f>
        <v>5</v>
      </c>
      <c r="V189" s="30">
        <f>U189/78</f>
        <v>0.0641025641025641</v>
      </c>
    </row>
    <row r="190" spans="5:22">
      <c r="E190" s="30" t="str">
        <v>tengah</v>
      </c>
      <c r="F190" s="30">
        <f t="array" ref="F190">SUMPRODUCT((E170:E332="tengah")*(M2:M164=2))</f>
        <v>46</v>
      </c>
      <c r="G190" s="30">
        <f>F190/90</f>
        <v>0.511111111111111</v>
      </c>
      <c r="J190" s="30" t="str">
        <v>kanan</v>
      </c>
      <c r="K190" s="30">
        <f>COUNTIFS($J$170:$J$332,"Tengah",$M$2:$M$164,"2")</f>
        <v>51</v>
      </c>
      <c r="L190" s="30">
        <f t="shared" ref="L190:L191" si="9">K190/96</f>
        <v>0.53125</v>
      </c>
      <c r="O190" s="30" t="str">
        <v>tengah</v>
      </c>
      <c r="P190" s="30">
        <f>COUNTIFS($O$170:$O$332,"Tengah",$M$2:$M$164,"2")</f>
        <v>25</v>
      </c>
      <c r="Q190" s="30">
        <f t="shared" ref="Q190:Q191" si="10">P190/57</f>
        <v>0.43859649122807</v>
      </c>
      <c r="T190" s="30" t="str">
        <v>kanan</v>
      </c>
      <c r="U190" s="30">
        <f>COUNTIFS($T$170:$T$332,"Tengah",$M$2:$M$164,"2")</f>
        <v>43</v>
      </c>
      <c r="V190" s="30">
        <f t="shared" ref="V190:V191" si="11">U190/78</f>
        <v>0.551282051282051</v>
      </c>
    </row>
    <row r="191" spans="5:22">
      <c r="E191" s="30" t="str">
        <v>tengah</v>
      </c>
      <c r="F191" s="30">
        <f t="array" ref="F191">SUMPRODUCT((E170:E332="tengah")*(M2:M164=3))</f>
        <v>38</v>
      </c>
      <c r="G191" s="30">
        <f>F191/90</f>
        <v>0.422222222222222</v>
      </c>
      <c r="J191" s="30" t="str">
        <v>tengah</v>
      </c>
      <c r="K191" s="30">
        <f>COUNTIFS($J$170:$J$332,"Tengah",$M$2:$M$164,"3")</f>
        <v>38</v>
      </c>
      <c r="L191" s="30">
        <f t="shared" si="9"/>
        <v>0.395833333333333</v>
      </c>
      <c r="O191" s="30" t="str">
        <v>kiri</v>
      </c>
      <c r="P191" s="30">
        <f>COUNTIFS($O$170:$O$332,"Tengah",$M$2:$M$164,"3")</f>
        <v>32</v>
      </c>
      <c r="Q191" s="30">
        <f t="shared" si="10"/>
        <v>0.56140350877193</v>
      </c>
      <c r="T191" s="30" t="str">
        <v>kanan</v>
      </c>
      <c r="U191" s="30">
        <f>COUNTIFS($T$170:$T$332,"Tengah",$M$2:$M$164,"3")</f>
        <v>30</v>
      </c>
      <c r="V191" s="30">
        <f t="shared" si="11"/>
        <v>0.384615384615385</v>
      </c>
    </row>
    <row r="192" spans="5:22">
      <c r="E192" s="30" t="str">
        <v>tengah</v>
      </c>
      <c r="F192" s="30" t="s">
        <v>194</v>
      </c>
      <c r="G192" s="30">
        <f>-(IFERROR(G189*LOG(G189,2),0)+IFERROR(G190*LOG(G190,2),0)+IFERROR(G191*LOG(G191,2),0))</f>
        <v>1.28057675750961</v>
      </c>
      <c r="J192" s="30" t="str">
        <v>kanan</v>
      </c>
      <c r="K192" s="30" t="s">
        <v>194</v>
      </c>
      <c r="L192" s="30">
        <f>-(IFERROR(L189*LOG(L189,2),0)+IFERROR(L190*LOG(L190,2),0)+IFERROR(L191*LOG(L191,2),0))</f>
        <v>1.28947893399401</v>
      </c>
      <c r="O192" s="30" t="str">
        <v>kiri</v>
      </c>
      <c r="P192" s="30" t="s">
        <v>194</v>
      </c>
      <c r="Q192" s="30">
        <f>-(IFERROR(Q189*LOG(Q189,2),0)+IFERROR(Q190*LOG(Q190,2),0)+IFERROR(Q191*LOG(Q191,2),0))</f>
        <v>0.989093439702143</v>
      </c>
      <c r="T192" s="30" t="str">
        <v>kanan</v>
      </c>
      <c r="U192" s="30" t="s">
        <v>194</v>
      </c>
      <c r="V192" s="30">
        <f>-(IFERROR(V189*LOG(V189,2),0)+IFERROR(V190*LOG(V190,2),0)+IFERROR(V191*LOG(V191,2),0))</f>
        <v>1.25789269585093</v>
      </c>
    </row>
    <row r="193" spans="5:22">
      <c r="E193" s="30" t="str">
        <v>tengah</v>
      </c>
      <c r="F193" s="30"/>
      <c r="G193" s="30">
        <f>SUM(F189:F191)/163</f>
        <v>0.552147239263804</v>
      </c>
      <c r="J193" s="30" t="str">
        <v>kanan</v>
      </c>
      <c r="K193" s="30"/>
      <c r="L193" s="30">
        <f>SUM(K189:K191)/163</f>
        <v>0.588957055214724</v>
      </c>
      <c r="O193" s="30" t="str">
        <v>kiri</v>
      </c>
      <c r="P193" s="30"/>
      <c r="Q193" s="30">
        <f>SUM(P189:P191)/163</f>
        <v>0.349693251533742</v>
      </c>
      <c r="T193" s="30" t="str">
        <v>tengah</v>
      </c>
      <c r="U193" s="30"/>
      <c r="V193" s="30">
        <f>SUM(U189:U191)/163</f>
        <v>0.478527607361963</v>
      </c>
    </row>
    <row r="194" spans="5:22">
      <c r="E194" s="30" t="str">
        <v>tengah</v>
      </c>
      <c r="F194" s="30"/>
      <c r="G194" s="37">
        <f>G192*G193</f>
        <v>0.707066921324325</v>
      </c>
      <c r="J194" s="30" t="str">
        <v>kiri</v>
      </c>
      <c r="K194" s="30"/>
      <c r="L194" s="37">
        <f>L192*L193</f>
        <v>0.759447715726535</v>
      </c>
      <c r="O194" s="30" t="str">
        <v>kiri</v>
      </c>
      <c r="P194" s="30"/>
      <c r="Q194" s="37">
        <f>Q192*Q193</f>
        <v>0.345879301000136</v>
      </c>
      <c r="T194" s="30" t="str">
        <v>tengah</v>
      </c>
      <c r="U194" s="30"/>
      <c r="V194" s="37">
        <f>V192*V193</f>
        <v>0.601936382063637</v>
      </c>
    </row>
    <row r="195" spans="5:22">
      <c r="E195" s="30" t="str">
        <v>kiri</v>
      </c>
      <c r="F195" s="30"/>
      <c r="G195" s="30"/>
      <c r="J195" s="30" t="str">
        <v>tengah</v>
      </c>
      <c r="K195" s="30"/>
      <c r="L195" s="30"/>
      <c r="O195" s="30" t="str">
        <v>kanan</v>
      </c>
      <c r="P195" s="30"/>
      <c r="Q195" s="30"/>
      <c r="T195" s="30" t="str">
        <v>kanan</v>
      </c>
      <c r="U195" s="30"/>
      <c r="V195" s="30"/>
    </row>
    <row r="196" spans="5:22">
      <c r="E196" s="30" t="str">
        <v>kiri</v>
      </c>
      <c r="F196" s="30" t="s">
        <v>200</v>
      </c>
      <c r="G196" s="36" t="s">
        <v>194</v>
      </c>
      <c r="J196" s="30" t="str">
        <v>kanan</v>
      </c>
      <c r="K196" s="30" t="s">
        <v>200</v>
      </c>
      <c r="L196" s="36" t="s">
        <v>194</v>
      </c>
      <c r="O196" s="30" t="str">
        <v>kiri</v>
      </c>
      <c r="P196" s="30" t="s">
        <v>200</v>
      </c>
      <c r="Q196" s="36" t="s">
        <v>194</v>
      </c>
      <c r="T196" s="30" t="str">
        <v>kanan</v>
      </c>
      <c r="U196" s="30" t="s">
        <v>200</v>
      </c>
      <c r="V196" s="36" t="s">
        <v>194</v>
      </c>
    </row>
    <row r="197" spans="5:22">
      <c r="E197" s="30" t="str">
        <v>tengah</v>
      </c>
      <c r="F197" s="41">
        <f>P5-(G176+G185+G194)</f>
        <v>0.0241440583973773</v>
      </c>
      <c r="G197" s="37">
        <f>(G176+G185+G194)</f>
        <v>1.24586801400484</v>
      </c>
      <c r="J197" s="30" t="str">
        <v>tengah</v>
      </c>
      <c r="K197" s="41">
        <f>P5-(L176+L185+L194)</f>
        <v>0.0272225780056952</v>
      </c>
      <c r="L197" s="37">
        <f>(L176+L185+L194)</f>
        <v>1.24278949439652</v>
      </c>
      <c r="O197" s="30" t="str">
        <v>kanan</v>
      </c>
      <c r="P197" s="41">
        <f>P5-(Q176+Q185+Q194)</f>
        <v>0.677139871683558</v>
      </c>
      <c r="Q197" s="37">
        <f>(Q176+Q185+Q194)</f>
        <v>0.592872200718661</v>
      </c>
      <c r="T197" s="30" t="str">
        <v>kanan</v>
      </c>
      <c r="U197" s="41">
        <f>P5-(V176+V185+V194)</f>
        <v>0.0109626221373158</v>
      </c>
      <c r="V197" s="37">
        <f>(V176+V185+V194)</f>
        <v>1.2590494502649</v>
      </c>
    </row>
    <row r="198" spans="5:22">
      <c r="E198" s="30" t="str">
        <v>kanan</v>
      </c>
      <c r="F198" s="30"/>
      <c r="G198" s="30"/>
      <c r="J198" s="30" t="str">
        <v>kanan</v>
      </c>
      <c r="K198" s="30"/>
      <c r="L198" s="30"/>
      <c r="O198" s="30" t="str">
        <v>kanan</v>
      </c>
      <c r="P198" s="30"/>
      <c r="Q198" s="30"/>
      <c r="T198" s="30" t="str">
        <v>kanan</v>
      </c>
      <c r="U198" s="30"/>
      <c r="V198" s="30"/>
    </row>
    <row r="199" spans="5:22">
      <c r="E199" s="30" t="str">
        <v>tengah</v>
      </c>
      <c r="F199" s="30"/>
      <c r="G199" s="30"/>
      <c r="J199" s="30" t="str">
        <v>kanan</v>
      </c>
      <c r="K199" s="30"/>
      <c r="L199" s="30"/>
      <c r="O199" s="30" t="str">
        <v>kiri</v>
      </c>
      <c r="P199" s="30"/>
      <c r="Q199" s="30"/>
      <c r="T199" s="30" t="str">
        <v>tengah</v>
      </c>
      <c r="U199" s="30"/>
      <c r="V199" s="30"/>
    </row>
    <row r="200" spans="5:22">
      <c r="E200" s="30" t="str">
        <v>kanan</v>
      </c>
      <c r="F200" s="30"/>
      <c r="G200" s="30"/>
      <c r="J200" s="30" t="str">
        <v>kiri</v>
      </c>
      <c r="K200" s="30"/>
      <c r="L200" s="30"/>
      <c r="O200" s="30" t="str">
        <v>tengah</v>
      </c>
      <c r="P200" s="30"/>
      <c r="Q200" s="30"/>
      <c r="T200" s="30" t="str">
        <v>kanan</v>
      </c>
      <c r="U200" s="30"/>
      <c r="V200" s="30"/>
    </row>
    <row r="201" spans="5:22">
      <c r="E201" s="30" t="str">
        <v>kanan</v>
      </c>
      <c r="F201" s="30"/>
      <c r="G201" s="30"/>
      <c r="J201" s="30" t="str">
        <v>tengah</v>
      </c>
      <c r="K201" s="30"/>
      <c r="L201" s="30"/>
      <c r="O201" s="30" t="str">
        <v>tengah</v>
      </c>
      <c r="P201" s="30"/>
      <c r="Q201" s="30"/>
      <c r="T201" s="30" t="str">
        <v>tengah</v>
      </c>
      <c r="U201" s="30"/>
      <c r="V201" s="30"/>
    </row>
    <row r="202" spans="5:22">
      <c r="E202" s="30" t="str">
        <v>kanan</v>
      </c>
      <c r="F202" s="30"/>
      <c r="G202" s="30"/>
      <c r="J202" s="30" t="str">
        <v>tengah</v>
      </c>
      <c r="K202" s="30"/>
      <c r="L202" s="30"/>
      <c r="O202" s="30" t="str">
        <v>kanan</v>
      </c>
      <c r="P202" s="30"/>
      <c r="Q202" s="30"/>
      <c r="T202" s="30" t="str">
        <v>kanan</v>
      </c>
      <c r="U202" s="30"/>
      <c r="V202" s="30"/>
    </row>
    <row r="203" spans="5:22">
      <c r="E203" s="30" t="str">
        <v>kiri</v>
      </c>
      <c r="F203" s="30"/>
      <c r="G203" s="30"/>
      <c r="J203" s="30" t="str">
        <v>tengah</v>
      </c>
      <c r="K203" s="30"/>
      <c r="L203" s="30"/>
      <c r="O203" s="30" t="str">
        <v>kiri</v>
      </c>
      <c r="P203" s="30"/>
      <c r="Q203" s="30"/>
      <c r="T203" s="30" t="str">
        <v>tengah</v>
      </c>
      <c r="U203" s="30"/>
      <c r="V203" s="30"/>
    </row>
    <row r="204" spans="5:22">
      <c r="E204" s="30" t="str">
        <v>tengah</v>
      </c>
      <c r="F204" s="30"/>
      <c r="G204" s="30"/>
      <c r="J204" s="30" t="str">
        <v>tengah</v>
      </c>
      <c r="K204" s="30"/>
      <c r="L204" s="30"/>
      <c r="O204" s="30" t="str">
        <v>kiri</v>
      </c>
      <c r="P204" s="30"/>
      <c r="Q204" s="30"/>
      <c r="T204" s="30" t="str">
        <v>tengah</v>
      </c>
      <c r="U204" s="30"/>
      <c r="V204" s="30"/>
    </row>
    <row r="205" spans="5:22">
      <c r="E205" s="30" t="str">
        <v>kiri</v>
      </c>
      <c r="F205" s="30"/>
      <c r="G205" s="30"/>
      <c r="J205" s="30" t="str">
        <v>kiri</v>
      </c>
      <c r="K205" s="30"/>
      <c r="L205" s="30"/>
      <c r="O205" s="30" t="str">
        <v>kanan</v>
      </c>
      <c r="P205" s="30"/>
      <c r="Q205" s="30"/>
      <c r="T205" s="30" t="str">
        <v>tengah</v>
      </c>
      <c r="U205" s="30"/>
      <c r="V205" s="30"/>
    </row>
    <row r="206" spans="5:22">
      <c r="E206" s="30" t="str">
        <v>kiri</v>
      </c>
      <c r="F206" s="30"/>
      <c r="G206" s="30"/>
      <c r="J206" s="30" t="str">
        <v>kanan</v>
      </c>
      <c r="K206" s="30"/>
      <c r="L206" s="30"/>
      <c r="O206" s="30" t="str">
        <v>kiri</v>
      </c>
      <c r="P206" s="30"/>
      <c r="Q206" s="30"/>
      <c r="T206" s="30" t="str">
        <v>tengah</v>
      </c>
      <c r="U206" s="30"/>
      <c r="V206" s="30"/>
    </row>
    <row r="207" spans="5:22">
      <c r="E207" s="30" t="str">
        <v>tengah</v>
      </c>
      <c r="F207" s="30"/>
      <c r="G207" s="30"/>
      <c r="J207" s="30" t="str">
        <v>tengah</v>
      </c>
      <c r="K207" s="30"/>
      <c r="L207" s="30"/>
      <c r="O207" s="30" t="str">
        <v>kiri</v>
      </c>
      <c r="P207" s="30"/>
      <c r="Q207" s="30"/>
      <c r="T207" s="30" t="str">
        <v>kanan</v>
      </c>
      <c r="U207" s="30"/>
      <c r="V207" s="30"/>
    </row>
    <row r="208" spans="5:22">
      <c r="E208" s="30" t="str">
        <v>kiri</v>
      </c>
      <c r="F208" s="30"/>
      <c r="G208" s="30"/>
      <c r="J208" s="30" t="str">
        <v>tengah</v>
      </c>
      <c r="K208" s="30"/>
      <c r="L208" s="30"/>
      <c r="O208" s="30" t="str">
        <v>tengah</v>
      </c>
      <c r="P208" s="30"/>
      <c r="Q208" s="30"/>
      <c r="T208" s="30" t="str">
        <v>tengah</v>
      </c>
      <c r="U208" s="30"/>
      <c r="V208" s="30"/>
    </row>
    <row r="209" spans="5:22">
      <c r="E209" s="30" t="str">
        <v>kiri</v>
      </c>
      <c r="F209" s="30"/>
      <c r="G209" s="30"/>
      <c r="J209" s="30" t="str">
        <v>kiri</v>
      </c>
      <c r="K209" s="30"/>
      <c r="L209" s="30"/>
      <c r="O209" s="30" t="str">
        <v>kanan</v>
      </c>
      <c r="P209" s="30"/>
      <c r="Q209" s="30"/>
      <c r="T209" s="30" t="str">
        <v>tengah</v>
      </c>
      <c r="U209" s="30"/>
      <c r="V209" s="30"/>
    </row>
    <row r="210" spans="5:22">
      <c r="E210" s="30" t="str">
        <v>tengah</v>
      </c>
      <c r="F210" s="30"/>
      <c r="G210" s="30"/>
      <c r="J210" s="30" t="str">
        <v>tengah</v>
      </c>
      <c r="K210" s="30"/>
      <c r="L210" s="30"/>
      <c r="O210" s="30" t="str">
        <v>tengah</v>
      </c>
      <c r="P210" s="30"/>
      <c r="Q210" s="30"/>
      <c r="T210" s="30" t="str">
        <v>kanan</v>
      </c>
      <c r="U210" s="30"/>
      <c r="V210" s="30"/>
    </row>
    <row r="211" spans="5:22">
      <c r="E211" s="30" t="str">
        <v>kiri</v>
      </c>
      <c r="F211" s="30"/>
      <c r="G211" s="30"/>
      <c r="J211" s="30" t="str">
        <v>tengah</v>
      </c>
      <c r="K211" s="30"/>
      <c r="L211" s="30"/>
      <c r="O211" s="30" t="str">
        <v>kiri</v>
      </c>
      <c r="P211" s="30"/>
      <c r="Q211" s="30"/>
      <c r="T211" s="30" t="str">
        <v>tengah</v>
      </c>
      <c r="U211" s="30"/>
      <c r="V211" s="30"/>
    </row>
    <row r="212" spans="5:22">
      <c r="E212" s="30" t="str">
        <v>tengah</v>
      </c>
      <c r="F212" s="30"/>
      <c r="G212" s="30"/>
      <c r="J212" s="30" t="str">
        <v>tengah</v>
      </c>
      <c r="K212" s="30"/>
      <c r="L212" s="30"/>
      <c r="O212" s="30" t="str">
        <v>kiri</v>
      </c>
      <c r="P212" s="30"/>
      <c r="Q212" s="30"/>
      <c r="T212" s="30" t="str">
        <v>kanan</v>
      </c>
      <c r="U212" s="30"/>
      <c r="V212" s="30"/>
    </row>
    <row r="213" spans="5:22">
      <c r="E213" s="30" t="str">
        <v>kiri</v>
      </c>
      <c r="F213" s="30"/>
      <c r="G213" s="30"/>
      <c r="J213" s="30" t="str">
        <v>tengah</v>
      </c>
      <c r="K213" s="30"/>
      <c r="L213" s="30"/>
      <c r="O213" s="30" t="str">
        <v>tengah</v>
      </c>
      <c r="P213" s="30"/>
      <c r="Q213" s="30"/>
      <c r="T213" s="30" t="str">
        <v>kanan</v>
      </c>
      <c r="U213" s="30"/>
      <c r="V213" s="30"/>
    </row>
    <row r="214" spans="5:22">
      <c r="E214" s="30" t="str">
        <v>tengah</v>
      </c>
      <c r="F214" s="30"/>
      <c r="G214" s="30"/>
      <c r="J214" s="30" t="str">
        <v>kiri</v>
      </c>
      <c r="K214" s="30"/>
      <c r="L214" s="30"/>
      <c r="O214" s="30" t="str">
        <v>tengah</v>
      </c>
      <c r="P214" s="30"/>
      <c r="Q214" s="30"/>
      <c r="T214" s="30" t="str">
        <v>kanan</v>
      </c>
      <c r="U214" s="30"/>
      <c r="V214" s="30"/>
    </row>
    <row r="215" spans="5:22">
      <c r="E215" s="30" t="str">
        <v>tengah</v>
      </c>
      <c r="F215" s="30"/>
      <c r="G215" s="30"/>
      <c r="J215" s="30" t="str">
        <v>tengah</v>
      </c>
      <c r="K215" s="30"/>
      <c r="L215" s="30"/>
      <c r="O215" s="30" t="str">
        <v>tengah</v>
      </c>
      <c r="P215" s="30"/>
      <c r="Q215" s="30"/>
      <c r="T215" s="30" t="str">
        <v>tengah</v>
      </c>
      <c r="U215" s="30"/>
      <c r="V215" s="30"/>
    </row>
    <row r="216" spans="5:22">
      <c r="E216" s="30" t="str">
        <v>kiri</v>
      </c>
      <c r="F216" s="30"/>
      <c r="G216" s="30"/>
      <c r="J216" s="30" t="str">
        <v>kiri</v>
      </c>
      <c r="K216" s="30"/>
      <c r="L216" s="30"/>
      <c r="O216" s="30" t="str">
        <v>tengah</v>
      </c>
      <c r="P216" s="30"/>
      <c r="Q216" s="30"/>
      <c r="T216" s="30" t="str">
        <v>tengah</v>
      </c>
      <c r="U216" s="30"/>
      <c r="V216" s="30"/>
    </row>
    <row r="217" spans="5:22">
      <c r="E217" s="30" t="str">
        <v>tengah</v>
      </c>
      <c r="F217" s="30"/>
      <c r="G217" s="30"/>
      <c r="J217" s="30" t="str">
        <v>kanan</v>
      </c>
      <c r="K217" s="30"/>
      <c r="L217" s="30"/>
      <c r="O217" s="30" t="str">
        <v>kanan</v>
      </c>
      <c r="P217" s="30"/>
      <c r="Q217" s="30"/>
      <c r="T217" s="30" t="str">
        <v>tengah</v>
      </c>
      <c r="U217" s="30"/>
      <c r="V217" s="30"/>
    </row>
    <row r="218" spans="5:22">
      <c r="E218" s="30" t="str">
        <v>kiri</v>
      </c>
      <c r="F218" s="30"/>
      <c r="G218" s="30"/>
      <c r="J218" s="30" t="str">
        <v>kiri</v>
      </c>
      <c r="K218" s="30"/>
      <c r="L218" s="30"/>
      <c r="O218" s="30" t="str">
        <v>kiri</v>
      </c>
      <c r="P218" s="30"/>
      <c r="Q218" s="30"/>
      <c r="T218" s="30" t="str">
        <v>kanan</v>
      </c>
      <c r="U218" s="30"/>
      <c r="V218" s="30"/>
    </row>
    <row r="219" spans="5:22">
      <c r="E219" s="30" t="str">
        <v>tengah</v>
      </c>
      <c r="F219" s="30"/>
      <c r="G219" s="30"/>
      <c r="J219" s="30" t="str">
        <v>tengah</v>
      </c>
      <c r="K219" s="30"/>
      <c r="L219" s="30"/>
      <c r="O219" s="30" t="str">
        <v>tengah</v>
      </c>
      <c r="P219" s="30"/>
      <c r="Q219" s="30"/>
      <c r="T219" s="30" t="str">
        <v>tengah</v>
      </c>
      <c r="U219" s="30"/>
      <c r="V219" s="30"/>
    </row>
    <row r="220" spans="5:22">
      <c r="E220" s="30" t="str">
        <v>kiri</v>
      </c>
      <c r="F220" s="30"/>
      <c r="G220" s="30"/>
      <c r="J220" s="30" t="str">
        <v>kanan</v>
      </c>
      <c r="K220" s="30"/>
      <c r="L220" s="30"/>
      <c r="O220" s="30" t="str">
        <v>kiri</v>
      </c>
      <c r="P220" s="30"/>
      <c r="Q220" s="30"/>
      <c r="T220" s="30" t="str">
        <v>kanan</v>
      </c>
      <c r="U220" s="30"/>
      <c r="V220" s="30"/>
    </row>
    <row r="221" spans="5:22">
      <c r="E221" s="30" t="str">
        <v>tengah</v>
      </c>
      <c r="F221" s="30"/>
      <c r="G221" s="30"/>
      <c r="J221" s="30" t="str">
        <v>tengah</v>
      </c>
      <c r="K221" s="30"/>
      <c r="L221" s="30"/>
      <c r="O221" s="30" t="str">
        <v>tengah</v>
      </c>
      <c r="P221" s="30"/>
      <c r="Q221" s="30"/>
      <c r="T221" s="30" t="str">
        <v>kanan</v>
      </c>
      <c r="U221" s="30"/>
      <c r="V221" s="30"/>
    </row>
    <row r="222" spans="5:22">
      <c r="E222" s="30" t="str">
        <v>kanan</v>
      </c>
      <c r="F222" s="30"/>
      <c r="G222" s="30"/>
      <c r="J222" s="30" t="str">
        <v>tengah</v>
      </c>
      <c r="K222" s="30"/>
      <c r="L222" s="30"/>
      <c r="O222" s="30" t="str">
        <v>kanan</v>
      </c>
      <c r="P222" s="30"/>
      <c r="Q222" s="30"/>
      <c r="T222" s="30" t="str">
        <v>kanan</v>
      </c>
      <c r="U222" s="30"/>
      <c r="V222" s="30"/>
    </row>
    <row r="223" spans="5:22">
      <c r="E223" s="30" t="str">
        <v>tengah</v>
      </c>
      <c r="F223" s="30"/>
      <c r="G223" s="30"/>
      <c r="J223" s="30" t="str">
        <v>tengah</v>
      </c>
      <c r="K223" s="30"/>
      <c r="L223" s="30"/>
      <c r="O223" s="30" t="str">
        <v>kiri</v>
      </c>
      <c r="P223" s="30"/>
      <c r="Q223" s="30"/>
      <c r="T223" s="30" t="str">
        <v>tengah</v>
      </c>
      <c r="U223" s="30"/>
      <c r="V223" s="30"/>
    </row>
    <row r="224" spans="5:22">
      <c r="E224" s="30" t="str">
        <v>kiri</v>
      </c>
      <c r="F224" s="30"/>
      <c r="G224" s="30"/>
      <c r="J224" s="30" t="str">
        <v>tengah</v>
      </c>
      <c r="K224" s="30"/>
      <c r="L224" s="30"/>
      <c r="O224" s="30" t="str">
        <v>tengah</v>
      </c>
      <c r="P224" s="30"/>
      <c r="Q224" s="30"/>
      <c r="T224" s="30" t="str">
        <v>tengah</v>
      </c>
      <c r="U224" s="30"/>
      <c r="V224" s="30"/>
    </row>
    <row r="225" spans="5:22">
      <c r="E225" s="30" t="str">
        <v>tengah</v>
      </c>
      <c r="F225" s="30"/>
      <c r="G225" s="30"/>
      <c r="J225" s="30" t="str">
        <v>tengah</v>
      </c>
      <c r="K225" s="30"/>
      <c r="L225" s="30"/>
      <c r="O225" s="30" t="str">
        <v>tengah</v>
      </c>
      <c r="P225" s="30"/>
      <c r="Q225" s="30"/>
      <c r="T225" s="30" t="str">
        <v>tengah</v>
      </c>
      <c r="U225" s="30"/>
      <c r="V225" s="30"/>
    </row>
    <row r="226" spans="5:22">
      <c r="E226" s="30" t="str">
        <v>tengah</v>
      </c>
      <c r="F226" s="30"/>
      <c r="G226" s="30"/>
      <c r="J226" s="30" t="str">
        <v>tengah</v>
      </c>
      <c r="K226" s="30"/>
      <c r="L226" s="30"/>
      <c r="O226" s="30" t="str">
        <v>kiri</v>
      </c>
      <c r="P226" s="30"/>
      <c r="Q226" s="30"/>
      <c r="T226" s="30" t="str">
        <v>tengah</v>
      </c>
      <c r="U226" s="30"/>
      <c r="V226" s="30"/>
    </row>
    <row r="227" spans="5:22">
      <c r="E227" s="30" t="str">
        <v>tengah</v>
      </c>
      <c r="F227" s="30"/>
      <c r="G227" s="30"/>
      <c r="J227" s="30" t="str">
        <v>tengah</v>
      </c>
      <c r="K227" s="30"/>
      <c r="L227" s="30"/>
      <c r="O227" s="30" t="str">
        <v>tengah</v>
      </c>
      <c r="P227" s="30"/>
      <c r="Q227" s="30"/>
      <c r="T227" s="30" t="str">
        <v>tengah</v>
      </c>
      <c r="U227" s="30"/>
      <c r="V227" s="30"/>
    </row>
    <row r="228" spans="5:22">
      <c r="E228" s="30" t="str">
        <v>tengah</v>
      </c>
      <c r="F228" s="30"/>
      <c r="G228" s="30"/>
      <c r="J228" s="30" t="str">
        <v>tengah</v>
      </c>
      <c r="K228" s="30"/>
      <c r="L228" s="30"/>
      <c r="O228" s="30" t="str">
        <v>tengah</v>
      </c>
      <c r="P228" s="30"/>
      <c r="Q228" s="30"/>
      <c r="T228" s="30" t="str">
        <v>kanan</v>
      </c>
      <c r="U228" s="30"/>
      <c r="V228" s="30"/>
    </row>
    <row r="229" spans="5:22">
      <c r="E229" s="30" t="str">
        <v>kiri</v>
      </c>
      <c r="F229" s="30"/>
      <c r="G229" s="30"/>
      <c r="J229" s="30" t="str">
        <v>tengah</v>
      </c>
      <c r="K229" s="30"/>
      <c r="L229" s="30"/>
      <c r="O229" s="30" t="str">
        <v>kiri</v>
      </c>
      <c r="P229" s="30"/>
      <c r="Q229" s="30"/>
      <c r="T229" s="30" t="str">
        <v>tengah</v>
      </c>
      <c r="U229" s="30"/>
      <c r="V229" s="30"/>
    </row>
    <row r="230" spans="5:22">
      <c r="E230" s="30" t="str">
        <v>kiri</v>
      </c>
      <c r="F230" s="30"/>
      <c r="G230" s="30"/>
      <c r="J230" s="30" t="str">
        <v>tengah</v>
      </c>
      <c r="K230" s="30"/>
      <c r="L230" s="30"/>
      <c r="O230" s="30" t="str">
        <v>kiri</v>
      </c>
      <c r="P230" s="30"/>
      <c r="Q230" s="30"/>
      <c r="T230" s="30" t="str">
        <v>tengah</v>
      </c>
      <c r="U230" s="30"/>
      <c r="V230" s="30"/>
    </row>
    <row r="231" spans="5:22">
      <c r="E231" s="30" t="str">
        <v>tengah</v>
      </c>
      <c r="F231" s="30"/>
      <c r="G231" s="30"/>
      <c r="J231" s="30" t="str">
        <v>tengah</v>
      </c>
      <c r="K231" s="30"/>
      <c r="L231" s="30"/>
      <c r="O231" s="30" t="str">
        <v>kanan</v>
      </c>
      <c r="P231" s="30"/>
      <c r="Q231" s="30"/>
      <c r="T231" s="30" t="str">
        <v>kanan</v>
      </c>
      <c r="U231" s="30"/>
      <c r="V231" s="30"/>
    </row>
    <row r="232" spans="5:22">
      <c r="E232" s="30" t="str">
        <v>kiri</v>
      </c>
      <c r="F232" s="30"/>
      <c r="G232" s="30"/>
      <c r="J232" s="30" t="str">
        <v>kiri</v>
      </c>
      <c r="K232" s="30"/>
      <c r="L232" s="30"/>
      <c r="O232" s="30" t="str">
        <v>tengah</v>
      </c>
      <c r="P232" s="30"/>
      <c r="Q232" s="30"/>
      <c r="T232" s="30" t="str">
        <v>kanan</v>
      </c>
      <c r="U232" s="30"/>
      <c r="V232" s="30"/>
    </row>
    <row r="233" spans="5:22">
      <c r="E233" s="30" t="str">
        <v>kanan</v>
      </c>
      <c r="F233" s="30"/>
      <c r="G233" s="30"/>
      <c r="J233" s="30" t="str">
        <v>tengah</v>
      </c>
      <c r="K233" s="30"/>
      <c r="L233" s="30"/>
      <c r="O233" s="30" t="str">
        <v>kiri</v>
      </c>
      <c r="P233" s="30"/>
      <c r="Q233" s="30"/>
      <c r="T233" s="30" t="str">
        <v>tengah</v>
      </c>
      <c r="U233" s="30"/>
      <c r="V233" s="30"/>
    </row>
    <row r="234" spans="5:22">
      <c r="E234" s="30" t="str">
        <v>tengah</v>
      </c>
      <c r="F234" s="30"/>
      <c r="G234" s="30"/>
      <c r="J234" s="30" t="str">
        <v>kanan</v>
      </c>
      <c r="K234" s="30"/>
      <c r="L234" s="30"/>
      <c r="O234" s="30" t="str">
        <v>kiri</v>
      </c>
      <c r="P234" s="30"/>
      <c r="Q234" s="30"/>
      <c r="T234" s="30" t="str">
        <v>kanan</v>
      </c>
      <c r="U234" s="30"/>
      <c r="V234" s="30"/>
    </row>
    <row r="235" spans="5:22">
      <c r="E235" s="30" t="str">
        <v>kanan</v>
      </c>
      <c r="F235" s="30"/>
      <c r="G235" s="30"/>
      <c r="J235" s="30" t="str">
        <v>tengah</v>
      </c>
      <c r="K235" s="30"/>
      <c r="L235" s="30"/>
      <c r="O235" s="30" t="str">
        <v>tengah</v>
      </c>
      <c r="P235" s="30"/>
      <c r="Q235" s="30"/>
      <c r="T235" s="30" t="str">
        <v>tengah</v>
      </c>
      <c r="U235" s="30"/>
      <c r="V235" s="30"/>
    </row>
    <row r="236" spans="5:22">
      <c r="E236" s="30" t="str">
        <v>tengah</v>
      </c>
      <c r="F236" s="30"/>
      <c r="G236" s="30"/>
      <c r="J236" s="30" t="str">
        <v>kanan</v>
      </c>
      <c r="K236" s="30"/>
      <c r="L236" s="30"/>
      <c r="O236" s="30" t="str">
        <v>tengah</v>
      </c>
      <c r="P236" s="30"/>
      <c r="Q236" s="30"/>
      <c r="T236" s="30" t="str">
        <v>kanan</v>
      </c>
      <c r="U236" s="30"/>
      <c r="V236" s="30"/>
    </row>
    <row r="237" spans="5:22">
      <c r="E237" s="30" t="str">
        <v>tengah</v>
      </c>
      <c r="F237" s="30"/>
      <c r="G237" s="30"/>
      <c r="J237" s="30" t="str">
        <v>tengah</v>
      </c>
      <c r="K237" s="30"/>
      <c r="L237" s="30"/>
      <c r="O237" s="30" t="str">
        <v>tengah</v>
      </c>
      <c r="P237" s="30"/>
      <c r="Q237" s="30"/>
      <c r="T237" s="30" t="str">
        <v>tengah</v>
      </c>
      <c r="U237" s="30"/>
      <c r="V237" s="30"/>
    </row>
    <row r="238" spans="5:22">
      <c r="E238" s="30" t="str">
        <v>kanan</v>
      </c>
      <c r="F238" s="30"/>
      <c r="G238" s="30"/>
      <c r="J238" s="30" t="str">
        <v>tengah</v>
      </c>
      <c r="K238" s="30"/>
      <c r="L238" s="30"/>
      <c r="O238" s="30" t="str">
        <v>kanan</v>
      </c>
      <c r="P238" s="30"/>
      <c r="Q238" s="30"/>
      <c r="T238" s="30" t="str">
        <v>kanan</v>
      </c>
      <c r="U238" s="30"/>
      <c r="V238" s="30"/>
    </row>
    <row r="239" spans="5:22">
      <c r="E239" s="30" t="str">
        <v>tengah</v>
      </c>
      <c r="F239" s="30"/>
      <c r="G239" s="30"/>
      <c r="J239" s="30" t="str">
        <v>tengah</v>
      </c>
      <c r="K239" s="30"/>
      <c r="L239" s="30"/>
      <c r="O239" s="30" t="str">
        <v>kanan</v>
      </c>
      <c r="P239" s="30"/>
      <c r="Q239" s="30"/>
      <c r="T239" s="30" t="str">
        <v>kanan</v>
      </c>
      <c r="U239" s="30"/>
      <c r="V239" s="30"/>
    </row>
    <row r="240" spans="5:22">
      <c r="E240" s="30" t="str">
        <v>kiri</v>
      </c>
      <c r="F240" s="30"/>
      <c r="G240" s="30"/>
      <c r="J240" s="30" t="str">
        <v>tengah</v>
      </c>
      <c r="K240" s="30"/>
      <c r="L240" s="30"/>
      <c r="O240" s="30" t="str">
        <v>kiri</v>
      </c>
      <c r="P240" s="30"/>
      <c r="Q240" s="30"/>
      <c r="T240" s="30" t="str">
        <v>tengah</v>
      </c>
      <c r="U240" s="30"/>
      <c r="V240" s="30"/>
    </row>
    <row r="241" spans="5:22">
      <c r="E241" s="30" t="str">
        <v>tengah</v>
      </c>
      <c r="F241" s="30"/>
      <c r="G241" s="30"/>
      <c r="J241" s="30" t="str">
        <v>tengah</v>
      </c>
      <c r="K241" s="30"/>
      <c r="L241" s="30"/>
      <c r="O241" s="30" t="str">
        <v>kanan</v>
      </c>
      <c r="P241" s="30"/>
      <c r="Q241" s="30"/>
      <c r="T241" s="30" t="str">
        <v>kanan</v>
      </c>
      <c r="U241" s="30"/>
      <c r="V241" s="30"/>
    </row>
    <row r="242" spans="5:22">
      <c r="E242" s="30" t="str">
        <v>kiri</v>
      </c>
      <c r="F242" s="30"/>
      <c r="G242" s="30"/>
      <c r="J242" s="30" t="str">
        <v>kiri</v>
      </c>
      <c r="K242" s="30"/>
      <c r="L242" s="30"/>
      <c r="O242" s="30" t="str">
        <v>tengah</v>
      </c>
      <c r="P242" s="30"/>
      <c r="Q242" s="30"/>
      <c r="T242" s="30" t="str">
        <v>tengah</v>
      </c>
      <c r="U242" s="30"/>
      <c r="V242" s="30"/>
    </row>
    <row r="243" spans="5:22">
      <c r="E243" s="30" t="str">
        <v>tengah</v>
      </c>
      <c r="F243" s="30"/>
      <c r="G243" s="30"/>
      <c r="J243" s="30" t="str">
        <v>tengah</v>
      </c>
      <c r="K243" s="30"/>
      <c r="L243" s="30"/>
      <c r="O243" s="30" t="str">
        <v>tengah</v>
      </c>
      <c r="P243" s="30"/>
      <c r="Q243" s="30"/>
      <c r="T243" s="30" t="str">
        <v>tengah</v>
      </c>
      <c r="U243" s="30"/>
      <c r="V243" s="30"/>
    </row>
    <row r="244" spans="5:22">
      <c r="E244" s="30" t="str">
        <v>kiri</v>
      </c>
      <c r="F244" s="30"/>
      <c r="G244" s="30"/>
      <c r="J244" s="30" t="str">
        <v>kiri</v>
      </c>
      <c r="K244" s="30"/>
      <c r="L244" s="30"/>
      <c r="O244" s="30" t="str">
        <v>kanan</v>
      </c>
      <c r="P244" s="30"/>
      <c r="Q244" s="30"/>
      <c r="T244" s="30" t="str">
        <v>kanan</v>
      </c>
      <c r="U244" s="30"/>
      <c r="V244" s="30"/>
    </row>
    <row r="245" spans="5:22">
      <c r="E245" s="30" t="str">
        <v>tengah</v>
      </c>
      <c r="F245" s="30"/>
      <c r="G245" s="30"/>
      <c r="J245" s="30" t="str">
        <v>tengah</v>
      </c>
      <c r="K245" s="30"/>
      <c r="L245" s="30"/>
      <c r="O245" s="30" t="str">
        <v>kiri</v>
      </c>
      <c r="P245" s="30"/>
      <c r="Q245" s="30"/>
      <c r="T245" s="30" t="str">
        <v>tengah</v>
      </c>
      <c r="U245" s="30"/>
      <c r="V245" s="30"/>
    </row>
    <row r="246" spans="5:22">
      <c r="E246" s="30" t="str">
        <v>tengah</v>
      </c>
      <c r="F246" s="30"/>
      <c r="G246" s="30"/>
      <c r="J246" s="30" t="str">
        <v>tengah</v>
      </c>
      <c r="K246" s="30"/>
      <c r="L246" s="30"/>
      <c r="O246" s="30" t="str">
        <v>kanan</v>
      </c>
      <c r="P246" s="30"/>
      <c r="Q246" s="30"/>
      <c r="T246" s="30" t="str">
        <v>kanan</v>
      </c>
      <c r="U246" s="30"/>
      <c r="V246" s="30"/>
    </row>
    <row r="247" spans="5:22">
      <c r="E247" s="30" t="str">
        <v>tengah</v>
      </c>
      <c r="F247" s="30"/>
      <c r="G247" s="30"/>
      <c r="J247" s="30" t="str">
        <v>kiri</v>
      </c>
      <c r="K247" s="30"/>
      <c r="L247" s="30"/>
      <c r="O247" s="30" t="str">
        <v>tengah</v>
      </c>
      <c r="P247" s="30"/>
      <c r="Q247" s="30"/>
      <c r="T247" s="30" t="str">
        <v>kanan</v>
      </c>
      <c r="U247" s="30"/>
      <c r="V247" s="30"/>
    </row>
    <row r="248" spans="5:22">
      <c r="E248" s="30" t="str">
        <v>tengah</v>
      </c>
      <c r="F248" s="30"/>
      <c r="G248" s="30"/>
      <c r="J248" s="30" t="str">
        <v>tengah</v>
      </c>
      <c r="K248" s="30"/>
      <c r="L248" s="30"/>
      <c r="O248" s="30" t="str">
        <v>kanan</v>
      </c>
      <c r="P248" s="30"/>
      <c r="Q248" s="30"/>
      <c r="T248" s="30" t="str">
        <v>kanan</v>
      </c>
      <c r="U248" s="30"/>
      <c r="V248" s="30"/>
    </row>
    <row r="249" spans="5:22">
      <c r="E249" s="30" t="str">
        <v>tengah</v>
      </c>
      <c r="F249" s="30"/>
      <c r="G249" s="30"/>
      <c r="J249" s="30" t="str">
        <v>kanan</v>
      </c>
      <c r="K249" s="30"/>
      <c r="L249" s="30"/>
      <c r="O249" s="30" t="str">
        <v>tengah</v>
      </c>
      <c r="P249" s="30"/>
      <c r="Q249" s="30"/>
      <c r="T249" s="30" t="str">
        <v>tengah</v>
      </c>
      <c r="U249" s="30"/>
      <c r="V249" s="30"/>
    </row>
    <row r="250" spans="5:22">
      <c r="E250" s="30" t="str">
        <v>tengah</v>
      </c>
      <c r="F250" s="30"/>
      <c r="G250" s="30"/>
      <c r="J250" s="30" t="str">
        <v>tengah</v>
      </c>
      <c r="K250" s="30"/>
      <c r="L250" s="30"/>
      <c r="O250" s="30" t="str">
        <v>kiri</v>
      </c>
      <c r="P250" s="30"/>
      <c r="Q250" s="30"/>
      <c r="T250" s="30" t="str">
        <v>tengah</v>
      </c>
      <c r="U250" s="30"/>
      <c r="V250" s="30"/>
    </row>
    <row r="251" spans="5:22">
      <c r="E251" s="30" t="str">
        <v>tengah</v>
      </c>
      <c r="F251" s="30"/>
      <c r="G251" s="30"/>
      <c r="J251" s="30" t="str">
        <v>tengah</v>
      </c>
      <c r="K251" s="30"/>
      <c r="L251" s="30"/>
      <c r="O251" s="30" t="str">
        <v>kiri</v>
      </c>
      <c r="P251" s="30"/>
      <c r="Q251" s="30"/>
      <c r="T251" s="30" t="str">
        <v>kanan</v>
      </c>
      <c r="U251" s="30"/>
      <c r="V251" s="30"/>
    </row>
    <row r="252" spans="5:22">
      <c r="E252" s="30" t="str">
        <v>tengah</v>
      </c>
      <c r="F252" s="30"/>
      <c r="G252" s="30"/>
      <c r="J252" s="30" t="str">
        <v>tengah</v>
      </c>
      <c r="K252" s="30"/>
      <c r="L252" s="30"/>
      <c r="O252" s="30" t="str">
        <v>kiri</v>
      </c>
      <c r="P252" s="30"/>
      <c r="Q252" s="30"/>
      <c r="T252" s="30" t="str">
        <v>kanan</v>
      </c>
      <c r="U252" s="30"/>
      <c r="V252" s="30"/>
    </row>
    <row r="253" spans="5:22">
      <c r="E253" s="30" t="str">
        <v>tengah</v>
      </c>
      <c r="F253" s="30"/>
      <c r="G253" s="30"/>
      <c r="J253" s="30" t="str">
        <v>tengah</v>
      </c>
      <c r="K253" s="30"/>
      <c r="L253" s="30"/>
      <c r="O253" s="30" t="str">
        <v>tengah</v>
      </c>
      <c r="P253" s="30"/>
      <c r="Q253" s="30"/>
      <c r="T253" s="30" t="str">
        <v>tengah</v>
      </c>
      <c r="U253" s="30"/>
      <c r="V253" s="30"/>
    </row>
    <row r="254" spans="5:22">
      <c r="E254" s="30" t="str">
        <v>kanan</v>
      </c>
      <c r="F254" s="30"/>
      <c r="G254" s="30"/>
      <c r="J254" s="30" t="str">
        <v>tengah</v>
      </c>
      <c r="K254" s="30"/>
      <c r="L254" s="30"/>
      <c r="O254" s="30" t="str">
        <v>tengah</v>
      </c>
      <c r="P254" s="30"/>
      <c r="Q254" s="30"/>
      <c r="T254" s="30" t="str">
        <v>tengah</v>
      </c>
      <c r="U254" s="30"/>
      <c r="V254" s="30"/>
    </row>
    <row r="255" spans="5:22">
      <c r="E255" s="30" t="str">
        <v>tengah</v>
      </c>
      <c r="F255" s="30"/>
      <c r="G255" s="30"/>
      <c r="J255" s="30" t="str">
        <v>tengah</v>
      </c>
      <c r="K255" s="30"/>
      <c r="L255" s="30"/>
      <c r="O255" s="30" t="str">
        <v>kiri</v>
      </c>
      <c r="P255" s="30"/>
      <c r="Q255" s="30"/>
      <c r="T255" s="30" t="str">
        <v>tengah</v>
      </c>
      <c r="U255" s="30"/>
      <c r="V255" s="30"/>
    </row>
    <row r="256" spans="5:22">
      <c r="E256" s="30" t="str">
        <v>kanan</v>
      </c>
      <c r="F256" s="30"/>
      <c r="G256" s="30"/>
      <c r="J256" s="30" t="str">
        <v>kanan</v>
      </c>
      <c r="K256" s="30"/>
      <c r="L256" s="30"/>
      <c r="O256" s="30" t="str">
        <v>kanan</v>
      </c>
      <c r="P256" s="30"/>
      <c r="Q256" s="30"/>
      <c r="T256" s="30" t="str">
        <v>kanan</v>
      </c>
      <c r="U256" s="30"/>
      <c r="V256" s="30"/>
    </row>
    <row r="257" spans="5:22">
      <c r="E257" s="30" t="str">
        <v>tengah</v>
      </c>
      <c r="F257" s="30"/>
      <c r="G257" s="30"/>
      <c r="J257" s="30" t="str">
        <v>kanan</v>
      </c>
      <c r="K257" s="30"/>
      <c r="L257" s="30"/>
      <c r="O257" s="30" t="str">
        <v>kiri</v>
      </c>
      <c r="P257" s="30"/>
      <c r="Q257" s="30"/>
      <c r="T257" s="30" t="str">
        <v>tengah</v>
      </c>
      <c r="U257" s="30"/>
      <c r="V257" s="30"/>
    </row>
    <row r="258" spans="5:22">
      <c r="E258" s="30" t="str">
        <v>kiri</v>
      </c>
      <c r="F258" s="30"/>
      <c r="G258" s="30"/>
      <c r="J258" s="30" t="str">
        <v>kiri</v>
      </c>
      <c r="K258" s="30"/>
      <c r="L258" s="30"/>
      <c r="O258" s="30" t="str">
        <v>tengah</v>
      </c>
      <c r="P258" s="30"/>
      <c r="Q258" s="30"/>
      <c r="T258" s="30" t="str">
        <v>kanan</v>
      </c>
      <c r="U258" s="30"/>
      <c r="V258" s="30"/>
    </row>
    <row r="259" spans="5:22">
      <c r="E259" s="30" t="str">
        <v>kanan</v>
      </c>
      <c r="F259" s="30"/>
      <c r="G259" s="30"/>
      <c r="J259" s="30" t="str">
        <v>tengah</v>
      </c>
      <c r="K259" s="30"/>
      <c r="L259" s="30"/>
      <c r="O259" s="30" t="str">
        <v>tengah</v>
      </c>
      <c r="P259" s="30"/>
      <c r="Q259" s="30"/>
      <c r="T259" s="30" t="str">
        <v>kanan</v>
      </c>
      <c r="U259" s="30"/>
      <c r="V259" s="30"/>
    </row>
    <row r="260" spans="5:22">
      <c r="E260" s="30" t="str">
        <v>kiri</v>
      </c>
      <c r="F260" s="30"/>
      <c r="G260" s="30"/>
      <c r="J260" s="30" t="str">
        <v>kanan</v>
      </c>
      <c r="K260" s="30"/>
      <c r="L260" s="30"/>
      <c r="O260" s="30" t="str">
        <v>kiri</v>
      </c>
      <c r="P260" s="30"/>
      <c r="Q260" s="30"/>
      <c r="T260" s="30" t="str">
        <v>kanan</v>
      </c>
      <c r="U260" s="30"/>
      <c r="V260" s="30"/>
    </row>
    <row r="261" spans="5:22">
      <c r="E261" s="30" t="str">
        <v>tengah</v>
      </c>
      <c r="F261" s="30"/>
      <c r="G261" s="30"/>
      <c r="J261" s="30" t="str">
        <v>tengah</v>
      </c>
      <c r="K261" s="30"/>
      <c r="L261" s="30"/>
      <c r="O261" s="30" t="str">
        <v>kanan</v>
      </c>
      <c r="P261" s="30"/>
      <c r="Q261" s="30"/>
      <c r="T261" s="30" t="str">
        <v>tengah</v>
      </c>
      <c r="U261" s="30"/>
      <c r="V261" s="30"/>
    </row>
    <row r="262" spans="5:22">
      <c r="E262" s="30" t="str">
        <v>tengah</v>
      </c>
      <c r="F262" s="30"/>
      <c r="G262" s="30"/>
      <c r="J262" s="30" t="str">
        <v>tengah</v>
      </c>
      <c r="K262" s="30"/>
      <c r="L262" s="30"/>
      <c r="O262" s="30" t="str">
        <v>tengah</v>
      </c>
      <c r="P262" s="30"/>
      <c r="Q262" s="30"/>
      <c r="T262" s="30" t="str">
        <v>tengah</v>
      </c>
      <c r="U262" s="30"/>
      <c r="V262" s="30"/>
    </row>
    <row r="263" spans="5:22">
      <c r="E263" s="30" t="str">
        <v>tengah</v>
      </c>
      <c r="F263" s="30"/>
      <c r="G263" s="30"/>
      <c r="J263" s="30" t="str">
        <v>kanan</v>
      </c>
      <c r="K263" s="30"/>
      <c r="L263" s="30"/>
      <c r="O263" s="30" t="str">
        <v>tengah</v>
      </c>
      <c r="P263" s="30"/>
      <c r="Q263" s="30"/>
      <c r="T263" s="30" t="str">
        <v>tengah</v>
      </c>
      <c r="U263" s="30"/>
      <c r="V263" s="30"/>
    </row>
    <row r="264" spans="5:22">
      <c r="E264" s="30" t="str">
        <v>tengah</v>
      </c>
      <c r="F264" s="30"/>
      <c r="G264" s="30"/>
      <c r="J264" s="30" t="str">
        <v>kiri</v>
      </c>
      <c r="K264" s="30"/>
      <c r="L264" s="30"/>
      <c r="O264" s="30" t="str">
        <v>kanan</v>
      </c>
      <c r="P264" s="30"/>
      <c r="Q264" s="30"/>
      <c r="T264" s="30" t="str">
        <v>kanan</v>
      </c>
      <c r="U264" s="30"/>
      <c r="V264" s="30"/>
    </row>
    <row r="265" spans="5:22">
      <c r="E265" s="30" t="str">
        <v>tengah</v>
      </c>
      <c r="F265" s="30"/>
      <c r="G265" s="30"/>
      <c r="J265" s="30" t="str">
        <v>tengah</v>
      </c>
      <c r="K265" s="30"/>
      <c r="L265" s="30"/>
      <c r="O265" s="30" t="str">
        <v>kiri</v>
      </c>
      <c r="P265" s="30"/>
      <c r="Q265" s="30"/>
      <c r="T265" s="30" t="str">
        <v>kanan</v>
      </c>
      <c r="U265" s="30"/>
      <c r="V265" s="30"/>
    </row>
    <row r="266" spans="5:22">
      <c r="E266" s="30" t="str">
        <v>tengah</v>
      </c>
      <c r="F266" s="30"/>
      <c r="G266" s="30"/>
      <c r="J266" s="30" t="str">
        <v>tengah</v>
      </c>
      <c r="K266" s="30"/>
      <c r="L266" s="30"/>
      <c r="O266" s="30" t="str">
        <v>tengah</v>
      </c>
      <c r="P266" s="30"/>
      <c r="Q266" s="30"/>
      <c r="T266" s="30" t="str">
        <v>tengah</v>
      </c>
      <c r="U266" s="30"/>
      <c r="V266" s="30"/>
    </row>
    <row r="267" spans="5:22">
      <c r="E267" s="30" t="str">
        <v>kanan</v>
      </c>
      <c r="F267" s="30"/>
      <c r="G267" s="30"/>
      <c r="J267" s="30" t="str">
        <v>tengah</v>
      </c>
      <c r="K267" s="30"/>
      <c r="L267" s="30"/>
      <c r="O267" s="30" t="str">
        <v>tengah</v>
      </c>
      <c r="P267" s="30"/>
      <c r="Q267" s="30"/>
      <c r="T267" s="30" t="str">
        <v>kanan</v>
      </c>
      <c r="U267" s="30"/>
      <c r="V267" s="30"/>
    </row>
    <row r="268" spans="5:22">
      <c r="E268" s="30" t="str">
        <v>kiri</v>
      </c>
      <c r="F268" s="30"/>
      <c r="G268" s="30"/>
      <c r="J268" s="30" t="str">
        <v>kiri</v>
      </c>
      <c r="K268" s="30"/>
      <c r="L268" s="30"/>
      <c r="O268" s="30" t="str">
        <v>kanan</v>
      </c>
      <c r="P268" s="30"/>
      <c r="Q268" s="30"/>
      <c r="T268" s="30" t="str">
        <v>tengah</v>
      </c>
      <c r="U268" s="30"/>
      <c r="V268" s="30"/>
    </row>
    <row r="269" spans="5:22">
      <c r="E269" s="30" t="str">
        <v>tengah</v>
      </c>
      <c r="F269" s="30"/>
      <c r="G269" s="30"/>
      <c r="J269" s="30" t="str">
        <v>kanan</v>
      </c>
      <c r="K269" s="30"/>
      <c r="L269" s="30"/>
      <c r="O269" s="30" t="str">
        <v>kanan</v>
      </c>
      <c r="P269" s="30"/>
      <c r="Q269" s="30"/>
      <c r="T269" s="30" t="str">
        <v>tengah</v>
      </c>
      <c r="U269" s="30"/>
      <c r="V269" s="30"/>
    </row>
    <row r="270" spans="5:22">
      <c r="E270" s="30" t="str">
        <v>tengah</v>
      </c>
      <c r="F270" s="30"/>
      <c r="G270" s="30"/>
      <c r="J270" s="30" t="str">
        <v>kanan</v>
      </c>
      <c r="K270" s="30"/>
      <c r="L270" s="30"/>
      <c r="O270" s="30" t="str">
        <v>tengah</v>
      </c>
      <c r="P270" s="30"/>
      <c r="Q270" s="30"/>
      <c r="T270" s="30" t="str">
        <v>tengah</v>
      </c>
      <c r="U270" s="30"/>
      <c r="V270" s="30"/>
    </row>
    <row r="271" spans="5:22">
      <c r="E271" s="30" t="str">
        <v>tengah</v>
      </c>
      <c r="F271" s="30"/>
      <c r="G271" s="30"/>
      <c r="J271" s="30" t="str">
        <v>tengah</v>
      </c>
      <c r="K271" s="30"/>
      <c r="L271" s="30"/>
      <c r="O271" s="30" t="str">
        <v>kiri</v>
      </c>
      <c r="P271" s="30"/>
      <c r="Q271" s="30"/>
      <c r="T271" s="30" t="str">
        <v>tengah</v>
      </c>
      <c r="U271" s="30"/>
      <c r="V271" s="30"/>
    </row>
    <row r="272" spans="5:22">
      <c r="E272" s="30" t="str">
        <v>tengah</v>
      </c>
      <c r="F272" s="30"/>
      <c r="G272" s="30"/>
      <c r="J272" s="30" t="str">
        <v>kanan</v>
      </c>
      <c r="K272" s="30"/>
      <c r="L272" s="30"/>
      <c r="O272" s="30" t="str">
        <v>kiri</v>
      </c>
      <c r="P272" s="30"/>
      <c r="Q272" s="30"/>
      <c r="T272" s="30" t="str">
        <v>kanan</v>
      </c>
      <c r="U272" s="30"/>
      <c r="V272" s="30"/>
    </row>
    <row r="273" spans="5:22">
      <c r="E273" s="30" t="str">
        <v>kiri</v>
      </c>
      <c r="F273" s="30"/>
      <c r="G273" s="30"/>
      <c r="J273" s="30" t="str">
        <v>tengah</v>
      </c>
      <c r="K273" s="30"/>
      <c r="L273" s="30"/>
      <c r="O273" s="30" t="str">
        <v>kiri</v>
      </c>
      <c r="P273" s="30"/>
      <c r="Q273" s="30"/>
      <c r="T273" s="30" t="str">
        <v>tengah</v>
      </c>
      <c r="U273" s="30"/>
      <c r="V273" s="30"/>
    </row>
    <row r="274" spans="5:22">
      <c r="E274" s="30" t="str">
        <v>tengah</v>
      </c>
      <c r="F274" s="30"/>
      <c r="G274" s="30"/>
      <c r="J274" s="30" t="str">
        <v>kiri</v>
      </c>
      <c r="K274" s="30"/>
      <c r="L274" s="30"/>
      <c r="O274" s="30" t="str">
        <v>kiri</v>
      </c>
      <c r="P274" s="30"/>
      <c r="Q274" s="30"/>
      <c r="T274" s="30" t="str">
        <v>tengah</v>
      </c>
      <c r="U274" s="30"/>
      <c r="V274" s="30"/>
    </row>
    <row r="275" spans="5:22">
      <c r="E275" s="30" t="str">
        <v>kiri</v>
      </c>
      <c r="F275" s="30"/>
      <c r="G275" s="30"/>
      <c r="J275" s="30" t="str">
        <v>tengah</v>
      </c>
      <c r="K275" s="30"/>
      <c r="L275" s="30"/>
      <c r="O275" s="30" t="str">
        <v>tengah</v>
      </c>
      <c r="P275" s="30"/>
      <c r="Q275" s="30"/>
      <c r="T275" s="30" t="str">
        <v>tengah</v>
      </c>
      <c r="U275" s="30"/>
      <c r="V275" s="30"/>
    </row>
    <row r="276" spans="5:22">
      <c r="E276" s="30" t="str">
        <v>kiri</v>
      </c>
      <c r="F276" s="30"/>
      <c r="G276" s="30"/>
      <c r="J276" s="30" t="str">
        <v>tengah</v>
      </c>
      <c r="K276" s="30"/>
      <c r="L276" s="30"/>
      <c r="O276" s="30" t="str">
        <v>tengah</v>
      </c>
      <c r="P276" s="30"/>
      <c r="Q276" s="30"/>
      <c r="T276" s="30" t="str">
        <v>tengah</v>
      </c>
      <c r="U276" s="30"/>
      <c r="V276" s="30"/>
    </row>
    <row r="277" spans="5:22">
      <c r="E277" s="30" t="str">
        <v>tengah</v>
      </c>
      <c r="F277" s="30"/>
      <c r="G277" s="30"/>
      <c r="J277" s="30" t="str">
        <v>tengah</v>
      </c>
      <c r="K277" s="30"/>
      <c r="L277" s="30"/>
      <c r="O277" s="30" t="str">
        <v>kanan</v>
      </c>
      <c r="P277" s="30"/>
      <c r="Q277" s="30"/>
      <c r="T277" s="30" t="str">
        <v>kanan</v>
      </c>
      <c r="U277" s="30"/>
      <c r="V277" s="30"/>
    </row>
    <row r="278" spans="5:22">
      <c r="E278" s="30" t="str">
        <v>kanan</v>
      </c>
      <c r="F278" s="30"/>
      <c r="G278" s="30"/>
      <c r="J278" s="30" t="str">
        <v>tengah</v>
      </c>
      <c r="K278" s="30"/>
      <c r="L278" s="30"/>
      <c r="O278" s="30" t="str">
        <v>kiri</v>
      </c>
      <c r="P278" s="30"/>
      <c r="Q278" s="30"/>
      <c r="T278" s="30" t="str">
        <v>kanan</v>
      </c>
      <c r="U278" s="30"/>
      <c r="V278" s="30"/>
    </row>
    <row r="279" spans="5:22">
      <c r="E279" s="30" t="str">
        <v>tengah</v>
      </c>
      <c r="F279" s="30"/>
      <c r="G279" s="30"/>
      <c r="J279" s="30" t="str">
        <v>tengah</v>
      </c>
      <c r="K279" s="30"/>
      <c r="L279" s="30"/>
      <c r="O279" s="30" t="str">
        <v>tengah</v>
      </c>
      <c r="P279" s="30"/>
      <c r="Q279" s="30"/>
      <c r="T279" s="30" t="str">
        <v>tengah</v>
      </c>
      <c r="U279" s="30"/>
      <c r="V279" s="30"/>
    </row>
    <row r="280" spans="5:22">
      <c r="E280" s="30" t="str">
        <v>kiri</v>
      </c>
      <c r="F280" s="30"/>
      <c r="G280" s="30"/>
      <c r="J280" s="30" t="str">
        <v>tengah</v>
      </c>
      <c r="K280" s="30"/>
      <c r="L280" s="30"/>
      <c r="O280" s="30" t="str">
        <v>kiri</v>
      </c>
      <c r="P280" s="30"/>
      <c r="Q280" s="30"/>
      <c r="T280" s="30" t="str">
        <v>kanan</v>
      </c>
      <c r="U280" s="30"/>
      <c r="V280" s="30"/>
    </row>
    <row r="281" spans="5:22">
      <c r="E281" s="30" t="str">
        <v>kiri</v>
      </c>
      <c r="F281" s="30"/>
      <c r="G281" s="30"/>
      <c r="J281" s="30" t="str">
        <v>kiri</v>
      </c>
      <c r="K281" s="30"/>
      <c r="L281" s="30"/>
      <c r="O281" s="30" t="str">
        <v>tengah</v>
      </c>
      <c r="P281" s="30"/>
      <c r="Q281" s="30"/>
      <c r="T281" s="30" t="str">
        <v>kanan</v>
      </c>
      <c r="U281" s="30"/>
      <c r="V281" s="30"/>
    </row>
    <row r="282" spans="5:22">
      <c r="E282" s="30" t="str">
        <v>tengah</v>
      </c>
      <c r="F282" s="30"/>
      <c r="G282" s="30"/>
      <c r="J282" s="30" t="str">
        <v>kanan</v>
      </c>
      <c r="K282" s="30"/>
      <c r="L282" s="30"/>
      <c r="O282" s="30" t="str">
        <v>kiri</v>
      </c>
      <c r="P282" s="30"/>
      <c r="Q282" s="30"/>
      <c r="T282" s="30" t="str">
        <v>kanan</v>
      </c>
      <c r="U282" s="30"/>
      <c r="V282" s="30"/>
    </row>
    <row r="283" spans="5:22">
      <c r="E283" s="30" t="str">
        <v>tengah</v>
      </c>
      <c r="F283" s="30"/>
      <c r="G283" s="30"/>
      <c r="J283" s="30" t="str">
        <v>tengah</v>
      </c>
      <c r="K283" s="30"/>
      <c r="L283" s="30"/>
      <c r="O283" s="30" t="str">
        <v>kiri</v>
      </c>
      <c r="P283" s="30"/>
      <c r="Q283" s="30"/>
      <c r="T283" s="30" t="str">
        <v>kanan</v>
      </c>
      <c r="U283" s="30"/>
      <c r="V283" s="30"/>
    </row>
    <row r="284" spans="5:22">
      <c r="E284" s="30" t="str">
        <v>kanan</v>
      </c>
      <c r="F284" s="30"/>
      <c r="G284" s="30"/>
      <c r="J284" s="30" t="str">
        <v>tengah</v>
      </c>
      <c r="K284" s="30"/>
      <c r="L284" s="30"/>
      <c r="O284" s="30" t="str">
        <v>tengah</v>
      </c>
      <c r="P284" s="30"/>
      <c r="Q284" s="30"/>
      <c r="T284" s="30" t="str">
        <v>tengah</v>
      </c>
      <c r="U284" s="30"/>
      <c r="V284" s="30"/>
    </row>
    <row r="285" spans="5:22">
      <c r="E285" s="30" t="str">
        <v>tengah</v>
      </c>
      <c r="F285" s="30"/>
      <c r="G285" s="30"/>
      <c r="J285" s="30" t="str">
        <v>tengah</v>
      </c>
      <c r="K285" s="30"/>
      <c r="L285" s="30"/>
      <c r="O285" s="30" t="str">
        <v>kanan</v>
      </c>
      <c r="P285" s="30"/>
      <c r="Q285" s="30"/>
      <c r="T285" s="30" t="str">
        <v>kanan</v>
      </c>
      <c r="U285" s="30"/>
      <c r="V285" s="30"/>
    </row>
    <row r="286" spans="5:22">
      <c r="E286" s="30" t="str">
        <v>tengah</v>
      </c>
      <c r="F286" s="30"/>
      <c r="G286" s="30"/>
      <c r="J286" s="30" t="str">
        <v>tengah</v>
      </c>
      <c r="K286" s="30"/>
      <c r="L286" s="30"/>
      <c r="O286" s="30" t="str">
        <v>kiri</v>
      </c>
      <c r="P286" s="30"/>
      <c r="Q286" s="30"/>
      <c r="T286" s="30" t="str">
        <v>kanan</v>
      </c>
      <c r="U286" s="30"/>
      <c r="V286" s="30"/>
    </row>
    <row r="287" spans="5:22">
      <c r="E287" s="30" t="str">
        <v>tengah</v>
      </c>
      <c r="F287" s="30"/>
      <c r="G287" s="30"/>
      <c r="J287" s="30" t="str">
        <v>kanan</v>
      </c>
      <c r="K287" s="30"/>
      <c r="L287" s="30"/>
      <c r="O287" s="30" t="str">
        <v>tengah</v>
      </c>
      <c r="P287" s="30"/>
      <c r="Q287" s="30"/>
      <c r="T287" s="30" t="str">
        <v>kanan</v>
      </c>
      <c r="U287" s="30"/>
      <c r="V287" s="30"/>
    </row>
    <row r="288" spans="5:22">
      <c r="E288" s="30" t="str">
        <v>tengah</v>
      </c>
      <c r="F288" s="30"/>
      <c r="G288" s="30"/>
      <c r="J288" s="30" t="str">
        <v>tengah</v>
      </c>
      <c r="K288" s="30"/>
      <c r="L288" s="30"/>
      <c r="O288" s="30" t="str">
        <v>tengah</v>
      </c>
      <c r="P288" s="30"/>
      <c r="Q288" s="30"/>
      <c r="T288" s="30" t="str">
        <v>tengah</v>
      </c>
      <c r="U288" s="30"/>
      <c r="V288" s="30"/>
    </row>
    <row r="289" spans="5:22">
      <c r="E289" s="30" t="str">
        <v>kiri</v>
      </c>
      <c r="F289" s="30"/>
      <c r="G289" s="30"/>
      <c r="J289" s="30" t="str">
        <v>tengah</v>
      </c>
      <c r="K289" s="30"/>
      <c r="L289" s="30"/>
      <c r="O289" s="30" t="str">
        <v>kanan</v>
      </c>
      <c r="P289" s="30"/>
      <c r="Q289" s="30"/>
      <c r="T289" s="30" t="str">
        <v>tengah</v>
      </c>
      <c r="U289" s="30"/>
      <c r="V289" s="30"/>
    </row>
    <row r="290" spans="5:22">
      <c r="E290" s="30" t="str">
        <v>tengah</v>
      </c>
      <c r="F290" s="30"/>
      <c r="G290" s="30"/>
      <c r="J290" s="30" t="str">
        <v>tengah</v>
      </c>
      <c r="K290" s="30"/>
      <c r="L290" s="30"/>
      <c r="O290" s="30" t="str">
        <v>kanan</v>
      </c>
      <c r="P290" s="30"/>
      <c r="Q290" s="30"/>
      <c r="T290" s="30" t="str">
        <v>kanan</v>
      </c>
      <c r="U290" s="30"/>
      <c r="V290" s="30"/>
    </row>
    <row r="291" spans="5:22">
      <c r="E291" s="30" t="str">
        <v>kiri</v>
      </c>
      <c r="F291" s="30"/>
      <c r="G291" s="30"/>
      <c r="J291" s="30" t="str">
        <v>tengah</v>
      </c>
      <c r="K291" s="30"/>
      <c r="L291" s="30"/>
      <c r="O291" s="30" t="str">
        <v>kanan</v>
      </c>
      <c r="P291" s="30"/>
      <c r="Q291" s="30"/>
      <c r="T291" s="30" t="str">
        <v>kanan</v>
      </c>
      <c r="U291" s="30"/>
      <c r="V291" s="30"/>
    </row>
    <row r="292" spans="5:22">
      <c r="E292" s="30" t="str">
        <v>tengah</v>
      </c>
      <c r="F292" s="30"/>
      <c r="G292" s="30"/>
      <c r="J292" s="30" t="str">
        <v>tengah</v>
      </c>
      <c r="K292" s="30"/>
      <c r="L292" s="30"/>
      <c r="O292" s="30" t="str">
        <v>tengah</v>
      </c>
      <c r="P292" s="30"/>
      <c r="Q292" s="30"/>
      <c r="T292" s="30" t="str">
        <v>tengah</v>
      </c>
      <c r="U292" s="30"/>
      <c r="V292" s="30"/>
    </row>
    <row r="293" spans="5:22">
      <c r="E293" s="30" t="str">
        <v>tengah</v>
      </c>
      <c r="F293" s="30"/>
      <c r="G293" s="30"/>
      <c r="J293" s="30" t="str">
        <v>tengah</v>
      </c>
      <c r="K293" s="30"/>
      <c r="L293" s="30"/>
      <c r="O293" s="30" t="str">
        <v>kiri</v>
      </c>
      <c r="P293" s="30"/>
      <c r="Q293" s="30"/>
      <c r="T293" s="30" t="str">
        <v>kanan</v>
      </c>
      <c r="U293" s="30"/>
      <c r="V293" s="30"/>
    </row>
    <row r="294" spans="5:22">
      <c r="E294" s="30" t="str">
        <v>kanan</v>
      </c>
      <c r="F294" s="30"/>
      <c r="G294" s="30"/>
      <c r="J294" s="30" t="str">
        <v>kanan</v>
      </c>
      <c r="K294" s="30"/>
      <c r="L294" s="30"/>
      <c r="O294" s="30" t="str">
        <v>kanan</v>
      </c>
      <c r="P294" s="30"/>
      <c r="Q294" s="30"/>
      <c r="T294" s="30" t="str">
        <v>kanan</v>
      </c>
      <c r="U294" s="30"/>
      <c r="V294" s="30"/>
    </row>
    <row r="295" spans="5:22">
      <c r="E295" s="30" t="str">
        <v>tengah</v>
      </c>
      <c r="F295" s="30"/>
      <c r="G295" s="30"/>
      <c r="J295" s="30" t="str">
        <v>tengah</v>
      </c>
      <c r="K295" s="30"/>
      <c r="L295" s="30"/>
      <c r="O295" s="30" t="str">
        <v>tengah</v>
      </c>
      <c r="P295" s="30"/>
      <c r="Q295" s="30"/>
      <c r="T295" s="30" t="str">
        <v>kanan</v>
      </c>
      <c r="U295" s="30"/>
      <c r="V295" s="30"/>
    </row>
    <row r="296" spans="5:22">
      <c r="E296" s="30" t="str">
        <v>tengah</v>
      </c>
      <c r="F296" s="30"/>
      <c r="G296" s="30"/>
      <c r="J296" s="30" t="str">
        <v>tengah</v>
      </c>
      <c r="K296" s="30"/>
      <c r="L296" s="30"/>
      <c r="O296" s="30" t="str">
        <v>tengah</v>
      </c>
      <c r="P296" s="30"/>
      <c r="Q296" s="30"/>
      <c r="T296" s="30" t="str">
        <v>kanan</v>
      </c>
      <c r="U296" s="30"/>
      <c r="V296" s="30"/>
    </row>
    <row r="297" spans="5:22">
      <c r="E297" s="30" t="str">
        <v>kanan</v>
      </c>
      <c r="F297" s="30"/>
      <c r="G297" s="30"/>
      <c r="J297" s="30" t="str">
        <v>tengah</v>
      </c>
      <c r="K297" s="30"/>
      <c r="L297" s="30"/>
      <c r="O297" s="30" t="str">
        <v>kiri</v>
      </c>
      <c r="P297" s="30"/>
      <c r="Q297" s="30"/>
      <c r="T297" s="30" t="str">
        <v>kanan</v>
      </c>
      <c r="U297" s="30"/>
      <c r="V297" s="30"/>
    </row>
    <row r="298" spans="5:22">
      <c r="E298" s="30" t="str">
        <v>kanan</v>
      </c>
      <c r="F298" s="30"/>
      <c r="G298" s="30"/>
      <c r="J298" s="30" t="str">
        <v>kiri</v>
      </c>
      <c r="K298" s="30"/>
      <c r="L298" s="30"/>
      <c r="O298" s="30" t="str">
        <v>tengah</v>
      </c>
      <c r="P298" s="30"/>
      <c r="Q298" s="30"/>
      <c r="T298" s="30" t="str">
        <v>kanan</v>
      </c>
      <c r="U298" s="30"/>
      <c r="V298" s="30"/>
    </row>
    <row r="299" spans="5:22">
      <c r="E299" s="30" t="str">
        <v>tengah</v>
      </c>
      <c r="F299" s="30"/>
      <c r="G299" s="30"/>
      <c r="J299" s="30" t="str">
        <v>tengah</v>
      </c>
      <c r="K299" s="30"/>
      <c r="L299" s="30"/>
      <c r="O299" s="30" t="str">
        <v>kanan</v>
      </c>
      <c r="P299" s="30"/>
      <c r="Q299" s="30"/>
      <c r="T299" s="30" t="str">
        <v>kanan</v>
      </c>
      <c r="U299" s="30"/>
      <c r="V299" s="30"/>
    </row>
    <row r="300" spans="5:22">
      <c r="E300" s="30" t="str">
        <v>kanan</v>
      </c>
      <c r="F300" s="30"/>
      <c r="G300" s="30"/>
      <c r="J300" s="30" t="str">
        <v>kiri</v>
      </c>
      <c r="K300" s="30"/>
      <c r="L300" s="30"/>
      <c r="O300" s="30" t="str">
        <v>kiri</v>
      </c>
      <c r="P300" s="30"/>
      <c r="Q300" s="30"/>
      <c r="T300" s="30" t="str">
        <v>tengah</v>
      </c>
      <c r="U300" s="30"/>
      <c r="V300" s="30"/>
    </row>
    <row r="301" spans="5:22">
      <c r="E301" s="30" t="str">
        <v>tengah</v>
      </c>
      <c r="F301" s="30"/>
      <c r="G301" s="30"/>
      <c r="J301" s="30" t="str">
        <v>kiri</v>
      </c>
      <c r="K301" s="30"/>
      <c r="L301" s="30"/>
      <c r="O301" s="30" t="str">
        <v>tengah</v>
      </c>
      <c r="P301" s="30"/>
      <c r="Q301" s="30"/>
      <c r="T301" s="30" t="str">
        <v>kanan</v>
      </c>
      <c r="U301" s="30"/>
      <c r="V301" s="30"/>
    </row>
    <row r="302" spans="5:22">
      <c r="E302" s="30" t="str">
        <v>kanan</v>
      </c>
      <c r="F302" s="30"/>
      <c r="G302" s="30"/>
      <c r="J302" s="30" t="str">
        <v>tengah</v>
      </c>
      <c r="K302" s="30"/>
      <c r="L302" s="30"/>
      <c r="O302" s="30" t="str">
        <v>kiri</v>
      </c>
      <c r="P302" s="30"/>
      <c r="Q302" s="30"/>
      <c r="T302" s="30" t="str">
        <v>tengah</v>
      </c>
      <c r="U302" s="30"/>
      <c r="V302" s="30"/>
    </row>
    <row r="303" spans="5:22">
      <c r="E303" s="30" t="str">
        <v>tengah</v>
      </c>
      <c r="F303" s="30"/>
      <c r="G303" s="30"/>
      <c r="J303" s="30" t="str">
        <v>tengah</v>
      </c>
      <c r="K303" s="30"/>
      <c r="L303" s="30"/>
      <c r="O303" s="30" t="str">
        <v>kiri</v>
      </c>
      <c r="P303" s="30"/>
      <c r="Q303" s="30"/>
      <c r="T303" s="30" t="str">
        <v>kanan</v>
      </c>
      <c r="U303" s="30"/>
      <c r="V303" s="30"/>
    </row>
    <row r="304" spans="5:22">
      <c r="E304" s="30" t="str">
        <v>tengah</v>
      </c>
      <c r="F304" s="30"/>
      <c r="G304" s="30"/>
      <c r="J304" s="30" t="str">
        <v>tengah</v>
      </c>
      <c r="K304" s="30"/>
      <c r="L304" s="30"/>
      <c r="O304" s="30" t="str">
        <v>kanan</v>
      </c>
      <c r="P304" s="30"/>
      <c r="Q304" s="30"/>
      <c r="T304" s="30" t="str">
        <v>kanan</v>
      </c>
      <c r="U304" s="30"/>
      <c r="V304" s="30"/>
    </row>
    <row r="305" spans="5:22">
      <c r="E305" s="30" t="str">
        <v>kiri</v>
      </c>
      <c r="F305" s="30"/>
      <c r="G305" s="30"/>
      <c r="J305" s="30" t="str">
        <v>tengah</v>
      </c>
      <c r="K305" s="30"/>
      <c r="L305" s="30"/>
      <c r="O305" s="30" t="str">
        <v>kiri</v>
      </c>
      <c r="P305" s="30"/>
      <c r="Q305" s="30"/>
      <c r="T305" s="30" t="str">
        <v>kanan</v>
      </c>
      <c r="U305" s="30"/>
      <c r="V305" s="30"/>
    </row>
    <row r="306" spans="5:22">
      <c r="E306" s="30" t="str">
        <v>tengah</v>
      </c>
      <c r="F306" s="30"/>
      <c r="G306" s="30"/>
      <c r="J306" s="30" t="str">
        <v>kiri</v>
      </c>
      <c r="K306" s="30"/>
      <c r="L306" s="30"/>
      <c r="O306" s="30" t="str">
        <v>kanan</v>
      </c>
      <c r="P306" s="30"/>
      <c r="Q306" s="30"/>
      <c r="T306" s="30" t="str">
        <v>tengah</v>
      </c>
      <c r="U306" s="30"/>
      <c r="V306" s="30"/>
    </row>
    <row r="307" spans="5:22">
      <c r="E307" s="30" t="str">
        <v>tengah</v>
      </c>
      <c r="F307" s="30"/>
      <c r="G307" s="30"/>
      <c r="J307" s="30" t="str">
        <v>tengah</v>
      </c>
      <c r="K307" s="30"/>
      <c r="L307" s="30"/>
      <c r="O307" s="30" t="str">
        <v>kiri</v>
      </c>
      <c r="P307" s="30"/>
      <c r="Q307" s="30"/>
      <c r="T307" s="30" t="str">
        <v>tengah</v>
      </c>
      <c r="U307" s="30"/>
      <c r="V307" s="30"/>
    </row>
    <row r="308" spans="5:22">
      <c r="E308" s="30" t="str">
        <v>tengah</v>
      </c>
      <c r="F308" s="30"/>
      <c r="G308" s="30"/>
      <c r="J308" s="30" t="str">
        <v>tengah</v>
      </c>
      <c r="K308" s="30"/>
      <c r="L308" s="30"/>
      <c r="O308" s="30" t="str">
        <v>kanan</v>
      </c>
      <c r="P308" s="30"/>
      <c r="Q308" s="30"/>
      <c r="T308" s="30" t="str">
        <v>kanan</v>
      </c>
      <c r="U308" s="30"/>
      <c r="V308" s="30"/>
    </row>
    <row r="309" spans="5:22">
      <c r="E309" s="30" t="str">
        <v>tengah</v>
      </c>
      <c r="F309" s="30"/>
      <c r="G309" s="30"/>
      <c r="J309" s="30" t="str">
        <v>kiri</v>
      </c>
      <c r="K309" s="30"/>
      <c r="L309" s="30"/>
      <c r="O309" s="30" t="str">
        <v>kiri</v>
      </c>
      <c r="P309" s="30"/>
      <c r="Q309" s="30"/>
      <c r="T309" s="30" t="str">
        <v>tengah</v>
      </c>
      <c r="U309" s="30"/>
      <c r="V309" s="30"/>
    </row>
    <row r="310" spans="5:22">
      <c r="E310" s="30" t="str">
        <v>kiri</v>
      </c>
      <c r="F310" s="30"/>
      <c r="G310" s="30"/>
      <c r="J310" s="30" t="str">
        <v>kiri</v>
      </c>
      <c r="K310" s="30"/>
      <c r="L310" s="30"/>
      <c r="O310" s="30" t="str">
        <v>kiri</v>
      </c>
      <c r="P310" s="30"/>
      <c r="Q310" s="30"/>
      <c r="T310" s="30" t="str">
        <v>kanan</v>
      </c>
      <c r="U310" s="30"/>
      <c r="V310" s="30"/>
    </row>
    <row r="311" spans="5:22">
      <c r="E311" s="30" t="str">
        <v>tengah</v>
      </c>
      <c r="F311" s="30"/>
      <c r="G311" s="30"/>
      <c r="J311" s="30" t="str">
        <v>kanan</v>
      </c>
      <c r="K311" s="30"/>
      <c r="L311" s="30"/>
      <c r="O311" s="30" t="str">
        <v>kiri</v>
      </c>
      <c r="P311" s="30"/>
      <c r="Q311" s="30"/>
      <c r="T311" s="30" t="str">
        <v>tengah</v>
      </c>
      <c r="U311" s="30"/>
      <c r="V311" s="30"/>
    </row>
    <row r="312" spans="5:22">
      <c r="E312" s="30" t="str">
        <v>kiri</v>
      </c>
      <c r="F312" s="30"/>
      <c r="G312" s="30"/>
      <c r="J312" s="30" t="str">
        <v>kiri</v>
      </c>
      <c r="K312" s="30"/>
      <c r="L312" s="30"/>
      <c r="O312" s="30" t="str">
        <v>kanan</v>
      </c>
      <c r="P312" s="30"/>
      <c r="Q312" s="30"/>
      <c r="T312" s="30" t="str">
        <v>kanan</v>
      </c>
      <c r="U312" s="30"/>
      <c r="V312" s="30"/>
    </row>
    <row r="313" spans="5:22">
      <c r="E313" s="30" t="str">
        <v>kanan</v>
      </c>
      <c r="F313" s="30"/>
      <c r="G313" s="30"/>
      <c r="J313" s="30" t="str">
        <v>kanan</v>
      </c>
      <c r="K313" s="30"/>
      <c r="L313" s="30"/>
      <c r="O313" s="30" t="str">
        <v>tengah</v>
      </c>
      <c r="P313" s="30"/>
      <c r="Q313" s="30"/>
      <c r="T313" s="30" t="str">
        <v>kanan</v>
      </c>
      <c r="U313" s="30"/>
      <c r="V313" s="30"/>
    </row>
    <row r="314" spans="5:22">
      <c r="E314" s="30" t="str">
        <v>tengah</v>
      </c>
      <c r="F314" s="30"/>
      <c r="G314" s="30"/>
      <c r="J314" s="30" t="str">
        <v>kanan</v>
      </c>
      <c r="K314" s="30"/>
      <c r="L314" s="30"/>
      <c r="O314" s="30" t="str">
        <v>tengah</v>
      </c>
      <c r="P314" s="30"/>
      <c r="Q314" s="30"/>
      <c r="T314" s="30" t="str">
        <v>tengah</v>
      </c>
      <c r="U314" s="30"/>
      <c r="V314" s="30"/>
    </row>
    <row r="315" spans="5:22">
      <c r="E315" s="30" t="str">
        <v>kiri</v>
      </c>
      <c r="F315" s="30"/>
      <c r="G315" s="30"/>
      <c r="J315" s="30" t="str">
        <v>kanan</v>
      </c>
      <c r="K315" s="30"/>
      <c r="L315" s="30"/>
      <c r="O315" s="30" t="str">
        <v>kiri</v>
      </c>
      <c r="P315" s="30"/>
      <c r="Q315" s="30"/>
      <c r="T315" s="30" t="str">
        <v>kanan</v>
      </c>
      <c r="U315" s="30"/>
      <c r="V315" s="30"/>
    </row>
    <row r="316" spans="5:22">
      <c r="E316" s="30" t="str">
        <v>tengah</v>
      </c>
      <c r="F316" s="30"/>
      <c r="G316" s="30"/>
      <c r="J316" s="30" t="str">
        <v>tengah</v>
      </c>
      <c r="K316" s="30"/>
      <c r="L316" s="30"/>
      <c r="O316" s="30" t="str">
        <v>kiri</v>
      </c>
      <c r="P316" s="30"/>
      <c r="Q316" s="30"/>
      <c r="T316" s="30" t="str">
        <v>kanan</v>
      </c>
      <c r="U316" s="30"/>
      <c r="V316" s="30"/>
    </row>
    <row r="317" spans="5:22">
      <c r="E317" s="30" t="str">
        <v>kiri</v>
      </c>
      <c r="F317" s="30"/>
      <c r="G317" s="30"/>
      <c r="J317" s="30" t="str">
        <v>tengah</v>
      </c>
      <c r="K317" s="30"/>
      <c r="L317" s="30"/>
      <c r="O317" s="30" t="str">
        <v>tengah</v>
      </c>
      <c r="P317" s="30"/>
      <c r="Q317" s="30"/>
      <c r="T317" s="30" t="str">
        <v>kanan</v>
      </c>
      <c r="U317" s="30"/>
      <c r="V317" s="30"/>
    </row>
    <row r="318" spans="5:22">
      <c r="E318" s="30" t="str">
        <v>kiri</v>
      </c>
      <c r="F318" s="30"/>
      <c r="G318" s="30"/>
      <c r="J318" s="30" t="str">
        <v>kiri</v>
      </c>
      <c r="K318" s="30"/>
      <c r="L318" s="30"/>
      <c r="O318" s="30" t="str">
        <v>kanan</v>
      </c>
      <c r="P318" s="30"/>
      <c r="Q318" s="30"/>
      <c r="T318" s="30" t="str">
        <v>kanan</v>
      </c>
      <c r="U318" s="30"/>
      <c r="V318" s="30"/>
    </row>
    <row r="319" spans="5:22">
      <c r="E319" s="30" t="str">
        <v>tengah</v>
      </c>
      <c r="F319" s="30"/>
      <c r="G319" s="30"/>
      <c r="J319" s="30" t="str">
        <v>tengah</v>
      </c>
      <c r="K319" s="30"/>
      <c r="L319" s="30"/>
      <c r="O319" s="30" t="str">
        <v>kiri</v>
      </c>
      <c r="P319" s="30"/>
      <c r="Q319" s="30"/>
      <c r="T319" s="30" t="str">
        <v>kanan</v>
      </c>
      <c r="U319" s="30"/>
      <c r="V319" s="30"/>
    </row>
    <row r="320" spans="5:22">
      <c r="E320" s="30" t="str">
        <v>kanan</v>
      </c>
      <c r="F320" s="30"/>
      <c r="G320" s="30"/>
      <c r="J320" s="30" t="str">
        <v>kanan</v>
      </c>
      <c r="K320" s="30"/>
      <c r="L320" s="30"/>
      <c r="O320" s="30" t="str">
        <v>tengah</v>
      </c>
      <c r="P320" s="30"/>
      <c r="Q320" s="30"/>
      <c r="T320" s="30" t="str">
        <v>kanan</v>
      </c>
      <c r="U320" s="30"/>
      <c r="V320" s="30"/>
    </row>
    <row r="321" spans="5:22">
      <c r="E321" s="30" t="str">
        <v>tengah</v>
      </c>
      <c r="F321" s="30"/>
      <c r="G321" s="30"/>
      <c r="J321" s="30" t="str">
        <v>tengah</v>
      </c>
      <c r="K321" s="30"/>
      <c r="L321" s="30"/>
      <c r="O321" s="30" t="str">
        <v>kiri</v>
      </c>
      <c r="P321" s="30"/>
      <c r="Q321" s="30"/>
      <c r="T321" s="30" t="str">
        <v>kanan</v>
      </c>
      <c r="U321" s="30"/>
      <c r="V321" s="30"/>
    </row>
    <row r="322" spans="5:22">
      <c r="E322" s="30" t="str">
        <v>tengah</v>
      </c>
      <c r="F322" s="30"/>
      <c r="G322" s="30"/>
      <c r="J322" s="30" t="str">
        <v>kanan</v>
      </c>
      <c r="K322" s="30"/>
      <c r="L322" s="30"/>
      <c r="O322" s="30" t="str">
        <v>tengah</v>
      </c>
      <c r="P322" s="30"/>
      <c r="Q322" s="30"/>
      <c r="T322" s="30" t="str">
        <v>tengah</v>
      </c>
      <c r="U322" s="30"/>
      <c r="V322" s="30"/>
    </row>
    <row r="323" spans="5:22">
      <c r="E323" s="30" t="str">
        <v>tengah</v>
      </c>
      <c r="F323" s="30"/>
      <c r="G323" s="30"/>
      <c r="J323" s="30" t="str">
        <v>kanan</v>
      </c>
      <c r="K323" s="30"/>
      <c r="L323" s="30"/>
      <c r="O323" s="30" t="str">
        <v>kiri</v>
      </c>
      <c r="P323" s="30"/>
      <c r="Q323" s="30"/>
      <c r="T323" s="30" t="str">
        <v>tengah</v>
      </c>
      <c r="U323" s="30"/>
      <c r="V323" s="30"/>
    </row>
    <row r="324" spans="5:22">
      <c r="E324" s="30" t="str">
        <v>tengah</v>
      </c>
      <c r="F324" s="30"/>
      <c r="G324" s="30"/>
      <c r="J324" s="30" t="str">
        <v>tengah</v>
      </c>
      <c r="K324" s="30"/>
      <c r="L324" s="30"/>
      <c r="O324" s="30" t="str">
        <v>tengah</v>
      </c>
      <c r="P324" s="30"/>
      <c r="Q324" s="30"/>
      <c r="T324" s="30" t="str">
        <v>tengah</v>
      </c>
      <c r="U324" s="30"/>
      <c r="V324" s="30"/>
    </row>
    <row r="325" spans="5:22">
      <c r="E325" s="30" t="str">
        <v>kanan</v>
      </c>
      <c r="F325" s="30"/>
      <c r="G325" s="30"/>
      <c r="J325" s="30" t="str">
        <v>tengah</v>
      </c>
      <c r="K325" s="30"/>
      <c r="L325" s="30"/>
      <c r="O325" s="30" t="str">
        <v>tengah</v>
      </c>
      <c r="P325" s="30"/>
      <c r="Q325" s="30"/>
      <c r="T325" s="30" t="str">
        <v>tengah</v>
      </c>
      <c r="U325" s="30"/>
      <c r="V325" s="30"/>
    </row>
    <row r="326" spans="5:22">
      <c r="E326" s="30" t="str">
        <v>tengah</v>
      </c>
      <c r="F326" s="30"/>
      <c r="G326" s="30"/>
      <c r="J326" s="30" t="str">
        <v>tengah</v>
      </c>
      <c r="K326" s="30"/>
      <c r="L326" s="30"/>
      <c r="O326" s="30" t="str">
        <v>kanan</v>
      </c>
      <c r="P326" s="30"/>
      <c r="Q326" s="30"/>
      <c r="T326" s="30" t="str">
        <v>kanan</v>
      </c>
      <c r="U326" s="30"/>
      <c r="V326" s="30"/>
    </row>
    <row r="327" spans="5:22">
      <c r="E327" s="30" t="str">
        <v>kiri</v>
      </c>
      <c r="F327" s="30"/>
      <c r="G327" s="30"/>
      <c r="J327" s="30" t="str">
        <v>kanan</v>
      </c>
      <c r="K327" s="30"/>
      <c r="L327" s="30"/>
      <c r="O327" s="30" t="str">
        <v>kiri</v>
      </c>
      <c r="P327" s="30"/>
      <c r="Q327" s="30"/>
      <c r="T327" s="30" t="str">
        <v>kanan</v>
      </c>
      <c r="U327" s="30"/>
      <c r="V327" s="30"/>
    </row>
    <row r="328" spans="5:22">
      <c r="E328" s="30" t="str">
        <v>kiri</v>
      </c>
      <c r="F328" s="30"/>
      <c r="G328" s="30"/>
      <c r="J328" s="30" t="str">
        <v>tengah</v>
      </c>
      <c r="K328" s="30"/>
      <c r="L328" s="30"/>
      <c r="O328" s="30" t="str">
        <v>kiri</v>
      </c>
      <c r="P328" s="30"/>
      <c r="Q328" s="30"/>
      <c r="T328" s="30" t="str">
        <v>tengah</v>
      </c>
      <c r="U328" s="30"/>
      <c r="V328" s="30"/>
    </row>
    <row r="329" spans="5:22">
      <c r="E329" s="30" t="str">
        <v>kiri</v>
      </c>
      <c r="F329" s="30"/>
      <c r="G329" s="30"/>
      <c r="J329" s="30" t="str">
        <v>tengah</v>
      </c>
      <c r="K329" s="30"/>
      <c r="L329" s="30"/>
      <c r="O329" s="30" t="str">
        <v>kanan</v>
      </c>
      <c r="P329" s="30"/>
      <c r="Q329" s="30"/>
      <c r="T329" s="30" t="str">
        <v>tengah</v>
      </c>
      <c r="U329" s="30"/>
      <c r="V329" s="30"/>
    </row>
    <row r="330" spans="5:22">
      <c r="E330" s="30" t="str">
        <v>kanan</v>
      </c>
      <c r="F330" s="30"/>
      <c r="G330" s="30"/>
      <c r="J330" s="30" t="str">
        <v>kiri</v>
      </c>
      <c r="K330" s="30"/>
      <c r="L330" s="30"/>
      <c r="O330" s="30" t="str">
        <v>kiri</v>
      </c>
      <c r="P330" s="30"/>
      <c r="Q330" s="30"/>
      <c r="T330" s="30" t="str">
        <v>tengah</v>
      </c>
      <c r="U330" s="30"/>
      <c r="V330" s="30"/>
    </row>
    <row r="331" spans="5:22">
      <c r="E331" s="30" t="str">
        <v>tengah</v>
      </c>
      <c r="F331" s="30"/>
      <c r="G331" s="30"/>
      <c r="J331" s="30" t="str">
        <v>kiri</v>
      </c>
      <c r="K331" s="30"/>
      <c r="L331" s="30"/>
      <c r="O331" s="30" t="str">
        <v>kanan</v>
      </c>
      <c r="P331" s="30"/>
      <c r="Q331" s="30"/>
      <c r="T331" s="30" t="str">
        <v>tengah</v>
      </c>
      <c r="U331" s="30"/>
      <c r="V331" s="30"/>
    </row>
    <row r="332" spans="5:22">
      <c r="E332" s="30" t="str">
        <v>kanan</v>
      </c>
      <c r="F332" s="30"/>
      <c r="G332" s="30"/>
      <c r="J332" s="30" t="str">
        <v>tengah</v>
      </c>
      <c r="K332" s="30"/>
      <c r="L332" s="30"/>
      <c r="O332" s="30" t="str">
        <v>tengah</v>
      </c>
      <c r="P332" s="30"/>
      <c r="Q332" s="30"/>
      <c r="T332" s="30" t="str">
        <v>tengah</v>
      </c>
      <c r="U332" s="30"/>
      <c r="V332" s="30"/>
    </row>
  </sheetData>
  <pageMargins left="0.7" right="0.7" top="0.75" bottom="0.75" header="0.3" footer="0.3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32"/>
  <sheetViews>
    <sheetView zoomScale="98" zoomScaleNormal="98" topLeftCell="O147" workbookViewId="0">
      <selection activeCell="O167" sqref="O167"/>
    </sheetView>
  </sheetViews>
  <sheetFormatPr defaultColWidth="9" defaultRowHeight="15"/>
  <cols>
    <col min="2" max="3" width="15.8518518518519" customWidth="1"/>
    <col min="4" max="6" width="13.8518518518519" customWidth="1"/>
    <col min="9" max="9" width="15.8518518518519" customWidth="1"/>
    <col min="10" max="10" width="18.2814814814815" customWidth="1"/>
    <col min="11" max="11" width="13.8518518518519" customWidth="1"/>
    <col min="12" max="12" width="13.2814814814815" customWidth="1"/>
    <col min="13" max="13" width="13.8518518518519" customWidth="1"/>
    <col min="14" max="14" width="12.5703703703704" customWidth="1"/>
    <col min="15" max="15" width="24.8518518518519" customWidth="1"/>
    <col min="16" max="16" width="12.2814814814815" customWidth="1"/>
    <col min="20" max="20" width="14.2814814814815" customWidth="1"/>
  </cols>
  <sheetData>
    <row r="1" spans="1:17">
      <c r="A1" s="29" t="s">
        <v>175</v>
      </c>
      <c r="B1" s="29" t="s">
        <v>1</v>
      </c>
      <c r="C1" s="29" t="s">
        <v>2</v>
      </c>
      <c r="D1" s="29" t="s">
        <v>171</v>
      </c>
      <c r="E1" s="29" t="s">
        <v>4</v>
      </c>
      <c r="F1" s="29" t="s">
        <v>6</v>
      </c>
      <c r="H1" s="29" t="s">
        <v>175</v>
      </c>
      <c r="I1" s="29" t="s">
        <v>1</v>
      </c>
      <c r="J1" s="29" t="s">
        <v>2</v>
      </c>
      <c r="K1" s="29" t="s">
        <v>171</v>
      </c>
      <c r="L1" s="29" t="s">
        <v>4</v>
      </c>
      <c r="M1" s="29" t="s">
        <v>6</v>
      </c>
      <c r="O1" s="29" t="s">
        <v>176</v>
      </c>
      <c r="P1" s="32"/>
      <c r="Q1" s="32"/>
    </row>
    <row r="2" spans="1:17">
      <c r="A2" s="30">
        <f ca="1">RANDBETWEEN(2,164)</f>
        <v>107</v>
      </c>
      <c r="B2" s="30">
        <f ca="1" t="array" ref="B2">INDEX(Data_DBD!$B:$B,$A2)</f>
        <v>48</v>
      </c>
      <c r="C2" s="30">
        <f ca="1" t="array" ref="C2">INDEX(Data_DBD!$C:$C,$A2)</f>
        <v>5</v>
      </c>
      <c r="D2" s="30">
        <f ca="1" t="array" ref="D2">INDEX(Data_DBD!$D:$D,$A2)</f>
        <v>18</v>
      </c>
      <c r="E2" s="30">
        <f ca="1" t="array" ref="E2">INDEX(Data_DBD!$E:$E,$A2)</f>
        <v>0</v>
      </c>
      <c r="F2" s="30">
        <f ca="1" t="array" ref="F2">INDEX(Data_DBD!$F:$F,$A2)</f>
        <v>3</v>
      </c>
      <c r="H2" s="42">
        <v>84</v>
      </c>
      <c r="I2" s="42">
        <v>42</v>
      </c>
      <c r="J2" s="42">
        <v>4</v>
      </c>
      <c r="K2" s="42">
        <v>13</v>
      </c>
      <c r="L2" s="42">
        <v>1</v>
      </c>
      <c r="M2" s="42">
        <v>2</v>
      </c>
      <c r="O2" s="33">
        <v>1</v>
      </c>
      <c r="P2" s="32">
        <f>COUNTIF(M2:M164,"1")</f>
        <v>16</v>
      </c>
      <c r="Q2" s="32">
        <f>P2/163</f>
        <v>0.098159509202454</v>
      </c>
    </row>
    <row r="3" spans="1:17">
      <c r="A3" s="30">
        <f ca="1" t="shared" ref="A3:A66" si="0">RANDBETWEEN(2,164)</f>
        <v>78</v>
      </c>
      <c r="B3" s="30">
        <f ca="1" t="array" ref="B3">INDEX(Data_DBD!$B:$B,$A3)</f>
        <v>6</v>
      </c>
      <c r="C3" s="30">
        <f ca="1" t="array" ref="C3">INDEX(Data_DBD!$C:$C,$A3)</f>
        <v>3</v>
      </c>
      <c r="D3" s="30">
        <f ca="1" t="array" ref="D3">INDEX(Data_DBD!$D:$D,$A3)</f>
        <v>13</v>
      </c>
      <c r="E3" s="30">
        <f ca="1" t="array" ref="E3">INDEX(Data_DBD!$E:$E,$A3)</f>
        <v>0</v>
      </c>
      <c r="F3" s="30">
        <f ca="1" t="array" ref="F3">INDEX(Data_DBD!$F:$F,$A3)</f>
        <v>2</v>
      </c>
      <c r="H3" s="42">
        <v>87</v>
      </c>
      <c r="I3" s="42">
        <v>21</v>
      </c>
      <c r="J3" s="42">
        <v>3</v>
      </c>
      <c r="K3" s="42">
        <v>13</v>
      </c>
      <c r="L3" s="42">
        <v>0</v>
      </c>
      <c r="M3" s="42">
        <v>2</v>
      </c>
      <c r="O3" s="32">
        <v>2</v>
      </c>
      <c r="P3" s="32">
        <f>COUNTIF(M2:M164,"2")</f>
        <v>78</v>
      </c>
      <c r="Q3" s="32">
        <f>P3/163</f>
        <v>0.478527607361963</v>
      </c>
    </row>
    <row r="4" spans="1:17">
      <c r="A4" s="30">
        <f ca="1" t="shared" si="0"/>
        <v>2</v>
      </c>
      <c r="B4" s="30">
        <f ca="1" t="array" ref="B4">INDEX(Data_DBD!$B:$B,$A4)</f>
        <v>34</v>
      </c>
      <c r="C4" s="30">
        <f ca="1" t="array" ref="C4">INDEX(Data_DBD!$C:$C,$A4)</f>
        <v>3</v>
      </c>
      <c r="D4" s="30">
        <f ca="1" t="array" ref="D4">INDEX(Data_DBD!$D:$D,$A4)</f>
        <v>12</v>
      </c>
      <c r="E4" s="30">
        <f ca="1" t="array" ref="E4">INDEX(Data_DBD!$E:$E,$A4)</f>
        <v>0</v>
      </c>
      <c r="F4" s="30">
        <f ca="1" t="array" ref="F4">INDEX(Data_DBD!$F:$F,$A4)</f>
        <v>2</v>
      </c>
      <c r="H4" s="42">
        <v>116</v>
      </c>
      <c r="I4" s="42">
        <v>32</v>
      </c>
      <c r="J4" s="42">
        <v>4</v>
      </c>
      <c r="K4" s="42">
        <v>33</v>
      </c>
      <c r="L4" s="42">
        <v>1</v>
      </c>
      <c r="M4" s="42">
        <v>3</v>
      </c>
      <c r="O4" s="32">
        <v>3</v>
      </c>
      <c r="P4" s="32">
        <f>COUNTIF(M2:M164,"3")</f>
        <v>69</v>
      </c>
      <c r="Q4" s="32">
        <f>P4/163</f>
        <v>0.423312883435583</v>
      </c>
    </row>
    <row r="5" spans="1:16">
      <c r="A5" s="30">
        <f ca="1" t="shared" si="0"/>
        <v>73</v>
      </c>
      <c r="B5" s="30">
        <f ca="1" t="array" ref="B5">INDEX(Data_DBD!$B:$B,$A5)</f>
        <v>15</v>
      </c>
      <c r="C5" s="30">
        <f ca="1" t="array" ref="C5">INDEX(Data_DBD!$C:$C,$A5)</f>
        <v>3</v>
      </c>
      <c r="D5" s="30">
        <f ca="1" t="array" ref="D5">INDEX(Data_DBD!$D:$D,$A5)</f>
        <v>10</v>
      </c>
      <c r="E5" s="30">
        <f ca="1" t="array" ref="E5">INDEX(Data_DBD!$E:$E,$A5)</f>
        <v>1</v>
      </c>
      <c r="F5" s="30">
        <f ca="1" t="array" ref="F5">INDEX(Data_DBD!$F:$F,$A5)</f>
        <v>2</v>
      </c>
      <c r="H5" s="42">
        <v>101</v>
      </c>
      <c r="I5" s="42">
        <v>42</v>
      </c>
      <c r="J5" s="42">
        <v>5</v>
      </c>
      <c r="K5" s="42">
        <v>18</v>
      </c>
      <c r="L5" s="42">
        <v>0</v>
      </c>
      <c r="M5" s="42">
        <v>3</v>
      </c>
      <c r="O5" s="34" t="s">
        <v>181</v>
      </c>
      <c r="P5">
        <f>-(IFERROR(Q2*LOG(Q2,2),0)+IFERROR(Q3*LOG(Q3,2),0)+IFERROR(Q4*LOG(Q4,2),0))</f>
        <v>1.36253453098599</v>
      </c>
    </row>
    <row r="6" spans="1:13">
      <c r="A6" s="30">
        <f ca="1" t="shared" si="0"/>
        <v>134</v>
      </c>
      <c r="B6" s="30">
        <f ca="1" t="array" ref="B6">INDEX(Data_DBD!$B:$B,$A6)</f>
        <v>4</v>
      </c>
      <c r="C6" s="30">
        <f ca="1" t="array" ref="C6">INDEX(Data_DBD!$C:$C,$A6)</f>
        <v>2</v>
      </c>
      <c r="D6" s="30">
        <f ca="1" t="array" ref="D6">INDEX(Data_DBD!$D:$D,$A6)</f>
        <v>33</v>
      </c>
      <c r="E6" s="30">
        <f ca="1" t="array" ref="E6">INDEX(Data_DBD!$E:$E,$A6)</f>
        <v>1</v>
      </c>
      <c r="F6" s="30">
        <f ca="1" t="array" ref="F6">INDEX(Data_DBD!$F:$F,$A6)</f>
        <v>3</v>
      </c>
      <c r="H6" s="42">
        <v>95</v>
      </c>
      <c r="I6" s="42">
        <v>11</v>
      </c>
      <c r="J6" s="42">
        <v>3</v>
      </c>
      <c r="K6" s="42">
        <v>18</v>
      </c>
      <c r="L6" s="42">
        <v>1</v>
      </c>
      <c r="M6" s="42">
        <v>3</v>
      </c>
    </row>
    <row r="7" spans="1:13">
      <c r="A7" s="30">
        <f ca="1" t="shared" si="0"/>
        <v>53</v>
      </c>
      <c r="B7" s="30">
        <f ca="1" t="array" ref="B7">INDEX(Data_DBD!$B:$B,$A7)</f>
        <v>35</v>
      </c>
      <c r="C7" s="30">
        <f ca="1" t="array" ref="C7">INDEX(Data_DBD!$C:$C,$A7)</f>
        <v>4</v>
      </c>
      <c r="D7" s="30">
        <f ca="1" t="array" ref="D7">INDEX(Data_DBD!$D:$D,$A7)</f>
        <v>15</v>
      </c>
      <c r="E7" s="30">
        <f ca="1" t="array" ref="E7">INDEX(Data_DBD!$E:$E,$A7)</f>
        <v>1</v>
      </c>
      <c r="F7" s="30">
        <f ca="1" t="array" ref="F7">INDEX(Data_DBD!$F:$F,$A7)</f>
        <v>2</v>
      </c>
      <c r="H7" s="42">
        <v>31</v>
      </c>
      <c r="I7" s="42">
        <v>64</v>
      </c>
      <c r="J7" s="42">
        <v>4</v>
      </c>
      <c r="K7" s="42">
        <v>14</v>
      </c>
      <c r="L7" s="42">
        <v>1</v>
      </c>
      <c r="M7" s="42">
        <v>2</v>
      </c>
    </row>
    <row r="8" spans="1:13">
      <c r="A8" s="30">
        <f ca="1" t="shared" si="0"/>
        <v>38</v>
      </c>
      <c r="B8" s="30">
        <f ca="1" t="array" ref="B8">INDEX(Data_DBD!$B:$B,$A8)</f>
        <v>52</v>
      </c>
      <c r="C8" s="30">
        <f ca="1" t="array" ref="C8">INDEX(Data_DBD!$C:$C,$A8)</f>
        <v>3</v>
      </c>
      <c r="D8" s="30">
        <f ca="1" t="array" ref="D8">INDEX(Data_DBD!$D:$D,$A8)</f>
        <v>4</v>
      </c>
      <c r="E8" s="30">
        <f ca="1" t="array" ref="E8">INDEX(Data_DBD!$E:$E,$A8)</f>
        <v>1</v>
      </c>
      <c r="F8" s="30">
        <f ca="1" t="array" ref="F8">INDEX(Data_DBD!$F:$F,$A8)</f>
        <v>1</v>
      </c>
      <c r="H8" s="42">
        <v>119</v>
      </c>
      <c r="I8" s="42">
        <v>30</v>
      </c>
      <c r="J8" s="42">
        <v>7</v>
      </c>
      <c r="K8" s="42">
        <v>33</v>
      </c>
      <c r="L8" s="42">
        <v>0</v>
      </c>
      <c r="M8" s="42">
        <v>3</v>
      </c>
    </row>
    <row r="9" spans="1:13">
      <c r="A9" s="30">
        <f ca="1" t="shared" si="0"/>
        <v>127</v>
      </c>
      <c r="B9" s="30">
        <f ca="1" t="array" ref="B9">INDEX(Data_DBD!$B:$B,$A9)</f>
        <v>21</v>
      </c>
      <c r="C9" s="30">
        <f ca="1" t="array" ref="C9">INDEX(Data_DBD!$C:$C,$A9)</f>
        <v>2</v>
      </c>
      <c r="D9" s="30">
        <f ca="1" t="array" ref="D9">INDEX(Data_DBD!$D:$D,$A9)</f>
        <v>33</v>
      </c>
      <c r="E9" s="30">
        <f ca="1" t="array" ref="E9">INDEX(Data_DBD!$E:$E,$A9)</f>
        <v>0</v>
      </c>
      <c r="F9" s="30">
        <f ca="1" t="array" ref="F9">INDEX(Data_DBD!$F:$F,$A9)</f>
        <v>3</v>
      </c>
      <c r="H9" s="42">
        <v>137</v>
      </c>
      <c r="I9" s="42">
        <v>3.5</v>
      </c>
      <c r="J9" s="42">
        <v>1</v>
      </c>
      <c r="K9" s="42">
        <v>33</v>
      </c>
      <c r="L9" s="42">
        <v>1</v>
      </c>
      <c r="M9" s="42">
        <v>3</v>
      </c>
    </row>
    <row r="10" spans="1:13">
      <c r="A10" s="30">
        <f ca="1" t="shared" si="0"/>
        <v>57</v>
      </c>
      <c r="B10" s="30">
        <f ca="1" t="array" ref="B10">INDEX(Data_DBD!$B:$B,$A10)</f>
        <v>2</v>
      </c>
      <c r="C10" s="30">
        <f ca="1" t="array" ref="C10">INDEX(Data_DBD!$C:$C,$A10)</f>
        <v>2</v>
      </c>
      <c r="D10" s="30">
        <f ca="1" t="array" ref="D10">INDEX(Data_DBD!$D:$D,$A10)</f>
        <v>15</v>
      </c>
      <c r="E10" s="30">
        <f ca="1" t="array" ref="E10">INDEX(Data_DBD!$E:$E,$A10)</f>
        <v>1</v>
      </c>
      <c r="F10" s="30">
        <f ca="1" t="array" ref="F10">INDEX(Data_DBD!$F:$F,$A10)</f>
        <v>2</v>
      </c>
      <c r="H10" s="42">
        <v>7</v>
      </c>
      <c r="I10" s="42">
        <v>12</v>
      </c>
      <c r="J10" s="42">
        <v>1</v>
      </c>
      <c r="K10" s="42">
        <v>12</v>
      </c>
      <c r="L10" s="42">
        <v>1</v>
      </c>
      <c r="M10" s="42">
        <v>2</v>
      </c>
    </row>
    <row r="11" spans="1:13">
      <c r="A11" s="30">
        <f ca="1" t="shared" si="0"/>
        <v>34</v>
      </c>
      <c r="B11" s="30">
        <f ca="1" t="array" ref="B11">INDEX(Data_DBD!$B:$B,$A11)</f>
        <v>55</v>
      </c>
      <c r="C11" s="30">
        <f ca="1" t="array" ref="C11">INDEX(Data_DBD!$C:$C,$A11)</f>
        <v>3</v>
      </c>
      <c r="D11" s="30">
        <f ca="1" t="array" ref="D11">INDEX(Data_DBD!$D:$D,$A11)</f>
        <v>14</v>
      </c>
      <c r="E11" s="30">
        <f ca="1" t="array" ref="E11">INDEX(Data_DBD!$E:$E,$A11)</f>
        <v>0</v>
      </c>
      <c r="F11" s="30">
        <f ca="1" t="array" ref="F11">INDEX(Data_DBD!$F:$F,$A11)</f>
        <v>2</v>
      </c>
      <c r="H11" s="42">
        <v>95</v>
      </c>
      <c r="I11" s="42">
        <v>11</v>
      </c>
      <c r="J11" s="42">
        <v>3</v>
      </c>
      <c r="K11" s="42">
        <v>18</v>
      </c>
      <c r="L11" s="42">
        <v>1</v>
      </c>
      <c r="M11" s="42">
        <v>3</v>
      </c>
    </row>
    <row r="12" spans="1:13">
      <c r="A12" s="30">
        <f ca="1" t="shared" si="0"/>
        <v>160</v>
      </c>
      <c r="B12" s="30">
        <f ca="1" t="array" ref="B12">INDEX(Data_DBD!$B:$B,$A12)</f>
        <v>16</v>
      </c>
      <c r="C12" s="30">
        <f ca="1" t="array" ref="C12">INDEX(Data_DBD!$C:$C,$A12)</f>
        <v>3</v>
      </c>
      <c r="D12" s="30">
        <f ca="1" t="array" ref="D12">INDEX(Data_DBD!$D:$D,$A12)</f>
        <v>21</v>
      </c>
      <c r="E12" s="30">
        <f ca="1" t="array" ref="E12">INDEX(Data_DBD!$E:$E,$A12)</f>
        <v>0</v>
      </c>
      <c r="F12" s="30">
        <f ca="1" t="array" ref="F12">INDEX(Data_DBD!$F:$F,$A12)</f>
        <v>3</v>
      </c>
      <c r="H12" s="42">
        <v>86</v>
      </c>
      <c r="I12" s="42">
        <v>23</v>
      </c>
      <c r="J12" s="42">
        <v>3</v>
      </c>
      <c r="K12" s="42">
        <v>13</v>
      </c>
      <c r="L12" s="42">
        <v>0</v>
      </c>
      <c r="M12" s="42">
        <v>2</v>
      </c>
    </row>
    <row r="13" spans="1:13">
      <c r="A13" s="30">
        <f ca="1" t="shared" si="0"/>
        <v>158</v>
      </c>
      <c r="B13" s="30">
        <f ca="1" t="array" ref="B13">INDEX(Data_DBD!$B:$B,$A13)</f>
        <v>5</v>
      </c>
      <c r="C13" s="30">
        <f ca="1" t="array" ref="C13">INDEX(Data_DBD!$C:$C,$A13)</f>
        <v>2</v>
      </c>
      <c r="D13" s="30">
        <f ca="1" t="array" ref="D13">INDEX(Data_DBD!$D:$D,$A13)</f>
        <v>21</v>
      </c>
      <c r="E13" s="30">
        <f ca="1" t="array" ref="E13">INDEX(Data_DBD!$E:$E,$A13)</f>
        <v>0</v>
      </c>
      <c r="F13" s="30">
        <f ca="1" t="array" ref="F13">INDEX(Data_DBD!$F:$F,$A13)</f>
        <v>3</v>
      </c>
      <c r="H13" s="42">
        <v>27</v>
      </c>
      <c r="I13" s="42">
        <v>37</v>
      </c>
      <c r="J13" s="42">
        <v>4</v>
      </c>
      <c r="K13" s="42">
        <v>14</v>
      </c>
      <c r="L13" s="42">
        <v>1</v>
      </c>
      <c r="M13" s="42">
        <v>2</v>
      </c>
    </row>
    <row r="14" spans="1:13">
      <c r="A14" s="30">
        <f ca="1" t="shared" si="0"/>
        <v>100</v>
      </c>
      <c r="B14" s="30">
        <f ca="1" t="array" ref="B14">INDEX(Data_DBD!$B:$B,$A14)</f>
        <v>19</v>
      </c>
      <c r="C14" s="30">
        <f ca="1" t="array" ref="C14">INDEX(Data_DBD!$C:$C,$A14)</f>
        <v>6</v>
      </c>
      <c r="D14" s="30">
        <f ca="1" t="array" ref="D14">INDEX(Data_DBD!$D:$D,$A14)</f>
        <v>18</v>
      </c>
      <c r="E14" s="30">
        <f ca="1" t="array" ref="E14">INDEX(Data_DBD!$E:$E,$A14)</f>
        <v>0</v>
      </c>
      <c r="F14" s="30">
        <f ca="1" t="array" ref="F14">INDEX(Data_DBD!$F:$F,$A14)</f>
        <v>3</v>
      </c>
      <c r="H14" s="42">
        <v>11</v>
      </c>
      <c r="I14" s="42">
        <v>24</v>
      </c>
      <c r="J14" s="42">
        <v>5</v>
      </c>
      <c r="K14" s="42">
        <v>12</v>
      </c>
      <c r="L14" s="42">
        <v>1</v>
      </c>
      <c r="M14" s="42">
        <v>2</v>
      </c>
    </row>
    <row r="15" spans="1:13">
      <c r="A15" s="30">
        <f ca="1" t="shared" si="0"/>
        <v>95</v>
      </c>
      <c r="B15" s="30">
        <f ca="1" t="array" ref="B15">INDEX(Data_DBD!$B:$B,$A15)</f>
        <v>11</v>
      </c>
      <c r="C15" s="30">
        <f ca="1" t="array" ref="C15">INDEX(Data_DBD!$C:$C,$A15)</f>
        <v>3</v>
      </c>
      <c r="D15" s="30">
        <f ca="1" t="array" ref="D15">INDEX(Data_DBD!$D:$D,$A15)</f>
        <v>18</v>
      </c>
      <c r="E15" s="30">
        <f ca="1" t="array" ref="E15">INDEX(Data_DBD!$E:$E,$A15)</f>
        <v>1</v>
      </c>
      <c r="F15" s="30">
        <f ca="1" t="array" ref="F15">INDEX(Data_DBD!$F:$F,$A15)</f>
        <v>3</v>
      </c>
      <c r="H15" s="42">
        <v>68</v>
      </c>
      <c r="I15" s="42">
        <v>44</v>
      </c>
      <c r="J15" s="42">
        <v>5</v>
      </c>
      <c r="K15" s="42">
        <v>10</v>
      </c>
      <c r="L15" s="42">
        <v>0</v>
      </c>
      <c r="M15" s="42">
        <v>2</v>
      </c>
    </row>
    <row r="16" spans="1:13">
      <c r="A16" s="30">
        <f ca="1" t="shared" si="0"/>
        <v>159</v>
      </c>
      <c r="B16" s="30">
        <f ca="1" t="array" ref="B16">INDEX(Data_DBD!$B:$B,$A16)</f>
        <v>17</v>
      </c>
      <c r="C16" s="30">
        <f ca="1" t="array" ref="C16">INDEX(Data_DBD!$C:$C,$A16)</f>
        <v>2</v>
      </c>
      <c r="D16" s="30">
        <f ca="1" t="array" ref="D16">INDEX(Data_DBD!$D:$D,$A16)</f>
        <v>21</v>
      </c>
      <c r="E16" s="30">
        <f ca="1" t="array" ref="E16">INDEX(Data_DBD!$E:$E,$A16)</f>
        <v>0</v>
      </c>
      <c r="F16" s="30">
        <f ca="1" t="array" ref="F16">INDEX(Data_DBD!$F:$F,$A16)</f>
        <v>3</v>
      </c>
      <c r="H16" s="42">
        <v>150</v>
      </c>
      <c r="I16" s="42">
        <v>61</v>
      </c>
      <c r="J16" s="42">
        <v>5</v>
      </c>
      <c r="K16" s="42">
        <v>21</v>
      </c>
      <c r="L16" s="42">
        <v>1</v>
      </c>
      <c r="M16" s="42">
        <v>3</v>
      </c>
    </row>
    <row r="17" spans="1:13">
      <c r="A17" s="30">
        <f ca="1" t="shared" si="0"/>
        <v>88</v>
      </c>
      <c r="B17" s="30">
        <f ca="1" t="array" ref="B17">INDEX(Data_DBD!$B:$B,$A17)</f>
        <v>20</v>
      </c>
      <c r="C17" s="30">
        <f ca="1" t="array" ref="C17">INDEX(Data_DBD!$C:$C,$A17)</f>
        <v>4</v>
      </c>
      <c r="D17" s="30">
        <f ca="1" t="array" ref="D17">INDEX(Data_DBD!$D:$D,$A17)</f>
        <v>13</v>
      </c>
      <c r="E17" s="30">
        <f ca="1" t="array" ref="E17">INDEX(Data_DBD!$E:$E,$A17)</f>
        <v>1</v>
      </c>
      <c r="F17" s="30">
        <f ca="1" t="array" ref="F17">INDEX(Data_DBD!$F:$F,$A17)</f>
        <v>2</v>
      </c>
      <c r="H17" s="42">
        <v>160</v>
      </c>
      <c r="I17" s="42">
        <v>16</v>
      </c>
      <c r="J17" s="42">
        <v>3</v>
      </c>
      <c r="K17" s="42">
        <v>21</v>
      </c>
      <c r="L17" s="42">
        <v>0</v>
      </c>
      <c r="M17" s="42">
        <v>3</v>
      </c>
    </row>
    <row r="18" spans="1:13">
      <c r="A18" s="30">
        <f ca="1" t="shared" si="0"/>
        <v>121</v>
      </c>
      <c r="B18" s="30">
        <f ca="1" t="array" ref="B18">INDEX(Data_DBD!$B:$B,$A18)</f>
        <v>82</v>
      </c>
      <c r="C18" s="30">
        <f ca="1" t="array" ref="C18">INDEX(Data_DBD!$C:$C,$A18)</f>
        <v>5</v>
      </c>
      <c r="D18" s="30">
        <f ca="1" t="array" ref="D18">INDEX(Data_DBD!$D:$D,$A18)</f>
        <v>33</v>
      </c>
      <c r="E18" s="30">
        <f ca="1" t="array" ref="E18">INDEX(Data_DBD!$E:$E,$A18)</f>
        <v>1</v>
      </c>
      <c r="F18" s="30">
        <f ca="1" t="array" ref="F18">INDEX(Data_DBD!$F:$F,$A18)</f>
        <v>3</v>
      </c>
      <c r="H18" s="42">
        <v>90</v>
      </c>
      <c r="I18" s="42">
        <v>47</v>
      </c>
      <c r="J18" s="42">
        <v>3</v>
      </c>
      <c r="K18" s="42">
        <v>18</v>
      </c>
      <c r="L18" s="42">
        <v>0</v>
      </c>
      <c r="M18" s="42">
        <v>3</v>
      </c>
    </row>
    <row r="19" spans="1:13">
      <c r="A19" s="30">
        <f ca="1" t="shared" si="0"/>
        <v>110</v>
      </c>
      <c r="B19" s="30">
        <f ca="1" t="array" ref="B19">INDEX(Data_DBD!$B:$B,$A19)</f>
        <v>42</v>
      </c>
      <c r="C19" s="30">
        <f ca="1" t="array" ref="C19">INDEX(Data_DBD!$C:$C,$A19)</f>
        <v>2</v>
      </c>
      <c r="D19" s="30">
        <f ca="1" t="array" ref="D19">INDEX(Data_DBD!$D:$D,$A19)</f>
        <v>33</v>
      </c>
      <c r="E19" s="30">
        <f ca="1" t="array" ref="E19">INDEX(Data_DBD!$E:$E,$A19)</f>
        <v>1</v>
      </c>
      <c r="F19" s="30">
        <f ca="1" t="array" ref="F19">INDEX(Data_DBD!$F:$F,$A19)</f>
        <v>3</v>
      </c>
      <c r="H19" s="42">
        <v>110</v>
      </c>
      <c r="I19" s="42">
        <v>42</v>
      </c>
      <c r="J19" s="42">
        <v>2</v>
      </c>
      <c r="K19" s="42">
        <v>33</v>
      </c>
      <c r="L19" s="42">
        <v>1</v>
      </c>
      <c r="M19" s="42">
        <v>3</v>
      </c>
    </row>
    <row r="20" spans="1:13">
      <c r="A20" s="30">
        <f ca="1" t="shared" si="0"/>
        <v>56</v>
      </c>
      <c r="B20" s="30">
        <f ca="1" t="array" ref="B20">INDEX(Data_DBD!$B:$B,$A20)</f>
        <v>4</v>
      </c>
      <c r="C20" s="30">
        <f ca="1" t="array" ref="C20">INDEX(Data_DBD!$C:$C,$A20)</f>
        <v>3</v>
      </c>
      <c r="D20" s="30">
        <f ca="1" t="array" ref="D20">INDEX(Data_DBD!$D:$D,$A20)</f>
        <v>15</v>
      </c>
      <c r="E20" s="30">
        <f ca="1" t="array" ref="E20">INDEX(Data_DBD!$E:$E,$A20)</f>
        <v>0</v>
      </c>
      <c r="F20" s="30">
        <f ca="1" t="array" ref="F20">INDEX(Data_DBD!$F:$F,$A20)</f>
        <v>2</v>
      </c>
      <c r="H20" s="42">
        <v>41</v>
      </c>
      <c r="I20" s="42">
        <v>8</v>
      </c>
      <c r="J20" s="42">
        <v>4</v>
      </c>
      <c r="K20" s="42">
        <v>13</v>
      </c>
      <c r="L20" s="42">
        <v>0</v>
      </c>
      <c r="M20" s="42">
        <v>2</v>
      </c>
    </row>
    <row r="21" spans="1:13">
      <c r="A21" s="30">
        <f ca="1" t="shared" si="0"/>
        <v>38</v>
      </c>
      <c r="B21" s="30">
        <f ca="1" t="array" ref="B21">INDEX(Data_DBD!$B:$B,$A21)</f>
        <v>52</v>
      </c>
      <c r="C21" s="30">
        <f ca="1" t="array" ref="C21">INDEX(Data_DBD!$C:$C,$A21)</f>
        <v>3</v>
      </c>
      <c r="D21" s="30">
        <f ca="1" t="array" ref="D21">INDEX(Data_DBD!$D:$D,$A21)</f>
        <v>4</v>
      </c>
      <c r="E21" s="30">
        <f ca="1" t="array" ref="E21">INDEX(Data_DBD!$E:$E,$A21)</f>
        <v>1</v>
      </c>
      <c r="F21" s="30">
        <f ca="1" t="array" ref="F21">INDEX(Data_DBD!$F:$F,$A21)</f>
        <v>1</v>
      </c>
      <c r="H21" s="42">
        <v>91</v>
      </c>
      <c r="I21" s="42">
        <v>35</v>
      </c>
      <c r="J21" s="42">
        <v>1</v>
      </c>
      <c r="K21" s="42">
        <v>18</v>
      </c>
      <c r="L21" s="42">
        <v>1</v>
      </c>
      <c r="M21" s="42">
        <v>3</v>
      </c>
    </row>
    <row r="22" spans="1:13">
      <c r="A22" s="30">
        <f ca="1" t="shared" si="0"/>
        <v>161</v>
      </c>
      <c r="B22" s="30">
        <f ca="1" t="array" ref="B22">INDEX(Data_DBD!$B:$B,$A22)</f>
        <v>12</v>
      </c>
      <c r="C22" s="30">
        <f ca="1" t="array" ref="C22">INDEX(Data_DBD!$C:$C,$A22)</f>
        <v>3</v>
      </c>
      <c r="D22" s="30">
        <f ca="1" t="array" ref="D22">INDEX(Data_DBD!$D:$D,$A22)</f>
        <v>21</v>
      </c>
      <c r="E22" s="30">
        <f ca="1" t="array" ref="E22">INDEX(Data_DBD!$E:$E,$A22)</f>
        <v>1</v>
      </c>
      <c r="F22" s="30">
        <f ca="1" t="array" ref="F22">INDEX(Data_DBD!$F:$F,$A22)</f>
        <v>3</v>
      </c>
      <c r="H22" s="42">
        <v>134</v>
      </c>
      <c r="I22" s="42">
        <v>4</v>
      </c>
      <c r="J22" s="42">
        <v>2</v>
      </c>
      <c r="K22" s="42">
        <v>33</v>
      </c>
      <c r="L22" s="42">
        <v>1</v>
      </c>
      <c r="M22" s="42">
        <v>3</v>
      </c>
    </row>
    <row r="23" spans="1:13">
      <c r="A23" s="30">
        <f ca="1" t="shared" si="0"/>
        <v>55</v>
      </c>
      <c r="B23" s="30">
        <f ca="1" t="array" ref="B23">INDEX(Data_DBD!$B:$B,$A23)</f>
        <v>7</v>
      </c>
      <c r="C23" s="30">
        <f ca="1" t="array" ref="C23">INDEX(Data_DBD!$C:$C,$A23)</f>
        <v>4</v>
      </c>
      <c r="D23" s="30">
        <f ca="1" t="array" ref="D23">INDEX(Data_DBD!$D:$D,$A23)</f>
        <v>15</v>
      </c>
      <c r="E23" s="30">
        <f ca="1" t="array" ref="E23">INDEX(Data_DBD!$E:$E,$A23)</f>
        <v>1</v>
      </c>
      <c r="F23" s="30">
        <f ca="1" t="array" ref="F23">INDEX(Data_DBD!$F:$F,$A23)</f>
        <v>2</v>
      </c>
      <c r="H23" s="42">
        <v>102</v>
      </c>
      <c r="I23" s="42">
        <v>41</v>
      </c>
      <c r="J23" s="42">
        <v>4</v>
      </c>
      <c r="K23" s="42">
        <v>18</v>
      </c>
      <c r="L23" s="42">
        <v>0</v>
      </c>
      <c r="M23" s="42">
        <v>3</v>
      </c>
    </row>
    <row r="24" spans="1:13">
      <c r="A24" s="30">
        <f ca="1" t="shared" si="0"/>
        <v>45</v>
      </c>
      <c r="B24" s="30">
        <f ca="1" t="array" ref="B24">INDEX(Data_DBD!$B:$B,$A24)</f>
        <v>75</v>
      </c>
      <c r="C24" s="30">
        <f ca="1" t="array" ref="C24">INDEX(Data_DBD!$C:$C,$A24)</f>
        <v>3</v>
      </c>
      <c r="D24" s="30">
        <f ca="1" t="array" ref="D24">INDEX(Data_DBD!$D:$D,$A24)</f>
        <v>13</v>
      </c>
      <c r="E24" s="30">
        <f ca="1" t="array" ref="E24">INDEX(Data_DBD!$E:$E,$A24)</f>
        <v>1</v>
      </c>
      <c r="F24" s="30">
        <f ca="1" t="array" ref="F24">INDEX(Data_DBD!$F:$F,$A24)</f>
        <v>2</v>
      </c>
      <c r="H24" s="42">
        <v>130</v>
      </c>
      <c r="I24" s="42">
        <v>12</v>
      </c>
      <c r="J24" s="42">
        <v>4</v>
      </c>
      <c r="K24" s="42">
        <v>33</v>
      </c>
      <c r="L24" s="42">
        <v>0</v>
      </c>
      <c r="M24" s="42">
        <v>3</v>
      </c>
    </row>
    <row r="25" spans="1:13">
      <c r="A25" s="30">
        <f ca="1" t="shared" si="0"/>
        <v>152</v>
      </c>
      <c r="B25" s="30">
        <f ca="1" t="array" ref="B25">INDEX(Data_DBD!$B:$B,$A25)</f>
        <v>47</v>
      </c>
      <c r="C25" s="30">
        <f ca="1" t="array" ref="C25">INDEX(Data_DBD!$C:$C,$A25)</f>
        <v>3</v>
      </c>
      <c r="D25" s="30">
        <f ca="1" t="array" ref="D25">INDEX(Data_DBD!$D:$D,$A25)</f>
        <v>21</v>
      </c>
      <c r="E25" s="30">
        <f ca="1" t="array" ref="E25">INDEX(Data_DBD!$E:$E,$A25)</f>
        <v>1</v>
      </c>
      <c r="F25" s="30">
        <f ca="1" t="array" ref="F25">INDEX(Data_DBD!$F:$F,$A25)</f>
        <v>3</v>
      </c>
      <c r="H25" s="42">
        <v>87</v>
      </c>
      <c r="I25" s="42">
        <v>21</v>
      </c>
      <c r="J25" s="42">
        <v>3</v>
      </c>
      <c r="K25" s="42">
        <v>13</v>
      </c>
      <c r="L25" s="42">
        <v>0</v>
      </c>
      <c r="M25" s="42">
        <v>2</v>
      </c>
    </row>
    <row r="26" spans="1:13">
      <c r="A26" s="30">
        <f ca="1" t="shared" si="0"/>
        <v>117</v>
      </c>
      <c r="B26" s="30">
        <f ca="1" t="array" ref="B26">INDEX(Data_DBD!$B:$B,$A26)</f>
        <v>49</v>
      </c>
      <c r="C26" s="30">
        <f ca="1" t="array" ref="C26">INDEX(Data_DBD!$C:$C,$A26)</f>
        <v>4</v>
      </c>
      <c r="D26" s="30">
        <f ca="1" t="array" ref="D26">INDEX(Data_DBD!$D:$D,$A26)</f>
        <v>33</v>
      </c>
      <c r="E26" s="30">
        <f ca="1" t="array" ref="E26">INDEX(Data_DBD!$E:$E,$A26)</f>
        <v>1</v>
      </c>
      <c r="F26" s="30">
        <f ca="1" t="array" ref="F26">INDEX(Data_DBD!$F:$F,$A26)</f>
        <v>3</v>
      </c>
      <c r="H26" s="42">
        <v>155</v>
      </c>
      <c r="I26" s="42">
        <v>19</v>
      </c>
      <c r="J26" s="42">
        <v>5</v>
      </c>
      <c r="K26" s="42">
        <v>21</v>
      </c>
      <c r="L26" s="42">
        <v>1</v>
      </c>
      <c r="M26" s="42">
        <v>3</v>
      </c>
    </row>
    <row r="27" spans="1:13">
      <c r="A27" s="30">
        <f ca="1" t="shared" si="0"/>
        <v>125</v>
      </c>
      <c r="B27" s="30">
        <f ca="1" t="array" ref="B27">INDEX(Data_DBD!$B:$B,$A27)</f>
        <v>39</v>
      </c>
      <c r="C27" s="30">
        <f ca="1" t="array" ref="C27">INDEX(Data_DBD!$C:$C,$A27)</f>
        <v>4</v>
      </c>
      <c r="D27" s="30">
        <f ca="1" t="array" ref="D27">INDEX(Data_DBD!$D:$D,$A27)</f>
        <v>33</v>
      </c>
      <c r="E27" s="30">
        <f ca="1" t="array" ref="E27">INDEX(Data_DBD!$E:$E,$A27)</f>
        <v>0</v>
      </c>
      <c r="F27" s="30">
        <f ca="1" t="array" ref="F27">INDEX(Data_DBD!$F:$F,$A27)</f>
        <v>3</v>
      </c>
      <c r="H27" s="42">
        <v>152</v>
      </c>
      <c r="I27" s="42">
        <v>47</v>
      </c>
      <c r="J27" s="42">
        <v>3</v>
      </c>
      <c r="K27" s="42">
        <v>21</v>
      </c>
      <c r="L27" s="42">
        <v>1</v>
      </c>
      <c r="M27" s="42">
        <v>3</v>
      </c>
    </row>
    <row r="28" spans="1:13">
      <c r="A28" s="30">
        <f ca="1" t="shared" si="0"/>
        <v>119</v>
      </c>
      <c r="B28" s="30">
        <f ca="1" t="array" ref="B28">INDEX(Data_DBD!$B:$B,$A28)</f>
        <v>30</v>
      </c>
      <c r="C28" s="30">
        <f ca="1" t="array" ref="C28">INDEX(Data_DBD!$C:$C,$A28)</f>
        <v>7</v>
      </c>
      <c r="D28" s="30">
        <f ca="1" t="array" ref="D28">INDEX(Data_DBD!$D:$D,$A28)</f>
        <v>33</v>
      </c>
      <c r="E28" s="30">
        <f ca="1" t="array" ref="E28">INDEX(Data_DBD!$E:$E,$A28)</f>
        <v>0</v>
      </c>
      <c r="F28" s="30">
        <f ca="1" t="array" ref="F28">INDEX(Data_DBD!$F:$F,$A28)</f>
        <v>3</v>
      </c>
      <c r="H28" s="42">
        <v>51</v>
      </c>
      <c r="I28" s="42">
        <v>48</v>
      </c>
      <c r="J28" s="42">
        <v>4</v>
      </c>
      <c r="K28" s="42">
        <v>13</v>
      </c>
      <c r="L28" s="42">
        <v>0</v>
      </c>
      <c r="M28" s="42">
        <v>2</v>
      </c>
    </row>
    <row r="29" spans="1:13">
      <c r="A29" s="30">
        <f ca="1" t="shared" si="0"/>
        <v>63</v>
      </c>
      <c r="B29" s="30">
        <f ca="1" t="array" ref="B29">INDEX(Data_DBD!$B:$B,$A29)</f>
        <v>25</v>
      </c>
      <c r="C29" s="30">
        <f ca="1" t="array" ref="C29">INDEX(Data_DBD!$C:$C,$A29)</f>
        <v>3</v>
      </c>
      <c r="D29" s="30">
        <f ca="1" t="array" ref="D29">INDEX(Data_DBD!$D:$D,$A29)</f>
        <v>15</v>
      </c>
      <c r="E29" s="30">
        <f ca="1" t="array" ref="E29">INDEX(Data_DBD!$E:$E,$A29)</f>
        <v>0</v>
      </c>
      <c r="F29" s="30">
        <f ca="1" t="array" ref="F29">INDEX(Data_DBD!$F:$F,$A29)</f>
        <v>2</v>
      </c>
      <c r="H29" s="42">
        <v>67</v>
      </c>
      <c r="I29" s="42">
        <v>21</v>
      </c>
      <c r="J29" s="42">
        <v>3</v>
      </c>
      <c r="K29" s="42">
        <v>10</v>
      </c>
      <c r="L29" s="42">
        <v>1</v>
      </c>
      <c r="M29" s="42">
        <v>2</v>
      </c>
    </row>
    <row r="30" spans="1:13">
      <c r="A30" s="30">
        <f ca="1" t="shared" si="0"/>
        <v>53</v>
      </c>
      <c r="B30" s="30">
        <f ca="1" t="array" ref="B30">INDEX(Data_DBD!$B:$B,$A30)</f>
        <v>35</v>
      </c>
      <c r="C30" s="30">
        <f ca="1" t="array" ref="C30">INDEX(Data_DBD!$C:$C,$A30)</f>
        <v>4</v>
      </c>
      <c r="D30" s="30">
        <f ca="1" t="array" ref="D30">INDEX(Data_DBD!$D:$D,$A30)</f>
        <v>15</v>
      </c>
      <c r="E30" s="30">
        <f ca="1" t="array" ref="E30">INDEX(Data_DBD!$E:$E,$A30)</f>
        <v>1</v>
      </c>
      <c r="F30" s="30">
        <f ca="1" t="array" ref="F30">INDEX(Data_DBD!$F:$F,$A30)</f>
        <v>2</v>
      </c>
      <c r="H30" s="42">
        <v>150</v>
      </c>
      <c r="I30" s="42">
        <v>61</v>
      </c>
      <c r="J30" s="42">
        <v>5</v>
      </c>
      <c r="K30" s="42">
        <v>21</v>
      </c>
      <c r="L30" s="42">
        <v>1</v>
      </c>
      <c r="M30" s="42">
        <v>3</v>
      </c>
    </row>
    <row r="31" spans="1:13">
      <c r="A31" s="30">
        <f ca="1" t="shared" si="0"/>
        <v>148</v>
      </c>
      <c r="B31" s="30">
        <f ca="1" t="array" ref="B31">INDEX(Data_DBD!$B:$B,$A31)</f>
        <v>55</v>
      </c>
      <c r="C31" s="30">
        <f ca="1" t="array" ref="C31">INDEX(Data_DBD!$C:$C,$A31)</f>
        <v>3</v>
      </c>
      <c r="D31" s="30">
        <f ca="1" t="array" ref="D31">INDEX(Data_DBD!$D:$D,$A31)</f>
        <v>21</v>
      </c>
      <c r="E31" s="30">
        <f ca="1" t="array" ref="E31">INDEX(Data_DBD!$E:$E,$A31)</f>
        <v>1</v>
      </c>
      <c r="F31" s="30">
        <f ca="1" t="array" ref="F31">INDEX(Data_DBD!$F:$F,$A31)</f>
        <v>3</v>
      </c>
      <c r="H31" s="42">
        <v>63</v>
      </c>
      <c r="I31" s="42">
        <v>25</v>
      </c>
      <c r="J31" s="42">
        <v>3</v>
      </c>
      <c r="K31" s="42">
        <v>15</v>
      </c>
      <c r="L31" s="42">
        <v>0</v>
      </c>
      <c r="M31" s="42">
        <v>2</v>
      </c>
    </row>
    <row r="32" spans="1:13">
      <c r="A32" s="30">
        <f ca="1" t="shared" si="0"/>
        <v>57</v>
      </c>
      <c r="B32" s="30">
        <f ca="1" t="array" ref="B32">INDEX(Data_DBD!$B:$B,$A32)</f>
        <v>2</v>
      </c>
      <c r="C32" s="30">
        <f ca="1" t="array" ref="C32">INDEX(Data_DBD!$C:$C,$A32)</f>
        <v>2</v>
      </c>
      <c r="D32" s="30">
        <f ca="1" t="array" ref="D32">INDEX(Data_DBD!$D:$D,$A32)</f>
        <v>15</v>
      </c>
      <c r="E32" s="30">
        <f ca="1" t="array" ref="E32">INDEX(Data_DBD!$E:$E,$A32)</f>
        <v>1</v>
      </c>
      <c r="F32" s="30">
        <f ca="1" t="array" ref="F32">INDEX(Data_DBD!$F:$F,$A32)</f>
        <v>2</v>
      </c>
      <c r="H32" s="42">
        <v>123</v>
      </c>
      <c r="I32" s="42">
        <v>22</v>
      </c>
      <c r="J32" s="42">
        <v>4</v>
      </c>
      <c r="K32" s="42">
        <v>33</v>
      </c>
      <c r="L32" s="42">
        <v>0</v>
      </c>
      <c r="M32" s="42">
        <v>3</v>
      </c>
    </row>
    <row r="33" spans="1:13">
      <c r="A33" s="30">
        <f ca="1" t="shared" si="0"/>
        <v>30</v>
      </c>
      <c r="B33" s="30" t="str">
        <f ca="1" t="array" ref="B33">INDEX(Data_DBD!$B:$B,$A33)</f>
        <v>2,8</v>
      </c>
      <c r="C33" s="30">
        <f ca="1" t="array" ref="C33">INDEX(Data_DBD!$C:$C,$A33)</f>
        <v>2</v>
      </c>
      <c r="D33" s="30">
        <f ca="1" t="array" ref="D33">INDEX(Data_DBD!$D:$D,$A33)</f>
        <v>14</v>
      </c>
      <c r="E33" s="30">
        <f ca="1" t="array" ref="E33">INDEX(Data_DBD!$E:$E,$A33)</f>
        <v>1</v>
      </c>
      <c r="F33" s="30">
        <f ca="1" t="array" ref="F33">INDEX(Data_DBD!$F:$F,$A33)</f>
        <v>2</v>
      </c>
      <c r="H33" s="42">
        <v>130</v>
      </c>
      <c r="I33" s="42">
        <v>12</v>
      </c>
      <c r="J33" s="42">
        <v>4</v>
      </c>
      <c r="K33" s="42">
        <v>33</v>
      </c>
      <c r="L33" s="42">
        <v>0</v>
      </c>
      <c r="M33" s="42">
        <v>3</v>
      </c>
    </row>
    <row r="34" spans="1:13">
      <c r="A34" s="30">
        <f ca="1" t="shared" si="0"/>
        <v>75</v>
      </c>
      <c r="B34" s="30">
        <f ca="1" t="array" ref="B34">INDEX(Data_DBD!$B:$B,$A34)</f>
        <v>2</v>
      </c>
      <c r="C34" s="30">
        <f ca="1" t="array" ref="C34">INDEX(Data_DBD!$C:$C,$A34)</f>
        <v>2</v>
      </c>
      <c r="D34" s="30">
        <f ca="1" t="array" ref="D34">INDEX(Data_DBD!$D:$D,$A34)</f>
        <v>10</v>
      </c>
      <c r="E34" s="30">
        <f ca="1" t="array" ref="E34">INDEX(Data_DBD!$E:$E,$A34)</f>
        <v>1</v>
      </c>
      <c r="F34" s="30">
        <f ca="1" t="array" ref="F34">INDEX(Data_DBD!$F:$F,$A34)</f>
        <v>2</v>
      </c>
      <c r="H34" s="42">
        <v>59</v>
      </c>
      <c r="I34" s="42">
        <v>28</v>
      </c>
      <c r="J34" s="42">
        <v>4</v>
      </c>
      <c r="K34" s="42">
        <v>15</v>
      </c>
      <c r="L34" s="42">
        <v>0</v>
      </c>
      <c r="M34" s="42">
        <v>2</v>
      </c>
    </row>
    <row r="35" spans="1:13">
      <c r="A35" s="30">
        <f ca="1" t="shared" si="0"/>
        <v>72</v>
      </c>
      <c r="B35" s="30">
        <f ca="1" t="array" ref="B35">INDEX(Data_DBD!$B:$B,$A35)</f>
        <v>3</v>
      </c>
      <c r="C35" s="30">
        <f ca="1" t="array" ref="C35">INDEX(Data_DBD!$C:$C,$A35)</f>
        <v>5</v>
      </c>
      <c r="D35" s="30">
        <f ca="1" t="array" ref="D35">INDEX(Data_DBD!$D:$D,$A35)</f>
        <v>10</v>
      </c>
      <c r="E35" s="30">
        <f ca="1" t="array" ref="E35">INDEX(Data_DBD!$E:$E,$A35)</f>
        <v>1</v>
      </c>
      <c r="F35" s="30">
        <f ca="1" t="array" ref="F35">INDEX(Data_DBD!$F:$F,$A35)</f>
        <v>2</v>
      </c>
      <c r="H35" s="42">
        <v>16</v>
      </c>
      <c r="I35" s="42">
        <v>66</v>
      </c>
      <c r="J35" s="42">
        <v>5</v>
      </c>
      <c r="K35" s="42">
        <v>7</v>
      </c>
      <c r="L35" s="42">
        <v>1</v>
      </c>
      <c r="M35" s="42">
        <v>1</v>
      </c>
    </row>
    <row r="36" spans="1:13">
      <c r="A36" s="30">
        <f ca="1" t="shared" si="0"/>
        <v>93</v>
      </c>
      <c r="B36" s="30">
        <f ca="1" t="array" ref="B36">INDEX(Data_DBD!$B:$B,$A36)</f>
        <v>65</v>
      </c>
      <c r="C36" s="30">
        <f ca="1" t="array" ref="C36">INDEX(Data_DBD!$C:$C,$A36)</f>
        <v>4</v>
      </c>
      <c r="D36" s="30">
        <f ca="1" t="array" ref="D36">INDEX(Data_DBD!$D:$D,$A36)</f>
        <v>18</v>
      </c>
      <c r="E36" s="30">
        <f ca="1" t="array" ref="E36">INDEX(Data_DBD!$E:$E,$A36)</f>
        <v>0</v>
      </c>
      <c r="F36" s="30">
        <f ca="1" t="array" ref="F36">INDEX(Data_DBD!$F:$F,$A36)</f>
        <v>3</v>
      </c>
      <c r="H36" s="42">
        <v>83</v>
      </c>
      <c r="I36" s="42">
        <v>50</v>
      </c>
      <c r="J36" s="42">
        <v>3</v>
      </c>
      <c r="K36" s="42">
        <v>13</v>
      </c>
      <c r="L36" s="42">
        <v>0</v>
      </c>
      <c r="M36" s="42">
        <v>2</v>
      </c>
    </row>
    <row r="37" spans="1:13">
      <c r="A37" s="30">
        <f ca="1" t="shared" si="0"/>
        <v>11</v>
      </c>
      <c r="B37" s="30">
        <f ca="1" t="array" ref="B37">INDEX(Data_DBD!$B:$B,$A37)</f>
        <v>24</v>
      </c>
      <c r="C37" s="30">
        <f ca="1" t="array" ref="C37">INDEX(Data_DBD!$C:$C,$A37)</f>
        <v>5</v>
      </c>
      <c r="D37" s="30">
        <f ca="1" t="array" ref="D37">INDEX(Data_DBD!$D:$D,$A37)</f>
        <v>12</v>
      </c>
      <c r="E37" s="30">
        <f ca="1" t="array" ref="E37">INDEX(Data_DBD!$E:$E,$A37)</f>
        <v>1</v>
      </c>
      <c r="F37" s="30">
        <f ca="1" t="array" ref="F37">INDEX(Data_DBD!$F:$F,$A37)</f>
        <v>2</v>
      </c>
      <c r="H37" s="42">
        <v>36</v>
      </c>
      <c r="I37" s="42">
        <v>27</v>
      </c>
      <c r="J37" s="42">
        <v>1</v>
      </c>
      <c r="K37" s="42">
        <v>4</v>
      </c>
      <c r="L37" s="42">
        <v>1</v>
      </c>
      <c r="M37" s="42">
        <v>1</v>
      </c>
    </row>
    <row r="38" spans="1:13">
      <c r="A38" s="30">
        <f ca="1" t="shared" si="0"/>
        <v>45</v>
      </c>
      <c r="B38" s="30">
        <f ca="1" t="array" ref="B38">INDEX(Data_DBD!$B:$B,$A38)</f>
        <v>75</v>
      </c>
      <c r="C38" s="30">
        <f ca="1" t="array" ref="C38">INDEX(Data_DBD!$C:$C,$A38)</f>
        <v>3</v>
      </c>
      <c r="D38" s="30">
        <f ca="1" t="array" ref="D38">INDEX(Data_DBD!$D:$D,$A38)</f>
        <v>13</v>
      </c>
      <c r="E38" s="30">
        <f ca="1" t="array" ref="E38">INDEX(Data_DBD!$E:$E,$A38)</f>
        <v>1</v>
      </c>
      <c r="F38" s="30">
        <f ca="1" t="array" ref="F38">INDEX(Data_DBD!$F:$F,$A38)</f>
        <v>2</v>
      </c>
      <c r="H38" s="42">
        <v>32</v>
      </c>
      <c r="I38" s="42">
        <v>54</v>
      </c>
      <c r="J38" s="42">
        <v>4</v>
      </c>
      <c r="K38" s="42">
        <v>14</v>
      </c>
      <c r="L38" s="42">
        <v>0</v>
      </c>
      <c r="M38" s="42">
        <v>2</v>
      </c>
    </row>
    <row r="39" spans="1:13">
      <c r="A39" s="30">
        <f ca="1" t="shared" si="0"/>
        <v>64</v>
      </c>
      <c r="B39" s="30">
        <f ca="1" t="array" ref="B39">INDEX(Data_DBD!$B:$B,$A39)</f>
        <v>35</v>
      </c>
      <c r="C39" s="30">
        <f ca="1" t="array" ref="C39">INDEX(Data_DBD!$C:$C,$A39)</f>
        <v>1</v>
      </c>
      <c r="D39" s="30">
        <f ca="1" t="array" ref="D39">INDEX(Data_DBD!$D:$D,$A39)</f>
        <v>15</v>
      </c>
      <c r="E39" s="30">
        <f ca="1" t="array" ref="E39">INDEX(Data_DBD!$E:$E,$A39)</f>
        <v>0</v>
      </c>
      <c r="F39" s="30">
        <f ca="1" t="array" ref="F39">INDEX(Data_DBD!$F:$F,$A39)</f>
        <v>2</v>
      </c>
      <c r="H39" s="42">
        <v>27</v>
      </c>
      <c r="I39" s="42">
        <v>37</v>
      </c>
      <c r="J39" s="42">
        <v>4</v>
      </c>
      <c r="K39" s="42">
        <v>14</v>
      </c>
      <c r="L39" s="42">
        <v>1</v>
      </c>
      <c r="M39" s="42">
        <v>2</v>
      </c>
    </row>
    <row r="40" spans="1:13">
      <c r="A40" s="30">
        <f ca="1" t="shared" si="0"/>
        <v>82</v>
      </c>
      <c r="B40" s="30">
        <f ca="1" t="array" ref="B40">INDEX(Data_DBD!$B:$B,$A40)</f>
        <v>28</v>
      </c>
      <c r="C40" s="30">
        <f ca="1" t="array" ref="C40">INDEX(Data_DBD!$C:$C,$A40)</f>
        <v>3</v>
      </c>
      <c r="D40" s="30">
        <f ca="1" t="array" ref="D40">INDEX(Data_DBD!$D:$D,$A40)</f>
        <v>13</v>
      </c>
      <c r="E40" s="30">
        <f ca="1" t="array" ref="E40">INDEX(Data_DBD!$E:$E,$A40)</f>
        <v>1</v>
      </c>
      <c r="F40" s="30">
        <f ca="1" t="array" ref="F40">INDEX(Data_DBD!$F:$F,$A40)</f>
        <v>2</v>
      </c>
      <c r="H40" s="42">
        <v>33</v>
      </c>
      <c r="I40" s="42">
        <v>19</v>
      </c>
      <c r="J40" s="42">
        <v>4</v>
      </c>
      <c r="K40" s="42">
        <v>14</v>
      </c>
      <c r="L40" s="42">
        <v>1</v>
      </c>
      <c r="M40" s="42">
        <v>2</v>
      </c>
    </row>
    <row r="41" spans="1:13">
      <c r="A41" s="30">
        <f ca="1" t="shared" si="0"/>
        <v>69</v>
      </c>
      <c r="B41" s="30">
        <f ca="1" t="array" ref="B41">INDEX(Data_DBD!$B:$B,$A41)</f>
        <v>24</v>
      </c>
      <c r="C41" s="30">
        <f ca="1" t="array" ref="C41">INDEX(Data_DBD!$C:$C,$A41)</f>
        <v>4</v>
      </c>
      <c r="D41" s="30">
        <f ca="1" t="array" ref="D41">INDEX(Data_DBD!$D:$D,$A41)</f>
        <v>10</v>
      </c>
      <c r="E41" s="30">
        <f ca="1" t="array" ref="E41">INDEX(Data_DBD!$E:$E,$A41)</f>
        <v>1</v>
      </c>
      <c r="F41" s="30">
        <f ca="1" t="array" ref="F41">INDEX(Data_DBD!$F:$F,$A41)</f>
        <v>2</v>
      </c>
      <c r="H41" s="42">
        <v>90</v>
      </c>
      <c r="I41" s="42">
        <v>47</v>
      </c>
      <c r="J41" s="42">
        <v>3</v>
      </c>
      <c r="K41" s="42">
        <v>18</v>
      </c>
      <c r="L41" s="42">
        <v>0</v>
      </c>
      <c r="M41" s="42">
        <v>3</v>
      </c>
    </row>
    <row r="42" spans="1:13">
      <c r="A42" s="30">
        <f ca="1" t="shared" si="0"/>
        <v>55</v>
      </c>
      <c r="B42" s="30">
        <f ca="1" t="array" ref="B42">INDEX(Data_DBD!$B:$B,$A42)</f>
        <v>7</v>
      </c>
      <c r="C42" s="30">
        <f ca="1" t="array" ref="C42">INDEX(Data_DBD!$C:$C,$A42)</f>
        <v>4</v>
      </c>
      <c r="D42" s="30">
        <f ca="1" t="array" ref="D42">INDEX(Data_DBD!$D:$D,$A42)</f>
        <v>15</v>
      </c>
      <c r="E42" s="30">
        <f ca="1" t="array" ref="E42">INDEX(Data_DBD!$E:$E,$A42)</f>
        <v>1</v>
      </c>
      <c r="F42" s="30">
        <f ca="1" t="array" ref="F42">INDEX(Data_DBD!$F:$F,$A42)</f>
        <v>2</v>
      </c>
      <c r="H42" s="42">
        <v>68</v>
      </c>
      <c r="I42" s="42">
        <v>44</v>
      </c>
      <c r="J42" s="42">
        <v>5</v>
      </c>
      <c r="K42" s="42">
        <v>10</v>
      </c>
      <c r="L42" s="42">
        <v>0</v>
      </c>
      <c r="M42" s="42">
        <v>2</v>
      </c>
    </row>
    <row r="43" spans="1:13">
      <c r="A43" s="30">
        <f ca="1" t="shared" si="0"/>
        <v>104</v>
      </c>
      <c r="B43" s="30">
        <f ca="1" t="array" ref="B43">INDEX(Data_DBD!$B:$B,$A43)</f>
        <v>37</v>
      </c>
      <c r="C43" s="30">
        <f ca="1" t="array" ref="C43">INDEX(Data_DBD!$C:$C,$A43)</f>
        <v>4</v>
      </c>
      <c r="D43" s="30">
        <f ca="1" t="array" ref="D43">INDEX(Data_DBD!$D:$D,$A43)</f>
        <v>18</v>
      </c>
      <c r="E43" s="30">
        <f ca="1" t="array" ref="E43">INDEX(Data_DBD!$E:$E,$A43)</f>
        <v>1</v>
      </c>
      <c r="F43" s="30">
        <f ca="1" t="array" ref="F43">INDEX(Data_DBD!$F:$F,$A43)</f>
        <v>3</v>
      </c>
      <c r="H43" s="42">
        <v>86</v>
      </c>
      <c r="I43" s="42">
        <v>23</v>
      </c>
      <c r="J43" s="42">
        <v>3</v>
      </c>
      <c r="K43" s="42">
        <v>13</v>
      </c>
      <c r="L43" s="42">
        <v>0</v>
      </c>
      <c r="M43" s="42">
        <v>2</v>
      </c>
    </row>
    <row r="44" spans="1:13">
      <c r="A44" s="30">
        <f ca="1" t="shared" si="0"/>
        <v>107</v>
      </c>
      <c r="B44" s="30">
        <f ca="1" t="array" ref="B44">INDEX(Data_DBD!$B:$B,$A44)</f>
        <v>48</v>
      </c>
      <c r="C44" s="30">
        <f ca="1" t="array" ref="C44">INDEX(Data_DBD!$C:$C,$A44)</f>
        <v>5</v>
      </c>
      <c r="D44" s="30">
        <f ca="1" t="array" ref="D44">INDEX(Data_DBD!$D:$D,$A44)</f>
        <v>18</v>
      </c>
      <c r="E44" s="30">
        <f ca="1" t="array" ref="E44">INDEX(Data_DBD!$E:$E,$A44)</f>
        <v>0</v>
      </c>
      <c r="F44" s="30">
        <f ca="1" t="array" ref="F44">INDEX(Data_DBD!$F:$F,$A44)</f>
        <v>3</v>
      </c>
      <c r="H44" s="42">
        <v>156</v>
      </c>
      <c r="I44" s="42">
        <v>5</v>
      </c>
      <c r="J44" s="42">
        <v>2</v>
      </c>
      <c r="K44" s="42">
        <v>21</v>
      </c>
      <c r="L44" s="42">
        <v>0</v>
      </c>
      <c r="M44" s="42">
        <v>3</v>
      </c>
    </row>
    <row r="45" spans="1:13">
      <c r="A45" s="30">
        <f ca="1" t="shared" si="0"/>
        <v>145</v>
      </c>
      <c r="B45" s="30">
        <f ca="1" t="array" ref="B45">INDEX(Data_DBD!$B:$B,$A45)</f>
        <v>28</v>
      </c>
      <c r="C45" s="30">
        <f ca="1" t="array" ref="C45">INDEX(Data_DBD!$C:$C,$A45)</f>
        <v>4</v>
      </c>
      <c r="D45" s="30">
        <f ca="1" t="array" ref="D45">INDEX(Data_DBD!$D:$D,$A45)</f>
        <v>21</v>
      </c>
      <c r="E45" s="30">
        <f ca="1" t="array" ref="E45">INDEX(Data_DBD!$E:$E,$A45)</f>
        <v>1</v>
      </c>
      <c r="F45" s="30">
        <f ca="1" t="array" ref="F45">INDEX(Data_DBD!$F:$F,$A45)</f>
        <v>3</v>
      </c>
      <c r="H45" s="42">
        <v>60</v>
      </c>
      <c r="I45" s="42">
        <v>68</v>
      </c>
      <c r="J45" s="42">
        <v>4</v>
      </c>
      <c r="K45" s="42">
        <v>15</v>
      </c>
      <c r="L45" s="42">
        <v>0</v>
      </c>
      <c r="M45" s="42">
        <v>2</v>
      </c>
    </row>
    <row r="46" spans="1:13">
      <c r="A46" s="30">
        <f ca="1" t="shared" si="0"/>
        <v>63</v>
      </c>
      <c r="B46" s="30">
        <f ca="1" t="array" ref="B46">INDEX(Data_DBD!$B:$B,$A46)</f>
        <v>25</v>
      </c>
      <c r="C46" s="30">
        <f ca="1" t="array" ref="C46">INDEX(Data_DBD!$C:$C,$A46)</f>
        <v>3</v>
      </c>
      <c r="D46" s="30">
        <f ca="1" t="array" ref="D46">INDEX(Data_DBD!$D:$D,$A46)</f>
        <v>15</v>
      </c>
      <c r="E46" s="30">
        <f ca="1" t="array" ref="E46">INDEX(Data_DBD!$E:$E,$A46)</f>
        <v>0</v>
      </c>
      <c r="F46" s="30">
        <f ca="1" t="array" ref="F46">INDEX(Data_DBD!$F:$F,$A46)</f>
        <v>2</v>
      </c>
      <c r="H46" s="42">
        <v>59</v>
      </c>
      <c r="I46" s="42">
        <v>28</v>
      </c>
      <c r="J46" s="42">
        <v>4</v>
      </c>
      <c r="K46" s="42">
        <v>15</v>
      </c>
      <c r="L46" s="42">
        <v>0</v>
      </c>
      <c r="M46" s="42">
        <v>2</v>
      </c>
    </row>
    <row r="47" spans="1:13">
      <c r="A47" s="30">
        <f ca="1" t="shared" si="0"/>
        <v>153</v>
      </c>
      <c r="B47" s="30">
        <f ca="1" t="array" ref="B47">INDEX(Data_DBD!$B:$B,$A47)</f>
        <v>73</v>
      </c>
      <c r="C47" s="30">
        <f ca="1" t="array" ref="C47">INDEX(Data_DBD!$C:$C,$A47)</f>
        <v>7</v>
      </c>
      <c r="D47" s="30">
        <f ca="1" t="array" ref="D47">INDEX(Data_DBD!$D:$D,$A47)</f>
        <v>21</v>
      </c>
      <c r="E47" s="30">
        <f ca="1" t="array" ref="E47">INDEX(Data_DBD!$E:$E,$A47)</f>
        <v>1</v>
      </c>
      <c r="F47" s="30">
        <f ca="1" t="array" ref="F47">INDEX(Data_DBD!$F:$F,$A47)</f>
        <v>3</v>
      </c>
      <c r="H47" s="42">
        <v>151</v>
      </c>
      <c r="I47" s="42">
        <v>24</v>
      </c>
      <c r="J47" s="42">
        <v>3</v>
      </c>
      <c r="K47" s="42">
        <v>21</v>
      </c>
      <c r="L47" s="42">
        <v>0</v>
      </c>
      <c r="M47" s="42">
        <v>3</v>
      </c>
    </row>
    <row r="48" spans="1:13">
      <c r="A48" s="30">
        <f ca="1" t="shared" si="0"/>
        <v>43</v>
      </c>
      <c r="B48" s="30">
        <f ca="1" t="array" ref="B48">INDEX(Data_DBD!$B:$B,$A48)</f>
        <v>15</v>
      </c>
      <c r="C48" s="30">
        <f ca="1" t="array" ref="C48">INDEX(Data_DBD!$C:$C,$A48)</f>
        <v>4</v>
      </c>
      <c r="D48" s="30">
        <f ca="1" t="array" ref="D48">INDEX(Data_DBD!$D:$D,$A48)</f>
        <v>13</v>
      </c>
      <c r="E48" s="30">
        <f ca="1" t="array" ref="E48">INDEX(Data_DBD!$E:$E,$A48)</f>
        <v>0</v>
      </c>
      <c r="F48" s="30">
        <f ca="1" t="array" ref="F48">INDEX(Data_DBD!$F:$F,$A48)</f>
        <v>2</v>
      </c>
      <c r="H48" s="42">
        <v>3</v>
      </c>
      <c r="I48" s="42">
        <v>43</v>
      </c>
      <c r="J48" s="42">
        <v>3</v>
      </c>
      <c r="K48" s="42">
        <v>12</v>
      </c>
      <c r="L48" s="42">
        <v>1</v>
      </c>
      <c r="M48" s="42">
        <v>2</v>
      </c>
    </row>
    <row r="49" spans="1:13">
      <c r="A49" s="30">
        <f ca="1" t="shared" si="0"/>
        <v>60</v>
      </c>
      <c r="B49" s="30">
        <f ca="1" t="array" ref="B49">INDEX(Data_DBD!$B:$B,$A49)</f>
        <v>68</v>
      </c>
      <c r="C49" s="30">
        <f ca="1" t="array" ref="C49">INDEX(Data_DBD!$C:$C,$A49)</f>
        <v>4</v>
      </c>
      <c r="D49" s="30">
        <f ca="1" t="array" ref="D49">INDEX(Data_DBD!$D:$D,$A49)</f>
        <v>15</v>
      </c>
      <c r="E49" s="30">
        <f ca="1" t="array" ref="E49">INDEX(Data_DBD!$E:$E,$A49)</f>
        <v>0</v>
      </c>
      <c r="F49" s="30">
        <f ca="1" t="array" ref="F49">INDEX(Data_DBD!$F:$F,$A49)</f>
        <v>2</v>
      </c>
      <c r="H49" s="42">
        <v>22</v>
      </c>
      <c r="I49" s="42">
        <v>6</v>
      </c>
      <c r="J49" s="42">
        <v>3</v>
      </c>
      <c r="K49" s="42">
        <v>14</v>
      </c>
      <c r="L49" s="42">
        <v>0</v>
      </c>
      <c r="M49" s="42">
        <v>2</v>
      </c>
    </row>
    <row r="50" spans="1:13">
      <c r="A50" s="30">
        <f ca="1" t="shared" si="0"/>
        <v>65</v>
      </c>
      <c r="B50" s="30">
        <f ca="1" t="array" ref="B50">INDEX(Data_DBD!$B:$B,$A50)</f>
        <v>49</v>
      </c>
      <c r="C50" s="30">
        <f ca="1" t="array" ref="C50">INDEX(Data_DBD!$C:$C,$A50)</f>
        <v>3</v>
      </c>
      <c r="D50" s="30">
        <f ca="1" t="array" ref="D50">INDEX(Data_DBD!$D:$D,$A50)</f>
        <v>15</v>
      </c>
      <c r="E50" s="30">
        <f ca="1" t="array" ref="E50">INDEX(Data_DBD!$E:$E,$A50)</f>
        <v>0</v>
      </c>
      <c r="F50" s="30">
        <f ca="1" t="array" ref="F50">INDEX(Data_DBD!$F:$F,$A50)</f>
        <v>2</v>
      </c>
      <c r="H50" s="42">
        <v>94</v>
      </c>
      <c r="I50" s="42">
        <v>12</v>
      </c>
      <c r="J50" s="42">
        <v>4</v>
      </c>
      <c r="K50" s="42">
        <v>18</v>
      </c>
      <c r="L50" s="42">
        <v>0</v>
      </c>
      <c r="M50" s="42">
        <v>3</v>
      </c>
    </row>
    <row r="51" spans="1:13">
      <c r="A51" s="30">
        <f ca="1" t="shared" si="0"/>
        <v>39</v>
      </c>
      <c r="B51" s="30">
        <f ca="1" t="array" ref="B51">INDEX(Data_DBD!$B:$B,$A51)</f>
        <v>12</v>
      </c>
      <c r="C51" s="30">
        <f ca="1" t="array" ref="C51">INDEX(Data_DBD!$C:$C,$A51)</f>
        <v>5</v>
      </c>
      <c r="D51" s="30">
        <f ca="1" t="array" ref="D51">INDEX(Data_DBD!$D:$D,$A51)</f>
        <v>13</v>
      </c>
      <c r="E51" s="30">
        <f ca="1" t="array" ref="E51">INDEX(Data_DBD!$E:$E,$A51)</f>
        <v>1</v>
      </c>
      <c r="F51" s="30">
        <f ca="1" t="array" ref="F51">INDEX(Data_DBD!$F:$F,$A51)</f>
        <v>2</v>
      </c>
      <c r="H51" s="42">
        <v>53</v>
      </c>
      <c r="I51" s="42">
        <v>35</v>
      </c>
      <c r="J51" s="42">
        <v>4</v>
      </c>
      <c r="K51" s="42">
        <v>15</v>
      </c>
      <c r="L51" s="42">
        <v>1</v>
      </c>
      <c r="M51" s="42">
        <v>2</v>
      </c>
    </row>
    <row r="52" spans="1:13">
      <c r="A52" s="30">
        <f ca="1" t="shared" si="0"/>
        <v>11</v>
      </c>
      <c r="B52" s="30">
        <f ca="1" t="array" ref="B52">INDEX(Data_DBD!$B:$B,$A52)</f>
        <v>24</v>
      </c>
      <c r="C52" s="30">
        <f ca="1" t="array" ref="C52">INDEX(Data_DBD!$C:$C,$A52)</f>
        <v>5</v>
      </c>
      <c r="D52" s="30">
        <f ca="1" t="array" ref="D52">INDEX(Data_DBD!$D:$D,$A52)</f>
        <v>12</v>
      </c>
      <c r="E52" s="30">
        <f ca="1" t="array" ref="E52">INDEX(Data_DBD!$E:$E,$A52)</f>
        <v>1</v>
      </c>
      <c r="F52" s="30">
        <f ca="1" t="array" ref="F52">INDEX(Data_DBD!$F:$F,$A52)</f>
        <v>2</v>
      </c>
      <c r="H52" s="42">
        <v>4</v>
      </c>
      <c r="I52" s="42">
        <v>23</v>
      </c>
      <c r="J52" s="42">
        <v>5</v>
      </c>
      <c r="K52" s="42">
        <v>12</v>
      </c>
      <c r="L52" s="42">
        <v>0</v>
      </c>
      <c r="M52" s="42">
        <v>2</v>
      </c>
    </row>
    <row r="53" spans="1:13">
      <c r="A53" s="30">
        <f ca="1" t="shared" si="0"/>
        <v>152</v>
      </c>
      <c r="B53" s="30">
        <f ca="1" t="array" ref="B53">INDEX(Data_DBD!$B:$B,$A53)</f>
        <v>47</v>
      </c>
      <c r="C53" s="30">
        <f ca="1" t="array" ref="C53">INDEX(Data_DBD!$C:$C,$A53)</f>
        <v>3</v>
      </c>
      <c r="D53" s="30">
        <f ca="1" t="array" ref="D53">INDEX(Data_DBD!$D:$D,$A53)</f>
        <v>21</v>
      </c>
      <c r="E53" s="30">
        <f ca="1" t="array" ref="E53">INDEX(Data_DBD!$E:$E,$A53)</f>
        <v>1</v>
      </c>
      <c r="F53" s="30">
        <f ca="1" t="array" ref="F53">INDEX(Data_DBD!$F:$F,$A53)</f>
        <v>3</v>
      </c>
      <c r="H53" s="42">
        <v>53</v>
      </c>
      <c r="I53" s="42">
        <v>35</v>
      </c>
      <c r="J53" s="42">
        <v>4</v>
      </c>
      <c r="K53" s="42">
        <v>15</v>
      </c>
      <c r="L53" s="42">
        <v>1</v>
      </c>
      <c r="M53" s="42">
        <v>2</v>
      </c>
    </row>
    <row r="54" spans="1:13">
      <c r="A54" s="30">
        <f ca="1" t="shared" si="0"/>
        <v>161</v>
      </c>
      <c r="B54" s="30">
        <f ca="1" t="array" ref="B54">INDEX(Data_DBD!$B:$B,$A54)</f>
        <v>12</v>
      </c>
      <c r="C54" s="30">
        <f ca="1" t="array" ref="C54">INDEX(Data_DBD!$C:$C,$A54)</f>
        <v>3</v>
      </c>
      <c r="D54" s="30">
        <f ca="1" t="array" ref="D54">INDEX(Data_DBD!$D:$D,$A54)</f>
        <v>21</v>
      </c>
      <c r="E54" s="30">
        <f ca="1" t="array" ref="E54">INDEX(Data_DBD!$E:$E,$A54)</f>
        <v>1</v>
      </c>
      <c r="F54" s="30">
        <f ca="1" t="array" ref="F54">INDEX(Data_DBD!$F:$F,$A54)</f>
        <v>3</v>
      </c>
      <c r="H54" s="42">
        <v>114</v>
      </c>
      <c r="I54" s="42">
        <v>14</v>
      </c>
      <c r="J54" s="42">
        <v>2</v>
      </c>
      <c r="K54" s="42">
        <v>33</v>
      </c>
      <c r="L54" s="42">
        <v>1</v>
      </c>
      <c r="M54" s="42">
        <v>3</v>
      </c>
    </row>
    <row r="55" spans="1:13">
      <c r="A55" s="30">
        <f ca="1" t="shared" si="0"/>
        <v>34</v>
      </c>
      <c r="B55" s="30">
        <f ca="1" t="array" ref="B55">INDEX(Data_DBD!$B:$B,$A55)</f>
        <v>55</v>
      </c>
      <c r="C55" s="30">
        <f ca="1" t="array" ref="C55">INDEX(Data_DBD!$C:$C,$A55)</f>
        <v>3</v>
      </c>
      <c r="D55" s="30">
        <f ca="1" t="array" ref="D55">INDEX(Data_DBD!$D:$D,$A55)</f>
        <v>14</v>
      </c>
      <c r="E55" s="30">
        <f ca="1" t="array" ref="E55">INDEX(Data_DBD!$E:$E,$A55)</f>
        <v>0</v>
      </c>
      <c r="F55" s="30">
        <f ca="1" t="array" ref="F55">INDEX(Data_DBD!$F:$F,$A55)</f>
        <v>2</v>
      </c>
      <c r="H55" s="42">
        <v>69</v>
      </c>
      <c r="I55" s="42">
        <v>24</v>
      </c>
      <c r="J55" s="42">
        <v>4</v>
      </c>
      <c r="K55" s="42">
        <v>10</v>
      </c>
      <c r="L55" s="42">
        <v>1</v>
      </c>
      <c r="M55" s="42">
        <v>2</v>
      </c>
    </row>
    <row r="56" spans="1:13">
      <c r="A56" s="30">
        <f ca="1" t="shared" si="0"/>
        <v>65</v>
      </c>
      <c r="B56" s="30">
        <f ca="1" t="array" ref="B56">INDEX(Data_DBD!$B:$B,$A56)</f>
        <v>49</v>
      </c>
      <c r="C56" s="30">
        <f ca="1" t="array" ref="C56">INDEX(Data_DBD!$C:$C,$A56)</f>
        <v>3</v>
      </c>
      <c r="D56" s="30">
        <f ca="1" t="array" ref="D56">INDEX(Data_DBD!$D:$D,$A56)</f>
        <v>15</v>
      </c>
      <c r="E56" s="30">
        <f ca="1" t="array" ref="E56">INDEX(Data_DBD!$E:$E,$A56)</f>
        <v>0</v>
      </c>
      <c r="F56" s="30">
        <f ca="1" t="array" ref="F56">INDEX(Data_DBD!$F:$F,$A56)</f>
        <v>2</v>
      </c>
      <c r="H56" s="42">
        <v>126</v>
      </c>
      <c r="I56" s="42">
        <v>51</v>
      </c>
      <c r="J56" s="42">
        <v>3</v>
      </c>
      <c r="K56" s="42">
        <v>33</v>
      </c>
      <c r="L56" s="42">
        <v>1</v>
      </c>
      <c r="M56" s="42">
        <v>3</v>
      </c>
    </row>
    <row r="57" spans="1:13">
      <c r="A57" s="30">
        <f ca="1" t="shared" si="0"/>
        <v>111</v>
      </c>
      <c r="B57" s="30">
        <f ca="1" t="array" ref="B57">INDEX(Data_DBD!$B:$B,$A57)</f>
        <v>25</v>
      </c>
      <c r="C57" s="30">
        <f ca="1" t="array" ref="C57">INDEX(Data_DBD!$C:$C,$A57)</f>
        <v>4</v>
      </c>
      <c r="D57" s="30">
        <f ca="1" t="array" ref="D57">INDEX(Data_DBD!$D:$D,$A57)</f>
        <v>33</v>
      </c>
      <c r="E57" s="30">
        <f ca="1" t="array" ref="E57">INDEX(Data_DBD!$E:$E,$A57)</f>
        <v>0</v>
      </c>
      <c r="F57" s="30">
        <f ca="1" t="array" ref="F57">INDEX(Data_DBD!$F:$F,$A57)</f>
        <v>3</v>
      </c>
      <c r="H57" s="42">
        <v>81</v>
      </c>
      <c r="I57" s="42">
        <v>23</v>
      </c>
      <c r="J57" s="42">
        <v>5</v>
      </c>
      <c r="K57" s="42">
        <v>13</v>
      </c>
      <c r="L57" s="42">
        <v>1</v>
      </c>
      <c r="M57" s="42">
        <v>2</v>
      </c>
    </row>
    <row r="58" spans="1:13">
      <c r="A58" s="30">
        <f ca="1" t="shared" si="0"/>
        <v>134</v>
      </c>
      <c r="B58" s="30">
        <f ca="1" t="array" ref="B58">INDEX(Data_DBD!$B:$B,$A58)</f>
        <v>4</v>
      </c>
      <c r="C58" s="30">
        <f ca="1" t="array" ref="C58">INDEX(Data_DBD!$C:$C,$A58)</f>
        <v>2</v>
      </c>
      <c r="D58" s="30">
        <f ca="1" t="array" ref="D58">INDEX(Data_DBD!$D:$D,$A58)</f>
        <v>33</v>
      </c>
      <c r="E58" s="30">
        <f ca="1" t="array" ref="E58">INDEX(Data_DBD!$E:$E,$A58)</f>
        <v>1</v>
      </c>
      <c r="F58" s="30">
        <f ca="1" t="array" ref="F58">INDEX(Data_DBD!$F:$F,$A58)</f>
        <v>3</v>
      </c>
      <c r="H58" s="42">
        <v>115</v>
      </c>
      <c r="I58" s="42">
        <v>52</v>
      </c>
      <c r="J58" s="42">
        <v>3</v>
      </c>
      <c r="K58" s="42">
        <v>33</v>
      </c>
      <c r="L58" s="42">
        <v>1</v>
      </c>
      <c r="M58" s="42">
        <v>3</v>
      </c>
    </row>
    <row r="59" spans="1:13">
      <c r="A59" s="30">
        <f ca="1" t="shared" si="0"/>
        <v>43</v>
      </c>
      <c r="B59" s="30">
        <f ca="1" t="array" ref="B59">INDEX(Data_DBD!$B:$B,$A59)</f>
        <v>15</v>
      </c>
      <c r="C59" s="30">
        <f ca="1" t="array" ref="C59">INDEX(Data_DBD!$C:$C,$A59)</f>
        <v>4</v>
      </c>
      <c r="D59" s="30">
        <f ca="1" t="array" ref="D59">INDEX(Data_DBD!$D:$D,$A59)</f>
        <v>13</v>
      </c>
      <c r="E59" s="30">
        <f ca="1" t="array" ref="E59">INDEX(Data_DBD!$E:$E,$A59)</f>
        <v>0</v>
      </c>
      <c r="F59" s="30">
        <f ca="1" t="array" ref="F59">INDEX(Data_DBD!$F:$F,$A59)</f>
        <v>2</v>
      </c>
      <c r="H59" s="42">
        <v>87</v>
      </c>
      <c r="I59" s="42">
        <v>21</v>
      </c>
      <c r="J59" s="42">
        <v>3</v>
      </c>
      <c r="K59" s="42">
        <v>13</v>
      </c>
      <c r="L59" s="42">
        <v>0</v>
      </c>
      <c r="M59" s="42">
        <v>2</v>
      </c>
    </row>
    <row r="60" spans="1:13">
      <c r="A60" s="30">
        <f ca="1" t="shared" si="0"/>
        <v>107</v>
      </c>
      <c r="B60" s="30">
        <f ca="1" t="array" ref="B60">INDEX(Data_DBD!$B:$B,$A60)</f>
        <v>48</v>
      </c>
      <c r="C60" s="30">
        <f ca="1" t="array" ref="C60">INDEX(Data_DBD!$C:$C,$A60)</f>
        <v>5</v>
      </c>
      <c r="D60" s="30">
        <f ca="1" t="array" ref="D60">INDEX(Data_DBD!$D:$D,$A60)</f>
        <v>18</v>
      </c>
      <c r="E60" s="30">
        <f ca="1" t="array" ref="E60">INDEX(Data_DBD!$E:$E,$A60)</f>
        <v>0</v>
      </c>
      <c r="F60" s="30">
        <f ca="1" t="array" ref="F60">INDEX(Data_DBD!$F:$F,$A60)</f>
        <v>3</v>
      </c>
      <c r="H60" s="42">
        <v>53</v>
      </c>
      <c r="I60" s="42">
        <v>35</v>
      </c>
      <c r="J60" s="42">
        <v>4</v>
      </c>
      <c r="K60" s="42">
        <v>15</v>
      </c>
      <c r="L60" s="42">
        <v>1</v>
      </c>
      <c r="M60" s="42">
        <v>2</v>
      </c>
    </row>
    <row r="61" spans="1:13">
      <c r="A61" s="30">
        <f ca="1" t="shared" si="0"/>
        <v>126</v>
      </c>
      <c r="B61" s="30">
        <f ca="1" t="array" ref="B61">INDEX(Data_DBD!$B:$B,$A61)</f>
        <v>51</v>
      </c>
      <c r="C61" s="30">
        <f ca="1" t="array" ref="C61">INDEX(Data_DBD!$C:$C,$A61)</f>
        <v>3</v>
      </c>
      <c r="D61" s="30">
        <f ca="1" t="array" ref="D61">INDEX(Data_DBD!$D:$D,$A61)</f>
        <v>33</v>
      </c>
      <c r="E61" s="30">
        <f ca="1" t="array" ref="E61">INDEX(Data_DBD!$E:$E,$A61)</f>
        <v>1</v>
      </c>
      <c r="F61" s="30">
        <f ca="1" t="array" ref="F61">INDEX(Data_DBD!$F:$F,$A61)</f>
        <v>3</v>
      </c>
      <c r="H61" s="42">
        <v>161</v>
      </c>
      <c r="I61" s="42">
        <v>12</v>
      </c>
      <c r="J61" s="42">
        <v>3</v>
      </c>
      <c r="K61" s="42">
        <v>21</v>
      </c>
      <c r="L61" s="42">
        <v>1</v>
      </c>
      <c r="M61" s="42">
        <v>3</v>
      </c>
    </row>
    <row r="62" spans="1:13">
      <c r="A62" s="30">
        <f ca="1" t="shared" si="0"/>
        <v>16</v>
      </c>
      <c r="B62" s="30">
        <f ca="1" t="array" ref="B62">INDEX(Data_DBD!$B:$B,$A62)</f>
        <v>66</v>
      </c>
      <c r="C62" s="30">
        <f ca="1" t="array" ref="C62">INDEX(Data_DBD!$C:$C,$A62)</f>
        <v>5</v>
      </c>
      <c r="D62" s="30">
        <f ca="1" t="array" ref="D62">INDEX(Data_DBD!$D:$D,$A62)</f>
        <v>7</v>
      </c>
      <c r="E62" s="30">
        <f ca="1" t="array" ref="E62">INDEX(Data_DBD!$E:$E,$A62)</f>
        <v>1</v>
      </c>
      <c r="F62" s="30">
        <f ca="1" t="array" ref="F62">INDEX(Data_DBD!$F:$F,$A62)</f>
        <v>1</v>
      </c>
      <c r="H62" s="42">
        <v>146</v>
      </c>
      <c r="I62" s="42">
        <v>34</v>
      </c>
      <c r="J62" s="42">
        <v>2</v>
      </c>
      <c r="K62" s="42">
        <v>21</v>
      </c>
      <c r="L62" s="42">
        <v>1</v>
      </c>
      <c r="M62" s="42">
        <v>3</v>
      </c>
    </row>
    <row r="63" spans="1:13">
      <c r="A63" s="30">
        <f ca="1" t="shared" si="0"/>
        <v>153</v>
      </c>
      <c r="B63" s="30">
        <f ca="1" t="array" ref="B63">INDEX(Data_DBD!$B:$B,$A63)</f>
        <v>73</v>
      </c>
      <c r="C63" s="30">
        <f ca="1" t="array" ref="C63">INDEX(Data_DBD!$C:$C,$A63)</f>
        <v>7</v>
      </c>
      <c r="D63" s="30">
        <f ca="1" t="array" ref="D63">INDEX(Data_DBD!$D:$D,$A63)</f>
        <v>21</v>
      </c>
      <c r="E63" s="30">
        <f ca="1" t="array" ref="E63">INDEX(Data_DBD!$E:$E,$A63)</f>
        <v>1</v>
      </c>
      <c r="F63" s="30">
        <f ca="1" t="array" ref="F63">INDEX(Data_DBD!$F:$F,$A63)</f>
        <v>3</v>
      </c>
      <c r="H63" s="42">
        <v>16</v>
      </c>
      <c r="I63" s="42">
        <v>66</v>
      </c>
      <c r="J63" s="42">
        <v>5</v>
      </c>
      <c r="K63" s="42">
        <v>7</v>
      </c>
      <c r="L63" s="42">
        <v>1</v>
      </c>
      <c r="M63" s="42">
        <v>1</v>
      </c>
    </row>
    <row r="64" spans="1:13">
      <c r="A64" s="30">
        <f ca="1" t="shared" si="0"/>
        <v>29</v>
      </c>
      <c r="B64" s="30">
        <f ca="1" t="array" ref="B64">INDEX(Data_DBD!$B:$B,$A64)</f>
        <v>19</v>
      </c>
      <c r="C64" s="30">
        <f ca="1" t="array" ref="C64">INDEX(Data_DBD!$C:$C,$A64)</f>
        <v>2</v>
      </c>
      <c r="D64" s="30">
        <f ca="1" t="array" ref="D64">INDEX(Data_DBD!$D:$D,$A64)</f>
        <v>14</v>
      </c>
      <c r="E64" s="30">
        <f ca="1" t="array" ref="E64">INDEX(Data_DBD!$E:$E,$A64)</f>
        <v>1</v>
      </c>
      <c r="F64" s="30">
        <f ca="1" t="array" ref="F64">INDEX(Data_DBD!$F:$F,$A64)</f>
        <v>2</v>
      </c>
      <c r="H64" s="42">
        <v>8</v>
      </c>
      <c r="I64" s="42">
        <v>4</v>
      </c>
      <c r="J64" s="42">
        <v>2</v>
      </c>
      <c r="K64" s="42">
        <v>12</v>
      </c>
      <c r="L64" s="42">
        <v>0</v>
      </c>
      <c r="M64" s="42">
        <v>2</v>
      </c>
    </row>
    <row r="65" spans="1:13">
      <c r="A65" s="30">
        <f ca="1" t="shared" si="0"/>
        <v>62</v>
      </c>
      <c r="B65" s="30">
        <f ca="1" t="array" ref="B65">INDEX(Data_DBD!$B:$B,$A65)</f>
        <v>43</v>
      </c>
      <c r="C65" s="30">
        <f ca="1" t="array" ref="C65">INDEX(Data_DBD!$C:$C,$A65)</f>
        <v>4</v>
      </c>
      <c r="D65" s="30">
        <f ca="1" t="array" ref="D65">INDEX(Data_DBD!$D:$D,$A65)</f>
        <v>15</v>
      </c>
      <c r="E65" s="30">
        <f ca="1" t="array" ref="E65">INDEX(Data_DBD!$E:$E,$A65)</f>
        <v>1</v>
      </c>
      <c r="F65" s="30">
        <f ca="1" t="array" ref="F65">INDEX(Data_DBD!$F:$F,$A65)</f>
        <v>2</v>
      </c>
      <c r="H65" s="42">
        <v>87</v>
      </c>
      <c r="I65" s="42">
        <v>21</v>
      </c>
      <c r="J65" s="42">
        <v>3</v>
      </c>
      <c r="K65" s="42">
        <v>13</v>
      </c>
      <c r="L65" s="42">
        <v>0</v>
      </c>
      <c r="M65" s="42">
        <v>2</v>
      </c>
    </row>
    <row r="66" spans="1:13">
      <c r="A66" s="30">
        <f ca="1" t="shared" si="0"/>
        <v>79</v>
      </c>
      <c r="B66" s="30">
        <f ca="1" t="array" ref="B66">INDEX(Data_DBD!$B:$B,$A66)</f>
        <v>29</v>
      </c>
      <c r="C66" s="30">
        <f ca="1" t="array" ref="C66">INDEX(Data_DBD!$C:$C,$A66)</f>
        <v>3</v>
      </c>
      <c r="D66" s="30">
        <f ca="1" t="array" ref="D66">INDEX(Data_DBD!$D:$D,$A66)</f>
        <v>13</v>
      </c>
      <c r="E66" s="30">
        <f ca="1" t="array" ref="E66">INDEX(Data_DBD!$E:$E,$A66)</f>
        <v>0</v>
      </c>
      <c r="F66" s="30">
        <f ca="1" t="array" ref="F66">INDEX(Data_DBD!$F:$F,$A66)</f>
        <v>2</v>
      </c>
      <c r="H66" s="42">
        <v>50</v>
      </c>
      <c r="I66" s="42">
        <v>19</v>
      </c>
      <c r="J66" s="42">
        <v>5</v>
      </c>
      <c r="K66" s="42">
        <v>13</v>
      </c>
      <c r="L66" s="42">
        <v>0</v>
      </c>
      <c r="M66" s="42">
        <v>2</v>
      </c>
    </row>
    <row r="67" spans="1:13">
      <c r="A67" s="30">
        <f ca="1" t="shared" ref="A67:A130" si="1">RANDBETWEEN(2,164)</f>
        <v>5</v>
      </c>
      <c r="B67" s="30">
        <f ca="1" t="array" ref="B67">INDEX(Data_DBD!$B:$B,$A67)</f>
        <v>18</v>
      </c>
      <c r="C67" s="30">
        <f ca="1" t="array" ref="C67">INDEX(Data_DBD!$C:$C,$A67)</f>
        <v>2</v>
      </c>
      <c r="D67" s="30">
        <f ca="1" t="array" ref="D67">INDEX(Data_DBD!$D:$D,$A67)</f>
        <v>12</v>
      </c>
      <c r="E67" s="30">
        <f ca="1" t="array" ref="E67">INDEX(Data_DBD!$E:$E,$A67)</f>
        <v>1</v>
      </c>
      <c r="F67" s="30">
        <f ca="1" t="array" ref="F67">INDEX(Data_DBD!$F:$F,$A67)</f>
        <v>2</v>
      </c>
      <c r="H67" s="42">
        <v>98</v>
      </c>
      <c r="I67" s="42">
        <v>16</v>
      </c>
      <c r="J67" s="42">
        <v>2</v>
      </c>
      <c r="K67" s="42">
        <v>18</v>
      </c>
      <c r="L67" s="42">
        <v>1</v>
      </c>
      <c r="M67" s="42">
        <v>3</v>
      </c>
    </row>
    <row r="68" spans="1:13">
      <c r="A68" s="30">
        <f ca="1" t="shared" si="1"/>
        <v>51</v>
      </c>
      <c r="B68" s="30">
        <f ca="1" t="array" ref="B68">INDEX(Data_DBD!$B:$B,$A68)</f>
        <v>48</v>
      </c>
      <c r="C68" s="30">
        <f ca="1" t="array" ref="C68">INDEX(Data_DBD!$C:$C,$A68)</f>
        <v>4</v>
      </c>
      <c r="D68" s="30">
        <f ca="1" t="array" ref="D68">INDEX(Data_DBD!$D:$D,$A68)</f>
        <v>13</v>
      </c>
      <c r="E68" s="30">
        <f ca="1" t="array" ref="E68">INDEX(Data_DBD!$E:$E,$A68)</f>
        <v>0</v>
      </c>
      <c r="F68" s="30">
        <f ca="1" t="array" ref="F68">INDEX(Data_DBD!$F:$F,$A68)</f>
        <v>2</v>
      </c>
      <c r="H68" s="42">
        <v>33</v>
      </c>
      <c r="I68" s="42">
        <v>19</v>
      </c>
      <c r="J68" s="42">
        <v>4</v>
      </c>
      <c r="K68" s="42">
        <v>14</v>
      </c>
      <c r="L68" s="42">
        <v>1</v>
      </c>
      <c r="M68" s="42">
        <v>2</v>
      </c>
    </row>
    <row r="69" spans="1:13">
      <c r="A69" s="30">
        <f ca="1" t="shared" si="1"/>
        <v>145</v>
      </c>
      <c r="B69" s="30">
        <f ca="1" t="array" ref="B69">INDEX(Data_DBD!$B:$B,$A69)</f>
        <v>28</v>
      </c>
      <c r="C69" s="30">
        <f ca="1" t="array" ref="C69">INDEX(Data_DBD!$C:$C,$A69)</f>
        <v>4</v>
      </c>
      <c r="D69" s="30">
        <f ca="1" t="array" ref="D69">INDEX(Data_DBD!$D:$D,$A69)</f>
        <v>21</v>
      </c>
      <c r="E69" s="30">
        <f ca="1" t="array" ref="E69">INDEX(Data_DBD!$E:$E,$A69)</f>
        <v>1</v>
      </c>
      <c r="F69" s="30">
        <f ca="1" t="array" ref="F69">INDEX(Data_DBD!$F:$F,$A69)</f>
        <v>3</v>
      </c>
      <c r="H69" s="42">
        <v>24</v>
      </c>
      <c r="I69" s="42">
        <v>60</v>
      </c>
      <c r="J69" s="42">
        <v>4</v>
      </c>
      <c r="K69" s="42">
        <v>14</v>
      </c>
      <c r="L69" s="42">
        <v>0</v>
      </c>
      <c r="M69" s="42">
        <v>2</v>
      </c>
    </row>
    <row r="70" spans="1:13">
      <c r="A70" s="30">
        <f ca="1" t="shared" si="1"/>
        <v>4</v>
      </c>
      <c r="B70" s="30">
        <f ca="1" t="array" ref="B70">INDEX(Data_DBD!$B:$B,$A70)</f>
        <v>23</v>
      </c>
      <c r="C70" s="30">
        <f ca="1" t="array" ref="C70">INDEX(Data_DBD!$C:$C,$A70)</f>
        <v>5</v>
      </c>
      <c r="D70" s="30">
        <f ca="1" t="array" ref="D70">INDEX(Data_DBD!$D:$D,$A70)</f>
        <v>12</v>
      </c>
      <c r="E70" s="30">
        <f ca="1" t="array" ref="E70">INDEX(Data_DBD!$E:$E,$A70)</f>
        <v>0</v>
      </c>
      <c r="F70" s="30">
        <f ca="1" t="array" ref="F70">INDEX(Data_DBD!$F:$F,$A70)</f>
        <v>2</v>
      </c>
      <c r="H70" s="42">
        <v>51</v>
      </c>
      <c r="I70" s="42">
        <v>48</v>
      </c>
      <c r="J70" s="42">
        <v>4</v>
      </c>
      <c r="K70" s="42">
        <v>13</v>
      </c>
      <c r="L70" s="42">
        <v>0</v>
      </c>
      <c r="M70" s="42">
        <v>2</v>
      </c>
    </row>
    <row r="71" spans="1:13">
      <c r="A71" s="30">
        <f ca="1" t="shared" si="1"/>
        <v>39</v>
      </c>
      <c r="B71" s="30">
        <f ca="1" t="array" ref="B71">INDEX(Data_DBD!$B:$B,$A71)</f>
        <v>12</v>
      </c>
      <c r="C71" s="30">
        <f ca="1" t="array" ref="C71">INDEX(Data_DBD!$C:$C,$A71)</f>
        <v>5</v>
      </c>
      <c r="D71" s="30">
        <f ca="1" t="array" ref="D71">INDEX(Data_DBD!$D:$D,$A71)</f>
        <v>13</v>
      </c>
      <c r="E71" s="30">
        <f ca="1" t="array" ref="E71">INDEX(Data_DBD!$E:$E,$A71)</f>
        <v>1</v>
      </c>
      <c r="F71" s="30">
        <f ca="1" t="array" ref="F71">INDEX(Data_DBD!$F:$F,$A71)</f>
        <v>2</v>
      </c>
      <c r="H71" s="42">
        <v>65</v>
      </c>
      <c r="I71" s="42">
        <v>49</v>
      </c>
      <c r="J71" s="42">
        <v>3</v>
      </c>
      <c r="K71" s="42">
        <v>15</v>
      </c>
      <c r="L71" s="42">
        <v>0</v>
      </c>
      <c r="M71" s="42">
        <v>2</v>
      </c>
    </row>
    <row r="72" spans="1:13">
      <c r="A72" s="30">
        <f ca="1" t="shared" si="1"/>
        <v>18</v>
      </c>
      <c r="B72" s="30">
        <f ca="1" t="array" ref="B72">INDEX(Data_DBD!$B:$B,$A72)</f>
        <v>49</v>
      </c>
      <c r="C72" s="30">
        <f ca="1" t="array" ref="C72">INDEX(Data_DBD!$C:$C,$A72)</f>
        <v>4</v>
      </c>
      <c r="D72" s="30">
        <f ca="1" t="array" ref="D72">INDEX(Data_DBD!$D:$D,$A72)</f>
        <v>7</v>
      </c>
      <c r="E72" s="30">
        <f ca="1" t="array" ref="E72">INDEX(Data_DBD!$E:$E,$A72)</f>
        <v>1</v>
      </c>
      <c r="F72" s="30">
        <f ca="1" t="array" ref="F72">INDEX(Data_DBD!$F:$F,$A72)</f>
        <v>1</v>
      </c>
      <c r="H72" s="42">
        <v>13</v>
      </c>
      <c r="I72" s="42">
        <v>47</v>
      </c>
      <c r="J72" s="42">
        <v>2</v>
      </c>
      <c r="K72" s="42">
        <v>12</v>
      </c>
      <c r="L72" s="42">
        <v>0</v>
      </c>
      <c r="M72" s="42">
        <v>2</v>
      </c>
    </row>
    <row r="73" spans="1:13">
      <c r="A73" s="30">
        <f ca="1" t="shared" si="1"/>
        <v>45</v>
      </c>
      <c r="B73" s="30">
        <f ca="1" t="array" ref="B73">INDEX(Data_DBD!$B:$B,$A73)</f>
        <v>75</v>
      </c>
      <c r="C73" s="30">
        <f ca="1" t="array" ref="C73">INDEX(Data_DBD!$C:$C,$A73)</f>
        <v>3</v>
      </c>
      <c r="D73" s="30">
        <f ca="1" t="array" ref="D73">INDEX(Data_DBD!$D:$D,$A73)</f>
        <v>13</v>
      </c>
      <c r="E73" s="30">
        <f ca="1" t="array" ref="E73">INDEX(Data_DBD!$E:$E,$A73)</f>
        <v>1</v>
      </c>
      <c r="F73" s="30">
        <f ca="1" t="array" ref="F73">INDEX(Data_DBD!$F:$F,$A73)</f>
        <v>2</v>
      </c>
      <c r="H73" s="42">
        <v>49</v>
      </c>
      <c r="I73" s="42">
        <v>64</v>
      </c>
      <c r="J73" s="42">
        <v>5</v>
      </c>
      <c r="K73" s="42">
        <v>13</v>
      </c>
      <c r="L73" s="42">
        <v>0</v>
      </c>
      <c r="M73" s="42">
        <v>2</v>
      </c>
    </row>
    <row r="74" spans="1:13">
      <c r="A74" s="30">
        <f ca="1" t="shared" si="1"/>
        <v>53</v>
      </c>
      <c r="B74" s="30">
        <f ca="1" t="array" ref="B74">INDEX(Data_DBD!$B:$B,$A74)</f>
        <v>35</v>
      </c>
      <c r="C74" s="30">
        <f ca="1" t="array" ref="C74">INDEX(Data_DBD!$C:$C,$A74)</f>
        <v>4</v>
      </c>
      <c r="D74" s="30">
        <f ca="1" t="array" ref="D74">INDEX(Data_DBD!$D:$D,$A74)</f>
        <v>15</v>
      </c>
      <c r="E74" s="30">
        <f ca="1" t="array" ref="E74">INDEX(Data_DBD!$E:$E,$A74)</f>
        <v>1</v>
      </c>
      <c r="F74" s="30">
        <f ca="1" t="array" ref="F74">INDEX(Data_DBD!$F:$F,$A74)</f>
        <v>2</v>
      </c>
      <c r="H74" s="42">
        <v>97</v>
      </c>
      <c r="I74" s="42">
        <v>16</v>
      </c>
      <c r="J74" s="42">
        <v>2</v>
      </c>
      <c r="K74" s="42">
        <v>18</v>
      </c>
      <c r="L74" s="42">
        <v>1</v>
      </c>
      <c r="M74" s="42">
        <v>3</v>
      </c>
    </row>
    <row r="75" spans="1:13">
      <c r="A75" s="30">
        <f ca="1" t="shared" si="1"/>
        <v>25</v>
      </c>
      <c r="B75" s="30">
        <f ca="1" t="array" ref="B75">INDEX(Data_DBD!$B:$B,$A75)</f>
        <v>81</v>
      </c>
      <c r="C75" s="30">
        <f ca="1" t="array" ref="C75">INDEX(Data_DBD!$C:$C,$A75)</f>
        <v>5</v>
      </c>
      <c r="D75" s="30">
        <f ca="1" t="array" ref="D75">INDEX(Data_DBD!$D:$D,$A75)</f>
        <v>14</v>
      </c>
      <c r="E75" s="30">
        <f ca="1" t="array" ref="E75">INDEX(Data_DBD!$E:$E,$A75)</f>
        <v>0</v>
      </c>
      <c r="F75" s="30">
        <f ca="1" t="array" ref="F75">INDEX(Data_DBD!$F:$F,$A75)</f>
        <v>2</v>
      </c>
      <c r="H75" s="42">
        <v>6</v>
      </c>
      <c r="I75" s="42">
        <v>14</v>
      </c>
      <c r="J75" s="42">
        <v>4</v>
      </c>
      <c r="K75" s="42">
        <v>12</v>
      </c>
      <c r="L75" s="42">
        <v>0</v>
      </c>
      <c r="M75" s="42">
        <v>2</v>
      </c>
    </row>
    <row r="76" spans="1:13">
      <c r="A76" s="30">
        <f ca="1" t="shared" si="1"/>
        <v>43</v>
      </c>
      <c r="B76" s="30">
        <f ca="1" t="array" ref="B76">INDEX(Data_DBD!$B:$B,$A76)</f>
        <v>15</v>
      </c>
      <c r="C76" s="30">
        <f ca="1" t="array" ref="C76">INDEX(Data_DBD!$C:$C,$A76)</f>
        <v>4</v>
      </c>
      <c r="D76" s="30">
        <f ca="1" t="array" ref="D76">INDEX(Data_DBD!$D:$D,$A76)</f>
        <v>13</v>
      </c>
      <c r="E76" s="30">
        <f ca="1" t="array" ref="E76">INDEX(Data_DBD!$E:$E,$A76)</f>
        <v>0</v>
      </c>
      <c r="F76" s="30">
        <f ca="1" t="array" ref="F76">INDEX(Data_DBD!$F:$F,$A76)</f>
        <v>2</v>
      </c>
      <c r="H76" s="42">
        <v>164</v>
      </c>
      <c r="I76" s="42">
        <v>10</v>
      </c>
      <c r="J76" s="42">
        <v>6</v>
      </c>
      <c r="K76" s="42">
        <v>3</v>
      </c>
      <c r="L76" s="42">
        <v>0</v>
      </c>
      <c r="M76" s="42">
        <v>1</v>
      </c>
    </row>
    <row r="77" spans="1:13">
      <c r="A77" s="30">
        <f ca="1" t="shared" si="1"/>
        <v>30</v>
      </c>
      <c r="B77" s="30" t="str">
        <f ca="1" t="array" ref="B77">INDEX(Data_DBD!$B:$B,$A77)</f>
        <v>2,8</v>
      </c>
      <c r="C77" s="30">
        <f ca="1" t="array" ref="C77">INDEX(Data_DBD!$C:$C,$A77)</f>
        <v>2</v>
      </c>
      <c r="D77" s="30">
        <f ca="1" t="array" ref="D77">INDEX(Data_DBD!$D:$D,$A77)</f>
        <v>14</v>
      </c>
      <c r="E77" s="30">
        <f ca="1" t="array" ref="E77">INDEX(Data_DBD!$E:$E,$A77)</f>
        <v>1</v>
      </c>
      <c r="F77" s="30">
        <f ca="1" t="array" ref="F77">INDEX(Data_DBD!$F:$F,$A77)</f>
        <v>2</v>
      </c>
      <c r="H77" s="42">
        <v>34</v>
      </c>
      <c r="I77" s="42">
        <v>55</v>
      </c>
      <c r="J77" s="42">
        <v>3</v>
      </c>
      <c r="K77" s="42">
        <v>14</v>
      </c>
      <c r="L77" s="42">
        <v>0</v>
      </c>
      <c r="M77" s="42">
        <v>2</v>
      </c>
    </row>
    <row r="78" spans="1:13">
      <c r="A78" s="30">
        <f ca="1" t="shared" si="1"/>
        <v>65</v>
      </c>
      <c r="B78" s="30">
        <f ca="1" t="array" ref="B78">INDEX(Data_DBD!$B:$B,$A78)</f>
        <v>49</v>
      </c>
      <c r="C78" s="30">
        <f ca="1" t="array" ref="C78">INDEX(Data_DBD!$C:$C,$A78)</f>
        <v>3</v>
      </c>
      <c r="D78" s="30">
        <f ca="1" t="array" ref="D78">INDEX(Data_DBD!$D:$D,$A78)</f>
        <v>15</v>
      </c>
      <c r="E78" s="30">
        <f ca="1" t="array" ref="E78">INDEX(Data_DBD!$E:$E,$A78)</f>
        <v>0</v>
      </c>
      <c r="F78" s="30">
        <f ca="1" t="array" ref="F78">INDEX(Data_DBD!$F:$F,$A78)</f>
        <v>2</v>
      </c>
      <c r="H78" s="42">
        <v>31</v>
      </c>
      <c r="I78" s="42">
        <v>64</v>
      </c>
      <c r="J78" s="42">
        <v>4</v>
      </c>
      <c r="K78" s="42">
        <v>14</v>
      </c>
      <c r="L78" s="42">
        <v>1</v>
      </c>
      <c r="M78" s="42">
        <v>2</v>
      </c>
    </row>
    <row r="79" spans="1:13">
      <c r="A79" s="30">
        <f ca="1" t="shared" si="1"/>
        <v>127</v>
      </c>
      <c r="B79" s="30">
        <f ca="1" t="array" ref="B79">INDEX(Data_DBD!$B:$B,$A79)</f>
        <v>21</v>
      </c>
      <c r="C79" s="30">
        <f ca="1" t="array" ref="C79">INDEX(Data_DBD!$C:$C,$A79)</f>
        <v>2</v>
      </c>
      <c r="D79" s="30">
        <f ca="1" t="array" ref="D79">INDEX(Data_DBD!$D:$D,$A79)</f>
        <v>33</v>
      </c>
      <c r="E79" s="30">
        <f ca="1" t="array" ref="E79">INDEX(Data_DBD!$E:$E,$A79)</f>
        <v>0</v>
      </c>
      <c r="F79" s="30">
        <f ca="1" t="array" ref="F79">INDEX(Data_DBD!$F:$F,$A79)</f>
        <v>3</v>
      </c>
      <c r="H79" s="42">
        <v>66</v>
      </c>
      <c r="I79" s="42">
        <v>21</v>
      </c>
      <c r="J79" s="42">
        <v>5</v>
      </c>
      <c r="K79" s="42">
        <v>15</v>
      </c>
      <c r="L79" s="42">
        <v>1</v>
      </c>
      <c r="M79" s="42">
        <v>2</v>
      </c>
    </row>
    <row r="80" spans="1:13">
      <c r="A80" s="30">
        <f ca="1" t="shared" si="1"/>
        <v>79</v>
      </c>
      <c r="B80" s="30">
        <f ca="1" t="array" ref="B80">INDEX(Data_DBD!$B:$B,$A80)</f>
        <v>29</v>
      </c>
      <c r="C80" s="30">
        <f ca="1" t="array" ref="C80">INDEX(Data_DBD!$C:$C,$A80)</f>
        <v>3</v>
      </c>
      <c r="D80" s="30">
        <f ca="1" t="array" ref="D80">INDEX(Data_DBD!$D:$D,$A80)</f>
        <v>13</v>
      </c>
      <c r="E80" s="30">
        <f ca="1" t="array" ref="E80">INDEX(Data_DBD!$E:$E,$A80)</f>
        <v>0</v>
      </c>
      <c r="F80" s="30">
        <f ca="1" t="array" ref="F80">INDEX(Data_DBD!$F:$F,$A80)</f>
        <v>2</v>
      </c>
      <c r="H80" s="42">
        <v>153</v>
      </c>
      <c r="I80" s="42">
        <v>73</v>
      </c>
      <c r="J80" s="42">
        <v>7</v>
      </c>
      <c r="K80" s="42">
        <v>21</v>
      </c>
      <c r="L80" s="42">
        <v>1</v>
      </c>
      <c r="M80" s="42">
        <v>3</v>
      </c>
    </row>
    <row r="81" spans="1:13">
      <c r="A81" s="30">
        <f ca="1" t="shared" si="1"/>
        <v>96</v>
      </c>
      <c r="B81" s="30">
        <f ca="1" t="array" ref="B81">INDEX(Data_DBD!$B:$B,$A81)</f>
        <v>56</v>
      </c>
      <c r="C81" s="30">
        <f ca="1" t="array" ref="C81">INDEX(Data_DBD!$C:$C,$A81)</f>
        <v>4</v>
      </c>
      <c r="D81" s="30">
        <f ca="1" t="array" ref="D81">INDEX(Data_DBD!$D:$D,$A81)</f>
        <v>18</v>
      </c>
      <c r="E81" s="30">
        <f ca="1" t="array" ref="E81">INDEX(Data_DBD!$E:$E,$A81)</f>
        <v>0</v>
      </c>
      <c r="F81" s="30">
        <f ca="1" t="array" ref="F81">INDEX(Data_DBD!$F:$F,$A81)</f>
        <v>3</v>
      </c>
      <c r="H81" s="42">
        <v>19</v>
      </c>
      <c r="I81" s="42">
        <v>8</v>
      </c>
      <c r="J81" s="42">
        <v>4</v>
      </c>
      <c r="K81" s="42">
        <v>7</v>
      </c>
      <c r="L81" s="42">
        <v>0</v>
      </c>
      <c r="M81" s="42">
        <v>1</v>
      </c>
    </row>
    <row r="82" spans="1:13">
      <c r="A82" s="30">
        <f ca="1" t="shared" si="1"/>
        <v>4</v>
      </c>
      <c r="B82" s="30">
        <f ca="1" t="array" ref="B82">INDEX(Data_DBD!$B:$B,$A82)</f>
        <v>23</v>
      </c>
      <c r="C82" s="30">
        <f ca="1" t="array" ref="C82">INDEX(Data_DBD!$C:$C,$A82)</f>
        <v>5</v>
      </c>
      <c r="D82" s="30">
        <f ca="1" t="array" ref="D82">INDEX(Data_DBD!$D:$D,$A82)</f>
        <v>12</v>
      </c>
      <c r="E82" s="30">
        <f ca="1" t="array" ref="E82">INDEX(Data_DBD!$E:$E,$A82)</f>
        <v>0</v>
      </c>
      <c r="F82" s="30">
        <f ca="1" t="array" ref="F82">INDEX(Data_DBD!$F:$F,$A82)</f>
        <v>2</v>
      </c>
      <c r="H82" s="42">
        <v>79</v>
      </c>
      <c r="I82" s="42">
        <v>29</v>
      </c>
      <c r="J82" s="42">
        <v>3</v>
      </c>
      <c r="K82" s="42">
        <v>13</v>
      </c>
      <c r="L82" s="42">
        <v>0</v>
      </c>
      <c r="M82" s="42">
        <v>2</v>
      </c>
    </row>
    <row r="83" spans="1:13">
      <c r="A83" s="30">
        <f ca="1" t="shared" si="1"/>
        <v>38</v>
      </c>
      <c r="B83" s="30">
        <f ca="1" t="array" ref="B83">INDEX(Data_DBD!$B:$B,$A83)</f>
        <v>52</v>
      </c>
      <c r="C83" s="30">
        <f ca="1" t="array" ref="C83">INDEX(Data_DBD!$C:$C,$A83)</f>
        <v>3</v>
      </c>
      <c r="D83" s="30">
        <f ca="1" t="array" ref="D83">INDEX(Data_DBD!$D:$D,$A83)</f>
        <v>4</v>
      </c>
      <c r="E83" s="30">
        <f ca="1" t="array" ref="E83">INDEX(Data_DBD!$E:$E,$A83)</f>
        <v>1</v>
      </c>
      <c r="F83" s="30">
        <f ca="1" t="array" ref="F83">INDEX(Data_DBD!$F:$F,$A83)</f>
        <v>1</v>
      </c>
      <c r="H83" s="42">
        <v>69</v>
      </c>
      <c r="I83" s="42">
        <v>24</v>
      </c>
      <c r="J83" s="42">
        <v>4</v>
      </c>
      <c r="K83" s="42">
        <v>10</v>
      </c>
      <c r="L83" s="42">
        <v>1</v>
      </c>
      <c r="M83" s="42">
        <v>2</v>
      </c>
    </row>
    <row r="84" spans="1:13">
      <c r="A84" s="30">
        <f ca="1" t="shared" si="1"/>
        <v>38</v>
      </c>
      <c r="B84" s="30">
        <f ca="1" t="array" ref="B84">INDEX(Data_DBD!$B:$B,$A84)</f>
        <v>52</v>
      </c>
      <c r="C84" s="30">
        <f ca="1" t="array" ref="C84">INDEX(Data_DBD!$C:$C,$A84)</f>
        <v>3</v>
      </c>
      <c r="D84" s="30">
        <f ca="1" t="array" ref="D84">INDEX(Data_DBD!$D:$D,$A84)</f>
        <v>4</v>
      </c>
      <c r="E84" s="30">
        <f ca="1" t="array" ref="E84">INDEX(Data_DBD!$E:$E,$A84)</f>
        <v>1</v>
      </c>
      <c r="F84" s="30">
        <f ca="1" t="array" ref="F84">INDEX(Data_DBD!$F:$F,$A84)</f>
        <v>1</v>
      </c>
      <c r="H84" s="42">
        <v>157</v>
      </c>
      <c r="I84" s="42">
        <v>15</v>
      </c>
      <c r="J84" s="42">
        <v>4</v>
      </c>
      <c r="K84" s="42">
        <v>21</v>
      </c>
      <c r="L84" s="42">
        <v>1</v>
      </c>
      <c r="M84" s="42">
        <v>3</v>
      </c>
    </row>
    <row r="85" spans="1:13">
      <c r="A85" s="30">
        <f ca="1" t="shared" si="1"/>
        <v>67</v>
      </c>
      <c r="B85" s="30">
        <f ca="1" t="array" ref="B85">INDEX(Data_DBD!$B:$B,$A85)</f>
        <v>21</v>
      </c>
      <c r="C85" s="30">
        <f ca="1" t="array" ref="C85">INDEX(Data_DBD!$C:$C,$A85)</f>
        <v>3</v>
      </c>
      <c r="D85" s="30">
        <f ca="1" t="array" ref="D85">INDEX(Data_DBD!$D:$D,$A85)</f>
        <v>10</v>
      </c>
      <c r="E85" s="30">
        <f ca="1" t="array" ref="E85">INDEX(Data_DBD!$E:$E,$A85)</f>
        <v>1</v>
      </c>
      <c r="F85" s="30">
        <f ca="1" t="array" ref="F85">INDEX(Data_DBD!$F:$F,$A85)</f>
        <v>2</v>
      </c>
      <c r="H85" s="42">
        <v>148</v>
      </c>
      <c r="I85" s="42">
        <v>55</v>
      </c>
      <c r="J85" s="42">
        <v>3</v>
      </c>
      <c r="K85" s="42">
        <v>21</v>
      </c>
      <c r="L85" s="42">
        <v>1</v>
      </c>
      <c r="M85" s="42">
        <v>3</v>
      </c>
    </row>
    <row r="86" spans="1:13">
      <c r="A86" s="30">
        <f ca="1" t="shared" si="1"/>
        <v>53</v>
      </c>
      <c r="B86" s="30">
        <f ca="1" t="array" ref="B86">INDEX(Data_DBD!$B:$B,$A86)</f>
        <v>35</v>
      </c>
      <c r="C86" s="30">
        <f ca="1" t="array" ref="C86">INDEX(Data_DBD!$C:$C,$A86)</f>
        <v>4</v>
      </c>
      <c r="D86" s="30">
        <f ca="1" t="array" ref="D86">INDEX(Data_DBD!$D:$D,$A86)</f>
        <v>15</v>
      </c>
      <c r="E86" s="30">
        <f ca="1" t="array" ref="E86">INDEX(Data_DBD!$E:$E,$A86)</f>
        <v>1</v>
      </c>
      <c r="F86" s="30">
        <f ca="1" t="array" ref="F86">INDEX(Data_DBD!$F:$F,$A86)</f>
        <v>2</v>
      </c>
      <c r="H86" s="42">
        <v>139</v>
      </c>
      <c r="I86" s="42">
        <v>52</v>
      </c>
      <c r="J86" s="42">
        <v>7</v>
      </c>
      <c r="K86" s="42">
        <v>21</v>
      </c>
      <c r="L86" s="42">
        <v>0</v>
      </c>
      <c r="M86" s="42">
        <v>3</v>
      </c>
    </row>
    <row r="87" spans="1:13">
      <c r="A87" s="30">
        <f ca="1" t="shared" si="1"/>
        <v>38</v>
      </c>
      <c r="B87" s="30">
        <f ca="1" t="array" ref="B87">INDEX(Data_DBD!$B:$B,$A87)</f>
        <v>52</v>
      </c>
      <c r="C87" s="30">
        <f ca="1" t="array" ref="C87">INDEX(Data_DBD!$C:$C,$A87)</f>
        <v>3</v>
      </c>
      <c r="D87" s="30">
        <f ca="1" t="array" ref="D87">INDEX(Data_DBD!$D:$D,$A87)</f>
        <v>4</v>
      </c>
      <c r="E87" s="30">
        <f ca="1" t="array" ref="E87">INDEX(Data_DBD!$E:$E,$A87)</f>
        <v>1</v>
      </c>
      <c r="F87" s="30">
        <f ca="1" t="array" ref="F87">INDEX(Data_DBD!$F:$F,$A87)</f>
        <v>1</v>
      </c>
      <c r="H87" s="42">
        <v>115</v>
      </c>
      <c r="I87" s="42">
        <v>52</v>
      </c>
      <c r="J87" s="42">
        <v>3</v>
      </c>
      <c r="K87" s="42">
        <v>33</v>
      </c>
      <c r="L87" s="42">
        <v>1</v>
      </c>
      <c r="M87" s="42">
        <v>3</v>
      </c>
    </row>
    <row r="88" spans="1:13">
      <c r="A88" s="30">
        <f ca="1" t="shared" si="1"/>
        <v>26</v>
      </c>
      <c r="B88" s="30">
        <f ca="1" t="array" ref="B88">INDEX(Data_DBD!$B:$B,$A88)</f>
        <v>75</v>
      </c>
      <c r="C88" s="30">
        <f ca="1" t="array" ref="C88">INDEX(Data_DBD!$C:$C,$A88)</f>
        <v>4</v>
      </c>
      <c r="D88" s="30">
        <f ca="1" t="array" ref="D88">INDEX(Data_DBD!$D:$D,$A88)</f>
        <v>14</v>
      </c>
      <c r="E88" s="30">
        <f ca="1" t="array" ref="E88">INDEX(Data_DBD!$E:$E,$A88)</f>
        <v>1</v>
      </c>
      <c r="F88" s="30">
        <f ca="1" t="array" ref="F88">INDEX(Data_DBD!$F:$F,$A88)</f>
        <v>2</v>
      </c>
      <c r="H88" s="42">
        <v>54</v>
      </c>
      <c r="I88" s="42">
        <v>7</v>
      </c>
      <c r="J88" s="42">
        <v>3</v>
      </c>
      <c r="K88" s="42">
        <v>15</v>
      </c>
      <c r="L88" s="42">
        <v>0</v>
      </c>
      <c r="M88" s="42">
        <v>2</v>
      </c>
    </row>
    <row r="89" spans="1:13">
      <c r="A89" s="30">
        <f ca="1" t="shared" si="1"/>
        <v>158</v>
      </c>
      <c r="B89" s="30">
        <f ca="1" t="array" ref="B89">INDEX(Data_DBD!$B:$B,$A89)</f>
        <v>5</v>
      </c>
      <c r="C89" s="30">
        <f ca="1" t="array" ref="C89">INDEX(Data_DBD!$C:$C,$A89)</f>
        <v>2</v>
      </c>
      <c r="D89" s="30">
        <f ca="1" t="array" ref="D89">INDEX(Data_DBD!$D:$D,$A89)</f>
        <v>21</v>
      </c>
      <c r="E89" s="30">
        <f ca="1" t="array" ref="E89">INDEX(Data_DBD!$E:$E,$A89)</f>
        <v>0</v>
      </c>
      <c r="F89" s="30">
        <f ca="1" t="array" ref="F89">INDEX(Data_DBD!$F:$F,$A89)</f>
        <v>3</v>
      </c>
      <c r="H89" s="42">
        <v>41</v>
      </c>
      <c r="I89" s="42">
        <v>8</v>
      </c>
      <c r="J89" s="42">
        <v>4</v>
      </c>
      <c r="K89" s="42">
        <v>13</v>
      </c>
      <c r="L89" s="42">
        <v>0</v>
      </c>
      <c r="M89" s="42">
        <v>2</v>
      </c>
    </row>
    <row r="90" spans="1:13">
      <c r="A90" s="30">
        <f ca="1" t="shared" si="1"/>
        <v>73</v>
      </c>
      <c r="B90" s="30">
        <f ca="1" t="array" ref="B90">INDEX(Data_DBD!$B:$B,$A90)</f>
        <v>15</v>
      </c>
      <c r="C90" s="30">
        <f ca="1" t="array" ref="C90">INDEX(Data_DBD!$C:$C,$A90)</f>
        <v>3</v>
      </c>
      <c r="D90" s="30">
        <f ca="1" t="array" ref="D90">INDEX(Data_DBD!$D:$D,$A90)</f>
        <v>10</v>
      </c>
      <c r="E90" s="30">
        <f ca="1" t="array" ref="E90">INDEX(Data_DBD!$E:$E,$A90)</f>
        <v>1</v>
      </c>
      <c r="F90" s="30">
        <f ca="1" t="array" ref="F90">INDEX(Data_DBD!$F:$F,$A90)</f>
        <v>2</v>
      </c>
      <c r="H90" s="42">
        <v>109</v>
      </c>
      <c r="I90" s="42">
        <v>40</v>
      </c>
      <c r="J90" s="42">
        <v>3</v>
      </c>
      <c r="K90" s="42">
        <v>33</v>
      </c>
      <c r="L90" s="42">
        <v>1</v>
      </c>
      <c r="M90" s="42">
        <v>3</v>
      </c>
    </row>
    <row r="91" spans="1:13">
      <c r="A91" s="30">
        <f ca="1" t="shared" si="1"/>
        <v>11</v>
      </c>
      <c r="B91" s="30">
        <f ca="1" t="array" ref="B91">INDEX(Data_DBD!$B:$B,$A91)</f>
        <v>24</v>
      </c>
      <c r="C91" s="30">
        <f ca="1" t="array" ref="C91">INDEX(Data_DBD!$C:$C,$A91)</f>
        <v>5</v>
      </c>
      <c r="D91" s="30">
        <f ca="1" t="array" ref="D91">INDEX(Data_DBD!$D:$D,$A91)</f>
        <v>12</v>
      </c>
      <c r="E91" s="30">
        <f ca="1" t="array" ref="E91">INDEX(Data_DBD!$E:$E,$A91)</f>
        <v>1</v>
      </c>
      <c r="F91" s="30">
        <f ca="1" t="array" ref="F91">INDEX(Data_DBD!$F:$F,$A91)</f>
        <v>2</v>
      </c>
      <c r="H91" s="42">
        <v>67</v>
      </c>
      <c r="I91" s="42">
        <v>21</v>
      </c>
      <c r="J91" s="42">
        <v>3</v>
      </c>
      <c r="K91" s="42">
        <v>10</v>
      </c>
      <c r="L91" s="42">
        <v>1</v>
      </c>
      <c r="M91" s="42">
        <v>2</v>
      </c>
    </row>
    <row r="92" spans="1:13">
      <c r="A92" s="30">
        <f ca="1" t="shared" si="1"/>
        <v>14</v>
      </c>
      <c r="B92" s="30">
        <f ca="1" t="array" ref="B92">INDEX(Data_DBD!$B:$B,$A92)</f>
        <v>49</v>
      </c>
      <c r="C92" s="30">
        <f ca="1" t="array" ref="C92">INDEX(Data_DBD!$C:$C,$A92)</f>
        <v>4</v>
      </c>
      <c r="D92" s="30">
        <f ca="1" t="array" ref="D92">INDEX(Data_DBD!$D:$D,$A92)</f>
        <v>7</v>
      </c>
      <c r="E92" s="30">
        <f ca="1" t="array" ref="E92">INDEX(Data_DBD!$E:$E,$A92)</f>
        <v>1</v>
      </c>
      <c r="F92" s="30">
        <f ca="1" t="array" ref="F92">INDEX(Data_DBD!$F:$F,$A92)</f>
        <v>1</v>
      </c>
      <c r="H92" s="42">
        <v>140</v>
      </c>
      <c r="I92" s="42">
        <v>74</v>
      </c>
      <c r="J92" s="42">
        <v>5</v>
      </c>
      <c r="K92" s="42">
        <v>21</v>
      </c>
      <c r="L92" s="42">
        <v>1</v>
      </c>
      <c r="M92" s="42">
        <v>3</v>
      </c>
    </row>
    <row r="93" spans="1:13">
      <c r="A93" s="30">
        <f ca="1" t="shared" si="1"/>
        <v>16</v>
      </c>
      <c r="B93" s="30">
        <f ca="1" t="array" ref="B93">INDEX(Data_DBD!$B:$B,$A93)</f>
        <v>66</v>
      </c>
      <c r="C93" s="30">
        <f ca="1" t="array" ref="C93">INDEX(Data_DBD!$C:$C,$A93)</f>
        <v>5</v>
      </c>
      <c r="D93" s="30">
        <f ca="1" t="array" ref="D93">INDEX(Data_DBD!$D:$D,$A93)</f>
        <v>7</v>
      </c>
      <c r="E93" s="30">
        <f ca="1" t="array" ref="E93">INDEX(Data_DBD!$E:$E,$A93)</f>
        <v>1</v>
      </c>
      <c r="F93" s="30">
        <f ca="1" t="array" ref="F93">INDEX(Data_DBD!$F:$F,$A93)</f>
        <v>1</v>
      </c>
      <c r="H93" s="42">
        <v>110</v>
      </c>
      <c r="I93" s="42">
        <v>42</v>
      </c>
      <c r="J93" s="42">
        <v>2</v>
      </c>
      <c r="K93" s="42">
        <v>33</v>
      </c>
      <c r="L93" s="42">
        <v>1</v>
      </c>
      <c r="M93" s="42">
        <v>3</v>
      </c>
    </row>
    <row r="94" spans="1:13">
      <c r="A94" s="30">
        <f ca="1" t="shared" si="1"/>
        <v>139</v>
      </c>
      <c r="B94" s="30">
        <f ca="1" t="array" ref="B94">INDEX(Data_DBD!$B:$B,$A94)</f>
        <v>52</v>
      </c>
      <c r="C94" s="30">
        <f ca="1" t="array" ref="C94">INDEX(Data_DBD!$C:$C,$A94)</f>
        <v>7</v>
      </c>
      <c r="D94" s="30">
        <f ca="1" t="array" ref="D94">INDEX(Data_DBD!$D:$D,$A94)</f>
        <v>21</v>
      </c>
      <c r="E94" s="30">
        <f ca="1" t="array" ref="E94">INDEX(Data_DBD!$E:$E,$A94)</f>
        <v>0</v>
      </c>
      <c r="F94" s="30">
        <f ca="1" t="array" ref="F94">INDEX(Data_DBD!$F:$F,$A94)</f>
        <v>3</v>
      </c>
      <c r="H94" s="42">
        <v>16</v>
      </c>
      <c r="I94" s="42">
        <v>66</v>
      </c>
      <c r="J94" s="42">
        <v>5</v>
      </c>
      <c r="K94" s="42">
        <v>7</v>
      </c>
      <c r="L94" s="42">
        <v>1</v>
      </c>
      <c r="M94" s="42">
        <v>1</v>
      </c>
    </row>
    <row r="95" spans="1:13">
      <c r="A95" s="30">
        <f ca="1" t="shared" si="1"/>
        <v>5</v>
      </c>
      <c r="B95" s="30">
        <f ca="1" t="array" ref="B95">INDEX(Data_DBD!$B:$B,$A95)</f>
        <v>18</v>
      </c>
      <c r="C95" s="30">
        <f ca="1" t="array" ref="C95">INDEX(Data_DBD!$C:$C,$A95)</f>
        <v>2</v>
      </c>
      <c r="D95" s="30">
        <f ca="1" t="array" ref="D95">INDEX(Data_DBD!$D:$D,$A95)</f>
        <v>12</v>
      </c>
      <c r="E95" s="30">
        <f ca="1" t="array" ref="E95">INDEX(Data_DBD!$E:$E,$A95)</f>
        <v>1</v>
      </c>
      <c r="F95" s="30">
        <f ca="1" t="array" ref="F95">INDEX(Data_DBD!$F:$F,$A95)</f>
        <v>2</v>
      </c>
      <c r="H95" s="42">
        <v>28</v>
      </c>
      <c r="I95" s="42">
        <v>22</v>
      </c>
      <c r="J95" s="42">
        <v>2</v>
      </c>
      <c r="K95" s="42">
        <v>14</v>
      </c>
      <c r="L95" s="42">
        <v>1</v>
      </c>
      <c r="M95" s="42">
        <v>2</v>
      </c>
    </row>
    <row r="96" spans="1:13">
      <c r="A96" s="30">
        <f ca="1" t="shared" si="1"/>
        <v>51</v>
      </c>
      <c r="B96" s="30">
        <f ca="1" t="array" ref="B96">INDEX(Data_DBD!$B:$B,$A96)</f>
        <v>48</v>
      </c>
      <c r="C96" s="30">
        <f ca="1" t="array" ref="C96">INDEX(Data_DBD!$C:$C,$A96)</f>
        <v>4</v>
      </c>
      <c r="D96" s="30">
        <f ca="1" t="array" ref="D96">INDEX(Data_DBD!$D:$D,$A96)</f>
        <v>13</v>
      </c>
      <c r="E96" s="30">
        <f ca="1" t="array" ref="E96">INDEX(Data_DBD!$E:$E,$A96)</f>
        <v>0</v>
      </c>
      <c r="F96" s="30">
        <f ca="1" t="array" ref="F96">INDEX(Data_DBD!$F:$F,$A96)</f>
        <v>2</v>
      </c>
      <c r="H96" s="42">
        <v>38</v>
      </c>
      <c r="I96" s="42">
        <v>52</v>
      </c>
      <c r="J96" s="42">
        <v>3</v>
      </c>
      <c r="K96" s="42">
        <v>4</v>
      </c>
      <c r="L96" s="42">
        <v>1</v>
      </c>
      <c r="M96" s="42">
        <v>1</v>
      </c>
    </row>
    <row r="97" spans="1:13">
      <c r="A97" s="30">
        <f ca="1" t="shared" si="1"/>
        <v>92</v>
      </c>
      <c r="B97" s="30">
        <f ca="1" t="array" ref="B97">INDEX(Data_DBD!$B:$B,$A97)</f>
        <v>55</v>
      </c>
      <c r="C97" s="30">
        <f ca="1" t="array" ref="C97">INDEX(Data_DBD!$C:$C,$A97)</f>
        <v>7</v>
      </c>
      <c r="D97" s="30">
        <f ca="1" t="array" ref="D97">INDEX(Data_DBD!$D:$D,$A97)</f>
        <v>18</v>
      </c>
      <c r="E97" s="30">
        <f ca="1" t="array" ref="E97">INDEX(Data_DBD!$E:$E,$A97)</f>
        <v>0</v>
      </c>
      <c r="F97" s="30">
        <f ca="1" t="array" ref="F97">INDEX(Data_DBD!$F:$F,$A97)</f>
        <v>3</v>
      </c>
      <c r="H97" s="42">
        <v>19</v>
      </c>
      <c r="I97" s="42">
        <v>8</v>
      </c>
      <c r="J97" s="42">
        <v>4</v>
      </c>
      <c r="K97" s="42">
        <v>7</v>
      </c>
      <c r="L97" s="42">
        <v>0</v>
      </c>
      <c r="M97" s="42">
        <v>1</v>
      </c>
    </row>
    <row r="98" spans="1:13">
      <c r="A98" s="30">
        <f ca="1" t="shared" si="1"/>
        <v>113</v>
      </c>
      <c r="B98" s="30">
        <f ca="1" t="array" ref="B98">INDEX(Data_DBD!$B:$B,$A98)</f>
        <v>69</v>
      </c>
      <c r="C98" s="30">
        <f ca="1" t="array" ref="C98">INDEX(Data_DBD!$C:$C,$A98)</f>
        <v>1</v>
      </c>
      <c r="D98" s="30">
        <f ca="1" t="array" ref="D98">INDEX(Data_DBD!$D:$D,$A98)</f>
        <v>33</v>
      </c>
      <c r="E98" s="30">
        <f ca="1" t="array" ref="E98">INDEX(Data_DBD!$E:$E,$A98)</f>
        <v>1</v>
      </c>
      <c r="F98" s="30">
        <f ca="1" t="array" ref="F98">INDEX(Data_DBD!$F:$F,$A98)</f>
        <v>3</v>
      </c>
      <c r="H98" s="42">
        <v>157</v>
      </c>
      <c r="I98" s="42">
        <v>15</v>
      </c>
      <c r="J98" s="42">
        <v>4</v>
      </c>
      <c r="K98" s="42">
        <v>21</v>
      </c>
      <c r="L98" s="42">
        <v>1</v>
      </c>
      <c r="M98" s="42">
        <v>3</v>
      </c>
    </row>
    <row r="99" spans="1:13">
      <c r="A99" s="30">
        <f ca="1" t="shared" si="1"/>
        <v>149</v>
      </c>
      <c r="B99" s="30">
        <f ca="1" t="array" ref="B99">INDEX(Data_DBD!$B:$B,$A99)</f>
        <v>19</v>
      </c>
      <c r="C99" s="30">
        <f ca="1" t="array" ref="C99">INDEX(Data_DBD!$C:$C,$A99)</f>
        <v>5</v>
      </c>
      <c r="D99" s="30">
        <f ca="1" t="array" ref="D99">INDEX(Data_DBD!$D:$D,$A99)</f>
        <v>21</v>
      </c>
      <c r="E99" s="30">
        <f ca="1" t="array" ref="E99">INDEX(Data_DBD!$E:$E,$A99)</f>
        <v>0</v>
      </c>
      <c r="F99" s="30">
        <f ca="1" t="array" ref="F99">INDEX(Data_DBD!$F:$F,$A99)</f>
        <v>3</v>
      </c>
      <c r="H99" s="42">
        <v>118</v>
      </c>
      <c r="I99" s="42">
        <v>67</v>
      </c>
      <c r="J99" s="42">
        <v>4</v>
      </c>
      <c r="K99" s="42">
        <v>33</v>
      </c>
      <c r="L99" s="42">
        <v>1</v>
      </c>
      <c r="M99" s="42">
        <v>3</v>
      </c>
    </row>
    <row r="100" spans="1:13">
      <c r="A100" s="30">
        <f ca="1" t="shared" si="1"/>
        <v>54</v>
      </c>
      <c r="B100" s="30">
        <f ca="1" t="array" ref="B100">INDEX(Data_DBD!$B:$B,$A100)</f>
        <v>7</v>
      </c>
      <c r="C100" s="30">
        <f ca="1" t="array" ref="C100">INDEX(Data_DBD!$C:$C,$A100)</f>
        <v>3</v>
      </c>
      <c r="D100" s="30">
        <f ca="1" t="array" ref="D100">INDEX(Data_DBD!$D:$D,$A100)</f>
        <v>15</v>
      </c>
      <c r="E100" s="30">
        <f ca="1" t="array" ref="E100">INDEX(Data_DBD!$E:$E,$A100)</f>
        <v>0</v>
      </c>
      <c r="F100" s="30">
        <f ca="1" t="array" ref="F100">INDEX(Data_DBD!$F:$F,$A100)</f>
        <v>2</v>
      </c>
      <c r="H100" s="42">
        <v>160</v>
      </c>
      <c r="I100" s="42">
        <v>16</v>
      </c>
      <c r="J100" s="42">
        <v>3</v>
      </c>
      <c r="K100" s="42">
        <v>21</v>
      </c>
      <c r="L100" s="42">
        <v>0</v>
      </c>
      <c r="M100" s="42">
        <v>3</v>
      </c>
    </row>
    <row r="101" spans="1:13">
      <c r="A101" s="30">
        <f ca="1" t="shared" si="1"/>
        <v>162</v>
      </c>
      <c r="B101" s="30">
        <f ca="1" t="array" ref="B101">INDEX(Data_DBD!$B:$B,$A101)</f>
        <v>22</v>
      </c>
      <c r="C101" s="30">
        <f ca="1" t="array" ref="C101">INDEX(Data_DBD!$C:$C,$A101)</f>
        <v>3</v>
      </c>
      <c r="D101" s="30">
        <f ca="1" t="array" ref="D101">INDEX(Data_DBD!$D:$D,$A101)</f>
        <v>3</v>
      </c>
      <c r="E101" s="30">
        <f ca="1" t="array" ref="E101">INDEX(Data_DBD!$E:$E,$A101)</f>
        <v>1</v>
      </c>
      <c r="F101" s="30">
        <f ca="1" t="array" ref="F101">INDEX(Data_DBD!$F:$F,$A101)</f>
        <v>1</v>
      </c>
      <c r="H101" s="42">
        <v>6</v>
      </c>
      <c r="I101" s="42">
        <v>14</v>
      </c>
      <c r="J101" s="42">
        <v>4</v>
      </c>
      <c r="K101" s="42">
        <v>12</v>
      </c>
      <c r="L101" s="42">
        <v>0</v>
      </c>
      <c r="M101" s="42">
        <v>2</v>
      </c>
    </row>
    <row r="102" spans="1:13">
      <c r="A102" s="30">
        <f ca="1" t="shared" si="1"/>
        <v>88</v>
      </c>
      <c r="B102" s="30">
        <f ca="1" t="array" ref="B102">INDEX(Data_DBD!$B:$B,$A102)</f>
        <v>20</v>
      </c>
      <c r="C102" s="30">
        <f ca="1" t="array" ref="C102">INDEX(Data_DBD!$C:$C,$A102)</f>
        <v>4</v>
      </c>
      <c r="D102" s="30">
        <f ca="1" t="array" ref="D102">INDEX(Data_DBD!$D:$D,$A102)</f>
        <v>13</v>
      </c>
      <c r="E102" s="30">
        <f ca="1" t="array" ref="E102">INDEX(Data_DBD!$E:$E,$A102)</f>
        <v>1</v>
      </c>
      <c r="F102" s="30">
        <f ca="1" t="array" ref="F102">INDEX(Data_DBD!$F:$F,$A102)</f>
        <v>2</v>
      </c>
      <c r="H102" s="42">
        <v>31</v>
      </c>
      <c r="I102" s="42">
        <v>64</v>
      </c>
      <c r="J102" s="42">
        <v>4</v>
      </c>
      <c r="K102" s="42">
        <v>14</v>
      </c>
      <c r="L102" s="42">
        <v>1</v>
      </c>
      <c r="M102" s="42">
        <v>2</v>
      </c>
    </row>
    <row r="103" spans="1:13">
      <c r="A103" s="30">
        <f ca="1" t="shared" si="1"/>
        <v>104</v>
      </c>
      <c r="B103" s="30">
        <f ca="1" t="array" ref="B103">INDEX(Data_DBD!$B:$B,$A103)</f>
        <v>37</v>
      </c>
      <c r="C103" s="30">
        <f ca="1" t="array" ref="C103">INDEX(Data_DBD!$C:$C,$A103)</f>
        <v>4</v>
      </c>
      <c r="D103" s="30">
        <f ca="1" t="array" ref="D103">INDEX(Data_DBD!$D:$D,$A103)</f>
        <v>18</v>
      </c>
      <c r="E103" s="30">
        <f ca="1" t="array" ref="E103">INDEX(Data_DBD!$E:$E,$A103)</f>
        <v>1</v>
      </c>
      <c r="F103" s="30">
        <f ca="1" t="array" ref="F103">INDEX(Data_DBD!$F:$F,$A103)</f>
        <v>3</v>
      </c>
      <c r="H103" s="42">
        <v>47</v>
      </c>
      <c r="I103" s="42">
        <v>19</v>
      </c>
      <c r="J103" s="42">
        <v>2</v>
      </c>
      <c r="K103" s="42">
        <v>13</v>
      </c>
      <c r="L103" s="42">
        <v>0</v>
      </c>
      <c r="M103" s="42">
        <v>2</v>
      </c>
    </row>
    <row r="104" spans="1:13">
      <c r="A104" s="30">
        <f ca="1" t="shared" si="1"/>
        <v>61</v>
      </c>
      <c r="B104" s="30">
        <f ca="1" t="array" ref="B104">INDEX(Data_DBD!$B:$B,$A104)</f>
        <v>29</v>
      </c>
      <c r="C104" s="30">
        <f ca="1" t="array" ref="C104">INDEX(Data_DBD!$C:$C,$A104)</f>
        <v>3</v>
      </c>
      <c r="D104" s="30">
        <f ca="1" t="array" ref="D104">INDEX(Data_DBD!$D:$D,$A104)</f>
        <v>15</v>
      </c>
      <c r="E104" s="30">
        <f ca="1" t="array" ref="E104">INDEX(Data_DBD!$E:$E,$A104)</f>
        <v>1</v>
      </c>
      <c r="F104" s="30">
        <f ca="1" t="array" ref="F104">INDEX(Data_DBD!$F:$F,$A104)</f>
        <v>2</v>
      </c>
      <c r="H104" s="42">
        <v>39</v>
      </c>
      <c r="I104" s="42">
        <v>12</v>
      </c>
      <c r="J104" s="42">
        <v>5</v>
      </c>
      <c r="K104" s="42">
        <v>13</v>
      </c>
      <c r="L104" s="42">
        <v>1</v>
      </c>
      <c r="M104" s="42">
        <v>2</v>
      </c>
    </row>
    <row r="105" spans="1:13">
      <c r="A105" s="30">
        <f ca="1" t="shared" si="1"/>
        <v>164</v>
      </c>
      <c r="B105" s="30">
        <f ca="1" t="array" ref="B105">INDEX(Data_DBD!$B:$B,$A105)</f>
        <v>10</v>
      </c>
      <c r="C105" s="30">
        <f ca="1" t="array" ref="C105">INDEX(Data_DBD!$C:$C,$A105)</f>
        <v>6</v>
      </c>
      <c r="D105" s="30">
        <f ca="1" t="array" ref="D105">INDEX(Data_DBD!$D:$D,$A105)</f>
        <v>3</v>
      </c>
      <c r="E105" s="30">
        <f ca="1" t="array" ref="E105">INDEX(Data_DBD!$E:$E,$A105)</f>
        <v>0</v>
      </c>
      <c r="F105" s="30">
        <f ca="1" t="array" ref="F105">INDEX(Data_DBD!$F:$F,$A105)</f>
        <v>1</v>
      </c>
      <c r="H105" s="42">
        <v>129</v>
      </c>
      <c r="I105" s="42">
        <v>4.5</v>
      </c>
      <c r="J105" s="42">
        <v>3</v>
      </c>
      <c r="K105" s="42">
        <v>33</v>
      </c>
      <c r="L105" s="42">
        <v>0</v>
      </c>
      <c r="M105" s="42">
        <v>3</v>
      </c>
    </row>
    <row r="106" spans="1:13">
      <c r="A106" s="30">
        <f ca="1" t="shared" si="1"/>
        <v>121</v>
      </c>
      <c r="B106" s="30">
        <f ca="1" t="array" ref="B106">INDEX(Data_DBD!$B:$B,$A106)</f>
        <v>82</v>
      </c>
      <c r="C106" s="30">
        <f ca="1" t="array" ref="C106">INDEX(Data_DBD!$C:$C,$A106)</f>
        <v>5</v>
      </c>
      <c r="D106" s="30">
        <f ca="1" t="array" ref="D106">INDEX(Data_DBD!$D:$D,$A106)</f>
        <v>33</v>
      </c>
      <c r="E106" s="30">
        <f ca="1" t="array" ref="E106">INDEX(Data_DBD!$E:$E,$A106)</f>
        <v>1</v>
      </c>
      <c r="F106" s="30">
        <f ca="1" t="array" ref="F106">INDEX(Data_DBD!$F:$F,$A106)</f>
        <v>3</v>
      </c>
      <c r="H106" s="42">
        <v>109</v>
      </c>
      <c r="I106" s="42">
        <v>40</v>
      </c>
      <c r="J106" s="42">
        <v>3</v>
      </c>
      <c r="K106" s="42">
        <v>33</v>
      </c>
      <c r="L106" s="42">
        <v>1</v>
      </c>
      <c r="M106" s="42">
        <v>3</v>
      </c>
    </row>
    <row r="107" spans="1:13">
      <c r="A107" s="30">
        <f ca="1" t="shared" si="1"/>
        <v>129</v>
      </c>
      <c r="B107" s="30">
        <f ca="1" t="array" ref="B107">INDEX(Data_DBD!$B:$B,$A107)</f>
        <v>4.5</v>
      </c>
      <c r="C107" s="30">
        <f ca="1" t="array" ref="C107">INDEX(Data_DBD!$C:$C,$A107)</f>
        <v>3</v>
      </c>
      <c r="D107" s="30">
        <f ca="1" t="array" ref="D107">INDEX(Data_DBD!$D:$D,$A107)</f>
        <v>33</v>
      </c>
      <c r="E107" s="30">
        <f ca="1" t="array" ref="E107">INDEX(Data_DBD!$E:$E,$A107)</f>
        <v>0</v>
      </c>
      <c r="F107" s="30">
        <f ca="1" t="array" ref="F107">INDEX(Data_DBD!$F:$F,$A107)</f>
        <v>3</v>
      </c>
      <c r="H107" s="42">
        <v>142</v>
      </c>
      <c r="I107" s="42">
        <v>39</v>
      </c>
      <c r="J107" s="42">
        <v>2</v>
      </c>
      <c r="K107" s="42">
        <v>21</v>
      </c>
      <c r="L107" s="42">
        <v>1</v>
      </c>
      <c r="M107" s="42">
        <v>3</v>
      </c>
    </row>
    <row r="108" spans="1:13">
      <c r="A108" s="30">
        <f ca="1" t="shared" si="1"/>
        <v>55</v>
      </c>
      <c r="B108" s="30">
        <f ca="1" t="array" ref="B108">INDEX(Data_DBD!$B:$B,$A108)</f>
        <v>7</v>
      </c>
      <c r="C108" s="30">
        <f ca="1" t="array" ref="C108">INDEX(Data_DBD!$C:$C,$A108)</f>
        <v>4</v>
      </c>
      <c r="D108" s="30">
        <f ca="1" t="array" ref="D108">INDEX(Data_DBD!$D:$D,$A108)</f>
        <v>15</v>
      </c>
      <c r="E108" s="30">
        <f ca="1" t="array" ref="E108">INDEX(Data_DBD!$E:$E,$A108)</f>
        <v>1</v>
      </c>
      <c r="F108" s="30">
        <f ca="1" t="array" ref="F108">INDEX(Data_DBD!$F:$F,$A108)</f>
        <v>2</v>
      </c>
      <c r="H108" s="42">
        <v>28</v>
      </c>
      <c r="I108" s="42">
        <v>22</v>
      </c>
      <c r="J108" s="42">
        <v>2</v>
      </c>
      <c r="K108" s="42">
        <v>14</v>
      </c>
      <c r="L108" s="42">
        <v>1</v>
      </c>
      <c r="M108" s="42">
        <v>2</v>
      </c>
    </row>
    <row r="109" spans="1:13">
      <c r="A109" s="30">
        <f ca="1" t="shared" si="1"/>
        <v>141</v>
      </c>
      <c r="B109" s="30">
        <f ca="1" t="array" ref="B109">INDEX(Data_DBD!$B:$B,$A109)</f>
        <v>36</v>
      </c>
      <c r="C109" s="30">
        <f ca="1" t="array" ref="C109">INDEX(Data_DBD!$C:$C,$A109)</f>
        <v>2</v>
      </c>
      <c r="D109" s="30">
        <f ca="1" t="array" ref="D109">INDEX(Data_DBD!$D:$D,$A109)</f>
        <v>21</v>
      </c>
      <c r="E109" s="30">
        <f ca="1" t="array" ref="E109">INDEX(Data_DBD!$E:$E,$A109)</f>
        <v>0</v>
      </c>
      <c r="F109" s="30">
        <f ca="1" t="array" ref="F109">INDEX(Data_DBD!$F:$F,$A109)</f>
        <v>3</v>
      </c>
      <c r="H109" s="42">
        <v>65</v>
      </c>
      <c r="I109" s="42">
        <v>49</v>
      </c>
      <c r="J109" s="42">
        <v>3</v>
      </c>
      <c r="K109" s="42">
        <v>15</v>
      </c>
      <c r="L109" s="42">
        <v>0</v>
      </c>
      <c r="M109" s="42">
        <v>2</v>
      </c>
    </row>
    <row r="110" spans="1:13">
      <c r="A110" s="30">
        <f ca="1" t="shared" si="1"/>
        <v>152</v>
      </c>
      <c r="B110" s="30">
        <f ca="1" t="array" ref="B110">INDEX(Data_DBD!$B:$B,$A110)</f>
        <v>47</v>
      </c>
      <c r="C110" s="30">
        <f ca="1" t="array" ref="C110">INDEX(Data_DBD!$C:$C,$A110)</f>
        <v>3</v>
      </c>
      <c r="D110" s="30">
        <f ca="1" t="array" ref="D110">INDEX(Data_DBD!$D:$D,$A110)</f>
        <v>21</v>
      </c>
      <c r="E110" s="30">
        <f ca="1" t="array" ref="E110">INDEX(Data_DBD!$E:$E,$A110)</f>
        <v>1</v>
      </c>
      <c r="F110" s="30">
        <f ca="1" t="array" ref="F110">INDEX(Data_DBD!$F:$F,$A110)</f>
        <v>3</v>
      </c>
      <c r="H110" s="42">
        <v>110</v>
      </c>
      <c r="I110" s="42">
        <v>42</v>
      </c>
      <c r="J110" s="42">
        <v>2</v>
      </c>
      <c r="K110" s="42">
        <v>33</v>
      </c>
      <c r="L110" s="42">
        <v>1</v>
      </c>
      <c r="M110" s="42">
        <v>3</v>
      </c>
    </row>
    <row r="111" spans="1:13">
      <c r="A111" s="30">
        <f ca="1" t="shared" si="1"/>
        <v>53</v>
      </c>
      <c r="B111" s="30">
        <f ca="1" t="array" ref="B111">INDEX(Data_DBD!$B:$B,$A111)</f>
        <v>35</v>
      </c>
      <c r="C111" s="30">
        <f ca="1" t="array" ref="C111">INDEX(Data_DBD!$C:$C,$A111)</f>
        <v>4</v>
      </c>
      <c r="D111" s="30">
        <f ca="1" t="array" ref="D111">INDEX(Data_DBD!$D:$D,$A111)</f>
        <v>15</v>
      </c>
      <c r="E111" s="30">
        <f ca="1" t="array" ref="E111">INDEX(Data_DBD!$E:$E,$A111)</f>
        <v>1</v>
      </c>
      <c r="F111" s="30">
        <f ca="1" t="array" ref="F111">INDEX(Data_DBD!$F:$F,$A111)</f>
        <v>2</v>
      </c>
      <c r="H111" s="42">
        <v>52</v>
      </c>
      <c r="I111" s="42">
        <v>59</v>
      </c>
      <c r="J111" s="42">
        <v>4</v>
      </c>
      <c r="K111" s="42">
        <v>15</v>
      </c>
      <c r="L111" s="42">
        <v>1</v>
      </c>
      <c r="M111" s="42">
        <v>2</v>
      </c>
    </row>
    <row r="112" spans="1:13">
      <c r="A112" s="30">
        <f ca="1" t="shared" si="1"/>
        <v>30</v>
      </c>
      <c r="B112" s="30" t="str">
        <f ca="1" t="array" ref="B112">INDEX(Data_DBD!$B:$B,$A112)</f>
        <v>2,8</v>
      </c>
      <c r="C112" s="30">
        <f ca="1" t="array" ref="C112">INDEX(Data_DBD!$C:$C,$A112)</f>
        <v>2</v>
      </c>
      <c r="D112" s="30">
        <f ca="1" t="array" ref="D112">INDEX(Data_DBD!$D:$D,$A112)</f>
        <v>14</v>
      </c>
      <c r="E112" s="30">
        <f ca="1" t="array" ref="E112">INDEX(Data_DBD!$E:$E,$A112)</f>
        <v>1</v>
      </c>
      <c r="F112" s="30">
        <f ca="1" t="array" ref="F112">INDEX(Data_DBD!$F:$F,$A112)</f>
        <v>2</v>
      </c>
      <c r="H112" s="42">
        <v>23</v>
      </c>
      <c r="I112" s="42">
        <v>28</v>
      </c>
      <c r="J112" s="42">
        <v>4</v>
      </c>
      <c r="K112" s="42">
        <v>14</v>
      </c>
      <c r="L112" s="42">
        <v>1</v>
      </c>
      <c r="M112" s="42">
        <v>2</v>
      </c>
    </row>
    <row r="113" spans="1:13">
      <c r="A113" s="30">
        <f ca="1" t="shared" si="1"/>
        <v>92</v>
      </c>
      <c r="B113" s="30">
        <f ca="1" t="array" ref="B113">INDEX(Data_DBD!$B:$B,$A113)</f>
        <v>55</v>
      </c>
      <c r="C113" s="30">
        <f ca="1" t="array" ref="C113">INDEX(Data_DBD!$C:$C,$A113)</f>
        <v>7</v>
      </c>
      <c r="D113" s="30">
        <f ca="1" t="array" ref="D113">INDEX(Data_DBD!$D:$D,$A113)</f>
        <v>18</v>
      </c>
      <c r="E113" s="30">
        <f ca="1" t="array" ref="E113">INDEX(Data_DBD!$E:$E,$A113)</f>
        <v>0</v>
      </c>
      <c r="F113" s="30">
        <f ca="1" t="array" ref="F113">INDEX(Data_DBD!$F:$F,$A113)</f>
        <v>3</v>
      </c>
      <c r="H113" s="42">
        <v>56</v>
      </c>
      <c r="I113" s="42">
        <v>4</v>
      </c>
      <c r="J113" s="42">
        <v>3</v>
      </c>
      <c r="K113" s="42">
        <v>15</v>
      </c>
      <c r="L113" s="42">
        <v>0</v>
      </c>
      <c r="M113" s="42">
        <v>2</v>
      </c>
    </row>
    <row r="114" spans="1:13">
      <c r="A114" s="30">
        <f ca="1" t="shared" si="1"/>
        <v>106</v>
      </c>
      <c r="B114" s="30">
        <f ca="1" t="array" ref="B114">INDEX(Data_DBD!$B:$B,$A114)</f>
        <v>23</v>
      </c>
      <c r="C114" s="30">
        <f ca="1" t="array" ref="C114">INDEX(Data_DBD!$C:$C,$A114)</f>
        <v>3</v>
      </c>
      <c r="D114" s="30">
        <f ca="1" t="array" ref="D114">INDEX(Data_DBD!$D:$D,$A114)</f>
        <v>18</v>
      </c>
      <c r="E114" s="30">
        <f ca="1" t="array" ref="E114">INDEX(Data_DBD!$E:$E,$A114)</f>
        <v>1</v>
      </c>
      <c r="F114" s="30">
        <f ca="1" t="array" ref="F114">INDEX(Data_DBD!$F:$F,$A114)</f>
        <v>3</v>
      </c>
      <c r="H114" s="42">
        <v>40</v>
      </c>
      <c r="I114" s="42">
        <v>65</v>
      </c>
      <c r="J114" s="42">
        <v>3</v>
      </c>
      <c r="K114" s="42">
        <v>13</v>
      </c>
      <c r="L114" s="42">
        <v>1</v>
      </c>
      <c r="M114" s="42">
        <v>2</v>
      </c>
    </row>
    <row r="115" spans="1:13">
      <c r="A115" s="30">
        <f ca="1" t="shared" si="1"/>
        <v>130</v>
      </c>
      <c r="B115" s="30">
        <f ca="1" t="array" ref="B115">INDEX(Data_DBD!$B:$B,$A115)</f>
        <v>12</v>
      </c>
      <c r="C115" s="30">
        <f ca="1" t="array" ref="C115">INDEX(Data_DBD!$C:$C,$A115)</f>
        <v>4</v>
      </c>
      <c r="D115" s="30">
        <f ca="1" t="array" ref="D115">INDEX(Data_DBD!$D:$D,$A115)</f>
        <v>33</v>
      </c>
      <c r="E115" s="30">
        <f ca="1" t="array" ref="E115">INDEX(Data_DBD!$E:$E,$A115)</f>
        <v>0</v>
      </c>
      <c r="F115" s="30">
        <f ca="1" t="array" ref="F115">INDEX(Data_DBD!$F:$F,$A115)</f>
        <v>3</v>
      </c>
      <c r="H115" s="42">
        <v>61</v>
      </c>
      <c r="I115" s="42">
        <v>29</v>
      </c>
      <c r="J115" s="42">
        <v>3</v>
      </c>
      <c r="K115" s="42">
        <v>15</v>
      </c>
      <c r="L115" s="42">
        <v>1</v>
      </c>
      <c r="M115" s="42">
        <v>2</v>
      </c>
    </row>
    <row r="116" spans="1:13">
      <c r="A116" s="30">
        <f ca="1" t="shared" si="1"/>
        <v>107</v>
      </c>
      <c r="B116" s="30">
        <f ca="1" t="array" ref="B116">INDEX(Data_DBD!$B:$B,$A116)</f>
        <v>48</v>
      </c>
      <c r="C116" s="30">
        <f ca="1" t="array" ref="C116">INDEX(Data_DBD!$C:$C,$A116)</f>
        <v>5</v>
      </c>
      <c r="D116" s="30">
        <f ca="1" t="array" ref="D116">INDEX(Data_DBD!$D:$D,$A116)</f>
        <v>18</v>
      </c>
      <c r="E116" s="30">
        <f ca="1" t="array" ref="E116">INDEX(Data_DBD!$E:$E,$A116)</f>
        <v>0</v>
      </c>
      <c r="F116" s="30">
        <f ca="1" t="array" ref="F116">INDEX(Data_DBD!$F:$F,$A116)</f>
        <v>3</v>
      </c>
      <c r="H116" s="42">
        <v>51</v>
      </c>
      <c r="I116" s="42">
        <v>48</v>
      </c>
      <c r="J116" s="42">
        <v>4</v>
      </c>
      <c r="K116" s="42">
        <v>13</v>
      </c>
      <c r="L116" s="42">
        <v>0</v>
      </c>
      <c r="M116" s="42">
        <v>2</v>
      </c>
    </row>
    <row r="117" spans="1:13">
      <c r="A117" s="30">
        <f ca="1" t="shared" si="1"/>
        <v>54</v>
      </c>
      <c r="B117" s="30">
        <f ca="1" t="array" ref="B117">INDEX(Data_DBD!$B:$B,$A117)</f>
        <v>7</v>
      </c>
      <c r="C117" s="30">
        <f ca="1" t="array" ref="C117">INDEX(Data_DBD!$C:$C,$A117)</f>
        <v>3</v>
      </c>
      <c r="D117" s="30">
        <f ca="1" t="array" ref="D117">INDEX(Data_DBD!$D:$D,$A117)</f>
        <v>15</v>
      </c>
      <c r="E117" s="30">
        <f ca="1" t="array" ref="E117">INDEX(Data_DBD!$E:$E,$A117)</f>
        <v>0</v>
      </c>
      <c r="F117" s="30">
        <f ca="1" t="array" ref="F117">INDEX(Data_DBD!$F:$F,$A117)</f>
        <v>2</v>
      </c>
      <c r="H117" s="42">
        <v>120</v>
      </c>
      <c r="I117" s="42">
        <v>26</v>
      </c>
      <c r="J117" s="42">
        <v>4</v>
      </c>
      <c r="K117" s="42">
        <v>33</v>
      </c>
      <c r="L117" s="42">
        <v>1</v>
      </c>
      <c r="M117" s="42">
        <v>3</v>
      </c>
    </row>
    <row r="118" spans="1:13">
      <c r="A118" s="30">
        <f ca="1" t="shared" si="1"/>
        <v>98</v>
      </c>
      <c r="B118" s="30">
        <f ca="1" t="array" ref="B118">INDEX(Data_DBD!$B:$B,$A118)</f>
        <v>16</v>
      </c>
      <c r="C118" s="30">
        <f ca="1" t="array" ref="C118">INDEX(Data_DBD!$C:$C,$A118)</f>
        <v>2</v>
      </c>
      <c r="D118" s="30">
        <f ca="1" t="array" ref="D118">INDEX(Data_DBD!$D:$D,$A118)</f>
        <v>18</v>
      </c>
      <c r="E118" s="30">
        <f ca="1" t="array" ref="E118">INDEX(Data_DBD!$E:$E,$A118)</f>
        <v>1</v>
      </c>
      <c r="F118" s="30">
        <f ca="1" t="array" ref="F118">INDEX(Data_DBD!$F:$F,$A118)</f>
        <v>3</v>
      </c>
      <c r="H118" s="42">
        <v>66</v>
      </c>
      <c r="I118" s="42">
        <v>21</v>
      </c>
      <c r="J118" s="42">
        <v>5</v>
      </c>
      <c r="K118" s="42">
        <v>15</v>
      </c>
      <c r="L118" s="42">
        <v>1</v>
      </c>
      <c r="M118" s="42">
        <v>2</v>
      </c>
    </row>
    <row r="119" spans="1:13">
      <c r="A119" s="30">
        <f ca="1" t="shared" si="1"/>
        <v>25</v>
      </c>
      <c r="B119" s="30">
        <f ca="1" t="array" ref="B119">INDEX(Data_DBD!$B:$B,$A119)</f>
        <v>81</v>
      </c>
      <c r="C119" s="30">
        <f ca="1" t="array" ref="C119">INDEX(Data_DBD!$C:$C,$A119)</f>
        <v>5</v>
      </c>
      <c r="D119" s="30">
        <f ca="1" t="array" ref="D119">INDEX(Data_DBD!$D:$D,$A119)</f>
        <v>14</v>
      </c>
      <c r="E119" s="30">
        <f ca="1" t="array" ref="E119">INDEX(Data_DBD!$E:$E,$A119)</f>
        <v>0</v>
      </c>
      <c r="F119" s="30">
        <f ca="1" t="array" ref="F119">INDEX(Data_DBD!$F:$F,$A119)</f>
        <v>2</v>
      </c>
      <c r="H119" s="42">
        <v>107</v>
      </c>
      <c r="I119" s="42">
        <v>48</v>
      </c>
      <c r="J119" s="42">
        <v>5</v>
      </c>
      <c r="K119" s="42">
        <v>18</v>
      </c>
      <c r="L119" s="42">
        <v>0</v>
      </c>
      <c r="M119" s="42">
        <v>3</v>
      </c>
    </row>
    <row r="120" spans="1:13">
      <c r="A120" s="30">
        <f ca="1" t="shared" si="1"/>
        <v>145</v>
      </c>
      <c r="B120" s="30">
        <f ca="1" t="array" ref="B120">INDEX(Data_DBD!$B:$B,$A120)</f>
        <v>28</v>
      </c>
      <c r="C120" s="30">
        <f ca="1" t="array" ref="C120">INDEX(Data_DBD!$C:$C,$A120)</f>
        <v>4</v>
      </c>
      <c r="D120" s="30">
        <f ca="1" t="array" ref="D120">INDEX(Data_DBD!$D:$D,$A120)</f>
        <v>21</v>
      </c>
      <c r="E120" s="30">
        <f ca="1" t="array" ref="E120">INDEX(Data_DBD!$E:$E,$A120)</f>
        <v>1</v>
      </c>
      <c r="F120" s="30">
        <f ca="1" t="array" ref="F120">INDEX(Data_DBD!$F:$F,$A120)</f>
        <v>3</v>
      </c>
      <c r="H120" s="42">
        <v>101</v>
      </c>
      <c r="I120" s="42">
        <v>42</v>
      </c>
      <c r="J120" s="42">
        <v>5</v>
      </c>
      <c r="K120" s="42">
        <v>18</v>
      </c>
      <c r="L120" s="42">
        <v>0</v>
      </c>
      <c r="M120" s="42">
        <v>3</v>
      </c>
    </row>
    <row r="121" spans="1:13">
      <c r="A121" s="30">
        <f ca="1" t="shared" si="1"/>
        <v>158</v>
      </c>
      <c r="B121" s="30">
        <f ca="1" t="array" ref="B121">INDEX(Data_DBD!$B:$B,$A121)</f>
        <v>5</v>
      </c>
      <c r="C121" s="30">
        <f ca="1" t="array" ref="C121">INDEX(Data_DBD!$C:$C,$A121)</f>
        <v>2</v>
      </c>
      <c r="D121" s="30">
        <f ca="1" t="array" ref="D121">INDEX(Data_DBD!$D:$D,$A121)</f>
        <v>21</v>
      </c>
      <c r="E121" s="30">
        <f ca="1" t="array" ref="E121">INDEX(Data_DBD!$E:$E,$A121)</f>
        <v>0</v>
      </c>
      <c r="F121" s="30">
        <f ca="1" t="array" ref="F121">INDEX(Data_DBD!$F:$F,$A121)</f>
        <v>3</v>
      </c>
      <c r="H121" s="42">
        <v>128</v>
      </c>
      <c r="I121" s="42">
        <v>38</v>
      </c>
      <c r="J121" s="42">
        <v>2</v>
      </c>
      <c r="K121" s="42">
        <v>33</v>
      </c>
      <c r="L121" s="42">
        <v>0</v>
      </c>
      <c r="M121" s="42">
        <v>3</v>
      </c>
    </row>
    <row r="122" spans="1:13">
      <c r="A122" s="30">
        <f ca="1" t="shared" si="1"/>
        <v>7</v>
      </c>
      <c r="B122" s="30">
        <f ca="1" t="array" ref="B122">INDEX(Data_DBD!$B:$B,$A122)</f>
        <v>12</v>
      </c>
      <c r="C122" s="30">
        <f ca="1" t="array" ref="C122">INDEX(Data_DBD!$C:$C,$A122)</f>
        <v>1</v>
      </c>
      <c r="D122" s="30">
        <f ca="1" t="array" ref="D122">INDEX(Data_DBD!$D:$D,$A122)</f>
        <v>12</v>
      </c>
      <c r="E122" s="30">
        <f ca="1" t="array" ref="E122">INDEX(Data_DBD!$E:$E,$A122)</f>
        <v>1</v>
      </c>
      <c r="F122" s="30">
        <f ca="1" t="array" ref="F122">INDEX(Data_DBD!$F:$F,$A122)</f>
        <v>2</v>
      </c>
      <c r="H122" s="42">
        <v>130</v>
      </c>
      <c r="I122" s="42">
        <v>12</v>
      </c>
      <c r="J122" s="42">
        <v>4</v>
      </c>
      <c r="K122" s="42">
        <v>33</v>
      </c>
      <c r="L122" s="42">
        <v>0</v>
      </c>
      <c r="M122" s="42">
        <v>3</v>
      </c>
    </row>
    <row r="123" spans="1:13">
      <c r="A123" s="30">
        <f ca="1" t="shared" si="1"/>
        <v>89</v>
      </c>
      <c r="B123" s="30">
        <f ca="1" t="array" ref="B123">INDEX(Data_DBD!$B:$B,$A123)</f>
        <v>32</v>
      </c>
      <c r="C123" s="30">
        <f ca="1" t="array" ref="C123">INDEX(Data_DBD!$C:$C,$A123)</f>
        <v>4</v>
      </c>
      <c r="D123" s="30">
        <f ca="1" t="array" ref="D123">INDEX(Data_DBD!$D:$D,$A123)</f>
        <v>13</v>
      </c>
      <c r="E123" s="30">
        <f ca="1" t="array" ref="E123">INDEX(Data_DBD!$E:$E,$A123)</f>
        <v>0</v>
      </c>
      <c r="F123" s="30">
        <f ca="1" t="array" ref="F123">INDEX(Data_DBD!$F:$F,$A123)</f>
        <v>2</v>
      </c>
      <c r="H123" s="42">
        <v>115</v>
      </c>
      <c r="I123" s="42">
        <v>52</v>
      </c>
      <c r="J123" s="42">
        <v>3</v>
      </c>
      <c r="K123" s="42">
        <v>33</v>
      </c>
      <c r="L123" s="42">
        <v>1</v>
      </c>
      <c r="M123" s="42">
        <v>3</v>
      </c>
    </row>
    <row r="124" spans="1:13">
      <c r="A124" s="30">
        <f ca="1" t="shared" si="1"/>
        <v>56</v>
      </c>
      <c r="B124" s="30">
        <f ca="1" t="array" ref="B124">INDEX(Data_DBD!$B:$B,$A124)</f>
        <v>4</v>
      </c>
      <c r="C124" s="30">
        <f ca="1" t="array" ref="C124">INDEX(Data_DBD!$C:$C,$A124)</f>
        <v>3</v>
      </c>
      <c r="D124" s="30">
        <f ca="1" t="array" ref="D124">INDEX(Data_DBD!$D:$D,$A124)</f>
        <v>15</v>
      </c>
      <c r="E124" s="30">
        <f ca="1" t="array" ref="E124">INDEX(Data_DBD!$E:$E,$A124)</f>
        <v>0</v>
      </c>
      <c r="F124" s="30">
        <f ca="1" t="array" ref="F124">INDEX(Data_DBD!$F:$F,$A124)</f>
        <v>2</v>
      </c>
      <c r="H124" s="42">
        <v>132</v>
      </c>
      <c r="I124" s="42">
        <v>10</v>
      </c>
      <c r="J124" s="42">
        <v>3</v>
      </c>
      <c r="K124" s="42">
        <v>33</v>
      </c>
      <c r="L124" s="42">
        <v>1</v>
      </c>
      <c r="M124" s="42">
        <v>3</v>
      </c>
    </row>
    <row r="125" spans="1:13">
      <c r="A125" s="30">
        <f ca="1" t="shared" si="1"/>
        <v>57</v>
      </c>
      <c r="B125" s="30">
        <f ca="1" t="array" ref="B125">INDEX(Data_DBD!$B:$B,$A125)</f>
        <v>2</v>
      </c>
      <c r="C125" s="30">
        <f ca="1" t="array" ref="C125">INDEX(Data_DBD!$C:$C,$A125)</f>
        <v>2</v>
      </c>
      <c r="D125" s="30">
        <f ca="1" t="array" ref="D125">INDEX(Data_DBD!$D:$D,$A125)</f>
        <v>15</v>
      </c>
      <c r="E125" s="30">
        <f ca="1" t="array" ref="E125">INDEX(Data_DBD!$E:$E,$A125)</f>
        <v>1</v>
      </c>
      <c r="F125" s="30">
        <f ca="1" t="array" ref="F125">INDEX(Data_DBD!$F:$F,$A125)</f>
        <v>2</v>
      </c>
      <c r="H125" s="42">
        <v>153</v>
      </c>
      <c r="I125" s="42">
        <v>73</v>
      </c>
      <c r="J125" s="42">
        <v>7</v>
      </c>
      <c r="K125" s="42">
        <v>21</v>
      </c>
      <c r="L125" s="42">
        <v>1</v>
      </c>
      <c r="M125" s="42">
        <v>3</v>
      </c>
    </row>
    <row r="126" spans="1:13">
      <c r="A126" s="30">
        <f ca="1" t="shared" si="1"/>
        <v>55</v>
      </c>
      <c r="B126" s="30">
        <f ca="1" t="array" ref="B126">INDEX(Data_DBD!$B:$B,$A126)</f>
        <v>7</v>
      </c>
      <c r="C126" s="30">
        <f ca="1" t="array" ref="C126">INDEX(Data_DBD!$C:$C,$A126)</f>
        <v>4</v>
      </c>
      <c r="D126" s="30">
        <f ca="1" t="array" ref="D126">INDEX(Data_DBD!$D:$D,$A126)</f>
        <v>15</v>
      </c>
      <c r="E126" s="30">
        <f ca="1" t="array" ref="E126">INDEX(Data_DBD!$E:$E,$A126)</f>
        <v>1</v>
      </c>
      <c r="F126" s="30">
        <f ca="1" t="array" ref="F126">INDEX(Data_DBD!$F:$F,$A126)</f>
        <v>2</v>
      </c>
      <c r="H126" s="42">
        <v>44</v>
      </c>
      <c r="I126" s="42">
        <v>28</v>
      </c>
      <c r="J126" s="42">
        <v>5</v>
      </c>
      <c r="K126" s="42">
        <v>13</v>
      </c>
      <c r="L126" s="42">
        <v>1</v>
      </c>
      <c r="M126" s="42">
        <v>2</v>
      </c>
    </row>
    <row r="127" spans="1:13">
      <c r="A127" s="30">
        <f ca="1" t="shared" si="1"/>
        <v>62</v>
      </c>
      <c r="B127" s="30">
        <f ca="1" t="array" ref="B127">INDEX(Data_DBD!$B:$B,$A127)</f>
        <v>43</v>
      </c>
      <c r="C127" s="30">
        <f ca="1" t="array" ref="C127">INDEX(Data_DBD!$C:$C,$A127)</f>
        <v>4</v>
      </c>
      <c r="D127" s="30">
        <f ca="1" t="array" ref="D127">INDEX(Data_DBD!$D:$D,$A127)</f>
        <v>15</v>
      </c>
      <c r="E127" s="30">
        <f ca="1" t="array" ref="E127">INDEX(Data_DBD!$E:$E,$A127)</f>
        <v>1</v>
      </c>
      <c r="F127" s="30">
        <f ca="1" t="array" ref="F127">INDEX(Data_DBD!$F:$F,$A127)</f>
        <v>2</v>
      </c>
      <c r="H127" s="42">
        <v>35</v>
      </c>
      <c r="I127" s="42">
        <v>40</v>
      </c>
      <c r="J127" s="42">
        <v>3</v>
      </c>
      <c r="K127" s="42">
        <v>4</v>
      </c>
      <c r="L127" s="42">
        <v>1</v>
      </c>
      <c r="M127" s="42">
        <v>1</v>
      </c>
    </row>
    <row r="128" spans="1:13">
      <c r="A128" s="30">
        <f ca="1" t="shared" si="1"/>
        <v>18</v>
      </c>
      <c r="B128" s="30">
        <f ca="1" t="array" ref="B128">INDEX(Data_DBD!$B:$B,$A128)</f>
        <v>49</v>
      </c>
      <c r="C128" s="30">
        <f ca="1" t="array" ref="C128">INDEX(Data_DBD!$C:$C,$A128)</f>
        <v>4</v>
      </c>
      <c r="D128" s="30">
        <f ca="1" t="array" ref="D128">INDEX(Data_DBD!$D:$D,$A128)</f>
        <v>7</v>
      </c>
      <c r="E128" s="30">
        <f ca="1" t="array" ref="E128">INDEX(Data_DBD!$E:$E,$A128)</f>
        <v>1</v>
      </c>
      <c r="F128" s="30">
        <f ca="1" t="array" ref="F128">INDEX(Data_DBD!$F:$F,$A128)</f>
        <v>1</v>
      </c>
      <c r="H128" s="42">
        <v>53</v>
      </c>
      <c r="I128" s="42">
        <v>35</v>
      </c>
      <c r="J128" s="42">
        <v>4</v>
      </c>
      <c r="K128" s="42">
        <v>15</v>
      </c>
      <c r="L128" s="42">
        <v>1</v>
      </c>
      <c r="M128" s="42">
        <v>2</v>
      </c>
    </row>
    <row r="129" spans="1:13">
      <c r="A129" s="30">
        <f ca="1" t="shared" si="1"/>
        <v>61</v>
      </c>
      <c r="B129" s="30">
        <f ca="1" t="array" ref="B129">INDEX(Data_DBD!$B:$B,$A129)</f>
        <v>29</v>
      </c>
      <c r="C129" s="30">
        <f ca="1" t="array" ref="C129">INDEX(Data_DBD!$C:$C,$A129)</f>
        <v>3</v>
      </c>
      <c r="D129" s="30">
        <f ca="1" t="array" ref="D129">INDEX(Data_DBD!$D:$D,$A129)</f>
        <v>15</v>
      </c>
      <c r="E129" s="30">
        <f ca="1" t="array" ref="E129">INDEX(Data_DBD!$E:$E,$A129)</f>
        <v>1</v>
      </c>
      <c r="F129" s="30">
        <f ca="1" t="array" ref="F129">INDEX(Data_DBD!$F:$F,$A129)</f>
        <v>2</v>
      </c>
      <c r="H129" s="42">
        <v>86</v>
      </c>
      <c r="I129" s="42">
        <v>23</v>
      </c>
      <c r="J129" s="42">
        <v>3</v>
      </c>
      <c r="K129" s="42">
        <v>13</v>
      </c>
      <c r="L129" s="42">
        <v>0</v>
      </c>
      <c r="M129" s="42">
        <v>2</v>
      </c>
    </row>
    <row r="130" spans="1:13">
      <c r="A130" s="30">
        <f ca="1" t="shared" si="1"/>
        <v>65</v>
      </c>
      <c r="B130" s="30">
        <f ca="1" t="array" ref="B130">INDEX(Data_DBD!$B:$B,$A130)</f>
        <v>49</v>
      </c>
      <c r="C130" s="30">
        <f ca="1" t="array" ref="C130">INDEX(Data_DBD!$C:$C,$A130)</f>
        <v>3</v>
      </c>
      <c r="D130" s="30">
        <f ca="1" t="array" ref="D130">INDEX(Data_DBD!$D:$D,$A130)</f>
        <v>15</v>
      </c>
      <c r="E130" s="30">
        <f ca="1" t="array" ref="E130">INDEX(Data_DBD!$E:$E,$A130)</f>
        <v>0</v>
      </c>
      <c r="F130" s="30">
        <f ca="1" t="array" ref="F130">INDEX(Data_DBD!$F:$F,$A130)</f>
        <v>2</v>
      </c>
      <c r="H130" s="42">
        <v>47</v>
      </c>
      <c r="I130" s="42">
        <v>19</v>
      </c>
      <c r="J130" s="42">
        <v>2</v>
      </c>
      <c r="K130" s="42">
        <v>13</v>
      </c>
      <c r="L130" s="42">
        <v>0</v>
      </c>
      <c r="M130" s="42">
        <v>2</v>
      </c>
    </row>
    <row r="131" spans="1:13">
      <c r="A131" s="30">
        <f ca="1" t="shared" ref="A131:A164" si="2">RANDBETWEEN(2,164)</f>
        <v>37</v>
      </c>
      <c r="B131" s="30">
        <f ca="1" t="array" ref="B131">INDEX(Data_DBD!$B:$B,$A131)</f>
        <v>28</v>
      </c>
      <c r="C131" s="30">
        <f ca="1" t="array" ref="C131">INDEX(Data_DBD!$C:$C,$A131)</f>
        <v>4</v>
      </c>
      <c r="D131" s="30">
        <f ca="1" t="array" ref="D131">INDEX(Data_DBD!$D:$D,$A131)</f>
        <v>4</v>
      </c>
      <c r="E131" s="30">
        <f ca="1" t="array" ref="E131">INDEX(Data_DBD!$E:$E,$A131)</f>
        <v>1</v>
      </c>
      <c r="F131" s="30">
        <f ca="1" t="array" ref="F131">INDEX(Data_DBD!$F:$F,$A131)</f>
        <v>1</v>
      </c>
      <c r="H131" s="42">
        <v>113</v>
      </c>
      <c r="I131" s="42">
        <v>69</v>
      </c>
      <c r="J131" s="42">
        <v>1</v>
      </c>
      <c r="K131" s="42">
        <v>33</v>
      </c>
      <c r="L131" s="42">
        <v>1</v>
      </c>
      <c r="M131" s="42">
        <v>3</v>
      </c>
    </row>
    <row r="132" spans="1:13">
      <c r="A132" s="30">
        <f ca="1" t="shared" si="2"/>
        <v>70</v>
      </c>
      <c r="B132" s="30">
        <f ca="1" t="array" ref="B132">INDEX(Data_DBD!$B:$B,$A132)</f>
        <v>26</v>
      </c>
      <c r="C132" s="30">
        <f ca="1" t="array" ref="C132">INDEX(Data_DBD!$C:$C,$A132)</f>
        <v>3</v>
      </c>
      <c r="D132" s="30">
        <f ca="1" t="array" ref="D132">INDEX(Data_DBD!$D:$D,$A132)</f>
        <v>10</v>
      </c>
      <c r="E132" s="30">
        <f ca="1" t="array" ref="E132">INDEX(Data_DBD!$E:$E,$A132)</f>
        <v>1</v>
      </c>
      <c r="F132" s="30">
        <f ca="1" t="array" ref="F132">INDEX(Data_DBD!$F:$F,$A132)</f>
        <v>2</v>
      </c>
      <c r="H132" s="42">
        <v>16</v>
      </c>
      <c r="I132" s="42">
        <v>66</v>
      </c>
      <c r="J132" s="42">
        <v>5</v>
      </c>
      <c r="K132" s="42">
        <v>7</v>
      </c>
      <c r="L132" s="42">
        <v>1</v>
      </c>
      <c r="M132" s="42">
        <v>1</v>
      </c>
    </row>
    <row r="133" spans="1:13">
      <c r="A133" s="30">
        <f ca="1" t="shared" si="2"/>
        <v>89</v>
      </c>
      <c r="B133" s="30">
        <f ca="1" t="array" ref="B133">INDEX(Data_DBD!$B:$B,$A133)</f>
        <v>32</v>
      </c>
      <c r="C133" s="30">
        <f ca="1" t="array" ref="C133">INDEX(Data_DBD!$C:$C,$A133)</f>
        <v>4</v>
      </c>
      <c r="D133" s="30">
        <f ca="1" t="array" ref="D133">INDEX(Data_DBD!$D:$D,$A133)</f>
        <v>13</v>
      </c>
      <c r="E133" s="30">
        <f ca="1" t="array" ref="E133">INDEX(Data_DBD!$E:$E,$A133)</f>
        <v>0</v>
      </c>
      <c r="F133" s="30">
        <f ca="1" t="array" ref="F133">INDEX(Data_DBD!$F:$F,$A133)</f>
        <v>2</v>
      </c>
      <c r="H133" s="42">
        <v>103</v>
      </c>
      <c r="I133" s="42">
        <v>22</v>
      </c>
      <c r="J133" s="42">
        <v>5</v>
      </c>
      <c r="K133" s="42">
        <v>18</v>
      </c>
      <c r="L133" s="42">
        <v>0</v>
      </c>
      <c r="M133" s="42">
        <v>3</v>
      </c>
    </row>
    <row r="134" spans="1:13">
      <c r="A134" s="30">
        <f ca="1" t="shared" si="2"/>
        <v>38</v>
      </c>
      <c r="B134" s="30">
        <f ca="1" t="array" ref="B134">INDEX(Data_DBD!$B:$B,$A134)</f>
        <v>52</v>
      </c>
      <c r="C134" s="30">
        <f ca="1" t="array" ref="C134">INDEX(Data_DBD!$C:$C,$A134)</f>
        <v>3</v>
      </c>
      <c r="D134" s="30">
        <f ca="1" t="array" ref="D134">INDEX(Data_DBD!$D:$D,$A134)</f>
        <v>4</v>
      </c>
      <c r="E134" s="30">
        <f ca="1" t="array" ref="E134">INDEX(Data_DBD!$E:$E,$A134)</f>
        <v>1</v>
      </c>
      <c r="F134" s="30">
        <f ca="1" t="array" ref="F134">INDEX(Data_DBD!$F:$F,$A134)</f>
        <v>1</v>
      </c>
      <c r="H134" s="42">
        <v>77</v>
      </c>
      <c r="I134" s="42">
        <v>16</v>
      </c>
      <c r="J134" s="42">
        <v>4</v>
      </c>
      <c r="K134" s="42">
        <v>13</v>
      </c>
      <c r="L134" s="42">
        <v>1</v>
      </c>
      <c r="M134" s="42">
        <v>2</v>
      </c>
    </row>
    <row r="135" spans="1:13">
      <c r="A135" s="30">
        <f ca="1" t="shared" si="2"/>
        <v>61</v>
      </c>
      <c r="B135" s="30">
        <f ca="1" t="array" ref="B135">INDEX(Data_DBD!$B:$B,$A135)</f>
        <v>29</v>
      </c>
      <c r="C135" s="30">
        <f ca="1" t="array" ref="C135">INDEX(Data_DBD!$C:$C,$A135)</f>
        <v>3</v>
      </c>
      <c r="D135" s="30">
        <f ca="1" t="array" ref="D135">INDEX(Data_DBD!$D:$D,$A135)</f>
        <v>15</v>
      </c>
      <c r="E135" s="30">
        <f ca="1" t="array" ref="E135">INDEX(Data_DBD!$E:$E,$A135)</f>
        <v>1</v>
      </c>
      <c r="F135" s="30">
        <f ca="1" t="array" ref="F135">INDEX(Data_DBD!$F:$F,$A135)</f>
        <v>2</v>
      </c>
      <c r="H135" s="42">
        <v>24</v>
      </c>
      <c r="I135" s="42">
        <v>60</v>
      </c>
      <c r="J135" s="42">
        <v>4</v>
      </c>
      <c r="K135" s="42">
        <v>14</v>
      </c>
      <c r="L135" s="42">
        <v>0</v>
      </c>
      <c r="M135" s="42">
        <v>2</v>
      </c>
    </row>
    <row r="136" spans="1:13">
      <c r="A136" s="30">
        <f ca="1" t="shared" si="2"/>
        <v>38</v>
      </c>
      <c r="B136" s="30">
        <f ca="1" t="array" ref="B136">INDEX(Data_DBD!$B:$B,$A136)</f>
        <v>52</v>
      </c>
      <c r="C136" s="30">
        <f ca="1" t="array" ref="C136">INDEX(Data_DBD!$C:$C,$A136)</f>
        <v>3</v>
      </c>
      <c r="D136" s="30">
        <f ca="1" t="array" ref="D136">INDEX(Data_DBD!$D:$D,$A136)</f>
        <v>4</v>
      </c>
      <c r="E136" s="30">
        <f ca="1" t="array" ref="E136">INDEX(Data_DBD!$E:$E,$A136)</f>
        <v>1</v>
      </c>
      <c r="F136" s="30">
        <f ca="1" t="array" ref="F136">INDEX(Data_DBD!$F:$F,$A136)</f>
        <v>1</v>
      </c>
      <c r="H136" s="42">
        <v>123</v>
      </c>
      <c r="I136" s="42">
        <v>22</v>
      </c>
      <c r="J136" s="42">
        <v>4</v>
      </c>
      <c r="K136" s="42">
        <v>33</v>
      </c>
      <c r="L136" s="42">
        <v>0</v>
      </c>
      <c r="M136" s="42">
        <v>3</v>
      </c>
    </row>
    <row r="137" spans="1:13">
      <c r="A137" s="30">
        <f ca="1" t="shared" si="2"/>
        <v>55</v>
      </c>
      <c r="B137" s="30">
        <f ca="1" t="array" ref="B137">INDEX(Data_DBD!$B:$B,$A137)</f>
        <v>7</v>
      </c>
      <c r="C137" s="30">
        <f ca="1" t="array" ref="C137">INDEX(Data_DBD!$C:$C,$A137)</f>
        <v>4</v>
      </c>
      <c r="D137" s="30">
        <f ca="1" t="array" ref="D137">INDEX(Data_DBD!$D:$D,$A137)</f>
        <v>15</v>
      </c>
      <c r="E137" s="30">
        <f ca="1" t="array" ref="E137">INDEX(Data_DBD!$E:$E,$A137)</f>
        <v>1</v>
      </c>
      <c r="F137" s="30">
        <f ca="1" t="array" ref="F137">INDEX(Data_DBD!$F:$F,$A137)</f>
        <v>2</v>
      </c>
      <c r="H137" s="42">
        <v>15</v>
      </c>
      <c r="I137" s="42">
        <v>21</v>
      </c>
      <c r="J137" s="42">
        <v>2</v>
      </c>
      <c r="K137" s="42">
        <v>7</v>
      </c>
      <c r="L137" s="42">
        <v>0</v>
      </c>
      <c r="M137" s="42">
        <v>1</v>
      </c>
    </row>
    <row r="138" spans="1:13">
      <c r="A138" s="30">
        <f ca="1" t="shared" si="2"/>
        <v>152</v>
      </c>
      <c r="B138" s="30">
        <f ca="1" t="array" ref="B138">INDEX(Data_DBD!$B:$B,$A138)</f>
        <v>47</v>
      </c>
      <c r="C138" s="30">
        <f ca="1" t="array" ref="C138">INDEX(Data_DBD!$C:$C,$A138)</f>
        <v>3</v>
      </c>
      <c r="D138" s="30">
        <f ca="1" t="array" ref="D138">INDEX(Data_DBD!$D:$D,$A138)</f>
        <v>21</v>
      </c>
      <c r="E138" s="30">
        <f ca="1" t="array" ref="E138">INDEX(Data_DBD!$E:$E,$A138)</f>
        <v>1</v>
      </c>
      <c r="F138" s="30">
        <f ca="1" t="array" ref="F138">INDEX(Data_DBD!$F:$F,$A138)</f>
        <v>3</v>
      </c>
      <c r="H138" s="42">
        <v>19</v>
      </c>
      <c r="I138" s="42">
        <v>8</v>
      </c>
      <c r="J138" s="42">
        <v>4</v>
      </c>
      <c r="K138" s="42">
        <v>7</v>
      </c>
      <c r="L138" s="42">
        <v>0</v>
      </c>
      <c r="M138" s="42">
        <v>1</v>
      </c>
    </row>
    <row r="139" spans="1:13">
      <c r="A139" s="30">
        <f ca="1" t="shared" si="2"/>
        <v>34</v>
      </c>
      <c r="B139" s="30">
        <f ca="1" t="array" ref="B139">INDEX(Data_DBD!$B:$B,$A139)</f>
        <v>55</v>
      </c>
      <c r="C139" s="30">
        <f ca="1" t="array" ref="C139">INDEX(Data_DBD!$C:$C,$A139)</f>
        <v>3</v>
      </c>
      <c r="D139" s="30">
        <f ca="1" t="array" ref="D139">INDEX(Data_DBD!$D:$D,$A139)</f>
        <v>14</v>
      </c>
      <c r="E139" s="30">
        <f ca="1" t="array" ref="E139">INDEX(Data_DBD!$E:$E,$A139)</f>
        <v>0</v>
      </c>
      <c r="F139" s="30">
        <f ca="1" t="array" ref="F139">INDEX(Data_DBD!$F:$F,$A139)</f>
        <v>2</v>
      </c>
      <c r="H139" s="42">
        <v>163</v>
      </c>
      <c r="I139" s="42">
        <v>34</v>
      </c>
      <c r="J139" s="42">
        <v>4</v>
      </c>
      <c r="K139" s="42">
        <v>3</v>
      </c>
      <c r="L139" s="42">
        <v>1</v>
      </c>
      <c r="M139" s="42">
        <v>1</v>
      </c>
    </row>
    <row r="140" spans="1:13">
      <c r="A140" s="30">
        <f ca="1" t="shared" si="2"/>
        <v>61</v>
      </c>
      <c r="B140" s="30">
        <f ca="1" t="array" ref="B140">INDEX(Data_DBD!$B:$B,$A140)</f>
        <v>29</v>
      </c>
      <c r="C140" s="30">
        <f ca="1" t="array" ref="C140">INDEX(Data_DBD!$C:$C,$A140)</f>
        <v>3</v>
      </c>
      <c r="D140" s="30">
        <f ca="1" t="array" ref="D140">INDEX(Data_DBD!$D:$D,$A140)</f>
        <v>15</v>
      </c>
      <c r="E140" s="30">
        <f ca="1" t="array" ref="E140">INDEX(Data_DBD!$E:$E,$A140)</f>
        <v>1</v>
      </c>
      <c r="F140" s="30">
        <f ca="1" t="array" ref="F140">INDEX(Data_DBD!$F:$F,$A140)</f>
        <v>2</v>
      </c>
      <c r="H140" s="42">
        <v>68</v>
      </c>
      <c r="I140" s="42">
        <v>44</v>
      </c>
      <c r="J140" s="42">
        <v>5</v>
      </c>
      <c r="K140" s="42">
        <v>10</v>
      </c>
      <c r="L140" s="42">
        <v>0</v>
      </c>
      <c r="M140" s="42">
        <v>2</v>
      </c>
    </row>
    <row r="141" spans="1:13">
      <c r="A141" s="30">
        <f ca="1" t="shared" si="2"/>
        <v>71</v>
      </c>
      <c r="B141" s="30">
        <f ca="1" t="array" ref="B141">INDEX(Data_DBD!$B:$B,$A141)</f>
        <v>84</v>
      </c>
      <c r="C141" s="30">
        <f ca="1" t="array" ref="C141">INDEX(Data_DBD!$C:$C,$A141)</f>
        <v>3</v>
      </c>
      <c r="D141" s="30">
        <f ca="1" t="array" ref="D141">INDEX(Data_DBD!$D:$D,$A141)</f>
        <v>10</v>
      </c>
      <c r="E141" s="30">
        <f ca="1" t="array" ref="E141">INDEX(Data_DBD!$E:$E,$A141)</f>
        <v>0</v>
      </c>
      <c r="F141" s="30">
        <f ca="1" t="array" ref="F141">INDEX(Data_DBD!$F:$F,$A141)</f>
        <v>2</v>
      </c>
      <c r="H141" s="42">
        <v>81</v>
      </c>
      <c r="I141" s="42">
        <v>23</v>
      </c>
      <c r="J141" s="42">
        <v>5</v>
      </c>
      <c r="K141" s="42">
        <v>13</v>
      </c>
      <c r="L141" s="42">
        <v>1</v>
      </c>
      <c r="M141" s="42">
        <v>2</v>
      </c>
    </row>
    <row r="142" spans="1:13">
      <c r="A142" s="30">
        <f ca="1" t="shared" si="2"/>
        <v>41</v>
      </c>
      <c r="B142" s="30">
        <f ca="1" t="array" ref="B142">INDEX(Data_DBD!$B:$B,$A142)</f>
        <v>8</v>
      </c>
      <c r="C142" s="30">
        <f ca="1" t="array" ref="C142">INDEX(Data_DBD!$C:$C,$A142)</f>
        <v>4</v>
      </c>
      <c r="D142" s="30">
        <f ca="1" t="array" ref="D142">INDEX(Data_DBD!$D:$D,$A142)</f>
        <v>13</v>
      </c>
      <c r="E142" s="30">
        <f ca="1" t="array" ref="E142">INDEX(Data_DBD!$E:$E,$A142)</f>
        <v>0</v>
      </c>
      <c r="F142" s="30">
        <f ca="1" t="array" ref="F142">INDEX(Data_DBD!$F:$F,$A142)</f>
        <v>2</v>
      </c>
      <c r="H142" s="42">
        <v>114</v>
      </c>
      <c r="I142" s="42">
        <v>14</v>
      </c>
      <c r="J142" s="42">
        <v>2</v>
      </c>
      <c r="K142" s="42">
        <v>33</v>
      </c>
      <c r="L142" s="42">
        <v>1</v>
      </c>
      <c r="M142" s="42">
        <v>3</v>
      </c>
    </row>
    <row r="143" spans="1:13">
      <c r="A143" s="30">
        <f ca="1" t="shared" si="2"/>
        <v>5</v>
      </c>
      <c r="B143" s="30">
        <f ca="1" t="array" ref="B143">INDEX(Data_DBD!$B:$B,$A143)</f>
        <v>18</v>
      </c>
      <c r="C143" s="30">
        <f ca="1" t="array" ref="C143">INDEX(Data_DBD!$C:$C,$A143)</f>
        <v>2</v>
      </c>
      <c r="D143" s="30">
        <f ca="1" t="array" ref="D143">INDEX(Data_DBD!$D:$D,$A143)</f>
        <v>12</v>
      </c>
      <c r="E143" s="30">
        <f ca="1" t="array" ref="E143">INDEX(Data_DBD!$E:$E,$A143)</f>
        <v>1</v>
      </c>
      <c r="F143" s="30">
        <f ca="1" t="array" ref="F143">INDEX(Data_DBD!$F:$F,$A143)</f>
        <v>2</v>
      </c>
      <c r="H143" s="42">
        <v>141</v>
      </c>
      <c r="I143" s="42">
        <v>36</v>
      </c>
      <c r="J143" s="42">
        <v>2</v>
      </c>
      <c r="K143" s="42">
        <v>21</v>
      </c>
      <c r="L143" s="42">
        <v>0</v>
      </c>
      <c r="M143" s="42">
        <v>3</v>
      </c>
    </row>
    <row r="144" spans="1:13">
      <c r="A144" s="30">
        <f ca="1" t="shared" si="2"/>
        <v>114</v>
      </c>
      <c r="B144" s="30">
        <f ca="1" t="array" ref="B144">INDEX(Data_DBD!$B:$B,$A144)</f>
        <v>14</v>
      </c>
      <c r="C144" s="30">
        <f ca="1" t="array" ref="C144">INDEX(Data_DBD!$C:$C,$A144)</f>
        <v>2</v>
      </c>
      <c r="D144" s="30">
        <f ca="1" t="array" ref="D144">INDEX(Data_DBD!$D:$D,$A144)</f>
        <v>33</v>
      </c>
      <c r="E144" s="30">
        <f ca="1" t="array" ref="E144">INDEX(Data_DBD!$E:$E,$A144)</f>
        <v>1</v>
      </c>
      <c r="F144" s="30">
        <f ca="1" t="array" ref="F144">INDEX(Data_DBD!$F:$F,$A144)</f>
        <v>3</v>
      </c>
      <c r="H144" s="42">
        <v>66</v>
      </c>
      <c r="I144" s="42">
        <v>21</v>
      </c>
      <c r="J144" s="42">
        <v>5</v>
      </c>
      <c r="K144" s="42">
        <v>15</v>
      </c>
      <c r="L144" s="42">
        <v>1</v>
      </c>
      <c r="M144" s="42">
        <v>2</v>
      </c>
    </row>
    <row r="145" spans="1:13">
      <c r="A145" s="30">
        <f ca="1" t="shared" si="2"/>
        <v>2</v>
      </c>
      <c r="B145" s="30">
        <f ca="1" t="array" ref="B145">INDEX(Data_DBD!$B:$B,$A145)</f>
        <v>34</v>
      </c>
      <c r="C145" s="30">
        <f ca="1" t="array" ref="C145">INDEX(Data_DBD!$C:$C,$A145)</f>
        <v>3</v>
      </c>
      <c r="D145" s="30">
        <f ca="1" t="array" ref="D145">INDEX(Data_DBD!$D:$D,$A145)</f>
        <v>12</v>
      </c>
      <c r="E145" s="30">
        <f ca="1" t="array" ref="E145">INDEX(Data_DBD!$E:$E,$A145)</f>
        <v>0</v>
      </c>
      <c r="F145" s="30">
        <f ca="1" t="array" ref="F145">INDEX(Data_DBD!$F:$F,$A145)</f>
        <v>2</v>
      </c>
      <c r="H145" s="42">
        <v>150</v>
      </c>
      <c r="I145" s="42">
        <v>61</v>
      </c>
      <c r="J145" s="42">
        <v>5</v>
      </c>
      <c r="K145" s="42">
        <v>21</v>
      </c>
      <c r="L145" s="42">
        <v>1</v>
      </c>
      <c r="M145" s="42">
        <v>3</v>
      </c>
    </row>
    <row r="146" spans="1:13">
      <c r="A146" s="30">
        <f ca="1" t="shared" si="2"/>
        <v>45</v>
      </c>
      <c r="B146" s="30">
        <f ca="1" t="array" ref="B146">INDEX(Data_DBD!$B:$B,$A146)</f>
        <v>75</v>
      </c>
      <c r="C146" s="30">
        <f ca="1" t="array" ref="C146">INDEX(Data_DBD!$C:$C,$A146)</f>
        <v>3</v>
      </c>
      <c r="D146" s="30">
        <f ca="1" t="array" ref="D146">INDEX(Data_DBD!$D:$D,$A146)</f>
        <v>13</v>
      </c>
      <c r="E146" s="30">
        <f ca="1" t="array" ref="E146">INDEX(Data_DBD!$E:$E,$A146)</f>
        <v>1</v>
      </c>
      <c r="F146" s="30">
        <f ca="1" t="array" ref="F146">INDEX(Data_DBD!$F:$F,$A146)</f>
        <v>2</v>
      </c>
      <c r="H146" s="42">
        <v>18</v>
      </c>
      <c r="I146" s="42">
        <v>49</v>
      </c>
      <c r="J146" s="42">
        <v>4</v>
      </c>
      <c r="K146" s="42">
        <v>7</v>
      </c>
      <c r="L146" s="42">
        <v>1</v>
      </c>
      <c r="M146" s="42">
        <v>1</v>
      </c>
    </row>
    <row r="147" spans="1:13">
      <c r="A147" s="30">
        <f ca="1" t="shared" si="2"/>
        <v>17</v>
      </c>
      <c r="B147" s="30">
        <f ca="1" t="array" ref="B147">INDEX(Data_DBD!$B:$B,$A147)</f>
        <v>2</v>
      </c>
      <c r="C147" s="30">
        <f ca="1" t="array" ref="C147">INDEX(Data_DBD!$C:$C,$A147)</f>
        <v>3</v>
      </c>
      <c r="D147" s="30">
        <f ca="1" t="array" ref="D147">INDEX(Data_DBD!$D:$D,$A147)</f>
        <v>7</v>
      </c>
      <c r="E147" s="30">
        <f ca="1" t="array" ref="E147">INDEX(Data_DBD!$E:$E,$A147)</f>
        <v>0</v>
      </c>
      <c r="F147" s="30">
        <f ca="1" t="array" ref="F147">INDEX(Data_DBD!$F:$F,$A147)</f>
        <v>1</v>
      </c>
      <c r="H147" s="42">
        <v>50</v>
      </c>
      <c r="I147" s="42">
        <v>19</v>
      </c>
      <c r="J147" s="42">
        <v>5</v>
      </c>
      <c r="K147" s="42">
        <v>13</v>
      </c>
      <c r="L147" s="42">
        <v>0</v>
      </c>
      <c r="M147" s="42">
        <v>2</v>
      </c>
    </row>
    <row r="148" spans="1:13">
      <c r="A148" s="30">
        <f ca="1" t="shared" si="2"/>
        <v>110</v>
      </c>
      <c r="B148" s="30">
        <f ca="1" t="array" ref="B148">INDEX(Data_DBD!$B:$B,$A148)</f>
        <v>42</v>
      </c>
      <c r="C148" s="30">
        <f ca="1" t="array" ref="C148">INDEX(Data_DBD!$C:$C,$A148)</f>
        <v>2</v>
      </c>
      <c r="D148" s="30">
        <f ca="1" t="array" ref="D148">INDEX(Data_DBD!$D:$D,$A148)</f>
        <v>33</v>
      </c>
      <c r="E148" s="30">
        <f ca="1" t="array" ref="E148">INDEX(Data_DBD!$E:$E,$A148)</f>
        <v>1</v>
      </c>
      <c r="F148" s="30">
        <f ca="1" t="array" ref="F148">INDEX(Data_DBD!$F:$F,$A148)</f>
        <v>3</v>
      </c>
      <c r="H148" s="42">
        <v>17</v>
      </c>
      <c r="I148" s="42">
        <v>2</v>
      </c>
      <c r="J148" s="42">
        <v>3</v>
      </c>
      <c r="K148" s="42">
        <v>7</v>
      </c>
      <c r="L148" s="42">
        <v>0</v>
      </c>
      <c r="M148" s="42">
        <v>1</v>
      </c>
    </row>
    <row r="149" spans="1:13">
      <c r="A149" s="30">
        <f ca="1" t="shared" si="2"/>
        <v>61</v>
      </c>
      <c r="B149" s="30">
        <f ca="1" t="array" ref="B149">INDEX(Data_DBD!$B:$B,$A149)</f>
        <v>29</v>
      </c>
      <c r="C149" s="30">
        <f ca="1" t="array" ref="C149">INDEX(Data_DBD!$C:$C,$A149)</f>
        <v>3</v>
      </c>
      <c r="D149" s="30">
        <f ca="1" t="array" ref="D149">INDEX(Data_DBD!$D:$D,$A149)</f>
        <v>15</v>
      </c>
      <c r="E149" s="30">
        <f ca="1" t="array" ref="E149">INDEX(Data_DBD!$E:$E,$A149)</f>
        <v>1</v>
      </c>
      <c r="F149" s="30">
        <f ca="1" t="array" ref="F149">INDEX(Data_DBD!$F:$F,$A149)</f>
        <v>2</v>
      </c>
      <c r="H149" s="42">
        <v>91</v>
      </c>
      <c r="I149" s="42">
        <v>35</v>
      </c>
      <c r="J149" s="42">
        <v>1</v>
      </c>
      <c r="K149" s="42">
        <v>18</v>
      </c>
      <c r="L149" s="42">
        <v>1</v>
      </c>
      <c r="M149" s="42">
        <v>3</v>
      </c>
    </row>
    <row r="150" spans="1:13">
      <c r="A150" s="30">
        <f ca="1" t="shared" si="2"/>
        <v>63</v>
      </c>
      <c r="B150" s="30">
        <f ca="1" t="array" ref="B150">INDEX(Data_DBD!$B:$B,$A150)</f>
        <v>25</v>
      </c>
      <c r="C150" s="30">
        <f ca="1" t="array" ref="C150">INDEX(Data_DBD!$C:$C,$A150)</f>
        <v>3</v>
      </c>
      <c r="D150" s="30">
        <f ca="1" t="array" ref="D150">INDEX(Data_DBD!$D:$D,$A150)</f>
        <v>15</v>
      </c>
      <c r="E150" s="30">
        <f ca="1" t="array" ref="E150">INDEX(Data_DBD!$E:$E,$A150)</f>
        <v>0</v>
      </c>
      <c r="F150" s="30">
        <f ca="1" t="array" ref="F150">INDEX(Data_DBD!$F:$F,$A150)</f>
        <v>2</v>
      </c>
      <c r="H150" s="42">
        <v>24</v>
      </c>
      <c r="I150" s="42">
        <v>60</v>
      </c>
      <c r="J150" s="42">
        <v>4</v>
      </c>
      <c r="K150" s="42">
        <v>14</v>
      </c>
      <c r="L150" s="42">
        <v>0</v>
      </c>
      <c r="M150" s="42">
        <v>2</v>
      </c>
    </row>
    <row r="151" spans="1:13">
      <c r="A151" s="30">
        <f ca="1" t="shared" si="2"/>
        <v>56</v>
      </c>
      <c r="B151" s="30">
        <f ca="1" t="array" ref="B151">INDEX(Data_DBD!$B:$B,$A151)</f>
        <v>4</v>
      </c>
      <c r="C151" s="30">
        <f ca="1" t="array" ref="C151">INDEX(Data_DBD!$C:$C,$A151)</f>
        <v>3</v>
      </c>
      <c r="D151" s="30">
        <f ca="1" t="array" ref="D151">INDEX(Data_DBD!$D:$D,$A151)</f>
        <v>15</v>
      </c>
      <c r="E151" s="30">
        <f ca="1" t="array" ref="E151">INDEX(Data_DBD!$E:$E,$A151)</f>
        <v>0</v>
      </c>
      <c r="F151" s="30">
        <f ca="1" t="array" ref="F151">INDEX(Data_DBD!$F:$F,$A151)</f>
        <v>2</v>
      </c>
      <c r="H151" s="42">
        <v>164</v>
      </c>
      <c r="I151" s="42">
        <v>10</v>
      </c>
      <c r="J151" s="42">
        <v>6</v>
      </c>
      <c r="K151" s="42">
        <v>3</v>
      </c>
      <c r="L151" s="42">
        <v>0</v>
      </c>
      <c r="M151" s="42">
        <v>1</v>
      </c>
    </row>
    <row r="152" spans="1:13">
      <c r="A152" s="30">
        <f ca="1" t="shared" si="2"/>
        <v>5</v>
      </c>
      <c r="B152" s="30">
        <f ca="1" t="array" ref="B152">INDEX(Data_DBD!$B:$B,$A152)</f>
        <v>18</v>
      </c>
      <c r="C152" s="30">
        <f ca="1" t="array" ref="C152">INDEX(Data_DBD!$C:$C,$A152)</f>
        <v>2</v>
      </c>
      <c r="D152" s="30">
        <f ca="1" t="array" ref="D152">INDEX(Data_DBD!$D:$D,$A152)</f>
        <v>12</v>
      </c>
      <c r="E152" s="30">
        <f ca="1" t="array" ref="E152">INDEX(Data_DBD!$E:$E,$A152)</f>
        <v>1</v>
      </c>
      <c r="F152" s="30">
        <f ca="1" t="array" ref="F152">INDEX(Data_DBD!$F:$F,$A152)</f>
        <v>2</v>
      </c>
      <c r="H152" s="42">
        <v>111</v>
      </c>
      <c r="I152" s="42">
        <v>25</v>
      </c>
      <c r="J152" s="42">
        <v>4</v>
      </c>
      <c r="K152" s="42">
        <v>33</v>
      </c>
      <c r="L152" s="42">
        <v>0</v>
      </c>
      <c r="M152" s="42">
        <v>3</v>
      </c>
    </row>
    <row r="153" spans="1:13">
      <c r="A153" s="30">
        <f ca="1" t="shared" si="2"/>
        <v>153</v>
      </c>
      <c r="B153" s="30">
        <f ca="1" t="array" ref="B153">INDEX(Data_DBD!$B:$B,$A153)</f>
        <v>73</v>
      </c>
      <c r="C153" s="30">
        <f ca="1" t="array" ref="C153">INDEX(Data_DBD!$C:$C,$A153)</f>
        <v>7</v>
      </c>
      <c r="D153" s="30">
        <f ca="1" t="array" ref="D153">INDEX(Data_DBD!$D:$D,$A153)</f>
        <v>21</v>
      </c>
      <c r="E153" s="30">
        <f ca="1" t="array" ref="E153">INDEX(Data_DBD!$E:$E,$A153)</f>
        <v>1</v>
      </c>
      <c r="F153" s="30">
        <f ca="1" t="array" ref="F153">INDEX(Data_DBD!$F:$F,$A153)</f>
        <v>3</v>
      </c>
      <c r="H153" s="42">
        <v>11</v>
      </c>
      <c r="I153" s="42">
        <v>24</v>
      </c>
      <c r="J153" s="42">
        <v>5</v>
      </c>
      <c r="K153" s="42">
        <v>12</v>
      </c>
      <c r="L153" s="42">
        <v>1</v>
      </c>
      <c r="M153" s="42">
        <v>2</v>
      </c>
    </row>
    <row r="154" ht="15.75" spans="1:21">
      <c r="A154" s="30">
        <f ca="1" t="shared" si="2"/>
        <v>35</v>
      </c>
      <c r="B154" s="30">
        <f ca="1" t="array" ref="B154">INDEX(Data_DBD!$B:$B,$A154)</f>
        <v>40</v>
      </c>
      <c r="C154" s="30">
        <f ca="1" t="array" ref="C154">INDEX(Data_DBD!$C:$C,$A154)</f>
        <v>3</v>
      </c>
      <c r="D154" s="30">
        <f ca="1" t="array" ref="D154">INDEX(Data_DBD!$D:$D,$A154)</f>
        <v>4</v>
      </c>
      <c r="E154" s="30">
        <f ca="1" t="array" ref="E154">INDEX(Data_DBD!$E:$E,$A154)</f>
        <v>1</v>
      </c>
      <c r="F154" s="30">
        <f ca="1" t="array" ref="F154">INDEX(Data_DBD!$F:$F,$A154)</f>
        <v>1</v>
      </c>
      <c r="H154" s="42">
        <v>79</v>
      </c>
      <c r="I154" s="42">
        <v>29</v>
      </c>
      <c r="J154" s="42">
        <v>3</v>
      </c>
      <c r="K154" s="42">
        <v>13</v>
      </c>
      <c r="L154" s="42">
        <v>0</v>
      </c>
      <c r="M154" s="42">
        <v>2</v>
      </c>
      <c r="U154" s="43"/>
    </row>
    <row r="155" ht="15.75" spans="1:21">
      <c r="A155" s="30">
        <f ca="1" t="shared" si="2"/>
        <v>54</v>
      </c>
      <c r="B155" s="30">
        <f ca="1" t="array" ref="B155">INDEX(Data_DBD!$B:$B,$A155)</f>
        <v>7</v>
      </c>
      <c r="C155" s="30">
        <f ca="1" t="array" ref="C155">INDEX(Data_DBD!$C:$C,$A155)</f>
        <v>3</v>
      </c>
      <c r="D155" s="30">
        <f ca="1" t="array" ref="D155">INDEX(Data_DBD!$D:$D,$A155)</f>
        <v>15</v>
      </c>
      <c r="E155" s="30">
        <f ca="1" t="array" ref="E155">INDEX(Data_DBD!$E:$E,$A155)</f>
        <v>0</v>
      </c>
      <c r="F155" s="30">
        <f ca="1" t="array" ref="F155">INDEX(Data_DBD!$F:$F,$A155)</f>
        <v>2</v>
      </c>
      <c r="H155" s="42">
        <v>102</v>
      </c>
      <c r="I155" s="42">
        <v>41</v>
      </c>
      <c r="J155" s="42">
        <v>4</v>
      </c>
      <c r="K155" s="42">
        <v>18</v>
      </c>
      <c r="L155" s="42">
        <v>0</v>
      </c>
      <c r="M155" s="42">
        <v>3</v>
      </c>
      <c r="U155" s="44"/>
    </row>
    <row r="156" ht="15.75" spans="1:21">
      <c r="A156" s="30">
        <f ca="1" t="shared" si="2"/>
        <v>75</v>
      </c>
      <c r="B156" s="30">
        <f ca="1" t="array" ref="B156">INDEX(Data_DBD!$B:$B,$A156)</f>
        <v>2</v>
      </c>
      <c r="C156" s="30">
        <f ca="1" t="array" ref="C156">INDEX(Data_DBD!$C:$C,$A156)</f>
        <v>2</v>
      </c>
      <c r="D156" s="30">
        <f ca="1" t="array" ref="D156">INDEX(Data_DBD!$D:$D,$A156)</f>
        <v>10</v>
      </c>
      <c r="E156" s="30">
        <f ca="1" t="array" ref="E156">INDEX(Data_DBD!$E:$E,$A156)</f>
        <v>1</v>
      </c>
      <c r="F156" s="30">
        <f ca="1" t="array" ref="F156">INDEX(Data_DBD!$F:$F,$A156)</f>
        <v>2</v>
      </c>
      <c r="H156" s="42">
        <v>65</v>
      </c>
      <c r="I156" s="42">
        <v>49</v>
      </c>
      <c r="J156" s="42">
        <v>3</v>
      </c>
      <c r="K156" s="42">
        <v>15</v>
      </c>
      <c r="L156" s="42">
        <v>0</v>
      </c>
      <c r="M156" s="42">
        <v>2</v>
      </c>
      <c r="U156" s="45"/>
    </row>
    <row r="157" ht="15.75" spans="1:21">
      <c r="A157" s="30">
        <f ca="1" t="shared" si="2"/>
        <v>4</v>
      </c>
      <c r="B157" s="30">
        <f ca="1" t="array" ref="B157">INDEX(Data_DBD!$B:$B,$A157)</f>
        <v>23</v>
      </c>
      <c r="C157" s="30">
        <f ca="1" t="array" ref="C157">INDEX(Data_DBD!$C:$C,$A157)</f>
        <v>5</v>
      </c>
      <c r="D157" s="30">
        <f ca="1" t="array" ref="D157">INDEX(Data_DBD!$D:$D,$A157)</f>
        <v>12</v>
      </c>
      <c r="E157" s="30">
        <f ca="1" t="array" ref="E157">INDEX(Data_DBD!$E:$E,$A157)</f>
        <v>0</v>
      </c>
      <c r="F157" s="30">
        <f ca="1" t="array" ref="F157">INDEX(Data_DBD!$F:$F,$A157)</f>
        <v>2</v>
      </c>
      <c r="H157" s="42">
        <v>123</v>
      </c>
      <c r="I157" s="42">
        <v>22</v>
      </c>
      <c r="J157" s="42">
        <v>4</v>
      </c>
      <c r="K157" s="42">
        <v>33</v>
      </c>
      <c r="L157" s="42">
        <v>0</v>
      </c>
      <c r="M157" s="42">
        <v>3</v>
      </c>
      <c r="U157" s="45"/>
    </row>
    <row r="158" ht="15.75" spans="1:21">
      <c r="A158" s="30">
        <f ca="1" t="shared" si="2"/>
        <v>130</v>
      </c>
      <c r="B158" s="30">
        <f ca="1" t="array" ref="B158">INDEX(Data_DBD!$B:$B,$A158)</f>
        <v>12</v>
      </c>
      <c r="C158" s="30">
        <f ca="1" t="array" ref="C158">INDEX(Data_DBD!$C:$C,$A158)</f>
        <v>4</v>
      </c>
      <c r="D158" s="30">
        <f ca="1" t="array" ref="D158">INDEX(Data_DBD!$D:$D,$A158)</f>
        <v>33</v>
      </c>
      <c r="E158" s="30">
        <f ca="1" t="array" ref="E158">INDEX(Data_DBD!$E:$E,$A158)</f>
        <v>0</v>
      </c>
      <c r="F158" s="30">
        <f ca="1" t="array" ref="F158">INDEX(Data_DBD!$F:$F,$A158)</f>
        <v>3</v>
      </c>
      <c r="H158" s="42">
        <v>44</v>
      </c>
      <c r="I158" s="42">
        <v>28</v>
      </c>
      <c r="J158" s="42">
        <v>5</v>
      </c>
      <c r="K158" s="42">
        <v>13</v>
      </c>
      <c r="L158" s="42">
        <v>1</v>
      </c>
      <c r="M158" s="42">
        <v>2</v>
      </c>
      <c r="U158" s="44"/>
    </row>
    <row r="159" ht="15.75" spans="1:21">
      <c r="A159" s="30">
        <f ca="1" t="shared" si="2"/>
        <v>130</v>
      </c>
      <c r="B159" s="30">
        <f ca="1" t="array" ref="B159">INDEX(Data_DBD!$B:$B,$A159)</f>
        <v>12</v>
      </c>
      <c r="C159" s="30">
        <f ca="1" t="array" ref="C159">INDEX(Data_DBD!$C:$C,$A159)</f>
        <v>4</v>
      </c>
      <c r="D159" s="30">
        <f ca="1" t="array" ref="D159">INDEX(Data_DBD!$D:$D,$A159)</f>
        <v>33</v>
      </c>
      <c r="E159" s="30">
        <f ca="1" t="array" ref="E159">INDEX(Data_DBD!$E:$E,$A159)</f>
        <v>0</v>
      </c>
      <c r="F159" s="30">
        <f ca="1" t="array" ref="F159">INDEX(Data_DBD!$F:$F,$A159)</f>
        <v>3</v>
      </c>
      <c r="H159" s="42">
        <v>97</v>
      </c>
      <c r="I159" s="42">
        <v>16</v>
      </c>
      <c r="J159" s="42">
        <v>2</v>
      </c>
      <c r="K159" s="42">
        <v>18</v>
      </c>
      <c r="L159" s="42">
        <v>1</v>
      </c>
      <c r="M159" s="42">
        <v>3</v>
      </c>
      <c r="U159" s="45"/>
    </row>
    <row r="160" ht="15.75" spans="1:21">
      <c r="A160" s="30">
        <f ca="1" t="shared" si="2"/>
        <v>53</v>
      </c>
      <c r="B160" s="30">
        <f ca="1" t="array" ref="B160">INDEX(Data_DBD!$B:$B,$A160)</f>
        <v>35</v>
      </c>
      <c r="C160" s="30">
        <f ca="1" t="array" ref="C160">INDEX(Data_DBD!$C:$C,$A160)</f>
        <v>4</v>
      </c>
      <c r="D160" s="30">
        <f ca="1" t="array" ref="D160">INDEX(Data_DBD!$D:$D,$A160)</f>
        <v>15</v>
      </c>
      <c r="E160" s="30">
        <f ca="1" t="array" ref="E160">INDEX(Data_DBD!$E:$E,$A160)</f>
        <v>1</v>
      </c>
      <c r="F160" s="30">
        <f ca="1" t="array" ref="F160">INDEX(Data_DBD!$F:$F,$A160)</f>
        <v>2</v>
      </c>
      <c r="H160" s="42">
        <v>150</v>
      </c>
      <c r="I160" s="42">
        <v>61</v>
      </c>
      <c r="J160" s="42">
        <v>5</v>
      </c>
      <c r="K160" s="42">
        <v>21</v>
      </c>
      <c r="L160" s="42">
        <v>1</v>
      </c>
      <c r="M160" s="42">
        <v>3</v>
      </c>
      <c r="U160" s="45"/>
    </row>
    <row r="161" ht="15.75" spans="1:21">
      <c r="A161" s="30">
        <f ca="1" t="shared" si="2"/>
        <v>65</v>
      </c>
      <c r="B161" s="30">
        <f ca="1" t="array" ref="B161">INDEX(Data_DBD!$B:$B,$A161)</f>
        <v>49</v>
      </c>
      <c r="C161" s="30">
        <f ca="1" t="array" ref="C161">INDEX(Data_DBD!$C:$C,$A161)</f>
        <v>3</v>
      </c>
      <c r="D161" s="30">
        <f ca="1" t="array" ref="D161">INDEX(Data_DBD!$D:$D,$A161)</f>
        <v>15</v>
      </c>
      <c r="E161" s="30">
        <f ca="1" t="array" ref="E161">INDEX(Data_DBD!$E:$E,$A161)</f>
        <v>0</v>
      </c>
      <c r="F161" s="30">
        <f ca="1" t="array" ref="F161">INDEX(Data_DBD!$F:$F,$A161)</f>
        <v>2</v>
      </c>
      <c r="H161" s="42">
        <v>135</v>
      </c>
      <c r="I161" s="42">
        <v>10</v>
      </c>
      <c r="J161" s="42">
        <v>2</v>
      </c>
      <c r="K161" s="42">
        <v>33</v>
      </c>
      <c r="L161" s="42">
        <v>0</v>
      </c>
      <c r="M161" s="42">
        <v>3</v>
      </c>
      <c r="U161" s="44"/>
    </row>
    <row r="162" ht="15.75" spans="1:21">
      <c r="A162" s="30">
        <f ca="1" t="shared" si="2"/>
        <v>38</v>
      </c>
      <c r="B162" s="30">
        <f ca="1" t="array" ref="B162">INDEX(Data_DBD!$B:$B,$A162)</f>
        <v>52</v>
      </c>
      <c r="C162" s="30">
        <f ca="1" t="array" ref="C162">INDEX(Data_DBD!$C:$C,$A162)</f>
        <v>3</v>
      </c>
      <c r="D162" s="30">
        <f ca="1" t="array" ref="D162">INDEX(Data_DBD!$D:$D,$A162)</f>
        <v>4</v>
      </c>
      <c r="E162" s="30">
        <f ca="1" t="array" ref="E162">INDEX(Data_DBD!$E:$E,$A162)</f>
        <v>1</v>
      </c>
      <c r="F162" s="30">
        <f ca="1" t="array" ref="F162">INDEX(Data_DBD!$F:$F,$A162)</f>
        <v>1</v>
      </c>
      <c r="H162" s="42">
        <v>137</v>
      </c>
      <c r="I162" s="42">
        <v>3.5</v>
      </c>
      <c r="J162" s="42">
        <v>1</v>
      </c>
      <c r="K162" s="42">
        <v>33</v>
      </c>
      <c r="L162" s="42">
        <v>1</v>
      </c>
      <c r="M162" s="42">
        <v>3</v>
      </c>
      <c r="U162" s="45"/>
    </row>
    <row r="163" ht="15.75" spans="1:21">
      <c r="A163" s="30">
        <f ca="1" t="shared" si="2"/>
        <v>93</v>
      </c>
      <c r="B163" s="30">
        <f ca="1" t="array" ref="B163">INDEX(Data_DBD!$B:$B,$A163)</f>
        <v>65</v>
      </c>
      <c r="C163" s="30">
        <f ca="1" t="array" ref="C163">INDEX(Data_DBD!$C:$C,$A163)</f>
        <v>4</v>
      </c>
      <c r="D163" s="30">
        <f ca="1" t="array" ref="D163">INDEX(Data_DBD!$D:$D,$A163)</f>
        <v>18</v>
      </c>
      <c r="E163" s="30">
        <f ca="1" t="array" ref="E163">INDEX(Data_DBD!$E:$E,$A163)</f>
        <v>0</v>
      </c>
      <c r="F163" s="30">
        <f ca="1" t="array" ref="F163">INDEX(Data_DBD!$F:$F,$A163)</f>
        <v>3</v>
      </c>
      <c r="H163" s="42">
        <v>132</v>
      </c>
      <c r="I163" s="42">
        <v>10</v>
      </c>
      <c r="J163" s="42">
        <v>3</v>
      </c>
      <c r="K163" s="42">
        <v>33</v>
      </c>
      <c r="L163" s="42">
        <v>1</v>
      </c>
      <c r="M163" s="42">
        <v>3</v>
      </c>
      <c r="U163" s="46"/>
    </row>
    <row r="164" spans="1:13">
      <c r="A164" s="30">
        <f ca="1" t="shared" si="2"/>
        <v>38</v>
      </c>
      <c r="B164" s="30">
        <f ca="1" t="array" ref="B164">INDEX(Data_DBD!$B:$B,$A164)</f>
        <v>52</v>
      </c>
      <c r="C164" s="30">
        <f ca="1" t="array" ref="C164">INDEX(Data_DBD!$C:$C,$A164)</f>
        <v>3</v>
      </c>
      <c r="D164" s="30">
        <f ca="1" t="array" ref="D164">INDEX(Data_DBD!$D:$D,$A164)</f>
        <v>4</v>
      </c>
      <c r="E164" s="30">
        <f ca="1" t="array" ref="E164">INDEX(Data_DBD!$E:$E,$A164)</f>
        <v>1</v>
      </c>
      <c r="F164" s="30">
        <f ca="1" t="array" ref="F164">INDEX(Data_DBD!$F:$F,$A164)</f>
        <v>1</v>
      </c>
      <c r="H164" s="42">
        <v>157</v>
      </c>
      <c r="I164" s="42">
        <v>15</v>
      </c>
      <c r="J164" s="42">
        <v>4</v>
      </c>
      <c r="K164" s="42">
        <v>21</v>
      </c>
      <c r="L164" s="42">
        <v>1</v>
      </c>
      <c r="M164" s="42">
        <v>3</v>
      </c>
    </row>
    <row r="165" spans="9:12">
      <c r="I165">
        <f>AVERAGE(I2:I164)</f>
        <v>32.1993865030675</v>
      </c>
      <c r="J165">
        <f>AVERAGE(J2:J164)</f>
        <v>3.61349693251534</v>
      </c>
      <c r="K165">
        <f>AVERAGE(K2:K164)</f>
        <v>17.7914110429448</v>
      </c>
      <c r="L165">
        <f>AVERAGE(L2:L164)</f>
        <v>0.533742331288344</v>
      </c>
    </row>
    <row r="167" spans="2:2">
      <c r="B167">
        <v>6</v>
      </c>
    </row>
    <row r="168" spans="5:20">
      <c r="E168" s="35" t="s">
        <v>183</v>
      </c>
      <c r="J168" s="35" t="s">
        <v>184</v>
      </c>
      <c r="O168" s="35" t="s">
        <v>185</v>
      </c>
      <c r="T168" s="35" t="s">
        <v>186</v>
      </c>
    </row>
    <row r="169" spans="5:22">
      <c r="E169" s="30" t="s">
        <v>1</v>
      </c>
      <c r="F169" s="30">
        <f>AVERAGEIF($I$2:$I$164,"&lt;="&amp;$I$165)</f>
        <v>17.35</v>
      </c>
      <c r="G169" s="30">
        <f>AVERAGEIF($I$2:$I$164,"&gt;"&amp;$I$165)</f>
        <v>50.5068493150685</v>
      </c>
      <c r="J169" s="30" t="s">
        <v>187</v>
      </c>
      <c r="K169" s="30">
        <f>AVERAGEIF($J$2:$J$164,"&lt;="&amp;$J$165)</f>
        <v>2.51351351351351</v>
      </c>
      <c r="L169" s="30">
        <f>AVERAGEIF($J$2:$J$164,"&gt;"&amp;$J$165)</f>
        <v>4.52808988764045</v>
      </c>
      <c r="O169" s="30" t="s">
        <v>188</v>
      </c>
      <c r="P169" s="30">
        <f>AVERAGEIF($K$2:$K$164,"&lt;="&amp;$K$165)</f>
        <v>11.9893617021277</v>
      </c>
      <c r="Q169" s="30">
        <f>AVERAGEIF($K$2:$K$164,"&gt;"&amp;$K$165)</f>
        <v>25.695652173913</v>
      </c>
      <c r="T169" s="30" t="s">
        <v>189</v>
      </c>
      <c r="U169" s="30">
        <f>AVERAGEIF($L$2:$L$164,"&lt;="&amp;$L$165)</f>
        <v>0</v>
      </c>
      <c r="V169" s="30">
        <f>AVERAGEIF($L$2:$L$164,"&gt;"&amp;$L$165)</f>
        <v>1</v>
      </c>
    </row>
    <row r="170" spans="5:22">
      <c r="E170" s="30" t="str">
        <f t="array" ref="E170:E332">IF($I$2:$I$164&lt;$F$169,"kiri",IF($I$2:$I$164&lt;$G$169,"tengah","kanan"))</f>
        <v>tengah</v>
      </c>
      <c r="F170" s="36" t="s">
        <v>207</v>
      </c>
      <c r="G170" s="30"/>
      <c r="J170" s="30" t="str">
        <f t="array" ref="J170:J332">IF($J$2:$J$164&lt;$K$169,"kiri",IF($J$2:$J$164&lt;$L$169,"tengah","kanan"))</f>
        <v>tengah</v>
      </c>
      <c r="K170" s="36" t="s">
        <v>208</v>
      </c>
      <c r="L170" s="30"/>
      <c r="O170" s="30" t="str">
        <f t="array" ref="O170:O332">IF($K$2:$K$164&lt;$P$169,"kiri",IF($K$2:$K$164&lt;$Q$169,"tengah","kanan"))</f>
        <v>tengah</v>
      </c>
      <c r="P170" s="36" t="s">
        <v>209</v>
      </c>
      <c r="Q170" s="30"/>
      <c r="T170" s="30" t="str">
        <f t="array" ref="T170:T332">IF($L$2:$L$164&lt;$U$169,"kiri",IF($L$2:$L$164&lt;$V$169,"tengah","kanan"))</f>
        <v>kanan</v>
      </c>
      <c r="U170" s="30" t="s">
        <v>193</v>
      </c>
      <c r="V170" s="30"/>
    </row>
    <row r="171" spans="5:22">
      <c r="E171" s="30" t="str">
        <v>tengah</v>
      </c>
      <c r="F171" s="30">
        <f>COUNTIFS($E$170:$E$332,"Kanan",$M$2:$M$164,"1")</f>
        <v>5</v>
      </c>
      <c r="G171" s="30">
        <f>F171/32</f>
        <v>0.15625</v>
      </c>
      <c r="J171" s="30" t="str">
        <v>tengah</v>
      </c>
      <c r="K171" s="30">
        <f t="array" ref="K171">SUMPRODUCT((J170:J332="Kanan")*(M2:M164=1))</f>
        <v>6</v>
      </c>
      <c r="L171" s="30">
        <f>K171/37</f>
        <v>0.162162162162162</v>
      </c>
      <c r="O171" s="30" t="str">
        <v>tengah</v>
      </c>
      <c r="P171" s="30">
        <f>COUNTIFS($O$170:$O$332,"Kanan",$M$2:$M$164,"1")</f>
        <v>0</v>
      </c>
      <c r="Q171" s="30">
        <f>P171/41</f>
        <v>0</v>
      </c>
      <c r="T171" s="30" t="str">
        <v>tengah</v>
      </c>
      <c r="U171" s="30">
        <f>COUNTIFS($T$170:$T$332,"Kanan",$M$2:$M$164,"1")</f>
        <v>9</v>
      </c>
      <c r="V171" s="30">
        <f>U171/85</f>
        <v>0.105882352941176</v>
      </c>
    </row>
    <row r="172" spans="5:22">
      <c r="E172" s="30" t="str">
        <v>tengah</v>
      </c>
      <c r="F172" s="30">
        <f>COUNTIFS($E$170:$E$332,"Kanan",$M$2:$M$164,"2")</f>
        <v>12</v>
      </c>
      <c r="G172" s="30">
        <f t="shared" ref="G172:G173" si="3">F172/32</f>
        <v>0.375</v>
      </c>
      <c r="J172" s="30" t="str">
        <v>tengah</v>
      </c>
      <c r="K172" s="30">
        <f>COUNTIFS($J$170:$J$332,"Kanan",$M$2:$M$164,"2")</f>
        <v>17</v>
      </c>
      <c r="L172" s="30">
        <f t="shared" ref="L172:L173" si="4">K172/37</f>
        <v>0.459459459459459</v>
      </c>
      <c r="O172" s="30" t="str">
        <v>kanan</v>
      </c>
      <c r="P172" s="30">
        <f>COUNTIFS($O$170:$O$332,"Kanan",$M$2:$M$164,"2")</f>
        <v>0</v>
      </c>
      <c r="Q172" s="30">
        <f t="shared" ref="Q172" si="5">P172/41</f>
        <v>0</v>
      </c>
      <c r="T172" s="30" t="str">
        <v>kanan</v>
      </c>
      <c r="U172" s="30">
        <f>COUNTIFS($T$170:$T$332,"Kanan",$M$2:$M$164,"2")</f>
        <v>35</v>
      </c>
      <c r="V172" s="30">
        <f t="shared" ref="V172:V173" si="6">U172/85</f>
        <v>0.411764705882353</v>
      </c>
    </row>
    <row r="173" spans="5:22">
      <c r="E173" s="30" t="str">
        <v>tengah</v>
      </c>
      <c r="F173" s="30">
        <f t="array" ref="F173">SUMPRODUCT((E170:E332="KANAN")*(M2:M164=3))</f>
        <v>15</v>
      </c>
      <c r="G173" s="30">
        <f t="shared" si="3"/>
        <v>0.46875</v>
      </c>
      <c r="J173" s="30" t="str">
        <v>kanan</v>
      </c>
      <c r="K173" s="30">
        <f>COUNTIFS($J$170:$J$332,"Kanan",$M$2:$M$164,"3")</f>
        <v>14</v>
      </c>
      <c r="L173" s="30">
        <f t="shared" si="4"/>
        <v>0.378378378378378</v>
      </c>
      <c r="O173" s="30" t="str">
        <v>tengah</v>
      </c>
      <c r="P173" s="30">
        <f>COUNTIFS($O$170:$O$332,"Kanan",$M$2:$M$164,"3")</f>
        <v>31</v>
      </c>
      <c r="Q173" s="30">
        <f>P173/31</f>
        <v>1</v>
      </c>
      <c r="T173" s="30" t="str">
        <v>tengah</v>
      </c>
      <c r="U173" s="30">
        <f>COUNTIFS($T$170:$T$332,"Kanan",$M$2:$M$164,"3")</f>
        <v>43</v>
      </c>
      <c r="V173" s="30">
        <f t="shared" si="6"/>
        <v>0.505882352941176</v>
      </c>
    </row>
    <row r="174" spans="5:22">
      <c r="E174" s="30" t="str">
        <v>kiri</v>
      </c>
      <c r="F174" s="30" t="s">
        <v>194</v>
      </c>
      <c r="G174" s="30">
        <f>-(IFERROR(G171*LOG(G171,2),0)+IFERROR(G172*LOG(G172,2),0)+IFERROR(G173*LOG(G173,2),0))</f>
        <v>1.46148283071192</v>
      </c>
      <c r="J174" s="30" t="str">
        <v>tengah</v>
      </c>
      <c r="K174" s="30" t="s">
        <v>194</v>
      </c>
      <c r="L174" s="30">
        <f>-(IFERROR(L171*LOG(L171,2),0)+IFERROR(L172*LOG(L172,2),0)+IFERROR(L173*LOG(L173,2),0))</f>
        <v>1.4716260084833</v>
      </c>
      <c r="O174" s="30" t="str">
        <v>tengah</v>
      </c>
      <c r="P174" s="30" t="s">
        <v>194</v>
      </c>
      <c r="Q174" s="30">
        <f>-(IFERROR(Q171*LOG(Q171,2),0)+IFERROR(Q172*LOG(Q172,2),0)+IFERROR(Q173*LOG(Q173,2),0))</f>
        <v>0</v>
      </c>
      <c r="T174" s="30" t="str">
        <v>kanan</v>
      </c>
      <c r="U174" s="30" t="s">
        <v>194</v>
      </c>
      <c r="V174" s="30">
        <f>-(IFERROR(V171*LOG(V171,2),0)+IFERROR(V172*LOG(V172,2),0)+IFERROR(V173*LOG(V173,2),0))</f>
        <v>1.36745172218512</v>
      </c>
    </row>
    <row r="175" spans="5:22">
      <c r="E175" s="30" t="str">
        <v>kanan</v>
      </c>
      <c r="F175" s="30"/>
      <c r="G175" s="30">
        <f>SUM(F171:F173)/163</f>
        <v>0.196319018404908</v>
      </c>
      <c r="J175" s="30" t="str">
        <v>tengah</v>
      </c>
      <c r="K175" s="30"/>
      <c r="L175" s="30">
        <f>SUM(K171:K173)/163</f>
        <v>0.226993865030675</v>
      </c>
      <c r="O175" s="30" t="str">
        <v>tengah</v>
      </c>
      <c r="P175" s="30"/>
      <c r="Q175" s="30">
        <f>SUM(P171:P173)/163</f>
        <v>0.190184049079755</v>
      </c>
      <c r="T175" s="30" t="str">
        <v>kanan</v>
      </c>
      <c r="U175" s="30"/>
      <c r="V175" s="30">
        <f>SUM(U171:U173)/163</f>
        <v>0.533742331288344</v>
      </c>
    </row>
    <row r="176" spans="5:22">
      <c r="E176" s="30" t="str">
        <v>tengah</v>
      </c>
      <c r="F176" s="30"/>
      <c r="G176" s="37">
        <f>G174*G175</f>
        <v>0.286916874740991</v>
      </c>
      <c r="J176" s="30" t="str">
        <v>kanan</v>
      </c>
      <c r="K176" s="30"/>
      <c r="L176" s="37">
        <f>L174*L175</f>
        <v>0.334050075545288</v>
      </c>
      <c r="O176" s="30" t="str">
        <v>kanan</v>
      </c>
      <c r="P176" s="30"/>
      <c r="Q176" s="37">
        <f>Q174*Q175</f>
        <v>0</v>
      </c>
      <c r="T176" s="30" t="str">
        <v>tengah</v>
      </c>
      <c r="U176" s="30"/>
      <c r="V176" s="37">
        <f>V174*V175</f>
        <v>0.729866870123346</v>
      </c>
    </row>
    <row r="177" spans="5:22">
      <c r="E177" s="30" t="str">
        <v>kiri</v>
      </c>
      <c r="F177" s="30"/>
      <c r="G177" s="30"/>
      <c r="J177" s="30" t="str">
        <v>kiri</v>
      </c>
      <c r="K177" s="30"/>
      <c r="L177" s="30"/>
      <c r="O177" s="30" t="str">
        <v>kanan</v>
      </c>
      <c r="P177" s="30"/>
      <c r="Q177" s="30"/>
      <c r="T177" s="30" t="str">
        <v>kanan</v>
      </c>
      <c r="U177" s="30"/>
      <c r="V177" s="30"/>
    </row>
    <row r="178" spans="5:22">
      <c r="E178" s="30" t="str">
        <v>kiri</v>
      </c>
      <c r="F178" s="30"/>
      <c r="G178" s="30"/>
      <c r="J178" s="30" t="str">
        <v>kiri</v>
      </c>
      <c r="K178" s="30"/>
      <c r="L178" s="30"/>
      <c r="O178" s="30" t="str">
        <v>tengah</v>
      </c>
      <c r="P178" s="30"/>
      <c r="Q178" s="30"/>
      <c r="T178" s="30" t="str">
        <v>kanan</v>
      </c>
      <c r="U178" s="30"/>
      <c r="V178" s="30"/>
    </row>
    <row r="179" spans="5:22">
      <c r="E179" s="30" t="str">
        <v>kiri</v>
      </c>
      <c r="F179" s="36" t="s">
        <v>210</v>
      </c>
      <c r="G179" s="30"/>
      <c r="J179" s="30" t="str">
        <v>tengah</v>
      </c>
      <c r="K179" s="36" t="s">
        <v>211</v>
      </c>
      <c r="L179" s="30"/>
      <c r="O179" s="30" t="str">
        <v>tengah</v>
      </c>
      <c r="P179" s="36" t="s">
        <v>212</v>
      </c>
      <c r="Q179" s="30"/>
      <c r="T179" s="30" t="str">
        <v>kanan</v>
      </c>
      <c r="U179" s="30" t="s">
        <v>198</v>
      </c>
      <c r="V179" s="30"/>
    </row>
    <row r="180" spans="5:22">
      <c r="E180" s="30" t="str">
        <v>tengah</v>
      </c>
      <c r="F180" s="30">
        <f t="array" ref="F180">SUMPRODUCT((E170:E332="kiri")*(M2:M164=1))</f>
        <v>6</v>
      </c>
      <c r="G180" s="30">
        <f>F180/42</f>
        <v>0.142857142857143</v>
      </c>
      <c r="J180" s="30" t="str">
        <v>tengah</v>
      </c>
      <c r="K180" s="30">
        <f>COUNTIFS($J$170:$J$332,"Kiri",$M$2:$M$164,"1")</f>
        <v>2</v>
      </c>
      <c r="L180" s="30">
        <f>K180/29</f>
        <v>0.0689655172413793</v>
      </c>
      <c r="O180" s="30" t="str">
        <v>tengah</v>
      </c>
      <c r="P180" s="30">
        <f>COUNTIFS($O$170:$O$332,"Kiri",$M$2:$M$164,"1")</f>
        <v>16</v>
      </c>
      <c r="Q180" s="30">
        <f>P180/33</f>
        <v>0.484848484848485</v>
      </c>
      <c r="T180" s="30" t="str">
        <v>tengah</v>
      </c>
      <c r="U180" s="30">
        <f>COUNTIFS($T$170:$T$332,"Kiri",$M$2:$M$164,"1")</f>
        <v>0</v>
      </c>
      <c r="V180" s="30">
        <f>U180/57</f>
        <v>0</v>
      </c>
    </row>
    <row r="181" spans="5:22">
      <c r="E181" s="30" t="str">
        <v>tengah</v>
      </c>
      <c r="F181" s="30">
        <f t="array" ref="F181">SUMPRODUCT((E170:E332="kiri")*(M2:M164=2))</f>
        <v>11</v>
      </c>
      <c r="G181" s="30">
        <f t="shared" ref="G181:G182" si="7">F181/42</f>
        <v>0.261904761904762</v>
      </c>
      <c r="J181" s="30" t="str">
        <v>tengah</v>
      </c>
      <c r="K181" s="30">
        <f>COUNTIFS($J$170:$J$332,"Kiri",$M$2:$M$164,"2")</f>
        <v>7</v>
      </c>
      <c r="L181" s="30">
        <f t="shared" ref="L181:L182" si="8">K181/29</f>
        <v>0.241379310344828</v>
      </c>
      <c r="O181" s="30" t="str">
        <v>tengah</v>
      </c>
      <c r="P181" s="30">
        <f>COUNTIFS($O$170:$O$332,"Kiri",$M$2:$M$164,"2")</f>
        <v>7</v>
      </c>
      <c r="Q181" s="30">
        <f>P181/33</f>
        <v>0.212121212121212</v>
      </c>
      <c r="T181" s="30" t="str">
        <v>kanan</v>
      </c>
      <c r="U181" s="30">
        <f>COUNTIFS($T$170:$T$332,"Kiri",$M$2:$M$164,"2")</f>
        <v>0</v>
      </c>
      <c r="V181" s="30">
        <f>U181/57</f>
        <v>0</v>
      </c>
    </row>
    <row r="182" spans="5:22">
      <c r="E182" s="30" t="str">
        <v>tengah</v>
      </c>
      <c r="F182" s="30">
        <f t="array" ref="F182">SUMPRODUCT((E170:E332="kiri")*(M2:M164=3))</f>
        <v>25</v>
      </c>
      <c r="G182" s="30">
        <f t="shared" si="7"/>
        <v>0.595238095238095</v>
      </c>
      <c r="J182" s="30" t="str">
        <v>kanan</v>
      </c>
      <c r="K182" s="30">
        <f>COUNTIFS($J$170:$J$332,"Kiri",$M$2:$M$164,"3")</f>
        <v>20</v>
      </c>
      <c r="L182" s="30">
        <f t="shared" si="8"/>
        <v>0.689655172413793</v>
      </c>
      <c r="O182" s="30" t="str">
        <v>tengah</v>
      </c>
      <c r="P182" s="30">
        <f>COUNTIFS($O$170:$O$332,"Kiri",$M$2:$M$164,"3")</f>
        <v>0</v>
      </c>
      <c r="Q182" s="30">
        <f t="shared" ref="Q182" si="9">P182/65</f>
        <v>0</v>
      </c>
      <c r="T182" s="30" t="str">
        <v>kanan</v>
      </c>
      <c r="U182" s="30">
        <f>COUNTIFS($T$170:$T$332,"Kiri",$M$2:$M$164,"3")</f>
        <v>0</v>
      </c>
      <c r="V182" s="30">
        <f>U182/57</f>
        <v>0</v>
      </c>
    </row>
    <row r="183" spans="5:22">
      <c r="E183" s="30" t="str">
        <v>tengah</v>
      </c>
      <c r="F183" s="30" t="s">
        <v>194</v>
      </c>
      <c r="G183" s="30">
        <f>-(IFERROR(G180*LOG(G180,2),0)+IFERROR(G181*LOG(G181,2),0)+IFERROR(G182*LOG(G182,2),0))</f>
        <v>1.35279533816673</v>
      </c>
      <c r="J183" s="30" t="str">
        <v>kanan</v>
      </c>
      <c r="K183" s="30" t="s">
        <v>194</v>
      </c>
      <c r="L183" s="30">
        <f>-(IFERROR(L180*LOG(L180,2),0)+IFERROR(L181*LOG(L181,2),0)+IFERROR(L182*LOG(L182,2),0))</f>
        <v>1.13073801746721</v>
      </c>
      <c r="O183" s="30" t="str">
        <v>kiri</v>
      </c>
      <c r="P183" s="30" t="s">
        <v>194</v>
      </c>
      <c r="Q183" s="30">
        <f>-(IFERROR(Q180*LOG(Q180,2),0)+IFERROR(Q181*LOG(Q181,2),0)+IFERROR(Q182*LOG(Q182,2),0))</f>
        <v>0.980896372449733</v>
      </c>
      <c r="T183" s="30" t="str">
        <v>tengah</v>
      </c>
      <c r="U183" s="30" t="s">
        <v>194</v>
      </c>
      <c r="V183" s="30">
        <f>-(IFERROR(V180*LOG(V180,2),0)+IFERROR(V181*LOG(V181,2),0)+IFERROR(V182*LOG(V182,2),0))</f>
        <v>0</v>
      </c>
    </row>
    <row r="184" spans="5:22">
      <c r="E184" s="30" t="str">
        <v>kanan</v>
      </c>
      <c r="F184" s="30"/>
      <c r="G184" s="30">
        <f>SUM(F180:F182)/163</f>
        <v>0.257668711656442</v>
      </c>
      <c r="J184" s="30" t="str">
        <v>kanan</v>
      </c>
      <c r="K184" s="30"/>
      <c r="L184" s="30">
        <f>SUM(K180:K182)/163</f>
        <v>0.177914110429448</v>
      </c>
      <c r="O184" s="30" t="str">
        <v>tengah</v>
      </c>
      <c r="P184" s="30"/>
      <c r="Q184" s="30">
        <f>SUM(P180:P182)/163</f>
        <v>0.141104294478528</v>
      </c>
      <c r="T184" s="30" t="str">
        <v>kanan</v>
      </c>
      <c r="U184" s="30"/>
      <c r="V184" s="30">
        <f>SUM(U180:U182)/163</f>
        <v>0</v>
      </c>
    </row>
    <row r="185" spans="5:22">
      <c r="E185" s="30" t="str">
        <v>kiri</v>
      </c>
      <c r="F185" s="30"/>
      <c r="G185" s="37">
        <f>G183*G184</f>
        <v>0.348573031920261</v>
      </c>
      <c r="J185" s="30" t="str">
        <v>tengah</v>
      </c>
      <c r="K185" s="30"/>
      <c r="L185" s="37">
        <f>L183*L184</f>
        <v>0.201174248506436</v>
      </c>
      <c r="O185" s="30" t="str">
        <v>tengah</v>
      </c>
      <c r="P185" s="30"/>
      <c r="Q185" s="37">
        <f>Q183*Q184</f>
        <v>0.138408690591067</v>
      </c>
      <c r="T185" s="30" t="str">
        <v>tengah</v>
      </c>
      <c r="U185" s="30"/>
      <c r="V185" s="37">
        <f>V183*V184</f>
        <v>0</v>
      </c>
    </row>
    <row r="186" spans="5:22">
      <c r="E186" s="30" t="str">
        <v>tengah</v>
      </c>
      <c r="F186" s="30"/>
      <c r="G186" s="30"/>
      <c r="J186" s="30" t="str">
        <v>tengah</v>
      </c>
      <c r="K186" s="30"/>
      <c r="L186" s="30"/>
      <c r="O186" s="30" t="str">
        <v>tengah</v>
      </c>
      <c r="P186" s="30"/>
      <c r="Q186" s="30"/>
      <c r="T186" s="30" t="str">
        <v>tengah</v>
      </c>
      <c r="U186" s="30"/>
      <c r="V186" s="30"/>
    </row>
    <row r="187" spans="5:22">
      <c r="E187" s="30" t="str">
        <v>tengah</v>
      </c>
      <c r="F187" s="30"/>
      <c r="G187" s="30"/>
      <c r="J187" s="30" t="str">
        <v>kiri</v>
      </c>
      <c r="K187" s="30"/>
      <c r="L187" s="30"/>
      <c r="O187" s="30" t="str">
        <v>kanan</v>
      </c>
      <c r="P187" s="30"/>
      <c r="Q187" s="30"/>
      <c r="T187" s="30" t="str">
        <v>kanan</v>
      </c>
      <c r="U187" s="30"/>
      <c r="V187" s="30"/>
    </row>
    <row r="188" spans="5:22">
      <c r="E188" s="30" t="str">
        <v>kiri</v>
      </c>
      <c r="F188" s="30" t="s">
        <v>199</v>
      </c>
      <c r="G188" s="30"/>
      <c r="J188" s="30" t="str">
        <v>tengah</v>
      </c>
      <c r="K188" s="30" t="s">
        <v>199</v>
      </c>
      <c r="L188" s="30"/>
      <c r="O188" s="30" t="str">
        <v>tengah</v>
      </c>
      <c r="P188" s="30" t="s">
        <v>199</v>
      </c>
      <c r="Q188" s="30"/>
      <c r="T188" s="30" t="str">
        <v>tengah</v>
      </c>
      <c r="U188" s="30" t="s">
        <v>199</v>
      </c>
      <c r="V188" s="30"/>
    </row>
    <row r="189" spans="5:22">
      <c r="E189" s="30" t="str">
        <v>tengah</v>
      </c>
      <c r="F189" s="30">
        <f t="array" ref="F189">SUMPRODUCT((E170:E332="tengah")*(M2:M164=1))</f>
        <v>5</v>
      </c>
      <c r="G189" s="30">
        <f>F189/89</f>
        <v>0.0561797752808989</v>
      </c>
      <c r="J189" s="30" t="str">
        <v>kiri</v>
      </c>
      <c r="K189" s="30">
        <f>COUNTIFS($J$170:$J$332,"Tengah",$M$2:$M$164,"1")</f>
        <v>8</v>
      </c>
      <c r="L189" s="30">
        <f>K189/97</f>
        <v>0.0824742268041237</v>
      </c>
      <c r="O189" s="30" t="str">
        <v>tengah</v>
      </c>
      <c r="P189" s="30">
        <f>COUNTIFS($O$170:$O$332,"Tengah",$M$2:$M$164,"1")</f>
        <v>0</v>
      </c>
      <c r="Q189" s="30">
        <f>P189/109</f>
        <v>0</v>
      </c>
      <c r="T189" s="30" t="str">
        <v>kanan</v>
      </c>
      <c r="U189" s="30">
        <f>COUNTIFS($T$170:$T$332,"Tengah",$M$2:$M$164,"1")</f>
        <v>7</v>
      </c>
      <c r="V189" s="30">
        <f>U189/78</f>
        <v>0.0897435897435897</v>
      </c>
    </row>
    <row r="190" spans="5:22">
      <c r="E190" s="30" t="str">
        <v>kiri</v>
      </c>
      <c r="F190" s="30">
        <f t="array" ref="F190">SUMPRODUCT((E170:E332="tengah")*(M2:M164=2))</f>
        <v>55</v>
      </c>
      <c r="G190" s="30">
        <f t="shared" ref="G190:G191" si="10">F190/89</f>
        <v>0.617977528089888</v>
      </c>
      <c r="J190" s="30" t="str">
        <v>kiri</v>
      </c>
      <c r="K190" s="30">
        <f>COUNTIFS($J$170:$J$332,"Tengah",$M$2:$M$164,"2")</f>
        <v>54</v>
      </c>
      <c r="L190" s="30">
        <f t="shared" ref="L190:L191" si="11">K190/97</f>
        <v>0.556701030927835</v>
      </c>
      <c r="O190" s="30" t="str">
        <v>kanan</v>
      </c>
      <c r="P190" s="30">
        <f>COUNTIFS($O$170:$O$332,"Tengah",$M$2:$M$164,"2")</f>
        <v>71</v>
      </c>
      <c r="Q190" s="30">
        <f t="shared" ref="Q190:Q191" si="12">P190/109</f>
        <v>0.651376146788991</v>
      </c>
      <c r="T190" s="30" t="str">
        <v>kanan</v>
      </c>
      <c r="U190" s="30">
        <f>COUNTIFS($T$170:$T$332,"Tengah",$M$2:$M$164,"2")</f>
        <v>43</v>
      </c>
      <c r="V190" s="30">
        <f t="shared" ref="V190:V191" si="13">U190/78</f>
        <v>0.551282051282051</v>
      </c>
    </row>
    <row r="191" spans="5:22">
      <c r="E191" s="30" t="str">
        <v>tengah</v>
      </c>
      <c r="F191" s="30">
        <f t="array" ref="F191">SUMPRODUCT((E170:E332="tengah")*(M2:M164=3))</f>
        <v>29</v>
      </c>
      <c r="G191" s="30">
        <f t="shared" si="10"/>
        <v>0.325842696629214</v>
      </c>
      <c r="J191" s="30" t="str">
        <v>tengah</v>
      </c>
      <c r="K191" s="30">
        <f>COUNTIFS($J$170:$J$332,"Tengah",$M$2:$M$164,"3")</f>
        <v>35</v>
      </c>
      <c r="L191" s="30">
        <f t="shared" si="11"/>
        <v>0.360824742268041</v>
      </c>
      <c r="O191" s="30" t="str">
        <v>tengah</v>
      </c>
      <c r="P191" s="30">
        <f>COUNTIFS($O$170:$O$332,"Tengah",$M$2:$M$164,"3")</f>
        <v>38</v>
      </c>
      <c r="Q191" s="30">
        <f t="shared" si="12"/>
        <v>0.348623853211009</v>
      </c>
      <c r="T191" s="30" t="str">
        <v>tengah</v>
      </c>
      <c r="U191" s="30">
        <f>COUNTIFS($T$170:$T$332,"Tengah",$M$2:$M$164,"3")</f>
        <v>26</v>
      </c>
      <c r="V191" s="30">
        <f t="shared" si="13"/>
        <v>0.333333333333333</v>
      </c>
    </row>
    <row r="192" spans="5:22">
      <c r="E192" s="30" t="str">
        <v>kiri</v>
      </c>
      <c r="F192" s="30" t="s">
        <v>194</v>
      </c>
      <c r="G192" s="30">
        <f>-(IFERROR(G189*LOG(G189,2),0)+IFERROR(G190*LOG(G190,2),0)+IFERROR(G191*LOG(G191,2),0))</f>
        <v>1.18960001998895</v>
      </c>
      <c r="J192" s="30" t="str">
        <v>tengah</v>
      </c>
      <c r="K192" s="30" t="s">
        <v>194</v>
      </c>
      <c r="L192" s="30">
        <f>-(IFERROR(L189*LOG(L189,2),0)+IFERROR(L190*LOG(L190,2),0)+IFERROR(L191*LOG(L191,2),0))</f>
        <v>1.29796613383763</v>
      </c>
      <c r="O192" s="30" t="str">
        <v>kanan</v>
      </c>
      <c r="P192" s="30" t="s">
        <v>194</v>
      </c>
      <c r="Q192" s="30">
        <f>-(IFERROR(Q189*LOG(Q189,2),0)+IFERROR(Q190*LOG(Q190,2),0)+IFERROR(Q191*LOG(Q191,2),0))</f>
        <v>0.932833031238498</v>
      </c>
      <c r="T192" s="30" t="str">
        <v>tengah</v>
      </c>
      <c r="U192" s="30" t="s">
        <v>194</v>
      </c>
      <c r="V192" s="30">
        <f>-(IFERROR(V189*LOG(V189,2),0)+IFERROR(V190*LOG(V190,2),0)+IFERROR(V191*LOG(V191,2),0))</f>
        <v>1.31408034686242</v>
      </c>
    </row>
    <row r="193" spans="5:22">
      <c r="E193" s="30" t="str">
        <v>tengah</v>
      </c>
      <c r="F193" s="30"/>
      <c r="G193" s="30">
        <f>SUM(F189:F191)/163</f>
        <v>0.54601226993865</v>
      </c>
      <c r="J193" s="30" t="str">
        <v>tengah</v>
      </c>
      <c r="K193" s="30"/>
      <c r="L193" s="30">
        <f>SUM(K189:K191)/163</f>
        <v>0.595092024539877</v>
      </c>
      <c r="O193" s="30" t="str">
        <v>tengah</v>
      </c>
      <c r="P193" s="30"/>
      <c r="Q193" s="30">
        <f>SUM(P189:P191)/163</f>
        <v>0.668711656441718</v>
      </c>
      <c r="T193" s="30" t="str">
        <v>tengah</v>
      </c>
      <c r="U193" s="30"/>
      <c r="V193" s="30">
        <f>SUM(U189:U191)/163</f>
        <v>0.466257668711656</v>
      </c>
    </row>
    <row r="194" spans="5:22">
      <c r="E194" s="30" t="str">
        <v>tengah</v>
      </c>
      <c r="F194" s="30"/>
      <c r="G194" s="37">
        <f>G192*G193</f>
        <v>0.649536207233231</v>
      </c>
      <c r="J194" s="30" t="str">
        <v>kanan</v>
      </c>
      <c r="K194" s="30"/>
      <c r="L194" s="37">
        <f>L192*L193</f>
        <v>0.772409294369633</v>
      </c>
      <c r="O194" s="30" t="str">
        <v>tengah</v>
      </c>
      <c r="P194" s="30"/>
      <c r="Q194" s="37">
        <f>Q192*Q193</f>
        <v>0.623796321503045</v>
      </c>
      <c r="T194" s="30" t="str">
        <v>kanan</v>
      </c>
      <c r="U194" s="30"/>
      <c r="V194" s="37">
        <f>V192*V193</f>
        <v>0.612700039027878</v>
      </c>
    </row>
    <row r="195" spans="5:22">
      <c r="E195" s="30" t="str">
        <v>tengah</v>
      </c>
      <c r="F195" s="30"/>
      <c r="G195" s="30"/>
      <c r="J195" s="30" t="str">
        <v>tengah</v>
      </c>
      <c r="K195" s="30"/>
      <c r="L195" s="30"/>
      <c r="O195" s="30" t="str">
        <v>tengah</v>
      </c>
      <c r="P195" s="30"/>
      <c r="Q195" s="30"/>
      <c r="T195" s="30" t="str">
        <v>kanan</v>
      </c>
      <c r="U195" s="30"/>
      <c r="V195" s="30"/>
    </row>
    <row r="196" spans="5:22">
      <c r="E196" s="30" t="str">
        <v>tengah</v>
      </c>
      <c r="F196" s="30" t="s">
        <v>200</v>
      </c>
      <c r="G196" s="36" t="s">
        <v>194</v>
      </c>
      <c r="J196" s="30" t="str">
        <v>tengah</v>
      </c>
      <c r="K196" s="30" t="s">
        <v>200</v>
      </c>
      <c r="L196" s="36" t="s">
        <v>194</v>
      </c>
      <c r="O196" s="30" t="str">
        <v>tengah</v>
      </c>
      <c r="P196" s="30" t="s">
        <v>200</v>
      </c>
      <c r="Q196" s="36" t="s">
        <v>194</v>
      </c>
      <c r="T196" s="30" t="str">
        <v>tengah</v>
      </c>
      <c r="U196" s="30" t="s">
        <v>200</v>
      </c>
      <c r="V196" s="36" t="s">
        <v>194</v>
      </c>
    </row>
    <row r="197" spans="5:22">
      <c r="E197" s="30" t="str">
        <v>tengah</v>
      </c>
      <c r="F197" s="41">
        <f>P5-(G176+G185+G194)</f>
        <v>0.0775084170915075</v>
      </c>
      <c r="G197" s="37">
        <f>(G176+G185+G194)</f>
        <v>1.28502611389448</v>
      </c>
      <c r="J197" s="30" t="str">
        <v>tengah</v>
      </c>
      <c r="K197" s="41">
        <f>P5-(L176+L185+L194)</f>
        <v>0.0549009125646336</v>
      </c>
      <c r="L197" s="37">
        <f>(L176+L185+L194)</f>
        <v>1.30763361842136</v>
      </c>
      <c r="O197" s="30" t="str">
        <v>kiri</v>
      </c>
      <c r="P197" s="41">
        <f>P5-(Q176+Q185+Q194)</f>
        <v>0.60032951889188</v>
      </c>
      <c r="Q197" s="37">
        <f>(Q176+Q185+Q194)</f>
        <v>0.762205012094112</v>
      </c>
      <c r="T197" s="30" t="str">
        <v>kanan</v>
      </c>
      <c r="U197" s="41">
        <f>P5-(V176+V185+V194)</f>
        <v>0.0199676218347666</v>
      </c>
      <c r="V197" s="37">
        <f>(V176+V185+V194)</f>
        <v>1.34256690915122</v>
      </c>
    </row>
    <row r="198" spans="5:22">
      <c r="E198" s="30" t="str">
        <v>kanan</v>
      </c>
      <c r="F198" s="30"/>
      <c r="G198" s="30"/>
      <c r="J198" s="30" t="str">
        <v>kanan</v>
      </c>
      <c r="K198" s="30"/>
      <c r="L198" s="30"/>
      <c r="O198" s="30" t="str">
        <v>tengah</v>
      </c>
      <c r="P198" s="30"/>
      <c r="Q198" s="30"/>
      <c r="T198" s="30" t="str">
        <v>kanan</v>
      </c>
      <c r="U198" s="30"/>
      <c r="V198" s="30"/>
    </row>
    <row r="199" spans="5:22">
      <c r="E199" s="30" t="str">
        <v>tengah</v>
      </c>
      <c r="F199" s="30"/>
      <c r="G199" s="30"/>
      <c r="J199" s="30" t="str">
        <v>tengah</v>
      </c>
      <c r="K199" s="30"/>
      <c r="L199" s="30"/>
      <c r="O199" s="30" t="str">
        <v>tengah</v>
      </c>
      <c r="P199" s="30"/>
      <c r="Q199" s="30"/>
      <c r="T199" s="30" t="str">
        <v>tengah</v>
      </c>
      <c r="U199" s="30"/>
      <c r="V199" s="30"/>
    </row>
    <row r="200" spans="5:22">
      <c r="E200" s="30" t="str">
        <v>tengah</v>
      </c>
      <c r="F200" s="30"/>
      <c r="G200" s="30"/>
      <c r="J200" s="30" t="str">
        <v>tengah</v>
      </c>
      <c r="K200" s="30"/>
      <c r="L200" s="30"/>
      <c r="O200" s="30" t="str">
        <v>kanan</v>
      </c>
      <c r="P200" s="30"/>
      <c r="Q200" s="30"/>
      <c r="T200" s="30" t="str">
        <v>tengah</v>
      </c>
      <c r="U200" s="30"/>
      <c r="V200" s="30"/>
    </row>
    <row r="201" spans="5:22">
      <c r="E201" s="30" t="str">
        <v>kiri</v>
      </c>
      <c r="F201" s="30"/>
      <c r="G201" s="30"/>
      <c r="J201" s="30" t="str">
        <v>tengah</v>
      </c>
      <c r="K201" s="30"/>
      <c r="L201" s="30"/>
      <c r="O201" s="30" t="str">
        <v>kanan</v>
      </c>
      <c r="P201" s="30"/>
      <c r="Q201" s="30"/>
      <c r="T201" s="30" t="str">
        <v>tengah</v>
      </c>
      <c r="U201" s="30"/>
      <c r="V201" s="30"/>
    </row>
    <row r="202" spans="5:22">
      <c r="E202" s="30" t="str">
        <v>tengah</v>
      </c>
      <c r="F202" s="30"/>
      <c r="G202" s="30"/>
      <c r="J202" s="30" t="str">
        <v>tengah</v>
      </c>
      <c r="K202" s="30"/>
      <c r="L202" s="30"/>
      <c r="O202" s="30" t="str">
        <v>tengah</v>
      </c>
      <c r="P202" s="30"/>
      <c r="Q202" s="30"/>
      <c r="T202" s="30" t="str">
        <v>tengah</v>
      </c>
      <c r="U202" s="30"/>
      <c r="V202" s="30"/>
    </row>
    <row r="203" spans="5:22">
      <c r="E203" s="30" t="str">
        <v>kanan</v>
      </c>
      <c r="F203" s="30"/>
      <c r="G203" s="30"/>
      <c r="J203" s="30" t="str">
        <v>kanan</v>
      </c>
      <c r="K203" s="30"/>
      <c r="L203" s="30"/>
      <c r="O203" s="30" t="str">
        <v>kiri</v>
      </c>
      <c r="P203" s="30"/>
      <c r="Q203" s="30"/>
      <c r="T203" s="30" t="str">
        <v>kanan</v>
      </c>
      <c r="U203" s="30"/>
      <c r="V203" s="30"/>
    </row>
    <row r="204" spans="5:22">
      <c r="E204" s="30" t="str">
        <v>tengah</v>
      </c>
      <c r="F204" s="30"/>
      <c r="G204" s="30"/>
      <c r="J204" s="30" t="str">
        <v>tengah</v>
      </c>
      <c r="K204" s="30"/>
      <c r="L204" s="30"/>
      <c r="O204" s="30" t="str">
        <v>tengah</v>
      </c>
      <c r="P204" s="30"/>
      <c r="Q204" s="30"/>
      <c r="T204" s="30" t="str">
        <v>tengah</v>
      </c>
      <c r="U204" s="30"/>
      <c r="V204" s="30"/>
    </row>
    <row r="205" spans="5:22">
      <c r="E205" s="30" t="str">
        <v>tengah</v>
      </c>
      <c r="F205" s="30"/>
      <c r="G205" s="30"/>
      <c r="J205" s="30" t="str">
        <v>kiri</v>
      </c>
      <c r="K205" s="30"/>
      <c r="L205" s="30"/>
      <c r="O205" s="30" t="str">
        <v>kiri</v>
      </c>
      <c r="P205" s="30"/>
      <c r="Q205" s="30"/>
      <c r="T205" s="30" t="str">
        <v>kanan</v>
      </c>
      <c r="U205" s="30"/>
      <c r="V205" s="30"/>
    </row>
    <row r="206" spans="5:22">
      <c r="E206" s="30" t="str">
        <v>kanan</v>
      </c>
      <c r="F206" s="30"/>
      <c r="G206" s="30"/>
      <c r="J206" s="30" t="str">
        <v>tengah</v>
      </c>
      <c r="K206" s="30"/>
      <c r="L206" s="30"/>
      <c r="O206" s="30" t="str">
        <v>tengah</v>
      </c>
      <c r="P206" s="30"/>
      <c r="Q206" s="30"/>
      <c r="T206" s="30" t="str">
        <v>tengah</v>
      </c>
      <c r="U206" s="30"/>
      <c r="V206" s="30"/>
    </row>
    <row r="207" spans="5:22">
      <c r="E207" s="30" t="str">
        <v>tengah</v>
      </c>
      <c r="F207" s="30"/>
      <c r="G207" s="30"/>
      <c r="J207" s="30" t="str">
        <v>tengah</v>
      </c>
      <c r="K207" s="30"/>
      <c r="L207" s="30"/>
      <c r="O207" s="30" t="str">
        <v>tengah</v>
      </c>
      <c r="P207" s="30"/>
      <c r="Q207" s="30"/>
      <c r="T207" s="30" t="str">
        <v>kanan</v>
      </c>
      <c r="U207" s="30"/>
      <c r="V207" s="30"/>
    </row>
    <row r="208" spans="5:22">
      <c r="E208" s="30" t="str">
        <v>tengah</v>
      </c>
      <c r="F208" s="30"/>
      <c r="G208" s="30"/>
      <c r="J208" s="30" t="str">
        <v>tengah</v>
      </c>
      <c r="K208" s="30"/>
      <c r="L208" s="30"/>
      <c r="O208" s="30" t="str">
        <v>tengah</v>
      </c>
      <c r="P208" s="30"/>
      <c r="Q208" s="30"/>
      <c r="T208" s="30" t="str">
        <v>kanan</v>
      </c>
      <c r="U208" s="30"/>
      <c r="V208" s="30"/>
    </row>
    <row r="209" spans="5:22">
      <c r="E209" s="30" t="str">
        <v>tengah</v>
      </c>
      <c r="F209" s="30"/>
      <c r="G209" s="30"/>
      <c r="J209" s="30" t="str">
        <v>tengah</v>
      </c>
      <c r="K209" s="30"/>
      <c r="L209" s="30"/>
      <c r="O209" s="30" t="str">
        <v>tengah</v>
      </c>
      <c r="P209" s="30"/>
      <c r="Q209" s="30"/>
      <c r="T209" s="30" t="str">
        <v>tengah</v>
      </c>
      <c r="U209" s="30"/>
      <c r="V209" s="30"/>
    </row>
    <row r="210" spans="5:22">
      <c r="E210" s="30" t="str">
        <v>tengah</v>
      </c>
      <c r="F210" s="30"/>
      <c r="G210" s="30"/>
      <c r="J210" s="30" t="str">
        <v>kanan</v>
      </c>
      <c r="K210" s="30"/>
      <c r="L210" s="30"/>
      <c r="O210" s="30" t="str">
        <v>kiri</v>
      </c>
      <c r="P210" s="30"/>
      <c r="Q210" s="30"/>
      <c r="T210" s="30" t="str">
        <v>tengah</v>
      </c>
      <c r="U210" s="30"/>
      <c r="V210" s="30"/>
    </row>
    <row r="211" spans="5:22">
      <c r="E211" s="30" t="str">
        <v>tengah</v>
      </c>
      <c r="F211" s="30"/>
      <c r="G211" s="30"/>
      <c r="J211" s="30" t="str">
        <v>tengah</v>
      </c>
      <c r="K211" s="30"/>
      <c r="L211" s="30"/>
      <c r="O211" s="30" t="str">
        <v>tengah</v>
      </c>
      <c r="P211" s="30"/>
      <c r="Q211" s="30"/>
      <c r="T211" s="30" t="str">
        <v>tengah</v>
      </c>
      <c r="U211" s="30"/>
      <c r="V211" s="30"/>
    </row>
    <row r="212" spans="5:22">
      <c r="E212" s="30" t="str">
        <v>kiri</v>
      </c>
      <c r="F212" s="30"/>
      <c r="G212" s="30"/>
      <c r="J212" s="30" t="str">
        <v>kiri</v>
      </c>
      <c r="K212" s="30"/>
      <c r="L212" s="30"/>
      <c r="O212" s="30" t="str">
        <v>tengah</v>
      </c>
      <c r="P212" s="30"/>
      <c r="Q212" s="30"/>
      <c r="T212" s="30" t="str">
        <v>tengah</v>
      </c>
      <c r="U212" s="30"/>
      <c r="V212" s="30"/>
    </row>
    <row r="213" spans="5:22">
      <c r="E213" s="30" t="str">
        <v>kanan</v>
      </c>
      <c r="F213" s="30"/>
      <c r="G213" s="30"/>
      <c r="J213" s="30" t="str">
        <v>tengah</v>
      </c>
      <c r="K213" s="30"/>
      <c r="L213" s="30"/>
      <c r="O213" s="30" t="str">
        <v>tengah</v>
      </c>
      <c r="P213" s="30"/>
      <c r="Q213" s="30"/>
      <c r="T213" s="30" t="str">
        <v>tengah</v>
      </c>
      <c r="U213" s="30"/>
      <c r="V213" s="30"/>
    </row>
    <row r="214" spans="5:22">
      <c r="E214" s="30" t="str">
        <v>tengah</v>
      </c>
      <c r="F214" s="30"/>
      <c r="G214" s="30"/>
      <c r="J214" s="30" t="str">
        <v>tengah</v>
      </c>
      <c r="K214" s="30"/>
      <c r="L214" s="30"/>
      <c r="O214" s="30" t="str">
        <v>tengah</v>
      </c>
      <c r="P214" s="30"/>
      <c r="Q214" s="30"/>
      <c r="T214" s="30" t="str">
        <v>tengah</v>
      </c>
      <c r="U214" s="30"/>
      <c r="V214" s="30"/>
    </row>
    <row r="215" spans="5:22">
      <c r="E215" s="30" t="str">
        <v>tengah</v>
      </c>
      <c r="F215" s="30"/>
      <c r="G215" s="30"/>
      <c r="J215" s="30" t="str">
        <v>tengah</v>
      </c>
      <c r="K215" s="30"/>
      <c r="L215" s="30"/>
      <c r="O215" s="30" t="str">
        <v>tengah</v>
      </c>
      <c r="P215" s="30"/>
      <c r="Q215" s="30"/>
      <c r="T215" s="30" t="str">
        <v>tengah</v>
      </c>
      <c r="U215" s="30"/>
      <c r="V215" s="30"/>
    </row>
    <row r="216" spans="5:22">
      <c r="E216" s="30" t="str">
        <v>tengah</v>
      </c>
      <c r="F216" s="30"/>
      <c r="G216" s="30"/>
      <c r="J216" s="30" t="str">
        <v>tengah</v>
      </c>
      <c r="K216" s="30"/>
      <c r="L216" s="30"/>
      <c r="O216" s="30" t="str">
        <v>tengah</v>
      </c>
      <c r="P216" s="30"/>
      <c r="Q216" s="30"/>
      <c r="T216" s="30" t="str">
        <v>kanan</v>
      </c>
      <c r="U216" s="30"/>
      <c r="V216" s="30"/>
    </row>
    <row r="217" spans="5:22">
      <c r="E217" s="30" t="str">
        <v>kiri</v>
      </c>
      <c r="F217" s="30"/>
      <c r="G217" s="30"/>
      <c r="J217" s="30" t="str">
        <v>tengah</v>
      </c>
      <c r="K217" s="30"/>
      <c r="L217" s="30"/>
      <c r="O217" s="30" t="str">
        <v>tengah</v>
      </c>
      <c r="P217" s="30"/>
      <c r="Q217" s="30"/>
      <c r="T217" s="30" t="str">
        <v>tengah</v>
      </c>
      <c r="U217" s="30"/>
      <c r="V217" s="30"/>
    </row>
    <row r="218" spans="5:22">
      <c r="E218" s="30" t="str">
        <v>kiri</v>
      </c>
      <c r="F218" s="30"/>
      <c r="G218" s="30"/>
      <c r="J218" s="30" t="str">
        <v>tengah</v>
      </c>
      <c r="K218" s="30"/>
      <c r="L218" s="30"/>
      <c r="O218" s="30" t="str">
        <v>tengah</v>
      </c>
      <c r="P218" s="30"/>
      <c r="Q218" s="30"/>
      <c r="T218" s="30" t="str">
        <v>tengah</v>
      </c>
      <c r="U218" s="30"/>
      <c r="V218" s="30"/>
    </row>
    <row r="219" spans="5:22">
      <c r="E219" s="30" t="str">
        <v>tengah</v>
      </c>
      <c r="F219" s="30"/>
      <c r="G219" s="30"/>
      <c r="J219" s="30" t="str">
        <v>tengah</v>
      </c>
      <c r="K219" s="30"/>
      <c r="L219" s="30"/>
      <c r="O219" s="30" t="str">
        <v>tengah</v>
      </c>
      <c r="P219" s="30"/>
      <c r="Q219" s="30"/>
      <c r="T219" s="30" t="str">
        <v>kanan</v>
      </c>
      <c r="U219" s="30"/>
      <c r="V219" s="30"/>
    </row>
    <row r="220" spans="5:22">
      <c r="E220" s="30" t="str">
        <v>tengah</v>
      </c>
      <c r="F220" s="30"/>
      <c r="G220" s="30"/>
      <c r="J220" s="30" t="str">
        <v>kanan</v>
      </c>
      <c r="K220" s="30"/>
      <c r="L220" s="30"/>
      <c r="O220" s="30" t="str">
        <v>tengah</v>
      </c>
      <c r="P220" s="30"/>
      <c r="Q220" s="30"/>
      <c r="T220" s="30" t="str">
        <v>tengah</v>
      </c>
      <c r="U220" s="30"/>
      <c r="V220" s="30"/>
    </row>
    <row r="221" spans="5:22">
      <c r="E221" s="30" t="str">
        <v>tengah</v>
      </c>
      <c r="F221" s="30"/>
      <c r="G221" s="30"/>
      <c r="J221" s="30" t="str">
        <v>tengah</v>
      </c>
      <c r="K221" s="30"/>
      <c r="L221" s="30"/>
      <c r="O221" s="30" t="str">
        <v>tengah</v>
      </c>
      <c r="P221" s="30"/>
      <c r="Q221" s="30"/>
      <c r="T221" s="30" t="str">
        <v>kanan</v>
      </c>
      <c r="U221" s="30"/>
      <c r="V221" s="30"/>
    </row>
    <row r="222" spans="5:22">
      <c r="E222" s="30" t="str">
        <v>kiri</v>
      </c>
      <c r="F222" s="30"/>
      <c r="G222" s="30"/>
      <c r="J222" s="30" t="str">
        <v>kiri</v>
      </c>
      <c r="K222" s="30"/>
      <c r="L222" s="30"/>
      <c r="O222" s="30" t="str">
        <v>kanan</v>
      </c>
      <c r="P222" s="30"/>
      <c r="Q222" s="30"/>
      <c r="T222" s="30" t="str">
        <v>kanan</v>
      </c>
      <c r="U222" s="30"/>
      <c r="V222" s="30"/>
    </row>
    <row r="223" spans="5:22">
      <c r="E223" s="30" t="str">
        <v>tengah</v>
      </c>
      <c r="F223" s="30"/>
      <c r="G223" s="30"/>
      <c r="J223" s="30" t="str">
        <v>tengah</v>
      </c>
      <c r="K223" s="30"/>
      <c r="L223" s="30"/>
      <c r="O223" s="30" t="str">
        <v>kiri</v>
      </c>
      <c r="P223" s="30"/>
      <c r="Q223" s="30"/>
      <c r="T223" s="30" t="str">
        <v>kanan</v>
      </c>
      <c r="U223" s="30"/>
      <c r="V223" s="30"/>
    </row>
    <row r="224" spans="5:22">
      <c r="E224" s="30" t="str">
        <v>kanan</v>
      </c>
      <c r="F224" s="30"/>
      <c r="G224" s="30"/>
      <c r="J224" s="30" t="str">
        <v>tengah</v>
      </c>
      <c r="K224" s="30"/>
      <c r="L224" s="30"/>
      <c r="O224" s="30" t="str">
        <v>kanan</v>
      </c>
      <c r="P224" s="30"/>
      <c r="Q224" s="30"/>
      <c r="T224" s="30" t="str">
        <v>kanan</v>
      </c>
      <c r="U224" s="30"/>
      <c r="V224" s="30"/>
    </row>
    <row r="225" spans="5:22">
      <c r="E225" s="30" t="str">
        <v>tengah</v>
      </c>
      <c r="F225" s="30"/>
      <c r="G225" s="30"/>
      <c r="J225" s="30" t="str">
        <v>kanan</v>
      </c>
      <c r="K225" s="30"/>
      <c r="L225" s="30"/>
      <c r="O225" s="30" t="str">
        <v>tengah</v>
      </c>
      <c r="P225" s="30"/>
      <c r="Q225" s="30"/>
      <c r="T225" s="30" t="str">
        <v>kanan</v>
      </c>
      <c r="U225" s="30"/>
      <c r="V225" s="30"/>
    </row>
    <row r="226" spans="5:22">
      <c r="E226" s="30" t="str">
        <v>kanan</v>
      </c>
      <c r="F226" s="30"/>
      <c r="G226" s="30"/>
      <c r="J226" s="30" t="str">
        <v>tengah</v>
      </c>
      <c r="K226" s="30"/>
      <c r="L226" s="30"/>
      <c r="O226" s="30" t="str">
        <v>kanan</v>
      </c>
      <c r="P226" s="30"/>
      <c r="Q226" s="30"/>
      <c r="T226" s="30" t="str">
        <v>kanan</v>
      </c>
      <c r="U226" s="30"/>
      <c r="V226" s="30"/>
    </row>
    <row r="227" spans="5:22">
      <c r="E227" s="30" t="str">
        <v>tengah</v>
      </c>
      <c r="F227" s="30"/>
      <c r="G227" s="30"/>
      <c r="J227" s="30" t="str">
        <v>tengah</v>
      </c>
      <c r="K227" s="30"/>
      <c r="L227" s="30"/>
      <c r="O227" s="30" t="str">
        <v>tengah</v>
      </c>
      <c r="P227" s="30"/>
      <c r="Q227" s="30"/>
      <c r="T227" s="30" t="str">
        <v>tengah</v>
      </c>
      <c r="U227" s="30"/>
      <c r="V227" s="30"/>
    </row>
    <row r="228" spans="5:22">
      <c r="E228" s="30" t="str">
        <v>tengah</v>
      </c>
      <c r="F228" s="30"/>
      <c r="G228" s="30"/>
      <c r="J228" s="30" t="str">
        <v>tengah</v>
      </c>
      <c r="K228" s="30"/>
      <c r="L228" s="30"/>
      <c r="O228" s="30" t="str">
        <v>tengah</v>
      </c>
      <c r="P228" s="30"/>
      <c r="Q228" s="30"/>
      <c r="T228" s="30" t="str">
        <v>kanan</v>
      </c>
      <c r="U228" s="30"/>
      <c r="V228" s="30"/>
    </row>
    <row r="229" spans="5:22">
      <c r="E229" s="30" t="str">
        <v>kiri</v>
      </c>
      <c r="F229" s="30"/>
      <c r="G229" s="30"/>
      <c r="J229" s="30" t="str">
        <v>tengah</v>
      </c>
      <c r="K229" s="30"/>
      <c r="L229" s="30"/>
      <c r="O229" s="30" t="str">
        <v>tengah</v>
      </c>
      <c r="P229" s="30"/>
      <c r="Q229" s="30"/>
      <c r="T229" s="30" t="str">
        <v>kanan</v>
      </c>
      <c r="U229" s="30"/>
      <c r="V229" s="30"/>
    </row>
    <row r="230" spans="5:22">
      <c r="E230" s="30" t="str">
        <v>tengah</v>
      </c>
      <c r="F230" s="30"/>
      <c r="G230" s="30"/>
      <c r="J230" s="30" t="str">
        <v>kiri</v>
      </c>
      <c r="K230" s="30"/>
      <c r="L230" s="30"/>
      <c r="O230" s="30" t="str">
        <v>tengah</v>
      </c>
      <c r="P230" s="30"/>
      <c r="Q230" s="30"/>
      <c r="T230" s="30" t="str">
        <v>kanan</v>
      </c>
      <c r="U230" s="30"/>
      <c r="V230" s="30"/>
    </row>
    <row r="231" spans="5:22">
      <c r="E231" s="30" t="str">
        <v>kanan</v>
      </c>
      <c r="F231" s="30"/>
      <c r="G231" s="30"/>
      <c r="J231" s="30" t="str">
        <v>kanan</v>
      </c>
      <c r="K231" s="30"/>
      <c r="L231" s="30"/>
      <c r="O231" s="30" t="str">
        <v>kiri</v>
      </c>
      <c r="P231" s="30"/>
      <c r="Q231" s="30"/>
      <c r="T231" s="30" t="str">
        <v>kanan</v>
      </c>
      <c r="U231" s="30"/>
      <c r="V231" s="30"/>
    </row>
    <row r="232" spans="5:22">
      <c r="E232" s="30" t="str">
        <v>kiri</v>
      </c>
      <c r="F232" s="30"/>
      <c r="G232" s="30"/>
      <c r="J232" s="30" t="str">
        <v>kiri</v>
      </c>
      <c r="K232" s="30"/>
      <c r="L232" s="30"/>
      <c r="O232" s="30" t="str">
        <v>tengah</v>
      </c>
      <c r="P232" s="30"/>
      <c r="Q232" s="30"/>
      <c r="T232" s="30" t="str">
        <v>tengah</v>
      </c>
      <c r="U232" s="30"/>
      <c r="V232" s="30"/>
    </row>
    <row r="233" spans="5:22">
      <c r="E233" s="30" t="str">
        <v>tengah</v>
      </c>
      <c r="F233" s="30"/>
      <c r="G233" s="30"/>
      <c r="J233" s="30" t="str">
        <v>tengah</v>
      </c>
      <c r="K233" s="30"/>
      <c r="L233" s="30"/>
      <c r="O233" s="30" t="str">
        <v>tengah</v>
      </c>
      <c r="P233" s="30"/>
      <c r="Q233" s="30"/>
      <c r="T233" s="30" t="str">
        <v>tengah</v>
      </c>
      <c r="U233" s="30"/>
      <c r="V233" s="30"/>
    </row>
    <row r="234" spans="5:22">
      <c r="E234" s="30" t="str">
        <v>tengah</v>
      </c>
      <c r="F234" s="30"/>
      <c r="G234" s="30"/>
      <c r="J234" s="30" t="str">
        <v>kanan</v>
      </c>
      <c r="K234" s="30"/>
      <c r="L234" s="30"/>
      <c r="O234" s="30" t="str">
        <v>tengah</v>
      </c>
      <c r="P234" s="30"/>
      <c r="Q234" s="30"/>
      <c r="T234" s="30" t="str">
        <v>tengah</v>
      </c>
      <c r="U234" s="30"/>
      <c r="V234" s="30"/>
    </row>
    <row r="235" spans="5:22">
      <c r="E235" s="30" t="str">
        <v>kiri</v>
      </c>
      <c r="F235" s="30"/>
      <c r="G235" s="30"/>
      <c r="J235" s="30" t="str">
        <v>kiri</v>
      </c>
      <c r="K235" s="30"/>
      <c r="L235" s="30"/>
      <c r="O235" s="30" t="str">
        <v>tengah</v>
      </c>
      <c r="P235" s="30"/>
      <c r="Q235" s="30"/>
      <c r="T235" s="30" t="str">
        <v>kanan</v>
      </c>
      <c r="U235" s="30"/>
      <c r="V235" s="30"/>
    </row>
    <row r="236" spans="5:22">
      <c r="E236" s="30" t="str">
        <v>tengah</v>
      </c>
      <c r="F236" s="30"/>
      <c r="G236" s="30"/>
      <c r="J236" s="30" t="str">
        <v>tengah</v>
      </c>
      <c r="K236" s="30"/>
      <c r="L236" s="30"/>
      <c r="O236" s="30" t="str">
        <v>tengah</v>
      </c>
      <c r="P236" s="30"/>
      <c r="Q236" s="30"/>
      <c r="T236" s="30" t="str">
        <v>kanan</v>
      </c>
      <c r="U236" s="30"/>
      <c r="V236" s="30"/>
    </row>
    <row r="237" spans="5:22">
      <c r="E237" s="30" t="str">
        <v>kanan</v>
      </c>
      <c r="F237" s="30"/>
      <c r="G237" s="30"/>
      <c r="J237" s="30" t="str">
        <v>tengah</v>
      </c>
      <c r="K237" s="30"/>
      <c r="L237" s="30"/>
      <c r="O237" s="30" t="str">
        <v>tengah</v>
      </c>
      <c r="P237" s="30"/>
      <c r="Q237" s="30"/>
      <c r="T237" s="30" t="str">
        <v>tengah</v>
      </c>
      <c r="U237" s="30"/>
      <c r="V237" s="30"/>
    </row>
    <row r="238" spans="5:22">
      <c r="E238" s="30" t="str">
        <v>tengah</v>
      </c>
      <c r="F238" s="30"/>
      <c r="G238" s="30"/>
      <c r="J238" s="30" t="str">
        <v>tengah</v>
      </c>
      <c r="K238" s="30"/>
      <c r="L238" s="30"/>
      <c r="O238" s="30" t="str">
        <v>tengah</v>
      </c>
      <c r="P238" s="30"/>
      <c r="Q238" s="30"/>
      <c r="T238" s="30" t="str">
        <v>tengah</v>
      </c>
      <c r="U238" s="30"/>
      <c r="V238" s="30"/>
    </row>
    <row r="239" spans="5:22">
      <c r="E239" s="30" t="str">
        <v>tengah</v>
      </c>
      <c r="F239" s="30"/>
      <c r="G239" s="30"/>
      <c r="J239" s="30" t="str">
        <v>tengah</v>
      </c>
      <c r="K239" s="30"/>
      <c r="L239" s="30"/>
      <c r="O239" s="30" t="str">
        <v>tengah</v>
      </c>
      <c r="P239" s="30"/>
      <c r="Q239" s="30"/>
      <c r="T239" s="30" t="str">
        <v>tengah</v>
      </c>
      <c r="U239" s="30"/>
      <c r="V239" s="30"/>
    </row>
    <row r="240" spans="5:22">
      <c r="E240" s="30" t="str">
        <v>tengah</v>
      </c>
      <c r="F240" s="30"/>
      <c r="G240" s="30"/>
      <c r="J240" s="30" t="str">
        <v>kiri</v>
      </c>
      <c r="K240" s="30"/>
      <c r="L240" s="30"/>
      <c r="O240" s="30" t="str">
        <v>tengah</v>
      </c>
      <c r="P240" s="30"/>
      <c r="Q240" s="30"/>
      <c r="T240" s="30" t="str">
        <v>tengah</v>
      </c>
      <c r="U240" s="30"/>
      <c r="V240" s="30"/>
    </row>
    <row r="241" spans="5:22">
      <c r="E241" s="30" t="str">
        <v>kanan</v>
      </c>
      <c r="F241" s="30"/>
      <c r="G241" s="30"/>
      <c r="J241" s="30" t="str">
        <v>kanan</v>
      </c>
      <c r="K241" s="30"/>
      <c r="L241" s="30"/>
      <c r="O241" s="30" t="str">
        <v>tengah</v>
      </c>
      <c r="P241" s="30"/>
      <c r="Q241" s="30"/>
      <c r="T241" s="30" t="str">
        <v>tengah</v>
      </c>
      <c r="U241" s="30"/>
      <c r="V241" s="30"/>
    </row>
    <row r="242" spans="5:22">
      <c r="E242" s="30" t="str">
        <v>kiri</v>
      </c>
      <c r="F242" s="30"/>
      <c r="G242" s="30"/>
      <c r="J242" s="30" t="str">
        <v>kiri</v>
      </c>
      <c r="K242" s="30"/>
      <c r="L242" s="30"/>
      <c r="O242" s="30" t="str">
        <v>tengah</v>
      </c>
      <c r="P242" s="30"/>
      <c r="Q242" s="30"/>
      <c r="T242" s="30" t="str">
        <v>kanan</v>
      </c>
      <c r="U242" s="30"/>
      <c r="V242" s="30"/>
    </row>
    <row r="243" spans="5:22">
      <c r="E243" s="30" t="str">
        <v>kiri</v>
      </c>
      <c r="F243" s="30"/>
      <c r="G243" s="30"/>
      <c r="J243" s="30" t="str">
        <v>tengah</v>
      </c>
      <c r="K243" s="30"/>
      <c r="L243" s="30"/>
      <c r="O243" s="30" t="str">
        <v>tengah</v>
      </c>
      <c r="P243" s="30"/>
      <c r="Q243" s="30"/>
      <c r="T243" s="30" t="str">
        <v>tengah</v>
      </c>
      <c r="U243" s="30"/>
      <c r="V243" s="30"/>
    </row>
    <row r="244" spans="5:22">
      <c r="E244" s="30" t="str">
        <v>kiri</v>
      </c>
      <c r="F244" s="30"/>
      <c r="G244" s="30"/>
      <c r="J244" s="30" t="str">
        <v>kanan</v>
      </c>
      <c r="K244" s="30"/>
      <c r="L244" s="30"/>
      <c r="O244" s="30" t="str">
        <v>kiri</v>
      </c>
      <c r="P244" s="30"/>
      <c r="Q244" s="30"/>
      <c r="T244" s="30" t="str">
        <v>tengah</v>
      </c>
      <c r="U244" s="30"/>
      <c r="V244" s="30"/>
    </row>
    <row r="245" spans="5:22">
      <c r="E245" s="30" t="str">
        <v>kanan</v>
      </c>
      <c r="F245" s="30"/>
      <c r="G245" s="30"/>
      <c r="J245" s="30" t="str">
        <v>tengah</v>
      </c>
      <c r="K245" s="30"/>
      <c r="L245" s="30"/>
      <c r="O245" s="30" t="str">
        <v>tengah</v>
      </c>
      <c r="P245" s="30"/>
      <c r="Q245" s="30"/>
      <c r="T245" s="30" t="str">
        <v>tengah</v>
      </c>
      <c r="U245" s="30"/>
      <c r="V245" s="30"/>
    </row>
    <row r="246" spans="5:22">
      <c r="E246" s="30" t="str">
        <v>kanan</v>
      </c>
      <c r="F246" s="30"/>
      <c r="G246" s="30"/>
      <c r="J246" s="30" t="str">
        <v>tengah</v>
      </c>
      <c r="K246" s="30"/>
      <c r="L246" s="30"/>
      <c r="O246" s="30" t="str">
        <v>tengah</v>
      </c>
      <c r="P246" s="30"/>
      <c r="Q246" s="30"/>
      <c r="T246" s="30" t="str">
        <v>kanan</v>
      </c>
      <c r="U246" s="30"/>
      <c r="V246" s="30"/>
    </row>
    <row r="247" spans="5:22">
      <c r="E247" s="30" t="str">
        <v>tengah</v>
      </c>
      <c r="F247" s="30"/>
      <c r="G247" s="30"/>
      <c r="J247" s="30" t="str">
        <v>kanan</v>
      </c>
      <c r="K247" s="30"/>
      <c r="L247" s="30"/>
      <c r="O247" s="30" t="str">
        <v>tengah</v>
      </c>
      <c r="P247" s="30"/>
      <c r="Q247" s="30"/>
      <c r="T247" s="30" t="str">
        <v>kanan</v>
      </c>
      <c r="U247" s="30"/>
      <c r="V247" s="30"/>
    </row>
    <row r="248" spans="5:22">
      <c r="E248" s="30" t="str">
        <v>kanan</v>
      </c>
      <c r="F248" s="30"/>
      <c r="G248" s="30"/>
      <c r="J248" s="30" t="str">
        <v>kanan</v>
      </c>
      <c r="K248" s="30"/>
      <c r="L248" s="30"/>
      <c r="O248" s="30" t="str">
        <v>tengah</v>
      </c>
      <c r="P248" s="30"/>
      <c r="Q248" s="30"/>
      <c r="T248" s="30" t="str">
        <v>kanan</v>
      </c>
      <c r="U248" s="30"/>
      <c r="V248" s="30"/>
    </row>
    <row r="249" spans="5:22">
      <c r="E249" s="30" t="str">
        <v>kiri</v>
      </c>
      <c r="F249" s="30"/>
      <c r="G249" s="30"/>
      <c r="J249" s="30" t="str">
        <v>tengah</v>
      </c>
      <c r="K249" s="30"/>
      <c r="L249" s="30"/>
      <c r="O249" s="30" t="str">
        <v>kiri</v>
      </c>
      <c r="P249" s="30"/>
      <c r="Q249" s="30"/>
      <c r="T249" s="30" t="str">
        <v>tengah</v>
      </c>
      <c r="U249" s="30"/>
      <c r="V249" s="30"/>
    </row>
    <row r="250" spans="5:22">
      <c r="E250" s="30" t="str">
        <v>tengah</v>
      </c>
      <c r="F250" s="30"/>
      <c r="G250" s="30"/>
      <c r="J250" s="30" t="str">
        <v>tengah</v>
      </c>
      <c r="K250" s="30"/>
      <c r="L250" s="30"/>
      <c r="O250" s="30" t="str">
        <v>tengah</v>
      </c>
      <c r="P250" s="30"/>
      <c r="Q250" s="30"/>
      <c r="T250" s="30" t="str">
        <v>tengah</v>
      </c>
      <c r="U250" s="30"/>
      <c r="V250" s="30"/>
    </row>
    <row r="251" spans="5:22">
      <c r="E251" s="30" t="str">
        <v>tengah</v>
      </c>
      <c r="F251" s="30"/>
      <c r="G251" s="30"/>
      <c r="J251" s="30" t="str">
        <v>tengah</v>
      </c>
      <c r="K251" s="30"/>
      <c r="L251" s="30"/>
      <c r="O251" s="30" t="str">
        <v>kiri</v>
      </c>
      <c r="P251" s="30"/>
      <c r="Q251" s="30"/>
      <c r="T251" s="30" t="str">
        <v>kanan</v>
      </c>
      <c r="U251" s="30"/>
      <c r="V251" s="30"/>
    </row>
    <row r="252" spans="5:22">
      <c r="E252" s="30" t="str">
        <v>kiri</v>
      </c>
      <c r="F252" s="30"/>
      <c r="G252" s="30"/>
      <c r="J252" s="30" t="str">
        <v>tengah</v>
      </c>
      <c r="K252" s="30"/>
      <c r="L252" s="30"/>
      <c r="O252" s="30" t="str">
        <v>tengah</v>
      </c>
      <c r="P252" s="30"/>
      <c r="Q252" s="30"/>
      <c r="T252" s="30" t="str">
        <v>kanan</v>
      </c>
      <c r="U252" s="30"/>
      <c r="V252" s="30"/>
    </row>
    <row r="253" spans="5:22">
      <c r="E253" s="30" t="str">
        <v>kanan</v>
      </c>
      <c r="F253" s="30"/>
      <c r="G253" s="30"/>
      <c r="J253" s="30" t="str">
        <v>tengah</v>
      </c>
      <c r="K253" s="30"/>
      <c r="L253" s="30"/>
      <c r="O253" s="30" t="str">
        <v>tengah</v>
      </c>
      <c r="P253" s="30"/>
      <c r="Q253" s="30"/>
      <c r="T253" s="30" t="str">
        <v>kanan</v>
      </c>
      <c r="U253" s="30"/>
      <c r="V253" s="30"/>
    </row>
    <row r="254" spans="5:22">
      <c r="E254" s="30" t="str">
        <v>kanan</v>
      </c>
      <c r="F254" s="30"/>
      <c r="G254" s="30"/>
      <c r="J254" s="30" t="str">
        <v>kanan</v>
      </c>
      <c r="K254" s="30"/>
      <c r="L254" s="30"/>
      <c r="O254" s="30" t="str">
        <v>tengah</v>
      </c>
      <c r="P254" s="30"/>
      <c r="Q254" s="30"/>
      <c r="T254" s="30" t="str">
        <v>tengah</v>
      </c>
      <c r="U254" s="30"/>
      <c r="V254" s="30"/>
    </row>
    <row r="255" spans="5:22">
      <c r="E255" s="30" t="str">
        <v>kanan</v>
      </c>
      <c r="F255" s="30"/>
      <c r="G255" s="30"/>
      <c r="J255" s="30" t="str">
        <v>tengah</v>
      </c>
      <c r="K255" s="30"/>
      <c r="L255" s="30"/>
      <c r="O255" s="30" t="str">
        <v>kanan</v>
      </c>
      <c r="P255" s="30"/>
      <c r="Q255" s="30"/>
      <c r="T255" s="30" t="str">
        <v>kanan</v>
      </c>
      <c r="U255" s="30"/>
      <c r="V255" s="30"/>
    </row>
    <row r="256" spans="5:22">
      <c r="E256" s="30" t="str">
        <v>kiri</v>
      </c>
      <c r="F256" s="30"/>
      <c r="G256" s="30"/>
      <c r="J256" s="30" t="str">
        <v>tengah</v>
      </c>
      <c r="K256" s="30"/>
      <c r="L256" s="30"/>
      <c r="O256" s="30" t="str">
        <v>tengah</v>
      </c>
      <c r="P256" s="30"/>
      <c r="Q256" s="30"/>
      <c r="T256" s="30" t="str">
        <v>tengah</v>
      </c>
      <c r="U256" s="30"/>
      <c r="V256" s="30"/>
    </row>
    <row r="257" spans="5:22">
      <c r="E257" s="30" t="str">
        <v>kiri</v>
      </c>
      <c r="F257" s="30"/>
      <c r="G257" s="30"/>
      <c r="J257" s="30" t="str">
        <v>tengah</v>
      </c>
      <c r="K257" s="30"/>
      <c r="L257" s="30"/>
      <c r="O257" s="30" t="str">
        <v>tengah</v>
      </c>
      <c r="P257" s="30"/>
      <c r="Q257" s="30"/>
      <c r="T257" s="30" t="str">
        <v>tengah</v>
      </c>
      <c r="U257" s="30"/>
      <c r="V257" s="30"/>
    </row>
    <row r="258" spans="5:22">
      <c r="E258" s="30" t="str">
        <v>tengah</v>
      </c>
      <c r="F258" s="30"/>
      <c r="G258" s="30"/>
      <c r="J258" s="30" t="str">
        <v>tengah</v>
      </c>
      <c r="K258" s="30"/>
      <c r="L258" s="30"/>
      <c r="O258" s="30" t="str">
        <v>kanan</v>
      </c>
      <c r="P258" s="30"/>
      <c r="Q258" s="30"/>
      <c r="T258" s="30" t="str">
        <v>kanan</v>
      </c>
      <c r="U258" s="30"/>
      <c r="V258" s="30"/>
    </row>
    <row r="259" spans="5:22">
      <c r="E259" s="30" t="str">
        <v>tengah</v>
      </c>
      <c r="F259" s="30"/>
      <c r="G259" s="30"/>
      <c r="J259" s="30" t="str">
        <v>tengah</v>
      </c>
      <c r="K259" s="30"/>
      <c r="L259" s="30"/>
      <c r="O259" s="30" t="str">
        <v>kiri</v>
      </c>
      <c r="P259" s="30"/>
      <c r="Q259" s="30"/>
      <c r="T259" s="30" t="str">
        <v>kanan</v>
      </c>
      <c r="U259" s="30"/>
      <c r="V259" s="30"/>
    </row>
    <row r="260" spans="5:22">
      <c r="E260" s="30" t="str">
        <v>kanan</v>
      </c>
      <c r="F260" s="30"/>
      <c r="G260" s="30"/>
      <c r="J260" s="30" t="str">
        <v>kanan</v>
      </c>
      <c r="K260" s="30"/>
      <c r="L260" s="30"/>
      <c r="O260" s="30" t="str">
        <v>tengah</v>
      </c>
      <c r="P260" s="30"/>
      <c r="Q260" s="30"/>
      <c r="T260" s="30" t="str">
        <v>kanan</v>
      </c>
      <c r="U260" s="30"/>
      <c r="V260" s="30"/>
    </row>
    <row r="261" spans="5:22">
      <c r="E261" s="30" t="str">
        <v>tengah</v>
      </c>
      <c r="F261" s="30"/>
      <c r="G261" s="30"/>
      <c r="J261" s="30" t="str">
        <v>kiri</v>
      </c>
      <c r="K261" s="30"/>
      <c r="L261" s="30"/>
      <c r="O261" s="30" t="str">
        <v>kanan</v>
      </c>
      <c r="P261" s="30"/>
      <c r="Q261" s="30"/>
      <c r="T261" s="30" t="str">
        <v>kanan</v>
      </c>
      <c r="U261" s="30"/>
      <c r="V261" s="30"/>
    </row>
    <row r="262" spans="5:22">
      <c r="E262" s="30" t="str">
        <v>kanan</v>
      </c>
      <c r="F262" s="30"/>
      <c r="G262" s="30"/>
      <c r="J262" s="30" t="str">
        <v>kanan</v>
      </c>
      <c r="K262" s="30"/>
      <c r="L262" s="30"/>
      <c r="O262" s="30" t="str">
        <v>kiri</v>
      </c>
      <c r="P262" s="30"/>
      <c r="Q262" s="30"/>
      <c r="T262" s="30" t="str">
        <v>kanan</v>
      </c>
      <c r="U262" s="30"/>
      <c r="V262" s="30"/>
    </row>
    <row r="263" spans="5:22">
      <c r="E263" s="30" t="str">
        <v>tengah</v>
      </c>
      <c r="F263" s="30"/>
      <c r="G263" s="30"/>
      <c r="J263" s="30" t="str">
        <v>kiri</v>
      </c>
      <c r="K263" s="30"/>
      <c r="L263" s="30"/>
      <c r="O263" s="30" t="str">
        <v>tengah</v>
      </c>
      <c r="P263" s="30"/>
      <c r="Q263" s="30"/>
      <c r="T263" s="30" t="str">
        <v>kanan</v>
      </c>
      <c r="U263" s="30"/>
      <c r="V263" s="30"/>
    </row>
    <row r="264" spans="5:22">
      <c r="E264" s="30" t="str">
        <v>kanan</v>
      </c>
      <c r="F264" s="30"/>
      <c r="G264" s="30"/>
      <c r="J264" s="30" t="str">
        <v>tengah</v>
      </c>
      <c r="K264" s="30"/>
      <c r="L264" s="30"/>
      <c r="O264" s="30" t="str">
        <v>kiri</v>
      </c>
      <c r="P264" s="30"/>
      <c r="Q264" s="30"/>
      <c r="T264" s="30" t="str">
        <v>kanan</v>
      </c>
      <c r="U264" s="30"/>
      <c r="V264" s="30"/>
    </row>
    <row r="265" spans="5:22">
      <c r="E265" s="30" t="str">
        <v>kiri</v>
      </c>
      <c r="F265" s="30"/>
      <c r="G265" s="30"/>
      <c r="J265" s="30" t="str">
        <v>tengah</v>
      </c>
      <c r="K265" s="30"/>
      <c r="L265" s="30"/>
      <c r="O265" s="30" t="str">
        <v>kiri</v>
      </c>
      <c r="P265" s="30"/>
      <c r="Q265" s="30"/>
      <c r="T265" s="30" t="str">
        <v>tengah</v>
      </c>
      <c r="U265" s="30"/>
      <c r="V265" s="30"/>
    </row>
    <row r="266" spans="5:22">
      <c r="E266" s="30" t="str">
        <v>kiri</v>
      </c>
      <c r="F266" s="30"/>
      <c r="G266" s="30"/>
      <c r="J266" s="30" t="str">
        <v>tengah</v>
      </c>
      <c r="K266" s="30"/>
      <c r="L266" s="30"/>
      <c r="O266" s="30" t="str">
        <v>tengah</v>
      </c>
      <c r="P266" s="30"/>
      <c r="Q266" s="30"/>
      <c r="T266" s="30" t="str">
        <v>kanan</v>
      </c>
      <c r="U266" s="30"/>
      <c r="V266" s="30"/>
    </row>
    <row r="267" spans="5:22">
      <c r="E267" s="30" t="str">
        <v>kanan</v>
      </c>
      <c r="F267" s="30"/>
      <c r="G267" s="30"/>
      <c r="J267" s="30" t="str">
        <v>tengah</v>
      </c>
      <c r="K267" s="30"/>
      <c r="L267" s="30"/>
      <c r="O267" s="30" t="str">
        <v>kanan</v>
      </c>
      <c r="P267" s="30"/>
      <c r="Q267" s="30"/>
      <c r="T267" s="30" t="str">
        <v>kanan</v>
      </c>
      <c r="U267" s="30"/>
      <c r="V267" s="30"/>
    </row>
    <row r="268" spans="5:22">
      <c r="E268" s="30" t="str">
        <v>kiri</v>
      </c>
      <c r="F268" s="30"/>
      <c r="G268" s="30"/>
      <c r="J268" s="30" t="str">
        <v>tengah</v>
      </c>
      <c r="K268" s="30"/>
      <c r="L268" s="30"/>
      <c r="O268" s="30" t="str">
        <v>tengah</v>
      </c>
      <c r="P268" s="30"/>
      <c r="Q268" s="30"/>
      <c r="T268" s="30" t="str">
        <v>tengah</v>
      </c>
      <c r="U268" s="30"/>
      <c r="V268" s="30"/>
    </row>
    <row r="269" spans="5:22">
      <c r="E269" s="30" t="str">
        <v>kiri</v>
      </c>
      <c r="F269" s="30"/>
      <c r="G269" s="30"/>
      <c r="J269" s="30" t="str">
        <v>tengah</v>
      </c>
      <c r="K269" s="30"/>
      <c r="L269" s="30"/>
      <c r="O269" s="30" t="str">
        <v>tengah</v>
      </c>
      <c r="P269" s="30"/>
      <c r="Q269" s="30"/>
      <c r="T269" s="30" t="str">
        <v>tengah</v>
      </c>
      <c r="U269" s="30"/>
      <c r="V269" s="30"/>
    </row>
    <row r="270" spans="5:22">
      <c r="E270" s="30" t="str">
        <v>kanan</v>
      </c>
      <c r="F270" s="30"/>
      <c r="G270" s="30"/>
      <c r="J270" s="30" t="str">
        <v>tengah</v>
      </c>
      <c r="K270" s="30"/>
      <c r="L270" s="30"/>
      <c r="O270" s="30" t="str">
        <v>tengah</v>
      </c>
      <c r="P270" s="30"/>
      <c r="Q270" s="30"/>
      <c r="T270" s="30" t="str">
        <v>kanan</v>
      </c>
      <c r="U270" s="30"/>
      <c r="V270" s="30"/>
    </row>
    <row r="271" spans="5:22">
      <c r="E271" s="30" t="str">
        <v>tengah</v>
      </c>
      <c r="F271" s="30"/>
      <c r="G271" s="30"/>
      <c r="J271" s="30" t="str">
        <v>kiri</v>
      </c>
      <c r="K271" s="30"/>
      <c r="L271" s="30"/>
      <c r="O271" s="30" t="str">
        <v>tengah</v>
      </c>
      <c r="P271" s="30"/>
      <c r="Q271" s="30"/>
      <c r="T271" s="30" t="str">
        <v>tengah</v>
      </c>
      <c r="U271" s="30"/>
      <c r="V271" s="30"/>
    </row>
    <row r="272" spans="5:22">
      <c r="E272" s="30" t="str">
        <v>kiri</v>
      </c>
      <c r="F272" s="30"/>
      <c r="G272" s="30"/>
      <c r="J272" s="30" t="str">
        <v>kanan</v>
      </c>
      <c r="K272" s="30"/>
      <c r="L272" s="30"/>
      <c r="O272" s="30" t="str">
        <v>tengah</v>
      </c>
      <c r="P272" s="30"/>
      <c r="Q272" s="30"/>
      <c r="T272" s="30" t="str">
        <v>kanan</v>
      </c>
      <c r="U272" s="30"/>
      <c r="V272" s="30"/>
    </row>
    <row r="273" spans="5:22">
      <c r="E273" s="30" t="str">
        <v>kiri</v>
      </c>
      <c r="F273" s="30"/>
      <c r="G273" s="30"/>
      <c r="J273" s="30" t="str">
        <v>tengah</v>
      </c>
      <c r="K273" s="30"/>
      <c r="L273" s="30"/>
      <c r="O273" s="30" t="str">
        <v>kanan</v>
      </c>
      <c r="P273" s="30"/>
      <c r="Q273" s="30"/>
      <c r="T273" s="30" t="str">
        <v>tengah</v>
      </c>
      <c r="U273" s="30"/>
      <c r="V273" s="30"/>
    </row>
    <row r="274" spans="5:22">
      <c r="E274" s="30" t="str">
        <v>tengah</v>
      </c>
      <c r="F274" s="30"/>
      <c r="G274" s="30"/>
      <c r="J274" s="30" t="str">
        <v>tengah</v>
      </c>
      <c r="K274" s="30"/>
      <c r="L274" s="30"/>
      <c r="O274" s="30" t="str">
        <v>kanan</v>
      </c>
      <c r="P274" s="30"/>
      <c r="Q274" s="30"/>
      <c r="T274" s="30" t="str">
        <v>kanan</v>
      </c>
      <c r="U274" s="30"/>
      <c r="V274" s="30"/>
    </row>
    <row r="275" spans="5:22">
      <c r="E275" s="30" t="str">
        <v>tengah</v>
      </c>
      <c r="F275" s="30"/>
      <c r="G275" s="30"/>
      <c r="J275" s="30" t="str">
        <v>kiri</v>
      </c>
      <c r="K275" s="30"/>
      <c r="L275" s="30"/>
      <c r="O275" s="30" t="str">
        <v>tengah</v>
      </c>
      <c r="P275" s="30"/>
      <c r="Q275" s="30"/>
      <c r="T275" s="30" t="str">
        <v>kanan</v>
      </c>
      <c r="U275" s="30"/>
      <c r="V275" s="30"/>
    </row>
    <row r="276" spans="5:22">
      <c r="E276" s="30" t="str">
        <v>tengah</v>
      </c>
      <c r="F276" s="30"/>
      <c r="G276" s="30"/>
      <c r="J276" s="30" t="str">
        <v>kiri</v>
      </c>
      <c r="K276" s="30"/>
      <c r="L276" s="30"/>
      <c r="O276" s="30" t="str">
        <v>tengah</v>
      </c>
      <c r="P276" s="30"/>
      <c r="Q276" s="30"/>
      <c r="T276" s="30" t="str">
        <v>kanan</v>
      </c>
      <c r="U276" s="30"/>
      <c r="V276" s="30"/>
    </row>
    <row r="277" spans="5:22">
      <c r="E277" s="30" t="str">
        <v>tengah</v>
      </c>
      <c r="F277" s="30"/>
      <c r="G277" s="30"/>
      <c r="J277" s="30" t="str">
        <v>tengah</v>
      </c>
      <c r="K277" s="30"/>
      <c r="L277" s="30"/>
      <c r="O277" s="30" t="str">
        <v>tengah</v>
      </c>
      <c r="P277" s="30"/>
      <c r="Q277" s="30"/>
      <c r="T277" s="30" t="str">
        <v>tengah</v>
      </c>
      <c r="U277" s="30"/>
      <c r="V277" s="30"/>
    </row>
    <row r="278" spans="5:22">
      <c r="E278" s="30" t="str">
        <v>tengah</v>
      </c>
      <c r="F278" s="30"/>
      <c r="G278" s="30"/>
      <c r="J278" s="30" t="str">
        <v>kiri</v>
      </c>
      <c r="K278" s="30"/>
      <c r="L278" s="30"/>
      <c r="O278" s="30" t="str">
        <v>kanan</v>
      </c>
      <c r="P278" s="30"/>
      <c r="Q278" s="30"/>
      <c r="T278" s="30" t="str">
        <v>kanan</v>
      </c>
      <c r="U278" s="30"/>
      <c r="V278" s="30"/>
    </row>
    <row r="279" spans="5:22">
      <c r="E279" s="30" t="str">
        <v>kanan</v>
      </c>
      <c r="F279" s="30"/>
      <c r="G279" s="30"/>
      <c r="J279" s="30" t="str">
        <v>tengah</v>
      </c>
      <c r="K279" s="30"/>
      <c r="L279" s="30"/>
      <c r="O279" s="30" t="str">
        <v>tengah</v>
      </c>
      <c r="P279" s="30"/>
      <c r="Q279" s="30"/>
      <c r="T279" s="30" t="str">
        <v>kanan</v>
      </c>
      <c r="U279" s="30"/>
      <c r="V279" s="30"/>
    </row>
    <row r="280" spans="5:22">
      <c r="E280" s="30" t="str">
        <v>tengah</v>
      </c>
      <c r="F280" s="30"/>
      <c r="G280" s="30"/>
      <c r="J280" s="30" t="str">
        <v>tengah</v>
      </c>
      <c r="K280" s="30"/>
      <c r="L280" s="30"/>
      <c r="O280" s="30" t="str">
        <v>tengah</v>
      </c>
      <c r="P280" s="30"/>
      <c r="Q280" s="30"/>
      <c r="T280" s="30" t="str">
        <v>kanan</v>
      </c>
      <c r="U280" s="30"/>
      <c r="V280" s="30"/>
    </row>
    <row r="281" spans="5:22">
      <c r="E281" s="30" t="str">
        <v>kiri</v>
      </c>
      <c r="F281" s="30"/>
      <c r="G281" s="30"/>
      <c r="J281" s="30" t="str">
        <v>tengah</v>
      </c>
      <c r="K281" s="30"/>
      <c r="L281" s="30"/>
      <c r="O281" s="30" t="str">
        <v>tengah</v>
      </c>
      <c r="P281" s="30"/>
      <c r="Q281" s="30"/>
      <c r="T281" s="30" t="str">
        <v>tengah</v>
      </c>
      <c r="U281" s="30"/>
      <c r="V281" s="30"/>
    </row>
    <row r="282" spans="5:22">
      <c r="E282" s="30" t="str">
        <v>kanan</v>
      </c>
      <c r="F282" s="30"/>
      <c r="G282" s="30"/>
      <c r="J282" s="30" t="str">
        <v>tengah</v>
      </c>
      <c r="K282" s="30"/>
      <c r="L282" s="30"/>
      <c r="O282" s="30" t="str">
        <v>tengah</v>
      </c>
      <c r="P282" s="30"/>
      <c r="Q282" s="30"/>
      <c r="T282" s="30" t="str">
        <v>kanan</v>
      </c>
      <c r="U282" s="30"/>
      <c r="V282" s="30"/>
    </row>
    <row r="283" spans="5:22">
      <c r="E283" s="30" t="str">
        <v>tengah</v>
      </c>
      <c r="F283" s="30"/>
      <c r="G283" s="30"/>
      <c r="J283" s="30" t="str">
        <v>tengah</v>
      </c>
      <c r="K283" s="30"/>
      <c r="L283" s="30"/>
      <c r="O283" s="30" t="str">
        <v>tengah</v>
      </c>
      <c r="P283" s="30"/>
      <c r="Q283" s="30"/>
      <c r="T283" s="30" t="str">
        <v>kanan</v>
      </c>
      <c r="U283" s="30"/>
      <c r="V283" s="30"/>
    </row>
    <row r="284" spans="5:22">
      <c r="E284" s="30" t="str">
        <v>tengah</v>
      </c>
      <c r="F284" s="30"/>
      <c r="G284" s="30"/>
      <c r="J284" s="30" t="str">
        <v>tengah</v>
      </c>
      <c r="K284" s="30"/>
      <c r="L284" s="30"/>
      <c r="O284" s="30" t="str">
        <v>tengah</v>
      </c>
      <c r="P284" s="30"/>
      <c r="Q284" s="30"/>
      <c r="T284" s="30" t="str">
        <v>tengah</v>
      </c>
      <c r="U284" s="30"/>
      <c r="V284" s="30"/>
    </row>
    <row r="285" spans="5:22">
      <c r="E285" s="30" t="str">
        <v>tengah</v>
      </c>
      <c r="F285" s="30"/>
      <c r="G285" s="30"/>
      <c r="J285" s="30" t="str">
        <v>tengah</v>
      </c>
      <c r="K285" s="30"/>
      <c r="L285" s="30"/>
      <c r="O285" s="30" t="str">
        <v>kanan</v>
      </c>
      <c r="P285" s="30"/>
      <c r="Q285" s="30"/>
      <c r="T285" s="30" t="str">
        <v>kanan</v>
      </c>
      <c r="U285" s="30"/>
      <c r="V285" s="30"/>
    </row>
    <row r="286" spans="5:22">
      <c r="E286" s="30" t="str">
        <v>tengah</v>
      </c>
      <c r="F286" s="30"/>
      <c r="G286" s="30"/>
      <c r="J286" s="30" t="str">
        <v>kanan</v>
      </c>
      <c r="K286" s="30"/>
      <c r="L286" s="30"/>
      <c r="O286" s="30" t="str">
        <v>tengah</v>
      </c>
      <c r="P286" s="30"/>
      <c r="Q286" s="30"/>
      <c r="T286" s="30" t="str">
        <v>kanan</v>
      </c>
      <c r="U286" s="30"/>
      <c r="V286" s="30"/>
    </row>
    <row r="287" spans="5:22">
      <c r="E287" s="30" t="str">
        <v>tengah</v>
      </c>
      <c r="F287" s="30"/>
      <c r="G287" s="30"/>
      <c r="J287" s="30" t="str">
        <v>kanan</v>
      </c>
      <c r="K287" s="30"/>
      <c r="L287" s="30"/>
      <c r="O287" s="30" t="str">
        <v>tengah</v>
      </c>
      <c r="P287" s="30"/>
      <c r="Q287" s="30"/>
      <c r="T287" s="30" t="str">
        <v>tengah</v>
      </c>
      <c r="U287" s="30"/>
      <c r="V287" s="30"/>
    </row>
    <row r="288" spans="5:22">
      <c r="E288" s="30" t="str">
        <v>tengah</v>
      </c>
      <c r="F288" s="30"/>
      <c r="G288" s="30"/>
      <c r="J288" s="30" t="str">
        <v>kanan</v>
      </c>
      <c r="K288" s="30"/>
      <c r="L288" s="30"/>
      <c r="O288" s="30" t="str">
        <v>tengah</v>
      </c>
      <c r="P288" s="30"/>
      <c r="Q288" s="30"/>
      <c r="T288" s="30" t="str">
        <v>tengah</v>
      </c>
      <c r="U288" s="30"/>
      <c r="V288" s="30"/>
    </row>
    <row r="289" spans="5:22">
      <c r="E289" s="30" t="str">
        <v>tengah</v>
      </c>
      <c r="F289" s="30"/>
      <c r="G289" s="30"/>
      <c r="J289" s="30" t="str">
        <v>kiri</v>
      </c>
      <c r="K289" s="30"/>
      <c r="L289" s="30"/>
      <c r="O289" s="30" t="str">
        <v>kanan</v>
      </c>
      <c r="P289" s="30"/>
      <c r="Q289" s="30"/>
      <c r="T289" s="30" t="str">
        <v>tengah</v>
      </c>
      <c r="U289" s="30"/>
      <c r="V289" s="30"/>
    </row>
    <row r="290" spans="5:22">
      <c r="E290" s="30" t="str">
        <v>kiri</v>
      </c>
      <c r="F290" s="30"/>
      <c r="G290" s="30"/>
      <c r="J290" s="30" t="str">
        <v>tengah</v>
      </c>
      <c r="K290" s="30"/>
      <c r="L290" s="30"/>
      <c r="O290" s="30" t="str">
        <v>kanan</v>
      </c>
      <c r="P290" s="30"/>
      <c r="Q290" s="30"/>
      <c r="T290" s="30" t="str">
        <v>tengah</v>
      </c>
      <c r="U290" s="30"/>
      <c r="V290" s="30"/>
    </row>
    <row r="291" spans="5:22">
      <c r="E291" s="30" t="str">
        <v>kanan</v>
      </c>
      <c r="F291" s="30"/>
      <c r="G291" s="30"/>
      <c r="J291" s="30" t="str">
        <v>tengah</v>
      </c>
      <c r="K291" s="30"/>
      <c r="L291" s="30"/>
      <c r="O291" s="30" t="str">
        <v>kanan</v>
      </c>
      <c r="P291" s="30"/>
      <c r="Q291" s="30"/>
      <c r="T291" s="30" t="str">
        <v>kanan</v>
      </c>
      <c r="U291" s="30"/>
      <c r="V291" s="30"/>
    </row>
    <row r="292" spans="5:22">
      <c r="E292" s="30" t="str">
        <v>kiri</v>
      </c>
      <c r="F292" s="30"/>
      <c r="G292" s="30"/>
      <c r="J292" s="30" t="str">
        <v>tengah</v>
      </c>
      <c r="K292" s="30"/>
      <c r="L292" s="30"/>
      <c r="O292" s="30" t="str">
        <v>kanan</v>
      </c>
      <c r="P292" s="30"/>
      <c r="Q292" s="30"/>
      <c r="T292" s="30" t="str">
        <v>kanan</v>
      </c>
      <c r="U292" s="30"/>
      <c r="V292" s="30"/>
    </row>
    <row r="293" spans="5:22">
      <c r="E293" s="30" t="str">
        <v>kanan</v>
      </c>
      <c r="F293" s="30"/>
      <c r="G293" s="30"/>
      <c r="J293" s="30" t="str">
        <v>kanan</v>
      </c>
      <c r="K293" s="30"/>
      <c r="L293" s="30"/>
      <c r="O293" s="30" t="str">
        <v>tengah</v>
      </c>
      <c r="P293" s="30"/>
      <c r="Q293" s="30"/>
      <c r="T293" s="30" t="str">
        <v>kanan</v>
      </c>
      <c r="U293" s="30"/>
      <c r="V293" s="30"/>
    </row>
    <row r="294" spans="5:22">
      <c r="E294" s="30" t="str">
        <v>tengah</v>
      </c>
      <c r="F294" s="30"/>
      <c r="G294" s="30"/>
      <c r="J294" s="30" t="str">
        <v>kanan</v>
      </c>
      <c r="K294" s="30"/>
      <c r="L294" s="30"/>
      <c r="O294" s="30" t="str">
        <v>tengah</v>
      </c>
      <c r="P294" s="30"/>
      <c r="Q294" s="30"/>
      <c r="T294" s="30" t="str">
        <v>kanan</v>
      </c>
      <c r="U294" s="30"/>
      <c r="V294" s="30"/>
    </row>
    <row r="295" spans="5:22">
      <c r="E295" s="30" t="str">
        <v>tengah</v>
      </c>
      <c r="F295" s="30"/>
      <c r="G295" s="30"/>
      <c r="J295" s="30" t="str">
        <v>tengah</v>
      </c>
      <c r="K295" s="30"/>
      <c r="L295" s="30"/>
      <c r="O295" s="30" t="str">
        <v>kiri</v>
      </c>
      <c r="P295" s="30"/>
      <c r="Q295" s="30"/>
      <c r="T295" s="30" t="str">
        <v>kanan</v>
      </c>
      <c r="U295" s="30"/>
      <c r="V295" s="30"/>
    </row>
    <row r="296" spans="5:22">
      <c r="E296" s="30" t="str">
        <v>tengah</v>
      </c>
      <c r="F296" s="30"/>
      <c r="G296" s="30"/>
      <c r="J296" s="30" t="str">
        <v>tengah</v>
      </c>
      <c r="K296" s="30"/>
      <c r="L296" s="30"/>
      <c r="O296" s="30" t="str">
        <v>tengah</v>
      </c>
      <c r="P296" s="30"/>
      <c r="Q296" s="30"/>
      <c r="T296" s="30" t="str">
        <v>kanan</v>
      </c>
      <c r="U296" s="30"/>
      <c r="V296" s="30"/>
    </row>
    <row r="297" spans="5:22">
      <c r="E297" s="30" t="str">
        <v>tengah</v>
      </c>
      <c r="F297" s="30"/>
      <c r="G297" s="30"/>
      <c r="J297" s="30" t="str">
        <v>tengah</v>
      </c>
      <c r="K297" s="30"/>
      <c r="L297" s="30"/>
      <c r="O297" s="30" t="str">
        <v>tengah</v>
      </c>
      <c r="P297" s="30"/>
      <c r="Q297" s="30"/>
      <c r="T297" s="30" t="str">
        <v>tengah</v>
      </c>
      <c r="U297" s="30"/>
      <c r="V297" s="30"/>
    </row>
    <row r="298" spans="5:22">
      <c r="E298" s="30" t="str">
        <v>tengah</v>
      </c>
      <c r="F298" s="30"/>
      <c r="G298" s="30"/>
      <c r="J298" s="30" t="str">
        <v>kiri</v>
      </c>
      <c r="K298" s="30"/>
      <c r="L298" s="30"/>
      <c r="O298" s="30" t="str">
        <v>tengah</v>
      </c>
      <c r="P298" s="30"/>
      <c r="Q298" s="30"/>
      <c r="T298" s="30" t="str">
        <v>tengah</v>
      </c>
      <c r="U298" s="30"/>
      <c r="V298" s="30"/>
    </row>
    <row r="299" spans="5:22">
      <c r="E299" s="30" t="str">
        <v>kanan</v>
      </c>
      <c r="F299" s="30"/>
      <c r="G299" s="30"/>
      <c r="J299" s="30" t="str">
        <v>kiri</v>
      </c>
      <c r="K299" s="30"/>
      <c r="L299" s="30"/>
      <c r="O299" s="30" t="str">
        <v>kanan</v>
      </c>
      <c r="P299" s="30"/>
      <c r="Q299" s="30"/>
      <c r="T299" s="30" t="str">
        <v>kanan</v>
      </c>
      <c r="U299" s="30"/>
      <c r="V299" s="30"/>
    </row>
    <row r="300" spans="5:22">
      <c r="E300" s="30" t="str">
        <v>kanan</v>
      </c>
      <c r="F300" s="30"/>
      <c r="G300" s="30"/>
      <c r="J300" s="30" t="str">
        <v>kanan</v>
      </c>
      <c r="K300" s="30"/>
      <c r="L300" s="30"/>
      <c r="O300" s="30" t="str">
        <v>kiri</v>
      </c>
      <c r="P300" s="30"/>
      <c r="Q300" s="30"/>
      <c r="T300" s="30" t="str">
        <v>kanan</v>
      </c>
      <c r="U300" s="30"/>
      <c r="V300" s="30"/>
    </row>
    <row r="301" spans="5:22">
      <c r="E301" s="30" t="str">
        <v>tengah</v>
      </c>
      <c r="F301" s="30"/>
      <c r="G301" s="30"/>
      <c r="J301" s="30" t="str">
        <v>kanan</v>
      </c>
      <c r="K301" s="30"/>
      <c r="L301" s="30"/>
      <c r="O301" s="30" t="str">
        <v>tengah</v>
      </c>
      <c r="P301" s="30"/>
      <c r="Q301" s="30"/>
      <c r="T301" s="30" t="str">
        <v>tengah</v>
      </c>
      <c r="U301" s="30"/>
      <c r="V301" s="30"/>
    </row>
    <row r="302" spans="5:22">
      <c r="E302" s="30" t="str">
        <v>kiri</v>
      </c>
      <c r="F302" s="30"/>
      <c r="G302" s="30"/>
      <c r="J302" s="30" t="str">
        <v>tengah</v>
      </c>
      <c r="K302" s="30"/>
      <c r="L302" s="30"/>
      <c r="O302" s="30" t="str">
        <v>tengah</v>
      </c>
      <c r="P302" s="30"/>
      <c r="Q302" s="30"/>
      <c r="T302" s="30" t="str">
        <v>kanan</v>
      </c>
      <c r="U302" s="30"/>
      <c r="V302" s="30"/>
    </row>
    <row r="303" spans="5:22">
      <c r="E303" s="30" t="str">
        <v>kanan</v>
      </c>
      <c r="F303" s="30"/>
      <c r="G303" s="30"/>
      <c r="J303" s="30" t="str">
        <v>tengah</v>
      </c>
      <c r="K303" s="30"/>
      <c r="L303" s="30"/>
      <c r="O303" s="30" t="str">
        <v>tengah</v>
      </c>
      <c r="P303" s="30"/>
      <c r="Q303" s="30"/>
      <c r="T303" s="30" t="str">
        <v>tengah</v>
      </c>
      <c r="U303" s="30"/>
      <c r="V303" s="30"/>
    </row>
    <row r="304" spans="5:22">
      <c r="E304" s="30" t="str">
        <v>tengah</v>
      </c>
      <c r="F304" s="30"/>
      <c r="G304" s="30"/>
      <c r="J304" s="30" t="str">
        <v>tengah</v>
      </c>
      <c r="K304" s="30"/>
      <c r="L304" s="30"/>
      <c r="O304" s="30" t="str">
        <v>kanan</v>
      </c>
      <c r="P304" s="30"/>
      <c r="Q304" s="30"/>
      <c r="T304" s="30" t="str">
        <v>tengah</v>
      </c>
      <c r="U304" s="30"/>
      <c r="V304" s="30"/>
    </row>
    <row r="305" spans="5:22">
      <c r="E305" s="30" t="str">
        <v>tengah</v>
      </c>
      <c r="F305" s="30"/>
      <c r="G305" s="30"/>
      <c r="J305" s="30" t="str">
        <v>kiri</v>
      </c>
      <c r="K305" s="30"/>
      <c r="L305" s="30"/>
      <c r="O305" s="30" t="str">
        <v>kiri</v>
      </c>
      <c r="P305" s="30"/>
      <c r="Q305" s="30"/>
      <c r="T305" s="30" t="str">
        <v>tengah</v>
      </c>
      <c r="U305" s="30"/>
      <c r="V305" s="30"/>
    </row>
    <row r="306" spans="5:22">
      <c r="E306" s="30" t="str">
        <v>kiri</v>
      </c>
      <c r="F306" s="30"/>
      <c r="G306" s="30"/>
      <c r="J306" s="30" t="str">
        <v>tengah</v>
      </c>
      <c r="K306" s="30"/>
      <c r="L306" s="30"/>
      <c r="O306" s="30" t="str">
        <v>kiri</v>
      </c>
      <c r="P306" s="30"/>
      <c r="Q306" s="30"/>
      <c r="T306" s="30" t="str">
        <v>tengah</v>
      </c>
      <c r="U306" s="30"/>
      <c r="V306" s="30"/>
    </row>
    <row r="307" spans="5:22">
      <c r="E307" s="30" t="str">
        <v>tengah</v>
      </c>
      <c r="F307" s="30"/>
      <c r="G307" s="30"/>
      <c r="J307" s="30" t="str">
        <v>tengah</v>
      </c>
      <c r="K307" s="30"/>
      <c r="L307" s="30"/>
      <c r="O307" s="30" t="str">
        <v>kiri</v>
      </c>
      <c r="P307" s="30"/>
      <c r="Q307" s="30"/>
      <c r="T307" s="30" t="str">
        <v>kanan</v>
      </c>
      <c r="U307" s="30"/>
      <c r="V307" s="30"/>
    </row>
    <row r="308" spans="5:22">
      <c r="E308" s="30" t="str">
        <v>tengah</v>
      </c>
      <c r="F308" s="30"/>
      <c r="G308" s="30"/>
      <c r="J308" s="30" t="str">
        <v>kanan</v>
      </c>
      <c r="K308" s="30"/>
      <c r="L308" s="30"/>
      <c r="O308" s="30" t="str">
        <v>kiri</v>
      </c>
      <c r="P308" s="30"/>
      <c r="Q308" s="30"/>
      <c r="T308" s="30" t="str">
        <v>tengah</v>
      </c>
      <c r="U308" s="30"/>
      <c r="V308" s="30"/>
    </row>
    <row r="309" spans="5:22">
      <c r="E309" s="30" t="str">
        <v>tengah</v>
      </c>
      <c r="F309" s="30"/>
      <c r="G309" s="30"/>
      <c r="J309" s="30" t="str">
        <v>kanan</v>
      </c>
      <c r="K309" s="30"/>
      <c r="L309" s="30"/>
      <c r="O309" s="30" t="str">
        <v>tengah</v>
      </c>
      <c r="P309" s="30"/>
      <c r="Q309" s="30"/>
      <c r="T309" s="30" t="str">
        <v>kanan</v>
      </c>
      <c r="U309" s="30"/>
      <c r="V309" s="30"/>
    </row>
    <row r="310" spans="5:22">
      <c r="E310" s="30" t="str">
        <v>kiri</v>
      </c>
      <c r="F310" s="30"/>
      <c r="G310" s="30"/>
      <c r="J310" s="30" t="str">
        <v>kiri</v>
      </c>
      <c r="K310" s="30"/>
      <c r="L310" s="30"/>
      <c r="O310" s="30" t="str">
        <v>kanan</v>
      </c>
      <c r="P310" s="30"/>
      <c r="Q310" s="30"/>
      <c r="T310" s="30" t="str">
        <v>kanan</v>
      </c>
      <c r="U310" s="30"/>
      <c r="V310" s="30"/>
    </row>
    <row r="311" spans="5:22">
      <c r="E311" s="30" t="str">
        <v>tengah</v>
      </c>
      <c r="F311" s="30"/>
      <c r="G311" s="30"/>
      <c r="J311" s="30" t="str">
        <v>kiri</v>
      </c>
      <c r="K311" s="30"/>
      <c r="L311" s="30"/>
      <c r="O311" s="30" t="str">
        <v>tengah</v>
      </c>
      <c r="P311" s="30"/>
      <c r="Q311" s="30"/>
      <c r="T311" s="30" t="str">
        <v>tengah</v>
      </c>
      <c r="U311" s="30"/>
      <c r="V311" s="30"/>
    </row>
    <row r="312" spans="5:22">
      <c r="E312" s="30" t="str">
        <v>tengah</v>
      </c>
      <c r="F312" s="30"/>
      <c r="G312" s="30"/>
      <c r="J312" s="30" t="str">
        <v>kanan</v>
      </c>
      <c r="K312" s="30"/>
      <c r="L312" s="30"/>
      <c r="O312" s="30" t="str">
        <v>tengah</v>
      </c>
      <c r="P312" s="30"/>
      <c r="Q312" s="30"/>
      <c r="T312" s="30" t="str">
        <v>kanan</v>
      </c>
      <c r="U312" s="30"/>
      <c r="V312" s="30"/>
    </row>
    <row r="313" spans="5:22">
      <c r="E313" s="30" t="str">
        <v>kanan</v>
      </c>
      <c r="F313" s="30"/>
      <c r="G313" s="30"/>
      <c r="J313" s="30" t="str">
        <v>kanan</v>
      </c>
      <c r="K313" s="30"/>
      <c r="L313" s="30"/>
      <c r="O313" s="30" t="str">
        <v>tengah</v>
      </c>
      <c r="P313" s="30"/>
      <c r="Q313" s="30"/>
      <c r="T313" s="30" t="str">
        <v>kanan</v>
      </c>
      <c r="U313" s="30"/>
      <c r="V313" s="30"/>
    </row>
    <row r="314" spans="5:22">
      <c r="E314" s="30" t="str">
        <v>tengah</v>
      </c>
      <c r="F314" s="30"/>
      <c r="G314" s="30"/>
      <c r="J314" s="30" t="str">
        <v>tengah</v>
      </c>
      <c r="K314" s="30"/>
      <c r="L314" s="30"/>
      <c r="O314" s="30" t="str">
        <v>kiri</v>
      </c>
      <c r="P314" s="30"/>
      <c r="Q314" s="30"/>
      <c r="T314" s="30" t="str">
        <v>kanan</v>
      </c>
      <c r="U314" s="30"/>
      <c r="V314" s="30"/>
    </row>
    <row r="315" spans="5:22">
      <c r="E315" s="30" t="str">
        <v>tengah</v>
      </c>
      <c r="F315" s="30"/>
      <c r="G315" s="30"/>
      <c r="J315" s="30" t="str">
        <v>kanan</v>
      </c>
      <c r="K315" s="30"/>
      <c r="L315" s="30"/>
      <c r="O315" s="30" t="str">
        <v>tengah</v>
      </c>
      <c r="P315" s="30"/>
      <c r="Q315" s="30"/>
      <c r="T315" s="30" t="str">
        <v>tengah</v>
      </c>
      <c r="U315" s="30"/>
      <c r="V315" s="30"/>
    </row>
    <row r="316" spans="5:22">
      <c r="E316" s="30" t="str">
        <v>kiri</v>
      </c>
      <c r="F316" s="30"/>
      <c r="G316" s="30"/>
      <c r="J316" s="30" t="str">
        <v>tengah</v>
      </c>
      <c r="K316" s="30"/>
      <c r="L316" s="30"/>
      <c r="O316" s="30" t="str">
        <v>kiri</v>
      </c>
      <c r="P316" s="30"/>
      <c r="Q316" s="30"/>
      <c r="T316" s="30" t="str">
        <v>tengah</v>
      </c>
      <c r="U316" s="30"/>
      <c r="V316" s="30"/>
    </row>
    <row r="317" spans="5:22">
      <c r="E317" s="30" t="str">
        <v>tengah</v>
      </c>
      <c r="F317" s="30"/>
      <c r="G317" s="30"/>
      <c r="J317" s="30" t="str">
        <v>kiri</v>
      </c>
      <c r="K317" s="30"/>
      <c r="L317" s="30"/>
      <c r="O317" s="30" t="str">
        <v>tengah</v>
      </c>
      <c r="P317" s="30"/>
      <c r="Q317" s="30"/>
      <c r="T317" s="30" t="str">
        <v>kanan</v>
      </c>
      <c r="U317" s="30"/>
      <c r="V317" s="30"/>
    </row>
    <row r="318" spans="5:22">
      <c r="E318" s="30" t="str">
        <v>kanan</v>
      </c>
      <c r="F318" s="30"/>
      <c r="G318" s="30"/>
      <c r="J318" s="30" t="str">
        <v>tengah</v>
      </c>
      <c r="K318" s="30"/>
      <c r="L318" s="30"/>
      <c r="O318" s="30" t="str">
        <v>tengah</v>
      </c>
      <c r="P318" s="30"/>
      <c r="Q318" s="30"/>
      <c r="T318" s="30" t="str">
        <v>tengah</v>
      </c>
      <c r="U318" s="30"/>
      <c r="V318" s="30"/>
    </row>
    <row r="319" spans="5:22">
      <c r="E319" s="30" t="str">
        <v>kiri</v>
      </c>
      <c r="F319" s="30"/>
      <c r="G319" s="30"/>
      <c r="J319" s="30" t="str">
        <v>kanan</v>
      </c>
      <c r="K319" s="30"/>
      <c r="L319" s="30"/>
      <c r="O319" s="30" t="str">
        <v>kiri</v>
      </c>
      <c r="P319" s="30"/>
      <c r="Q319" s="30"/>
      <c r="T319" s="30" t="str">
        <v>tengah</v>
      </c>
      <c r="U319" s="30"/>
      <c r="V319" s="30"/>
    </row>
    <row r="320" spans="5:22">
      <c r="E320" s="30" t="str">
        <v>tengah</v>
      </c>
      <c r="F320" s="30"/>
      <c r="G320" s="30"/>
      <c r="J320" s="30" t="str">
        <v>tengah</v>
      </c>
      <c r="K320" s="30"/>
      <c r="L320" s="30"/>
      <c r="O320" s="30" t="str">
        <v>kanan</v>
      </c>
      <c r="P320" s="30"/>
      <c r="Q320" s="30"/>
      <c r="T320" s="30" t="str">
        <v>tengah</v>
      </c>
      <c r="U320" s="30"/>
      <c r="V320" s="30"/>
    </row>
    <row r="321" spans="5:22">
      <c r="E321" s="30" t="str">
        <v>tengah</v>
      </c>
      <c r="F321" s="30"/>
      <c r="G321" s="30"/>
      <c r="J321" s="30" t="str">
        <v>kanan</v>
      </c>
      <c r="K321" s="30"/>
      <c r="L321" s="30"/>
      <c r="O321" s="30" t="str">
        <v>tengah</v>
      </c>
      <c r="P321" s="30"/>
      <c r="Q321" s="30"/>
      <c r="T321" s="30" t="str">
        <v>kanan</v>
      </c>
      <c r="U321" s="30"/>
      <c r="V321" s="30"/>
    </row>
    <row r="322" spans="5:22">
      <c r="E322" s="30" t="str">
        <v>tengah</v>
      </c>
      <c r="F322" s="30"/>
      <c r="G322" s="30"/>
      <c r="J322" s="30" t="str">
        <v>tengah</v>
      </c>
      <c r="K322" s="30"/>
      <c r="L322" s="30"/>
      <c r="O322" s="30" t="str">
        <v>tengah</v>
      </c>
      <c r="P322" s="30"/>
      <c r="Q322" s="30"/>
      <c r="T322" s="30" t="str">
        <v>tengah</v>
      </c>
      <c r="U322" s="30"/>
      <c r="V322" s="30"/>
    </row>
    <row r="323" spans="5:22">
      <c r="E323" s="30" t="str">
        <v>tengah</v>
      </c>
      <c r="F323" s="30"/>
      <c r="G323" s="30"/>
      <c r="J323" s="30" t="str">
        <v>tengah</v>
      </c>
      <c r="K323" s="30"/>
      <c r="L323" s="30"/>
      <c r="O323" s="30" t="str">
        <v>tengah</v>
      </c>
      <c r="P323" s="30"/>
      <c r="Q323" s="30"/>
      <c r="T323" s="30" t="str">
        <v>tengah</v>
      </c>
      <c r="U323" s="30"/>
      <c r="V323" s="30"/>
    </row>
    <row r="324" spans="5:22">
      <c r="E324" s="30" t="str">
        <v>tengah</v>
      </c>
      <c r="F324" s="30"/>
      <c r="G324" s="30"/>
      <c r="J324" s="30" t="str">
        <v>tengah</v>
      </c>
      <c r="K324" s="30"/>
      <c r="L324" s="30"/>
      <c r="O324" s="30" t="str">
        <v>tengah</v>
      </c>
      <c r="P324" s="30"/>
      <c r="Q324" s="30"/>
      <c r="T324" s="30" t="str">
        <v>tengah</v>
      </c>
      <c r="U324" s="30"/>
      <c r="V324" s="30"/>
    </row>
    <row r="325" spans="5:22">
      <c r="E325" s="30" t="str">
        <v>tengah</v>
      </c>
      <c r="F325" s="30"/>
      <c r="G325" s="30"/>
      <c r="J325" s="30" t="str">
        <v>tengah</v>
      </c>
      <c r="K325" s="30"/>
      <c r="L325" s="30"/>
      <c r="O325" s="30" t="str">
        <v>kanan</v>
      </c>
      <c r="P325" s="30"/>
      <c r="Q325" s="30"/>
      <c r="T325" s="30" t="str">
        <v>tengah</v>
      </c>
      <c r="U325" s="30"/>
      <c r="V325" s="30"/>
    </row>
    <row r="326" spans="5:22">
      <c r="E326" s="30" t="str">
        <v>tengah</v>
      </c>
      <c r="F326" s="30"/>
      <c r="G326" s="30"/>
      <c r="J326" s="30" t="str">
        <v>kanan</v>
      </c>
      <c r="K326" s="30"/>
      <c r="L326" s="30"/>
      <c r="O326" s="30" t="str">
        <v>tengah</v>
      </c>
      <c r="P326" s="30"/>
      <c r="Q326" s="30"/>
      <c r="T326" s="30" t="str">
        <v>kanan</v>
      </c>
      <c r="U326" s="30"/>
      <c r="V326" s="30"/>
    </row>
    <row r="327" spans="5:22">
      <c r="E327" s="30" t="str">
        <v>kiri</v>
      </c>
      <c r="F327" s="30"/>
      <c r="G327" s="30"/>
      <c r="J327" s="30" t="str">
        <v>kiri</v>
      </c>
      <c r="K327" s="30"/>
      <c r="L327" s="30"/>
      <c r="O327" s="30" t="str">
        <v>tengah</v>
      </c>
      <c r="P327" s="30"/>
      <c r="Q327" s="30"/>
      <c r="T327" s="30" t="str">
        <v>kanan</v>
      </c>
      <c r="U327" s="30"/>
      <c r="V327" s="30"/>
    </row>
    <row r="328" spans="5:22">
      <c r="E328" s="30" t="str">
        <v>kanan</v>
      </c>
      <c r="F328" s="30"/>
      <c r="G328" s="30"/>
      <c r="J328" s="30" t="str">
        <v>kanan</v>
      </c>
      <c r="K328" s="30"/>
      <c r="L328" s="30"/>
      <c r="O328" s="30" t="str">
        <v>tengah</v>
      </c>
      <c r="P328" s="30"/>
      <c r="Q328" s="30"/>
      <c r="T328" s="30" t="str">
        <v>kanan</v>
      </c>
      <c r="U328" s="30"/>
      <c r="V328" s="30"/>
    </row>
    <row r="329" spans="5:22">
      <c r="E329" s="30" t="str">
        <v>kiri</v>
      </c>
      <c r="F329" s="30"/>
      <c r="G329" s="30"/>
      <c r="J329" s="30" t="str">
        <v>kiri</v>
      </c>
      <c r="K329" s="30"/>
      <c r="L329" s="30"/>
      <c r="O329" s="30" t="str">
        <v>kanan</v>
      </c>
      <c r="P329" s="30"/>
      <c r="Q329" s="30"/>
      <c r="T329" s="30" t="str">
        <v>tengah</v>
      </c>
      <c r="U329" s="30"/>
      <c r="V329" s="30"/>
    </row>
    <row r="330" spans="5:22">
      <c r="E330" s="30" t="str">
        <v>kiri</v>
      </c>
      <c r="F330" s="30"/>
      <c r="G330" s="30"/>
      <c r="J330" s="30" t="str">
        <v>kiri</v>
      </c>
      <c r="K330" s="30"/>
      <c r="L330" s="30"/>
      <c r="O330" s="30" t="str">
        <v>kanan</v>
      </c>
      <c r="P330" s="30"/>
      <c r="Q330" s="30"/>
      <c r="T330" s="30" t="str">
        <v>kanan</v>
      </c>
      <c r="U330" s="30"/>
      <c r="V330" s="30"/>
    </row>
    <row r="331" spans="5:22">
      <c r="E331" s="30" t="str">
        <v>kiri</v>
      </c>
      <c r="F331" s="30"/>
      <c r="G331" s="30"/>
      <c r="J331" s="30" t="str">
        <v>tengah</v>
      </c>
      <c r="K331" s="30"/>
      <c r="L331" s="30"/>
      <c r="O331" s="30" t="str">
        <v>kanan</v>
      </c>
      <c r="P331" s="30"/>
      <c r="Q331" s="30"/>
      <c r="T331" s="30" t="str">
        <v>kanan</v>
      </c>
      <c r="U331" s="30"/>
      <c r="V331" s="30"/>
    </row>
    <row r="332" spans="5:22">
      <c r="E332" s="30" t="str">
        <v>kiri</v>
      </c>
      <c r="F332" s="30"/>
      <c r="G332" s="30"/>
      <c r="J332" s="30" t="str">
        <v>tengah</v>
      </c>
      <c r="K332" s="30"/>
      <c r="L332" s="30"/>
      <c r="O332" s="30" t="str">
        <v>tengah</v>
      </c>
      <c r="P332" s="30"/>
      <c r="Q332" s="30"/>
      <c r="T332" s="30" t="str">
        <v>kanan</v>
      </c>
      <c r="U332" s="30"/>
      <c r="V332" s="30"/>
    </row>
  </sheetData>
  <pageMargins left="0.7" right="0.7" top="0.75" bottom="0.75" header="0.3" footer="0.3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32"/>
  <sheetViews>
    <sheetView zoomScale="93" zoomScaleNormal="93" topLeftCell="O154" workbookViewId="0">
      <selection activeCell="O167" sqref="O167"/>
    </sheetView>
  </sheetViews>
  <sheetFormatPr defaultColWidth="9" defaultRowHeight="15"/>
  <cols>
    <col min="2" max="2" width="15.8518518518519" customWidth="1"/>
    <col min="3" max="3" width="16.7111111111111" customWidth="1"/>
    <col min="4" max="4" width="13.8518518518519" customWidth="1"/>
    <col min="6" max="6" width="14.4222222222222" customWidth="1"/>
    <col min="8" max="8" width="14.2814814814815" customWidth="1"/>
    <col min="9" max="9" width="13.2814814814815" customWidth="1"/>
    <col min="10" max="10" width="13.8518518518519" customWidth="1"/>
    <col min="13" max="13" width="14.4222222222222" customWidth="1"/>
    <col min="15" max="15" width="25.2814814814815" customWidth="1"/>
    <col min="16" max="16" width="12.8518518518519" customWidth="1"/>
    <col min="17" max="17" width="11.7111111111111" customWidth="1"/>
    <col min="20" max="20" width="14.4222222222222" customWidth="1"/>
  </cols>
  <sheetData>
    <row r="1" spans="1:17">
      <c r="A1" s="29" t="s">
        <v>175</v>
      </c>
      <c r="B1" s="29" t="s">
        <v>1</v>
      </c>
      <c r="C1" s="29" t="s">
        <v>2</v>
      </c>
      <c r="D1" s="29" t="s">
        <v>171</v>
      </c>
      <c r="E1" s="29" t="s">
        <v>4</v>
      </c>
      <c r="F1" s="29" t="s">
        <v>6</v>
      </c>
      <c r="H1" s="31" t="s">
        <v>175</v>
      </c>
      <c r="I1" s="31" t="s">
        <v>1</v>
      </c>
      <c r="J1" s="31" t="s">
        <v>2</v>
      </c>
      <c r="K1" s="31" t="s">
        <v>171</v>
      </c>
      <c r="L1" s="31" t="s">
        <v>4</v>
      </c>
      <c r="M1" s="31" t="s">
        <v>6</v>
      </c>
      <c r="O1" s="29" t="s">
        <v>176</v>
      </c>
      <c r="P1" s="32"/>
      <c r="Q1" s="32"/>
    </row>
    <row r="2" spans="1:17">
      <c r="A2" s="30">
        <f ca="1">RANDBETWEEN(2,164)</f>
        <v>43</v>
      </c>
      <c r="B2" s="30">
        <f ca="1" t="array" ref="B2">INDEX(Data_DBD!$B:$B,$A2)</f>
        <v>15</v>
      </c>
      <c r="C2" s="30">
        <f ca="1" t="array" ref="C2">INDEX(Data_DBD!$C:$C,$A2)</f>
        <v>4</v>
      </c>
      <c r="D2" s="30">
        <f ca="1" t="array" ref="D2">INDEX(Data_DBD!$D:$D,$A2)</f>
        <v>13</v>
      </c>
      <c r="E2" s="30">
        <f ca="1" t="array" ref="E2">INDEX(Data_DBD!$E:$E,$A2)</f>
        <v>0</v>
      </c>
      <c r="F2" s="30">
        <f ca="1" t="array" ref="F2">INDEX(Data_DBD!$F:$F,$A2)</f>
        <v>2</v>
      </c>
      <c r="H2" s="30">
        <v>47</v>
      </c>
      <c r="I2" s="30">
        <v>19</v>
      </c>
      <c r="J2" s="30">
        <v>2</v>
      </c>
      <c r="K2" s="30">
        <v>13</v>
      </c>
      <c r="L2" s="30">
        <v>0</v>
      </c>
      <c r="M2" s="30">
        <v>2</v>
      </c>
      <c r="O2" s="33">
        <v>1</v>
      </c>
      <c r="P2" s="32">
        <f>COUNTIF(M2:M164,"1")</f>
        <v>7</v>
      </c>
      <c r="Q2" s="32">
        <f>P2/163</f>
        <v>0.0429447852760736</v>
      </c>
    </row>
    <row r="3" spans="1:17">
      <c r="A3" s="30">
        <f ca="1" t="shared" ref="A3:A66" si="0">RANDBETWEEN(2,164)</f>
        <v>161</v>
      </c>
      <c r="B3" s="30">
        <f ca="1" t="array" ref="B3">INDEX(Data_DBD!$B:$B,$A3)</f>
        <v>12</v>
      </c>
      <c r="C3" s="30">
        <f ca="1" t="array" ref="C3">INDEX(Data_DBD!$C:$C,$A3)</f>
        <v>3</v>
      </c>
      <c r="D3" s="30">
        <f ca="1" t="array" ref="D3">INDEX(Data_DBD!$D:$D,$A3)</f>
        <v>21</v>
      </c>
      <c r="E3" s="30">
        <f ca="1" t="array" ref="E3">INDEX(Data_DBD!$E:$E,$A3)</f>
        <v>1</v>
      </c>
      <c r="F3" s="30">
        <f ca="1" t="array" ref="F3">INDEX(Data_DBD!$F:$F,$A3)</f>
        <v>3</v>
      </c>
      <c r="H3" s="30">
        <v>81</v>
      </c>
      <c r="I3" s="30">
        <v>23</v>
      </c>
      <c r="J3" s="30">
        <v>5</v>
      </c>
      <c r="K3" s="30">
        <v>13</v>
      </c>
      <c r="L3" s="30">
        <v>1</v>
      </c>
      <c r="M3" s="30">
        <v>2</v>
      </c>
      <c r="O3" s="32">
        <v>2</v>
      </c>
      <c r="P3" s="32">
        <f>COUNTIF(M2:M164,"2")</f>
        <v>84</v>
      </c>
      <c r="Q3" s="32">
        <f>P3/163</f>
        <v>0.515337423312883</v>
      </c>
    </row>
    <row r="4" spans="1:17">
      <c r="A4" s="30">
        <f ca="1" t="shared" si="0"/>
        <v>130</v>
      </c>
      <c r="B4" s="30">
        <f ca="1" t="array" ref="B4">INDEX(Data_DBD!$B:$B,$A4)</f>
        <v>12</v>
      </c>
      <c r="C4" s="30">
        <f ca="1" t="array" ref="C4">INDEX(Data_DBD!$C:$C,$A4)</f>
        <v>4</v>
      </c>
      <c r="D4" s="30">
        <f ca="1" t="array" ref="D4">INDEX(Data_DBD!$D:$D,$A4)</f>
        <v>33</v>
      </c>
      <c r="E4" s="30">
        <f ca="1" t="array" ref="E4">INDEX(Data_DBD!$E:$E,$A4)</f>
        <v>0</v>
      </c>
      <c r="F4" s="30">
        <f ca="1" t="array" ref="F4">INDEX(Data_DBD!$F:$F,$A4)</f>
        <v>3</v>
      </c>
      <c r="H4" s="30">
        <v>124</v>
      </c>
      <c r="I4" s="30">
        <v>24</v>
      </c>
      <c r="J4" s="30">
        <v>3</v>
      </c>
      <c r="K4" s="30">
        <v>33</v>
      </c>
      <c r="L4" s="30">
        <v>1</v>
      </c>
      <c r="M4" s="30">
        <v>3</v>
      </c>
      <c r="O4" s="32">
        <v>3</v>
      </c>
      <c r="P4" s="32">
        <f>COUNTIF(M2:M164,"3")</f>
        <v>72</v>
      </c>
      <c r="Q4" s="32">
        <f>P4/163</f>
        <v>0.441717791411043</v>
      </c>
    </row>
    <row r="5" spans="1:16">
      <c r="A5" s="30">
        <f ca="1" t="shared" si="0"/>
        <v>107</v>
      </c>
      <c r="B5" s="30">
        <f ca="1" t="array" ref="B5">INDEX(Data_DBD!$B:$B,$A5)</f>
        <v>48</v>
      </c>
      <c r="C5" s="30">
        <f ca="1" t="array" ref="C5">INDEX(Data_DBD!$C:$C,$A5)</f>
        <v>5</v>
      </c>
      <c r="D5" s="30">
        <f ca="1" t="array" ref="D5">INDEX(Data_DBD!$D:$D,$A5)</f>
        <v>18</v>
      </c>
      <c r="E5" s="30">
        <f ca="1" t="array" ref="E5">INDEX(Data_DBD!$E:$E,$A5)</f>
        <v>0</v>
      </c>
      <c r="F5" s="30">
        <f ca="1" t="array" ref="F5">INDEX(Data_DBD!$F:$F,$A5)</f>
        <v>3</v>
      </c>
      <c r="H5" s="30">
        <v>26</v>
      </c>
      <c r="I5" s="30">
        <v>75</v>
      </c>
      <c r="J5" s="30">
        <v>4</v>
      </c>
      <c r="K5" s="30">
        <v>14</v>
      </c>
      <c r="L5" s="30">
        <v>1</v>
      </c>
      <c r="M5" s="30">
        <v>2</v>
      </c>
      <c r="O5" s="34" t="s">
        <v>181</v>
      </c>
      <c r="P5">
        <f>-(IFERROR(Q2*LOG(Q2,2),0)+IFERROR(Q3*LOG(Q3,2),0)+IFERROR(Q4*LOG(Q4,2),0))</f>
        <v>1.20860086544785</v>
      </c>
    </row>
    <row r="6" spans="1:13">
      <c r="A6" s="30">
        <f ca="1" t="shared" si="0"/>
        <v>145</v>
      </c>
      <c r="B6" s="30">
        <f ca="1" t="array" ref="B6">INDEX(Data_DBD!$B:$B,$A6)</f>
        <v>28</v>
      </c>
      <c r="C6" s="30">
        <f ca="1" t="array" ref="C6">INDEX(Data_DBD!$C:$C,$A6)</f>
        <v>4</v>
      </c>
      <c r="D6" s="30">
        <f ca="1" t="array" ref="D6">INDEX(Data_DBD!$D:$D,$A6)</f>
        <v>21</v>
      </c>
      <c r="E6" s="30">
        <f ca="1" t="array" ref="E6">INDEX(Data_DBD!$E:$E,$A6)</f>
        <v>1</v>
      </c>
      <c r="F6" s="30">
        <f ca="1" t="array" ref="F6">INDEX(Data_DBD!$F:$F,$A6)</f>
        <v>3</v>
      </c>
      <c r="H6" s="30">
        <v>122</v>
      </c>
      <c r="I6" s="30">
        <v>28</v>
      </c>
      <c r="J6" s="30">
        <v>3</v>
      </c>
      <c r="K6" s="30">
        <v>33</v>
      </c>
      <c r="L6" s="30">
        <v>1</v>
      </c>
      <c r="M6" s="30">
        <v>3</v>
      </c>
    </row>
    <row r="7" spans="1:13">
      <c r="A7" s="30">
        <f ca="1" t="shared" si="0"/>
        <v>131</v>
      </c>
      <c r="B7" s="30">
        <f ca="1" t="array" ref="B7">INDEX(Data_DBD!$B:$B,$A7)</f>
        <v>10</v>
      </c>
      <c r="C7" s="30">
        <f ca="1" t="array" ref="C7">INDEX(Data_DBD!$C:$C,$A7)</f>
        <v>2</v>
      </c>
      <c r="D7" s="30">
        <f ca="1" t="array" ref="D7">INDEX(Data_DBD!$D:$D,$A7)</f>
        <v>33</v>
      </c>
      <c r="E7" s="30">
        <f ca="1" t="array" ref="E7">INDEX(Data_DBD!$E:$E,$A7)</f>
        <v>0</v>
      </c>
      <c r="F7" s="30">
        <f ca="1" t="array" ref="F7">INDEX(Data_DBD!$F:$F,$A7)</f>
        <v>3</v>
      </c>
      <c r="H7" s="30">
        <v>147</v>
      </c>
      <c r="I7" s="30">
        <v>66</v>
      </c>
      <c r="J7" s="30">
        <v>10</v>
      </c>
      <c r="K7" s="30">
        <v>21</v>
      </c>
      <c r="L7" s="30">
        <v>1</v>
      </c>
      <c r="M7" s="30">
        <v>3</v>
      </c>
    </row>
    <row r="8" spans="1:13">
      <c r="A8" s="30">
        <f ca="1" t="shared" si="0"/>
        <v>81</v>
      </c>
      <c r="B8" s="30">
        <f ca="1" t="array" ref="B8">INDEX(Data_DBD!$B:$B,$A8)</f>
        <v>23</v>
      </c>
      <c r="C8" s="30">
        <f ca="1" t="array" ref="C8">INDEX(Data_DBD!$C:$C,$A8)</f>
        <v>5</v>
      </c>
      <c r="D8" s="30">
        <f ca="1" t="array" ref="D8">INDEX(Data_DBD!$D:$D,$A8)</f>
        <v>13</v>
      </c>
      <c r="E8" s="30">
        <f ca="1" t="array" ref="E8">INDEX(Data_DBD!$E:$E,$A8)</f>
        <v>1</v>
      </c>
      <c r="F8" s="30">
        <f ca="1" t="array" ref="F8">INDEX(Data_DBD!$F:$F,$A8)</f>
        <v>2</v>
      </c>
      <c r="H8" s="30">
        <v>54</v>
      </c>
      <c r="I8" s="30">
        <v>7</v>
      </c>
      <c r="J8" s="30">
        <v>3</v>
      </c>
      <c r="K8" s="30">
        <v>15</v>
      </c>
      <c r="L8" s="30">
        <v>0</v>
      </c>
      <c r="M8" s="30">
        <v>2</v>
      </c>
    </row>
    <row r="9" spans="1:13">
      <c r="A9" s="30">
        <f ca="1" t="shared" si="0"/>
        <v>15</v>
      </c>
      <c r="B9" s="30">
        <f ca="1" t="array" ref="B9">INDEX(Data_DBD!$B:$B,$A9)</f>
        <v>21</v>
      </c>
      <c r="C9" s="30">
        <f ca="1" t="array" ref="C9">INDEX(Data_DBD!$C:$C,$A9)</f>
        <v>2</v>
      </c>
      <c r="D9" s="30">
        <f ca="1" t="array" ref="D9">INDEX(Data_DBD!$D:$D,$A9)</f>
        <v>7</v>
      </c>
      <c r="E9" s="30">
        <f ca="1" t="array" ref="E9">INDEX(Data_DBD!$E:$E,$A9)</f>
        <v>0</v>
      </c>
      <c r="F9" s="30">
        <f ca="1" t="array" ref="F9">INDEX(Data_DBD!$F:$F,$A9)</f>
        <v>1</v>
      </c>
      <c r="H9" s="30">
        <v>90</v>
      </c>
      <c r="I9" s="30">
        <v>47</v>
      </c>
      <c r="J9" s="30">
        <v>3</v>
      </c>
      <c r="K9" s="30">
        <v>18</v>
      </c>
      <c r="L9" s="30">
        <v>0</v>
      </c>
      <c r="M9" s="30">
        <v>3</v>
      </c>
    </row>
    <row r="10" spans="1:13">
      <c r="A10" s="30">
        <f ca="1" t="shared" si="0"/>
        <v>134</v>
      </c>
      <c r="B10" s="30">
        <f ca="1" t="array" ref="B10">INDEX(Data_DBD!$B:$B,$A10)</f>
        <v>4</v>
      </c>
      <c r="C10" s="30">
        <f ca="1" t="array" ref="C10">INDEX(Data_DBD!$C:$C,$A10)</f>
        <v>2</v>
      </c>
      <c r="D10" s="30">
        <f ca="1" t="array" ref="D10">INDEX(Data_DBD!$D:$D,$A10)</f>
        <v>33</v>
      </c>
      <c r="E10" s="30">
        <f ca="1" t="array" ref="E10">INDEX(Data_DBD!$E:$E,$A10)</f>
        <v>1</v>
      </c>
      <c r="F10" s="30">
        <f ca="1" t="array" ref="F10">INDEX(Data_DBD!$F:$F,$A10)</f>
        <v>3</v>
      </c>
      <c r="H10" s="30">
        <v>66</v>
      </c>
      <c r="I10" s="30">
        <v>21</v>
      </c>
      <c r="J10" s="30">
        <v>5</v>
      </c>
      <c r="K10" s="30">
        <v>15</v>
      </c>
      <c r="L10" s="30">
        <v>1</v>
      </c>
      <c r="M10" s="30">
        <v>2</v>
      </c>
    </row>
    <row r="11" spans="1:13">
      <c r="A11" s="30">
        <f ca="1" t="shared" si="0"/>
        <v>39</v>
      </c>
      <c r="B11" s="30">
        <f ca="1" t="array" ref="B11">INDEX(Data_DBD!$B:$B,$A11)</f>
        <v>12</v>
      </c>
      <c r="C11" s="30">
        <f ca="1" t="array" ref="C11">INDEX(Data_DBD!$C:$C,$A11)</f>
        <v>5</v>
      </c>
      <c r="D11" s="30">
        <f ca="1" t="array" ref="D11">INDEX(Data_DBD!$D:$D,$A11)</f>
        <v>13</v>
      </c>
      <c r="E11" s="30">
        <f ca="1" t="array" ref="E11">INDEX(Data_DBD!$E:$E,$A11)</f>
        <v>1</v>
      </c>
      <c r="F11" s="30">
        <f ca="1" t="array" ref="F11">INDEX(Data_DBD!$F:$F,$A11)</f>
        <v>2</v>
      </c>
      <c r="H11" s="30">
        <v>72</v>
      </c>
      <c r="I11" s="30">
        <v>3</v>
      </c>
      <c r="J11" s="30">
        <v>5</v>
      </c>
      <c r="K11" s="30">
        <v>10</v>
      </c>
      <c r="L11" s="30">
        <v>1</v>
      </c>
      <c r="M11" s="30">
        <v>2</v>
      </c>
    </row>
    <row r="12" spans="1:13">
      <c r="A12" s="30">
        <f ca="1" t="shared" si="0"/>
        <v>21</v>
      </c>
      <c r="B12" s="30">
        <f ca="1" t="array" ref="B12">INDEX(Data_DBD!$B:$B,$A12)</f>
        <v>10</v>
      </c>
      <c r="C12" s="30">
        <f ca="1" t="array" ref="C12">INDEX(Data_DBD!$C:$C,$A12)</f>
        <v>5</v>
      </c>
      <c r="D12" s="30">
        <f ca="1" t="array" ref="D12">INDEX(Data_DBD!$D:$D,$A12)</f>
        <v>14</v>
      </c>
      <c r="E12" s="30">
        <f ca="1" t="array" ref="E12">INDEX(Data_DBD!$E:$E,$A12)</f>
        <v>1</v>
      </c>
      <c r="F12" s="30">
        <f ca="1" t="array" ref="F12">INDEX(Data_DBD!$F:$F,$A12)</f>
        <v>2</v>
      </c>
      <c r="H12" s="30">
        <v>57</v>
      </c>
      <c r="I12" s="30">
        <v>2</v>
      </c>
      <c r="J12" s="30">
        <v>2</v>
      </c>
      <c r="K12" s="30">
        <v>15</v>
      </c>
      <c r="L12" s="30">
        <v>1</v>
      </c>
      <c r="M12" s="30">
        <v>2</v>
      </c>
    </row>
    <row r="13" spans="1:13">
      <c r="A13" s="30">
        <f ca="1" t="shared" si="0"/>
        <v>14</v>
      </c>
      <c r="B13" s="30">
        <f ca="1" t="array" ref="B13">INDEX(Data_DBD!$B:$B,$A13)</f>
        <v>49</v>
      </c>
      <c r="C13" s="30">
        <f ca="1" t="array" ref="C13">INDEX(Data_DBD!$C:$C,$A13)</f>
        <v>4</v>
      </c>
      <c r="D13" s="30">
        <f ca="1" t="array" ref="D13">INDEX(Data_DBD!$D:$D,$A13)</f>
        <v>7</v>
      </c>
      <c r="E13" s="30">
        <f ca="1" t="array" ref="E13">INDEX(Data_DBD!$E:$E,$A13)</f>
        <v>1</v>
      </c>
      <c r="F13" s="30">
        <f ca="1" t="array" ref="F13">INDEX(Data_DBD!$F:$F,$A13)</f>
        <v>1</v>
      </c>
      <c r="H13" s="30">
        <v>67</v>
      </c>
      <c r="I13" s="30">
        <v>21</v>
      </c>
      <c r="J13" s="30">
        <v>3</v>
      </c>
      <c r="K13" s="30">
        <v>10</v>
      </c>
      <c r="L13" s="30">
        <v>1</v>
      </c>
      <c r="M13" s="30">
        <v>2</v>
      </c>
    </row>
    <row r="14" spans="1:13">
      <c r="A14" s="30">
        <f ca="1" t="shared" si="0"/>
        <v>82</v>
      </c>
      <c r="B14" s="30">
        <f ca="1" t="array" ref="B14">INDEX(Data_DBD!$B:$B,$A14)</f>
        <v>28</v>
      </c>
      <c r="C14" s="30">
        <f ca="1" t="array" ref="C14">INDEX(Data_DBD!$C:$C,$A14)</f>
        <v>3</v>
      </c>
      <c r="D14" s="30">
        <f ca="1" t="array" ref="D14">INDEX(Data_DBD!$D:$D,$A14)</f>
        <v>13</v>
      </c>
      <c r="E14" s="30">
        <f ca="1" t="array" ref="E14">INDEX(Data_DBD!$E:$E,$A14)</f>
        <v>1</v>
      </c>
      <c r="F14" s="30">
        <f ca="1" t="array" ref="F14">INDEX(Data_DBD!$F:$F,$A14)</f>
        <v>2</v>
      </c>
      <c r="H14" s="30">
        <v>91</v>
      </c>
      <c r="I14" s="30">
        <v>35</v>
      </c>
      <c r="J14" s="30">
        <v>1</v>
      </c>
      <c r="K14" s="30">
        <v>18</v>
      </c>
      <c r="L14" s="30">
        <v>1</v>
      </c>
      <c r="M14" s="30">
        <v>3</v>
      </c>
    </row>
    <row r="15" spans="1:13">
      <c r="A15" s="30">
        <f ca="1" t="shared" si="0"/>
        <v>12</v>
      </c>
      <c r="B15" s="30">
        <f ca="1" t="array" ref="B15">INDEX(Data_DBD!$B:$B,$A15)</f>
        <v>23</v>
      </c>
      <c r="C15" s="30">
        <f ca="1" t="array" ref="C15">INDEX(Data_DBD!$C:$C,$A15)</f>
        <v>3</v>
      </c>
      <c r="D15" s="30">
        <f ca="1" t="array" ref="D15">INDEX(Data_DBD!$D:$D,$A15)</f>
        <v>12</v>
      </c>
      <c r="E15" s="30">
        <f ca="1" t="array" ref="E15">INDEX(Data_DBD!$E:$E,$A15)</f>
        <v>0</v>
      </c>
      <c r="F15" s="30">
        <f ca="1" t="array" ref="F15">INDEX(Data_DBD!$F:$F,$A15)</f>
        <v>2</v>
      </c>
      <c r="H15" s="30">
        <v>22</v>
      </c>
      <c r="I15" s="30">
        <v>6</v>
      </c>
      <c r="J15" s="30">
        <v>3</v>
      </c>
      <c r="K15" s="30">
        <v>14</v>
      </c>
      <c r="L15" s="30">
        <v>0</v>
      </c>
      <c r="M15" s="30">
        <v>2</v>
      </c>
    </row>
    <row r="16" spans="1:13">
      <c r="A16" s="30">
        <f ca="1" t="shared" si="0"/>
        <v>33</v>
      </c>
      <c r="B16" s="30">
        <f ca="1" t="array" ref="B16">INDEX(Data_DBD!$B:$B,$A16)</f>
        <v>19</v>
      </c>
      <c r="C16" s="30">
        <f ca="1" t="array" ref="C16">INDEX(Data_DBD!$C:$C,$A16)</f>
        <v>4</v>
      </c>
      <c r="D16" s="30">
        <f ca="1" t="array" ref="D16">INDEX(Data_DBD!$D:$D,$A16)</f>
        <v>14</v>
      </c>
      <c r="E16" s="30">
        <f ca="1" t="array" ref="E16">INDEX(Data_DBD!$E:$E,$A16)</f>
        <v>1</v>
      </c>
      <c r="F16" s="30">
        <f ca="1" t="array" ref="F16">INDEX(Data_DBD!$F:$F,$A16)</f>
        <v>2</v>
      </c>
      <c r="H16" s="30">
        <v>145</v>
      </c>
      <c r="I16" s="30">
        <v>28</v>
      </c>
      <c r="J16" s="30">
        <v>4</v>
      </c>
      <c r="K16" s="30">
        <v>21</v>
      </c>
      <c r="L16" s="30">
        <v>1</v>
      </c>
      <c r="M16" s="30">
        <v>3</v>
      </c>
    </row>
    <row r="17" spans="1:13">
      <c r="A17" s="30">
        <f ca="1" t="shared" si="0"/>
        <v>61</v>
      </c>
      <c r="B17" s="30">
        <f ca="1" t="array" ref="B17">INDEX(Data_DBD!$B:$B,$A17)</f>
        <v>29</v>
      </c>
      <c r="C17" s="30">
        <f ca="1" t="array" ref="C17">INDEX(Data_DBD!$C:$C,$A17)</f>
        <v>3</v>
      </c>
      <c r="D17" s="30">
        <f ca="1" t="array" ref="D17">INDEX(Data_DBD!$D:$D,$A17)</f>
        <v>15</v>
      </c>
      <c r="E17" s="30">
        <f ca="1" t="array" ref="E17">INDEX(Data_DBD!$E:$E,$A17)</f>
        <v>1</v>
      </c>
      <c r="F17" s="30">
        <f ca="1" t="array" ref="F17">INDEX(Data_DBD!$F:$F,$A17)</f>
        <v>2</v>
      </c>
      <c r="H17" s="30">
        <v>50</v>
      </c>
      <c r="I17" s="30">
        <v>19</v>
      </c>
      <c r="J17" s="30">
        <v>5</v>
      </c>
      <c r="K17" s="30">
        <v>13</v>
      </c>
      <c r="L17" s="30">
        <v>0</v>
      </c>
      <c r="M17" s="30">
        <v>2</v>
      </c>
    </row>
    <row r="18" spans="1:13">
      <c r="A18" s="30">
        <f ca="1" t="shared" si="0"/>
        <v>114</v>
      </c>
      <c r="B18" s="30">
        <f ca="1" t="array" ref="B18">INDEX(Data_DBD!$B:$B,$A18)</f>
        <v>14</v>
      </c>
      <c r="C18" s="30">
        <f ca="1" t="array" ref="C18">INDEX(Data_DBD!$C:$C,$A18)</f>
        <v>2</v>
      </c>
      <c r="D18" s="30">
        <f ca="1" t="array" ref="D18">INDEX(Data_DBD!$D:$D,$A18)</f>
        <v>33</v>
      </c>
      <c r="E18" s="30">
        <f ca="1" t="array" ref="E18">INDEX(Data_DBD!$E:$E,$A18)</f>
        <v>1</v>
      </c>
      <c r="F18" s="30">
        <f ca="1" t="array" ref="F18">INDEX(Data_DBD!$F:$F,$A18)</f>
        <v>3</v>
      </c>
      <c r="H18" s="30">
        <v>117</v>
      </c>
      <c r="I18" s="30">
        <v>49</v>
      </c>
      <c r="J18" s="30">
        <v>4</v>
      </c>
      <c r="K18" s="30">
        <v>33</v>
      </c>
      <c r="L18" s="30">
        <v>1</v>
      </c>
      <c r="M18" s="30">
        <v>3</v>
      </c>
    </row>
    <row r="19" spans="1:13">
      <c r="A19" s="30">
        <f ca="1" t="shared" si="0"/>
        <v>39</v>
      </c>
      <c r="B19" s="30">
        <f ca="1" t="array" ref="B19">INDEX(Data_DBD!$B:$B,$A19)</f>
        <v>12</v>
      </c>
      <c r="C19" s="30">
        <f ca="1" t="array" ref="C19">INDEX(Data_DBD!$C:$C,$A19)</f>
        <v>5</v>
      </c>
      <c r="D19" s="30">
        <f ca="1" t="array" ref="D19">INDEX(Data_DBD!$D:$D,$A19)</f>
        <v>13</v>
      </c>
      <c r="E19" s="30">
        <f ca="1" t="array" ref="E19">INDEX(Data_DBD!$E:$E,$A19)</f>
        <v>1</v>
      </c>
      <c r="F19" s="30">
        <f ca="1" t="array" ref="F19">INDEX(Data_DBD!$F:$F,$A19)</f>
        <v>2</v>
      </c>
      <c r="H19" s="30">
        <v>152</v>
      </c>
      <c r="I19" s="30">
        <v>47</v>
      </c>
      <c r="J19" s="30">
        <v>3</v>
      </c>
      <c r="K19" s="30">
        <v>21</v>
      </c>
      <c r="L19" s="30">
        <v>1</v>
      </c>
      <c r="M19" s="30">
        <v>3</v>
      </c>
    </row>
    <row r="20" spans="1:13">
      <c r="A20" s="30">
        <f ca="1" t="shared" si="0"/>
        <v>46</v>
      </c>
      <c r="B20" s="30">
        <f ca="1" t="array" ref="B20">INDEX(Data_DBD!$B:$B,$A20)</f>
        <v>62</v>
      </c>
      <c r="C20" s="30">
        <f ca="1" t="array" ref="C20">INDEX(Data_DBD!$C:$C,$A20)</f>
        <v>2</v>
      </c>
      <c r="D20" s="30">
        <f ca="1" t="array" ref="D20">INDEX(Data_DBD!$D:$D,$A20)</f>
        <v>13</v>
      </c>
      <c r="E20" s="30">
        <f ca="1" t="array" ref="E20">INDEX(Data_DBD!$E:$E,$A20)</f>
        <v>0</v>
      </c>
      <c r="F20" s="30">
        <f ca="1" t="array" ref="F20">INDEX(Data_DBD!$F:$F,$A20)</f>
        <v>2</v>
      </c>
      <c r="H20" s="30">
        <v>74</v>
      </c>
      <c r="I20" s="30">
        <v>9</v>
      </c>
      <c r="J20" s="30">
        <v>4</v>
      </c>
      <c r="K20" s="30">
        <v>10</v>
      </c>
      <c r="L20" s="30">
        <v>0</v>
      </c>
      <c r="M20" s="30">
        <v>2</v>
      </c>
    </row>
    <row r="21" spans="1:13">
      <c r="A21" s="30">
        <f ca="1" t="shared" si="0"/>
        <v>125</v>
      </c>
      <c r="B21" s="30">
        <f ca="1" t="array" ref="B21">INDEX(Data_DBD!$B:$B,$A21)</f>
        <v>39</v>
      </c>
      <c r="C21" s="30">
        <f ca="1" t="array" ref="C21">INDEX(Data_DBD!$C:$C,$A21)</f>
        <v>4</v>
      </c>
      <c r="D21" s="30">
        <f ca="1" t="array" ref="D21">INDEX(Data_DBD!$D:$D,$A21)</f>
        <v>33</v>
      </c>
      <c r="E21" s="30">
        <f ca="1" t="array" ref="E21">INDEX(Data_DBD!$E:$E,$A21)</f>
        <v>0</v>
      </c>
      <c r="F21" s="30">
        <f ca="1" t="array" ref="F21">INDEX(Data_DBD!$F:$F,$A21)</f>
        <v>3</v>
      </c>
      <c r="H21" s="30">
        <v>50</v>
      </c>
      <c r="I21" s="30">
        <v>19</v>
      </c>
      <c r="J21" s="30">
        <v>5</v>
      </c>
      <c r="K21" s="30">
        <v>13</v>
      </c>
      <c r="L21" s="30">
        <v>0</v>
      </c>
      <c r="M21" s="30">
        <v>2</v>
      </c>
    </row>
    <row r="22" spans="1:13">
      <c r="A22" s="30">
        <f ca="1" t="shared" si="0"/>
        <v>125</v>
      </c>
      <c r="B22" s="30">
        <f ca="1" t="array" ref="B22">INDEX(Data_DBD!$B:$B,$A22)</f>
        <v>39</v>
      </c>
      <c r="C22" s="30">
        <f ca="1" t="array" ref="C22">INDEX(Data_DBD!$C:$C,$A22)</f>
        <v>4</v>
      </c>
      <c r="D22" s="30">
        <f ca="1" t="array" ref="D22">INDEX(Data_DBD!$D:$D,$A22)</f>
        <v>33</v>
      </c>
      <c r="E22" s="30">
        <f ca="1" t="array" ref="E22">INDEX(Data_DBD!$E:$E,$A22)</f>
        <v>0</v>
      </c>
      <c r="F22" s="30">
        <f ca="1" t="array" ref="F22">INDEX(Data_DBD!$F:$F,$A22)</f>
        <v>3</v>
      </c>
      <c r="H22" s="30">
        <v>119</v>
      </c>
      <c r="I22" s="30">
        <v>30</v>
      </c>
      <c r="J22" s="30">
        <v>7</v>
      </c>
      <c r="K22" s="30">
        <v>33</v>
      </c>
      <c r="L22" s="30">
        <v>0</v>
      </c>
      <c r="M22" s="30">
        <v>3</v>
      </c>
    </row>
    <row r="23" spans="1:13">
      <c r="A23" s="30">
        <f ca="1" t="shared" si="0"/>
        <v>97</v>
      </c>
      <c r="B23" s="30">
        <f ca="1" t="array" ref="B23">INDEX(Data_DBD!$B:$B,$A23)</f>
        <v>16</v>
      </c>
      <c r="C23" s="30">
        <f ca="1" t="array" ref="C23">INDEX(Data_DBD!$C:$C,$A23)</f>
        <v>2</v>
      </c>
      <c r="D23" s="30">
        <f ca="1" t="array" ref="D23">INDEX(Data_DBD!$D:$D,$A23)</f>
        <v>18</v>
      </c>
      <c r="E23" s="30">
        <f ca="1" t="array" ref="E23">INDEX(Data_DBD!$E:$E,$A23)</f>
        <v>1</v>
      </c>
      <c r="F23" s="30">
        <f ca="1" t="array" ref="F23">INDEX(Data_DBD!$F:$F,$A23)</f>
        <v>3</v>
      </c>
      <c r="H23" s="30">
        <v>156</v>
      </c>
      <c r="I23" s="30">
        <v>5</v>
      </c>
      <c r="J23" s="30">
        <v>2</v>
      </c>
      <c r="K23" s="30">
        <v>21</v>
      </c>
      <c r="L23" s="30">
        <v>0</v>
      </c>
      <c r="M23" s="30">
        <v>3</v>
      </c>
    </row>
    <row r="24" spans="1:13">
      <c r="A24" s="30">
        <f ca="1" t="shared" si="0"/>
        <v>41</v>
      </c>
      <c r="B24" s="30">
        <f ca="1" t="array" ref="B24">INDEX(Data_DBD!$B:$B,$A24)</f>
        <v>8</v>
      </c>
      <c r="C24" s="30">
        <f ca="1" t="array" ref="C24">INDEX(Data_DBD!$C:$C,$A24)</f>
        <v>4</v>
      </c>
      <c r="D24" s="30">
        <f ca="1" t="array" ref="D24">INDEX(Data_DBD!$D:$D,$A24)</f>
        <v>13</v>
      </c>
      <c r="E24" s="30">
        <f ca="1" t="array" ref="E24">INDEX(Data_DBD!$E:$E,$A24)</f>
        <v>0</v>
      </c>
      <c r="F24" s="30">
        <f ca="1" t="array" ref="F24">INDEX(Data_DBD!$F:$F,$A24)</f>
        <v>2</v>
      </c>
      <c r="H24" s="30">
        <v>86</v>
      </c>
      <c r="I24" s="30">
        <v>23</v>
      </c>
      <c r="J24" s="30">
        <v>3</v>
      </c>
      <c r="K24" s="30">
        <v>13</v>
      </c>
      <c r="L24" s="30">
        <v>0</v>
      </c>
      <c r="M24" s="30">
        <v>2</v>
      </c>
    </row>
    <row r="25" spans="1:13">
      <c r="A25" s="30">
        <f ca="1" t="shared" si="0"/>
        <v>4</v>
      </c>
      <c r="B25" s="30">
        <f ca="1" t="array" ref="B25">INDEX(Data_DBD!$B:$B,$A25)</f>
        <v>23</v>
      </c>
      <c r="C25" s="30">
        <f ca="1" t="array" ref="C25">INDEX(Data_DBD!$C:$C,$A25)</f>
        <v>5</v>
      </c>
      <c r="D25" s="30">
        <f ca="1" t="array" ref="D25">INDEX(Data_DBD!$D:$D,$A25)</f>
        <v>12</v>
      </c>
      <c r="E25" s="30">
        <f ca="1" t="array" ref="E25">INDEX(Data_DBD!$E:$E,$A25)</f>
        <v>0</v>
      </c>
      <c r="F25" s="30">
        <f ca="1" t="array" ref="F25">INDEX(Data_DBD!$F:$F,$A25)</f>
        <v>2</v>
      </c>
      <c r="H25" s="30">
        <v>73</v>
      </c>
      <c r="I25" s="30">
        <v>15</v>
      </c>
      <c r="J25" s="30">
        <v>3</v>
      </c>
      <c r="K25" s="30">
        <v>10</v>
      </c>
      <c r="L25" s="30">
        <v>1</v>
      </c>
      <c r="M25" s="30">
        <v>2</v>
      </c>
    </row>
    <row r="26" spans="1:13">
      <c r="A26" s="30">
        <f ca="1" t="shared" si="0"/>
        <v>115</v>
      </c>
      <c r="B26" s="30">
        <f ca="1" t="array" ref="B26">INDEX(Data_DBD!$B:$B,$A26)</f>
        <v>52</v>
      </c>
      <c r="C26" s="30">
        <f ca="1" t="array" ref="C26">INDEX(Data_DBD!$C:$C,$A26)</f>
        <v>3</v>
      </c>
      <c r="D26" s="30">
        <f ca="1" t="array" ref="D26">INDEX(Data_DBD!$D:$D,$A26)</f>
        <v>33</v>
      </c>
      <c r="E26" s="30">
        <f ca="1" t="array" ref="E26">INDEX(Data_DBD!$E:$E,$A26)</f>
        <v>1</v>
      </c>
      <c r="F26" s="30">
        <f ca="1" t="array" ref="F26">INDEX(Data_DBD!$F:$F,$A26)</f>
        <v>3</v>
      </c>
      <c r="H26" s="30">
        <v>123</v>
      </c>
      <c r="I26" s="30">
        <v>22</v>
      </c>
      <c r="J26" s="30">
        <v>4</v>
      </c>
      <c r="K26" s="30">
        <v>33</v>
      </c>
      <c r="L26" s="30">
        <v>0</v>
      </c>
      <c r="M26" s="30">
        <v>3</v>
      </c>
    </row>
    <row r="27" spans="1:13">
      <c r="A27" s="30">
        <f ca="1" t="shared" si="0"/>
        <v>134</v>
      </c>
      <c r="B27" s="30">
        <f ca="1" t="array" ref="B27">INDEX(Data_DBD!$B:$B,$A27)</f>
        <v>4</v>
      </c>
      <c r="C27" s="30">
        <f ca="1" t="array" ref="C27">INDEX(Data_DBD!$C:$C,$A27)</f>
        <v>2</v>
      </c>
      <c r="D27" s="30">
        <f ca="1" t="array" ref="D27">INDEX(Data_DBD!$D:$D,$A27)</f>
        <v>33</v>
      </c>
      <c r="E27" s="30">
        <f ca="1" t="array" ref="E27">INDEX(Data_DBD!$E:$E,$A27)</f>
        <v>1</v>
      </c>
      <c r="F27" s="30">
        <f ca="1" t="array" ref="F27">INDEX(Data_DBD!$F:$F,$A27)</f>
        <v>3</v>
      </c>
      <c r="H27" s="30">
        <v>158</v>
      </c>
      <c r="I27" s="30">
        <v>5</v>
      </c>
      <c r="J27" s="30">
        <v>2</v>
      </c>
      <c r="K27" s="30">
        <v>21</v>
      </c>
      <c r="L27" s="30">
        <v>0</v>
      </c>
      <c r="M27" s="30">
        <v>3</v>
      </c>
    </row>
    <row r="28" spans="1:13">
      <c r="A28" s="30">
        <f ca="1" t="shared" si="0"/>
        <v>5</v>
      </c>
      <c r="B28" s="30">
        <f ca="1" t="array" ref="B28">INDEX(Data_DBD!$B:$B,$A28)</f>
        <v>18</v>
      </c>
      <c r="C28" s="30">
        <f ca="1" t="array" ref="C28">INDEX(Data_DBD!$C:$C,$A28)</f>
        <v>2</v>
      </c>
      <c r="D28" s="30">
        <f ca="1" t="array" ref="D28">INDEX(Data_DBD!$D:$D,$A28)</f>
        <v>12</v>
      </c>
      <c r="E28" s="30">
        <f ca="1" t="array" ref="E28">INDEX(Data_DBD!$E:$E,$A28)</f>
        <v>1</v>
      </c>
      <c r="F28" s="30">
        <f ca="1" t="array" ref="F28">INDEX(Data_DBD!$F:$F,$A28)</f>
        <v>2</v>
      </c>
      <c r="H28" s="30">
        <v>83</v>
      </c>
      <c r="I28" s="30">
        <v>50</v>
      </c>
      <c r="J28" s="30">
        <v>3</v>
      </c>
      <c r="K28" s="30">
        <v>13</v>
      </c>
      <c r="L28" s="30">
        <v>0</v>
      </c>
      <c r="M28" s="30">
        <v>2</v>
      </c>
    </row>
    <row r="29" spans="1:13">
      <c r="A29" s="30">
        <f ca="1" t="shared" si="0"/>
        <v>56</v>
      </c>
      <c r="B29" s="30">
        <f ca="1" t="array" ref="B29">INDEX(Data_DBD!$B:$B,$A29)</f>
        <v>4</v>
      </c>
      <c r="C29" s="30">
        <f ca="1" t="array" ref="C29">INDEX(Data_DBD!$C:$C,$A29)</f>
        <v>3</v>
      </c>
      <c r="D29" s="30">
        <f ca="1" t="array" ref="D29">INDEX(Data_DBD!$D:$D,$A29)</f>
        <v>15</v>
      </c>
      <c r="E29" s="30">
        <f ca="1" t="array" ref="E29">INDEX(Data_DBD!$E:$E,$A29)</f>
        <v>0</v>
      </c>
      <c r="F29" s="30">
        <f ca="1" t="array" ref="F29">INDEX(Data_DBD!$F:$F,$A29)</f>
        <v>2</v>
      </c>
      <c r="H29" s="30">
        <v>118</v>
      </c>
      <c r="I29" s="30">
        <v>67</v>
      </c>
      <c r="J29" s="30">
        <v>4</v>
      </c>
      <c r="K29" s="30">
        <v>33</v>
      </c>
      <c r="L29" s="30">
        <v>1</v>
      </c>
      <c r="M29" s="30">
        <v>3</v>
      </c>
    </row>
    <row r="30" spans="1:13">
      <c r="A30" s="30">
        <f ca="1" t="shared" si="0"/>
        <v>25</v>
      </c>
      <c r="B30" s="30">
        <f ca="1" t="array" ref="B30">INDEX(Data_DBD!$B:$B,$A30)</f>
        <v>81</v>
      </c>
      <c r="C30" s="30">
        <f ca="1" t="array" ref="C30">INDEX(Data_DBD!$C:$C,$A30)</f>
        <v>5</v>
      </c>
      <c r="D30" s="30">
        <f ca="1" t="array" ref="D30">INDEX(Data_DBD!$D:$D,$A30)</f>
        <v>14</v>
      </c>
      <c r="E30" s="30">
        <f ca="1" t="array" ref="E30">INDEX(Data_DBD!$E:$E,$A30)</f>
        <v>0</v>
      </c>
      <c r="F30" s="30">
        <f ca="1" t="array" ref="F30">INDEX(Data_DBD!$F:$F,$A30)</f>
        <v>2</v>
      </c>
      <c r="H30" s="30">
        <v>70</v>
      </c>
      <c r="I30" s="30">
        <v>26</v>
      </c>
      <c r="J30" s="30">
        <v>3</v>
      </c>
      <c r="K30" s="30">
        <v>10</v>
      </c>
      <c r="L30" s="30">
        <v>1</v>
      </c>
      <c r="M30" s="30">
        <v>2</v>
      </c>
    </row>
    <row r="31" spans="1:13">
      <c r="A31" s="30">
        <f ca="1" t="shared" si="0"/>
        <v>44</v>
      </c>
      <c r="B31" s="30">
        <f ca="1" t="array" ref="B31">INDEX(Data_DBD!$B:$B,$A31)</f>
        <v>28</v>
      </c>
      <c r="C31" s="30">
        <f ca="1" t="array" ref="C31">INDEX(Data_DBD!$C:$C,$A31)</f>
        <v>5</v>
      </c>
      <c r="D31" s="30">
        <f ca="1" t="array" ref="D31">INDEX(Data_DBD!$D:$D,$A31)</f>
        <v>13</v>
      </c>
      <c r="E31" s="30">
        <f ca="1" t="array" ref="E31">INDEX(Data_DBD!$E:$E,$A31)</f>
        <v>1</v>
      </c>
      <c r="F31" s="30">
        <f ca="1" t="array" ref="F31">INDEX(Data_DBD!$F:$F,$A31)</f>
        <v>2</v>
      </c>
      <c r="H31" s="30">
        <v>144</v>
      </c>
      <c r="I31" s="30">
        <v>61</v>
      </c>
      <c r="J31" s="30">
        <v>4</v>
      </c>
      <c r="K31" s="30">
        <v>21</v>
      </c>
      <c r="L31" s="30">
        <v>1</v>
      </c>
      <c r="M31" s="30">
        <v>3</v>
      </c>
    </row>
    <row r="32" spans="1:13">
      <c r="A32" s="30">
        <f ca="1" t="shared" si="0"/>
        <v>21</v>
      </c>
      <c r="B32" s="30">
        <f ca="1" t="array" ref="B32">INDEX(Data_DBD!$B:$B,$A32)</f>
        <v>10</v>
      </c>
      <c r="C32" s="30">
        <f ca="1" t="array" ref="C32">INDEX(Data_DBD!$C:$C,$A32)</f>
        <v>5</v>
      </c>
      <c r="D32" s="30">
        <f ca="1" t="array" ref="D32">INDEX(Data_DBD!$D:$D,$A32)</f>
        <v>14</v>
      </c>
      <c r="E32" s="30">
        <f ca="1" t="array" ref="E32">INDEX(Data_DBD!$E:$E,$A32)</f>
        <v>1</v>
      </c>
      <c r="F32" s="30">
        <f ca="1" t="array" ref="F32">INDEX(Data_DBD!$F:$F,$A32)</f>
        <v>2</v>
      </c>
      <c r="H32" s="30">
        <v>85</v>
      </c>
      <c r="I32" s="30">
        <v>27</v>
      </c>
      <c r="J32" s="30">
        <v>9</v>
      </c>
      <c r="K32" s="30">
        <v>13</v>
      </c>
      <c r="L32" s="30">
        <v>0</v>
      </c>
      <c r="M32" s="30">
        <v>2</v>
      </c>
    </row>
    <row r="33" spans="1:13">
      <c r="A33" s="30">
        <f ca="1" t="shared" si="0"/>
        <v>5</v>
      </c>
      <c r="B33" s="30">
        <f ca="1" t="array" ref="B33">INDEX(Data_DBD!$B:$B,$A33)</f>
        <v>18</v>
      </c>
      <c r="C33" s="30">
        <f ca="1" t="array" ref="C33">INDEX(Data_DBD!$C:$C,$A33)</f>
        <v>2</v>
      </c>
      <c r="D33" s="30">
        <f ca="1" t="array" ref="D33">INDEX(Data_DBD!$D:$D,$A33)</f>
        <v>12</v>
      </c>
      <c r="E33" s="30">
        <f ca="1" t="array" ref="E33">INDEX(Data_DBD!$E:$E,$A33)</f>
        <v>1</v>
      </c>
      <c r="F33" s="30">
        <f ca="1" t="array" ref="F33">INDEX(Data_DBD!$F:$F,$A33)</f>
        <v>2</v>
      </c>
      <c r="H33" s="30">
        <v>74</v>
      </c>
      <c r="I33" s="30">
        <v>9</v>
      </c>
      <c r="J33" s="30">
        <v>4</v>
      </c>
      <c r="K33" s="30">
        <v>10</v>
      </c>
      <c r="L33" s="30">
        <v>0</v>
      </c>
      <c r="M33" s="30">
        <v>2</v>
      </c>
    </row>
    <row r="34" spans="1:13">
      <c r="A34" s="30">
        <f ca="1" t="shared" si="0"/>
        <v>109</v>
      </c>
      <c r="B34" s="30">
        <f ca="1" t="array" ref="B34">INDEX(Data_DBD!$B:$B,$A34)</f>
        <v>40</v>
      </c>
      <c r="C34" s="30">
        <f ca="1" t="array" ref="C34">INDEX(Data_DBD!$C:$C,$A34)</f>
        <v>3</v>
      </c>
      <c r="D34" s="30">
        <f ca="1" t="array" ref="D34">INDEX(Data_DBD!$D:$D,$A34)</f>
        <v>33</v>
      </c>
      <c r="E34" s="30">
        <f ca="1" t="array" ref="E34">INDEX(Data_DBD!$E:$E,$A34)</f>
        <v>1</v>
      </c>
      <c r="F34" s="30">
        <f ca="1" t="array" ref="F34">INDEX(Data_DBD!$F:$F,$A34)</f>
        <v>3</v>
      </c>
      <c r="H34" s="30">
        <v>98</v>
      </c>
      <c r="I34" s="30">
        <v>16</v>
      </c>
      <c r="J34" s="30">
        <v>2</v>
      </c>
      <c r="K34" s="30">
        <v>18</v>
      </c>
      <c r="L34" s="30">
        <v>1</v>
      </c>
      <c r="M34" s="30">
        <v>3</v>
      </c>
    </row>
    <row r="35" spans="1:13">
      <c r="A35" s="30">
        <f ca="1" t="shared" si="0"/>
        <v>128</v>
      </c>
      <c r="B35" s="30">
        <f ca="1" t="array" ref="B35">INDEX(Data_DBD!$B:$B,$A35)</f>
        <v>38</v>
      </c>
      <c r="C35" s="30">
        <f ca="1" t="array" ref="C35">INDEX(Data_DBD!$C:$C,$A35)</f>
        <v>2</v>
      </c>
      <c r="D35" s="30">
        <f ca="1" t="array" ref="D35">INDEX(Data_DBD!$D:$D,$A35)</f>
        <v>33</v>
      </c>
      <c r="E35" s="30">
        <f ca="1" t="array" ref="E35">INDEX(Data_DBD!$E:$E,$A35)</f>
        <v>0</v>
      </c>
      <c r="F35" s="30">
        <f ca="1" t="array" ref="F35">INDEX(Data_DBD!$F:$F,$A35)</f>
        <v>3</v>
      </c>
      <c r="H35" s="30">
        <v>86</v>
      </c>
      <c r="I35" s="30">
        <v>23</v>
      </c>
      <c r="J35" s="30">
        <v>3</v>
      </c>
      <c r="K35" s="30">
        <v>13</v>
      </c>
      <c r="L35" s="30">
        <v>0</v>
      </c>
      <c r="M35" s="30">
        <v>2</v>
      </c>
    </row>
    <row r="36" spans="1:13">
      <c r="A36" s="30">
        <f ca="1" t="shared" si="0"/>
        <v>26</v>
      </c>
      <c r="B36" s="30">
        <f ca="1" t="array" ref="B36">INDEX(Data_DBD!$B:$B,$A36)</f>
        <v>75</v>
      </c>
      <c r="C36" s="30">
        <f ca="1" t="array" ref="C36">INDEX(Data_DBD!$C:$C,$A36)</f>
        <v>4</v>
      </c>
      <c r="D36" s="30">
        <f ca="1" t="array" ref="D36">INDEX(Data_DBD!$D:$D,$A36)</f>
        <v>14</v>
      </c>
      <c r="E36" s="30">
        <f ca="1" t="array" ref="E36">INDEX(Data_DBD!$E:$E,$A36)</f>
        <v>1</v>
      </c>
      <c r="F36" s="30">
        <f ca="1" t="array" ref="F36">INDEX(Data_DBD!$F:$F,$A36)</f>
        <v>2</v>
      </c>
      <c r="H36" s="30">
        <v>96</v>
      </c>
      <c r="I36" s="30">
        <v>56</v>
      </c>
      <c r="J36" s="30">
        <v>4</v>
      </c>
      <c r="K36" s="30">
        <v>18</v>
      </c>
      <c r="L36" s="30">
        <v>0</v>
      </c>
      <c r="M36" s="30">
        <v>3</v>
      </c>
    </row>
    <row r="37" spans="1:13">
      <c r="A37" s="30">
        <f ca="1" t="shared" si="0"/>
        <v>76</v>
      </c>
      <c r="B37" s="30">
        <f ca="1" t="array" ref="B37">INDEX(Data_DBD!$B:$B,$A37)</f>
        <v>70</v>
      </c>
      <c r="C37" s="30">
        <f ca="1" t="array" ref="C37">INDEX(Data_DBD!$C:$C,$A37)</f>
        <v>2</v>
      </c>
      <c r="D37" s="30">
        <f ca="1" t="array" ref="D37">INDEX(Data_DBD!$D:$D,$A37)</f>
        <v>10</v>
      </c>
      <c r="E37" s="30">
        <f ca="1" t="array" ref="E37">INDEX(Data_DBD!$E:$E,$A37)</f>
        <v>0</v>
      </c>
      <c r="F37" s="30">
        <f ca="1" t="array" ref="F37">INDEX(Data_DBD!$F:$F,$A37)</f>
        <v>2</v>
      </c>
      <c r="H37" s="30">
        <v>44</v>
      </c>
      <c r="I37" s="30">
        <v>28</v>
      </c>
      <c r="J37" s="30">
        <v>5</v>
      </c>
      <c r="K37" s="30">
        <v>13</v>
      </c>
      <c r="L37" s="30">
        <v>1</v>
      </c>
      <c r="M37" s="30">
        <v>2</v>
      </c>
    </row>
    <row r="38" spans="1:13">
      <c r="A38" s="30">
        <f ca="1" t="shared" si="0"/>
        <v>134</v>
      </c>
      <c r="B38" s="30">
        <f ca="1" t="array" ref="B38">INDEX(Data_DBD!$B:$B,$A38)</f>
        <v>4</v>
      </c>
      <c r="C38" s="30">
        <f ca="1" t="array" ref="C38">INDEX(Data_DBD!$C:$C,$A38)</f>
        <v>2</v>
      </c>
      <c r="D38" s="30">
        <f ca="1" t="array" ref="D38">INDEX(Data_DBD!$D:$D,$A38)</f>
        <v>33</v>
      </c>
      <c r="E38" s="30">
        <f ca="1" t="array" ref="E38">INDEX(Data_DBD!$E:$E,$A38)</f>
        <v>1</v>
      </c>
      <c r="F38" s="30">
        <f ca="1" t="array" ref="F38">INDEX(Data_DBD!$F:$F,$A38)</f>
        <v>3</v>
      </c>
      <c r="H38" s="30">
        <v>74</v>
      </c>
      <c r="I38" s="30">
        <v>9</v>
      </c>
      <c r="J38" s="30">
        <v>4</v>
      </c>
      <c r="K38" s="30">
        <v>10</v>
      </c>
      <c r="L38" s="30">
        <v>0</v>
      </c>
      <c r="M38" s="30">
        <v>2</v>
      </c>
    </row>
    <row r="39" spans="1:13">
      <c r="A39" s="30">
        <f ca="1" t="shared" si="0"/>
        <v>115</v>
      </c>
      <c r="B39" s="30">
        <f ca="1" t="array" ref="B39">INDEX(Data_DBD!$B:$B,$A39)</f>
        <v>52</v>
      </c>
      <c r="C39" s="30">
        <f ca="1" t="array" ref="C39">INDEX(Data_DBD!$C:$C,$A39)</f>
        <v>3</v>
      </c>
      <c r="D39" s="30">
        <f ca="1" t="array" ref="D39">INDEX(Data_DBD!$D:$D,$A39)</f>
        <v>33</v>
      </c>
      <c r="E39" s="30">
        <f ca="1" t="array" ref="E39">INDEX(Data_DBD!$E:$E,$A39)</f>
        <v>1</v>
      </c>
      <c r="F39" s="30">
        <f ca="1" t="array" ref="F39">INDEX(Data_DBD!$F:$F,$A39)</f>
        <v>3</v>
      </c>
      <c r="H39" s="30">
        <v>75</v>
      </c>
      <c r="I39" s="30">
        <v>2</v>
      </c>
      <c r="J39" s="30">
        <v>2</v>
      </c>
      <c r="K39" s="30">
        <v>10</v>
      </c>
      <c r="L39" s="30">
        <v>1</v>
      </c>
      <c r="M39" s="30">
        <v>2</v>
      </c>
    </row>
    <row r="40" spans="1:13">
      <c r="A40" s="30">
        <f ca="1" t="shared" si="0"/>
        <v>50</v>
      </c>
      <c r="B40" s="30">
        <f ca="1" t="array" ref="B40">INDEX(Data_DBD!$B:$B,$A40)</f>
        <v>19</v>
      </c>
      <c r="C40" s="30">
        <f ca="1" t="array" ref="C40">INDEX(Data_DBD!$C:$C,$A40)</f>
        <v>5</v>
      </c>
      <c r="D40" s="30">
        <f ca="1" t="array" ref="D40">INDEX(Data_DBD!$D:$D,$A40)</f>
        <v>13</v>
      </c>
      <c r="E40" s="30">
        <f ca="1" t="array" ref="E40">INDEX(Data_DBD!$E:$E,$A40)</f>
        <v>0</v>
      </c>
      <c r="F40" s="30">
        <f ca="1" t="array" ref="F40">INDEX(Data_DBD!$F:$F,$A40)</f>
        <v>2</v>
      </c>
      <c r="H40" s="30">
        <v>136</v>
      </c>
      <c r="I40" s="30">
        <v>6</v>
      </c>
      <c r="J40" s="30">
        <v>2</v>
      </c>
      <c r="K40" s="30">
        <v>33</v>
      </c>
      <c r="L40" s="30">
        <v>0</v>
      </c>
      <c r="M40" s="30">
        <v>3</v>
      </c>
    </row>
    <row r="41" spans="1:13">
      <c r="A41" s="30">
        <f ca="1" t="shared" si="0"/>
        <v>158</v>
      </c>
      <c r="B41" s="30">
        <f ca="1" t="array" ref="B41">INDEX(Data_DBD!$B:$B,$A41)</f>
        <v>5</v>
      </c>
      <c r="C41" s="30">
        <f ca="1" t="array" ref="C41">INDEX(Data_DBD!$C:$C,$A41)</f>
        <v>2</v>
      </c>
      <c r="D41" s="30">
        <f ca="1" t="array" ref="D41">INDEX(Data_DBD!$D:$D,$A41)</f>
        <v>21</v>
      </c>
      <c r="E41" s="30">
        <f ca="1" t="array" ref="E41">INDEX(Data_DBD!$E:$E,$A41)</f>
        <v>0</v>
      </c>
      <c r="F41" s="30">
        <f ca="1" t="array" ref="F41">INDEX(Data_DBD!$F:$F,$A41)</f>
        <v>3</v>
      </c>
      <c r="H41" s="30">
        <v>116</v>
      </c>
      <c r="I41" s="30">
        <v>32</v>
      </c>
      <c r="J41" s="30">
        <v>4</v>
      </c>
      <c r="K41" s="30">
        <v>33</v>
      </c>
      <c r="L41" s="30">
        <v>1</v>
      </c>
      <c r="M41" s="30">
        <v>3</v>
      </c>
    </row>
    <row r="42" spans="1:13">
      <c r="A42" s="30">
        <f ca="1" t="shared" si="0"/>
        <v>65</v>
      </c>
      <c r="B42" s="30">
        <f ca="1" t="array" ref="B42">INDEX(Data_DBD!$B:$B,$A42)</f>
        <v>49</v>
      </c>
      <c r="C42" s="30">
        <f ca="1" t="array" ref="C42">INDEX(Data_DBD!$C:$C,$A42)</f>
        <v>3</v>
      </c>
      <c r="D42" s="30">
        <f ca="1" t="array" ref="D42">INDEX(Data_DBD!$D:$D,$A42)</f>
        <v>15</v>
      </c>
      <c r="E42" s="30">
        <f ca="1" t="array" ref="E42">INDEX(Data_DBD!$E:$E,$A42)</f>
        <v>0</v>
      </c>
      <c r="F42" s="30">
        <f ca="1" t="array" ref="F42">INDEX(Data_DBD!$F:$F,$A42)</f>
        <v>2</v>
      </c>
      <c r="H42" s="30">
        <v>44</v>
      </c>
      <c r="I42" s="30">
        <v>28</v>
      </c>
      <c r="J42" s="30">
        <v>5</v>
      </c>
      <c r="K42" s="30">
        <v>13</v>
      </c>
      <c r="L42" s="30">
        <v>1</v>
      </c>
      <c r="M42" s="30">
        <v>2</v>
      </c>
    </row>
    <row r="43" spans="1:13">
      <c r="A43" s="30">
        <f ca="1" t="shared" si="0"/>
        <v>133</v>
      </c>
      <c r="B43" s="30">
        <f ca="1" t="array" ref="B43">INDEX(Data_DBD!$B:$B,$A43)</f>
        <v>6</v>
      </c>
      <c r="C43" s="30">
        <f ca="1" t="array" ref="C43">INDEX(Data_DBD!$C:$C,$A43)</f>
        <v>4</v>
      </c>
      <c r="D43" s="30">
        <f ca="1" t="array" ref="D43">INDEX(Data_DBD!$D:$D,$A43)</f>
        <v>33</v>
      </c>
      <c r="E43" s="30">
        <f ca="1" t="array" ref="E43">INDEX(Data_DBD!$E:$E,$A43)</f>
        <v>0</v>
      </c>
      <c r="F43" s="30">
        <f ca="1" t="array" ref="F43">INDEX(Data_DBD!$F:$F,$A43)</f>
        <v>3</v>
      </c>
      <c r="H43" s="30">
        <v>136</v>
      </c>
      <c r="I43" s="30">
        <v>6</v>
      </c>
      <c r="J43" s="30">
        <v>2</v>
      </c>
      <c r="K43" s="30">
        <v>33</v>
      </c>
      <c r="L43" s="30">
        <v>0</v>
      </c>
      <c r="M43" s="30">
        <v>3</v>
      </c>
    </row>
    <row r="44" spans="1:13">
      <c r="A44" s="30">
        <f ca="1" t="shared" si="0"/>
        <v>2</v>
      </c>
      <c r="B44" s="30">
        <f ca="1" t="array" ref="B44">INDEX(Data_DBD!$B:$B,$A44)</f>
        <v>34</v>
      </c>
      <c r="C44" s="30">
        <f ca="1" t="array" ref="C44">INDEX(Data_DBD!$C:$C,$A44)</f>
        <v>3</v>
      </c>
      <c r="D44" s="30">
        <f ca="1" t="array" ref="D44">INDEX(Data_DBD!$D:$D,$A44)</f>
        <v>12</v>
      </c>
      <c r="E44" s="30">
        <f ca="1" t="array" ref="E44">INDEX(Data_DBD!$E:$E,$A44)</f>
        <v>0</v>
      </c>
      <c r="F44" s="30">
        <f ca="1" t="array" ref="F44">INDEX(Data_DBD!$F:$F,$A44)</f>
        <v>2</v>
      </c>
      <c r="H44" s="30">
        <v>20</v>
      </c>
      <c r="I44" s="30">
        <v>15</v>
      </c>
      <c r="J44" s="30">
        <v>5</v>
      </c>
      <c r="K44" s="30">
        <v>7</v>
      </c>
      <c r="L44" s="30">
        <v>0</v>
      </c>
      <c r="M44" s="30">
        <v>1</v>
      </c>
    </row>
    <row r="45" spans="1:13">
      <c r="A45" s="30">
        <f ca="1" t="shared" si="0"/>
        <v>21</v>
      </c>
      <c r="B45" s="30">
        <f ca="1" t="array" ref="B45">INDEX(Data_DBD!$B:$B,$A45)</f>
        <v>10</v>
      </c>
      <c r="C45" s="30">
        <f ca="1" t="array" ref="C45">INDEX(Data_DBD!$C:$C,$A45)</f>
        <v>5</v>
      </c>
      <c r="D45" s="30">
        <f ca="1" t="array" ref="D45">INDEX(Data_DBD!$D:$D,$A45)</f>
        <v>14</v>
      </c>
      <c r="E45" s="30">
        <f ca="1" t="array" ref="E45">INDEX(Data_DBD!$E:$E,$A45)</f>
        <v>1</v>
      </c>
      <c r="F45" s="30">
        <f ca="1" t="array" ref="F45">INDEX(Data_DBD!$F:$F,$A45)</f>
        <v>2</v>
      </c>
      <c r="H45" s="30">
        <v>50</v>
      </c>
      <c r="I45" s="30">
        <v>19</v>
      </c>
      <c r="J45" s="30">
        <v>5</v>
      </c>
      <c r="K45" s="30">
        <v>13</v>
      </c>
      <c r="L45" s="30">
        <v>0</v>
      </c>
      <c r="M45" s="30">
        <v>2</v>
      </c>
    </row>
    <row r="46" spans="1:13">
      <c r="A46" s="30">
        <f ca="1" t="shared" si="0"/>
        <v>30</v>
      </c>
      <c r="B46" s="30" t="str">
        <f ca="1" t="array" ref="B46">INDEX(Data_DBD!$B:$B,$A46)</f>
        <v>2,8</v>
      </c>
      <c r="C46" s="30">
        <f ca="1" t="array" ref="C46">INDEX(Data_DBD!$C:$C,$A46)</f>
        <v>2</v>
      </c>
      <c r="D46" s="30">
        <f ca="1" t="array" ref="D46">INDEX(Data_DBD!$D:$D,$A46)</f>
        <v>14</v>
      </c>
      <c r="E46" s="30">
        <f ca="1" t="array" ref="E46">INDEX(Data_DBD!$E:$E,$A46)</f>
        <v>1</v>
      </c>
      <c r="F46" s="30">
        <f ca="1" t="array" ref="F46">INDEX(Data_DBD!$F:$F,$A46)</f>
        <v>2</v>
      </c>
      <c r="H46" s="30">
        <v>38</v>
      </c>
      <c r="I46" s="30">
        <v>52</v>
      </c>
      <c r="J46" s="30">
        <v>3</v>
      </c>
      <c r="K46" s="30">
        <v>4</v>
      </c>
      <c r="L46" s="30">
        <v>1</v>
      </c>
      <c r="M46" s="30">
        <v>1</v>
      </c>
    </row>
    <row r="47" spans="1:13">
      <c r="A47" s="30">
        <f ca="1" t="shared" si="0"/>
        <v>107</v>
      </c>
      <c r="B47" s="30">
        <f ca="1" t="array" ref="B47">INDEX(Data_DBD!$B:$B,$A47)</f>
        <v>48</v>
      </c>
      <c r="C47" s="30">
        <f ca="1" t="array" ref="C47">INDEX(Data_DBD!$C:$C,$A47)</f>
        <v>5</v>
      </c>
      <c r="D47" s="30">
        <f ca="1" t="array" ref="D47">INDEX(Data_DBD!$D:$D,$A47)</f>
        <v>18</v>
      </c>
      <c r="E47" s="30">
        <f ca="1" t="array" ref="E47">INDEX(Data_DBD!$E:$E,$A47)</f>
        <v>0</v>
      </c>
      <c r="F47" s="30">
        <f ca="1" t="array" ref="F47">INDEX(Data_DBD!$F:$F,$A47)</f>
        <v>3</v>
      </c>
      <c r="H47" s="30">
        <v>130</v>
      </c>
      <c r="I47" s="30">
        <v>12</v>
      </c>
      <c r="J47" s="30">
        <v>4</v>
      </c>
      <c r="K47" s="30">
        <v>33</v>
      </c>
      <c r="L47" s="30">
        <v>0</v>
      </c>
      <c r="M47" s="30">
        <v>3</v>
      </c>
    </row>
    <row r="48" spans="1:13">
      <c r="A48" s="30">
        <f ca="1" t="shared" si="0"/>
        <v>38</v>
      </c>
      <c r="B48" s="30">
        <f ca="1" t="array" ref="B48">INDEX(Data_DBD!$B:$B,$A48)</f>
        <v>52</v>
      </c>
      <c r="C48" s="30">
        <f ca="1" t="array" ref="C48">INDEX(Data_DBD!$C:$C,$A48)</f>
        <v>3</v>
      </c>
      <c r="D48" s="30">
        <f ca="1" t="array" ref="D48">INDEX(Data_DBD!$D:$D,$A48)</f>
        <v>4</v>
      </c>
      <c r="E48" s="30">
        <f ca="1" t="array" ref="E48">INDEX(Data_DBD!$E:$E,$A48)</f>
        <v>1</v>
      </c>
      <c r="F48" s="30">
        <f ca="1" t="array" ref="F48">INDEX(Data_DBD!$F:$F,$A48)</f>
        <v>1</v>
      </c>
      <c r="H48" s="30">
        <v>54</v>
      </c>
      <c r="I48" s="30">
        <v>7</v>
      </c>
      <c r="J48" s="30">
        <v>3</v>
      </c>
      <c r="K48" s="30">
        <v>15</v>
      </c>
      <c r="L48" s="30">
        <v>0</v>
      </c>
      <c r="M48" s="30">
        <v>2</v>
      </c>
    </row>
    <row r="49" spans="1:13">
      <c r="A49" s="30">
        <f ca="1" t="shared" si="0"/>
        <v>53</v>
      </c>
      <c r="B49" s="30">
        <f ca="1" t="array" ref="B49">INDEX(Data_DBD!$B:$B,$A49)</f>
        <v>35</v>
      </c>
      <c r="C49" s="30">
        <f ca="1" t="array" ref="C49">INDEX(Data_DBD!$C:$C,$A49)</f>
        <v>4</v>
      </c>
      <c r="D49" s="30">
        <f ca="1" t="array" ref="D49">INDEX(Data_DBD!$D:$D,$A49)</f>
        <v>15</v>
      </c>
      <c r="E49" s="30">
        <f ca="1" t="array" ref="E49">INDEX(Data_DBD!$E:$E,$A49)</f>
        <v>1</v>
      </c>
      <c r="F49" s="30">
        <f ca="1" t="array" ref="F49">INDEX(Data_DBD!$F:$F,$A49)</f>
        <v>2</v>
      </c>
      <c r="H49" s="30">
        <v>117</v>
      </c>
      <c r="I49" s="30">
        <v>49</v>
      </c>
      <c r="J49" s="30">
        <v>4</v>
      </c>
      <c r="K49" s="30">
        <v>33</v>
      </c>
      <c r="L49" s="30">
        <v>1</v>
      </c>
      <c r="M49" s="30">
        <v>3</v>
      </c>
    </row>
    <row r="50" spans="1:13">
      <c r="A50" s="30">
        <f ca="1" t="shared" si="0"/>
        <v>114</v>
      </c>
      <c r="B50" s="30">
        <f ca="1" t="array" ref="B50">INDEX(Data_DBD!$B:$B,$A50)</f>
        <v>14</v>
      </c>
      <c r="C50" s="30">
        <f ca="1" t="array" ref="C50">INDEX(Data_DBD!$C:$C,$A50)</f>
        <v>2</v>
      </c>
      <c r="D50" s="30">
        <f ca="1" t="array" ref="D50">INDEX(Data_DBD!$D:$D,$A50)</f>
        <v>33</v>
      </c>
      <c r="E50" s="30">
        <f ca="1" t="array" ref="E50">INDEX(Data_DBD!$E:$E,$A50)</f>
        <v>1</v>
      </c>
      <c r="F50" s="30">
        <f ca="1" t="array" ref="F50">INDEX(Data_DBD!$F:$F,$A50)</f>
        <v>3</v>
      </c>
      <c r="H50" s="30">
        <v>65</v>
      </c>
      <c r="I50" s="30">
        <v>49</v>
      </c>
      <c r="J50" s="30">
        <v>3</v>
      </c>
      <c r="K50" s="30">
        <v>15</v>
      </c>
      <c r="L50" s="30">
        <v>0</v>
      </c>
      <c r="M50" s="30">
        <v>2</v>
      </c>
    </row>
    <row r="51" spans="1:13">
      <c r="A51" s="30">
        <f ca="1" t="shared" si="0"/>
        <v>88</v>
      </c>
      <c r="B51" s="30">
        <f ca="1" t="array" ref="B51">INDEX(Data_DBD!$B:$B,$A51)</f>
        <v>20</v>
      </c>
      <c r="C51" s="30">
        <f ca="1" t="array" ref="C51">INDEX(Data_DBD!$C:$C,$A51)</f>
        <v>4</v>
      </c>
      <c r="D51" s="30">
        <f ca="1" t="array" ref="D51">INDEX(Data_DBD!$D:$D,$A51)</f>
        <v>13</v>
      </c>
      <c r="E51" s="30">
        <f ca="1" t="array" ref="E51">INDEX(Data_DBD!$E:$E,$A51)</f>
        <v>1</v>
      </c>
      <c r="F51" s="30">
        <f ca="1" t="array" ref="F51">INDEX(Data_DBD!$F:$F,$A51)</f>
        <v>2</v>
      </c>
      <c r="H51" s="30">
        <v>124</v>
      </c>
      <c r="I51" s="30">
        <v>24</v>
      </c>
      <c r="J51" s="30">
        <v>3</v>
      </c>
      <c r="K51" s="30">
        <v>33</v>
      </c>
      <c r="L51" s="30">
        <v>1</v>
      </c>
      <c r="M51" s="30">
        <v>3</v>
      </c>
    </row>
    <row r="52" spans="1:13">
      <c r="A52" s="30">
        <f ca="1" t="shared" si="0"/>
        <v>38</v>
      </c>
      <c r="B52" s="30">
        <f ca="1" t="array" ref="B52">INDEX(Data_DBD!$B:$B,$A52)</f>
        <v>52</v>
      </c>
      <c r="C52" s="30">
        <f ca="1" t="array" ref="C52">INDEX(Data_DBD!$C:$C,$A52)</f>
        <v>3</v>
      </c>
      <c r="D52" s="30">
        <f ca="1" t="array" ref="D52">INDEX(Data_DBD!$D:$D,$A52)</f>
        <v>4</v>
      </c>
      <c r="E52" s="30">
        <f ca="1" t="array" ref="E52">INDEX(Data_DBD!$E:$E,$A52)</f>
        <v>1</v>
      </c>
      <c r="F52" s="30">
        <f ca="1" t="array" ref="F52">INDEX(Data_DBD!$F:$F,$A52)</f>
        <v>1</v>
      </c>
      <c r="H52" s="30">
        <v>160</v>
      </c>
      <c r="I52" s="30">
        <v>16</v>
      </c>
      <c r="J52" s="30">
        <v>3</v>
      </c>
      <c r="K52" s="30">
        <v>21</v>
      </c>
      <c r="L52" s="30">
        <v>0</v>
      </c>
      <c r="M52" s="30">
        <v>3</v>
      </c>
    </row>
    <row r="53" spans="1:13">
      <c r="A53" s="30">
        <f ca="1" t="shared" si="0"/>
        <v>43</v>
      </c>
      <c r="B53" s="30">
        <f ca="1" t="array" ref="B53">INDEX(Data_DBD!$B:$B,$A53)</f>
        <v>15</v>
      </c>
      <c r="C53" s="30">
        <f ca="1" t="array" ref="C53">INDEX(Data_DBD!$C:$C,$A53)</f>
        <v>4</v>
      </c>
      <c r="D53" s="30">
        <f ca="1" t="array" ref="D53">INDEX(Data_DBD!$D:$D,$A53)</f>
        <v>13</v>
      </c>
      <c r="E53" s="30">
        <f ca="1" t="array" ref="E53">INDEX(Data_DBD!$E:$E,$A53)</f>
        <v>0</v>
      </c>
      <c r="F53" s="30">
        <f ca="1" t="array" ref="F53">INDEX(Data_DBD!$F:$F,$A53)</f>
        <v>2</v>
      </c>
      <c r="H53" s="30">
        <v>127</v>
      </c>
      <c r="I53" s="30">
        <v>21</v>
      </c>
      <c r="J53" s="30">
        <v>2</v>
      </c>
      <c r="K53" s="30">
        <v>33</v>
      </c>
      <c r="L53" s="30">
        <v>0</v>
      </c>
      <c r="M53" s="30">
        <v>3</v>
      </c>
    </row>
    <row r="54" spans="1:13">
      <c r="A54" s="30">
        <f ca="1" t="shared" si="0"/>
        <v>99</v>
      </c>
      <c r="B54" s="30">
        <f ca="1" t="array" ref="B54">INDEX(Data_DBD!$B:$B,$A54)</f>
        <v>4</v>
      </c>
      <c r="C54" s="30">
        <f ca="1" t="array" ref="C54">INDEX(Data_DBD!$C:$C,$A54)</f>
        <v>2</v>
      </c>
      <c r="D54" s="30">
        <f ca="1" t="array" ref="D54">INDEX(Data_DBD!$D:$D,$A54)</f>
        <v>18</v>
      </c>
      <c r="E54" s="30">
        <f ca="1" t="array" ref="E54">INDEX(Data_DBD!$E:$E,$A54)</f>
        <v>1</v>
      </c>
      <c r="F54" s="30">
        <f ca="1" t="array" ref="F54">INDEX(Data_DBD!$F:$F,$A54)</f>
        <v>3</v>
      </c>
      <c r="H54" s="30">
        <v>103</v>
      </c>
      <c r="I54" s="30">
        <v>22</v>
      </c>
      <c r="J54" s="30">
        <v>5</v>
      </c>
      <c r="K54" s="30">
        <v>18</v>
      </c>
      <c r="L54" s="30">
        <v>0</v>
      </c>
      <c r="M54" s="30">
        <v>3</v>
      </c>
    </row>
    <row r="55" spans="1:13">
      <c r="A55" s="30">
        <f ca="1" t="shared" si="0"/>
        <v>148</v>
      </c>
      <c r="B55" s="30">
        <f ca="1" t="array" ref="B55">INDEX(Data_DBD!$B:$B,$A55)</f>
        <v>55</v>
      </c>
      <c r="C55" s="30">
        <f ca="1" t="array" ref="C55">INDEX(Data_DBD!$C:$C,$A55)</f>
        <v>3</v>
      </c>
      <c r="D55" s="30">
        <f ca="1" t="array" ref="D55">INDEX(Data_DBD!$D:$D,$A55)</f>
        <v>21</v>
      </c>
      <c r="E55" s="30">
        <f ca="1" t="array" ref="E55">INDEX(Data_DBD!$E:$E,$A55)</f>
        <v>1</v>
      </c>
      <c r="F55" s="30">
        <f ca="1" t="array" ref="F55">INDEX(Data_DBD!$F:$F,$A55)</f>
        <v>3</v>
      </c>
      <c r="H55" s="30">
        <v>132</v>
      </c>
      <c r="I55" s="30">
        <v>10</v>
      </c>
      <c r="J55" s="30">
        <v>3</v>
      </c>
      <c r="K55" s="30">
        <v>33</v>
      </c>
      <c r="L55" s="30">
        <v>1</v>
      </c>
      <c r="M55" s="30">
        <v>3</v>
      </c>
    </row>
    <row r="56" spans="1:13">
      <c r="A56" s="30">
        <f ca="1" t="shared" si="0"/>
        <v>152</v>
      </c>
      <c r="B56" s="30">
        <f ca="1" t="array" ref="B56">INDEX(Data_DBD!$B:$B,$A56)</f>
        <v>47</v>
      </c>
      <c r="C56" s="30">
        <f ca="1" t="array" ref="C56">INDEX(Data_DBD!$C:$C,$A56)</f>
        <v>3</v>
      </c>
      <c r="D56" s="30">
        <f ca="1" t="array" ref="D56">INDEX(Data_DBD!$D:$D,$A56)</f>
        <v>21</v>
      </c>
      <c r="E56" s="30">
        <f ca="1" t="array" ref="E56">INDEX(Data_DBD!$E:$E,$A56)</f>
        <v>1</v>
      </c>
      <c r="F56" s="30">
        <f ca="1" t="array" ref="F56">INDEX(Data_DBD!$F:$F,$A56)</f>
        <v>3</v>
      </c>
      <c r="H56" s="30">
        <v>141</v>
      </c>
      <c r="I56" s="30">
        <v>36</v>
      </c>
      <c r="J56" s="30">
        <v>2</v>
      </c>
      <c r="K56" s="30">
        <v>21</v>
      </c>
      <c r="L56" s="30">
        <v>0</v>
      </c>
      <c r="M56" s="30">
        <v>3</v>
      </c>
    </row>
    <row r="57" spans="1:13">
      <c r="A57" s="30">
        <f ca="1" t="shared" si="0"/>
        <v>83</v>
      </c>
      <c r="B57" s="30">
        <f ca="1" t="array" ref="B57">INDEX(Data_DBD!$B:$B,$A57)</f>
        <v>50</v>
      </c>
      <c r="C57" s="30">
        <f ca="1" t="array" ref="C57">INDEX(Data_DBD!$C:$C,$A57)</f>
        <v>3</v>
      </c>
      <c r="D57" s="30">
        <f ca="1" t="array" ref="D57">INDEX(Data_DBD!$D:$D,$A57)</f>
        <v>13</v>
      </c>
      <c r="E57" s="30">
        <f ca="1" t="array" ref="E57">INDEX(Data_DBD!$E:$E,$A57)</f>
        <v>0</v>
      </c>
      <c r="F57" s="30">
        <f ca="1" t="array" ref="F57">INDEX(Data_DBD!$F:$F,$A57)</f>
        <v>2</v>
      </c>
      <c r="H57" s="30">
        <v>39</v>
      </c>
      <c r="I57" s="30">
        <v>12</v>
      </c>
      <c r="J57" s="30">
        <v>5</v>
      </c>
      <c r="K57" s="30">
        <v>13</v>
      </c>
      <c r="L57" s="30">
        <v>1</v>
      </c>
      <c r="M57" s="30">
        <v>2</v>
      </c>
    </row>
    <row r="58" spans="1:13">
      <c r="A58" s="30">
        <f ca="1" t="shared" si="0"/>
        <v>131</v>
      </c>
      <c r="B58" s="30">
        <f ca="1" t="array" ref="B58">INDEX(Data_DBD!$B:$B,$A58)</f>
        <v>10</v>
      </c>
      <c r="C58" s="30">
        <f ca="1" t="array" ref="C58">INDEX(Data_DBD!$C:$C,$A58)</f>
        <v>2</v>
      </c>
      <c r="D58" s="30">
        <f ca="1" t="array" ref="D58">INDEX(Data_DBD!$D:$D,$A58)</f>
        <v>33</v>
      </c>
      <c r="E58" s="30">
        <f ca="1" t="array" ref="E58">INDEX(Data_DBD!$E:$E,$A58)</f>
        <v>0</v>
      </c>
      <c r="F58" s="30">
        <f ca="1" t="array" ref="F58">INDEX(Data_DBD!$F:$F,$A58)</f>
        <v>3</v>
      </c>
      <c r="H58" s="30">
        <v>30</v>
      </c>
      <c r="I58" s="30" t="s">
        <v>36</v>
      </c>
      <c r="J58" s="30">
        <v>2</v>
      </c>
      <c r="K58" s="30">
        <v>14</v>
      </c>
      <c r="L58" s="30">
        <v>1</v>
      </c>
      <c r="M58" s="30">
        <v>2</v>
      </c>
    </row>
    <row r="59" spans="1:13">
      <c r="A59" s="30">
        <f ca="1" t="shared" si="0"/>
        <v>36</v>
      </c>
      <c r="B59" s="30">
        <f ca="1" t="array" ref="B59">INDEX(Data_DBD!$B:$B,$A59)</f>
        <v>27</v>
      </c>
      <c r="C59" s="30">
        <f ca="1" t="array" ref="C59">INDEX(Data_DBD!$C:$C,$A59)</f>
        <v>1</v>
      </c>
      <c r="D59" s="30">
        <f ca="1" t="array" ref="D59">INDEX(Data_DBD!$D:$D,$A59)</f>
        <v>4</v>
      </c>
      <c r="E59" s="30">
        <f ca="1" t="array" ref="E59">INDEX(Data_DBD!$E:$E,$A59)</f>
        <v>1</v>
      </c>
      <c r="F59" s="30">
        <f ca="1" t="array" ref="F59">INDEX(Data_DBD!$F:$F,$A59)</f>
        <v>1</v>
      </c>
      <c r="H59" s="30">
        <v>25</v>
      </c>
      <c r="I59" s="30">
        <v>81</v>
      </c>
      <c r="J59" s="30">
        <v>5</v>
      </c>
      <c r="K59" s="30">
        <v>14</v>
      </c>
      <c r="L59" s="30">
        <v>0</v>
      </c>
      <c r="M59" s="30">
        <v>2</v>
      </c>
    </row>
    <row r="60" spans="1:13">
      <c r="A60" s="30">
        <f ca="1" t="shared" si="0"/>
        <v>75</v>
      </c>
      <c r="B60" s="30">
        <f ca="1" t="array" ref="B60">INDEX(Data_DBD!$B:$B,$A60)</f>
        <v>2</v>
      </c>
      <c r="C60" s="30">
        <f ca="1" t="array" ref="C60">INDEX(Data_DBD!$C:$C,$A60)</f>
        <v>2</v>
      </c>
      <c r="D60" s="30">
        <f ca="1" t="array" ref="D60">INDEX(Data_DBD!$D:$D,$A60)</f>
        <v>10</v>
      </c>
      <c r="E60" s="30">
        <f ca="1" t="array" ref="E60">INDEX(Data_DBD!$E:$E,$A60)</f>
        <v>1</v>
      </c>
      <c r="F60" s="30">
        <f ca="1" t="array" ref="F60">INDEX(Data_DBD!$F:$F,$A60)</f>
        <v>2</v>
      </c>
      <c r="H60" s="30">
        <v>73</v>
      </c>
      <c r="I60" s="30">
        <v>15</v>
      </c>
      <c r="J60" s="30">
        <v>3</v>
      </c>
      <c r="K60" s="30">
        <v>10</v>
      </c>
      <c r="L60" s="30">
        <v>1</v>
      </c>
      <c r="M60" s="30">
        <v>2</v>
      </c>
    </row>
    <row r="61" spans="1:13">
      <c r="A61" s="30">
        <f ca="1" t="shared" si="0"/>
        <v>92</v>
      </c>
      <c r="B61" s="30">
        <f ca="1" t="array" ref="B61">INDEX(Data_DBD!$B:$B,$A61)</f>
        <v>55</v>
      </c>
      <c r="C61" s="30">
        <f ca="1" t="array" ref="C61">INDEX(Data_DBD!$C:$C,$A61)</f>
        <v>7</v>
      </c>
      <c r="D61" s="30">
        <f ca="1" t="array" ref="D61">INDEX(Data_DBD!$D:$D,$A61)</f>
        <v>18</v>
      </c>
      <c r="E61" s="30">
        <f ca="1" t="array" ref="E61">INDEX(Data_DBD!$E:$E,$A61)</f>
        <v>0</v>
      </c>
      <c r="F61" s="30">
        <f ca="1" t="array" ref="F61">INDEX(Data_DBD!$F:$F,$A61)</f>
        <v>3</v>
      </c>
      <c r="H61" s="30">
        <v>64</v>
      </c>
      <c r="I61" s="30">
        <v>35</v>
      </c>
      <c r="J61" s="30">
        <v>1</v>
      </c>
      <c r="K61" s="30">
        <v>15</v>
      </c>
      <c r="L61" s="30">
        <v>0</v>
      </c>
      <c r="M61" s="30">
        <v>2</v>
      </c>
    </row>
    <row r="62" spans="1:13">
      <c r="A62" s="30">
        <f ca="1" t="shared" si="0"/>
        <v>73</v>
      </c>
      <c r="B62" s="30">
        <f ca="1" t="array" ref="B62">INDEX(Data_DBD!$B:$B,$A62)</f>
        <v>15</v>
      </c>
      <c r="C62" s="30">
        <f ca="1" t="array" ref="C62">INDEX(Data_DBD!$C:$C,$A62)</f>
        <v>3</v>
      </c>
      <c r="D62" s="30">
        <f ca="1" t="array" ref="D62">INDEX(Data_DBD!$D:$D,$A62)</f>
        <v>10</v>
      </c>
      <c r="E62" s="30">
        <f ca="1" t="array" ref="E62">INDEX(Data_DBD!$E:$E,$A62)</f>
        <v>1</v>
      </c>
      <c r="F62" s="30">
        <f ca="1" t="array" ref="F62">INDEX(Data_DBD!$F:$F,$A62)</f>
        <v>2</v>
      </c>
      <c r="H62" s="30">
        <v>68</v>
      </c>
      <c r="I62" s="30">
        <v>44</v>
      </c>
      <c r="J62" s="30">
        <v>5</v>
      </c>
      <c r="K62" s="30">
        <v>10</v>
      </c>
      <c r="L62" s="30">
        <v>0</v>
      </c>
      <c r="M62" s="30">
        <v>2</v>
      </c>
    </row>
    <row r="63" spans="1:13">
      <c r="A63" s="30">
        <f ca="1" t="shared" si="0"/>
        <v>61</v>
      </c>
      <c r="B63" s="30">
        <f ca="1" t="array" ref="B63">INDEX(Data_DBD!$B:$B,$A63)</f>
        <v>29</v>
      </c>
      <c r="C63" s="30">
        <f ca="1" t="array" ref="C63">INDEX(Data_DBD!$C:$C,$A63)</f>
        <v>3</v>
      </c>
      <c r="D63" s="30">
        <f ca="1" t="array" ref="D63">INDEX(Data_DBD!$D:$D,$A63)</f>
        <v>15</v>
      </c>
      <c r="E63" s="30">
        <f ca="1" t="array" ref="E63">INDEX(Data_DBD!$E:$E,$A63)</f>
        <v>1</v>
      </c>
      <c r="F63" s="30">
        <f ca="1" t="array" ref="F63">INDEX(Data_DBD!$F:$F,$A63)</f>
        <v>2</v>
      </c>
      <c r="H63" s="30">
        <v>60</v>
      </c>
      <c r="I63" s="30">
        <v>68</v>
      </c>
      <c r="J63" s="30">
        <v>4</v>
      </c>
      <c r="K63" s="30">
        <v>15</v>
      </c>
      <c r="L63" s="30">
        <v>0</v>
      </c>
      <c r="M63" s="30">
        <v>2</v>
      </c>
    </row>
    <row r="64" spans="1:13">
      <c r="A64" s="30">
        <f ca="1" t="shared" si="0"/>
        <v>93</v>
      </c>
      <c r="B64" s="30">
        <f ca="1" t="array" ref="B64">INDEX(Data_DBD!$B:$B,$A64)</f>
        <v>65</v>
      </c>
      <c r="C64" s="30">
        <f ca="1" t="array" ref="C64">INDEX(Data_DBD!$C:$C,$A64)</f>
        <v>4</v>
      </c>
      <c r="D64" s="30">
        <f ca="1" t="array" ref="D64">INDEX(Data_DBD!$D:$D,$A64)</f>
        <v>18</v>
      </c>
      <c r="E64" s="30">
        <f ca="1" t="array" ref="E64">INDEX(Data_DBD!$E:$E,$A64)</f>
        <v>0</v>
      </c>
      <c r="F64" s="30">
        <f ca="1" t="array" ref="F64">INDEX(Data_DBD!$F:$F,$A64)</f>
        <v>3</v>
      </c>
      <c r="H64" s="30">
        <v>66</v>
      </c>
      <c r="I64" s="30">
        <v>21</v>
      </c>
      <c r="J64" s="30">
        <v>5</v>
      </c>
      <c r="K64" s="30">
        <v>15</v>
      </c>
      <c r="L64" s="30">
        <v>1</v>
      </c>
      <c r="M64" s="30">
        <v>2</v>
      </c>
    </row>
    <row r="65" spans="1:13">
      <c r="A65" s="30">
        <f ca="1" t="shared" si="0"/>
        <v>63</v>
      </c>
      <c r="B65" s="30">
        <f ca="1" t="array" ref="B65">INDEX(Data_DBD!$B:$B,$A65)</f>
        <v>25</v>
      </c>
      <c r="C65" s="30">
        <f ca="1" t="array" ref="C65">INDEX(Data_DBD!$C:$C,$A65)</f>
        <v>3</v>
      </c>
      <c r="D65" s="30">
        <f ca="1" t="array" ref="D65">INDEX(Data_DBD!$D:$D,$A65)</f>
        <v>15</v>
      </c>
      <c r="E65" s="30">
        <f ca="1" t="array" ref="E65">INDEX(Data_DBD!$E:$E,$A65)</f>
        <v>0</v>
      </c>
      <c r="F65" s="30">
        <f ca="1" t="array" ref="F65">INDEX(Data_DBD!$F:$F,$A65)</f>
        <v>2</v>
      </c>
      <c r="H65" s="30">
        <v>19</v>
      </c>
      <c r="I65" s="30">
        <v>8</v>
      </c>
      <c r="J65" s="30">
        <v>4</v>
      </c>
      <c r="K65" s="30">
        <v>7</v>
      </c>
      <c r="L65" s="30">
        <v>0</v>
      </c>
      <c r="M65" s="30">
        <v>1</v>
      </c>
    </row>
    <row r="66" spans="1:13">
      <c r="A66" s="30">
        <f ca="1" t="shared" si="0"/>
        <v>121</v>
      </c>
      <c r="B66" s="30">
        <f ca="1" t="array" ref="B66">INDEX(Data_DBD!$B:$B,$A66)</f>
        <v>82</v>
      </c>
      <c r="C66" s="30">
        <f ca="1" t="array" ref="C66">INDEX(Data_DBD!$C:$C,$A66)</f>
        <v>5</v>
      </c>
      <c r="D66" s="30">
        <f ca="1" t="array" ref="D66">INDEX(Data_DBD!$D:$D,$A66)</f>
        <v>33</v>
      </c>
      <c r="E66" s="30">
        <f ca="1" t="array" ref="E66">INDEX(Data_DBD!$E:$E,$A66)</f>
        <v>1</v>
      </c>
      <c r="F66" s="30">
        <f ca="1" t="array" ref="F66">INDEX(Data_DBD!$F:$F,$A66)</f>
        <v>3</v>
      </c>
      <c r="H66" s="30">
        <v>88</v>
      </c>
      <c r="I66" s="30">
        <v>20</v>
      </c>
      <c r="J66" s="30">
        <v>4</v>
      </c>
      <c r="K66" s="30">
        <v>13</v>
      </c>
      <c r="L66" s="30">
        <v>1</v>
      </c>
      <c r="M66" s="30">
        <v>2</v>
      </c>
    </row>
    <row r="67" spans="1:13">
      <c r="A67" s="30">
        <f ca="1" t="shared" ref="A67:A130" si="1">RANDBETWEEN(2,164)</f>
        <v>80</v>
      </c>
      <c r="B67" s="30">
        <f ca="1" t="array" ref="B67">INDEX(Data_DBD!$B:$B,$A67)</f>
        <v>27</v>
      </c>
      <c r="C67" s="30">
        <f ca="1" t="array" ref="C67">INDEX(Data_DBD!$C:$C,$A67)</f>
        <v>3</v>
      </c>
      <c r="D67" s="30">
        <f ca="1" t="array" ref="D67">INDEX(Data_DBD!$D:$D,$A67)</f>
        <v>13</v>
      </c>
      <c r="E67" s="30">
        <f ca="1" t="array" ref="E67">INDEX(Data_DBD!$E:$E,$A67)</f>
        <v>1</v>
      </c>
      <c r="F67" s="30">
        <f ca="1" t="array" ref="F67">INDEX(Data_DBD!$F:$F,$A67)</f>
        <v>2</v>
      </c>
      <c r="H67" s="30">
        <v>28</v>
      </c>
      <c r="I67" s="30">
        <v>22</v>
      </c>
      <c r="J67" s="30">
        <v>2</v>
      </c>
      <c r="K67" s="30">
        <v>14</v>
      </c>
      <c r="L67" s="30">
        <v>1</v>
      </c>
      <c r="M67" s="30">
        <v>2</v>
      </c>
    </row>
    <row r="68" spans="1:13">
      <c r="A68" s="30">
        <f ca="1" t="shared" si="1"/>
        <v>110</v>
      </c>
      <c r="B68" s="30">
        <f ca="1" t="array" ref="B68">INDEX(Data_DBD!$B:$B,$A68)</f>
        <v>42</v>
      </c>
      <c r="C68" s="30">
        <f ca="1" t="array" ref="C68">INDEX(Data_DBD!$C:$C,$A68)</f>
        <v>2</v>
      </c>
      <c r="D68" s="30">
        <f ca="1" t="array" ref="D68">INDEX(Data_DBD!$D:$D,$A68)</f>
        <v>33</v>
      </c>
      <c r="E68" s="30">
        <f ca="1" t="array" ref="E68">INDEX(Data_DBD!$E:$E,$A68)</f>
        <v>1</v>
      </c>
      <c r="F68" s="30">
        <f ca="1" t="array" ref="F68">INDEX(Data_DBD!$F:$F,$A68)</f>
        <v>3</v>
      </c>
      <c r="H68" s="30">
        <v>50</v>
      </c>
      <c r="I68" s="30">
        <v>19</v>
      </c>
      <c r="J68" s="30">
        <v>5</v>
      </c>
      <c r="K68" s="30">
        <v>13</v>
      </c>
      <c r="L68" s="30">
        <v>0</v>
      </c>
      <c r="M68" s="30">
        <v>2</v>
      </c>
    </row>
    <row r="69" spans="1:13">
      <c r="A69" s="30">
        <f ca="1" t="shared" si="1"/>
        <v>2</v>
      </c>
      <c r="B69" s="30">
        <f ca="1" t="array" ref="B69">INDEX(Data_DBD!$B:$B,$A69)</f>
        <v>34</v>
      </c>
      <c r="C69" s="30">
        <f ca="1" t="array" ref="C69">INDEX(Data_DBD!$C:$C,$A69)</f>
        <v>3</v>
      </c>
      <c r="D69" s="30">
        <f ca="1" t="array" ref="D69">INDEX(Data_DBD!$D:$D,$A69)</f>
        <v>12</v>
      </c>
      <c r="E69" s="30">
        <f ca="1" t="array" ref="E69">INDEX(Data_DBD!$E:$E,$A69)</f>
        <v>0</v>
      </c>
      <c r="F69" s="30">
        <f ca="1" t="array" ref="F69">INDEX(Data_DBD!$F:$F,$A69)</f>
        <v>2</v>
      </c>
      <c r="H69" s="30">
        <v>118</v>
      </c>
      <c r="I69" s="30">
        <v>67</v>
      </c>
      <c r="J69" s="30">
        <v>4</v>
      </c>
      <c r="K69" s="30">
        <v>33</v>
      </c>
      <c r="L69" s="30">
        <v>1</v>
      </c>
      <c r="M69" s="30">
        <v>3</v>
      </c>
    </row>
    <row r="70" spans="1:13">
      <c r="A70" s="30">
        <f ca="1" t="shared" si="1"/>
        <v>14</v>
      </c>
      <c r="B70" s="30">
        <f ca="1" t="array" ref="B70">INDEX(Data_DBD!$B:$B,$A70)</f>
        <v>49</v>
      </c>
      <c r="C70" s="30">
        <f ca="1" t="array" ref="C70">INDEX(Data_DBD!$C:$C,$A70)</f>
        <v>4</v>
      </c>
      <c r="D70" s="30">
        <f ca="1" t="array" ref="D70">INDEX(Data_DBD!$D:$D,$A70)</f>
        <v>7</v>
      </c>
      <c r="E70" s="30">
        <f ca="1" t="array" ref="E70">INDEX(Data_DBD!$E:$E,$A70)</f>
        <v>1</v>
      </c>
      <c r="F70" s="30">
        <f ca="1" t="array" ref="F70">INDEX(Data_DBD!$F:$F,$A70)</f>
        <v>1</v>
      </c>
      <c r="H70" s="30">
        <v>5</v>
      </c>
      <c r="I70" s="30">
        <v>18</v>
      </c>
      <c r="J70" s="30">
        <v>2</v>
      </c>
      <c r="K70" s="30">
        <v>12</v>
      </c>
      <c r="L70" s="30">
        <v>1</v>
      </c>
      <c r="M70" s="30">
        <v>2</v>
      </c>
    </row>
    <row r="71" spans="1:13">
      <c r="A71" s="30">
        <f ca="1" t="shared" si="1"/>
        <v>56</v>
      </c>
      <c r="B71" s="30">
        <f ca="1" t="array" ref="B71">INDEX(Data_DBD!$B:$B,$A71)</f>
        <v>4</v>
      </c>
      <c r="C71" s="30">
        <f ca="1" t="array" ref="C71">INDEX(Data_DBD!$C:$C,$A71)</f>
        <v>3</v>
      </c>
      <c r="D71" s="30">
        <f ca="1" t="array" ref="D71">INDEX(Data_DBD!$D:$D,$A71)</f>
        <v>15</v>
      </c>
      <c r="E71" s="30">
        <f ca="1" t="array" ref="E71">INDEX(Data_DBD!$E:$E,$A71)</f>
        <v>0</v>
      </c>
      <c r="F71" s="30">
        <f ca="1" t="array" ref="F71">INDEX(Data_DBD!$F:$F,$A71)</f>
        <v>2</v>
      </c>
      <c r="H71" s="30">
        <v>5</v>
      </c>
      <c r="I71" s="30">
        <v>18</v>
      </c>
      <c r="J71" s="30">
        <v>2</v>
      </c>
      <c r="K71" s="30">
        <v>12</v>
      </c>
      <c r="L71" s="30">
        <v>1</v>
      </c>
      <c r="M71" s="30">
        <v>2</v>
      </c>
    </row>
    <row r="72" spans="1:13">
      <c r="A72" s="30">
        <f ca="1" t="shared" si="1"/>
        <v>75</v>
      </c>
      <c r="B72" s="30">
        <f ca="1" t="array" ref="B72">INDEX(Data_DBD!$B:$B,$A72)</f>
        <v>2</v>
      </c>
      <c r="C72" s="30">
        <f ca="1" t="array" ref="C72">INDEX(Data_DBD!$C:$C,$A72)</f>
        <v>2</v>
      </c>
      <c r="D72" s="30">
        <f ca="1" t="array" ref="D72">INDEX(Data_DBD!$D:$D,$A72)</f>
        <v>10</v>
      </c>
      <c r="E72" s="30">
        <f ca="1" t="array" ref="E72">INDEX(Data_DBD!$E:$E,$A72)</f>
        <v>1</v>
      </c>
      <c r="F72" s="30">
        <f ca="1" t="array" ref="F72">INDEX(Data_DBD!$F:$F,$A72)</f>
        <v>2</v>
      </c>
      <c r="H72" s="30">
        <v>27</v>
      </c>
      <c r="I72" s="30">
        <v>37</v>
      </c>
      <c r="J72" s="30">
        <v>4</v>
      </c>
      <c r="K72" s="30">
        <v>14</v>
      </c>
      <c r="L72" s="30">
        <v>1</v>
      </c>
      <c r="M72" s="30">
        <v>2</v>
      </c>
    </row>
    <row r="73" spans="1:13">
      <c r="A73" s="30">
        <f ca="1" t="shared" si="1"/>
        <v>134</v>
      </c>
      <c r="B73" s="30">
        <f ca="1" t="array" ref="B73">INDEX(Data_DBD!$B:$B,$A73)</f>
        <v>4</v>
      </c>
      <c r="C73" s="30">
        <f ca="1" t="array" ref="C73">INDEX(Data_DBD!$C:$C,$A73)</f>
        <v>2</v>
      </c>
      <c r="D73" s="30">
        <f ca="1" t="array" ref="D73">INDEX(Data_DBD!$D:$D,$A73)</f>
        <v>33</v>
      </c>
      <c r="E73" s="30">
        <f ca="1" t="array" ref="E73">INDEX(Data_DBD!$E:$E,$A73)</f>
        <v>1</v>
      </c>
      <c r="F73" s="30">
        <f ca="1" t="array" ref="F73">INDEX(Data_DBD!$F:$F,$A73)</f>
        <v>3</v>
      </c>
      <c r="H73" s="30">
        <v>148</v>
      </c>
      <c r="I73" s="30">
        <v>55</v>
      </c>
      <c r="J73" s="30">
        <v>3</v>
      </c>
      <c r="K73" s="30">
        <v>21</v>
      </c>
      <c r="L73" s="30">
        <v>1</v>
      </c>
      <c r="M73" s="30">
        <v>3</v>
      </c>
    </row>
    <row r="74" spans="1:13">
      <c r="A74" s="30">
        <f ca="1" t="shared" si="1"/>
        <v>36</v>
      </c>
      <c r="B74" s="30">
        <f ca="1" t="array" ref="B74">INDEX(Data_DBD!$B:$B,$A74)</f>
        <v>27</v>
      </c>
      <c r="C74" s="30">
        <f ca="1" t="array" ref="C74">INDEX(Data_DBD!$C:$C,$A74)</f>
        <v>1</v>
      </c>
      <c r="D74" s="30">
        <f ca="1" t="array" ref="D74">INDEX(Data_DBD!$D:$D,$A74)</f>
        <v>4</v>
      </c>
      <c r="E74" s="30">
        <f ca="1" t="array" ref="E74">INDEX(Data_DBD!$E:$E,$A74)</f>
        <v>1</v>
      </c>
      <c r="F74" s="30">
        <f ca="1" t="array" ref="F74">INDEX(Data_DBD!$F:$F,$A74)</f>
        <v>1</v>
      </c>
      <c r="H74" s="30">
        <v>108</v>
      </c>
      <c r="I74" s="30">
        <v>69</v>
      </c>
      <c r="J74" s="30">
        <v>7</v>
      </c>
      <c r="K74" s="30">
        <v>33</v>
      </c>
      <c r="L74" s="30">
        <v>1</v>
      </c>
      <c r="M74" s="30">
        <v>3</v>
      </c>
    </row>
    <row r="75" spans="1:13">
      <c r="A75" s="30">
        <f ca="1" t="shared" si="1"/>
        <v>44</v>
      </c>
      <c r="B75" s="30">
        <f ca="1" t="array" ref="B75">INDEX(Data_DBD!$B:$B,$A75)</f>
        <v>28</v>
      </c>
      <c r="C75" s="30">
        <f ca="1" t="array" ref="C75">INDEX(Data_DBD!$C:$C,$A75)</f>
        <v>5</v>
      </c>
      <c r="D75" s="30">
        <f ca="1" t="array" ref="D75">INDEX(Data_DBD!$D:$D,$A75)</f>
        <v>13</v>
      </c>
      <c r="E75" s="30">
        <f ca="1" t="array" ref="E75">INDEX(Data_DBD!$E:$E,$A75)</f>
        <v>1</v>
      </c>
      <c r="F75" s="30">
        <f ca="1" t="array" ref="F75">INDEX(Data_DBD!$F:$F,$A75)</f>
        <v>2</v>
      </c>
      <c r="H75" s="30">
        <v>66</v>
      </c>
      <c r="I75" s="30">
        <v>21</v>
      </c>
      <c r="J75" s="30">
        <v>5</v>
      </c>
      <c r="K75" s="30">
        <v>15</v>
      </c>
      <c r="L75" s="30">
        <v>1</v>
      </c>
      <c r="M75" s="30">
        <v>2</v>
      </c>
    </row>
    <row r="76" spans="1:13">
      <c r="A76" s="30">
        <f ca="1" t="shared" si="1"/>
        <v>82</v>
      </c>
      <c r="B76" s="30">
        <f ca="1" t="array" ref="B76">INDEX(Data_DBD!$B:$B,$A76)</f>
        <v>28</v>
      </c>
      <c r="C76" s="30">
        <f ca="1" t="array" ref="C76">INDEX(Data_DBD!$C:$C,$A76)</f>
        <v>3</v>
      </c>
      <c r="D76" s="30">
        <f ca="1" t="array" ref="D76">INDEX(Data_DBD!$D:$D,$A76)</f>
        <v>13</v>
      </c>
      <c r="E76" s="30">
        <f ca="1" t="array" ref="E76">INDEX(Data_DBD!$E:$E,$A76)</f>
        <v>1</v>
      </c>
      <c r="F76" s="30">
        <f ca="1" t="array" ref="F76">INDEX(Data_DBD!$F:$F,$A76)</f>
        <v>2</v>
      </c>
      <c r="H76" s="30">
        <v>135</v>
      </c>
      <c r="I76" s="30">
        <v>10</v>
      </c>
      <c r="J76" s="30">
        <v>2</v>
      </c>
      <c r="K76" s="30">
        <v>33</v>
      </c>
      <c r="L76" s="30">
        <v>0</v>
      </c>
      <c r="M76" s="30">
        <v>3</v>
      </c>
    </row>
    <row r="77" spans="1:13">
      <c r="A77" s="30">
        <f ca="1" t="shared" si="1"/>
        <v>35</v>
      </c>
      <c r="B77" s="30">
        <f ca="1" t="array" ref="B77">INDEX(Data_DBD!$B:$B,$A77)</f>
        <v>40</v>
      </c>
      <c r="C77" s="30">
        <f ca="1" t="array" ref="C77">INDEX(Data_DBD!$C:$C,$A77)</f>
        <v>3</v>
      </c>
      <c r="D77" s="30">
        <f ca="1" t="array" ref="D77">INDEX(Data_DBD!$D:$D,$A77)</f>
        <v>4</v>
      </c>
      <c r="E77" s="30">
        <f ca="1" t="array" ref="E77">INDEX(Data_DBD!$E:$E,$A77)</f>
        <v>1</v>
      </c>
      <c r="F77" s="30">
        <f ca="1" t="array" ref="F77">INDEX(Data_DBD!$F:$F,$A77)</f>
        <v>1</v>
      </c>
      <c r="H77" s="30">
        <v>142</v>
      </c>
      <c r="I77" s="30">
        <v>39</v>
      </c>
      <c r="J77" s="30">
        <v>2</v>
      </c>
      <c r="K77" s="30">
        <v>21</v>
      </c>
      <c r="L77" s="30">
        <v>1</v>
      </c>
      <c r="M77" s="30">
        <v>3</v>
      </c>
    </row>
    <row r="78" spans="1:13">
      <c r="A78" s="30">
        <f ca="1" t="shared" si="1"/>
        <v>39</v>
      </c>
      <c r="B78" s="30">
        <f ca="1" t="array" ref="B78">INDEX(Data_DBD!$B:$B,$A78)</f>
        <v>12</v>
      </c>
      <c r="C78" s="30">
        <f ca="1" t="array" ref="C78">INDEX(Data_DBD!$C:$C,$A78)</f>
        <v>5</v>
      </c>
      <c r="D78" s="30">
        <f ca="1" t="array" ref="D78">INDEX(Data_DBD!$D:$D,$A78)</f>
        <v>13</v>
      </c>
      <c r="E78" s="30">
        <f ca="1" t="array" ref="E78">INDEX(Data_DBD!$E:$E,$A78)</f>
        <v>1</v>
      </c>
      <c r="F78" s="30">
        <f ca="1" t="array" ref="F78">INDEX(Data_DBD!$F:$F,$A78)</f>
        <v>2</v>
      </c>
      <c r="H78" s="30">
        <v>24</v>
      </c>
      <c r="I78" s="30">
        <v>60</v>
      </c>
      <c r="J78" s="30">
        <v>4</v>
      </c>
      <c r="K78" s="30">
        <v>14</v>
      </c>
      <c r="L78" s="30">
        <v>0</v>
      </c>
      <c r="M78" s="30">
        <v>2</v>
      </c>
    </row>
    <row r="79" spans="1:13">
      <c r="A79" s="30">
        <f ca="1" t="shared" si="1"/>
        <v>30</v>
      </c>
      <c r="B79" s="30" t="str">
        <f ca="1" t="array" ref="B79">INDEX(Data_DBD!$B:$B,$A79)</f>
        <v>2,8</v>
      </c>
      <c r="C79" s="30">
        <f ca="1" t="array" ref="C79">INDEX(Data_DBD!$C:$C,$A79)</f>
        <v>2</v>
      </c>
      <c r="D79" s="30">
        <f ca="1" t="array" ref="D79">INDEX(Data_DBD!$D:$D,$A79)</f>
        <v>14</v>
      </c>
      <c r="E79" s="30">
        <f ca="1" t="array" ref="E79">INDEX(Data_DBD!$E:$E,$A79)</f>
        <v>1</v>
      </c>
      <c r="F79" s="30">
        <f ca="1" t="array" ref="F79">INDEX(Data_DBD!$F:$F,$A79)</f>
        <v>2</v>
      </c>
      <c r="H79" s="30">
        <v>140</v>
      </c>
      <c r="I79" s="30">
        <v>74</v>
      </c>
      <c r="J79" s="30">
        <v>5</v>
      </c>
      <c r="K79" s="30">
        <v>21</v>
      </c>
      <c r="L79" s="30">
        <v>1</v>
      </c>
      <c r="M79" s="30">
        <v>3</v>
      </c>
    </row>
    <row r="80" spans="1:13">
      <c r="A80" s="30">
        <f ca="1" t="shared" si="1"/>
        <v>11</v>
      </c>
      <c r="B80" s="30">
        <f ca="1" t="array" ref="B80">INDEX(Data_DBD!$B:$B,$A80)</f>
        <v>24</v>
      </c>
      <c r="C80" s="30">
        <f ca="1" t="array" ref="C80">INDEX(Data_DBD!$C:$C,$A80)</f>
        <v>5</v>
      </c>
      <c r="D80" s="30">
        <f ca="1" t="array" ref="D80">INDEX(Data_DBD!$D:$D,$A80)</f>
        <v>12</v>
      </c>
      <c r="E80" s="30">
        <f ca="1" t="array" ref="E80">INDEX(Data_DBD!$E:$E,$A80)</f>
        <v>1</v>
      </c>
      <c r="F80" s="30">
        <f ca="1" t="array" ref="F80">INDEX(Data_DBD!$F:$F,$A80)</f>
        <v>2</v>
      </c>
      <c r="H80" s="30">
        <v>70</v>
      </c>
      <c r="I80" s="30">
        <v>26</v>
      </c>
      <c r="J80" s="30">
        <v>3</v>
      </c>
      <c r="K80" s="30">
        <v>10</v>
      </c>
      <c r="L80" s="30">
        <v>1</v>
      </c>
      <c r="M80" s="30">
        <v>2</v>
      </c>
    </row>
    <row r="81" spans="1:13">
      <c r="A81" s="30">
        <f ca="1" t="shared" si="1"/>
        <v>16</v>
      </c>
      <c r="B81" s="30">
        <f ca="1" t="array" ref="B81">INDEX(Data_DBD!$B:$B,$A81)</f>
        <v>66</v>
      </c>
      <c r="C81" s="30">
        <f ca="1" t="array" ref="C81">INDEX(Data_DBD!$C:$C,$A81)</f>
        <v>5</v>
      </c>
      <c r="D81" s="30">
        <f ca="1" t="array" ref="D81">INDEX(Data_DBD!$D:$D,$A81)</f>
        <v>7</v>
      </c>
      <c r="E81" s="30">
        <f ca="1" t="array" ref="E81">INDEX(Data_DBD!$E:$E,$A81)</f>
        <v>1</v>
      </c>
      <c r="F81" s="30">
        <f ca="1" t="array" ref="F81">INDEX(Data_DBD!$F:$F,$A81)</f>
        <v>1</v>
      </c>
      <c r="H81" s="30">
        <v>112</v>
      </c>
      <c r="I81" s="30">
        <v>61</v>
      </c>
      <c r="J81" s="30">
        <v>3</v>
      </c>
      <c r="K81" s="30">
        <v>33</v>
      </c>
      <c r="L81" s="30">
        <v>1</v>
      </c>
      <c r="M81" s="30">
        <v>3</v>
      </c>
    </row>
    <row r="82" spans="1:13">
      <c r="A82" s="30">
        <f ca="1" t="shared" si="1"/>
        <v>62</v>
      </c>
      <c r="B82" s="30">
        <f ca="1" t="array" ref="B82">INDEX(Data_DBD!$B:$B,$A82)</f>
        <v>43</v>
      </c>
      <c r="C82" s="30">
        <f ca="1" t="array" ref="C82">INDEX(Data_DBD!$C:$C,$A82)</f>
        <v>4</v>
      </c>
      <c r="D82" s="30">
        <f ca="1" t="array" ref="D82">INDEX(Data_DBD!$D:$D,$A82)</f>
        <v>15</v>
      </c>
      <c r="E82" s="30">
        <f ca="1" t="array" ref="E82">INDEX(Data_DBD!$E:$E,$A82)</f>
        <v>1</v>
      </c>
      <c r="F82" s="30">
        <f ca="1" t="array" ref="F82">INDEX(Data_DBD!$F:$F,$A82)</f>
        <v>2</v>
      </c>
      <c r="H82" s="30">
        <v>35</v>
      </c>
      <c r="I82" s="30">
        <v>40</v>
      </c>
      <c r="J82" s="30">
        <v>3</v>
      </c>
      <c r="K82" s="30">
        <v>4</v>
      </c>
      <c r="L82" s="30">
        <v>1</v>
      </c>
      <c r="M82" s="30">
        <v>1</v>
      </c>
    </row>
    <row r="83" spans="1:13">
      <c r="A83" s="30">
        <f ca="1" t="shared" si="1"/>
        <v>88</v>
      </c>
      <c r="B83" s="30">
        <f ca="1" t="array" ref="B83">INDEX(Data_DBD!$B:$B,$A83)</f>
        <v>20</v>
      </c>
      <c r="C83" s="30">
        <f ca="1" t="array" ref="C83">INDEX(Data_DBD!$C:$C,$A83)</f>
        <v>4</v>
      </c>
      <c r="D83" s="30">
        <f ca="1" t="array" ref="D83">INDEX(Data_DBD!$D:$D,$A83)</f>
        <v>13</v>
      </c>
      <c r="E83" s="30">
        <f ca="1" t="array" ref="E83">INDEX(Data_DBD!$E:$E,$A83)</f>
        <v>1</v>
      </c>
      <c r="F83" s="30">
        <f ca="1" t="array" ref="F83">INDEX(Data_DBD!$F:$F,$A83)</f>
        <v>2</v>
      </c>
      <c r="H83" s="30">
        <v>11</v>
      </c>
      <c r="I83" s="30">
        <v>24</v>
      </c>
      <c r="J83" s="30">
        <v>5</v>
      </c>
      <c r="K83" s="30">
        <v>12</v>
      </c>
      <c r="L83" s="30">
        <v>1</v>
      </c>
      <c r="M83" s="30">
        <v>2</v>
      </c>
    </row>
    <row r="84" spans="1:13">
      <c r="A84" s="30">
        <f ca="1" t="shared" si="1"/>
        <v>5</v>
      </c>
      <c r="B84" s="30">
        <f ca="1" t="array" ref="B84">INDEX(Data_DBD!$B:$B,$A84)</f>
        <v>18</v>
      </c>
      <c r="C84" s="30">
        <f ca="1" t="array" ref="C84">INDEX(Data_DBD!$C:$C,$A84)</f>
        <v>2</v>
      </c>
      <c r="D84" s="30">
        <f ca="1" t="array" ref="D84">INDEX(Data_DBD!$D:$D,$A84)</f>
        <v>12</v>
      </c>
      <c r="E84" s="30">
        <f ca="1" t="array" ref="E84">INDEX(Data_DBD!$E:$E,$A84)</f>
        <v>1</v>
      </c>
      <c r="F84" s="30">
        <f ca="1" t="array" ref="F84">INDEX(Data_DBD!$F:$F,$A84)</f>
        <v>2</v>
      </c>
      <c r="H84" s="30">
        <v>137</v>
      </c>
      <c r="I84" s="30">
        <v>3.5</v>
      </c>
      <c r="J84" s="30">
        <v>1</v>
      </c>
      <c r="K84" s="30">
        <v>33</v>
      </c>
      <c r="L84" s="30">
        <v>1</v>
      </c>
      <c r="M84" s="30">
        <v>3</v>
      </c>
    </row>
    <row r="85" spans="1:13">
      <c r="A85" s="30">
        <f ca="1" t="shared" si="1"/>
        <v>114</v>
      </c>
      <c r="B85" s="30">
        <f ca="1" t="array" ref="B85">INDEX(Data_DBD!$B:$B,$A85)</f>
        <v>14</v>
      </c>
      <c r="C85" s="30">
        <f ca="1" t="array" ref="C85">INDEX(Data_DBD!$C:$C,$A85)</f>
        <v>2</v>
      </c>
      <c r="D85" s="30">
        <f ca="1" t="array" ref="D85">INDEX(Data_DBD!$D:$D,$A85)</f>
        <v>33</v>
      </c>
      <c r="E85" s="30">
        <f ca="1" t="array" ref="E85">INDEX(Data_DBD!$E:$E,$A85)</f>
        <v>1</v>
      </c>
      <c r="F85" s="30">
        <f ca="1" t="array" ref="F85">INDEX(Data_DBD!$F:$F,$A85)</f>
        <v>3</v>
      </c>
      <c r="H85" s="30">
        <v>46</v>
      </c>
      <c r="I85" s="30">
        <v>62</v>
      </c>
      <c r="J85" s="30">
        <v>2</v>
      </c>
      <c r="K85" s="30">
        <v>13</v>
      </c>
      <c r="L85" s="30">
        <v>0</v>
      </c>
      <c r="M85" s="30">
        <v>2</v>
      </c>
    </row>
    <row r="86" spans="1:13">
      <c r="A86" s="30">
        <f ca="1" t="shared" si="1"/>
        <v>158</v>
      </c>
      <c r="B86" s="30">
        <f ca="1" t="array" ref="B86">INDEX(Data_DBD!$B:$B,$A86)</f>
        <v>5</v>
      </c>
      <c r="C86" s="30">
        <f ca="1" t="array" ref="C86">INDEX(Data_DBD!$C:$C,$A86)</f>
        <v>2</v>
      </c>
      <c r="D86" s="30">
        <f ca="1" t="array" ref="D86">INDEX(Data_DBD!$D:$D,$A86)</f>
        <v>21</v>
      </c>
      <c r="E86" s="30">
        <f ca="1" t="array" ref="E86">INDEX(Data_DBD!$E:$E,$A86)</f>
        <v>0</v>
      </c>
      <c r="F86" s="30">
        <f ca="1" t="array" ref="F86">INDEX(Data_DBD!$F:$F,$A86)</f>
        <v>3</v>
      </c>
      <c r="H86" s="30">
        <v>129</v>
      </c>
      <c r="I86" s="30">
        <v>4.5</v>
      </c>
      <c r="J86" s="30">
        <v>3</v>
      </c>
      <c r="K86" s="30">
        <v>33</v>
      </c>
      <c r="L86" s="30">
        <v>0</v>
      </c>
      <c r="M86" s="30">
        <v>3</v>
      </c>
    </row>
    <row r="87" spans="1:13">
      <c r="A87" s="30">
        <f ca="1" t="shared" si="1"/>
        <v>83</v>
      </c>
      <c r="B87" s="30">
        <f ca="1" t="array" ref="B87">INDEX(Data_DBD!$B:$B,$A87)</f>
        <v>50</v>
      </c>
      <c r="C87" s="30">
        <f ca="1" t="array" ref="C87">INDEX(Data_DBD!$C:$C,$A87)</f>
        <v>3</v>
      </c>
      <c r="D87" s="30">
        <f ca="1" t="array" ref="D87">INDEX(Data_DBD!$D:$D,$A87)</f>
        <v>13</v>
      </c>
      <c r="E87" s="30">
        <f ca="1" t="array" ref="E87">INDEX(Data_DBD!$E:$E,$A87)</f>
        <v>0</v>
      </c>
      <c r="F87" s="30">
        <f ca="1" t="array" ref="F87">INDEX(Data_DBD!$F:$F,$A87)</f>
        <v>2</v>
      </c>
      <c r="H87" s="30">
        <v>125</v>
      </c>
      <c r="I87" s="30">
        <v>39</v>
      </c>
      <c r="J87" s="30">
        <v>4</v>
      </c>
      <c r="K87" s="30">
        <v>33</v>
      </c>
      <c r="L87" s="30">
        <v>0</v>
      </c>
      <c r="M87" s="30">
        <v>3</v>
      </c>
    </row>
    <row r="88" spans="1:13">
      <c r="A88" s="30">
        <f ca="1" t="shared" si="1"/>
        <v>61</v>
      </c>
      <c r="B88" s="30">
        <f ca="1" t="array" ref="B88">INDEX(Data_DBD!$B:$B,$A88)</f>
        <v>29</v>
      </c>
      <c r="C88" s="30">
        <f ca="1" t="array" ref="C88">INDEX(Data_DBD!$C:$C,$A88)</f>
        <v>3</v>
      </c>
      <c r="D88" s="30">
        <f ca="1" t="array" ref="D88">INDEX(Data_DBD!$D:$D,$A88)</f>
        <v>15</v>
      </c>
      <c r="E88" s="30">
        <f ca="1" t="array" ref="E88">INDEX(Data_DBD!$E:$E,$A88)</f>
        <v>1</v>
      </c>
      <c r="F88" s="30">
        <f ca="1" t="array" ref="F88">INDEX(Data_DBD!$F:$F,$A88)</f>
        <v>2</v>
      </c>
      <c r="H88" s="30">
        <v>122</v>
      </c>
      <c r="I88" s="30">
        <v>28</v>
      </c>
      <c r="J88" s="30">
        <v>3</v>
      </c>
      <c r="K88" s="30">
        <v>33</v>
      </c>
      <c r="L88" s="30">
        <v>1</v>
      </c>
      <c r="M88" s="30">
        <v>3</v>
      </c>
    </row>
    <row r="89" spans="1:13">
      <c r="A89" s="30">
        <f ca="1" t="shared" si="1"/>
        <v>38</v>
      </c>
      <c r="B89" s="30">
        <f ca="1" t="array" ref="B89">INDEX(Data_DBD!$B:$B,$A89)</f>
        <v>52</v>
      </c>
      <c r="C89" s="30">
        <f ca="1" t="array" ref="C89">INDEX(Data_DBD!$C:$C,$A89)</f>
        <v>3</v>
      </c>
      <c r="D89" s="30">
        <f ca="1" t="array" ref="D89">INDEX(Data_DBD!$D:$D,$A89)</f>
        <v>4</v>
      </c>
      <c r="E89" s="30">
        <f ca="1" t="array" ref="E89">INDEX(Data_DBD!$E:$E,$A89)</f>
        <v>1</v>
      </c>
      <c r="F89" s="30">
        <f ca="1" t="array" ref="F89">INDEX(Data_DBD!$F:$F,$A89)</f>
        <v>1</v>
      </c>
      <c r="H89" s="30">
        <v>75</v>
      </c>
      <c r="I89" s="30">
        <v>2</v>
      </c>
      <c r="J89" s="30">
        <v>2</v>
      </c>
      <c r="K89" s="30">
        <v>10</v>
      </c>
      <c r="L89" s="30">
        <v>1</v>
      </c>
      <c r="M89" s="30">
        <v>2</v>
      </c>
    </row>
    <row r="90" spans="1:13">
      <c r="A90" s="30">
        <f ca="1" t="shared" si="1"/>
        <v>153</v>
      </c>
      <c r="B90" s="30">
        <f ca="1" t="array" ref="B90">INDEX(Data_DBD!$B:$B,$A90)</f>
        <v>73</v>
      </c>
      <c r="C90" s="30">
        <f ca="1" t="array" ref="C90">INDEX(Data_DBD!$C:$C,$A90)</f>
        <v>7</v>
      </c>
      <c r="D90" s="30">
        <f ca="1" t="array" ref="D90">INDEX(Data_DBD!$D:$D,$A90)</f>
        <v>21</v>
      </c>
      <c r="E90" s="30">
        <f ca="1" t="array" ref="E90">INDEX(Data_DBD!$E:$E,$A90)</f>
        <v>1</v>
      </c>
      <c r="F90" s="30">
        <f ca="1" t="array" ref="F90">INDEX(Data_DBD!$F:$F,$A90)</f>
        <v>3</v>
      </c>
      <c r="H90" s="30">
        <v>68</v>
      </c>
      <c r="I90" s="30">
        <v>44</v>
      </c>
      <c r="J90" s="30">
        <v>5</v>
      </c>
      <c r="K90" s="30">
        <v>10</v>
      </c>
      <c r="L90" s="30">
        <v>0</v>
      </c>
      <c r="M90" s="30">
        <v>2</v>
      </c>
    </row>
    <row r="91" spans="1:13">
      <c r="A91" s="30">
        <f ca="1" t="shared" si="1"/>
        <v>79</v>
      </c>
      <c r="B91" s="30">
        <f ca="1" t="array" ref="B91">INDEX(Data_DBD!$B:$B,$A91)</f>
        <v>29</v>
      </c>
      <c r="C91" s="30">
        <f ca="1" t="array" ref="C91">INDEX(Data_DBD!$C:$C,$A91)</f>
        <v>3</v>
      </c>
      <c r="D91" s="30">
        <f ca="1" t="array" ref="D91">INDEX(Data_DBD!$D:$D,$A91)</f>
        <v>13</v>
      </c>
      <c r="E91" s="30">
        <f ca="1" t="array" ref="E91">INDEX(Data_DBD!$E:$E,$A91)</f>
        <v>0</v>
      </c>
      <c r="F91" s="30">
        <f ca="1" t="array" ref="F91">INDEX(Data_DBD!$F:$F,$A91)</f>
        <v>2</v>
      </c>
      <c r="H91" s="30">
        <v>43</v>
      </c>
      <c r="I91" s="30">
        <v>15</v>
      </c>
      <c r="J91" s="30">
        <v>4</v>
      </c>
      <c r="K91" s="30">
        <v>13</v>
      </c>
      <c r="L91" s="30">
        <v>0</v>
      </c>
      <c r="M91" s="30">
        <v>2</v>
      </c>
    </row>
    <row r="92" spans="1:13">
      <c r="A92" s="30">
        <f ca="1" t="shared" si="1"/>
        <v>89</v>
      </c>
      <c r="B92" s="30">
        <f ca="1" t="array" ref="B92">INDEX(Data_DBD!$B:$B,$A92)</f>
        <v>32</v>
      </c>
      <c r="C92" s="30">
        <f ca="1" t="array" ref="C92">INDEX(Data_DBD!$C:$C,$A92)</f>
        <v>4</v>
      </c>
      <c r="D92" s="30">
        <f ca="1" t="array" ref="D92">INDEX(Data_DBD!$D:$D,$A92)</f>
        <v>13</v>
      </c>
      <c r="E92" s="30">
        <f ca="1" t="array" ref="E92">INDEX(Data_DBD!$E:$E,$A92)</f>
        <v>0</v>
      </c>
      <c r="F92" s="30">
        <f ca="1" t="array" ref="F92">INDEX(Data_DBD!$F:$F,$A92)</f>
        <v>2</v>
      </c>
      <c r="H92" s="30">
        <v>143</v>
      </c>
      <c r="I92" s="30">
        <v>20</v>
      </c>
      <c r="J92" s="30">
        <v>4</v>
      </c>
      <c r="K92" s="30">
        <v>21</v>
      </c>
      <c r="L92" s="30">
        <v>1</v>
      </c>
      <c r="M92" s="30">
        <v>3</v>
      </c>
    </row>
    <row r="93" spans="1:13">
      <c r="A93" s="30">
        <f ca="1" t="shared" si="1"/>
        <v>113</v>
      </c>
      <c r="B93" s="30">
        <f ca="1" t="array" ref="B93">INDEX(Data_DBD!$B:$B,$A93)</f>
        <v>69</v>
      </c>
      <c r="C93" s="30">
        <f ca="1" t="array" ref="C93">INDEX(Data_DBD!$C:$C,$A93)</f>
        <v>1</v>
      </c>
      <c r="D93" s="30">
        <f ca="1" t="array" ref="D93">INDEX(Data_DBD!$D:$D,$A93)</f>
        <v>33</v>
      </c>
      <c r="E93" s="30">
        <f ca="1" t="array" ref="E93">INDEX(Data_DBD!$E:$E,$A93)</f>
        <v>1</v>
      </c>
      <c r="F93" s="30">
        <f ca="1" t="array" ref="F93">INDEX(Data_DBD!$F:$F,$A93)</f>
        <v>3</v>
      </c>
      <c r="H93" s="30">
        <v>4</v>
      </c>
      <c r="I93" s="30">
        <v>23</v>
      </c>
      <c r="J93" s="30">
        <v>5</v>
      </c>
      <c r="K93" s="30">
        <v>12</v>
      </c>
      <c r="L93" s="30">
        <v>0</v>
      </c>
      <c r="M93" s="30">
        <v>2</v>
      </c>
    </row>
    <row r="94" spans="1:13">
      <c r="A94" s="30">
        <f ca="1" t="shared" si="1"/>
        <v>134</v>
      </c>
      <c r="B94" s="30">
        <f ca="1" t="array" ref="B94">INDEX(Data_DBD!$B:$B,$A94)</f>
        <v>4</v>
      </c>
      <c r="C94" s="30">
        <f ca="1" t="array" ref="C94">INDEX(Data_DBD!$C:$C,$A94)</f>
        <v>2</v>
      </c>
      <c r="D94" s="30">
        <f ca="1" t="array" ref="D94">INDEX(Data_DBD!$D:$D,$A94)</f>
        <v>33</v>
      </c>
      <c r="E94" s="30">
        <f ca="1" t="array" ref="E94">INDEX(Data_DBD!$E:$E,$A94)</f>
        <v>1</v>
      </c>
      <c r="F94" s="30">
        <f ca="1" t="array" ref="F94">INDEX(Data_DBD!$F:$F,$A94)</f>
        <v>3</v>
      </c>
      <c r="H94" s="30">
        <v>151</v>
      </c>
      <c r="I94" s="30">
        <v>24</v>
      </c>
      <c r="J94" s="30">
        <v>3</v>
      </c>
      <c r="K94" s="30">
        <v>21</v>
      </c>
      <c r="L94" s="30">
        <v>0</v>
      </c>
      <c r="M94" s="30">
        <v>3</v>
      </c>
    </row>
    <row r="95" spans="1:13">
      <c r="A95" s="30">
        <f ca="1" t="shared" si="1"/>
        <v>53</v>
      </c>
      <c r="B95" s="30">
        <f ca="1" t="array" ref="B95">INDEX(Data_DBD!$B:$B,$A95)</f>
        <v>35</v>
      </c>
      <c r="C95" s="30">
        <f ca="1" t="array" ref="C95">INDEX(Data_DBD!$C:$C,$A95)</f>
        <v>4</v>
      </c>
      <c r="D95" s="30">
        <f ca="1" t="array" ref="D95">INDEX(Data_DBD!$D:$D,$A95)</f>
        <v>15</v>
      </c>
      <c r="E95" s="30">
        <f ca="1" t="array" ref="E95">INDEX(Data_DBD!$E:$E,$A95)</f>
        <v>1</v>
      </c>
      <c r="F95" s="30">
        <f ca="1" t="array" ref="F95">INDEX(Data_DBD!$F:$F,$A95)</f>
        <v>2</v>
      </c>
      <c r="H95" s="30">
        <v>153</v>
      </c>
      <c r="I95" s="30">
        <v>73</v>
      </c>
      <c r="J95" s="30">
        <v>7</v>
      </c>
      <c r="K95" s="30">
        <v>21</v>
      </c>
      <c r="L95" s="30">
        <v>1</v>
      </c>
      <c r="M95" s="30">
        <v>3</v>
      </c>
    </row>
    <row r="96" spans="1:13">
      <c r="A96" s="30">
        <f ca="1" t="shared" si="1"/>
        <v>88</v>
      </c>
      <c r="B96" s="30">
        <f ca="1" t="array" ref="B96">INDEX(Data_DBD!$B:$B,$A96)</f>
        <v>20</v>
      </c>
      <c r="C96" s="30">
        <f ca="1" t="array" ref="C96">INDEX(Data_DBD!$C:$C,$A96)</f>
        <v>4</v>
      </c>
      <c r="D96" s="30">
        <f ca="1" t="array" ref="D96">INDEX(Data_DBD!$D:$D,$A96)</f>
        <v>13</v>
      </c>
      <c r="E96" s="30">
        <f ca="1" t="array" ref="E96">INDEX(Data_DBD!$E:$E,$A96)</f>
        <v>1</v>
      </c>
      <c r="F96" s="30">
        <f ca="1" t="array" ref="F96">INDEX(Data_DBD!$F:$F,$A96)</f>
        <v>2</v>
      </c>
      <c r="H96" s="30">
        <v>126</v>
      </c>
      <c r="I96" s="30">
        <v>51</v>
      </c>
      <c r="J96" s="30">
        <v>3</v>
      </c>
      <c r="K96" s="30">
        <v>33</v>
      </c>
      <c r="L96" s="30">
        <v>1</v>
      </c>
      <c r="M96" s="30">
        <v>3</v>
      </c>
    </row>
    <row r="97" spans="1:13">
      <c r="A97" s="30">
        <f ca="1" t="shared" si="1"/>
        <v>38</v>
      </c>
      <c r="B97" s="30">
        <f ca="1" t="array" ref="B97">INDEX(Data_DBD!$B:$B,$A97)</f>
        <v>52</v>
      </c>
      <c r="C97" s="30">
        <f ca="1" t="array" ref="C97">INDEX(Data_DBD!$C:$C,$A97)</f>
        <v>3</v>
      </c>
      <c r="D97" s="30">
        <f ca="1" t="array" ref="D97">INDEX(Data_DBD!$D:$D,$A97)</f>
        <v>4</v>
      </c>
      <c r="E97" s="30">
        <f ca="1" t="array" ref="E97">INDEX(Data_DBD!$E:$E,$A97)</f>
        <v>1</v>
      </c>
      <c r="F97" s="30">
        <f ca="1" t="array" ref="F97">INDEX(Data_DBD!$F:$F,$A97)</f>
        <v>1</v>
      </c>
      <c r="H97" s="30">
        <v>64</v>
      </c>
      <c r="I97" s="30">
        <v>35</v>
      </c>
      <c r="J97" s="30">
        <v>1</v>
      </c>
      <c r="K97" s="30">
        <v>15</v>
      </c>
      <c r="L97" s="30">
        <v>0</v>
      </c>
      <c r="M97" s="30">
        <v>2</v>
      </c>
    </row>
    <row r="98" spans="1:13">
      <c r="A98" s="30">
        <f ca="1" t="shared" si="1"/>
        <v>53</v>
      </c>
      <c r="B98" s="30">
        <f ca="1" t="array" ref="B98">INDEX(Data_DBD!$B:$B,$A98)</f>
        <v>35</v>
      </c>
      <c r="C98" s="30">
        <f ca="1" t="array" ref="C98">INDEX(Data_DBD!$C:$C,$A98)</f>
        <v>4</v>
      </c>
      <c r="D98" s="30">
        <f ca="1" t="array" ref="D98">INDEX(Data_DBD!$D:$D,$A98)</f>
        <v>15</v>
      </c>
      <c r="E98" s="30">
        <f ca="1" t="array" ref="E98">INDEX(Data_DBD!$E:$E,$A98)</f>
        <v>1</v>
      </c>
      <c r="F98" s="30">
        <f ca="1" t="array" ref="F98">INDEX(Data_DBD!$F:$F,$A98)</f>
        <v>2</v>
      </c>
      <c r="H98" s="30">
        <v>62</v>
      </c>
      <c r="I98" s="30">
        <v>43</v>
      </c>
      <c r="J98" s="30">
        <v>4</v>
      </c>
      <c r="K98" s="30">
        <v>15</v>
      </c>
      <c r="L98" s="30">
        <v>1</v>
      </c>
      <c r="M98" s="30">
        <v>2</v>
      </c>
    </row>
    <row r="99" spans="1:13">
      <c r="A99" s="30">
        <f ca="1" t="shared" si="1"/>
        <v>121</v>
      </c>
      <c r="B99" s="30">
        <f ca="1" t="array" ref="B99">INDEX(Data_DBD!$B:$B,$A99)</f>
        <v>82</v>
      </c>
      <c r="C99" s="30">
        <f ca="1" t="array" ref="C99">INDEX(Data_DBD!$C:$C,$A99)</f>
        <v>5</v>
      </c>
      <c r="D99" s="30">
        <f ca="1" t="array" ref="D99">INDEX(Data_DBD!$D:$D,$A99)</f>
        <v>33</v>
      </c>
      <c r="E99" s="30">
        <f ca="1" t="array" ref="E99">INDEX(Data_DBD!$E:$E,$A99)</f>
        <v>1</v>
      </c>
      <c r="F99" s="30">
        <f ca="1" t="array" ref="F99">INDEX(Data_DBD!$F:$F,$A99)</f>
        <v>3</v>
      </c>
      <c r="H99" s="30">
        <v>86</v>
      </c>
      <c r="I99" s="30">
        <v>23</v>
      </c>
      <c r="J99" s="30">
        <v>3</v>
      </c>
      <c r="K99" s="30">
        <v>13</v>
      </c>
      <c r="L99" s="30">
        <v>0</v>
      </c>
      <c r="M99" s="30">
        <v>2</v>
      </c>
    </row>
    <row r="100" spans="1:13">
      <c r="A100" s="30">
        <f ca="1" t="shared" si="1"/>
        <v>125</v>
      </c>
      <c r="B100" s="30">
        <f ca="1" t="array" ref="B100">INDEX(Data_DBD!$B:$B,$A100)</f>
        <v>39</v>
      </c>
      <c r="C100" s="30">
        <f ca="1" t="array" ref="C100">INDEX(Data_DBD!$C:$C,$A100)</f>
        <v>4</v>
      </c>
      <c r="D100" s="30">
        <f ca="1" t="array" ref="D100">INDEX(Data_DBD!$D:$D,$A100)</f>
        <v>33</v>
      </c>
      <c r="E100" s="30">
        <f ca="1" t="array" ref="E100">INDEX(Data_DBD!$E:$E,$A100)</f>
        <v>0</v>
      </c>
      <c r="F100" s="30">
        <f ca="1" t="array" ref="F100">INDEX(Data_DBD!$F:$F,$A100)</f>
        <v>3</v>
      </c>
      <c r="H100" s="30">
        <v>144</v>
      </c>
      <c r="I100" s="30">
        <v>61</v>
      </c>
      <c r="J100" s="30">
        <v>4</v>
      </c>
      <c r="K100" s="30">
        <v>21</v>
      </c>
      <c r="L100" s="30">
        <v>1</v>
      </c>
      <c r="M100" s="30">
        <v>3</v>
      </c>
    </row>
    <row r="101" spans="1:13">
      <c r="A101" s="30">
        <f ca="1" t="shared" si="1"/>
        <v>51</v>
      </c>
      <c r="B101" s="30">
        <f ca="1" t="array" ref="B101">INDEX(Data_DBD!$B:$B,$A101)</f>
        <v>48</v>
      </c>
      <c r="C101" s="30">
        <f ca="1" t="array" ref="C101">INDEX(Data_DBD!$C:$C,$A101)</f>
        <v>4</v>
      </c>
      <c r="D101" s="30">
        <f ca="1" t="array" ref="D101">INDEX(Data_DBD!$D:$D,$A101)</f>
        <v>13</v>
      </c>
      <c r="E101" s="30">
        <f ca="1" t="array" ref="E101">INDEX(Data_DBD!$E:$E,$A101)</f>
        <v>0</v>
      </c>
      <c r="F101" s="30">
        <f ca="1" t="array" ref="F101">INDEX(Data_DBD!$F:$F,$A101)</f>
        <v>2</v>
      </c>
      <c r="H101" s="30">
        <v>4</v>
      </c>
      <c r="I101" s="30">
        <v>23</v>
      </c>
      <c r="J101" s="30">
        <v>5</v>
      </c>
      <c r="K101" s="30">
        <v>12</v>
      </c>
      <c r="L101" s="30">
        <v>0</v>
      </c>
      <c r="M101" s="30">
        <v>2</v>
      </c>
    </row>
    <row r="102" spans="1:13">
      <c r="A102" s="30">
        <f ca="1" t="shared" si="1"/>
        <v>107</v>
      </c>
      <c r="B102" s="30">
        <f ca="1" t="array" ref="B102">INDEX(Data_DBD!$B:$B,$A102)</f>
        <v>48</v>
      </c>
      <c r="C102" s="30">
        <f ca="1" t="array" ref="C102">INDEX(Data_DBD!$C:$C,$A102)</f>
        <v>5</v>
      </c>
      <c r="D102" s="30">
        <f ca="1" t="array" ref="D102">INDEX(Data_DBD!$D:$D,$A102)</f>
        <v>18</v>
      </c>
      <c r="E102" s="30">
        <f ca="1" t="array" ref="E102">INDEX(Data_DBD!$E:$E,$A102)</f>
        <v>0</v>
      </c>
      <c r="F102" s="30">
        <f ca="1" t="array" ref="F102">INDEX(Data_DBD!$F:$F,$A102)</f>
        <v>3</v>
      </c>
      <c r="H102" s="30">
        <v>144</v>
      </c>
      <c r="I102" s="30">
        <v>61</v>
      </c>
      <c r="J102" s="30">
        <v>4</v>
      </c>
      <c r="K102" s="30">
        <v>21</v>
      </c>
      <c r="L102" s="30">
        <v>1</v>
      </c>
      <c r="M102" s="30">
        <v>3</v>
      </c>
    </row>
    <row r="103" spans="1:13">
      <c r="A103" s="30">
        <f ca="1" t="shared" si="1"/>
        <v>69</v>
      </c>
      <c r="B103" s="30">
        <f ca="1" t="array" ref="B103">INDEX(Data_DBD!$B:$B,$A103)</f>
        <v>24</v>
      </c>
      <c r="C103" s="30">
        <f ca="1" t="array" ref="C103">INDEX(Data_DBD!$C:$C,$A103)</f>
        <v>4</v>
      </c>
      <c r="D103" s="30">
        <f ca="1" t="array" ref="D103">INDEX(Data_DBD!$D:$D,$A103)</f>
        <v>10</v>
      </c>
      <c r="E103" s="30">
        <f ca="1" t="array" ref="E103">INDEX(Data_DBD!$E:$E,$A103)</f>
        <v>1</v>
      </c>
      <c r="F103" s="30">
        <f ca="1" t="array" ref="F103">INDEX(Data_DBD!$F:$F,$A103)</f>
        <v>2</v>
      </c>
      <c r="H103" s="30">
        <v>43</v>
      </c>
      <c r="I103" s="30">
        <v>15</v>
      </c>
      <c r="J103" s="30">
        <v>4</v>
      </c>
      <c r="K103" s="30">
        <v>13</v>
      </c>
      <c r="L103" s="30">
        <v>0</v>
      </c>
      <c r="M103" s="30">
        <v>2</v>
      </c>
    </row>
    <row r="104" spans="1:13">
      <c r="A104" s="30">
        <f ca="1" t="shared" si="1"/>
        <v>24</v>
      </c>
      <c r="B104" s="30">
        <f ca="1" t="array" ref="B104">INDEX(Data_DBD!$B:$B,$A104)</f>
        <v>60</v>
      </c>
      <c r="C104" s="30">
        <f ca="1" t="array" ref="C104">INDEX(Data_DBD!$C:$C,$A104)</f>
        <v>4</v>
      </c>
      <c r="D104" s="30">
        <f ca="1" t="array" ref="D104">INDEX(Data_DBD!$D:$D,$A104)</f>
        <v>14</v>
      </c>
      <c r="E104" s="30">
        <f ca="1" t="array" ref="E104">INDEX(Data_DBD!$E:$E,$A104)</f>
        <v>0</v>
      </c>
      <c r="F104" s="30">
        <f ca="1" t="array" ref="F104">INDEX(Data_DBD!$F:$F,$A104)</f>
        <v>2</v>
      </c>
      <c r="H104" s="30">
        <v>78</v>
      </c>
      <c r="I104" s="30">
        <v>6</v>
      </c>
      <c r="J104" s="30">
        <v>3</v>
      </c>
      <c r="K104" s="30">
        <v>13</v>
      </c>
      <c r="L104" s="30">
        <v>0</v>
      </c>
      <c r="M104" s="30">
        <v>2</v>
      </c>
    </row>
    <row r="105" spans="1:13">
      <c r="A105" s="30">
        <f ca="1" t="shared" si="1"/>
        <v>106</v>
      </c>
      <c r="B105" s="30">
        <f ca="1" t="array" ref="B105">INDEX(Data_DBD!$B:$B,$A105)</f>
        <v>23</v>
      </c>
      <c r="C105" s="30">
        <f ca="1" t="array" ref="C105">INDEX(Data_DBD!$C:$C,$A105)</f>
        <v>3</v>
      </c>
      <c r="D105" s="30">
        <f ca="1" t="array" ref="D105">INDEX(Data_DBD!$D:$D,$A105)</f>
        <v>18</v>
      </c>
      <c r="E105" s="30">
        <f ca="1" t="array" ref="E105">INDEX(Data_DBD!$E:$E,$A105)</f>
        <v>1</v>
      </c>
      <c r="F105" s="30">
        <f ca="1" t="array" ref="F105">INDEX(Data_DBD!$F:$F,$A105)</f>
        <v>3</v>
      </c>
      <c r="H105" s="30">
        <v>4</v>
      </c>
      <c r="I105" s="30">
        <v>23</v>
      </c>
      <c r="J105" s="30">
        <v>5</v>
      </c>
      <c r="K105" s="30">
        <v>12</v>
      </c>
      <c r="L105" s="30">
        <v>0</v>
      </c>
      <c r="M105" s="30">
        <v>2</v>
      </c>
    </row>
    <row r="106" spans="1:13">
      <c r="A106" s="30">
        <f ca="1" t="shared" si="1"/>
        <v>123</v>
      </c>
      <c r="B106" s="30">
        <f ca="1" t="array" ref="B106">INDEX(Data_DBD!$B:$B,$A106)</f>
        <v>22</v>
      </c>
      <c r="C106" s="30">
        <f ca="1" t="array" ref="C106">INDEX(Data_DBD!$C:$C,$A106)</f>
        <v>4</v>
      </c>
      <c r="D106" s="30">
        <f ca="1" t="array" ref="D106">INDEX(Data_DBD!$D:$D,$A106)</f>
        <v>33</v>
      </c>
      <c r="E106" s="30">
        <f ca="1" t="array" ref="E106">INDEX(Data_DBD!$E:$E,$A106)</f>
        <v>0</v>
      </c>
      <c r="F106" s="30">
        <f ca="1" t="array" ref="F106">INDEX(Data_DBD!$F:$F,$A106)</f>
        <v>3</v>
      </c>
      <c r="H106" s="30">
        <v>48</v>
      </c>
      <c r="I106" s="30">
        <v>50</v>
      </c>
      <c r="J106" s="30">
        <v>5</v>
      </c>
      <c r="K106" s="30">
        <v>13</v>
      </c>
      <c r="L106" s="30">
        <v>1</v>
      </c>
      <c r="M106" s="30">
        <v>2</v>
      </c>
    </row>
    <row r="107" spans="1:13">
      <c r="A107" s="30">
        <f ca="1" t="shared" si="1"/>
        <v>112</v>
      </c>
      <c r="B107" s="30">
        <f ca="1" t="array" ref="B107">INDEX(Data_DBD!$B:$B,$A107)</f>
        <v>61</v>
      </c>
      <c r="C107" s="30">
        <f ca="1" t="array" ref="C107">INDEX(Data_DBD!$C:$C,$A107)</f>
        <v>3</v>
      </c>
      <c r="D107" s="30">
        <f ca="1" t="array" ref="D107">INDEX(Data_DBD!$D:$D,$A107)</f>
        <v>33</v>
      </c>
      <c r="E107" s="30">
        <f ca="1" t="array" ref="E107">INDEX(Data_DBD!$E:$E,$A107)</f>
        <v>1</v>
      </c>
      <c r="F107" s="30">
        <f ca="1" t="array" ref="F107">INDEX(Data_DBD!$F:$F,$A107)</f>
        <v>3</v>
      </c>
      <c r="H107" s="30">
        <v>107</v>
      </c>
      <c r="I107" s="30">
        <v>48</v>
      </c>
      <c r="J107" s="30">
        <v>5</v>
      </c>
      <c r="K107" s="30">
        <v>18</v>
      </c>
      <c r="L107" s="30">
        <v>0</v>
      </c>
      <c r="M107" s="30">
        <v>3</v>
      </c>
    </row>
    <row r="108" spans="1:13">
      <c r="A108" s="30">
        <f ca="1" t="shared" si="1"/>
        <v>150</v>
      </c>
      <c r="B108" s="30">
        <f ca="1" t="array" ref="B108">INDEX(Data_DBD!$B:$B,$A108)</f>
        <v>61</v>
      </c>
      <c r="C108" s="30">
        <f ca="1" t="array" ref="C108">INDEX(Data_DBD!$C:$C,$A108)</f>
        <v>5</v>
      </c>
      <c r="D108" s="30">
        <f ca="1" t="array" ref="D108">INDEX(Data_DBD!$D:$D,$A108)</f>
        <v>21</v>
      </c>
      <c r="E108" s="30">
        <f ca="1" t="array" ref="E108">INDEX(Data_DBD!$E:$E,$A108)</f>
        <v>1</v>
      </c>
      <c r="F108" s="30">
        <f ca="1" t="array" ref="F108">INDEX(Data_DBD!$F:$F,$A108)</f>
        <v>3</v>
      </c>
      <c r="H108" s="30">
        <v>130</v>
      </c>
      <c r="I108" s="30">
        <v>12</v>
      </c>
      <c r="J108" s="30">
        <v>4</v>
      </c>
      <c r="K108" s="30">
        <v>33</v>
      </c>
      <c r="L108" s="30">
        <v>0</v>
      </c>
      <c r="M108" s="30">
        <v>3</v>
      </c>
    </row>
    <row r="109" spans="1:13">
      <c r="A109" s="30">
        <f ca="1" t="shared" si="1"/>
        <v>64</v>
      </c>
      <c r="B109" s="30">
        <f ca="1" t="array" ref="B109">INDEX(Data_DBD!$B:$B,$A109)</f>
        <v>35</v>
      </c>
      <c r="C109" s="30">
        <f ca="1" t="array" ref="C109">INDEX(Data_DBD!$C:$C,$A109)</f>
        <v>1</v>
      </c>
      <c r="D109" s="30">
        <f ca="1" t="array" ref="D109">INDEX(Data_DBD!$D:$D,$A109)</f>
        <v>15</v>
      </c>
      <c r="E109" s="30">
        <f ca="1" t="array" ref="E109">INDEX(Data_DBD!$E:$E,$A109)</f>
        <v>0</v>
      </c>
      <c r="F109" s="30">
        <f ca="1" t="array" ref="F109">INDEX(Data_DBD!$F:$F,$A109)</f>
        <v>2</v>
      </c>
      <c r="H109" s="30">
        <v>21</v>
      </c>
      <c r="I109" s="30">
        <v>10</v>
      </c>
      <c r="J109" s="30">
        <v>5</v>
      </c>
      <c r="K109" s="30">
        <v>14</v>
      </c>
      <c r="L109" s="30">
        <v>1</v>
      </c>
      <c r="M109" s="30">
        <v>2</v>
      </c>
    </row>
    <row r="110" spans="1:13">
      <c r="A110" s="30">
        <f ca="1" t="shared" si="1"/>
        <v>48</v>
      </c>
      <c r="B110" s="30">
        <f ca="1" t="array" ref="B110">INDEX(Data_DBD!$B:$B,$A110)</f>
        <v>50</v>
      </c>
      <c r="C110" s="30">
        <f ca="1" t="array" ref="C110">INDEX(Data_DBD!$C:$C,$A110)</f>
        <v>5</v>
      </c>
      <c r="D110" s="30">
        <f ca="1" t="array" ref="D110">INDEX(Data_DBD!$D:$D,$A110)</f>
        <v>13</v>
      </c>
      <c r="E110" s="30">
        <f ca="1" t="array" ref="E110">INDEX(Data_DBD!$E:$E,$A110)</f>
        <v>1</v>
      </c>
      <c r="F110" s="30">
        <f ca="1" t="array" ref="F110">INDEX(Data_DBD!$F:$F,$A110)</f>
        <v>2</v>
      </c>
      <c r="H110" s="30">
        <v>42</v>
      </c>
      <c r="I110" s="30">
        <v>21</v>
      </c>
      <c r="J110" s="30">
        <v>5</v>
      </c>
      <c r="K110" s="30">
        <v>13</v>
      </c>
      <c r="L110" s="30">
        <v>1</v>
      </c>
      <c r="M110" s="30">
        <v>2</v>
      </c>
    </row>
    <row r="111" spans="1:13">
      <c r="A111" s="30">
        <f ca="1" t="shared" si="1"/>
        <v>42</v>
      </c>
      <c r="B111" s="30">
        <f ca="1" t="array" ref="B111">INDEX(Data_DBD!$B:$B,$A111)</f>
        <v>21</v>
      </c>
      <c r="C111" s="30">
        <f ca="1" t="array" ref="C111">INDEX(Data_DBD!$C:$C,$A111)</f>
        <v>5</v>
      </c>
      <c r="D111" s="30">
        <f ca="1" t="array" ref="D111">INDEX(Data_DBD!$D:$D,$A111)</f>
        <v>13</v>
      </c>
      <c r="E111" s="30">
        <f ca="1" t="array" ref="E111">INDEX(Data_DBD!$E:$E,$A111)</f>
        <v>1</v>
      </c>
      <c r="F111" s="30">
        <f ca="1" t="array" ref="F111">INDEX(Data_DBD!$F:$F,$A111)</f>
        <v>2</v>
      </c>
      <c r="H111" s="30">
        <v>111</v>
      </c>
      <c r="I111" s="30">
        <v>25</v>
      </c>
      <c r="J111" s="30">
        <v>4</v>
      </c>
      <c r="K111" s="30">
        <v>33</v>
      </c>
      <c r="L111" s="30">
        <v>0</v>
      </c>
      <c r="M111" s="30">
        <v>3</v>
      </c>
    </row>
    <row r="112" spans="1:13">
      <c r="A112" s="30">
        <f ca="1" t="shared" si="1"/>
        <v>113</v>
      </c>
      <c r="B112" s="30">
        <f ca="1" t="array" ref="B112">INDEX(Data_DBD!$B:$B,$A112)</f>
        <v>69</v>
      </c>
      <c r="C112" s="30">
        <f ca="1" t="array" ref="C112">INDEX(Data_DBD!$C:$C,$A112)</f>
        <v>1</v>
      </c>
      <c r="D112" s="30">
        <f ca="1" t="array" ref="D112">INDEX(Data_DBD!$D:$D,$A112)</f>
        <v>33</v>
      </c>
      <c r="E112" s="30">
        <f ca="1" t="array" ref="E112">INDEX(Data_DBD!$E:$E,$A112)</f>
        <v>1</v>
      </c>
      <c r="F112" s="30">
        <f ca="1" t="array" ref="F112">INDEX(Data_DBD!$F:$F,$A112)</f>
        <v>3</v>
      </c>
      <c r="H112" s="30">
        <v>138</v>
      </c>
      <c r="I112" s="30">
        <v>13</v>
      </c>
      <c r="J112" s="30">
        <v>3</v>
      </c>
      <c r="K112" s="30">
        <v>33</v>
      </c>
      <c r="L112" s="30">
        <v>1</v>
      </c>
      <c r="M112" s="30">
        <v>3</v>
      </c>
    </row>
    <row r="113" spans="1:13">
      <c r="A113" s="30">
        <f ca="1" t="shared" si="1"/>
        <v>110</v>
      </c>
      <c r="B113" s="30">
        <f ca="1" t="array" ref="B113">INDEX(Data_DBD!$B:$B,$A113)</f>
        <v>42</v>
      </c>
      <c r="C113" s="30">
        <f ca="1" t="array" ref="C113">INDEX(Data_DBD!$C:$C,$A113)</f>
        <v>2</v>
      </c>
      <c r="D113" s="30">
        <f ca="1" t="array" ref="D113">INDEX(Data_DBD!$D:$D,$A113)</f>
        <v>33</v>
      </c>
      <c r="E113" s="30">
        <f ca="1" t="array" ref="E113">INDEX(Data_DBD!$E:$E,$A113)</f>
        <v>1</v>
      </c>
      <c r="F113" s="30">
        <f ca="1" t="array" ref="F113">INDEX(Data_DBD!$F:$F,$A113)</f>
        <v>3</v>
      </c>
      <c r="H113" s="30">
        <v>103</v>
      </c>
      <c r="I113" s="30">
        <v>22</v>
      </c>
      <c r="J113" s="30">
        <v>5</v>
      </c>
      <c r="K113" s="30">
        <v>18</v>
      </c>
      <c r="L113" s="30">
        <v>0</v>
      </c>
      <c r="M113" s="30">
        <v>3</v>
      </c>
    </row>
    <row r="114" spans="1:13">
      <c r="A114" s="30">
        <f ca="1" t="shared" si="1"/>
        <v>55</v>
      </c>
      <c r="B114" s="30">
        <f ca="1" t="array" ref="B114">INDEX(Data_DBD!$B:$B,$A114)</f>
        <v>7</v>
      </c>
      <c r="C114" s="30">
        <f ca="1" t="array" ref="C114">INDEX(Data_DBD!$C:$C,$A114)</f>
        <v>4</v>
      </c>
      <c r="D114" s="30">
        <f ca="1" t="array" ref="D114">INDEX(Data_DBD!$D:$D,$A114)</f>
        <v>15</v>
      </c>
      <c r="E114" s="30">
        <f ca="1" t="array" ref="E114">INDEX(Data_DBD!$E:$E,$A114)</f>
        <v>1</v>
      </c>
      <c r="F114" s="30">
        <f ca="1" t="array" ref="F114">INDEX(Data_DBD!$F:$F,$A114)</f>
        <v>2</v>
      </c>
      <c r="H114" s="30">
        <v>55</v>
      </c>
      <c r="I114" s="30">
        <v>7</v>
      </c>
      <c r="J114" s="30">
        <v>4</v>
      </c>
      <c r="K114" s="30">
        <v>15</v>
      </c>
      <c r="L114" s="30">
        <v>1</v>
      </c>
      <c r="M114" s="30">
        <v>2</v>
      </c>
    </row>
    <row r="115" spans="1:13">
      <c r="A115" s="30">
        <f ca="1" t="shared" si="1"/>
        <v>111</v>
      </c>
      <c r="B115" s="30">
        <f ca="1" t="array" ref="B115">INDEX(Data_DBD!$B:$B,$A115)</f>
        <v>25</v>
      </c>
      <c r="C115" s="30">
        <f ca="1" t="array" ref="C115">INDEX(Data_DBD!$C:$C,$A115)</f>
        <v>4</v>
      </c>
      <c r="D115" s="30">
        <f ca="1" t="array" ref="D115">INDEX(Data_DBD!$D:$D,$A115)</f>
        <v>33</v>
      </c>
      <c r="E115" s="30">
        <f ca="1" t="array" ref="E115">INDEX(Data_DBD!$E:$E,$A115)</f>
        <v>0</v>
      </c>
      <c r="F115" s="30">
        <f ca="1" t="array" ref="F115">INDEX(Data_DBD!$F:$F,$A115)</f>
        <v>3</v>
      </c>
      <c r="H115" s="30">
        <v>66</v>
      </c>
      <c r="I115" s="30">
        <v>21</v>
      </c>
      <c r="J115" s="30">
        <v>5</v>
      </c>
      <c r="K115" s="30">
        <v>15</v>
      </c>
      <c r="L115" s="30">
        <v>1</v>
      </c>
      <c r="M115" s="30">
        <v>2</v>
      </c>
    </row>
    <row r="116" spans="1:13">
      <c r="A116" s="30">
        <f ca="1" t="shared" si="1"/>
        <v>152</v>
      </c>
      <c r="B116" s="30">
        <f ca="1" t="array" ref="B116">INDEX(Data_DBD!$B:$B,$A116)</f>
        <v>47</v>
      </c>
      <c r="C116" s="30">
        <f ca="1" t="array" ref="C116">INDEX(Data_DBD!$C:$C,$A116)</f>
        <v>3</v>
      </c>
      <c r="D116" s="30">
        <f ca="1" t="array" ref="D116">INDEX(Data_DBD!$D:$D,$A116)</f>
        <v>21</v>
      </c>
      <c r="E116" s="30">
        <f ca="1" t="array" ref="E116">INDEX(Data_DBD!$E:$E,$A116)</f>
        <v>1</v>
      </c>
      <c r="F116" s="30">
        <f ca="1" t="array" ref="F116">INDEX(Data_DBD!$F:$F,$A116)</f>
        <v>3</v>
      </c>
      <c r="H116" s="30">
        <v>92</v>
      </c>
      <c r="I116" s="30">
        <v>55</v>
      </c>
      <c r="J116" s="30">
        <v>7</v>
      </c>
      <c r="K116" s="30">
        <v>18</v>
      </c>
      <c r="L116" s="30">
        <v>0</v>
      </c>
      <c r="M116" s="30">
        <v>3</v>
      </c>
    </row>
    <row r="117" spans="1:13">
      <c r="A117" s="30">
        <f ca="1" t="shared" si="1"/>
        <v>65</v>
      </c>
      <c r="B117" s="30">
        <f ca="1" t="array" ref="B117">INDEX(Data_DBD!$B:$B,$A117)</f>
        <v>49</v>
      </c>
      <c r="C117" s="30">
        <f ca="1" t="array" ref="C117">INDEX(Data_DBD!$C:$C,$A117)</f>
        <v>3</v>
      </c>
      <c r="D117" s="30">
        <f ca="1" t="array" ref="D117">INDEX(Data_DBD!$D:$D,$A117)</f>
        <v>15</v>
      </c>
      <c r="E117" s="30">
        <f ca="1" t="array" ref="E117">INDEX(Data_DBD!$E:$E,$A117)</f>
        <v>0</v>
      </c>
      <c r="F117" s="30">
        <f ca="1" t="array" ref="F117">INDEX(Data_DBD!$F:$F,$A117)</f>
        <v>2</v>
      </c>
      <c r="H117" s="30">
        <v>141</v>
      </c>
      <c r="I117" s="30">
        <v>36</v>
      </c>
      <c r="J117" s="30">
        <v>2</v>
      </c>
      <c r="K117" s="30">
        <v>21</v>
      </c>
      <c r="L117" s="30">
        <v>0</v>
      </c>
      <c r="M117" s="30">
        <v>3</v>
      </c>
    </row>
    <row r="118" spans="1:13">
      <c r="A118" s="30">
        <f ca="1" t="shared" si="1"/>
        <v>130</v>
      </c>
      <c r="B118" s="30">
        <f ca="1" t="array" ref="B118">INDEX(Data_DBD!$B:$B,$A118)</f>
        <v>12</v>
      </c>
      <c r="C118" s="30">
        <f ca="1" t="array" ref="C118">INDEX(Data_DBD!$C:$C,$A118)</f>
        <v>4</v>
      </c>
      <c r="D118" s="30">
        <f ca="1" t="array" ref="D118">INDEX(Data_DBD!$D:$D,$A118)</f>
        <v>33</v>
      </c>
      <c r="E118" s="30">
        <f ca="1" t="array" ref="E118">INDEX(Data_DBD!$E:$E,$A118)</f>
        <v>0</v>
      </c>
      <c r="F118" s="30">
        <f ca="1" t="array" ref="F118">INDEX(Data_DBD!$F:$F,$A118)</f>
        <v>3</v>
      </c>
      <c r="H118" s="30">
        <v>3</v>
      </c>
      <c r="I118" s="30">
        <v>43</v>
      </c>
      <c r="J118" s="30">
        <v>3</v>
      </c>
      <c r="K118" s="30">
        <v>12</v>
      </c>
      <c r="L118" s="30">
        <v>1</v>
      </c>
      <c r="M118" s="30">
        <v>2</v>
      </c>
    </row>
    <row r="119" spans="1:13">
      <c r="A119" s="30">
        <f ca="1" t="shared" si="1"/>
        <v>4</v>
      </c>
      <c r="B119" s="30">
        <f ca="1" t="array" ref="B119">INDEX(Data_DBD!$B:$B,$A119)</f>
        <v>23</v>
      </c>
      <c r="C119" s="30">
        <f ca="1" t="array" ref="C119">INDEX(Data_DBD!$C:$C,$A119)</f>
        <v>5</v>
      </c>
      <c r="D119" s="30">
        <f ca="1" t="array" ref="D119">INDEX(Data_DBD!$D:$D,$A119)</f>
        <v>12</v>
      </c>
      <c r="E119" s="30">
        <f ca="1" t="array" ref="E119">INDEX(Data_DBD!$E:$E,$A119)</f>
        <v>0</v>
      </c>
      <c r="F119" s="30">
        <f ca="1" t="array" ref="F119">INDEX(Data_DBD!$F:$F,$A119)</f>
        <v>2</v>
      </c>
      <c r="H119" s="30">
        <v>159</v>
      </c>
      <c r="I119" s="30">
        <v>17</v>
      </c>
      <c r="J119" s="30">
        <v>2</v>
      </c>
      <c r="K119" s="30">
        <v>21</v>
      </c>
      <c r="L119" s="30">
        <v>0</v>
      </c>
      <c r="M119" s="30">
        <v>3</v>
      </c>
    </row>
    <row r="120" spans="1:13">
      <c r="A120" s="30">
        <f ca="1" t="shared" si="1"/>
        <v>63</v>
      </c>
      <c r="B120" s="30">
        <f ca="1" t="array" ref="B120">INDEX(Data_DBD!$B:$B,$A120)</f>
        <v>25</v>
      </c>
      <c r="C120" s="30">
        <f ca="1" t="array" ref="C120">INDEX(Data_DBD!$C:$C,$A120)</f>
        <v>3</v>
      </c>
      <c r="D120" s="30">
        <f ca="1" t="array" ref="D120">INDEX(Data_DBD!$D:$D,$A120)</f>
        <v>15</v>
      </c>
      <c r="E120" s="30">
        <f ca="1" t="array" ref="E120">INDEX(Data_DBD!$E:$E,$A120)</f>
        <v>0</v>
      </c>
      <c r="F120" s="30">
        <f ca="1" t="array" ref="F120">INDEX(Data_DBD!$F:$F,$A120)</f>
        <v>2</v>
      </c>
      <c r="H120" s="30">
        <v>11</v>
      </c>
      <c r="I120" s="30">
        <v>24</v>
      </c>
      <c r="J120" s="30">
        <v>5</v>
      </c>
      <c r="K120" s="30">
        <v>12</v>
      </c>
      <c r="L120" s="30">
        <v>1</v>
      </c>
      <c r="M120" s="30">
        <v>2</v>
      </c>
    </row>
    <row r="121" spans="1:13">
      <c r="A121" s="30">
        <f ca="1" t="shared" si="1"/>
        <v>120</v>
      </c>
      <c r="B121" s="30">
        <f ca="1" t="array" ref="B121">INDEX(Data_DBD!$B:$B,$A121)</f>
        <v>26</v>
      </c>
      <c r="C121" s="30">
        <f ca="1" t="array" ref="C121">INDEX(Data_DBD!$C:$C,$A121)</f>
        <v>4</v>
      </c>
      <c r="D121" s="30">
        <f ca="1" t="array" ref="D121">INDEX(Data_DBD!$D:$D,$A121)</f>
        <v>33</v>
      </c>
      <c r="E121" s="30">
        <f ca="1" t="array" ref="E121">INDEX(Data_DBD!$E:$E,$A121)</f>
        <v>1</v>
      </c>
      <c r="F121" s="30">
        <f ca="1" t="array" ref="F121">INDEX(Data_DBD!$F:$F,$A121)</f>
        <v>3</v>
      </c>
      <c r="H121" s="30">
        <v>88</v>
      </c>
      <c r="I121" s="30">
        <v>20</v>
      </c>
      <c r="J121" s="30">
        <v>4</v>
      </c>
      <c r="K121" s="30">
        <v>13</v>
      </c>
      <c r="L121" s="30">
        <v>1</v>
      </c>
      <c r="M121" s="30">
        <v>2</v>
      </c>
    </row>
    <row r="122" spans="1:13">
      <c r="A122" s="30">
        <f ca="1" t="shared" si="1"/>
        <v>14</v>
      </c>
      <c r="B122" s="30">
        <f ca="1" t="array" ref="B122">INDEX(Data_DBD!$B:$B,$A122)</f>
        <v>49</v>
      </c>
      <c r="C122" s="30">
        <f ca="1" t="array" ref="C122">INDEX(Data_DBD!$C:$C,$A122)</f>
        <v>4</v>
      </c>
      <c r="D122" s="30">
        <f ca="1" t="array" ref="D122">INDEX(Data_DBD!$D:$D,$A122)</f>
        <v>7</v>
      </c>
      <c r="E122" s="30">
        <f ca="1" t="array" ref="E122">INDEX(Data_DBD!$E:$E,$A122)</f>
        <v>1</v>
      </c>
      <c r="F122" s="30">
        <f ca="1" t="array" ref="F122">INDEX(Data_DBD!$F:$F,$A122)</f>
        <v>1</v>
      </c>
      <c r="H122" s="30">
        <v>28</v>
      </c>
      <c r="I122" s="30">
        <v>22</v>
      </c>
      <c r="J122" s="30">
        <v>2</v>
      </c>
      <c r="K122" s="30">
        <v>14</v>
      </c>
      <c r="L122" s="30">
        <v>1</v>
      </c>
      <c r="M122" s="30">
        <v>2</v>
      </c>
    </row>
    <row r="123" spans="1:13">
      <c r="A123" s="30">
        <f ca="1" t="shared" si="1"/>
        <v>150</v>
      </c>
      <c r="B123" s="30">
        <f ca="1" t="array" ref="B123">INDEX(Data_DBD!$B:$B,$A123)</f>
        <v>61</v>
      </c>
      <c r="C123" s="30">
        <f ca="1" t="array" ref="C123">INDEX(Data_DBD!$C:$C,$A123)</f>
        <v>5</v>
      </c>
      <c r="D123" s="30">
        <f ca="1" t="array" ref="D123">INDEX(Data_DBD!$D:$D,$A123)</f>
        <v>21</v>
      </c>
      <c r="E123" s="30">
        <f ca="1" t="array" ref="E123">INDEX(Data_DBD!$E:$E,$A123)</f>
        <v>1</v>
      </c>
      <c r="F123" s="30">
        <f ca="1" t="array" ref="F123">INDEX(Data_DBD!$F:$F,$A123)</f>
        <v>3</v>
      </c>
      <c r="H123" s="30">
        <v>93</v>
      </c>
      <c r="I123" s="30">
        <v>65</v>
      </c>
      <c r="J123" s="30">
        <v>4</v>
      </c>
      <c r="K123" s="30">
        <v>18</v>
      </c>
      <c r="L123" s="30">
        <v>0</v>
      </c>
      <c r="M123" s="30">
        <v>3</v>
      </c>
    </row>
    <row r="124" spans="1:13">
      <c r="A124" s="30">
        <f ca="1" t="shared" si="1"/>
        <v>139</v>
      </c>
      <c r="B124" s="30">
        <f ca="1" t="array" ref="B124">INDEX(Data_DBD!$B:$B,$A124)</f>
        <v>52</v>
      </c>
      <c r="C124" s="30">
        <f ca="1" t="array" ref="C124">INDEX(Data_DBD!$C:$C,$A124)</f>
        <v>7</v>
      </c>
      <c r="D124" s="30">
        <f ca="1" t="array" ref="D124">INDEX(Data_DBD!$D:$D,$A124)</f>
        <v>21</v>
      </c>
      <c r="E124" s="30">
        <f ca="1" t="array" ref="E124">INDEX(Data_DBD!$E:$E,$A124)</f>
        <v>0</v>
      </c>
      <c r="F124" s="30">
        <f ca="1" t="array" ref="F124">INDEX(Data_DBD!$F:$F,$A124)</f>
        <v>3</v>
      </c>
      <c r="H124" s="30">
        <v>144</v>
      </c>
      <c r="I124" s="30">
        <v>61</v>
      </c>
      <c r="J124" s="30">
        <v>4</v>
      </c>
      <c r="K124" s="30">
        <v>21</v>
      </c>
      <c r="L124" s="30">
        <v>1</v>
      </c>
      <c r="M124" s="30">
        <v>3</v>
      </c>
    </row>
    <row r="125" spans="1:13">
      <c r="A125" s="30">
        <f ca="1" t="shared" si="1"/>
        <v>139</v>
      </c>
      <c r="B125" s="30">
        <f ca="1" t="array" ref="B125">INDEX(Data_DBD!$B:$B,$A125)</f>
        <v>52</v>
      </c>
      <c r="C125" s="30">
        <f ca="1" t="array" ref="C125">INDEX(Data_DBD!$C:$C,$A125)</f>
        <v>7</v>
      </c>
      <c r="D125" s="30">
        <f ca="1" t="array" ref="D125">INDEX(Data_DBD!$D:$D,$A125)</f>
        <v>21</v>
      </c>
      <c r="E125" s="30">
        <f ca="1" t="array" ref="E125">INDEX(Data_DBD!$E:$E,$A125)</f>
        <v>0</v>
      </c>
      <c r="F125" s="30">
        <f ca="1" t="array" ref="F125">INDEX(Data_DBD!$F:$F,$A125)</f>
        <v>3</v>
      </c>
      <c r="H125" s="30">
        <v>121</v>
      </c>
      <c r="I125" s="30">
        <v>82</v>
      </c>
      <c r="J125" s="30">
        <v>5</v>
      </c>
      <c r="K125" s="30">
        <v>33</v>
      </c>
      <c r="L125" s="30">
        <v>1</v>
      </c>
      <c r="M125" s="30">
        <v>3</v>
      </c>
    </row>
    <row r="126" spans="1:13">
      <c r="A126" s="30">
        <f ca="1" t="shared" si="1"/>
        <v>130</v>
      </c>
      <c r="B126" s="30">
        <f ca="1" t="array" ref="B126">INDEX(Data_DBD!$B:$B,$A126)</f>
        <v>12</v>
      </c>
      <c r="C126" s="30">
        <f ca="1" t="array" ref="C126">INDEX(Data_DBD!$C:$C,$A126)</f>
        <v>4</v>
      </c>
      <c r="D126" s="30">
        <f ca="1" t="array" ref="D126">INDEX(Data_DBD!$D:$D,$A126)</f>
        <v>33</v>
      </c>
      <c r="E126" s="30">
        <f ca="1" t="array" ref="E126">INDEX(Data_DBD!$E:$E,$A126)</f>
        <v>0</v>
      </c>
      <c r="F126" s="30">
        <f ca="1" t="array" ref="F126">INDEX(Data_DBD!$F:$F,$A126)</f>
        <v>3</v>
      </c>
      <c r="H126" s="30">
        <v>105</v>
      </c>
      <c r="I126" s="30">
        <v>61</v>
      </c>
      <c r="J126" s="30">
        <v>3</v>
      </c>
      <c r="K126" s="30">
        <v>18</v>
      </c>
      <c r="L126" s="30">
        <v>1</v>
      </c>
      <c r="M126" s="30">
        <v>3</v>
      </c>
    </row>
    <row r="127" spans="1:13">
      <c r="A127" s="30">
        <f ca="1" t="shared" si="1"/>
        <v>88</v>
      </c>
      <c r="B127" s="30">
        <f ca="1" t="array" ref="B127">INDEX(Data_DBD!$B:$B,$A127)</f>
        <v>20</v>
      </c>
      <c r="C127" s="30">
        <f ca="1" t="array" ref="C127">INDEX(Data_DBD!$C:$C,$A127)</f>
        <v>4</v>
      </c>
      <c r="D127" s="30">
        <f ca="1" t="array" ref="D127">INDEX(Data_DBD!$D:$D,$A127)</f>
        <v>13</v>
      </c>
      <c r="E127" s="30">
        <f ca="1" t="array" ref="E127">INDEX(Data_DBD!$E:$E,$A127)</f>
        <v>1</v>
      </c>
      <c r="F127" s="30">
        <f ca="1" t="array" ref="F127">INDEX(Data_DBD!$F:$F,$A127)</f>
        <v>2</v>
      </c>
      <c r="H127" s="30">
        <v>70</v>
      </c>
      <c r="I127" s="30">
        <v>26</v>
      </c>
      <c r="J127" s="30">
        <v>3</v>
      </c>
      <c r="K127" s="30">
        <v>10</v>
      </c>
      <c r="L127" s="30">
        <v>1</v>
      </c>
      <c r="M127" s="30">
        <v>2</v>
      </c>
    </row>
    <row r="128" spans="1:13">
      <c r="A128" s="30">
        <f ca="1" t="shared" si="1"/>
        <v>128</v>
      </c>
      <c r="B128" s="30">
        <f ca="1" t="array" ref="B128">INDEX(Data_DBD!$B:$B,$A128)</f>
        <v>38</v>
      </c>
      <c r="C128" s="30">
        <f ca="1" t="array" ref="C128">INDEX(Data_DBD!$C:$C,$A128)</f>
        <v>2</v>
      </c>
      <c r="D128" s="30">
        <f ca="1" t="array" ref="D128">INDEX(Data_DBD!$D:$D,$A128)</f>
        <v>33</v>
      </c>
      <c r="E128" s="30">
        <f ca="1" t="array" ref="E128">INDEX(Data_DBD!$E:$E,$A128)</f>
        <v>0</v>
      </c>
      <c r="F128" s="30">
        <f ca="1" t="array" ref="F128">INDEX(Data_DBD!$F:$F,$A128)</f>
        <v>3</v>
      </c>
      <c r="H128" s="30">
        <v>111</v>
      </c>
      <c r="I128" s="30">
        <v>25</v>
      </c>
      <c r="J128" s="30">
        <v>4</v>
      </c>
      <c r="K128" s="30">
        <v>33</v>
      </c>
      <c r="L128" s="30">
        <v>0</v>
      </c>
      <c r="M128" s="30">
        <v>3</v>
      </c>
    </row>
    <row r="129" spans="1:13">
      <c r="A129" s="30">
        <f ca="1" t="shared" si="1"/>
        <v>2</v>
      </c>
      <c r="B129" s="30">
        <f ca="1" t="array" ref="B129">INDEX(Data_DBD!$B:$B,$A129)</f>
        <v>34</v>
      </c>
      <c r="C129" s="30">
        <f ca="1" t="array" ref="C129">INDEX(Data_DBD!$C:$C,$A129)</f>
        <v>3</v>
      </c>
      <c r="D129" s="30">
        <f ca="1" t="array" ref="D129">INDEX(Data_DBD!$D:$D,$A129)</f>
        <v>12</v>
      </c>
      <c r="E129" s="30">
        <f ca="1" t="array" ref="E129">INDEX(Data_DBD!$E:$E,$A129)</f>
        <v>0</v>
      </c>
      <c r="F129" s="30">
        <f ca="1" t="array" ref="F129">INDEX(Data_DBD!$F:$F,$A129)</f>
        <v>2</v>
      </c>
      <c r="H129" s="30">
        <v>35</v>
      </c>
      <c r="I129" s="30">
        <v>40</v>
      </c>
      <c r="J129" s="30">
        <v>3</v>
      </c>
      <c r="K129" s="30">
        <v>4</v>
      </c>
      <c r="L129" s="30">
        <v>1</v>
      </c>
      <c r="M129" s="30">
        <v>1</v>
      </c>
    </row>
    <row r="130" spans="1:13">
      <c r="A130" s="30">
        <f ca="1" t="shared" si="1"/>
        <v>75</v>
      </c>
      <c r="B130" s="30">
        <f ca="1" t="array" ref="B130">INDEX(Data_DBD!$B:$B,$A130)</f>
        <v>2</v>
      </c>
      <c r="C130" s="30">
        <f ca="1" t="array" ref="C130">INDEX(Data_DBD!$C:$C,$A130)</f>
        <v>2</v>
      </c>
      <c r="D130" s="30">
        <f ca="1" t="array" ref="D130">INDEX(Data_DBD!$D:$D,$A130)</f>
        <v>10</v>
      </c>
      <c r="E130" s="30">
        <f ca="1" t="array" ref="E130">INDEX(Data_DBD!$E:$E,$A130)</f>
        <v>1</v>
      </c>
      <c r="F130" s="30">
        <f ca="1" t="array" ref="F130">INDEX(Data_DBD!$F:$F,$A130)</f>
        <v>2</v>
      </c>
      <c r="H130" s="30">
        <v>119</v>
      </c>
      <c r="I130" s="30">
        <v>30</v>
      </c>
      <c r="J130" s="30">
        <v>7</v>
      </c>
      <c r="K130" s="30">
        <v>33</v>
      </c>
      <c r="L130" s="30">
        <v>0</v>
      </c>
      <c r="M130" s="30">
        <v>3</v>
      </c>
    </row>
    <row r="131" spans="1:13">
      <c r="A131" s="30">
        <f ca="1" t="shared" ref="A131:A164" si="2">RANDBETWEEN(2,164)</f>
        <v>38</v>
      </c>
      <c r="B131" s="30">
        <f ca="1" t="array" ref="B131">INDEX(Data_DBD!$B:$B,$A131)</f>
        <v>52</v>
      </c>
      <c r="C131" s="30">
        <f ca="1" t="array" ref="C131">INDEX(Data_DBD!$C:$C,$A131)</f>
        <v>3</v>
      </c>
      <c r="D131" s="30">
        <f ca="1" t="array" ref="D131">INDEX(Data_DBD!$D:$D,$A131)</f>
        <v>4</v>
      </c>
      <c r="E131" s="30">
        <f ca="1" t="array" ref="E131">INDEX(Data_DBD!$E:$E,$A131)</f>
        <v>1</v>
      </c>
      <c r="F131" s="30">
        <f ca="1" t="array" ref="F131">INDEX(Data_DBD!$F:$F,$A131)</f>
        <v>1</v>
      </c>
      <c r="H131" s="30">
        <v>124</v>
      </c>
      <c r="I131" s="30">
        <v>24</v>
      </c>
      <c r="J131" s="30">
        <v>3</v>
      </c>
      <c r="K131" s="30">
        <v>33</v>
      </c>
      <c r="L131" s="30">
        <v>1</v>
      </c>
      <c r="M131" s="30">
        <v>3</v>
      </c>
    </row>
    <row r="132" spans="1:13">
      <c r="A132" s="30">
        <f ca="1" t="shared" si="2"/>
        <v>38</v>
      </c>
      <c r="B132" s="30">
        <f ca="1" t="array" ref="B132">INDEX(Data_DBD!$B:$B,$A132)</f>
        <v>52</v>
      </c>
      <c r="C132" s="30">
        <f ca="1" t="array" ref="C132">INDEX(Data_DBD!$C:$C,$A132)</f>
        <v>3</v>
      </c>
      <c r="D132" s="30">
        <f ca="1" t="array" ref="D132">INDEX(Data_DBD!$D:$D,$A132)</f>
        <v>4</v>
      </c>
      <c r="E132" s="30">
        <f ca="1" t="array" ref="E132">INDEX(Data_DBD!$E:$E,$A132)</f>
        <v>1</v>
      </c>
      <c r="F132" s="30">
        <f ca="1" t="array" ref="F132">INDEX(Data_DBD!$F:$F,$A132)</f>
        <v>1</v>
      </c>
      <c r="H132" s="30">
        <v>3</v>
      </c>
      <c r="I132" s="30">
        <v>43</v>
      </c>
      <c r="J132" s="30">
        <v>3</v>
      </c>
      <c r="K132" s="30">
        <v>12</v>
      </c>
      <c r="L132" s="30">
        <v>1</v>
      </c>
      <c r="M132" s="30">
        <v>2</v>
      </c>
    </row>
    <row r="133" spans="1:13">
      <c r="A133" s="30">
        <f ca="1" t="shared" si="2"/>
        <v>111</v>
      </c>
      <c r="B133" s="30">
        <f ca="1" t="array" ref="B133">INDEX(Data_DBD!$B:$B,$A133)</f>
        <v>25</v>
      </c>
      <c r="C133" s="30">
        <f ca="1" t="array" ref="C133">INDEX(Data_DBD!$C:$C,$A133)</f>
        <v>4</v>
      </c>
      <c r="D133" s="30">
        <f ca="1" t="array" ref="D133">INDEX(Data_DBD!$D:$D,$A133)</f>
        <v>33</v>
      </c>
      <c r="E133" s="30">
        <f ca="1" t="array" ref="E133">INDEX(Data_DBD!$E:$E,$A133)</f>
        <v>0</v>
      </c>
      <c r="F133" s="30">
        <f ca="1" t="array" ref="F133">INDEX(Data_DBD!$F:$F,$A133)</f>
        <v>3</v>
      </c>
      <c r="H133" s="30">
        <v>21</v>
      </c>
      <c r="I133" s="30">
        <v>10</v>
      </c>
      <c r="J133" s="30">
        <v>5</v>
      </c>
      <c r="K133" s="30">
        <v>14</v>
      </c>
      <c r="L133" s="30">
        <v>1</v>
      </c>
      <c r="M133" s="30">
        <v>2</v>
      </c>
    </row>
    <row r="134" spans="1:13">
      <c r="A134" s="30">
        <f ca="1" t="shared" si="2"/>
        <v>73</v>
      </c>
      <c r="B134" s="30">
        <f ca="1" t="array" ref="B134">INDEX(Data_DBD!$B:$B,$A134)</f>
        <v>15</v>
      </c>
      <c r="C134" s="30">
        <f ca="1" t="array" ref="C134">INDEX(Data_DBD!$C:$C,$A134)</f>
        <v>3</v>
      </c>
      <c r="D134" s="30">
        <f ca="1" t="array" ref="D134">INDEX(Data_DBD!$D:$D,$A134)</f>
        <v>10</v>
      </c>
      <c r="E134" s="30">
        <f ca="1" t="array" ref="E134">INDEX(Data_DBD!$E:$E,$A134)</f>
        <v>1</v>
      </c>
      <c r="F134" s="30">
        <f ca="1" t="array" ref="F134">INDEX(Data_DBD!$F:$F,$A134)</f>
        <v>2</v>
      </c>
      <c r="H134" s="30">
        <v>88</v>
      </c>
      <c r="I134" s="30">
        <v>20</v>
      </c>
      <c r="J134" s="30">
        <v>4</v>
      </c>
      <c r="K134" s="30">
        <v>13</v>
      </c>
      <c r="L134" s="30">
        <v>1</v>
      </c>
      <c r="M134" s="30">
        <v>2</v>
      </c>
    </row>
    <row r="135" spans="1:13">
      <c r="A135" s="30">
        <f ca="1" t="shared" si="2"/>
        <v>161</v>
      </c>
      <c r="B135" s="30">
        <f ca="1" t="array" ref="B135">INDEX(Data_DBD!$B:$B,$A135)</f>
        <v>12</v>
      </c>
      <c r="C135" s="30">
        <f ca="1" t="array" ref="C135">INDEX(Data_DBD!$C:$C,$A135)</f>
        <v>3</v>
      </c>
      <c r="D135" s="30">
        <f ca="1" t="array" ref="D135">INDEX(Data_DBD!$D:$D,$A135)</f>
        <v>21</v>
      </c>
      <c r="E135" s="30">
        <f ca="1" t="array" ref="E135">INDEX(Data_DBD!$E:$E,$A135)</f>
        <v>1</v>
      </c>
      <c r="F135" s="30">
        <f ca="1" t="array" ref="F135">INDEX(Data_DBD!$F:$F,$A135)</f>
        <v>3</v>
      </c>
      <c r="H135" s="30">
        <v>104</v>
      </c>
      <c r="I135" s="30">
        <v>37</v>
      </c>
      <c r="J135" s="30">
        <v>4</v>
      </c>
      <c r="K135" s="30">
        <v>18</v>
      </c>
      <c r="L135" s="30">
        <v>1</v>
      </c>
      <c r="M135" s="30">
        <v>3</v>
      </c>
    </row>
    <row r="136" spans="1:13">
      <c r="A136" s="30">
        <f ca="1" t="shared" si="2"/>
        <v>155</v>
      </c>
      <c r="B136" s="30">
        <f ca="1" t="array" ref="B136">INDEX(Data_DBD!$B:$B,$A136)</f>
        <v>19</v>
      </c>
      <c r="C136" s="30">
        <f ca="1" t="array" ref="C136">INDEX(Data_DBD!$C:$C,$A136)</f>
        <v>5</v>
      </c>
      <c r="D136" s="30">
        <f ca="1" t="array" ref="D136">INDEX(Data_DBD!$D:$D,$A136)</f>
        <v>21</v>
      </c>
      <c r="E136" s="30">
        <f ca="1" t="array" ref="E136">INDEX(Data_DBD!$E:$E,$A136)</f>
        <v>1</v>
      </c>
      <c r="F136" s="30">
        <f ca="1" t="array" ref="F136">INDEX(Data_DBD!$F:$F,$A136)</f>
        <v>3</v>
      </c>
      <c r="H136" s="30">
        <v>23</v>
      </c>
      <c r="I136" s="30">
        <v>28</v>
      </c>
      <c r="J136" s="30">
        <v>4</v>
      </c>
      <c r="K136" s="30">
        <v>14</v>
      </c>
      <c r="L136" s="30">
        <v>1</v>
      </c>
      <c r="M136" s="30">
        <v>2</v>
      </c>
    </row>
    <row r="137" spans="1:13">
      <c r="A137" s="30">
        <f ca="1" t="shared" si="2"/>
        <v>18</v>
      </c>
      <c r="B137" s="30">
        <f ca="1" t="array" ref="B137">INDEX(Data_DBD!$B:$B,$A137)</f>
        <v>49</v>
      </c>
      <c r="C137" s="30">
        <f ca="1" t="array" ref="C137">INDEX(Data_DBD!$C:$C,$A137)</f>
        <v>4</v>
      </c>
      <c r="D137" s="30">
        <f ca="1" t="array" ref="D137">INDEX(Data_DBD!$D:$D,$A137)</f>
        <v>7</v>
      </c>
      <c r="E137" s="30">
        <f ca="1" t="array" ref="E137">INDEX(Data_DBD!$E:$E,$A137)</f>
        <v>1</v>
      </c>
      <c r="F137" s="30">
        <f ca="1" t="array" ref="F137">INDEX(Data_DBD!$F:$F,$A137)</f>
        <v>1</v>
      </c>
      <c r="H137" s="30">
        <v>85</v>
      </c>
      <c r="I137" s="30">
        <v>27</v>
      </c>
      <c r="J137" s="30">
        <v>9</v>
      </c>
      <c r="K137" s="30">
        <v>13</v>
      </c>
      <c r="L137" s="30">
        <v>0</v>
      </c>
      <c r="M137" s="30">
        <v>2</v>
      </c>
    </row>
    <row r="138" spans="1:13">
      <c r="A138" s="30">
        <f ca="1" t="shared" si="2"/>
        <v>82</v>
      </c>
      <c r="B138" s="30">
        <f ca="1" t="array" ref="B138">INDEX(Data_DBD!$B:$B,$A138)</f>
        <v>28</v>
      </c>
      <c r="C138" s="30">
        <f ca="1" t="array" ref="C138">INDEX(Data_DBD!$C:$C,$A138)</f>
        <v>3</v>
      </c>
      <c r="D138" s="30">
        <f ca="1" t="array" ref="D138">INDEX(Data_DBD!$D:$D,$A138)</f>
        <v>13</v>
      </c>
      <c r="E138" s="30">
        <f ca="1" t="array" ref="E138">INDEX(Data_DBD!$E:$E,$A138)</f>
        <v>1</v>
      </c>
      <c r="F138" s="30">
        <f ca="1" t="array" ref="F138">INDEX(Data_DBD!$F:$F,$A138)</f>
        <v>2</v>
      </c>
      <c r="H138" s="30">
        <v>96</v>
      </c>
      <c r="I138" s="30">
        <v>56</v>
      </c>
      <c r="J138" s="30">
        <v>4</v>
      </c>
      <c r="K138" s="30">
        <v>18</v>
      </c>
      <c r="L138" s="30">
        <v>0</v>
      </c>
      <c r="M138" s="30">
        <v>3</v>
      </c>
    </row>
    <row r="139" spans="1:13">
      <c r="A139" s="30">
        <f ca="1" t="shared" si="2"/>
        <v>153</v>
      </c>
      <c r="B139" s="30">
        <f ca="1" t="array" ref="B139">INDEX(Data_DBD!$B:$B,$A139)</f>
        <v>73</v>
      </c>
      <c r="C139" s="30">
        <f ca="1" t="array" ref="C139">INDEX(Data_DBD!$C:$C,$A139)</f>
        <v>7</v>
      </c>
      <c r="D139" s="30">
        <f ca="1" t="array" ref="D139">INDEX(Data_DBD!$D:$D,$A139)</f>
        <v>21</v>
      </c>
      <c r="E139" s="30">
        <f ca="1" t="array" ref="E139">INDEX(Data_DBD!$E:$E,$A139)</f>
        <v>1</v>
      </c>
      <c r="F139" s="30">
        <f ca="1" t="array" ref="F139">INDEX(Data_DBD!$F:$F,$A139)</f>
        <v>3</v>
      </c>
      <c r="H139" s="30">
        <v>148</v>
      </c>
      <c r="I139" s="30">
        <v>55</v>
      </c>
      <c r="J139" s="30">
        <v>3</v>
      </c>
      <c r="K139" s="30">
        <v>21</v>
      </c>
      <c r="L139" s="30">
        <v>1</v>
      </c>
      <c r="M139" s="30">
        <v>3</v>
      </c>
    </row>
    <row r="140" spans="1:13">
      <c r="A140" s="30">
        <f ca="1" t="shared" si="2"/>
        <v>23</v>
      </c>
      <c r="B140" s="30">
        <f ca="1" t="array" ref="B140">INDEX(Data_DBD!$B:$B,$A140)</f>
        <v>28</v>
      </c>
      <c r="C140" s="30">
        <f ca="1" t="array" ref="C140">INDEX(Data_DBD!$C:$C,$A140)</f>
        <v>4</v>
      </c>
      <c r="D140" s="30">
        <f ca="1" t="array" ref="D140">INDEX(Data_DBD!$D:$D,$A140)</f>
        <v>14</v>
      </c>
      <c r="E140" s="30">
        <f ca="1" t="array" ref="E140">INDEX(Data_DBD!$E:$E,$A140)</f>
        <v>1</v>
      </c>
      <c r="F140" s="30">
        <f ca="1" t="array" ref="F140">INDEX(Data_DBD!$F:$F,$A140)</f>
        <v>2</v>
      </c>
      <c r="H140" s="30">
        <v>86</v>
      </c>
      <c r="I140" s="30">
        <v>23</v>
      </c>
      <c r="J140" s="30">
        <v>3</v>
      </c>
      <c r="K140" s="30">
        <v>13</v>
      </c>
      <c r="L140" s="30">
        <v>0</v>
      </c>
      <c r="M140" s="30">
        <v>2</v>
      </c>
    </row>
    <row r="141" spans="1:13">
      <c r="A141" s="30">
        <f ca="1" t="shared" si="2"/>
        <v>79</v>
      </c>
      <c r="B141" s="30">
        <f ca="1" t="array" ref="B141">INDEX(Data_DBD!$B:$B,$A141)</f>
        <v>29</v>
      </c>
      <c r="C141" s="30">
        <f ca="1" t="array" ref="C141">INDEX(Data_DBD!$C:$C,$A141)</f>
        <v>3</v>
      </c>
      <c r="D141" s="30">
        <f ca="1" t="array" ref="D141">INDEX(Data_DBD!$D:$D,$A141)</f>
        <v>13</v>
      </c>
      <c r="E141" s="30">
        <f ca="1" t="array" ref="E141">INDEX(Data_DBD!$E:$E,$A141)</f>
        <v>0</v>
      </c>
      <c r="F141" s="30">
        <f ca="1" t="array" ref="F141">INDEX(Data_DBD!$F:$F,$A141)</f>
        <v>2</v>
      </c>
      <c r="H141" s="30">
        <v>60</v>
      </c>
      <c r="I141" s="30">
        <v>68</v>
      </c>
      <c r="J141" s="30">
        <v>4</v>
      </c>
      <c r="K141" s="30">
        <v>15</v>
      </c>
      <c r="L141" s="30">
        <v>0</v>
      </c>
      <c r="M141" s="30">
        <v>2</v>
      </c>
    </row>
    <row r="142" spans="1:13">
      <c r="A142" s="30">
        <f ca="1" t="shared" si="2"/>
        <v>45</v>
      </c>
      <c r="B142" s="30">
        <f ca="1" t="array" ref="B142">INDEX(Data_DBD!$B:$B,$A142)</f>
        <v>75</v>
      </c>
      <c r="C142" s="30">
        <f ca="1" t="array" ref="C142">INDEX(Data_DBD!$C:$C,$A142)</f>
        <v>3</v>
      </c>
      <c r="D142" s="30">
        <f ca="1" t="array" ref="D142">INDEX(Data_DBD!$D:$D,$A142)</f>
        <v>13</v>
      </c>
      <c r="E142" s="30">
        <f ca="1" t="array" ref="E142">INDEX(Data_DBD!$E:$E,$A142)</f>
        <v>1</v>
      </c>
      <c r="F142" s="30">
        <f ca="1" t="array" ref="F142">INDEX(Data_DBD!$F:$F,$A142)</f>
        <v>2</v>
      </c>
      <c r="H142" s="30">
        <v>28</v>
      </c>
      <c r="I142" s="30">
        <v>22</v>
      </c>
      <c r="J142" s="30">
        <v>2</v>
      </c>
      <c r="K142" s="30">
        <v>14</v>
      </c>
      <c r="L142" s="30">
        <v>1</v>
      </c>
      <c r="M142" s="30">
        <v>2</v>
      </c>
    </row>
    <row r="143" spans="1:13">
      <c r="A143" s="30">
        <f ca="1" t="shared" si="2"/>
        <v>41</v>
      </c>
      <c r="B143" s="30">
        <f ca="1" t="array" ref="B143">INDEX(Data_DBD!$B:$B,$A143)</f>
        <v>8</v>
      </c>
      <c r="C143" s="30">
        <f ca="1" t="array" ref="C143">INDEX(Data_DBD!$C:$C,$A143)</f>
        <v>4</v>
      </c>
      <c r="D143" s="30">
        <f ca="1" t="array" ref="D143">INDEX(Data_DBD!$D:$D,$A143)</f>
        <v>13</v>
      </c>
      <c r="E143" s="30">
        <f ca="1" t="array" ref="E143">INDEX(Data_DBD!$E:$E,$A143)</f>
        <v>0</v>
      </c>
      <c r="F143" s="30">
        <f ca="1" t="array" ref="F143">INDEX(Data_DBD!$F:$F,$A143)</f>
        <v>2</v>
      </c>
      <c r="H143" s="30">
        <v>120</v>
      </c>
      <c r="I143" s="30">
        <v>26</v>
      </c>
      <c r="J143" s="30">
        <v>4</v>
      </c>
      <c r="K143" s="30">
        <v>33</v>
      </c>
      <c r="L143" s="30">
        <v>1</v>
      </c>
      <c r="M143" s="30">
        <v>3</v>
      </c>
    </row>
    <row r="144" spans="1:13">
      <c r="A144" s="30">
        <f ca="1" t="shared" si="2"/>
        <v>149</v>
      </c>
      <c r="B144" s="30">
        <f ca="1" t="array" ref="B144">INDEX(Data_DBD!$B:$B,$A144)</f>
        <v>19</v>
      </c>
      <c r="C144" s="30">
        <f ca="1" t="array" ref="C144">INDEX(Data_DBD!$C:$C,$A144)</f>
        <v>5</v>
      </c>
      <c r="D144" s="30">
        <f ca="1" t="array" ref="D144">INDEX(Data_DBD!$D:$D,$A144)</f>
        <v>21</v>
      </c>
      <c r="E144" s="30">
        <f ca="1" t="array" ref="E144">INDEX(Data_DBD!$E:$E,$A144)</f>
        <v>0</v>
      </c>
      <c r="F144" s="30">
        <f ca="1" t="array" ref="F144">INDEX(Data_DBD!$F:$F,$A144)</f>
        <v>3</v>
      </c>
      <c r="H144" s="30">
        <v>71</v>
      </c>
      <c r="I144" s="30">
        <v>84</v>
      </c>
      <c r="J144" s="30">
        <v>3</v>
      </c>
      <c r="K144" s="30">
        <v>10</v>
      </c>
      <c r="L144" s="30">
        <v>0</v>
      </c>
      <c r="M144" s="30">
        <v>2</v>
      </c>
    </row>
    <row r="145" spans="1:13">
      <c r="A145" s="30">
        <f ca="1" t="shared" si="2"/>
        <v>131</v>
      </c>
      <c r="B145" s="30">
        <f ca="1" t="array" ref="B145">INDEX(Data_DBD!$B:$B,$A145)</f>
        <v>10</v>
      </c>
      <c r="C145" s="30">
        <f ca="1" t="array" ref="C145">INDEX(Data_DBD!$C:$C,$A145)</f>
        <v>2</v>
      </c>
      <c r="D145" s="30">
        <f ca="1" t="array" ref="D145">INDEX(Data_DBD!$D:$D,$A145)</f>
        <v>33</v>
      </c>
      <c r="E145" s="30">
        <f ca="1" t="array" ref="E145">INDEX(Data_DBD!$E:$E,$A145)</f>
        <v>0</v>
      </c>
      <c r="F145" s="30">
        <f ca="1" t="array" ref="F145">INDEX(Data_DBD!$F:$F,$A145)</f>
        <v>3</v>
      </c>
      <c r="H145" s="30">
        <v>82</v>
      </c>
      <c r="I145" s="30">
        <v>28</v>
      </c>
      <c r="J145" s="30">
        <v>3</v>
      </c>
      <c r="K145" s="30">
        <v>13</v>
      </c>
      <c r="L145" s="30">
        <v>1</v>
      </c>
      <c r="M145" s="30">
        <v>2</v>
      </c>
    </row>
    <row r="146" spans="1:13">
      <c r="A146" s="30">
        <f ca="1" t="shared" si="2"/>
        <v>21</v>
      </c>
      <c r="B146" s="30">
        <f ca="1" t="array" ref="B146">INDEX(Data_DBD!$B:$B,$A146)</f>
        <v>10</v>
      </c>
      <c r="C146" s="30">
        <f ca="1" t="array" ref="C146">INDEX(Data_DBD!$C:$C,$A146)</f>
        <v>5</v>
      </c>
      <c r="D146" s="30">
        <f ca="1" t="array" ref="D146">INDEX(Data_DBD!$D:$D,$A146)</f>
        <v>14</v>
      </c>
      <c r="E146" s="30">
        <f ca="1" t="array" ref="E146">INDEX(Data_DBD!$E:$E,$A146)</f>
        <v>1</v>
      </c>
      <c r="F146" s="30">
        <f ca="1" t="array" ref="F146">INDEX(Data_DBD!$F:$F,$A146)</f>
        <v>2</v>
      </c>
      <c r="H146" s="30">
        <v>120</v>
      </c>
      <c r="I146" s="30">
        <v>26</v>
      </c>
      <c r="J146" s="30">
        <v>4</v>
      </c>
      <c r="K146" s="30">
        <v>33</v>
      </c>
      <c r="L146" s="30">
        <v>1</v>
      </c>
      <c r="M146" s="30">
        <v>3</v>
      </c>
    </row>
    <row r="147" spans="1:13">
      <c r="A147" s="30">
        <f ca="1" t="shared" si="2"/>
        <v>121</v>
      </c>
      <c r="B147" s="30">
        <f ca="1" t="array" ref="B147">INDEX(Data_DBD!$B:$B,$A147)</f>
        <v>82</v>
      </c>
      <c r="C147" s="30">
        <f ca="1" t="array" ref="C147">INDEX(Data_DBD!$C:$C,$A147)</f>
        <v>5</v>
      </c>
      <c r="D147" s="30">
        <f ca="1" t="array" ref="D147">INDEX(Data_DBD!$D:$D,$A147)</f>
        <v>33</v>
      </c>
      <c r="E147" s="30">
        <f ca="1" t="array" ref="E147">INDEX(Data_DBD!$E:$E,$A147)</f>
        <v>1</v>
      </c>
      <c r="F147" s="30">
        <f ca="1" t="array" ref="F147">INDEX(Data_DBD!$F:$F,$A147)</f>
        <v>3</v>
      </c>
      <c r="H147" s="30">
        <v>87</v>
      </c>
      <c r="I147" s="30">
        <v>21</v>
      </c>
      <c r="J147" s="30">
        <v>3</v>
      </c>
      <c r="K147" s="30">
        <v>13</v>
      </c>
      <c r="L147" s="30">
        <v>0</v>
      </c>
      <c r="M147" s="30">
        <v>2</v>
      </c>
    </row>
    <row r="148" spans="1:13">
      <c r="A148" s="30">
        <f ca="1" t="shared" si="2"/>
        <v>55</v>
      </c>
      <c r="B148" s="30">
        <f ca="1" t="array" ref="B148">INDEX(Data_DBD!$B:$B,$A148)</f>
        <v>7</v>
      </c>
      <c r="C148" s="30">
        <f ca="1" t="array" ref="C148">INDEX(Data_DBD!$C:$C,$A148)</f>
        <v>4</v>
      </c>
      <c r="D148" s="30">
        <f ca="1" t="array" ref="D148">INDEX(Data_DBD!$D:$D,$A148)</f>
        <v>15</v>
      </c>
      <c r="E148" s="30">
        <f ca="1" t="array" ref="E148">INDEX(Data_DBD!$E:$E,$A148)</f>
        <v>1</v>
      </c>
      <c r="F148" s="30">
        <f ca="1" t="array" ref="F148">INDEX(Data_DBD!$F:$F,$A148)</f>
        <v>2</v>
      </c>
      <c r="H148" s="30">
        <v>43</v>
      </c>
      <c r="I148" s="30">
        <v>15</v>
      </c>
      <c r="J148" s="30">
        <v>4</v>
      </c>
      <c r="K148" s="30">
        <v>13</v>
      </c>
      <c r="L148" s="30">
        <v>0</v>
      </c>
      <c r="M148" s="30">
        <v>2</v>
      </c>
    </row>
    <row r="149" spans="1:13">
      <c r="A149" s="30">
        <f ca="1" t="shared" si="2"/>
        <v>147</v>
      </c>
      <c r="B149" s="30">
        <f ca="1" t="array" ref="B149">INDEX(Data_DBD!$B:$B,$A149)</f>
        <v>66</v>
      </c>
      <c r="C149" s="30">
        <f ca="1" t="array" ref="C149">INDEX(Data_DBD!$C:$C,$A149)</f>
        <v>10</v>
      </c>
      <c r="D149" s="30">
        <f ca="1" t="array" ref="D149">INDEX(Data_DBD!$D:$D,$A149)</f>
        <v>21</v>
      </c>
      <c r="E149" s="30">
        <f ca="1" t="array" ref="E149">INDEX(Data_DBD!$E:$E,$A149)</f>
        <v>1</v>
      </c>
      <c r="F149" s="30">
        <f ca="1" t="array" ref="F149">INDEX(Data_DBD!$F:$F,$A149)</f>
        <v>3</v>
      </c>
      <c r="H149" s="30">
        <v>41</v>
      </c>
      <c r="I149" s="30">
        <v>8</v>
      </c>
      <c r="J149" s="30">
        <v>4</v>
      </c>
      <c r="K149" s="30">
        <v>13</v>
      </c>
      <c r="L149" s="30">
        <v>0</v>
      </c>
      <c r="M149" s="30">
        <v>2</v>
      </c>
    </row>
    <row r="150" spans="1:13">
      <c r="A150" s="30">
        <f ca="1" t="shared" si="2"/>
        <v>27</v>
      </c>
      <c r="B150" s="30">
        <f ca="1" t="array" ref="B150">INDEX(Data_DBD!$B:$B,$A150)</f>
        <v>37</v>
      </c>
      <c r="C150" s="30">
        <f ca="1" t="array" ref="C150">INDEX(Data_DBD!$C:$C,$A150)</f>
        <v>4</v>
      </c>
      <c r="D150" s="30">
        <f ca="1" t="array" ref="D150">INDEX(Data_DBD!$D:$D,$A150)</f>
        <v>14</v>
      </c>
      <c r="E150" s="30">
        <f ca="1" t="array" ref="E150">INDEX(Data_DBD!$E:$E,$A150)</f>
        <v>1</v>
      </c>
      <c r="F150" s="30">
        <f ca="1" t="array" ref="F150">INDEX(Data_DBD!$F:$F,$A150)</f>
        <v>2</v>
      </c>
      <c r="H150" s="30">
        <v>43</v>
      </c>
      <c r="I150" s="30">
        <v>15</v>
      </c>
      <c r="J150" s="30">
        <v>4</v>
      </c>
      <c r="K150" s="30">
        <v>13</v>
      </c>
      <c r="L150" s="30">
        <v>0</v>
      </c>
      <c r="M150" s="30">
        <v>2</v>
      </c>
    </row>
    <row r="151" spans="1:13">
      <c r="A151" s="30">
        <f ca="1" t="shared" si="2"/>
        <v>156</v>
      </c>
      <c r="B151" s="30">
        <f ca="1" t="array" ref="B151">INDEX(Data_DBD!$B:$B,$A151)</f>
        <v>5</v>
      </c>
      <c r="C151" s="30">
        <f ca="1" t="array" ref="C151">INDEX(Data_DBD!$C:$C,$A151)</f>
        <v>2</v>
      </c>
      <c r="D151" s="30">
        <f ca="1" t="array" ref="D151">INDEX(Data_DBD!$D:$D,$A151)</f>
        <v>21</v>
      </c>
      <c r="E151" s="30">
        <f ca="1" t="array" ref="E151">INDEX(Data_DBD!$E:$E,$A151)</f>
        <v>0</v>
      </c>
      <c r="F151" s="30">
        <f ca="1" t="array" ref="F151">INDEX(Data_DBD!$F:$F,$A151)</f>
        <v>3</v>
      </c>
      <c r="H151" s="30">
        <v>127</v>
      </c>
      <c r="I151" s="30">
        <v>21</v>
      </c>
      <c r="J151" s="30">
        <v>2</v>
      </c>
      <c r="K151" s="30">
        <v>33</v>
      </c>
      <c r="L151" s="30">
        <v>0</v>
      </c>
      <c r="M151" s="30">
        <v>3</v>
      </c>
    </row>
    <row r="152" spans="1:13">
      <c r="A152" s="30">
        <f ca="1" t="shared" si="2"/>
        <v>127</v>
      </c>
      <c r="B152" s="30">
        <f ca="1" t="array" ref="B152">INDEX(Data_DBD!$B:$B,$A152)</f>
        <v>21</v>
      </c>
      <c r="C152" s="30">
        <f ca="1" t="array" ref="C152">INDEX(Data_DBD!$C:$C,$A152)</f>
        <v>2</v>
      </c>
      <c r="D152" s="30">
        <f ca="1" t="array" ref="D152">INDEX(Data_DBD!$D:$D,$A152)</f>
        <v>33</v>
      </c>
      <c r="E152" s="30">
        <f ca="1" t="array" ref="E152">INDEX(Data_DBD!$E:$E,$A152)</f>
        <v>0</v>
      </c>
      <c r="F152" s="30">
        <f ca="1" t="array" ref="F152">INDEX(Data_DBD!$F:$F,$A152)</f>
        <v>3</v>
      </c>
      <c r="H152" s="30">
        <v>154</v>
      </c>
      <c r="I152" s="30">
        <v>18</v>
      </c>
      <c r="J152" s="30">
        <v>5</v>
      </c>
      <c r="K152" s="30">
        <v>21</v>
      </c>
      <c r="L152" s="30">
        <v>1</v>
      </c>
      <c r="M152" s="30">
        <v>3</v>
      </c>
    </row>
    <row r="153" spans="1:13">
      <c r="A153" s="30">
        <f ca="1" t="shared" si="2"/>
        <v>53</v>
      </c>
      <c r="B153" s="30">
        <f ca="1" t="array" ref="B153">INDEX(Data_DBD!$B:$B,$A153)</f>
        <v>35</v>
      </c>
      <c r="C153" s="30">
        <f ca="1" t="array" ref="C153">INDEX(Data_DBD!$C:$C,$A153)</f>
        <v>4</v>
      </c>
      <c r="D153" s="30">
        <f ca="1" t="array" ref="D153">INDEX(Data_DBD!$D:$D,$A153)</f>
        <v>15</v>
      </c>
      <c r="E153" s="30">
        <f ca="1" t="array" ref="E153">INDEX(Data_DBD!$E:$E,$A153)</f>
        <v>1</v>
      </c>
      <c r="F153" s="30">
        <f ca="1" t="array" ref="F153">INDEX(Data_DBD!$F:$F,$A153)</f>
        <v>2</v>
      </c>
      <c r="H153" s="30">
        <v>96</v>
      </c>
      <c r="I153" s="30">
        <v>56</v>
      </c>
      <c r="J153" s="30">
        <v>4</v>
      </c>
      <c r="K153" s="30">
        <v>18</v>
      </c>
      <c r="L153" s="30">
        <v>0</v>
      </c>
      <c r="M153" s="30">
        <v>3</v>
      </c>
    </row>
    <row r="154" spans="1:13">
      <c r="A154" s="30">
        <f ca="1" t="shared" si="2"/>
        <v>29</v>
      </c>
      <c r="B154" s="30">
        <f ca="1" t="array" ref="B154">INDEX(Data_DBD!$B:$B,$A154)</f>
        <v>19</v>
      </c>
      <c r="C154" s="30">
        <f ca="1" t="array" ref="C154">INDEX(Data_DBD!$C:$C,$A154)</f>
        <v>2</v>
      </c>
      <c r="D154" s="30">
        <f ca="1" t="array" ref="D154">INDEX(Data_DBD!$D:$D,$A154)</f>
        <v>14</v>
      </c>
      <c r="E154" s="30">
        <f ca="1" t="array" ref="E154">INDEX(Data_DBD!$E:$E,$A154)</f>
        <v>1</v>
      </c>
      <c r="F154" s="30">
        <f ca="1" t="array" ref="F154">INDEX(Data_DBD!$F:$F,$A154)</f>
        <v>2</v>
      </c>
      <c r="H154" s="30">
        <v>155</v>
      </c>
      <c r="I154" s="30">
        <v>19</v>
      </c>
      <c r="J154" s="30">
        <v>5</v>
      </c>
      <c r="K154" s="30">
        <v>21</v>
      </c>
      <c r="L154" s="30">
        <v>1</v>
      </c>
      <c r="M154" s="30">
        <v>3</v>
      </c>
    </row>
    <row r="155" spans="1:13">
      <c r="A155" s="30">
        <f ca="1" t="shared" si="2"/>
        <v>79</v>
      </c>
      <c r="B155" s="30">
        <f ca="1" t="array" ref="B155">INDEX(Data_DBD!$B:$B,$A155)</f>
        <v>29</v>
      </c>
      <c r="C155" s="30">
        <f ca="1" t="array" ref="C155">INDEX(Data_DBD!$C:$C,$A155)</f>
        <v>3</v>
      </c>
      <c r="D155" s="30">
        <f ca="1" t="array" ref="D155">INDEX(Data_DBD!$D:$D,$A155)</f>
        <v>13</v>
      </c>
      <c r="E155" s="30">
        <f ca="1" t="array" ref="E155">INDEX(Data_DBD!$E:$E,$A155)</f>
        <v>0</v>
      </c>
      <c r="F155" s="30">
        <f ca="1" t="array" ref="F155">INDEX(Data_DBD!$F:$F,$A155)</f>
        <v>2</v>
      </c>
      <c r="H155" s="30">
        <v>14</v>
      </c>
      <c r="I155" s="30">
        <v>49</v>
      </c>
      <c r="J155" s="30">
        <v>4</v>
      </c>
      <c r="K155" s="30">
        <v>7</v>
      </c>
      <c r="L155" s="30">
        <v>1</v>
      </c>
      <c r="M155" s="30">
        <v>1</v>
      </c>
    </row>
    <row r="156" spans="1:13">
      <c r="A156" s="30">
        <f ca="1" t="shared" si="2"/>
        <v>134</v>
      </c>
      <c r="B156" s="30">
        <f ca="1" t="array" ref="B156">INDEX(Data_DBD!$B:$B,$A156)</f>
        <v>4</v>
      </c>
      <c r="C156" s="30">
        <f ca="1" t="array" ref="C156">INDEX(Data_DBD!$C:$C,$A156)</f>
        <v>2</v>
      </c>
      <c r="D156" s="30">
        <f ca="1" t="array" ref="D156">INDEX(Data_DBD!$D:$D,$A156)</f>
        <v>33</v>
      </c>
      <c r="E156" s="30">
        <f ca="1" t="array" ref="E156">INDEX(Data_DBD!$E:$E,$A156)</f>
        <v>1</v>
      </c>
      <c r="F156" s="30">
        <f ca="1" t="array" ref="F156">INDEX(Data_DBD!$F:$F,$A156)</f>
        <v>3</v>
      </c>
      <c r="H156" s="30">
        <v>46</v>
      </c>
      <c r="I156" s="30">
        <v>62</v>
      </c>
      <c r="J156" s="30">
        <v>2</v>
      </c>
      <c r="K156" s="30">
        <v>13</v>
      </c>
      <c r="L156" s="30">
        <v>0</v>
      </c>
      <c r="M156" s="30">
        <v>2</v>
      </c>
    </row>
    <row r="157" spans="1:13">
      <c r="A157" s="30">
        <f ca="1" t="shared" si="2"/>
        <v>152</v>
      </c>
      <c r="B157" s="30">
        <f ca="1" t="array" ref="B157">INDEX(Data_DBD!$B:$B,$A157)</f>
        <v>47</v>
      </c>
      <c r="C157" s="30">
        <f ca="1" t="array" ref="C157">INDEX(Data_DBD!$C:$C,$A157)</f>
        <v>3</v>
      </c>
      <c r="D157" s="30">
        <f ca="1" t="array" ref="D157">INDEX(Data_DBD!$D:$D,$A157)</f>
        <v>21</v>
      </c>
      <c r="E157" s="30">
        <f ca="1" t="array" ref="E157">INDEX(Data_DBD!$E:$E,$A157)</f>
        <v>1</v>
      </c>
      <c r="F157" s="30">
        <f ca="1" t="array" ref="F157">INDEX(Data_DBD!$F:$F,$A157)</f>
        <v>3</v>
      </c>
      <c r="H157" s="30">
        <v>109</v>
      </c>
      <c r="I157" s="30">
        <v>40</v>
      </c>
      <c r="J157" s="30">
        <v>3</v>
      </c>
      <c r="K157" s="30">
        <v>33</v>
      </c>
      <c r="L157" s="30">
        <v>1</v>
      </c>
      <c r="M157" s="30">
        <v>3</v>
      </c>
    </row>
    <row r="158" ht="15.75" spans="1:13">
      <c r="A158" s="30">
        <f ca="1" t="shared" si="2"/>
        <v>148</v>
      </c>
      <c r="B158" s="30">
        <f ca="1" t="array" ref="B158">INDEX(Data_DBD!$B:$B,$A158)</f>
        <v>55</v>
      </c>
      <c r="C158" s="30">
        <f ca="1" t="array" ref="C158">INDEX(Data_DBD!$C:$C,$A158)</f>
        <v>3</v>
      </c>
      <c r="D158" s="30">
        <f ca="1" t="array" ref="D158">INDEX(Data_DBD!$D:$D,$A158)</f>
        <v>21</v>
      </c>
      <c r="E158" s="30">
        <f ca="1" t="array" ref="E158">INDEX(Data_DBD!$E:$E,$A158)</f>
        <v>1</v>
      </c>
      <c r="F158" s="30">
        <f ca="1" t="array" ref="F158">INDEX(Data_DBD!$F:$F,$A158)</f>
        <v>3</v>
      </c>
      <c r="H158" s="30">
        <v>32</v>
      </c>
      <c r="I158" s="30">
        <v>54</v>
      </c>
      <c r="J158" s="30">
        <v>4</v>
      </c>
      <c r="K158" s="30">
        <v>14</v>
      </c>
      <c r="L158" s="38">
        <v>0</v>
      </c>
      <c r="M158" s="30">
        <v>2</v>
      </c>
    </row>
    <row r="159" ht="15.75" spans="1:13">
      <c r="A159" s="30">
        <f ca="1" t="shared" si="2"/>
        <v>155</v>
      </c>
      <c r="B159" s="30">
        <f ca="1" t="array" ref="B159">INDEX(Data_DBD!$B:$B,$A159)</f>
        <v>19</v>
      </c>
      <c r="C159" s="30">
        <f ca="1" t="array" ref="C159">INDEX(Data_DBD!$C:$C,$A159)</f>
        <v>5</v>
      </c>
      <c r="D159" s="30">
        <f ca="1" t="array" ref="D159">INDEX(Data_DBD!$D:$D,$A159)</f>
        <v>21</v>
      </c>
      <c r="E159" s="30">
        <f ca="1" t="array" ref="E159">INDEX(Data_DBD!$E:$E,$A159)</f>
        <v>1</v>
      </c>
      <c r="F159" s="30">
        <f ca="1" t="array" ref="F159">INDEX(Data_DBD!$F:$F,$A159)</f>
        <v>3</v>
      </c>
      <c r="H159" s="30">
        <v>144</v>
      </c>
      <c r="I159" s="30">
        <v>61</v>
      </c>
      <c r="J159" s="30">
        <v>4</v>
      </c>
      <c r="K159" s="30">
        <v>21</v>
      </c>
      <c r="L159" s="39">
        <v>1</v>
      </c>
      <c r="M159" s="30">
        <v>3</v>
      </c>
    </row>
    <row r="160" ht="15.75" spans="1:13">
      <c r="A160" s="30">
        <f ca="1" t="shared" si="2"/>
        <v>61</v>
      </c>
      <c r="B160" s="30">
        <f ca="1" t="array" ref="B160">INDEX(Data_DBD!$B:$B,$A160)</f>
        <v>29</v>
      </c>
      <c r="C160" s="30">
        <f ca="1" t="array" ref="C160">INDEX(Data_DBD!$C:$C,$A160)</f>
        <v>3</v>
      </c>
      <c r="D160" s="30">
        <f ca="1" t="array" ref="D160">INDEX(Data_DBD!$D:$D,$A160)</f>
        <v>15</v>
      </c>
      <c r="E160" s="30">
        <f ca="1" t="array" ref="E160">INDEX(Data_DBD!$E:$E,$A160)</f>
        <v>1</v>
      </c>
      <c r="F160" s="30">
        <f ca="1" t="array" ref="F160">INDEX(Data_DBD!$F:$F,$A160)</f>
        <v>2</v>
      </c>
      <c r="H160" s="30">
        <v>116</v>
      </c>
      <c r="I160" s="30">
        <v>32</v>
      </c>
      <c r="J160" s="30">
        <v>4</v>
      </c>
      <c r="K160" s="30">
        <v>33</v>
      </c>
      <c r="L160" s="40">
        <v>1</v>
      </c>
      <c r="M160" s="30">
        <v>3</v>
      </c>
    </row>
    <row r="161" ht="15.75" spans="1:13">
      <c r="A161" s="30">
        <f ca="1" t="shared" si="2"/>
        <v>20</v>
      </c>
      <c r="B161" s="30">
        <f ca="1" t="array" ref="B161">INDEX(Data_DBD!$B:$B,$A161)</f>
        <v>15</v>
      </c>
      <c r="C161" s="30">
        <f ca="1" t="array" ref="C161">INDEX(Data_DBD!$C:$C,$A161)</f>
        <v>5</v>
      </c>
      <c r="D161" s="30">
        <f ca="1" t="array" ref="D161">INDEX(Data_DBD!$D:$D,$A161)</f>
        <v>7</v>
      </c>
      <c r="E161" s="30">
        <f ca="1" t="array" ref="E161">INDEX(Data_DBD!$E:$E,$A161)</f>
        <v>0</v>
      </c>
      <c r="F161" s="30">
        <f ca="1" t="array" ref="F161">INDEX(Data_DBD!$F:$F,$A161)</f>
        <v>1</v>
      </c>
      <c r="H161" s="30">
        <v>61</v>
      </c>
      <c r="I161" s="30">
        <v>29</v>
      </c>
      <c r="J161" s="30">
        <v>3</v>
      </c>
      <c r="K161" s="30">
        <v>15</v>
      </c>
      <c r="L161" s="40">
        <v>1</v>
      </c>
      <c r="M161" s="30">
        <v>2</v>
      </c>
    </row>
    <row r="162" ht="15.75" spans="1:13">
      <c r="A162" s="30">
        <f ca="1" t="shared" si="2"/>
        <v>51</v>
      </c>
      <c r="B162" s="30">
        <f ca="1" t="array" ref="B162">INDEX(Data_DBD!$B:$B,$A162)</f>
        <v>48</v>
      </c>
      <c r="C162" s="30">
        <f ca="1" t="array" ref="C162">INDEX(Data_DBD!$C:$C,$A162)</f>
        <v>4</v>
      </c>
      <c r="D162" s="30">
        <f ca="1" t="array" ref="D162">INDEX(Data_DBD!$D:$D,$A162)</f>
        <v>13</v>
      </c>
      <c r="E162" s="30">
        <f ca="1" t="array" ref="E162">INDEX(Data_DBD!$E:$E,$A162)</f>
        <v>0</v>
      </c>
      <c r="F162" s="30">
        <f ca="1" t="array" ref="F162">INDEX(Data_DBD!$F:$F,$A162)</f>
        <v>2</v>
      </c>
      <c r="H162" s="30">
        <v>35</v>
      </c>
      <c r="I162" s="30">
        <v>40</v>
      </c>
      <c r="J162" s="30">
        <v>3</v>
      </c>
      <c r="K162" s="30">
        <v>4</v>
      </c>
      <c r="L162" s="39">
        <v>1</v>
      </c>
      <c r="M162" s="30">
        <v>1</v>
      </c>
    </row>
    <row r="163" ht="15.75" spans="1:13">
      <c r="A163" s="30">
        <f ca="1" t="shared" si="2"/>
        <v>5</v>
      </c>
      <c r="B163" s="30">
        <f ca="1" t="array" ref="B163">INDEX(Data_DBD!$B:$B,$A163)</f>
        <v>18</v>
      </c>
      <c r="C163" s="30">
        <f ca="1" t="array" ref="C163">INDEX(Data_DBD!$C:$C,$A163)</f>
        <v>2</v>
      </c>
      <c r="D163" s="30">
        <f ca="1" t="array" ref="D163">INDEX(Data_DBD!$D:$D,$A163)</f>
        <v>12</v>
      </c>
      <c r="E163" s="30">
        <f ca="1" t="array" ref="E163">INDEX(Data_DBD!$E:$E,$A163)</f>
        <v>1</v>
      </c>
      <c r="F163" s="30">
        <f ca="1" t="array" ref="F163">INDEX(Data_DBD!$F:$F,$A163)</f>
        <v>2</v>
      </c>
      <c r="H163" s="30">
        <v>105</v>
      </c>
      <c r="I163" s="30">
        <v>61</v>
      </c>
      <c r="J163" s="30">
        <v>3</v>
      </c>
      <c r="K163" s="30">
        <v>18</v>
      </c>
      <c r="L163" s="40">
        <v>1</v>
      </c>
      <c r="M163" s="30">
        <v>3</v>
      </c>
    </row>
    <row r="164" spans="1:13">
      <c r="A164" s="30">
        <f ca="1" t="shared" si="2"/>
        <v>128</v>
      </c>
      <c r="B164" s="30">
        <f ca="1" t="array" ref="B164">INDEX(Data_DBD!$B:$B,$A164)</f>
        <v>38</v>
      </c>
      <c r="C164" s="30">
        <f ca="1" t="array" ref="C164">INDEX(Data_DBD!$C:$C,$A164)</f>
        <v>2</v>
      </c>
      <c r="D164" s="30">
        <f ca="1" t="array" ref="D164">INDEX(Data_DBD!$D:$D,$A164)</f>
        <v>33</v>
      </c>
      <c r="E164" s="30">
        <f ca="1" t="array" ref="E164">INDEX(Data_DBD!$E:$E,$A164)</f>
        <v>0</v>
      </c>
      <c r="F164" s="30">
        <f ca="1" t="array" ref="F164">INDEX(Data_DBD!$F:$F,$A164)</f>
        <v>3</v>
      </c>
      <c r="H164" s="30">
        <v>42</v>
      </c>
      <c r="I164" s="30">
        <v>21</v>
      </c>
      <c r="J164" s="30">
        <v>5</v>
      </c>
      <c r="K164" s="30">
        <v>13</v>
      </c>
      <c r="L164" s="30">
        <v>1</v>
      </c>
      <c r="M164" s="30">
        <v>2</v>
      </c>
    </row>
    <row r="165" spans="9:12">
      <c r="I165">
        <f>AVERAGE(I2:I164)</f>
        <v>31.5061728395062</v>
      </c>
      <c r="J165">
        <f>AVERAGE(J2:J164)</f>
        <v>3.75460122699386</v>
      </c>
      <c r="K165">
        <f>AVERAGE(K2:K164)</f>
        <v>18.4539877300613</v>
      </c>
      <c r="L165">
        <f>AVERAGE(L2:L164)</f>
        <v>0.552147239263804</v>
      </c>
    </row>
    <row r="166" spans="2:2">
      <c r="B166">
        <v>10</v>
      </c>
    </row>
    <row r="168" spans="5:20">
      <c r="E168" s="35" t="s">
        <v>183</v>
      </c>
      <c r="J168" s="35" t="s">
        <v>184</v>
      </c>
      <c r="O168" s="35" t="s">
        <v>185</v>
      </c>
      <c r="T168" s="35" t="s">
        <v>186</v>
      </c>
    </row>
    <row r="169" spans="5:22">
      <c r="E169" s="30" t="s">
        <v>1</v>
      </c>
      <c r="F169" s="30">
        <f>AVERAGEIF($I$2:$I$164,"&lt;="&amp;$I$165)</f>
        <v>17.95</v>
      </c>
      <c r="G169" s="30">
        <f>AVERAGEIF($I$2:$I$164,"&gt;"&amp;$I$165)</f>
        <v>53.3709677419355</v>
      </c>
      <c r="J169" s="30" t="s">
        <v>187</v>
      </c>
      <c r="K169" s="30">
        <f>AVERAGEIF($J$2:$J$164,"&lt;="&amp;$J$165)</f>
        <v>2.56164383561644</v>
      </c>
      <c r="L169" s="30">
        <f>AVERAGEIF($J$2:$J$164,"&gt;"&amp;$J$165)</f>
        <v>4.72222222222222</v>
      </c>
      <c r="O169" s="30" t="s">
        <v>188</v>
      </c>
      <c r="P169" s="30">
        <f>AVERAGEIF($K$2:$K$164,"&lt;="&amp;$K$165)</f>
        <v>13.047619047619</v>
      </c>
      <c r="Q169" s="30">
        <f>AVERAGEIF($K$2:$K$164,"&gt;"&amp;$K$165)</f>
        <v>28.2413793103448</v>
      </c>
      <c r="T169" s="30" t="s">
        <v>189</v>
      </c>
      <c r="U169" s="30">
        <f>AVERAGEIF($L$2:$L$164,"&lt;="&amp;$L$165)</f>
        <v>0</v>
      </c>
      <c r="V169" s="30">
        <f>AVERAGEIF($L$2:$L$164,"&gt;"&amp;$L$165)</f>
        <v>1</v>
      </c>
    </row>
    <row r="170" spans="5:22">
      <c r="E170" s="30" t="str">
        <f t="array" ref="E170:E332">IF($I$2:$I$164&lt;$F$169,"kiri",IF($I$2:$I$164&lt;$G$169,"tengah","kanan"))</f>
        <v>tengah</v>
      </c>
      <c r="F170" s="36" t="s">
        <v>207</v>
      </c>
      <c r="G170" s="30"/>
      <c r="J170" s="30" t="str">
        <f t="array" ref="J170:J332">IF($J$2:$J$164&lt;$K$169,"kiri",IF($J$2:$J$164&lt;$L$169,"tengah","kanan"))</f>
        <v>kiri</v>
      </c>
      <c r="K170" s="36" t="s">
        <v>208</v>
      </c>
      <c r="L170" s="30"/>
      <c r="O170" s="30" t="str">
        <f t="array" ref="O170:O332">IF($K$2:$K$164&lt;$P$169,"kiri",IF($K$2:$K$164&lt;$Q$169,"tengah","kanan"))</f>
        <v>kiri</v>
      </c>
      <c r="P170" s="36" t="s">
        <v>213</v>
      </c>
      <c r="Q170" s="30"/>
      <c r="T170" s="30" t="str">
        <f t="array" ref="T170:T332">IF($L$2:$L$164&lt;$U$169,"kiri",IF($L$2:$L$164&lt;$V$169,"tengah","kanan"))</f>
        <v>tengah</v>
      </c>
      <c r="U170" s="30" t="s">
        <v>193</v>
      </c>
      <c r="V170" s="30"/>
    </row>
    <row r="171" spans="5:22">
      <c r="E171" s="30" t="str">
        <v>tengah</v>
      </c>
      <c r="F171" s="30">
        <f>COUNTIFS($E$170:$E$332,"Kanan",$M$2:$M$164,"1")</f>
        <v>0</v>
      </c>
      <c r="G171" s="30">
        <f>F171/32</f>
        <v>0</v>
      </c>
      <c r="J171" s="30" t="str">
        <v>kanan</v>
      </c>
      <c r="K171" s="30">
        <f t="array" ref="K171">SUMPRODUCT((J170:J332="Kanan")*(M2:M164=1))</f>
        <v>1</v>
      </c>
      <c r="L171" s="30">
        <f>K171/42</f>
        <v>0.0238095238095238</v>
      </c>
      <c r="O171" s="30" t="str">
        <v>kiri</v>
      </c>
      <c r="P171" s="30">
        <f>COUNTIFS($O$170:$O$332,"Kanan",$M$2:$M$164,"1")</f>
        <v>0</v>
      </c>
      <c r="Q171" s="30">
        <f>P171/35</f>
        <v>0</v>
      </c>
      <c r="T171" s="30" t="str">
        <v>kanan</v>
      </c>
      <c r="U171" s="30">
        <f>COUNTIFS($T$170:$T$332,"Kanan",$M$2:$M$164,"1")</f>
        <v>5</v>
      </c>
      <c r="V171" s="30">
        <f>U171/85</f>
        <v>0.0588235294117647</v>
      </c>
    </row>
    <row r="172" spans="5:22">
      <c r="E172" s="30" t="str">
        <v>tengah</v>
      </c>
      <c r="F172" s="30">
        <f>COUNTIFS($E$170:$E$332,"Kanan",$M$2:$M$164,"2")</f>
        <v>10</v>
      </c>
      <c r="G172" s="30">
        <f t="shared" ref="G172:G173" si="3">F172/32</f>
        <v>0.3125</v>
      </c>
      <c r="J172" s="30" t="str">
        <v>tengah</v>
      </c>
      <c r="K172" s="30">
        <f>COUNTIFS($J$170:$J$332,"Kanan",$M$2:$M$164,"2")</f>
        <v>28</v>
      </c>
      <c r="L172" s="30">
        <f t="shared" ref="L172:L173" si="4">K172/42</f>
        <v>0.666666666666667</v>
      </c>
      <c r="O172" s="30" t="str">
        <v>kanan</v>
      </c>
      <c r="P172" s="30">
        <f>COUNTIFS($O$170:$O$332,"Kanan",$M$2:$M$164,"2")</f>
        <v>0</v>
      </c>
      <c r="Q172" s="30">
        <f t="shared" ref="Q172:Q173" si="5">P172/35</f>
        <v>0</v>
      </c>
      <c r="T172" s="30" t="str">
        <v>kanan</v>
      </c>
      <c r="U172" s="30">
        <f>COUNTIFS($T$170:$T$332,"Kanan",$M$2:$M$164,"2")</f>
        <v>43</v>
      </c>
      <c r="V172" s="30">
        <f t="shared" ref="V172:V173" si="6">U172/85</f>
        <v>0.505882352941176</v>
      </c>
    </row>
    <row r="173" spans="5:22">
      <c r="E173" s="30" t="str">
        <v>kanan</v>
      </c>
      <c r="F173" s="30">
        <f t="array" ref="F173">SUMPRODUCT((E170:E332="KANAN")*(M2:M164=3))</f>
        <v>22</v>
      </c>
      <c r="G173" s="30">
        <f t="shared" si="3"/>
        <v>0.6875</v>
      </c>
      <c r="J173" s="30" t="str">
        <v>tengah</v>
      </c>
      <c r="K173" s="30">
        <f>COUNTIFS($J$170:$J$332,"Kanan",$M$2:$M$164,"3")</f>
        <v>13</v>
      </c>
      <c r="L173" s="30">
        <f t="shared" si="4"/>
        <v>0.30952380952381</v>
      </c>
      <c r="O173" s="30" t="str">
        <v>tengah</v>
      </c>
      <c r="P173" s="30">
        <f>COUNTIFS($O$170:$O$332,"Kanan",$M$2:$M$164,"3")</f>
        <v>35</v>
      </c>
      <c r="Q173" s="30">
        <f t="shared" si="5"/>
        <v>1</v>
      </c>
      <c r="T173" s="30" t="str">
        <v>kanan</v>
      </c>
      <c r="U173" s="30">
        <f>COUNTIFS($T$170:$T$332,"Kanan",$M$2:$M$164,"3")</f>
        <v>42</v>
      </c>
      <c r="V173" s="30">
        <f t="shared" si="6"/>
        <v>0.494117647058824</v>
      </c>
    </row>
    <row r="174" spans="5:22">
      <c r="E174" s="30" t="str">
        <v>tengah</v>
      </c>
      <c r="F174" s="30" t="s">
        <v>194</v>
      </c>
      <c r="G174" s="30">
        <f>-(IFERROR(G171*LOG(G171,2),0)+IFERROR(G172*LOG(G172,2),0)+IFERROR(G173*LOG(G173,2),0))</f>
        <v>0.896038232534557</v>
      </c>
      <c r="J174" s="30" t="str">
        <v>tengah</v>
      </c>
      <c r="K174" s="30" t="s">
        <v>194</v>
      </c>
      <c r="L174" s="30">
        <f>-(IFERROR(L171*LOG(L171,2),0)+IFERROR(L172*LOG(L172,2),0)+IFERROR(L173*LOG(L173,2),0))</f>
        <v>1.04203994293478</v>
      </c>
      <c r="O174" s="30" t="str">
        <v>kanan</v>
      </c>
      <c r="P174" s="30" t="s">
        <v>194</v>
      </c>
      <c r="Q174" s="30">
        <f>-(IFERROR(Q171*LOG(Q171,2),0)+IFERROR(Q172*LOG(Q172,2),0)+IFERROR(Q173*LOG(Q173,2),0))</f>
        <v>0</v>
      </c>
      <c r="T174" s="30" t="str">
        <v>kanan</v>
      </c>
      <c r="U174" s="30" t="s">
        <v>194</v>
      </c>
      <c r="V174" s="30">
        <f>-(IFERROR(V171*LOG(V171,2),0)+IFERROR(V172*LOG(V172,2),0)+IFERROR(V173*LOG(V173,2),0))</f>
        <v>1.24033914787127</v>
      </c>
    </row>
    <row r="175" spans="5:22">
      <c r="E175" s="30" t="str">
        <v>kanan</v>
      </c>
      <c r="F175" s="30"/>
      <c r="G175" s="30">
        <f>SUM(F171:F173)/163</f>
        <v>0.196319018404908</v>
      </c>
      <c r="J175" s="30" t="str">
        <v>kanan</v>
      </c>
      <c r="K175" s="30"/>
      <c r="L175" s="30">
        <f>SUM(K171:K173)/163</f>
        <v>0.257668711656442</v>
      </c>
      <c r="O175" s="30" t="str">
        <v>tengah</v>
      </c>
      <c r="P175" s="30"/>
      <c r="Q175" s="30">
        <f>SUM(P171:P173)/163</f>
        <v>0.214723926380368</v>
      </c>
      <c r="T175" s="30" t="str">
        <v>kanan</v>
      </c>
      <c r="U175" s="30"/>
      <c r="V175" s="30">
        <f>SUM(U171:U173)/163</f>
        <v>0.552147239263804</v>
      </c>
    </row>
    <row r="176" spans="5:22">
      <c r="E176" s="30" t="str">
        <v>kiri</v>
      </c>
      <c r="F176" s="30"/>
      <c r="G176" s="37">
        <f>G174*G175</f>
        <v>0.175909346264453</v>
      </c>
      <c r="J176" s="30" t="str">
        <v>tengah</v>
      </c>
      <c r="K176" s="30"/>
      <c r="L176" s="37">
        <f>L174*L175</f>
        <v>0.268501089590557</v>
      </c>
      <c r="O176" s="30" t="str">
        <v>tengah</v>
      </c>
      <c r="P176" s="30"/>
      <c r="Q176" s="37">
        <f>Q174*Q175</f>
        <v>0</v>
      </c>
      <c r="T176" s="30" t="str">
        <v>tengah</v>
      </c>
      <c r="U176" s="30"/>
      <c r="V176" s="37">
        <f>V174*V175</f>
        <v>0.684849836247942</v>
      </c>
    </row>
    <row r="177" spans="5:22">
      <c r="E177" s="30" t="str">
        <v>tengah</v>
      </c>
      <c r="F177" s="30"/>
      <c r="G177" s="30"/>
      <c r="J177" s="30" t="str">
        <v>tengah</v>
      </c>
      <c r="K177" s="30"/>
      <c r="L177" s="30"/>
      <c r="O177" s="30" t="str">
        <v>tengah</v>
      </c>
      <c r="P177" s="30"/>
      <c r="Q177" s="30"/>
      <c r="T177" s="30" t="str">
        <v>tengah</v>
      </c>
      <c r="U177" s="30"/>
      <c r="V177" s="30"/>
    </row>
    <row r="178" spans="5:22">
      <c r="E178" s="30" t="str">
        <v>tengah</v>
      </c>
      <c r="F178" s="30"/>
      <c r="G178" s="30"/>
      <c r="J178" s="30" t="str">
        <v>kanan</v>
      </c>
      <c r="K178" s="30"/>
      <c r="L178" s="30"/>
      <c r="O178" s="30" t="str">
        <v>tengah</v>
      </c>
      <c r="P178" s="30"/>
      <c r="Q178" s="30"/>
      <c r="T178" s="30" t="str">
        <v>kanan</v>
      </c>
      <c r="U178" s="30"/>
      <c r="V178" s="30"/>
    </row>
    <row r="179" spans="5:22">
      <c r="E179" s="30" t="str">
        <v>kiri</v>
      </c>
      <c r="F179" s="36" t="s">
        <v>210</v>
      </c>
      <c r="G179" s="30"/>
      <c r="J179" s="30" t="str">
        <v>kanan</v>
      </c>
      <c r="K179" s="36" t="s">
        <v>211</v>
      </c>
      <c r="L179" s="30"/>
      <c r="O179" s="30" t="str">
        <v>kiri</v>
      </c>
      <c r="P179" s="36" t="s">
        <v>206</v>
      </c>
      <c r="Q179" s="30"/>
      <c r="T179" s="30" t="str">
        <v>kanan</v>
      </c>
      <c r="U179" s="30" t="s">
        <v>198</v>
      </c>
      <c r="V179" s="30"/>
    </row>
    <row r="180" spans="5:22">
      <c r="E180" s="30" t="str">
        <v>kiri</v>
      </c>
      <c r="F180" s="30">
        <f t="array" ref="F180">SUMPRODUCT((E170:E332="kiri")*(M2:M164=1))</f>
        <v>2</v>
      </c>
      <c r="G180" s="30">
        <f>F180/38</f>
        <v>0.0526315789473684</v>
      </c>
      <c r="J180" s="30" t="str">
        <v>kiri</v>
      </c>
      <c r="K180" s="30">
        <f>COUNTIFS($J$170:$J$332,"Kiri",$M$2:$M$164,"1")</f>
        <v>0</v>
      </c>
      <c r="L180" s="30">
        <f>K180/28</f>
        <v>0</v>
      </c>
      <c r="O180" s="30" t="str">
        <v>tengah</v>
      </c>
      <c r="P180" s="30">
        <f>COUNTIFS($O$170:$O$332,"Kiri",$M$2:$M$164,"1")</f>
        <v>7</v>
      </c>
      <c r="Q180" s="30">
        <f>P180/63</f>
        <v>0.111111111111111</v>
      </c>
      <c r="T180" s="30" t="str">
        <v>kanan</v>
      </c>
      <c r="U180" s="30">
        <f>COUNTIFS($T$170:$T$332,"Kiri",$M$2:$M$164,"1")</f>
        <v>0</v>
      </c>
      <c r="V180" s="30">
        <f>U180/57</f>
        <v>0</v>
      </c>
    </row>
    <row r="181" spans="5:22">
      <c r="E181" s="30" t="str">
        <v>tengah</v>
      </c>
      <c r="F181" s="30">
        <f t="array" ref="F181">SUMPRODUCT((E170:E332="kiri")*(M2:M164=2))</f>
        <v>22</v>
      </c>
      <c r="G181" s="30">
        <f t="shared" ref="G181:G182" si="7">F181/38</f>
        <v>0.578947368421053</v>
      </c>
      <c r="J181" s="30" t="str">
        <v>tengah</v>
      </c>
      <c r="K181" s="30">
        <f>COUNTIFS($J$170:$J$332,"Kiri",$M$2:$M$164,"2")</f>
        <v>14</v>
      </c>
      <c r="L181" s="30">
        <f t="shared" ref="L181:L182" si="8">K181/28</f>
        <v>0.5</v>
      </c>
      <c r="O181" s="30" t="str">
        <v>kiri</v>
      </c>
      <c r="P181" s="30">
        <f>COUNTIFS($O$170:$O$332,"Kiri",$M$2:$M$164,"2")</f>
        <v>56</v>
      </c>
      <c r="Q181" s="30">
        <f t="shared" ref="Q181:Q182" si="9">P181/63</f>
        <v>0.888888888888889</v>
      </c>
      <c r="T181" s="30" t="str">
        <v>kanan</v>
      </c>
      <c r="U181" s="30">
        <f>COUNTIFS($T$170:$T$332,"Kiri",$M$2:$M$164,"2")</f>
        <v>0</v>
      </c>
      <c r="V181" s="30">
        <f>U181/57</f>
        <v>0</v>
      </c>
    </row>
    <row r="182" spans="5:22">
      <c r="E182" s="30" t="str">
        <v>tengah</v>
      </c>
      <c r="F182" s="30">
        <f t="array" ref="F182">SUMPRODUCT((E170:E332="kiri")*(M2:M164=3))</f>
        <v>14</v>
      </c>
      <c r="G182" s="30">
        <f t="shared" si="7"/>
        <v>0.368421052631579</v>
      </c>
      <c r="J182" s="30" t="str">
        <v>kiri</v>
      </c>
      <c r="K182" s="30">
        <f>COUNTIFS($J$170:$J$332,"Kiri",$M$2:$M$164,"3")</f>
        <v>14</v>
      </c>
      <c r="L182" s="30">
        <f t="shared" si="8"/>
        <v>0.5</v>
      </c>
      <c r="O182" s="30" t="str">
        <v>tengah</v>
      </c>
      <c r="P182" s="30">
        <f>COUNTIFS($O$170:$O$332,"Kiri",$M$2:$M$164,"3")</f>
        <v>0</v>
      </c>
      <c r="Q182" s="30">
        <f t="shared" si="9"/>
        <v>0</v>
      </c>
      <c r="T182" s="30" t="str">
        <v>kanan</v>
      </c>
      <c r="U182" s="30">
        <f>COUNTIFS($T$170:$T$332,"Kiri",$M$2:$M$164,"3")</f>
        <v>0</v>
      </c>
      <c r="V182" s="30">
        <f>U182/57</f>
        <v>0</v>
      </c>
    </row>
    <row r="183" spans="5:22">
      <c r="E183" s="30" t="str">
        <v>kiri</v>
      </c>
      <c r="F183" s="30" t="s">
        <v>194</v>
      </c>
      <c r="G183" s="30">
        <f>-(IFERROR(G180*LOG(G180,2),0)+IFERROR(G181*LOG(G181,2),0)+IFERROR(G182*LOG(G182,2),0))</f>
        <v>1.21081002610603</v>
      </c>
      <c r="J183" s="30" t="str">
        <v>tengah</v>
      </c>
      <c r="K183" s="30" t="s">
        <v>194</v>
      </c>
      <c r="L183" s="30">
        <f>-(IFERROR(L180*LOG(L180,2),0)+IFERROR(L181*LOG(L181,2),0)+IFERROR(L182*LOG(L182,2),0))</f>
        <v>1</v>
      </c>
      <c r="O183" s="30" t="str">
        <v>tengah</v>
      </c>
      <c r="P183" s="30" t="s">
        <v>194</v>
      </c>
      <c r="Q183" s="30">
        <f>-(IFERROR(Q180*LOG(Q180,2),0)+IFERROR(Q181*LOG(Q181,2),0)+IFERROR(Q182*LOG(Q182,2),0))</f>
        <v>0.503258334775646</v>
      </c>
      <c r="T183" s="30" t="str">
        <v>tengah</v>
      </c>
      <c r="U183" s="30" t="s">
        <v>194</v>
      </c>
      <c r="V183" s="30">
        <f>-(IFERROR(V180*LOG(V180,2),0)+IFERROR(V181*LOG(V181,2),0)+IFERROR(V182*LOG(V182,2),0))</f>
        <v>0</v>
      </c>
    </row>
    <row r="184" spans="5:22">
      <c r="E184" s="30" t="str">
        <v>tengah</v>
      </c>
      <c r="F184" s="30"/>
      <c r="G184" s="30">
        <f>SUM(F180:F182)/163</f>
        <v>0.233128834355828</v>
      </c>
      <c r="J184" s="30" t="str">
        <v>tengah</v>
      </c>
      <c r="K184" s="30"/>
      <c r="L184" s="30">
        <f>SUM(K180:K182)/163</f>
        <v>0.171779141104294</v>
      </c>
      <c r="O184" s="30" t="str">
        <v>tengah</v>
      </c>
      <c r="P184" s="30"/>
      <c r="Q184" s="30">
        <f>SUM(P180:P182)/163</f>
        <v>0.386503067484663</v>
      </c>
      <c r="T184" s="30" t="str">
        <v>kanan</v>
      </c>
      <c r="U184" s="30"/>
      <c r="V184" s="30">
        <f>SUM(U180:U182)/163</f>
        <v>0</v>
      </c>
    </row>
    <row r="185" spans="5:22">
      <c r="E185" s="30" t="str">
        <v>tengah</v>
      </c>
      <c r="F185" s="30"/>
      <c r="G185" s="37">
        <f>G183*G184</f>
        <v>0.282274730012449</v>
      </c>
      <c r="J185" s="30" t="str">
        <v>kanan</v>
      </c>
      <c r="K185" s="30"/>
      <c r="L185" s="37">
        <f>L183*L184</f>
        <v>0.171779141104294</v>
      </c>
      <c r="O185" s="30" t="str">
        <v>kiri</v>
      </c>
      <c r="P185" s="30"/>
      <c r="Q185" s="37">
        <f>Q183*Q184</f>
        <v>0.19451089012801</v>
      </c>
      <c r="T185" s="30" t="str">
        <v>tengah</v>
      </c>
      <c r="U185" s="30"/>
      <c r="V185" s="37">
        <f>V183*V184</f>
        <v>0</v>
      </c>
    </row>
    <row r="186" spans="5:22">
      <c r="E186" s="30" t="str">
        <v>tengah</v>
      </c>
      <c r="F186" s="30"/>
      <c r="G186" s="30"/>
      <c r="J186" s="30" t="str">
        <v>tengah</v>
      </c>
      <c r="K186" s="30"/>
      <c r="L186" s="30"/>
      <c r="O186" s="30" t="str">
        <v>kanan</v>
      </c>
      <c r="P186" s="30"/>
      <c r="Q186" s="30"/>
      <c r="T186" s="30" t="str">
        <v>kanan</v>
      </c>
      <c r="U186" s="30"/>
      <c r="V186" s="30"/>
    </row>
    <row r="187" spans="5:22">
      <c r="E187" s="30" t="str">
        <v>tengah</v>
      </c>
      <c r="F187" s="30"/>
      <c r="G187" s="30"/>
      <c r="J187" s="30" t="str">
        <v>tengah</v>
      </c>
      <c r="K187" s="30"/>
      <c r="L187" s="30"/>
      <c r="O187" s="30" t="str">
        <v>tengah</v>
      </c>
      <c r="P187" s="30"/>
      <c r="Q187" s="30"/>
      <c r="T187" s="30" t="str">
        <v>kanan</v>
      </c>
      <c r="U187" s="30"/>
      <c r="V187" s="30"/>
    </row>
    <row r="188" spans="5:22">
      <c r="E188" s="30" t="str">
        <v>kiri</v>
      </c>
      <c r="F188" s="30" t="s">
        <v>199</v>
      </c>
      <c r="G188" s="30"/>
      <c r="J188" s="30" t="str">
        <v>tengah</v>
      </c>
      <c r="K188" s="30" t="s">
        <v>199</v>
      </c>
      <c r="L188" s="30"/>
      <c r="O188" s="30" t="str">
        <v>kiri</v>
      </c>
      <c r="P188" s="30" t="s">
        <v>199</v>
      </c>
      <c r="Q188" s="30"/>
      <c r="T188" s="30" t="str">
        <v>tengah</v>
      </c>
      <c r="U188" s="30" t="s">
        <v>199</v>
      </c>
      <c r="V188" s="30"/>
    </row>
    <row r="189" spans="5:22">
      <c r="E189" s="30" t="str">
        <v>tengah</v>
      </c>
      <c r="F189" s="30">
        <f t="array" ref="F189">SUMPRODUCT((E170:E332="tengah")*(M2:M164=1))</f>
        <v>5</v>
      </c>
      <c r="G189" s="30">
        <f>F189/93</f>
        <v>0.0537634408602151</v>
      </c>
      <c r="J189" s="30" t="str">
        <v>kanan</v>
      </c>
      <c r="K189" s="30">
        <f>COUNTIFS($J$170:$J$332,"Tengah",$M$2:$M$164,"1")</f>
        <v>6</v>
      </c>
      <c r="L189" s="30">
        <f>K189/93</f>
        <v>0.0645161290322581</v>
      </c>
      <c r="O189" s="30" t="str">
        <v>kiri</v>
      </c>
      <c r="P189" s="30">
        <f>COUNTIFS($O$170:$O$332,"Tengah",$M$2:$M$164,"1")</f>
        <v>0</v>
      </c>
      <c r="Q189" s="30">
        <f>P189/65</f>
        <v>0</v>
      </c>
      <c r="T189" s="30" t="str">
        <v>tengah</v>
      </c>
      <c r="U189" s="30">
        <f>COUNTIFS($T$170:$T$332,"Tengah",$M$2:$M$164,"1")</f>
        <v>2</v>
      </c>
      <c r="V189" s="30">
        <f>U189/78</f>
        <v>0.0256410256410256</v>
      </c>
    </row>
    <row r="190" spans="5:22">
      <c r="E190" s="30" t="str">
        <v>tengah</v>
      </c>
      <c r="F190" s="30">
        <f t="array" ref="F190">SUMPRODUCT((E170:E332="tengah")*(M2:M164=2))</f>
        <v>52</v>
      </c>
      <c r="G190" s="30">
        <f t="shared" ref="G190:G191" si="10">F190/93</f>
        <v>0.559139784946237</v>
      </c>
      <c r="J190" s="30" t="str">
        <v>kanan</v>
      </c>
      <c r="K190" s="30">
        <f>COUNTIFS($J$170:$J$332,"Tengah",$M$2:$M$164,"2")</f>
        <v>42</v>
      </c>
      <c r="L190" s="30">
        <f t="shared" ref="L190:L191" si="11">K190/93</f>
        <v>0.451612903225806</v>
      </c>
      <c r="O190" s="30" t="str">
        <v>kanan</v>
      </c>
      <c r="P190" s="30">
        <f>COUNTIFS($O$170:$O$332,"Tengah",$M$2:$M$164,"2")</f>
        <v>28</v>
      </c>
      <c r="Q190" s="30">
        <f t="shared" ref="Q190:Q191" si="12">P190/65</f>
        <v>0.430769230769231</v>
      </c>
      <c r="T190" s="30" t="str">
        <v>tengah</v>
      </c>
      <c r="U190" s="30">
        <f>COUNTIFS($T$170:$T$332,"Tengah",$M$2:$M$164,"2")</f>
        <v>41</v>
      </c>
      <c r="V190" s="30">
        <f t="shared" ref="V190:V191" si="13">U190/78</f>
        <v>0.525641025641026</v>
      </c>
    </row>
    <row r="191" spans="5:22">
      <c r="E191" s="30" t="str">
        <v>kiri</v>
      </c>
      <c r="F191" s="30">
        <f t="array" ref="F191">SUMPRODUCT((E170:E332="tengah")*(M2:M164=3))</f>
        <v>36</v>
      </c>
      <c r="G191" s="30">
        <f t="shared" si="10"/>
        <v>0.387096774193548</v>
      </c>
      <c r="J191" s="30" t="str">
        <v>kiri</v>
      </c>
      <c r="K191" s="30">
        <f>COUNTIFS($J$170:$J$332,"Tengah",$M$2:$M$164,"3")</f>
        <v>45</v>
      </c>
      <c r="L191" s="30">
        <f t="shared" si="11"/>
        <v>0.483870967741935</v>
      </c>
      <c r="O191" s="30" t="str">
        <v>tengah</v>
      </c>
      <c r="P191" s="30">
        <f>COUNTIFS($O$170:$O$332,"Tengah",$M$2:$M$164,"3")</f>
        <v>37</v>
      </c>
      <c r="Q191" s="30">
        <f t="shared" si="12"/>
        <v>0.569230769230769</v>
      </c>
      <c r="T191" s="30" t="str">
        <v>tengah</v>
      </c>
      <c r="U191" s="30">
        <f>COUNTIFS($T$170:$T$332,"Tengah",$M$2:$M$164,"3")</f>
        <v>30</v>
      </c>
      <c r="V191" s="30">
        <f t="shared" si="13"/>
        <v>0.384615384615385</v>
      </c>
    </row>
    <row r="192" spans="5:22">
      <c r="E192" s="30" t="str">
        <v>tengah</v>
      </c>
      <c r="F192" s="30" t="s">
        <v>194</v>
      </c>
      <c r="G192" s="30">
        <f>-(IFERROR(G189*LOG(G189,2),0)+IFERROR(G190*LOG(G190,2),0)+IFERROR(G191*LOG(G191,2),0))</f>
        <v>1.22572003831559</v>
      </c>
      <c r="J192" s="30" t="str">
        <v>tengah</v>
      </c>
      <c r="K192" s="30" t="s">
        <v>194</v>
      </c>
      <c r="L192" s="30">
        <f>-(IFERROR(L189*LOG(L189,2),0)+IFERROR(L190*LOG(L190,2),0)+IFERROR(L191*LOG(L191,2),0))</f>
        <v>1.27979863803416</v>
      </c>
      <c r="O192" s="30" t="str">
        <v>kiri</v>
      </c>
      <c r="P192" s="30" t="s">
        <v>194</v>
      </c>
      <c r="Q192" s="30">
        <f>-(IFERROR(Q189*LOG(Q189,2),0)+IFERROR(Q190*LOG(Q190,2),0)+IFERROR(Q191*LOG(Q191,2),0))</f>
        <v>0.986126084630238</v>
      </c>
      <c r="T192" s="30" t="str">
        <v>tengah</v>
      </c>
      <c r="U192" s="30" t="s">
        <v>194</v>
      </c>
      <c r="V192" s="30">
        <f>-(IFERROR(V189*LOG(V189,2),0)+IFERROR(V190*LOG(V190,2),0)+IFERROR(V191*LOG(V191,2),0))</f>
        <v>1.15343605024804</v>
      </c>
    </row>
    <row r="193" spans="5:22">
      <c r="E193" s="30" t="str">
        <v>kiri</v>
      </c>
      <c r="F193" s="30"/>
      <c r="G193" s="30">
        <f>SUM(F189:F191)/163</f>
        <v>0.570552147239264</v>
      </c>
      <c r="J193" s="30" t="str">
        <v>tengah</v>
      </c>
      <c r="K193" s="30"/>
      <c r="L193" s="30">
        <f>SUM(K189:K191)/163</f>
        <v>0.570552147239264</v>
      </c>
      <c r="O193" s="30" t="str">
        <v>kiri</v>
      </c>
      <c r="P193" s="30"/>
      <c r="Q193" s="30">
        <f>SUM(P189:P191)/163</f>
        <v>0.398773006134969</v>
      </c>
      <c r="T193" s="30" t="str">
        <v>kanan</v>
      </c>
      <c r="U193" s="30"/>
      <c r="V193" s="30">
        <f>SUM(U189:U191)/163</f>
        <v>0.447852760736196</v>
      </c>
    </row>
    <row r="194" spans="5:22">
      <c r="E194" s="30" t="str">
        <v>tengah</v>
      </c>
      <c r="F194" s="30"/>
      <c r="G194" s="37">
        <f>G192*G193</f>
        <v>0.699337199775154</v>
      </c>
      <c r="J194" s="30" t="str">
        <v>tengah</v>
      </c>
      <c r="K194" s="30"/>
      <c r="L194" s="37">
        <f>L192*L193</f>
        <v>0.730191860964274</v>
      </c>
      <c r="O194" s="30" t="str">
        <v>kanan</v>
      </c>
      <c r="P194" s="30"/>
      <c r="Q194" s="37">
        <f>Q192*Q193</f>
        <v>0.393240463196107</v>
      </c>
      <c r="T194" s="30" t="str">
        <v>tengah</v>
      </c>
      <c r="U194" s="30"/>
      <c r="V194" s="37">
        <f>V192*V193</f>
        <v>0.516569519436239</v>
      </c>
    </row>
    <row r="195" spans="5:22">
      <c r="E195" s="30" t="str">
        <v>kiri</v>
      </c>
      <c r="F195" s="30"/>
      <c r="G195" s="30"/>
      <c r="J195" s="30" t="str">
        <v>kiri</v>
      </c>
      <c r="K195" s="30"/>
      <c r="L195" s="30"/>
      <c r="O195" s="30" t="str">
        <v>tengah</v>
      </c>
      <c r="P195" s="30"/>
      <c r="Q195" s="30"/>
      <c r="T195" s="30" t="str">
        <v>tengah</v>
      </c>
      <c r="U195" s="30"/>
      <c r="V195" s="30"/>
    </row>
    <row r="196" spans="5:22">
      <c r="E196" s="30" t="str">
        <v>tengah</v>
      </c>
      <c r="F196" s="30" t="s">
        <v>200</v>
      </c>
      <c r="G196" s="36" t="s">
        <v>194</v>
      </c>
      <c r="J196" s="30" t="str">
        <v>tengah</v>
      </c>
      <c r="K196" s="30" t="s">
        <v>200</v>
      </c>
      <c r="L196" s="36" t="s">
        <v>194</v>
      </c>
      <c r="O196" s="30" t="str">
        <v>kiri</v>
      </c>
      <c r="P196" s="30" t="s">
        <v>200</v>
      </c>
      <c r="Q196" s="36" t="s">
        <v>194</v>
      </c>
      <c r="T196" s="30" t="str">
        <v>tengah</v>
      </c>
      <c r="U196" s="30" t="s">
        <v>200</v>
      </c>
      <c r="V196" s="36" t="s">
        <v>194</v>
      </c>
    </row>
    <row r="197" spans="5:22">
      <c r="E197" s="30" t="str">
        <v>kanan</v>
      </c>
      <c r="F197" s="41">
        <f>P5-(G176+G185+G194)</f>
        <v>0.0510795893957967</v>
      </c>
      <c r="G197" s="37">
        <f>(G176+G185+G194)</f>
        <v>1.15752127605206</v>
      </c>
      <c r="J197" s="30" t="str">
        <v>tengah</v>
      </c>
      <c r="K197" s="41">
        <f>P5-(L176+L185+L194)</f>
        <v>0.0381287737887273</v>
      </c>
      <c r="L197" s="37">
        <f>(L176+L185+L194)</f>
        <v>1.17047209165913</v>
      </c>
      <c r="O197" s="30" t="str">
        <v>kanan</v>
      </c>
      <c r="P197" s="41">
        <f>P5-(Q176+Q185+Q194)</f>
        <v>0.620849512123735</v>
      </c>
      <c r="Q197" s="37">
        <f>(Q176+Q185+Q194)</f>
        <v>0.587751353324118</v>
      </c>
      <c r="T197" s="30" t="str">
        <v>kanan</v>
      </c>
      <c r="U197" s="41">
        <f>P5-(V176+V185+V194)</f>
        <v>0.00718150976367182</v>
      </c>
      <c r="V197" s="37">
        <f>(V176+V185+V194)</f>
        <v>1.20141935568418</v>
      </c>
    </row>
    <row r="198" spans="5:22">
      <c r="E198" s="30" t="str">
        <v>tengah</v>
      </c>
      <c r="F198" s="30"/>
      <c r="G198" s="30"/>
      <c r="J198" s="30" t="str">
        <v>tengah</v>
      </c>
      <c r="K198" s="30"/>
      <c r="L198" s="30"/>
      <c r="O198" s="30" t="str">
        <v>kiri</v>
      </c>
      <c r="P198" s="30"/>
      <c r="Q198" s="30"/>
      <c r="T198" s="30" t="str">
        <v>kanan</v>
      </c>
      <c r="U198" s="30"/>
      <c r="V198" s="30"/>
    </row>
    <row r="199" spans="5:22">
      <c r="E199" s="30" t="str">
        <v>kanan</v>
      </c>
      <c r="F199" s="30"/>
      <c r="G199" s="30"/>
      <c r="J199" s="30" t="str">
        <v>tengah</v>
      </c>
      <c r="K199" s="30"/>
      <c r="L199" s="30"/>
      <c r="O199" s="30" t="str">
        <v>tengah</v>
      </c>
      <c r="P199" s="30"/>
      <c r="Q199" s="30"/>
      <c r="T199" s="30" t="str">
        <v>kanan</v>
      </c>
      <c r="U199" s="30"/>
      <c r="V199" s="30"/>
    </row>
    <row r="200" spans="5:22">
      <c r="E200" s="30" t="str">
        <v>tengah</v>
      </c>
      <c r="F200" s="30"/>
      <c r="G200" s="30"/>
      <c r="J200" s="30" t="str">
        <v>kanan</v>
      </c>
      <c r="K200" s="30"/>
      <c r="L200" s="30"/>
      <c r="O200" s="30" t="str">
        <v>kiri</v>
      </c>
      <c r="P200" s="30"/>
      <c r="Q200" s="30"/>
      <c r="T200" s="30" t="str">
        <v>tengah</v>
      </c>
      <c r="U200" s="30"/>
      <c r="V200" s="30"/>
    </row>
    <row r="201" spans="5:22">
      <c r="E201" s="30" t="str">
        <v>kiri</v>
      </c>
      <c r="F201" s="30"/>
      <c r="G201" s="30"/>
      <c r="J201" s="30" t="str">
        <v>tengah</v>
      </c>
      <c r="K201" s="30"/>
      <c r="L201" s="30"/>
      <c r="O201" s="30" t="str">
        <v>kiri</v>
      </c>
      <c r="P201" s="30"/>
      <c r="Q201" s="30"/>
      <c r="T201" s="30" t="str">
        <v>tengah</v>
      </c>
      <c r="U201" s="30"/>
      <c r="V201" s="30"/>
    </row>
    <row r="202" spans="5:22">
      <c r="E202" s="30" t="str">
        <v>kiri</v>
      </c>
      <c r="F202" s="30"/>
      <c r="G202" s="30"/>
      <c r="J202" s="30" t="str">
        <v>kiri</v>
      </c>
      <c r="K202" s="30"/>
      <c r="L202" s="30"/>
      <c r="O202" s="30" t="str">
        <v>tengah</v>
      </c>
      <c r="P202" s="30"/>
      <c r="Q202" s="30"/>
      <c r="T202" s="30" t="str">
        <v>kanan</v>
      </c>
      <c r="U202" s="30"/>
      <c r="V202" s="30"/>
    </row>
    <row r="203" spans="5:22">
      <c r="E203" s="30" t="str">
        <v>tengah</v>
      </c>
      <c r="F203" s="30"/>
      <c r="G203" s="30"/>
      <c r="J203" s="30" t="str">
        <v>tengah</v>
      </c>
      <c r="K203" s="30"/>
      <c r="L203" s="30"/>
      <c r="O203" s="30" t="str">
        <v>kiri</v>
      </c>
      <c r="P203" s="30"/>
      <c r="Q203" s="30"/>
      <c r="T203" s="30" t="str">
        <v>tengah</v>
      </c>
      <c r="U203" s="30"/>
      <c r="V203" s="30"/>
    </row>
    <row r="204" spans="5:22">
      <c r="E204" s="30" t="str">
        <v>kanan</v>
      </c>
      <c r="F204" s="30"/>
      <c r="G204" s="30"/>
      <c r="J204" s="30" t="str">
        <v>tengah</v>
      </c>
      <c r="K204" s="30"/>
      <c r="L204" s="30"/>
      <c r="O204" s="30" t="str">
        <v>tengah</v>
      </c>
      <c r="P204" s="30"/>
      <c r="Q204" s="30"/>
      <c r="T204" s="30" t="str">
        <v>tengah</v>
      </c>
      <c r="U204" s="30"/>
      <c r="V204" s="30"/>
    </row>
    <row r="205" spans="5:22">
      <c r="E205" s="30" t="str">
        <v>tengah</v>
      </c>
      <c r="F205" s="30"/>
      <c r="G205" s="30"/>
      <c r="J205" s="30" t="str">
        <v>kanan</v>
      </c>
      <c r="K205" s="30"/>
      <c r="L205" s="30"/>
      <c r="O205" s="30" t="str">
        <v>kiri</v>
      </c>
      <c r="P205" s="30"/>
      <c r="Q205" s="30"/>
      <c r="T205" s="30" t="str">
        <v>kanan</v>
      </c>
      <c r="U205" s="30"/>
      <c r="V205" s="30"/>
    </row>
    <row r="206" spans="5:22">
      <c r="E206" s="30" t="str">
        <v>kiri</v>
      </c>
      <c r="F206" s="30"/>
      <c r="G206" s="30"/>
      <c r="J206" s="30" t="str">
        <v>tengah</v>
      </c>
      <c r="K206" s="30"/>
      <c r="L206" s="30"/>
      <c r="O206" s="30" t="str">
        <v>kiri</v>
      </c>
      <c r="P206" s="30"/>
      <c r="Q206" s="30"/>
      <c r="T206" s="30" t="str">
        <v>tengah</v>
      </c>
      <c r="U206" s="30"/>
      <c r="V206" s="30"/>
    </row>
    <row r="207" spans="5:22">
      <c r="E207" s="30" t="str">
        <v>kiri</v>
      </c>
      <c r="F207" s="30"/>
      <c r="G207" s="30"/>
      <c r="J207" s="30" t="str">
        <v>kiri</v>
      </c>
      <c r="K207" s="30"/>
      <c r="L207" s="30"/>
      <c r="O207" s="30" t="str">
        <v>kiri</v>
      </c>
      <c r="P207" s="30"/>
      <c r="Q207" s="30"/>
      <c r="T207" s="30" t="str">
        <v>kanan</v>
      </c>
      <c r="U207" s="30"/>
      <c r="V207" s="30"/>
    </row>
    <row r="208" spans="5:22">
      <c r="E208" s="30" t="str">
        <v>kiri</v>
      </c>
      <c r="F208" s="30"/>
      <c r="G208" s="30"/>
      <c r="J208" s="30" t="str">
        <v>kiri</v>
      </c>
      <c r="K208" s="30"/>
      <c r="L208" s="30"/>
      <c r="O208" s="30" t="str">
        <v>kanan</v>
      </c>
      <c r="P208" s="30"/>
      <c r="Q208" s="30"/>
      <c r="T208" s="30" t="str">
        <v>tengah</v>
      </c>
      <c r="U208" s="30"/>
      <c r="V208" s="30"/>
    </row>
    <row r="209" spans="5:22">
      <c r="E209" s="30" t="str">
        <v>tengah</v>
      </c>
      <c r="F209" s="30"/>
      <c r="G209" s="30"/>
      <c r="J209" s="30" t="str">
        <v>tengah</v>
      </c>
      <c r="K209" s="30"/>
      <c r="L209" s="30"/>
      <c r="O209" s="30" t="str">
        <v>kanan</v>
      </c>
      <c r="P209" s="30"/>
      <c r="Q209" s="30"/>
      <c r="T209" s="30" t="str">
        <v>kanan</v>
      </c>
      <c r="U209" s="30"/>
      <c r="V209" s="30"/>
    </row>
    <row r="210" spans="5:22">
      <c r="E210" s="30" t="str">
        <v>tengah</v>
      </c>
      <c r="F210" s="30"/>
      <c r="G210" s="30"/>
      <c r="J210" s="30" t="str">
        <v>kanan</v>
      </c>
      <c r="K210" s="30"/>
      <c r="L210" s="30"/>
      <c r="O210" s="30" t="str">
        <v>kiri</v>
      </c>
      <c r="P210" s="30"/>
      <c r="Q210" s="30"/>
      <c r="T210" s="30" t="str">
        <v>kanan</v>
      </c>
      <c r="U210" s="30"/>
      <c r="V210" s="30"/>
    </row>
    <row r="211" spans="5:22">
      <c r="E211" s="30" t="str">
        <v>kiri</v>
      </c>
      <c r="F211" s="30"/>
      <c r="G211" s="30"/>
      <c r="J211" s="30" t="str">
        <v>kiri</v>
      </c>
      <c r="K211" s="30"/>
      <c r="L211" s="30"/>
      <c r="O211" s="30" t="str">
        <v>kanan</v>
      </c>
      <c r="P211" s="30"/>
      <c r="Q211" s="30"/>
      <c r="T211" s="30" t="str">
        <v>tengah</v>
      </c>
      <c r="U211" s="30"/>
      <c r="V211" s="30"/>
    </row>
    <row r="212" spans="5:22">
      <c r="E212" s="30" t="str">
        <v>kiri</v>
      </c>
      <c r="F212" s="30"/>
      <c r="G212" s="30"/>
      <c r="J212" s="30" t="str">
        <v>kanan</v>
      </c>
      <c r="K212" s="30"/>
      <c r="L212" s="30"/>
      <c r="O212" s="30" t="str">
        <v>kiri</v>
      </c>
      <c r="P212" s="30"/>
      <c r="Q212" s="30"/>
      <c r="T212" s="30" t="str">
        <v>tengah</v>
      </c>
      <c r="U212" s="30"/>
      <c r="V212" s="30"/>
    </row>
    <row r="213" spans="5:22">
      <c r="E213" s="30" t="str">
        <v>tengah</v>
      </c>
      <c r="F213" s="30"/>
      <c r="G213" s="30"/>
      <c r="J213" s="30" t="str">
        <v>kanan</v>
      </c>
      <c r="K213" s="30"/>
      <c r="L213" s="30"/>
      <c r="O213" s="30" t="str">
        <v>kiri</v>
      </c>
      <c r="P213" s="30"/>
      <c r="Q213" s="30"/>
      <c r="T213" s="30" t="str">
        <v>tengah</v>
      </c>
      <c r="U213" s="30"/>
      <c r="V213" s="30"/>
    </row>
    <row r="214" spans="5:22">
      <c r="E214" s="30" t="str">
        <v>tengah</v>
      </c>
      <c r="F214" s="30"/>
      <c r="G214" s="30"/>
      <c r="J214" s="30" t="str">
        <v>tengah</v>
      </c>
      <c r="K214" s="30"/>
      <c r="L214" s="30"/>
      <c r="O214" s="30" t="str">
        <v>kiri</v>
      </c>
      <c r="P214" s="30"/>
      <c r="Q214" s="30"/>
      <c r="T214" s="30" t="str">
        <v>kanan</v>
      </c>
      <c r="U214" s="30"/>
      <c r="V214" s="30"/>
    </row>
    <row r="215" spans="5:22">
      <c r="E215" s="30" t="str">
        <v>kiri</v>
      </c>
      <c r="F215" s="30"/>
      <c r="G215" s="30"/>
      <c r="J215" s="30" t="str">
        <v>tengah</v>
      </c>
      <c r="K215" s="30"/>
      <c r="L215" s="30"/>
      <c r="O215" s="30" t="str">
        <v>kanan</v>
      </c>
      <c r="P215" s="30"/>
      <c r="Q215" s="30"/>
      <c r="T215" s="30" t="str">
        <v>tengah</v>
      </c>
      <c r="U215" s="30"/>
      <c r="V215" s="30"/>
    </row>
    <row r="216" spans="5:22">
      <c r="E216" s="30" t="str">
        <v>kiri</v>
      </c>
      <c r="F216" s="30"/>
      <c r="G216" s="30"/>
      <c r="J216" s="30" t="str">
        <v>tengah</v>
      </c>
      <c r="K216" s="30"/>
      <c r="L216" s="30"/>
      <c r="O216" s="30" t="str">
        <v>tengah</v>
      </c>
      <c r="P216" s="30"/>
      <c r="Q216" s="30"/>
      <c r="T216" s="30" t="str">
        <v>tengah</v>
      </c>
      <c r="U216" s="30"/>
      <c r="V216" s="30"/>
    </row>
    <row r="217" spans="5:22">
      <c r="E217" s="30" t="str">
        <v>tengah</v>
      </c>
      <c r="F217" s="30"/>
      <c r="G217" s="30"/>
      <c r="J217" s="30" t="str">
        <v>tengah</v>
      </c>
      <c r="K217" s="30"/>
      <c r="L217" s="30"/>
      <c r="O217" s="30" t="str">
        <v>kanan</v>
      </c>
      <c r="P217" s="30"/>
      <c r="Q217" s="30"/>
      <c r="T217" s="30" t="str">
        <v>kanan</v>
      </c>
      <c r="U217" s="30"/>
      <c r="V217" s="30"/>
    </row>
    <row r="218" spans="5:22">
      <c r="E218" s="30" t="str">
        <v>tengah</v>
      </c>
      <c r="F218" s="30"/>
      <c r="G218" s="30"/>
      <c r="J218" s="30" t="str">
        <v>tengah</v>
      </c>
      <c r="K218" s="30"/>
      <c r="L218" s="30"/>
      <c r="O218" s="30" t="str">
        <v>tengah</v>
      </c>
      <c r="P218" s="30"/>
      <c r="Q218" s="30"/>
      <c r="T218" s="30" t="str">
        <v>tengah</v>
      </c>
      <c r="U218" s="30"/>
      <c r="V218" s="30"/>
    </row>
    <row r="219" spans="5:22">
      <c r="E219" s="30" t="str">
        <v>tengah</v>
      </c>
      <c r="F219" s="30"/>
      <c r="G219" s="30"/>
      <c r="J219" s="30" t="str">
        <v>tengah</v>
      </c>
      <c r="K219" s="30"/>
      <c r="L219" s="30"/>
      <c r="O219" s="30" t="str">
        <v>kanan</v>
      </c>
      <c r="P219" s="30"/>
      <c r="Q219" s="30"/>
      <c r="T219" s="30" t="str">
        <v>kanan</v>
      </c>
      <c r="U219" s="30"/>
      <c r="V219" s="30"/>
    </row>
    <row r="220" spans="5:22">
      <c r="E220" s="30" t="str">
        <v>kiri</v>
      </c>
      <c r="F220" s="30"/>
      <c r="G220" s="30"/>
      <c r="J220" s="30" t="str">
        <v>tengah</v>
      </c>
      <c r="K220" s="30"/>
      <c r="L220" s="30"/>
      <c r="O220" s="30" t="str">
        <v>tengah</v>
      </c>
      <c r="P220" s="30"/>
      <c r="Q220" s="30"/>
      <c r="T220" s="30" t="str">
        <v>tengah</v>
      </c>
      <c r="U220" s="30"/>
      <c r="V220" s="30"/>
    </row>
    <row r="221" spans="5:22">
      <c r="E221" s="30" t="str">
        <v>tengah</v>
      </c>
      <c r="F221" s="30"/>
      <c r="G221" s="30"/>
      <c r="J221" s="30" t="str">
        <v>kiri</v>
      </c>
      <c r="K221" s="30"/>
      <c r="L221" s="30"/>
      <c r="O221" s="30" t="str">
        <v>kanan</v>
      </c>
      <c r="P221" s="30"/>
      <c r="Q221" s="30"/>
      <c r="T221" s="30" t="str">
        <v>tengah</v>
      </c>
      <c r="U221" s="30"/>
      <c r="V221" s="30"/>
    </row>
    <row r="222" spans="5:22">
      <c r="E222" s="30" t="str">
        <v>tengah</v>
      </c>
      <c r="F222" s="30"/>
      <c r="G222" s="30"/>
      <c r="J222" s="30" t="str">
        <v>kanan</v>
      </c>
      <c r="K222" s="30"/>
      <c r="L222" s="30"/>
      <c r="O222" s="30" t="str">
        <v>tengah</v>
      </c>
      <c r="P222" s="30"/>
      <c r="Q222" s="30"/>
      <c r="T222" s="30" t="str">
        <v>tengah</v>
      </c>
      <c r="U222" s="30"/>
      <c r="V222" s="30"/>
    </row>
    <row r="223" spans="5:22">
      <c r="E223" s="30" t="str">
        <v>kiri</v>
      </c>
      <c r="F223" s="30"/>
      <c r="G223" s="30"/>
      <c r="J223" s="30" t="str">
        <v>tengah</v>
      </c>
      <c r="K223" s="30"/>
      <c r="L223" s="30"/>
      <c r="O223" s="30" t="str">
        <v>kanan</v>
      </c>
      <c r="P223" s="30"/>
      <c r="Q223" s="30"/>
      <c r="T223" s="30" t="str">
        <v>kanan</v>
      </c>
      <c r="U223" s="30"/>
      <c r="V223" s="30"/>
    </row>
    <row r="224" spans="5:22">
      <c r="E224" s="30" t="str">
        <v>tengah</v>
      </c>
      <c r="F224" s="30"/>
      <c r="G224" s="30"/>
      <c r="J224" s="30" t="str">
        <v>kiri</v>
      </c>
      <c r="K224" s="30"/>
      <c r="L224" s="30"/>
      <c r="O224" s="30" t="str">
        <v>tengah</v>
      </c>
      <c r="P224" s="30"/>
      <c r="Q224" s="30"/>
      <c r="T224" s="30" t="str">
        <v>tengah</v>
      </c>
      <c r="U224" s="30"/>
      <c r="V224" s="30"/>
    </row>
    <row r="225" spans="5:22">
      <c r="E225" s="30" t="str">
        <v>kiri</v>
      </c>
      <c r="F225" s="30"/>
      <c r="G225" s="30"/>
      <c r="J225" s="30" t="str">
        <v>kanan</v>
      </c>
      <c r="K225" s="30"/>
      <c r="L225" s="30"/>
      <c r="O225" s="30" t="str">
        <v>kiri</v>
      </c>
      <c r="P225" s="30"/>
      <c r="Q225" s="30"/>
      <c r="T225" s="30" t="str">
        <v>kanan</v>
      </c>
      <c r="U225" s="30"/>
      <c r="V225" s="30"/>
    </row>
    <row r="226" spans="5:22">
      <c r="E226" s="30" t="str">
        <v>kanan</v>
      </c>
      <c r="F226" s="30"/>
      <c r="G226" s="30"/>
      <c r="J226" s="30" t="str">
        <v>kiri</v>
      </c>
      <c r="K226" s="30"/>
      <c r="L226" s="30"/>
      <c r="O226" s="30" t="str">
        <v>tengah</v>
      </c>
      <c r="P226" s="30"/>
      <c r="Q226" s="30"/>
      <c r="T226" s="30" t="str">
        <v>kanan</v>
      </c>
      <c r="U226" s="30"/>
      <c r="V226" s="30"/>
    </row>
    <row r="227" spans="5:22">
      <c r="E227" s="30" t="str">
        <v>kanan</v>
      </c>
      <c r="F227" s="30"/>
      <c r="G227" s="30"/>
      <c r="J227" s="30" t="str">
        <v>kanan</v>
      </c>
      <c r="K227" s="30"/>
      <c r="L227" s="30"/>
      <c r="O227" s="30" t="str">
        <v>tengah</v>
      </c>
      <c r="P227" s="30"/>
      <c r="Q227" s="30"/>
      <c r="T227" s="30" t="str">
        <v>tengah</v>
      </c>
      <c r="U227" s="30"/>
      <c r="V227" s="30"/>
    </row>
    <row r="228" spans="5:22">
      <c r="E228" s="30" t="str">
        <v>kiri</v>
      </c>
      <c r="F228" s="30"/>
      <c r="G228" s="30"/>
      <c r="J228" s="30" t="str">
        <v>tengah</v>
      </c>
      <c r="K228" s="30"/>
      <c r="L228" s="30"/>
      <c r="O228" s="30" t="str">
        <v>kiri</v>
      </c>
      <c r="P228" s="30"/>
      <c r="Q228" s="30"/>
      <c r="T228" s="30" t="str">
        <v>kanan</v>
      </c>
      <c r="U228" s="30"/>
      <c r="V228" s="30"/>
    </row>
    <row r="229" spans="5:22">
      <c r="E229" s="30" t="str">
        <v>tengah</v>
      </c>
      <c r="F229" s="30"/>
      <c r="G229" s="30"/>
      <c r="J229" s="30" t="str">
        <v>kiri</v>
      </c>
      <c r="K229" s="30"/>
      <c r="L229" s="30"/>
      <c r="O229" s="30" t="str">
        <v>tengah</v>
      </c>
      <c r="P229" s="30"/>
      <c r="Q229" s="30"/>
      <c r="T229" s="30" t="str">
        <v>tengah</v>
      </c>
      <c r="U229" s="30"/>
      <c r="V229" s="30"/>
    </row>
    <row r="230" spans="5:22">
      <c r="E230" s="30" t="str">
        <v>tengah</v>
      </c>
      <c r="F230" s="30"/>
      <c r="G230" s="30"/>
      <c r="J230" s="30" t="str">
        <v>kanan</v>
      </c>
      <c r="K230" s="30"/>
      <c r="L230" s="30"/>
      <c r="O230" s="30" t="str">
        <v>kiri</v>
      </c>
      <c r="P230" s="30"/>
      <c r="Q230" s="30"/>
      <c r="T230" s="30" t="str">
        <v>tengah</v>
      </c>
      <c r="U230" s="30"/>
      <c r="V230" s="30"/>
    </row>
    <row r="231" spans="5:22">
      <c r="E231" s="30" t="str">
        <v>kanan</v>
      </c>
      <c r="F231" s="30"/>
      <c r="G231" s="30"/>
      <c r="J231" s="30" t="str">
        <v>tengah</v>
      </c>
      <c r="K231" s="30"/>
      <c r="L231" s="30"/>
      <c r="O231" s="30" t="str">
        <v>tengah</v>
      </c>
      <c r="P231" s="30"/>
      <c r="Q231" s="30"/>
      <c r="T231" s="30" t="str">
        <v>tengah</v>
      </c>
      <c r="U231" s="30"/>
      <c r="V231" s="30"/>
    </row>
    <row r="232" spans="5:22">
      <c r="E232" s="30" t="str">
        <v>tengah</v>
      </c>
      <c r="F232" s="30"/>
      <c r="G232" s="30"/>
      <c r="J232" s="30" t="str">
        <v>kanan</v>
      </c>
      <c r="K232" s="30"/>
      <c r="L232" s="30"/>
      <c r="O232" s="30" t="str">
        <v>tengah</v>
      </c>
      <c r="P232" s="30"/>
      <c r="Q232" s="30"/>
      <c r="T232" s="30" t="str">
        <v>kanan</v>
      </c>
      <c r="U232" s="30"/>
      <c r="V232" s="30"/>
    </row>
    <row r="233" spans="5:22">
      <c r="E233" s="30" t="str">
        <v>kiri</v>
      </c>
      <c r="F233" s="30"/>
      <c r="G233" s="30"/>
      <c r="J233" s="30" t="str">
        <v>tengah</v>
      </c>
      <c r="K233" s="30"/>
      <c r="L233" s="30"/>
      <c r="O233" s="30" t="str">
        <v>kiri</v>
      </c>
      <c r="P233" s="30"/>
      <c r="Q233" s="30"/>
      <c r="T233" s="30" t="str">
        <v>tengah</v>
      </c>
      <c r="U233" s="30"/>
      <c r="V233" s="30"/>
    </row>
    <row r="234" spans="5:22">
      <c r="E234" s="30" t="str">
        <v>tengah</v>
      </c>
      <c r="F234" s="30"/>
      <c r="G234" s="30"/>
      <c r="J234" s="30" t="str">
        <v>tengah</v>
      </c>
      <c r="K234" s="30"/>
      <c r="L234" s="30"/>
      <c r="O234" s="30" t="str">
        <v>kiri</v>
      </c>
      <c r="P234" s="30"/>
      <c r="Q234" s="30"/>
      <c r="T234" s="30" t="str">
        <v>kanan</v>
      </c>
      <c r="U234" s="30"/>
      <c r="V234" s="30"/>
    </row>
    <row r="235" spans="5:22">
      <c r="E235" s="30" t="str">
        <v>tengah</v>
      </c>
      <c r="F235" s="30"/>
      <c r="G235" s="30"/>
      <c r="J235" s="30" t="str">
        <v>kiri</v>
      </c>
      <c r="K235" s="30"/>
      <c r="L235" s="30"/>
      <c r="O235" s="30" t="str">
        <v>tengah</v>
      </c>
      <c r="P235" s="30"/>
      <c r="Q235" s="30"/>
      <c r="T235" s="30" t="str">
        <v>kanan</v>
      </c>
      <c r="U235" s="30"/>
      <c r="V235" s="30"/>
    </row>
    <row r="236" spans="5:22">
      <c r="E236" s="30" t="str">
        <v>tengah</v>
      </c>
      <c r="F236" s="30"/>
      <c r="G236" s="30"/>
      <c r="J236" s="30" t="str">
        <v>kanan</v>
      </c>
      <c r="K236" s="30"/>
      <c r="L236" s="30"/>
      <c r="O236" s="30" t="str">
        <v>kiri</v>
      </c>
      <c r="P236" s="30"/>
      <c r="Q236" s="30"/>
      <c r="T236" s="30" t="str">
        <v>tengah</v>
      </c>
      <c r="U236" s="30"/>
      <c r="V236" s="30"/>
    </row>
    <row r="237" spans="5:22">
      <c r="E237" s="30" t="str">
        <v>kanan</v>
      </c>
      <c r="F237" s="30"/>
      <c r="G237" s="30"/>
      <c r="J237" s="30" t="str">
        <v>tengah</v>
      </c>
      <c r="K237" s="30"/>
      <c r="L237" s="30"/>
      <c r="O237" s="30" t="str">
        <v>kanan</v>
      </c>
      <c r="P237" s="30"/>
      <c r="Q237" s="30"/>
      <c r="T237" s="30" t="str">
        <v>kanan</v>
      </c>
      <c r="U237" s="30"/>
      <c r="V237" s="30"/>
    </row>
    <row r="238" spans="5:22">
      <c r="E238" s="30" t="str">
        <v>tengah</v>
      </c>
      <c r="F238" s="30"/>
      <c r="G238" s="30"/>
      <c r="J238" s="30" t="str">
        <v>kiri</v>
      </c>
      <c r="K238" s="30"/>
      <c r="L238" s="30"/>
      <c r="O238" s="30" t="str">
        <v>kiri</v>
      </c>
      <c r="P238" s="30"/>
      <c r="Q238" s="30"/>
      <c r="T238" s="30" t="str">
        <v>kanan</v>
      </c>
      <c r="U238" s="30"/>
      <c r="V238" s="30"/>
    </row>
    <row r="239" spans="5:22">
      <c r="E239" s="30" t="str">
        <v>tengah</v>
      </c>
      <c r="F239" s="30"/>
      <c r="G239" s="30"/>
      <c r="J239" s="30" t="str">
        <v>kiri</v>
      </c>
      <c r="K239" s="30"/>
      <c r="L239" s="30"/>
      <c r="O239" s="30" t="str">
        <v>kiri</v>
      </c>
      <c r="P239" s="30"/>
      <c r="Q239" s="30"/>
      <c r="T239" s="30" t="str">
        <v>kanan</v>
      </c>
      <c r="U239" s="30"/>
      <c r="V239" s="30"/>
    </row>
    <row r="240" spans="5:22">
      <c r="E240" s="30" t="str">
        <v>tengah</v>
      </c>
      <c r="F240" s="30"/>
      <c r="G240" s="30"/>
      <c r="J240" s="30" t="str">
        <v>tengah</v>
      </c>
      <c r="K240" s="30"/>
      <c r="L240" s="30"/>
      <c r="O240" s="30" t="str">
        <v>tengah</v>
      </c>
      <c r="P240" s="30"/>
      <c r="Q240" s="30"/>
      <c r="T240" s="30" t="str">
        <v>kanan</v>
      </c>
      <c r="U240" s="30"/>
      <c r="V240" s="30"/>
    </row>
    <row r="241" spans="5:22">
      <c r="E241" s="30" t="str">
        <v>kanan</v>
      </c>
      <c r="F241" s="30"/>
      <c r="G241" s="30"/>
      <c r="J241" s="30" t="str">
        <v>tengah</v>
      </c>
      <c r="K241" s="30"/>
      <c r="L241" s="30"/>
      <c r="O241" s="30" t="str">
        <v>tengah</v>
      </c>
      <c r="P241" s="30"/>
      <c r="Q241" s="30"/>
      <c r="T241" s="30" t="str">
        <v>kanan</v>
      </c>
      <c r="U241" s="30"/>
      <c r="V241" s="30"/>
    </row>
    <row r="242" spans="5:22">
      <c r="E242" s="30" t="str">
        <v>kanan</v>
      </c>
      <c r="F242" s="30"/>
      <c r="G242" s="30"/>
      <c r="J242" s="30" t="str">
        <v>kanan</v>
      </c>
      <c r="K242" s="30"/>
      <c r="L242" s="30"/>
      <c r="O242" s="30" t="str">
        <v>kanan</v>
      </c>
      <c r="P242" s="30"/>
      <c r="Q242" s="30"/>
      <c r="T242" s="30" t="str">
        <v>kanan</v>
      </c>
      <c r="U242" s="30"/>
      <c r="V242" s="30"/>
    </row>
    <row r="243" spans="5:22">
      <c r="E243" s="30" t="str">
        <v>tengah</v>
      </c>
      <c r="F243" s="30"/>
      <c r="G243" s="30"/>
      <c r="J243" s="30" t="str">
        <v>kanan</v>
      </c>
      <c r="K243" s="30"/>
      <c r="L243" s="30"/>
      <c r="O243" s="30" t="str">
        <v>tengah</v>
      </c>
      <c r="P243" s="30"/>
      <c r="Q243" s="30"/>
      <c r="T243" s="30" t="str">
        <v>kanan</v>
      </c>
      <c r="U243" s="30"/>
      <c r="V243" s="30"/>
    </row>
    <row r="244" spans="5:22">
      <c r="E244" s="30" t="str">
        <v>kiri</v>
      </c>
      <c r="F244" s="30"/>
      <c r="G244" s="30"/>
      <c r="J244" s="30" t="str">
        <v>kiri</v>
      </c>
      <c r="K244" s="30"/>
      <c r="L244" s="30"/>
      <c r="O244" s="30" t="str">
        <v>kanan</v>
      </c>
      <c r="P244" s="30"/>
      <c r="Q244" s="30"/>
      <c r="T244" s="30" t="str">
        <v>tengah</v>
      </c>
      <c r="U244" s="30"/>
      <c r="V244" s="30"/>
    </row>
    <row r="245" spans="5:22">
      <c r="E245" s="30" t="str">
        <v>tengah</v>
      </c>
      <c r="F245" s="30"/>
      <c r="G245" s="30"/>
      <c r="J245" s="30" t="str">
        <v>kiri</v>
      </c>
      <c r="K245" s="30"/>
      <c r="L245" s="30"/>
      <c r="O245" s="30" t="str">
        <v>tengah</v>
      </c>
      <c r="P245" s="30"/>
      <c r="Q245" s="30"/>
      <c r="T245" s="30" t="str">
        <v>kanan</v>
      </c>
      <c r="U245" s="30"/>
      <c r="V245" s="30"/>
    </row>
    <row r="246" spans="5:22">
      <c r="E246" s="30" t="str">
        <v>kanan</v>
      </c>
      <c r="F246" s="30"/>
      <c r="G246" s="30"/>
      <c r="J246" s="30" t="str">
        <v>tengah</v>
      </c>
      <c r="K246" s="30"/>
      <c r="L246" s="30"/>
      <c r="O246" s="30" t="str">
        <v>tengah</v>
      </c>
      <c r="P246" s="30"/>
      <c r="Q246" s="30"/>
      <c r="T246" s="30" t="str">
        <v>tengah</v>
      </c>
      <c r="U246" s="30"/>
      <c r="V246" s="30"/>
    </row>
    <row r="247" spans="5:22">
      <c r="E247" s="30" t="str">
        <v>kanan</v>
      </c>
      <c r="F247" s="30"/>
      <c r="G247" s="30"/>
      <c r="J247" s="30" t="str">
        <v>kanan</v>
      </c>
      <c r="K247" s="30"/>
      <c r="L247" s="30"/>
      <c r="O247" s="30" t="str">
        <v>tengah</v>
      </c>
      <c r="P247" s="30"/>
      <c r="Q247" s="30"/>
      <c r="T247" s="30" t="str">
        <v>kanan</v>
      </c>
      <c r="U247" s="30"/>
      <c r="V247" s="30"/>
    </row>
    <row r="248" spans="5:22">
      <c r="E248" s="30" t="str">
        <v>tengah</v>
      </c>
      <c r="F248" s="30"/>
      <c r="G248" s="30"/>
      <c r="J248" s="30" t="str">
        <v>tengah</v>
      </c>
      <c r="K248" s="30"/>
      <c r="L248" s="30"/>
      <c r="O248" s="30" t="str">
        <v>kiri</v>
      </c>
      <c r="P248" s="30"/>
      <c r="Q248" s="30"/>
      <c r="T248" s="30" t="str">
        <v>kanan</v>
      </c>
      <c r="U248" s="30"/>
      <c r="V248" s="30"/>
    </row>
    <row r="249" spans="5:22">
      <c r="E249" s="30" t="str">
        <v>kanan</v>
      </c>
      <c r="F249" s="30"/>
      <c r="G249" s="30"/>
      <c r="J249" s="30" t="str">
        <v>tengah</v>
      </c>
      <c r="K249" s="30"/>
      <c r="L249" s="30"/>
      <c r="O249" s="30" t="str">
        <v>kanan</v>
      </c>
      <c r="P249" s="30"/>
      <c r="Q249" s="30"/>
      <c r="T249" s="30" t="str">
        <v>kanan</v>
      </c>
      <c r="U249" s="30"/>
      <c r="V249" s="30"/>
    </row>
    <row r="250" spans="5:22">
      <c r="E250" s="30" t="str">
        <v>tengah</v>
      </c>
      <c r="F250" s="30"/>
      <c r="G250" s="30"/>
      <c r="J250" s="30" t="str">
        <v>tengah</v>
      </c>
      <c r="K250" s="30"/>
      <c r="L250" s="30"/>
      <c r="O250" s="30" t="str">
        <v>kiri</v>
      </c>
      <c r="P250" s="30"/>
      <c r="Q250" s="30"/>
      <c r="T250" s="30" t="str">
        <v>kanan</v>
      </c>
      <c r="U250" s="30"/>
      <c r="V250" s="30"/>
    </row>
    <row r="251" spans="5:22">
      <c r="E251" s="30" t="str">
        <v>tengah</v>
      </c>
      <c r="F251" s="30"/>
      <c r="G251" s="30"/>
      <c r="J251" s="30" t="str">
        <v>kanan</v>
      </c>
      <c r="K251" s="30"/>
      <c r="L251" s="30"/>
      <c r="O251" s="30" t="str">
        <v>kiri</v>
      </c>
      <c r="P251" s="30"/>
      <c r="Q251" s="30"/>
      <c r="T251" s="30" t="str">
        <v>kanan</v>
      </c>
      <c r="U251" s="30"/>
      <c r="V251" s="30"/>
    </row>
    <row r="252" spans="5:22">
      <c r="E252" s="30" t="str">
        <v>kiri</v>
      </c>
      <c r="F252" s="30"/>
      <c r="G252" s="30"/>
      <c r="J252" s="30" t="str">
        <v>kiri</v>
      </c>
      <c r="K252" s="30"/>
      <c r="L252" s="30"/>
      <c r="O252" s="30" t="str">
        <v>kanan</v>
      </c>
      <c r="P252" s="30"/>
      <c r="Q252" s="30"/>
      <c r="T252" s="30" t="str">
        <v>kanan</v>
      </c>
      <c r="U252" s="30"/>
      <c r="V252" s="30"/>
    </row>
    <row r="253" spans="5:22">
      <c r="E253" s="30" t="str">
        <v>kanan</v>
      </c>
      <c r="F253" s="30"/>
      <c r="G253" s="30"/>
      <c r="J253" s="30" t="str">
        <v>kiri</v>
      </c>
      <c r="K253" s="30"/>
      <c r="L253" s="30"/>
      <c r="O253" s="30" t="str">
        <v>kiri</v>
      </c>
      <c r="P253" s="30"/>
      <c r="Q253" s="30"/>
      <c r="T253" s="30" t="str">
        <v>tengah</v>
      </c>
      <c r="U253" s="30"/>
      <c r="V253" s="30"/>
    </row>
    <row r="254" spans="5:22">
      <c r="E254" s="30" t="str">
        <v>kiri</v>
      </c>
      <c r="F254" s="30"/>
      <c r="G254" s="30"/>
      <c r="J254" s="30" t="str">
        <v>tengah</v>
      </c>
      <c r="K254" s="30"/>
      <c r="L254" s="30"/>
      <c r="O254" s="30" t="str">
        <v>kanan</v>
      </c>
      <c r="P254" s="30"/>
      <c r="Q254" s="30"/>
      <c r="T254" s="30" t="str">
        <v>tengah</v>
      </c>
      <c r="U254" s="30"/>
      <c r="V254" s="30"/>
    </row>
    <row r="255" spans="5:22">
      <c r="E255" s="30" t="str">
        <v>tengah</v>
      </c>
      <c r="F255" s="30"/>
      <c r="G255" s="30"/>
      <c r="J255" s="30" t="str">
        <v>tengah</v>
      </c>
      <c r="K255" s="30"/>
      <c r="L255" s="30"/>
      <c r="O255" s="30" t="str">
        <v>kanan</v>
      </c>
      <c r="P255" s="30"/>
      <c r="Q255" s="30"/>
      <c r="T255" s="30" t="str">
        <v>tengah</v>
      </c>
      <c r="U255" s="30"/>
      <c r="V255" s="30"/>
    </row>
    <row r="256" spans="5:22">
      <c r="E256" s="30" t="str">
        <v>tengah</v>
      </c>
      <c r="F256" s="30"/>
      <c r="G256" s="30"/>
      <c r="J256" s="30" t="str">
        <v>tengah</v>
      </c>
      <c r="K256" s="30"/>
      <c r="L256" s="30"/>
      <c r="O256" s="30" t="str">
        <v>kanan</v>
      </c>
      <c r="P256" s="30"/>
      <c r="Q256" s="30"/>
      <c r="T256" s="30" t="str">
        <v>kanan</v>
      </c>
      <c r="U256" s="30"/>
      <c r="V256" s="30"/>
    </row>
    <row r="257" spans="5:22">
      <c r="E257" s="30" t="str">
        <v>kiri</v>
      </c>
      <c r="F257" s="30"/>
      <c r="G257" s="30"/>
      <c r="J257" s="30" t="str">
        <v>kiri</v>
      </c>
      <c r="K257" s="30"/>
      <c r="L257" s="30"/>
      <c r="O257" s="30" t="str">
        <v>kiri</v>
      </c>
      <c r="P257" s="30"/>
      <c r="Q257" s="30"/>
      <c r="T257" s="30" t="str">
        <v>kanan</v>
      </c>
      <c r="U257" s="30"/>
      <c r="V257" s="30"/>
    </row>
    <row r="258" spans="5:22">
      <c r="E258" s="30" t="str">
        <v>tengah</v>
      </c>
      <c r="F258" s="30"/>
      <c r="G258" s="30"/>
      <c r="J258" s="30" t="str">
        <v>kanan</v>
      </c>
      <c r="K258" s="30"/>
      <c r="L258" s="30"/>
      <c r="O258" s="30" t="str">
        <v>kiri</v>
      </c>
      <c r="P258" s="30"/>
      <c r="Q258" s="30"/>
      <c r="T258" s="30" t="str">
        <v>tengah</v>
      </c>
      <c r="U258" s="30"/>
      <c r="V258" s="30"/>
    </row>
    <row r="259" spans="5:22">
      <c r="E259" s="30" t="str">
        <v>kiri</v>
      </c>
      <c r="F259" s="30"/>
      <c r="G259" s="30"/>
      <c r="J259" s="30" t="str">
        <v>tengah</v>
      </c>
      <c r="K259" s="30"/>
      <c r="L259" s="30"/>
      <c r="O259" s="30" t="str">
        <v>kiri</v>
      </c>
      <c r="P259" s="30"/>
      <c r="Q259" s="30"/>
      <c r="T259" s="30" t="str">
        <v>tengah</v>
      </c>
      <c r="U259" s="30"/>
      <c r="V259" s="30"/>
    </row>
    <row r="260" spans="5:22">
      <c r="E260" s="30" t="str">
        <v>tengah</v>
      </c>
      <c r="F260" s="30"/>
      <c r="G260" s="30"/>
      <c r="J260" s="30" t="str">
        <v>tengah</v>
      </c>
      <c r="K260" s="30"/>
      <c r="L260" s="30"/>
      <c r="O260" s="30" t="str">
        <v>tengah</v>
      </c>
      <c r="P260" s="30"/>
      <c r="Q260" s="30"/>
      <c r="T260" s="30" t="str">
        <v>kanan</v>
      </c>
      <c r="U260" s="30"/>
      <c r="V260" s="30"/>
    </row>
    <row r="261" spans="5:22">
      <c r="E261" s="30" t="str">
        <v>tengah</v>
      </c>
      <c r="F261" s="30"/>
      <c r="G261" s="30"/>
      <c r="J261" s="30" t="str">
        <v>kanan</v>
      </c>
      <c r="K261" s="30"/>
      <c r="L261" s="30"/>
      <c r="O261" s="30" t="str">
        <v>kiri</v>
      </c>
      <c r="P261" s="30"/>
      <c r="Q261" s="30"/>
      <c r="T261" s="30" t="str">
        <v>tengah</v>
      </c>
      <c r="U261" s="30"/>
      <c r="V261" s="30"/>
    </row>
    <row r="262" spans="5:22">
      <c r="E262" s="30" t="str">
        <v>tengah</v>
      </c>
      <c r="F262" s="30"/>
      <c r="G262" s="30"/>
      <c r="J262" s="30" t="str">
        <v>tengah</v>
      </c>
      <c r="K262" s="30"/>
      <c r="L262" s="30"/>
      <c r="O262" s="30" t="str">
        <v>tengah</v>
      </c>
      <c r="P262" s="30"/>
      <c r="Q262" s="30"/>
      <c r="T262" s="30" t="str">
        <v>tengah</v>
      </c>
      <c r="U262" s="30"/>
      <c r="V262" s="30"/>
    </row>
    <row r="263" spans="5:22">
      <c r="E263" s="30" t="str">
        <v>kanan</v>
      </c>
      <c r="F263" s="30"/>
      <c r="G263" s="30"/>
      <c r="J263" s="30" t="str">
        <v>kanan</v>
      </c>
      <c r="K263" s="30"/>
      <c r="L263" s="30"/>
      <c r="O263" s="30" t="str">
        <v>tengah</v>
      </c>
      <c r="P263" s="30"/>
      <c r="Q263" s="30"/>
      <c r="T263" s="30" t="str">
        <v>kanan</v>
      </c>
      <c r="U263" s="30"/>
      <c r="V263" s="30"/>
    </row>
    <row r="264" spans="5:22">
      <c r="E264" s="30" t="str">
        <v>tengah</v>
      </c>
      <c r="F264" s="30"/>
      <c r="G264" s="30"/>
      <c r="J264" s="30" t="str">
        <v>tengah</v>
      </c>
      <c r="K264" s="30"/>
      <c r="L264" s="30"/>
      <c r="O264" s="30" t="str">
        <v>kanan</v>
      </c>
      <c r="P264" s="30"/>
      <c r="Q264" s="30"/>
      <c r="T264" s="30" t="str">
        <v>kanan</v>
      </c>
      <c r="U264" s="30"/>
      <c r="V264" s="30"/>
    </row>
    <row r="265" spans="5:22">
      <c r="E265" s="30" t="str">
        <v>tengah</v>
      </c>
      <c r="F265" s="30"/>
      <c r="G265" s="30"/>
      <c r="J265" s="30" t="str">
        <v>kiri</v>
      </c>
      <c r="K265" s="30"/>
      <c r="L265" s="30"/>
      <c r="O265" s="30" t="str">
        <v>tengah</v>
      </c>
      <c r="P265" s="30"/>
      <c r="Q265" s="30"/>
      <c r="T265" s="30" t="str">
        <v>tengah</v>
      </c>
      <c r="U265" s="30"/>
      <c r="V265" s="30"/>
    </row>
    <row r="266" spans="5:22">
      <c r="E266" s="30" t="str">
        <v>tengah</v>
      </c>
      <c r="F266" s="30"/>
      <c r="G266" s="30"/>
      <c r="J266" s="30" t="str">
        <v>tengah</v>
      </c>
      <c r="K266" s="30"/>
      <c r="L266" s="30"/>
      <c r="O266" s="30" t="str">
        <v>tengah</v>
      </c>
      <c r="P266" s="30"/>
      <c r="Q266" s="30"/>
      <c r="T266" s="30" t="str">
        <v>kanan</v>
      </c>
      <c r="U266" s="30"/>
      <c r="V266" s="30"/>
    </row>
    <row r="267" spans="5:22">
      <c r="E267" s="30" t="str">
        <v>tengah</v>
      </c>
      <c r="F267" s="30"/>
      <c r="G267" s="30"/>
      <c r="J267" s="30" t="str">
        <v>tengah</v>
      </c>
      <c r="K267" s="30"/>
      <c r="L267" s="30"/>
      <c r="O267" s="30" t="str">
        <v>kiri</v>
      </c>
      <c r="P267" s="30"/>
      <c r="Q267" s="30"/>
      <c r="T267" s="30" t="str">
        <v>tengah</v>
      </c>
      <c r="U267" s="30"/>
      <c r="V267" s="30"/>
    </row>
    <row r="268" spans="5:22">
      <c r="E268" s="30" t="str">
        <v>kanan</v>
      </c>
      <c r="F268" s="30"/>
      <c r="G268" s="30"/>
      <c r="J268" s="30" t="str">
        <v>tengah</v>
      </c>
      <c r="K268" s="30"/>
      <c r="L268" s="30"/>
      <c r="O268" s="30" t="str">
        <v>tengah</v>
      </c>
      <c r="P268" s="30"/>
      <c r="Q268" s="30"/>
      <c r="T268" s="30" t="str">
        <v>kanan</v>
      </c>
      <c r="U268" s="30"/>
      <c r="V268" s="30"/>
    </row>
    <row r="269" spans="5:22">
      <c r="E269" s="30" t="str">
        <v>tengah</v>
      </c>
      <c r="F269" s="30"/>
      <c r="G269" s="30"/>
      <c r="J269" s="30" t="str">
        <v>kanan</v>
      </c>
      <c r="K269" s="30"/>
      <c r="L269" s="30"/>
      <c r="O269" s="30" t="str">
        <v>kiri</v>
      </c>
      <c r="P269" s="30"/>
      <c r="Q269" s="30"/>
      <c r="T269" s="30" t="str">
        <v>tengah</v>
      </c>
      <c r="U269" s="30"/>
      <c r="V269" s="30"/>
    </row>
    <row r="270" spans="5:22">
      <c r="E270" s="30" t="str">
        <v>kanan</v>
      </c>
      <c r="F270" s="30"/>
      <c r="G270" s="30"/>
      <c r="J270" s="30" t="str">
        <v>tengah</v>
      </c>
      <c r="K270" s="30"/>
      <c r="L270" s="30"/>
      <c r="O270" s="30" t="str">
        <v>tengah</v>
      </c>
      <c r="P270" s="30"/>
      <c r="Q270" s="30"/>
      <c r="T270" s="30" t="str">
        <v>kanan</v>
      </c>
      <c r="U270" s="30"/>
      <c r="V270" s="30"/>
    </row>
    <row r="271" spans="5:22">
      <c r="E271" s="30" t="str">
        <v>kiri</v>
      </c>
      <c r="F271" s="30"/>
      <c r="G271" s="30"/>
      <c r="J271" s="30" t="str">
        <v>tengah</v>
      </c>
      <c r="K271" s="30"/>
      <c r="L271" s="30"/>
      <c r="O271" s="30" t="str">
        <v>kiri</v>
      </c>
      <c r="P271" s="30"/>
      <c r="Q271" s="30"/>
      <c r="T271" s="30" t="str">
        <v>tengah</v>
      </c>
      <c r="U271" s="30"/>
      <c r="V271" s="30"/>
    </row>
    <row r="272" spans="5:22">
      <c r="E272" s="30" t="str">
        <v>kiri</v>
      </c>
      <c r="F272" s="30"/>
      <c r="G272" s="30"/>
      <c r="J272" s="30" t="str">
        <v>tengah</v>
      </c>
      <c r="K272" s="30"/>
      <c r="L272" s="30"/>
      <c r="O272" s="30" t="str">
        <v>kiri</v>
      </c>
      <c r="P272" s="30"/>
      <c r="Q272" s="30"/>
      <c r="T272" s="30" t="str">
        <v>tengah</v>
      </c>
      <c r="U272" s="30"/>
      <c r="V272" s="30"/>
    </row>
    <row r="273" spans="5:22">
      <c r="E273" s="30" t="str">
        <v>tengah</v>
      </c>
      <c r="F273" s="30"/>
      <c r="G273" s="30"/>
      <c r="J273" s="30" t="str">
        <v>kanan</v>
      </c>
      <c r="K273" s="30"/>
      <c r="L273" s="30"/>
      <c r="O273" s="30" t="str">
        <v>kiri</v>
      </c>
      <c r="P273" s="30"/>
      <c r="Q273" s="30"/>
      <c r="T273" s="30" t="str">
        <v>tengah</v>
      </c>
      <c r="U273" s="30"/>
      <c r="V273" s="30"/>
    </row>
    <row r="274" spans="5:22">
      <c r="E274" s="30" t="str">
        <v>tengah</v>
      </c>
      <c r="F274" s="30"/>
      <c r="G274" s="30"/>
      <c r="J274" s="30" t="str">
        <v>kanan</v>
      </c>
      <c r="K274" s="30"/>
      <c r="L274" s="30"/>
      <c r="O274" s="30" t="str">
        <v>kiri</v>
      </c>
      <c r="P274" s="30"/>
      <c r="Q274" s="30"/>
      <c r="T274" s="30" t="str">
        <v>kanan</v>
      </c>
      <c r="U274" s="30"/>
      <c r="V274" s="30"/>
    </row>
    <row r="275" spans="5:22">
      <c r="E275" s="30" t="str">
        <v>tengah</v>
      </c>
      <c r="F275" s="30"/>
      <c r="G275" s="30"/>
      <c r="J275" s="30" t="str">
        <v>kanan</v>
      </c>
      <c r="K275" s="30"/>
      <c r="L275" s="30"/>
      <c r="O275" s="30" t="str">
        <v>tengah</v>
      </c>
      <c r="P275" s="30"/>
      <c r="Q275" s="30"/>
      <c r="T275" s="30" t="str">
        <v>tengah</v>
      </c>
      <c r="U275" s="30"/>
      <c r="V275" s="30"/>
    </row>
    <row r="276" spans="5:22">
      <c r="E276" s="30" t="str">
        <v>kiri</v>
      </c>
      <c r="F276" s="30"/>
      <c r="G276" s="30"/>
      <c r="J276" s="30" t="str">
        <v>tengah</v>
      </c>
      <c r="K276" s="30"/>
      <c r="L276" s="30"/>
      <c r="O276" s="30" t="str">
        <v>kanan</v>
      </c>
      <c r="P276" s="30"/>
      <c r="Q276" s="30"/>
      <c r="T276" s="30" t="str">
        <v>tengah</v>
      </c>
      <c r="U276" s="30"/>
      <c r="V276" s="30"/>
    </row>
    <row r="277" spans="5:22">
      <c r="E277" s="30" t="str">
        <v>kiri</v>
      </c>
      <c r="F277" s="30"/>
      <c r="G277" s="30"/>
      <c r="J277" s="30" t="str">
        <v>kanan</v>
      </c>
      <c r="K277" s="30"/>
      <c r="L277" s="30"/>
      <c r="O277" s="30" t="str">
        <v>tengah</v>
      </c>
      <c r="P277" s="30"/>
      <c r="Q277" s="30"/>
      <c r="T277" s="30" t="str">
        <v>kanan</v>
      </c>
      <c r="U277" s="30"/>
      <c r="V277" s="30"/>
    </row>
    <row r="278" spans="5:22">
      <c r="E278" s="30" t="str">
        <v>tengah</v>
      </c>
      <c r="F278" s="30"/>
      <c r="G278" s="30"/>
      <c r="J278" s="30" t="str">
        <v>kanan</v>
      </c>
      <c r="K278" s="30"/>
      <c r="L278" s="30"/>
      <c r="O278" s="30" t="str">
        <v>kiri</v>
      </c>
      <c r="P278" s="30"/>
      <c r="Q278" s="30"/>
      <c r="T278" s="30" t="str">
        <v>kanan</v>
      </c>
      <c r="U278" s="30"/>
      <c r="V278" s="30"/>
    </row>
    <row r="279" spans="5:22">
      <c r="E279" s="30" t="str">
        <v>tengah</v>
      </c>
      <c r="F279" s="30"/>
      <c r="G279" s="30"/>
      <c r="J279" s="30" t="str">
        <v>tengah</v>
      </c>
      <c r="K279" s="30"/>
      <c r="L279" s="30"/>
      <c r="O279" s="30" t="str">
        <v>kanan</v>
      </c>
      <c r="P279" s="30"/>
      <c r="Q279" s="30"/>
      <c r="T279" s="30" t="str">
        <v>tengah</v>
      </c>
      <c r="U279" s="30"/>
      <c r="V279" s="30"/>
    </row>
    <row r="280" spans="5:22">
      <c r="E280" s="30" t="str">
        <v>kiri</v>
      </c>
      <c r="F280" s="30"/>
      <c r="G280" s="30"/>
      <c r="J280" s="30" t="str">
        <v>tengah</v>
      </c>
      <c r="K280" s="30"/>
      <c r="L280" s="30"/>
      <c r="O280" s="30" t="str">
        <v>kanan</v>
      </c>
      <c r="P280" s="30"/>
      <c r="Q280" s="30"/>
      <c r="T280" s="30" t="str">
        <v>kanan</v>
      </c>
      <c r="U280" s="30"/>
      <c r="V280" s="30"/>
    </row>
    <row r="281" spans="5:22">
      <c r="E281" s="30" t="str">
        <v>tengah</v>
      </c>
      <c r="F281" s="30"/>
      <c r="G281" s="30"/>
      <c r="J281" s="30" t="str">
        <v>kanan</v>
      </c>
      <c r="K281" s="30"/>
      <c r="L281" s="30"/>
      <c r="O281" s="30" t="str">
        <v>tengah</v>
      </c>
      <c r="P281" s="30"/>
      <c r="Q281" s="30"/>
      <c r="T281" s="30" t="str">
        <v>tengah</v>
      </c>
      <c r="U281" s="30"/>
      <c r="V281" s="30"/>
    </row>
    <row r="282" spans="5:22">
      <c r="E282" s="30" t="str">
        <v>kiri</v>
      </c>
      <c r="F282" s="30"/>
      <c r="G282" s="30"/>
      <c r="J282" s="30" t="str">
        <v>tengah</v>
      </c>
      <c r="K282" s="30"/>
      <c r="L282" s="30"/>
      <c r="O282" s="30" t="str">
        <v>tengah</v>
      </c>
      <c r="P282" s="30"/>
      <c r="Q282" s="30"/>
      <c r="T282" s="30" t="str">
        <v>kanan</v>
      </c>
      <c r="U282" s="30"/>
      <c r="V282" s="30"/>
    </row>
    <row r="283" spans="5:22">
      <c r="E283" s="30" t="str">
        <v>tengah</v>
      </c>
      <c r="F283" s="30"/>
      <c r="G283" s="30"/>
      <c r="J283" s="30" t="str">
        <v>kanan</v>
      </c>
      <c r="K283" s="30"/>
      <c r="L283" s="30"/>
      <c r="O283" s="30" t="str">
        <v>tengah</v>
      </c>
      <c r="P283" s="30"/>
      <c r="Q283" s="30"/>
      <c r="T283" s="30" t="str">
        <v>kanan</v>
      </c>
      <c r="U283" s="30"/>
      <c r="V283" s="30"/>
    </row>
    <row r="284" spans="5:22">
      <c r="E284" s="30" t="str">
        <v>kanan</v>
      </c>
      <c r="F284" s="30"/>
      <c r="G284" s="30"/>
      <c r="J284" s="30" t="str">
        <v>kanan</v>
      </c>
      <c r="K284" s="30"/>
      <c r="L284" s="30"/>
      <c r="O284" s="30" t="str">
        <v>tengah</v>
      </c>
      <c r="P284" s="30"/>
      <c r="Q284" s="30"/>
      <c r="T284" s="30" t="str">
        <v>tengah</v>
      </c>
      <c r="U284" s="30"/>
      <c r="V284" s="30"/>
    </row>
    <row r="285" spans="5:22">
      <c r="E285" s="30" t="str">
        <v>tengah</v>
      </c>
      <c r="F285" s="30"/>
      <c r="G285" s="30"/>
      <c r="J285" s="30" t="str">
        <v>kiri</v>
      </c>
      <c r="K285" s="30"/>
      <c r="L285" s="30"/>
      <c r="O285" s="30" t="str">
        <v>tengah</v>
      </c>
      <c r="P285" s="30"/>
      <c r="Q285" s="30"/>
      <c r="T285" s="30" t="str">
        <v>tengah</v>
      </c>
      <c r="U285" s="30"/>
      <c r="V285" s="30"/>
    </row>
    <row r="286" spans="5:22">
      <c r="E286" s="30" t="str">
        <v>tengah</v>
      </c>
      <c r="F286" s="30"/>
      <c r="G286" s="30"/>
      <c r="J286" s="30" t="str">
        <v>tengah</v>
      </c>
      <c r="K286" s="30"/>
      <c r="L286" s="30"/>
      <c r="O286" s="30" t="str">
        <v>kiri</v>
      </c>
      <c r="P286" s="30"/>
      <c r="Q286" s="30"/>
      <c r="T286" s="30" t="str">
        <v>kanan</v>
      </c>
      <c r="U286" s="30"/>
      <c r="V286" s="30"/>
    </row>
    <row r="287" spans="5:22">
      <c r="E287" s="30" t="str">
        <v>kiri</v>
      </c>
      <c r="F287" s="30"/>
      <c r="G287" s="30"/>
      <c r="J287" s="30" t="str">
        <v>kiri</v>
      </c>
      <c r="K287" s="30"/>
      <c r="L287" s="30"/>
      <c r="O287" s="30" t="str">
        <v>tengah</v>
      </c>
      <c r="P287" s="30"/>
      <c r="Q287" s="30"/>
      <c r="T287" s="30" t="str">
        <v>tengah</v>
      </c>
      <c r="U287" s="30"/>
      <c r="V287" s="30"/>
    </row>
    <row r="288" spans="5:22">
      <c r="E288" s="30" t="str">
        <v>tengah</v>
      </c>
      <c r="F288" s="30"/>
      <c r="G288" s="30"/>
      <c r="J288" s="30" t="str">
        <v>kanan</v>
      </c>
      <c r="K288" s="30"/>
      <c r="L288" s="30"/>
      <c r="O288" s="30" t="str">
        <v>kiri</v>
      </c>
      <c r="P288" s="30"/>
      <c r="Q288" s="30"/>
      <c r="T288" s="30" t="str">
        <v>kanan</v>
      </c>
      <c r="U288" s="30"/>
      <c r="V288" s="30"/>
    </row>
    <row r="289" spans="5:22">
      <c r="E289" s="30" t="str">
        <v>tengah</v>
      </c>
      <c r="F289" s="30"/>
      <c r="G289" s="30"/>
      <c r="J289" s="30" t="str">
        <v>tengah</v>
      </c>
      <c r="K289" s="30"/>
      <c r="L289" s="30"/>
      <c r="O289" s="30" t="str">
        <v>kiri</v>
      </c>
      <c r="P289" s="30"/>
      <c r="Q289" s="30"/>
      <c r="T289" s="30" t="str">
        <v>kanan</v>
      </c>
      <c r="U289" s="30"/>
      <c r="V289" s="30"/>
    </row>
    <row r="290" spans="5:22">
      <c r="E290" s="30" t="str">
        <v>tengah</v>
      </c>
      <c r="F290" s="30"/>
      <c r="G290" s="30"/>
      <c r="J290" s="30" t="str">
        <v>kiri</v>
      </c>
      <c r="K290" s="30"/>
      <c r="L290" s="30"/>
      <c r="O290" s="30" t="str">
        <v>tengah</v>
      </c>
      <c r="P290" s="30"/>
      <c r="Q290" s="30"/>
      <c r="T290" s="30" t="str">
        <v>kanan</v>
      </c>
      <c r="U290" s="30"/>
      <c r="V290" s="30"/>
    </row>
    <row r="291" spans="5:22">
      <c r="E291" s="30" t="str">
        <v>kanan</v>
      </c>
      <c r="F291" s="30"/>
      <c r="G291" s="30"/>
      <c r="J291" s="30" t="str">
        <v>tengah</v>
      </c>
      <c r="K291" s="30"/>
      <c r="L291" s="30"/>
      <c r="O291" s="30" t="str">
        <v>tengah</v>
      </c>
      <c r="P291" s="30"/>
      <c r="Q291" s="30"/>
      <c r="T291" s="30" t="str">
        <v>tengah</v>
      </c>
      <c r="U291" s="30"/>
      <c r="V291" s="30"/>
    </row>
    <row r="292" spans="5:22">
      <c r="E292" s="30" t="str">
        <v>kanan</v>
      </c>
      <c r="F292" s="30"/>
      <c r="G292" s="30"/>
      <c r="J292" s="30" t="str">
        <v>tengah</v>
      </c>
      <c r="K292" s="30"/>
      <c r="L292" s="30"/>
      <c r="O292" s="30" t="str">
        <v>tengah</v>
      </c>
      <c r="P292" s="30"/>
      <c r="Q292" s="30"/>
      <c r="T292" s="30" t="str">
        <v>kanan</v>
      </c>
      <c r="U292" s="30"/>
      <c r="V292" s="30"/>
    </row>
    <row r="293" spans="5:22">
      <c r="E293" s="30" t="str">
        <v>kanan</v>
      </c>
      <c r="F293" s="30"/>
      <c r="G293" s="30"/>
      <c r="J293" s="30" t="str">
        <v>kanan</v>
      </c>
      <c r="K293" s="30"/>
      <c r="L293" s="30"/>
      <c r="O293" s="30" t="str">
        <v>kanan</v>
      </c>
      <c r="P293" s="30"/>
      <c r="Q293" s="30"/>
      <c r="T293" s="30" t="str">
        <v>kanan</v>
      </c>
      <c r="U293" s="30"/>
      <c r="V293" s="30"/>
    </row>
    <row r="294" spans="5:22">
      <c r="E294" s="30" t="str">
        <v>kanan</v>
      </c>
      <c r="F294" s="30"/>
      <c r="G294" s="30"/>
      <c r="J294" s="30" t="str">
        <v>tengah</v>
      </c>
      <c r="K294" s="30"/>
      <c r="L294" s="30"/>
      <c r="O294" s="30" t="str">
        <v>tengah</v>
      </c>
      <c r="P294" s="30"/>
      <c r="Q294" s="30"/>
      <c r="T294" s="30" t="str">
        <v>kanan</v>
      </c>
      <c r="U294" s="30"/>
      <c r="V294" s="30"/>
    </row>
    <row r="295" spans="5:22">
      <c r="E295" s="30" t="str">
        <v>tengah</v>
      </c>
      <c r="F295" s="30"/>
      <c r="G295" s="30"/>
      <c r="J295" s="30" t="str">
        <v>tengah</v>
      </c>
      <c r="K295" s="30"/>
      <c r="L295" s="30"/>
      <c r="O295" s="30" t="str">
        <v>kiri</v>
      </c>
      <c r="P295" s="30"/>
      <c r="Q295" s="30"/>
      <c r="T295" s="30" t="str">
        <v>kanan</v>
      </c>
      <c r="U295" s="30"/>
      <c r="V295" s="30"/>
    </row>
    <row r="296" spans="5:22">
      <c r="E296" s="30" t="str">
        <v>tengah</v>
      </c>
      <c r="F296" s="30"/>
      <c r="G296" s="30"/>
      <c r="J296" s="30" t="str">
        <v>tengah</v>
      </c>
      <c r="K296" s="30"/>
      <c r="L296" s="30"/>
      <c r="O296" s="30" t="str">
        <v>kanan</v>
      </c>
      <c r="P296" s="30"/>
      <c r="Q296" s="30"/>
      <c r="T296" s="30" t="str">
        <v>tengah</v>
      </c>
      <c r="U296" s="30"/>
      <c r="V296" s="30"/>
    </row>
    <row r="297" spans="5:22">
      <c r="E297" s="30" t="str">
        <v>tengah</v>
      </c>
      <c r="F297" s="30"/>
      <c r="G297" s="30"/>
      <c r="J297" s="30" t="str">
        <v>tengah</v>
      </c>
      <c r="K297" s="30"/>
      <c r="L297" s="30"/>
      <c r="O297" s="30" t="str">
        <v>kiri</v>
      </c>
      <c r="P297" s="30"/>
      <c r="Q297" s="30"/>
      <c r="T297" s="30" t="str">
        <v>kanan</v>
      </c>
      <c r="U297" s="30"/>
      <c r="V297" s="30"/>
    </row>
    <row r="298" spans="5:22">
      <c r="E298" s="30" t="str">
        <v>tengah</v>
      </c>
      <c r="F298" s="30"/>
      <c r="G298" s="30"/>
      <c r="J298" s="30" t="str">
        <v>kanan</v>
      </c>
      <c r="K298" s="30"/>
      <c r="L298" s="30"/>
      <c r="O298" s="30" t="str">
        <v>kanan</v>
      </c>
      <c r="P298" s="30"/>
      <c r="Q298" s="30"/>
      <c r="T298" s="30" t="str">
        <v>tengah</v>
      </c>
      <c r="U298" s="30"/>
      <c r="V298" s="30"/>
    </row>
    <row r="299" spans="5:22">
      <c r="E299" s="30" t="str">
        <v>tengah</v>
      </c>
      <c r="F299" s="30"/>
      <c r="G299" s="30"/>
      <c r="J299" s="30" t="str">
        <v>tengah</v>
      </c>
      <c r="K299" s="30"/>
      <c r="L299" s="30"/>
      <c r="O299" s="30" t="str">
        <v>kanan</v>
      </c>
      <c r="P299" s="30"/>
      <c r="Q299" s="30"/>
      <c r="T299" s="30" t="str">
        <v>kanan</v>
      </c>
      <c r="U299" s="30"/>
      <c r="V299" s="30"/>
    </row>
    <row r="300" spans="5:22">
      <c r="E300" s="30" t="str">
        <v>tengah</v>
      </c>
      <c r="F300" s="30"/>
      <c r="G300" s="30"/>
      <c r="J300" s="30" t="str">
        <v>tengah</v>
      </c>
      <c r="K300" s="30"/>
      <c r="L300" s="30"/>
      <c r="O300" s="30" t="str">
        <v>kiri</v>
      </c>
      <c r="P300" s="30"/>
      <c r="Q300" s="30"/>
      <c r="T300" s="30" t="str">
        <v>kanan</v>
      </c>
      <c r="U300" s="30"/>
      <c r="V300" s="30"/>
    </row>
    <row r="301" spans="5:22">
      <c r="E301" s="30" t="str">
        <v>kiri</v>
      </c>
      <c r="F301" s="30"/>
      <c r="G301" s="30"/>
      <c r="J301" s="30" t="str">
        <v>kanan</v>
      </c>
      <c r="K301" s="30"/>
      <c r="L301" s="30"/>
      <c r="O301" s="30" t="str">
        <v>tengah</v>
      </c>
      <c r="P301" s="30"/>
      <c r="Q301" s="30"/>
      <c r="T301" s="30" t="str">
        <v>kanan</v>
      </c>
      <c r="U301" s="30"/>
      <c r="V301" s="30"/>
    </row>
    <row r="302" spans="5:22">
      <c r="E302" s="30" t="str">
        <v>tengah</v>
      </c>
      <c r="F302" s="30"/>
      <c r="G302" s="30"/>
      <c r="J302" s="30" t="str">
        <v>tengah</v>
      </c>
      <c r="K302" s="30"/>
      <c r="L302" s="30"/>
      <c r="O302" s="30" t="str">
        <v>kiri</v>
      </c>
      <c r="P302" s="30"/>
      <c r="Q302" s="30"/>
      <c r="T302" s="30" t="str">
        <v>kanan</v>
      </c>
      <c r="U302" s="30"/>
      <c r="V302" s="30"/>
    </row>
    <row r="303" spans="5:22">
      <c r="E303" s="30" t="str">
        <v>tengah</v>
      </c>
      <c r="F303" s="30"/>
      <c r="G303" s="30"/>
      <c r="J303" s="30" t="str">
        <v>tengah</v>
      </c>
      <c r="K303" s="30"/>
      <c r="L303" s="30"/>
      <c r="O303" s="30" t="str">
        <v>tengah</v>
      </c>
      <c r="P303" s="30"/>
      <c r="Q303" s="30"/>
      <c r="T303" s="30" t="str">
        <v>kanan</v>
      </c>
      <c r="U303" s="30"/>
      <c r="V303" s="30"/>
    </row>
    <row r="304" spans="5:22">
      <c r="E304" s="30" t="str">
        <v>tengah</v>
      </c>
      <c r="F304" s="30"/>
      <c r="G304" s="30"/>
      <c r="J304" s="30" t="str">
        <v>tengah</v>
      </c>
      <c r="K304" s="30"/>
      <c r="L304" s="30"/>
      <c r="O304" s="30" t="str">
        <v>tengah</v>
      </c>
      <c r="P304" s="30"/>
      <c r="Q304" s="30"/>
      <c r="T304" s="30" t="str">
        <v>kanan</v>
      </c>
      <c r="U304" s="30"/>
      <c r="V304" s="30"/>
    </row>
    <row r="305" spans="5:22">
      <c r="E305" s="30" t="str">
        <v>tengah</v>
      </c>
      <c r="F305" s="30"/>
      <c r="G305" s="30"/>
      <c r="J305" s="30" t="str">
        <v>kanan</v>
      </c>
      <c r="K305" s="30"/>
      <c r="L305" s="30"/>
      <c r="O305" s="30" t="str">
        <v>kiri</v>
      </c>
      <c r="P305" s="30"/>
      <c r="Q305" s="30"/>
      <c r="T305" s="30" t="str">
        <v>tengah</v>
      </c>
      <c r="U305" s="30"/>
      <c r="V305" s="30"/>
    </row>
    <row r="306" spans="5:22">
      <c r="E306" s="30" t="str">
        <v>kanan</v>
      </c>
      <c r="F306" s="30"/>
      <c r="G306" s="30"/>
      <c r="J306" s="30" t="str">
        <v>tengah</v>
      </c>
      <c r="K306" s="30"/>
      <c r="L306" s="30"/>
      <c r="O306" s="30" t="str">
        <v>tengah</v>
      </c>
      <c r="P306" s="30"/>
      <c r="Q306" s="30"/>
      <c r="T306" s="30" t="str">
        <v>tengah</v>
      </c>
      <c r="U306" s="30"/>
      <c r="V306" s="30"/>
    </row>
    <row r="307" spans="5:22">
      <c r="E307" s="30" t="str">
        <v>kanan</v>
      </c>
      <c r="F307" s="30"/>
      <c r="G307" s="30"/>
      <c r="J307" s="30" t="str">
        <v>tengah</v>
      </c>
      <c r="K307" s="30"/>
      <c r="L307" s="30"/>
      <c r="O307" s="30" t="str">
        <v>tengah</v>
      </c>
      <c r="P307" s="30"/>
      <c r="Q307" s="30"/>
      <c r="T307" s="30" t="str">
        <v>kanan</v>
      </c>
      <c r="U307" s="30"/>
      <c r="V307" s="30"/>
    </row>
    <row r="308" spans="5:22">
      <c r="E308" s="30" t="str">
        <v>tengah</v>
      </c>
      <c r="F308" s="30"/>
      <c r="G308" s="30"/>
      <c r="J308" s="30" t="str">
        <v>tengah</v>
      </c>
      <c r="K308" s="30"/>
      <c r="L308" s="30"/>
      <c r="O308" s="30" t="str">
        <v>kiri</v>
      </c>
      <c r="P308" s="30"/>
      <c r="Q308" s="30"/>
      <c r="T308" s="30" t="str">
        <v>tengah</v>
      </c>
      <c r="U308" s="30"/>
      <c r="V308" s="30"/>
    </row>
    <row r="309" spans="5:22">
      <c r="E309" s="30" t="str">
        <v>kanan</v>
      </c>
      <c r="F309" s="30"/>
      <c r="G309" s="30"/>
      <c r="J309" s="30" t="str">
        <v>tengah</v>
      </c>
      <c r="K309" s="30"/>
      <c r="L309" s="30"/>
      <c r="O309" s="30" t="str">
        <v>tengah</v>
      </c>
      <c r="P309" s="30"/>
      <c r="Q309" s="30"/>
      <c r="T309" s="30" t="str">
        <v>tengah</v>
      </c>
      <c r="U309" s="30"/>
      <c r="V309" s="30"/>
    </row>
    <row r="310" spans="5:22">
      <c r="E310" s="30" t="str">
        <v>tengah</v>
      </c>
      <c r="F310" s="30"/>
      <c r="G310" s="30"/>
      <c r="J310" s="30" t="str">
        <v>kiri</v>
      </c>
      <c r="K310" s="30"/>
      <c r="L310" s="30"/>
      <c r="O310" s="30" t="str">
        <v>tengah</v>
      </c>
      <c r="P310" s="30"/>
      <c r="Q310" s="30"/>
      <c r="T310" s="30" t="str">
        <v>kanan</v>
      </c>
      <c r="U310" s="30"/>
      <c r="V310" s="30"/>
    </row>
    <row r="311" spans="5:22">
      <c r="E311" s="30" t="str">
        <v>tengah</v>
      </c>
      <c r="F311" s="30"/>
      <c r="G311" s="30"/>
      <c r="J311" s="30" t="str">
        <v>tengah</v>
      </c>
      <c r="K311" s="30"/>
      <c r="L311" s="30"/>
      <c r="O311" s="30" t="str">
        <v>kanan</v>
      </c>
      <c r="P311" s="30"/>
      <c r="Q311" s="30"/>
      <c r="T311" s="30" t="str">
        <v>kanan</v>
      </c>
      <c r="U311" s="30"/>
      <c r="V311" s="30"/>
    </row>
    <row r="312" spans="5:22">
      <c r="E312" s="30" t="str">
        <v>kanan</v>
      </c>
      <c r="F312" s="30"/>
      <c r="G312" s="30"/>
      <c r="J312" s="30" t="str">
        <v>tengah</v>
      </c>
      <c r="K312" s="30"/>
      <c r="L312" s="30"/>
      <c r="O312" s="30" t="str">
        <v>kiri</v>
      </c>
      <c r="P312" s="30"/>
      <c r="Q312" s="30"/>
      <c r="T312" s="30" t="str">
        <v>tengah</v>
      </c>
      <c r="U312" s="30"/>
      <c r="V312" s="30"/>
    </row>
    <row r="313" spans="5:22">
      <c r="E313" s="30" t="str">
        <v>tengah</v>
      </c>
      <c r="F313" s="30"/>
      <c r="G313" s="30"/>
      <c r="J313" s="30" t="str">
        <v>tengah</v>
      </c>
      <c r="K313" s="30"/>
      <c r="L313" s="30"/>
      <c r="O313" s="30" t="str">
        <v>kiri</v>
      </c>
      <c r="P313" s="30"/>
      <c r="Q313" s="30"/>
      <c r="T313" s="30" t="str">
        <v>kanan</v>
      </c>
      <c r="U313" s="30"/>
      <c r="V313" s="30"/>
    </row>
    <row r="314" spans="5:22">
      <c r="E314" s="30" t="str">
        <v>tengah</v>
      </c>
      <c r="F314" s="30"/>
      <c r="G314" s="30"/>
      <c r="J314" s="30" t="str">
        <v>tengah</v>
      </c>
      <c r="K314" s="30"/>
      <c r="L314" s="30"/>
      <c r="O314" s="30" t="str">
        <v>kanan</v>
      </c>
      <c r="P314" s="30"/>
      <c r="Q314" s="30"/>
      <c r="T314" s="30" t="str">
        <v>kanan</v>
      </c>
      <c r="U314" s="30"/>
      <c r="V314" s="30"/>
    </row>
    <row r="315" spans="5:22">
      <c r="E315" s="30" t="str">
        <v>tengah</v>
      </c>
      <c r="F315" s="30"/>
      <c r="G315" s="30"/>
      <c r="J315" s="30" t="str">
        <v>tengah</v>
      </c>
      <c r="K315" s="30"/>
      <c r="L315" s="30"/>
      <c r="O315" s="30" t="str">
        <v>kiri</v>
      </c>
      <c r="P315" s="30"/>
      <c r="Q315" s="30"/>
      <c r="T315" s="30" t="str">
        <v>tengah</v>
      </c>
      <c r="U315" s="30"/>
      <c r="V315" s="30"/>
    </row>
    <row r="316" spans="5:22">
      <c r="E316" s="30" t="str">
        <v>kiri</v>
      </c>
      <c r="F316" s="30"/>
      <c r="G316" s="30"/>
      <c r="J316" s="30" t="str">
        <v>tengah</v>
      </c>
      <c r="K316" s="30"/>
      <c r="L316" s="30"/>
      <c r="O316" s="30" t="str">
        <v>kiri</v>
      </c>
      <c r="P316" s="30"/>
      <c r="Q316" s="30"/>
      <c r="T316" s="30" t="str">
        <v>tengah</v>
      </c>
      <c r="U316" s="30"/>
      <c r="V316" s="30"/>
    </row>
    <row r="317" spans="5:22">
      <c r="E317" s="30" t="str">
        <v>kiri</v>
      </c>
      <c r="F317" s="30"/>
      <c r="G317" s="30"/>
      <c r="J317" s="30" t="str">
        <v>tengah</v>
      </c>
      <c r="K317" s="30"/>
      <c r="L317" s="30"/>
      <c r="O317" s="30" t="str">
        <v>kiri</v>
      </c>
      <c r="P317" s="30"/>
      <c r="Q317" s="30"/>
      <c r="T317" s="30" t="str">
        <v>tengah</v>
      </c>
      <c r="U317" s="30"/>
      <c r="V317" s="30"/>
    </row>
    <row r="318" spans="5:22">
      <c r="E318" s="30" t="str">
        <v>kiri</v>
      </c>
      <c r="F318" s="30"/>
      <c r="G318" s="30"/>
      <c r="J318" s="30" t="str">
        <v>tengah</v>
      </c>
      <c r="K318" s="30"/>
      <c r="L318" s="30"/>
      <c r="O318" s="30" t="str">
        <v>kiri</v>
      </c>
      <c r="P318" s="30"/>
      <c r="Q318" s="30"/>
      <c r="T318" s="30" t="str">
        <v>tengah</v>
      </c>
      <c r="U318" s="30"/>
      <c r="V318" s="30"/>
    </row>
    <row r="319" spans="5:22">
      <c r="E319" s="30" t="str">
        <v>tengah</v>
      </c>
      <c r="F319" s="30"/>
      <c r="G319" s="30"/>
      <c r="J319" s="30" t="str">
        <v>kiri</v>
      </c>
      <c r="K319" s="30"/>
      <c r="L319" s="30"/>
      <c r="O319" s="30" t="str">
        <v>kanan</v>
      </c>
      <c r="P319" s="30"/>
      <c r="Q319" s="30"/>
      <c r="T319" s="30" t="str">
        <v>tengah</v>
      </c>
      <c r="U319" s="30"/>
      <c r="V319" s="30"/>
    </row>
    <row r="320" spans="5:22">
      <c r="E320" s="30" t="str">
        <v>tengah</v>
      </c>
      <c r="F320" s="30"/>
      <c r="G320" s="30"/>
      <c r="J320" s="30" t="str">
        <v>kanan</v>
      </c>
      <c r="K320" s="30"/>
      <c r="L320" s="30"/>
      <c r="O320" s="30" t="str">
        <v>tengah</v>
      </c>
      <c r="P320" s="30"/>
      <c r="Q320" s="30"/>
      <c r="T320" s="30" t="str">
        <v>kanan</v>
      </c>
      <c r="U320" s="30"/>
      <c r="V320" s="30"/>
    </row>
    <row r="321" spans="5:22">
      <c r="E321" s="30" t="str">
        <v>kanan</v>
      </c>
      <c r="F321" s="30"/>
      <c r="G321" s="30"/>
      <c r="J321" s="30" t="str">
        <v>tengah</v>
      </c>
      <c r="K321" s="30"/>
      <c r="L321" s="30"/>
      <c r="O321" s="30" t="str">
        <v>tengah</v>
      </c>
      <c r="P321" s="30"/>
      <c r="Q321" s="30"/>
      <c r="T321" s="30" t="str">
        <v>tengah</v>
      </c>
      <c r="U321" s="30"/>
      <c r="V321" s="30"/>
    </row>
    <row r="322" spans="5:22">
      <c r="E322" s="30" t="str">
        <v>tengah</v>
      </c>
      <c r="F322" s="30"/>
      <c r="G322" s="30"/>
      <c r="J322" s="30" t="str">
        <v>kanan</v>
      </c>
      <c r="K322" s="30"/>
      <c r="L322" s="30"/>
      <c r="O322" s="30" t="str">
        <v>tengah</v>
      </c>
      <c r="P322" s="30"/>
      <c r="Q322" s="30"/>
      <c r="T322" s="30" t="str">
        <v>kanan</v>
      </c>
      <c r="U322" s="30"/>
      <c r="V322" s="30"/>
    </row>
    <row r="323" spans="5:22">
      <c r="E323" s="30" t="str">
        <v>tengah</v>
      </c>
      <c r="F323" s="30"/>
      <c r="G323" s="30"/>
      <c r="J323" s="30" t="str">
        <v>tengah</v>
      </c>
      <c r="K323" s="30"/>
      <c r="L323" s="30"/>
      <c r="O323" s="30" t="str">
        <v>kiri</v>
      </c>
      <c r="P323" s="30"/>
      <c r="Q323" s="30"/>
      <c r="T323" s="30" t="str">
        <v>kanan</v>
      </c>
      <c r="U323" s="30"/>
      <c r="V323" s="30"/>
    </row>
    <row r="324" spans="5:22">
      <c r="E324" s="30" t="str">
        <v>kanan</v>
      </c>
      <c r="F324" s="30"/>
      <c r="G324" s="30"/>
      <c r="J324" s="30" t="str">
        <v>kiri</v>
      </c>
      <c r="K324" s="30"/>
      <c r="L324" s="30"/>
      <c r="O324" s="30" t="str">
        <v>kiri</v>
      </c>
      <c r="P324" s="30"/>
      <c r="Q324" s="30"/>
      <c r="T324" s="30" t="str">
        <v>tengah</v>
      </c>
      <c r="U324" s="30"/>
      <c r="V324" s="30"/>
    </row>
    <row r="325" spans="5:22">
      <c r="E325" s="30" t="str">
        <v>tengah</v>
      </c>
      <c r="F325" s="30"/>
      <c r="G325" s="30"/>
      <c r="J325" s="30" t="str">
        <v>tengah</v>
      </c>
      <c r="K325" s="30"/>
      <c r="L325" s="30"/>
      <c r="O325" s="30" t="str">
        <v>kanan</v>
      </c>
      <c r="P325" s="30"/>
      <c r="Q325" s="30"/>
      <c r="T325" s="30" t="str">
        <v>kanan</v>
      </c>
      <c r="U325" s="30"/>
      <c r="V325" s="30"/>
    </row>
    <row r="326" spans="5:22">
      <c r="E326" s="30" t="str">
        <v>kanan</v>
      </c>
      <c r="F326" s="30"/>
      <c r="G326" s="30"/>
      <c r="J326" s="30" t="str">
        <v>tengah</v>
      </c>
      <c r="K326" s="30"/>
      <c r="L326" s="30"/>
      <c r="O326" s="30" t="str">
        <v>tengah</v>
      </c>
      <c r="P326" s="30"/>
      <c r="Q326" s="30"/>
      <c r="T326" s="30" t="str">
        <v>tengah</v>
      </c>
      <c r="U326" s="30"/>
      <c r="V326" s="30"/>
    </row>
    <row r="327" spans="5:22">
      <c r="E327" s="30" t="str">
        <v>kanan</v>
      </c>
      <c r="F327" s="30"/>
      <c r="G327" s="30"/>
      <c r="J327" s="30" t="str">
        <v>tengah</v>
      </c>
      <c r="K327" s="30"/>
      <c r="L327" s="30"/>
      <c r="O327" s="30" t="str">
        <v>tengah</v>
      </c>
      <c r="P327" s="30"/>
      <c r="Q327" s="30"/>
      <c r="T327" s="30" t="str">
        <v>kanan</v>
      </c>
      <c r="U327" s="30"/>
      <c r="V327" s="30"/>
    </row>
    <row r="328" spans="5:22">
      <c r="E328" s="30" t="str">
        <v>tengah</v>
      </c>
      <c r="F328" s="30"/>
      <c r="G328" s="30"/>
      <c r="J328" s="30" t="str">
        <v>tengah</v>
      </c>
      <c r="K328" s="30"/>
      <c r="L328" s="30"/>
      <c r="O328" s="30" t="str">
        <v>kanan</v>
      </c>
      <c r="P328" s="30"/>
      <c r="Q328" s="30"/>
      <c r="T328" s="30" t="str">
        <v>kanan</v>
      </c>
      <c r="U328" s="30"/>
      <c r="V328" s="30"/>
    </row>
    <row r="329" spans="5:22">
      <c r="E329" s="30" t="str">
        <v>tengah</v>
      </c>
      <c r="F329" s="30"/>
      <c r="G329" s="30"/>
      <c r="J329" s="30" t="str">
        <v>tengah</v>
      </c>
      <c r="K329" s="30"/>
      <c r="L329" s="30"/>
      <c r="O329" s="30" t="str">
        <v>tengah</v>
      </c>
      <c r="P329" s="30"/>
      <c r="Q329" s="30"/>
      <c r="T329" s="30" t="str">
        <v>kanan</v>
      </c>
      <c r="U329" s="30"/>
      <c r="V329" s="30"/>
    </row>
    <row r="330" spans="5:22">
      <c r="E330" s="30" t="str">
        <v>tengah</v>
      </c>
      <c r="F330" s="30"/>
      <c r="G330" s="30"/>
      <c r="J330" s="30" t="str">
        <v>tengah</v>
      </c>
      <c r="K330" s="30"/>
      <c r="L330" s="30"/>
      <c r="O330" s="30" t="str">
        <v>kiri</v>
      </c>
      <c r="P330" s="30"/>
      <c r="Q330" s="30"/>
      <c r="T330" s="30" t="str">
        <v>kanan</v>
      </c>
      <c r="U330" s="30"/>
      <c r="V330" s="30"/>
    </row>
    <row r="331" spans="5:22">
      <c r="E331" s="30" t="str">
        <v>kanan</v>
      </c>
      <c r="F331" s="30"/>
      <c r="G331" s="30"/>
      <c r="J331" s="30" t="str">
        <v>tengah</v>
      </c>
      <c r="K331" s="30"/>
      <c r="L331" s="30"/>
      <c r="O331" s="30" t="str">
        <v>tengah</v>
      </c>
      <c r="P331" s="30"/>
      <c r="Q331" s="30"/>
      <c r="T331" s="30" t="str">
        <v>kanan</v>
      </c>
      <c r="U331" s="30"/>
      <c r="V331" s="30"/>
    </row>
    <row r="332" spans="5:22">
      <c r="E332" s="30" t="str">
        <v>tengah</v>
      </c>
      <c r="F332" s="30"/>
      <c r="G332" s="30"/>
      <c r="J332" s="30" t="str">
        <v>kanan</v>
      </c>
      <c r="K332" s="30"/>
      <c r="L332" s="30"/>
      <c r="O332" s="30" t="str">
        <v>kiri</v>
      </c>
      <c r="P332" s="30"/>
      <c r="Q332" s="30"/>
      <c r="T332" s="30" t="str">
        <v>kanan</v>
      </c>
      <c r="U332" s="30"/>
      <c r="V332" s="30"/>
    </row>
  </sheetData>
  <pageMargins left="0.7" right="0.7" top="0.75" bottom="0.75" header="0.3" footer="0.3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32"/>
  <sheetViews>
    <sheetView zoomScale="98" zoomScaleNormal="98" topLeftCell="N154" workbookViewId="0">
      <selection activeCell="O159" sqref="O159"/>
    </sheetView>
  </sheetViews>
  <sheetFormatPr defaultColWidth="9" defaultRowHeight="15"/>
  <cols>
    <col min="2" max="2" width="15.8518518518519" customWidth="1"/>
    <col min="3" max="3" width="16.7111111111111" customWidth="1"/>
    <col min="4" max="4" width="13.8518518518519" customWidth="1"/>
    <col min="6" max="6" width="14.4222222222222" customWidth="1"/>
    <col min="8" max="8" width="14.2814814814815" customWidth="1"/>
    <col min="9" max="9" width="13.2814814814815" customWidth="1"/>
    <col min="10" max="10" width="13.8518518518519" customWidth="1"/>
    <col min="13" max="13" width="14.4222222222222" customWidth="1"/>
    <col min="15" max="15" width="25.2814814814815" customWidth="1"/>
    <col min="16" max="16" width="12.8518518518519" customWidth="1"/>
    <col min="17" max="17" width="11.7111111111111" customWidth="1"/>
    <col min="20" max="20" width="14.4222222222222" customWidth="1"/>
  </cols>
  <sheetData>
    <row r="1" spans="1:17">
      <c r="A1" s="29" t="s">
        <v>175</v>
      </c>
      <c r="B1" s="29" t="s">
        <v>1</v>
      </c>
      <c r="C1" s="29" t="s">
        <v>2</v>
      </c>
      <c r="D1" s="29" t="s">
        <v>171</v>
      </c>
      <c r="E1" s="29" t="s">
        <v>4</v>
      </c>
      <c r="F1" s="29" t="s">
        <v>6</v>
      </c>
      <c r="H1" s="31" t="s">
        <v>175</v>
      </c>
      <c r="I1" s="31" t="s">
        <v>1</v>
      </c>
      <c r="J1" s="31" t="s">
        <v>2</v>
      </c>
      <c r="K1" s="31" t="s">
        <v>171</v>
      </c>
      <c r="L1" s="31" t="s">
        <v>4</v>
      </c>
      <c r="M1" s="31" t="s">
        <v>6</v>
      </c>
      <c r="O1" s="29" t="s">
        <v>176</v>
      </c>
      <c r="P1" s="32"/>
      <c r="Q1" s="32"/>
    </row>
    <row r="2" spans="1:17">
      <c r="A2" s="30">
        <f ca="1">RANDBETWEEN(2,164)</f>
        <v>114</v>
      </c>
      <c r="B2" s="30">
        <f ca="1" t="array" ref="B2">INDEX(Data_DBD!$B:$B,$A2)</f>
        <v>14</v>
      </c>
      <c r="C2" s="30">
        <f ca="1" t="array" ref="C2">INDEX(Data_DBD!$C:$C,$A2)</f>
        <v>2</v>
      </c>
      <c r="D2" s="30">
        <f ca="1" t="array" ref="D2">INDEX(Data_DBD!$D:$D,$A2)</f>
        <v>33</v>
      </c>
      <c r="E2" s="30">
        <f ca="1" t="array" ref="E2">INDEX(Data_DBD!$E:$E,$A2)</f>
        <v>1</v>
      </c>
      <c r="F2" s="30">
        <f ca="1" t="array" ref="F2">INDEX(Data_DBD!$F:$F,$A2)</f>
        <v>3</v>
      </c>
      <c r="H2" s="30">
        <v>30</v>
      </c>
      <c r="I2" s="30" t="s">
        <v>36</v>
      </c>
      <c r="J2" s="30">
        <v>2</v>
      </c>
      <c r="K2" s="30">
        <v>14</v>
      </c>
      <c r="L2" s="30">
        <v>1</v>
      </c>
      <c r="M2" s="30">
        <v>2</v>
      </c>
      <c r="O2" s="33">
        <v>1</v>
      </c>
      <c r="P2" s="32">
        <f>COUNTIF(M2:M164,"1")</f>
        <v>14</v>
      </c>
      <c r="Q2" s="32">
        <f>P2/163</f>
        <v>0.0858895705521472</v>
      </c>
    </row>
    <row r="3" spans="1:17">
      <c r="A3" s="30">
        <f ca="1" t="shared" ref="A3:A66" si="0">RANDBETWEEN(2,164)</f>
        <v>152</v>
      </c>
      <c r="B3" s="30">
        <f ca="1" t="array" ref="B3">INDEX(Data_DBD!$B:$B,$A3)</f>
        <v>47</v>
      </c>
      <c r="C3" s="30">
        <f ca="1" t="array" ref="C3">INDEX(Data_DBD!$C:$C,$A3)</f>
        <v>3</v>
      </c>
      <c r="D3" s="30">
        <f ca="1" t="array" ref="D3">INDEX(Data_DBD!$D:$D,$A3)</f>
        <v>21</v>
      </c>
      <c r="E3" s="30">
        <f ca="1" t="array" ref="E3">INDEX(Data_DBD!$E:$E,$A3)</f>
        <v>1</v>
      </c>
      <c r="F3" s="30">
        <f ca="1" t="array" ref="F3">INDEX(Data_DBD!$F:$F,$A3)</f>
        <v>3</v>
      </c>
      <c r="H3" s="30">
        <v>150</v>
      </c>
      <c r="I3" s="30">
        <v>61</v>
      </c>
      <c r="J3" s="30">
        <v>5</v>
      </c>
      <c r="K3" s="30">
        <v>21</v>
      </c>
      <c r="L3" s="30">
        <v>1</v>
      </c>
      <c r="M3" s="30">
        <v>3</v>
      </c>
      <c r="O3" s="32">
        <v>2</v>
      </c>
      <c r="P3" s="32">
        <f>COUNTIF(M2:M164,"2")</f>
        <v>84</v>
      </c>
      <c r="Q3" s="32">
        <f>P3/163</f>
        <v>0.515337423312883</v>
      </c>
    </row>
    <row r="4" spans="1:17">
      <c r="A4" s="30">
        <f ca="1" t="shared" si="0"/>
        <v>54</v>
      </c>
      <c r="B4" s="30">
        <f ca="1" t="array" ref="B4">INDEX(Data_DBD!$B:$B,$A4)</f>
        <v>7</v>
      </c>
      <c r="C4" s="30">
        <f ca="1" t="array" ref="C4">INDEX(Data_DBD!$C:$C,$A4)</f>
        <v>3</v>
      </c>
      <c r="D4" s="30">
        <f ca="1" t="array" ref="D4">INDEX(Data_DBD!$D:$D,$A4)</f>
        <v>15</v>
      </c>
      <c r="E4" s="30">
        <f ca="1" t="array" ref="E4">INDEX(Data_DBD!$E:$E,$A4)</f>
        <v>0</v>
      </c>
      <c r="F4" s="30">
        <f ca="1" t="array" ref="F4">INDEX(Data_DBD!$F:$F,$A4)</f>
        <v>2</v>
      </c>
      <c r="H4" s="30">
        <v>61</v>
      </c>
      <c r="I4" s="30">
        <v>29</v>
      </c>
      <c r="J4" s="30">
        <v>3</v>
      </c>
      <c r="K4" s="30">
        <v>15</v>
      </c>
      <c r="L4" s="30">
        <v>1</v>
      </c>
      <c r="M4" s="30">
        <v>2</v>
      </c>
      <c r="O4" s="32">
        <v>3</v>
      </c>
      <c r="P4" s="32">
        <f>COUNTIF(M2:M164,"3")</f>
        <v>65</v>
      </c>
      <c r="Q4" s="32">
        <f>P4/163</f>
        <v>0.398773006134969</v>
      </c>
    </row>
    <row r="5" spans="1:16">
      <c r="A5" s="30">
        <f ca="1" t="shared" si="0"/>
        <v>43</v>
      </c>
      <c r="B5" s="30">
        <f ca="1" t="array" ref="B5">INDEX(Data_DBD!$B:$B,$A5)</f>
        <v>15</v>
      </c>
      <c r="C5" s="30">
        <f ca="1" t="array" ref="C5">INDEX(Data_DBD!$C:$C,$A5)</f>
        <v>4</v>
      </c>
      <c r="D5" s="30">
        <f ca="1" t="array" ref="D5">INDEX(Data_DBD!$D:$D,$A5)</f>
        <v>13</v>
      </c>
      <c r="E5" s="30">
        <f ca="1" t="array" ref="E5">INDEX(Data_DBD!$E:$E,$A5)</f>
        <v>0</v>
      </c>
      <c r="F5" s="30">
        <f ca="1" t="array" ref="F5">INDEX(Data_DBD!$F:$F,$A5)</f>
        <v>2</v>
      </c>
      <c r="H5" s="30">
        <v>80</v>
      </c>
      <c r="I5" s="30">
        <v>27</v>
      </c>
      <c r="J5" s="30">
        <v>3</v>
      </c>
      <c r="K5" s="30">
        <v>13</v>
      </c>
      <c r="L5" s="30">
        <v>1</v>
      </c>
      <c r="M5" s="30">
        <v>2</v>
      </c>
      <c r="O5" s="34" t="s">
        <v>181</v>
      </c>
      <c r="P5">
        <f>-(IFERROR(Q2*LOG(Q2,2),0)+IFERROR(Q3*LOG(Q3,2),0)+IFERROR(Q4*LOG(Q4,2),0))</f>
        <v>1.32595796853125</v>
      </c>
    </row>
    <row r="6" spans="1:13">
      <c r="A6" s="30">
        <f ca="1" t="shared" si="0"/>
        <v>18</v>
      </c>
      <c r="B6" s="30">
        <f ca="1" t="array" ref="B6">INDEX(Data_DBD!$B:$B,$A6)</f>
        <v>49</v>
      </c>
      <c r="C6" s="30">
        <f ca="1" t="array" ref="C6">INDEX(Data_DBD!$C:$C,$A6)</f>
        <v>4</v>
      </c>
      <c r="D6" s="30">
        <f ca="1" t="array" ref="D6">INDEX(Data_DBD!$D:$D,$A6)</f>
        <v>7</v>
      </c>
      <c r="E6" s="30">
        <f ca="1" t="array" ref="E6">INDEX(Data_DBD!$E:$E,$A6)</f>
        <v>1</v>
      </c>
      <c r="F6" s="30">
        <f ca="1" t="array" ref="F6">INDEX(Data_DBD!$F:$F,$A6)</f>
        <v>1</v>
      </c>
      <c r="H6" s="30">
        <v>128</v>
      </c>
      <c r="I6" s="30">
        <v>38</v>
      </c>
      <c r="J6" s="30">
        <v>2</v>
      </c>
      <c r="K6" s="30">
        <v>33</v>
      </c>
      <c r="L6" s="30">
        <v>0</v>
      </c>
      <c r="M6" s="30">
        <v>3</v>
      </c>
    </row>
    <row r="7" spans="1:13">
      <c r="A7" s="30">
        <f ca="1" t="shared" si="0"/>
        <v>45</v>
      </c>
      <c r="B7" s="30">
        <f ca="1" t="array" ref="B7">INDEX(Data_DBD!$B:$B,$A7)</f>
        <v>75</v>
      </c>
      <c r="C7" s="30">
        <f ca="1" t="array" ref="C7">INDEX(Data_DBD!$C:$C,$A7)</f>
        <v>3</v>
      </c>
      <c r="D7" s="30">
        <f ca="1" t="array" ref="D7">INDEX(Data_DBD!$D:$D,$A7)</f>
        <v>13</v>
      </c>
      <c r="E7" s="30">
        <f ca="1" t="array" ref="E7">INDEX(Data_DBD!$E:$E,$A7)</f>
        <v>1</v>
      </c>
      <c r="F7" s="30">
        <f ca="1" t="array" ref="F7">INDEX(Data_DBD!$F:$F,$A7)</f>
        <v>2</v>
      </c>
      <c r="H7" s="30">
        <v>109</v>
      </c>
      <c r="I7" s="30">
        <v>40</v>
      </c>
      <c r="J7" s="30">
        <v>3</v>
      </c>
      <c r="K7" s="30">
        <v>33</v>
      </c>
      <c r="L7" s="30">
        <v>1</v>
      </c>
      <c r="M7" s="30">
        <v>3</v>
      </c>
    </row>
    <row r="8" spans="1:13">
      <c r="A8" s="30">
        <f ca="1" t="shared" si="0"/>
        <v>53</v>
      </c>
      <c r="B8" s="30">
        <f ca="1" t="array" ref="B8">INDEX(Data_DBD!$B:$B,$A8)</f>
        <v>35</v>
      </c>
      <c r="C8" s="30">
        <f ca="1" t="array" ref="C8">INDEX(Data_DBD!$C:$C,$A8)</f>
        <v>4</v>
      </c>
      <c r="D8" s="30">
        <f ca="1" t="array" ref="D8">INDEX(Data_DBD!$D:$D,$A8)</f>
        <v>15</v>
      </c>
      <c r="E8" s="30">
        <f ca="1" t="array" ref="E8">INDEX(Data_DBD!$E:$E,$A8)</f>
        <v>1</v>
      </c>
      <c r="F8" s="30">
        <f ca="1" t="array" ref="F8">INDEX(Data_DBD!$F:$F,$A8)</f>
        <v>2</v>
      </c>
      <c r="H8" s="30">
        <v>128</v>
      </c>
      <c r="I8" s="30">
        <v>38</v>
      </c>
      <c r="J8" s="30">
        <v>2</v>
      </c>
      <c r="K8" s="30">
        <v>33</v>
      </c>
      <c r="L8" s="30">
        <v>0</v>
      </c>
      <c r="M8" s="30">
        <v>3</v>
      </c>
    </row>
    <row r="9" spans="1:13">
      <c r="A9" s="30">
        <f ca="1" t="shared" si="0"/>
        <v>39</v>
      </c>
      <c r="B9" s="30">
        <f ca="1" t="array" ref="B9">INDEX(Data_DBD!$B:$B,$A9)</f>
        <v>12</v>
      </c>
      <c r="C9" s="30">
        <f ca="1" t="array" ref="C9">INDEX(Data_DBD!$C:$C,$A9)</f>
        <v>5</v>
      </c>
      <c r="D9" s="30">
        <f ca="1" t="array" ref="D9">INDEX(Data_DBD!$D:$D,$A9)</f>
        <v>13</v>
      </c>
      <c r="E9" s="30">
        <f ca="1" t="array" ref="E9">INDEX(Data_DBD!$E:$E,$A9)</f>
        <v>1</v>
      </c>
      <c r="F9" s="30">
        <f ca="1" t="array" ref="F9">INDEX(Data_DBD!$F:$F,$A9)</f>
        <v>2</v>
      </c>
      <c r="H9" s="30">
        <v>57</v>
      </c>
      <c r="I9" s="30">
        <v>2</v>
      </c>
      <c r="J9" s="30">
        <v>2</v>
      </c>
      <c r="K9" s="30">
        <v>15</v>
      </c>
      <c r="L9" s="30">
        <v>1</v>
      </c>
      <c r="M9" s="30">
        <v>2</v>
      </c>
    </row>
    <row r="10" spans="1:13">
      <c r="A10" s="30">
        <f ca="1" t="shared" si="0"/>
        <v>53</v>
      </c>
      <c r="B10" s="30">
        <f ca="1" t="array" ref="B10">INDEX(Data_DBD!$B:$B,$A10)</f>
        <v>35</v>
      </c>
      <c r="C10" s="30">
        <f ca="1" t="array" ref="C10">INDEX(Data_DBD!$C:$C,$A10)</f>
        <v>4</v>
      </c>
      <c r="D10" s="30">
        <f ca="1" t="array" ref="D10">INDEX(Data_DBD!$D:$D,$A10)</f>
        <v>15</v>
      </c>
      <c r="E10" s="30">
        <f ca="1" t="array" ref="E10">INDEX(Data_DBD!$E:$E,$A10)</f>
        <v>1</v>
      </c>
      <c r="F10" s="30">
        <f ca="1" t="array" ref="F10">INDEX(Data_DBD!$F:$F,$A10)</f>
        <v>2</v>
      </c>
      <c r="H10" s="30">
        <v>16</v>
      </c>
      <c r="I10" s="30">
        <v>66</v>
      </c>
      <c r="J10" s="30">
        <v>5</v>
      </c>
      <c r="K10" s="30">
        <v>7</v>
      </c>
      <c r="L10" s="30">
        <v>1</v>
      </c>
      <c r="M10" s="30">
        <v>1</v>
      </c>
    </row>
    <row r="11" spans="1:13">
      <c r="A11" s="30">
        <f ca="1" t="shared" si="0"/>
        <v>35</v>
      </c>
      <c r="B11" s="30">
        <f ca="1" t="array" ref="B11">INDEX(Data_DBD!$B:$B,$A11)</f>
        <v>40</v>
      </c>
      <c r="C11" s="30">
        <f ca="1" t="array" ref="C11">INDEX(Data_DBD!$C:$C,$A11)</f>
        <v>3</v>
      </c>
      <c r="D11" s="30">
        <f ca="1" t="array" ref="D11">INDEX(Data_DBD!$D:$D,$A11)</f>
        <v>4</v>
      </c>
      <c r="E11" s="30">
        <f ca="1" t="array" ref="E11">INDEX(Data_DBD!$E:$E,$A11)</f>
        <v>1</v>
      </c>
      <c r="F11" s="30">
        <f ca="1" t="array" ref="F11">INDEX(Data_DBD!$F:$F,$A11)</f>
        <v>1</v>
      </c>
      <c r="H11" s="30">
        <v>136</v>
      </c>
      <c r="I11" s="30">
        <v>6</v>
      </c>
      <c r="J11" s="30">
        <v>2</v>
      </c>
      <c r="K11" s="30">
        <v>33</v>
      </c>
      <c r="L11" s="30">
        <v>0</v>
      </c>
      <c r="M11" s="30">
        <v>3</v>
      </c>
    </row>
    <row r="12" spans="1:13">
      <c r="A12" s="30">
        <f ca="1" t="shared" si="0"/>
        <v>107</v>
      </c>
      <c r="B12" s="30">
        <f ca="1" t="array" ref="B12">INDEX(Data_DBD!$B:$B,$A12)</f>
        <v>48</v>
      </c>
      <c r="C12" s="30">
        <f ca="1" t="array" ref="C12">INDEX(Data_DBD!$C:$C,$A12)</f>
        <v>5</v>
      </c>
      <c r="D12" s="30">
        <f ca="1" t="array" ref="D12">INDEX(Data_DBD!$D:$D,$A12)</f>
        <v>18</v>
      </c>
      <c r="E12" s="30">
        <f ca="1" t="array" ref="E12">INDEX(Data_DBD!$E:$E,$A12)</f>
        <v>0</v>
      </c>
      <c r="F12" s="30">
        <f ca="1" t="array" ref="F12">INDEX(Data_DBD!$F:$F,$A12)</f>
        <v>3</v>
      </c>
      <c r="H12" s="30">
        <v>8</v>
      </c>
      <c r="I12" s="30">
        <v>4</v>
      </c>
      <c r="J12" s="30">
        <v>2</v>
      </c>
      <c r="K12" s="30">
        <v>12</v>
      </c>
      <c r="L12" s="30">
        <v>0</v>
      </c>
      <c r="M12" s="30">
        <v>2</v>
      </c>
    </row>
    <row r="13" spans="1:13">
      <c r="A13" s="30">
        <f ca="1" t="shared" si="0"/>
        <v>88</v>
      </c>
      <c r="B13" s="30">
        <f ca="1" t="array" ref="B13">INDEX(Data_DBD!$B:$B,$A13)</f>
        <v>20</v>
      </c>
      <c r="C13" s="30">
        <f ca="1" t="array" ref="C13">INDEX(Data_DBD!$C:$C,$A13)</f>
        <v>4</v>
      </c>
      <c r="D13" s="30">
        <f ca="1" t="array" ref="D13">INDEX(Data_DBD!$D:$D,$A13)</f>
        <v>13</v>
      </c>
      <c r="E13" s="30">
        <f ca="1" t="array" ref="E13">INDEX(Data_DBD!$E:$E,$A13)</f>
        <v>1</v>
      </c>
      <c r="F13" s="30">
        <f ca="1" t="array" ref="F13">INDEX(Data_DBD!$F:$F,$A13)</f>
        <v>2</v>
      </c>
      <c r="H13" s="30">
        <v>50</v>
      </c>
      <c r="I13" s="30">
        <v>19</v>
      </c>
      <c r="J13" s="30">
        <v>5</v>
      </c>
      <c r="K13" s="30">
        <v>13</v>
      </c>
      <c r="L13" s="30">
        <v>0</v>
      </c>
      <c r="M13" s="30">
        <v>2</v>
      </c>
    </row>
    <row r="14" spans="1:13">
      <c r="A14" s="30">
        <f ca="1" t="shared" si="0"/>
        <v>25</v>
      </c>
      <c r="B14" s="30">
        <f ca="1" t="array" ref="B14">INDEX(Data_DBD!$B:$B,$A14)</f>
        <v>81</v>
      </c>
      <c r="C14" s="30">
        <f ca="1" t="array" ref="C14">INDEX(Data_DBD!$C:$C,$A14)</f>
        <v>5</v>
      </c>
      <c r="D14" s="30">
        <f ca="1" t="array" ref="D14">INDEX(Data_DBD!$D:$D,$A14)</f>
        <v>14</v>
      </c>
      <c r="E14" s="30">
        <f ca="1" t="array" ref="E14">INDEX(Data_DBD!$E:$E,$A14)</f>
        <v>0</v>
      </c>
      <c r="F14" s="30">
        <f ca="1" t="array" ref="F14">INDEX(Data_DBD!$F:$F,$A14)</f>
        <v>2</v>
      </c>
      <c r="H14" s="30">
        <v>73</v>
      </c>
      <c r="I14" s="30">
        <v>15</v>
      </c>
      <c r="J14" s="30">
        <v>3</v>
      </c>
      <c r="K14" s="30">
        <v>10</v>
      </c>
      <c r="L14" s="30">
        <v>1</v>
      </c>
      <c r="M14" s="30">
        <v>2</v>
      </c>
    </row>
    <row r="15" spans="1:13">
      <c r="A15" s="30">
        <f ca="1" t="shared" si="0"/>
        <v>162</v>
      </c>
      <c r="B15" s="30">
        <f ca="1" t="array" ref="B15">INDEX(Data_DBD!$B:$B,$A15)</f>
        <v>22</v>
      </c>
      <c r="C15" s="30">
        <f ca="1" t="array" ref="C15">INDEX(Data_DBD!$C:$C,$A15)</f>
        <v>3</v>
      </c>
      <c r="D15" s="30">
        <f ca="1" t="array" ref="D15">INDEX(Data_DBD!$D:$D,$A15)</f>
        <v>3</v>
      </c>
      <c r="E15" s="30">
        <f ca="1" t="array" ref="E15">INDEX(Data_DBD!$E:$E,$A15)</f>
        <v>1</v>
      </c>
      <c r="F15" s="30">
        <f ca="1" t="array" ref="F15">INDEX(Data_DBD!$F:$F,$A15)</f>
        <v>1</v>
      </c>
      <c r="H15" s="30">
        <v>63</v>
      </c>
      <c r="I15" s="30">
        <v>25</v>
      </c>
      <c r="J15" s="30">
        <v>3</v>
      </c>
      <c r="K15" s="30">
        <v>15</v>
      </c>
      <c r="L15" s="30">
        <v>0</v>
      </c>
      <c r="M15" s="30">
        <v>2</v>
      </c>
    </row>
    <row r="16" spans="1:13">
      <c r="A16" s="30">
        <f ca="1" t="shared" si="0"/>
        <v>57</v>
      </c>
      <c r="B16" s="30">
        <f ca="1" t="array" ref="B16">INDEX(Data_DBD!$B:$B,$A16)</f>
        <v>2</v>
      </c>
      <c r="C16" s="30">
        <f ca="1" t="array" ref="C16">INDEX(Data_DBD!$C:$C,$A16)</f>
        <v>2</v>
      </c>
      <c r="D16" s="30">
        <f ca="1" t="array" ref="D16">INDEX(Data_DBD!$D:$D,$A16)</f>
        <v>15</v>
      </c>
      <c r="E16" s="30">
        <f ca="1" t="array" ref="E16">INDEX(Data_DBD!$E:$E,$A16)</f>
        <v>1</v>
      </c>
      <c r="F16" s="30">
        <f ca="1" t="array" ref="F16">INDEX(Data_DBD!$F:$F,$A16)</f>
        <v>2</v>
      </c>
      <c r="H16" s="30">
        <v>138</v>
      </c>
      <c r="I16" s="30">
        <v>13</v>
      </c>
      <c r="J16" s="30">
        <v>3</v>
      </c>
      <c r="K16" s="30">
        <v>33</v>
      </c>
      <c r="L16" s="30">
        <v>1</v>
      </c>
      <c r="M16" s="30">
        <v>3</v>
      </c>
    </row>
    <row r="17" spans="1:13">
      <c r="A17" s="30">
        <f ca="1" t="shared" si="0"/>
        <v>104</v>
      </c>
      <c r="B17" s="30">
        <f ca="1" t="array" ref="B17">INDEX(Data_DBD!$B:$B,$A17)</f>
        <v>37</v>
      </c>
      <c r="C17" s="30">
        <f ca="1" t="array" ref="C17">INDEX(Data_DBD!$C:$C,$A17)</f>
        <v>4</v>
      </c>
      <c r="D17" s="30">
        <f ca="1" t="array" ref="D17">INDEX(Data_DBD!$D:$D,$A17)</f>
        <v>18</v>
      </c>
      <c r="E17" s="30">
        <f ca="1" t="array" ref="E17">INDEX(Data_DBD!$E:$E,$A17)</f>
        <v>1</v>
      </c>
      <c r="F17" s="30">
        <f ca="1" t="array" ref="F17">INDEX(Data_DBD!$F:$F,$A17)</f>
        <v>3</v>
      </c>
      <c r="H17" s="30">
        <v>21</v>
      </c>
      <c r="I17" s="30">
        <v>10</v>
      </c>
      <c r="J17" s="30">
        <v>5</v>
      </c>
      <c r="K17" s="30">
        <v>14</v>
      </c>
      <c r="L17" s="30">
        <v>1</v>
      </c>
      <c r="M17" s="30">
        <v>2</v>
      </c>
    </row>
    <row r="18" spans="1:13">
      <c r="A18" s="30">
        <f ca="1" t="shared" si="0"/>
        <v>53</v>
      </c>
      <c r="B18" s="30">
        <f ca="1" t="array" ref="B18">INDEX(Data_DBD!$B:$B,$A18)</f>
        <v>35</v>
      </c>
      <c r="C18" s="30">
        <f ca="1" t="array" ref="C18">INDEX(Data_DBD!$C:$C,$A18)</f>
        <v>4</v>
      </c>
      <c r="D18" s="30">
        <f ca="1" t="array" ref="D18">INDEX(Data_DBD!$D:$D,$A18)</f>
        <v>15</v>
      </c>
      <c r="E18" s="30">
        <f ca="1" t="array" ref="E18">INDEX(Data_DBD!$E:$E,$A18)</f>
        <v>1</v>
      </c>
      <c r="F18" s="30">
        <f ca="1" t="array" ref="F18">INDEX(Data_DBD!$F:$F,$A18)</f>
        <v>2</v>
      </c>
      <c r="H18" s="30">
        <v>13</v>
      </c>
      <c r="I18" s="30">
        <v>47</v>
      </c>
      <c r="J18" s="30">
        <v>2</v>
      </c>
      <c r="K18" s="30">
        <v>12</v>
      </c>
      <c r="L18" s="30">
        <v>0</v>
      </c>
      <c r="M18" s="30">
        <v>2</v>
      </c>
    </row>
    <row r="19" spans="1:13">
      <c r="A19" s="30">
        <f ca="1" t="shared" si="0"/>
        <v>2</v>
      </c>
      <c r="B19" s="30">
        <f ca="1" t="array" ref="B19">INDEX(Data_DBD!$B:$B,$A19)</f>
        <v>34</v>
      </c>
      <c r="C19" s="30">
        <f ca="1" t="array" ref="C19">INDEX(Data_DBD!$C:$C,$A19)</f>
        <v>3</v>
      </c>
      <c r="D19" s="30">
        <f ca="1" t="array" ref="D19">INDEX(Data_DBD!$D:$D,$A19)</f>
        <v>12</v>
      </c>
      <c r="E19" s="30">
        <f ca="1" t="array" ref="E19">INDEX(Data_DBD!$E:$E,$A19)</f>
        <v>0</v>
      </c>
      <c r="F19" s="30">
        <f ca="1" t="array" ref="F19">INDEX(Data_DBD!$F:$F,$A19)</f>
        <v>2</v>
      </c>
      <c r="H19" s="30">
        <v>41</v>
      </c>
      <c r="I19" s="30">
        <v>8</v>
      </c>
      <c r="J19" s="30">
        <v>4</v>
      </c>
      <c r="K19" s="30">
        <v>13</v>
      </c>
      <c r="L19" s="30">
        <v>0</v>
      </c>
      <c r="M19" s="30">
        <v>2</v>
      </c>
    </row>
    <row r="20" spans="1:13">
      <c r="A20" s="30">
        <f ca="1" t="shared" si="0"/>
        <v>14</v>
      </c>
      <c r="B20" s="30">
        <f ca="1" t="array" ref="B20">INDEX(Data_DBD!$B:$B,$A20)</f>
        <v>49</v>
      </c>
      <c r="C20" s="30">
        <f ca="1" t="array" ref="C20">INDEX(Data_DBD!$C:$C,$A20)</f>
        <v>4</v>
      </c>
      <c r="D20" s="30">
        <f ca="1" t="array" ref="D20">INDEX(Data_DBD!$D:$D,$A20)</f>
        <v>7</v>
      </c>
      <c r="E20" s="30">
        <f ca="1" t="array" ref="E20">INDEX(Data_DBD!$E:$E,$A20)</f>
        <v>1</v>
      </c>
      <c r="F20" s="30">
        <f ca="1" t="array" ref="F20">INDEX(Data_DBD!$F:$F,$A20)</f>
        <v>1</v>
      </c>
      <c r="H20" s="30">
        <v>122</v>
      </c>
      <c r="I20" s="30">
        <v>28</v>
      </c>
      <c r="J20" s="30">
        <v>3</v>
      </c>
      <c r="K20" s="30">
        <v>33</v>
      </c>
      <c r="L20" s="30">
        <v>1</v>
      </c>
      <c r="M20" s="30">
        <v>3</v>
      </c>
    </row>
    <row r="21" spans="1:13">
      <c r="A21" s="30">
        <f ca="1" t="shared" si="0"/>
        <v>55</v>
      </c>
      <c r="B21" s="30">
        <f ca="1" t="array" ref="B21">INDEX(Data_DBD!$B:$B,$A21)</f>
        <v>7</v>
      </c>
      <c r="C21" s="30">
        <f ca="1" t="array" ref="C21">INDEX(Data_DBD!$C:$C,$A21)</f>
        <v>4</v>
      </c>
      <c r="D21" s="30">
        <f ca="1" t="array" ref="D21">INDEX(Data_DBD!$D:$D,$A21)</f>
        <v>15</v>
      </c>
      <c r="E21" s="30">
        <f ca="1" t="array" ref="E21">INDEX(Data_DBD!$E:$E,$A21)</f>
        <v>1</v>
      </c>
      <c r="F21" s="30">
        <f ca="1" t="array" ref="F21">INDEX(Data_DBD!$F:$F,$A21)</f>
        <v>2</v>
      </c>
      <c r="H21" s="30">
        <v>26</v>
      </c>
      <c r="I21" s="30">
        <v>75</v>
      </c>
      <c r="J21" s="30">
        <v>4</v>
      </c>
      <c r="K21" s="30">
        <v>14</v>
      </c>
      <c r="L21" s="30">
        <v>1</v>
      </c>
      <c r="M21" s="30">
        <v>2</v>
      </c>
    </row>
    <row r="22" spans="1:13">
      <c r="A22" s="30">
        <f ca="1" t="shared" si="0"/>
        <v>158</v>
      </c>
      <c r="B22" s="30">
        <f ca="1" t="array" ref="B22">INDEX(Data_DBD!$B:$B,$A22)</f>
        <v>5</v>
      </c>
      <c r="C22" s="30">
        <f ca="1" t="array" ref="C22">INDEX(Data_DBD!$C:$C,$A22)</f>
        <v>2</v>
      </c>
      <c r="D22" s="30">
        <f ca="1" t="array" ref="D22">INDEX(Data_DBD!$D:$D,$A22)</f>
        <v>21</v>
      </c>
      <c r="E22" s="30">
        <f ca="1" t="array" ref="E22">INDEX(Data_DBD!$E:$E,$A22)</f>
        <v>0</v>
      </c>
      <c r="F22" s="30">
        <f ca="1" t="array" ref="F22">INDEX(Data_DBD!$F:$F,$A22)</f>
        <v>3</v>
      </c>
      <c r="H22" s="30">
        <v>46</v>
      </c>
      <c r="I22" s="30">
        <v>62</v>
      </c>
      <c r="J22" s="30">
        <v>2</v>
      </c>
      <c r="K22" s="30">
        <v>13</v>
      </c>
      <c r="L22" s="30">
        <v>0</v>
      </c>
      <c r="M22" s="30">
        <v>2</v>
      </c>
    </row>
    <row r="23" spans="1:13">
      <c r="A23" s="30">
        <f ca="1" t="shared" si="0"/>
        <v>125</v>
      </c>
      <c r="B23" s="30">
        <f ca="1" t="array" ref="B23">INDEX(Data_DBD!$B:$B,$A23)</f>
        <v>39</v>
      </c>
      <c r="C23" s="30">
        <f ca="1" t="array" ref="C23">INDEX(Data_DBD!$C:$C,$A23)</f>
        <v>4</v>
      </c>
      <c r="D23" s="30">
        <f ca="1" t="array" ref="D23">INDEX(Data_DBD!$D:$D,$A23)</f>
        <v>33</v>
      </c>
      <c r="E23" s="30">
        <f ca="1" t="array" ref="E23">INDEX(Data_DBD!$E:$E,$A23)</f>
        <v>0</v>
      </c>
      <c r="F23" s="30">
        <f ca="1" t="array" ref="F23">INDEX(Data_DBD!$F:$F,$A23)</f>
        <v>3</v>
      </c>
      <c r="H23" s="30">
        <v>102</v>
      </c>
      <c r="I23" s="30">
        <v>41</v>
      </c>
      <c r="J23" s="30">
        <v>4</v>
      </c>
      <c r="K23" s="30">
        <v>18</v>
      </c>
      <c r="L23" s="30">
        <v>0</v>
      </c>
      <c r="M23" s="30">
        <v>3</v>
      </c>
    </row>
    <row r="24" spans="1:13">
      <c r="A24" s="30">
        <f ca="1" t="shared" si="0"/>
        <v>17</v>
      </c>
      <c r="B24" s="30">
        <f ca="1" t="array" ref="B24">INDEX(Data_DBD!$B:$B,$A24)</f>
        <v>2</v>
      </c>
      <c r="C24" s="30">
        <f ca="1" t="array" ref="C24">INDEX(Data_DBD!$C:$C,$A24)</f>
        <v>3</v>
      </c>
      <c r="D24" s="30">
        <f ca="1" t="array" ref="D24">INDEX(Data_DBD!$D:$D,$A24)</f>
        <v>7</v>
      </c>
      <c r="E24" s="30">
        <f ca="1" t="array" ref="E24">INDEX(Data_DBD!$E:$E,$A24)</f>
        <v>0</v>
      </c>
      <c r="F24" s="30">
        <f ca="1" t="array" ref="F24">INDEX(Data_DBD!$F:$F,$A24)</f>
        <v>1</v>
      </c>
      <c r="H24" s="30">
        <v>35</v>
      </c>
      <c r="I24" s="30">
        <v>40</v>
      </c>
      <c r="J24" s="30">
        <v>3</v>
      </c>
      <c r="K24" s="30">
        <v>4</v>
      </c>
      <c r="L24" s="30">
        <v>1</v>
      </c>
      <c r="M24" s="30">
        <v>1</v>
      </c>
    </row>
    <row r="25" spans="1:13">
      <c r="A25" s="30">
        <f ca="1" t="shared" si="0"/>
        <v>128</v>
      </c>
      <c r="B25" s="30">
        <f ca="1" t="array" ref="B25">INDEX(Data_DBD!$B:$B,$A25)</f>
        <v>38</v>
      </c>
      <c r="C25" s="30">
        <f ca="1" t="array" ref="C25">INDEX(Data_DBD!$C:$C,$A25)</f>
        <v>2</v>
      </c>
      <c r="D25" s="30">
        <f ca="1" t="array" ref="D25">INDEX(Data_DBD!$D:$D,$A25)</f>
        <v>33</v>
      </c>
      <c r="E25" s="30">
        <f ca="1" t="array" ref="E25">INDEX(Data_DBD!$E:$E,$A25)</f>
        <v>0</v>
      </c>
      <c r="F25" s="30">
        <f ca="1" t="array" ref="F25">INDEX(Data_DBD!$F:$F,$A25)</f>
        <v>3</v>
      </c>
      <c r="H25" s="30">
        <v>56</v>
      </c>
      <c r="I25" s="30">
        <v>4</v>
      </c>
      <c r="J25" s="30">
        <v>3</v>
      </c>
      <c r="K25" s="30">
        <v>15</v>
      </c>
      <c r="L25" s="30">
        <v>0</v>
      </c>
      <c r="M25" s="30">
        <v>2</v>
      </c>
    </row>
    <row r="26" spans="1:13">
      <c r="A26" s="30">
        <f ca="1" t="shared" si="0"/>
        <v>72</v>
      </c>
      <c r="B26" s="30">
        <f ca="1" t="array" ref="B26">INDEX(Data_DBD!$B:$B,$A26)</f>
        <v>3</v>
      </c>
      <c r="C26" s="30">
        <f ca="1" t="array" ref="C26">INDEX(Data_DBD!$C:$C,$A26)</f>
        <v>5</v>
      </c>
      <c r="D26" s="30">
        <f ca="1" t="array" ref="D26">INDEX(Data_DBD!$D:$D,$A26)</f>
        <v>10</v>
      </c>
      <c r="E26" s="30">
        <f ca="1" t="array" ref="E26">INDEX(Data_DBD!$E:$E,$A26)</f>
        <v>1</v>
      </c>
      <c r="F26" s="30">
        <f ca="1" t="array" ref="F26">INDEX(Data_DBD!$F:$F,$A26)</f>
        <v>2</v>
      </c>
      <c r="H26" s="30">
        <v>23</v>
      </c>
      <c r="I26" s="30">
        <v>28</v>
      </c>
      <c r="J26" s="30">
        <v>4</v>
      </c>
      <c r="K26" s="30">
        <v>14</v>
      </c>
      <c r="L26" s="30">
        <v>1</v>
      </c>
      <c r="M26" s="30">
        <v>2</v>
      </c>
    </row>
    <row r="27" spans="1:13">
      <c r="A27" s="30">
        <f ca="1" t="shared" si="0"/>
        <v>107</v>
      </c>
      <c r="B27" s="30">
        <f ca="1" t="array" ref="B27">INDEX(Data_DBD!$B:$B,$A27)</f>
        <v>48</v>
      </c>
      <c r="C27" s="30">
        <f ca="1" t="array" ref="C27">INDEX(Data_DBD!$C:$C,$A27)</f>
        <v>5</v>
      </c>
      <c r="D27" s="30">
        <f ca="1" t="array" ref="D27">INDEX(Data_DBD!$D:$D,$A27)</f>
        <v>18</v>
      </c>
      <c r="E27" s="30">
        <f ca="1" t="array" ref="E27">INDEX(Data_DBD!$E:$E,$A27)</f>
        <v>0</v>
      </c>
      <c r="F27" s="30">
        <f ca="1" t="array" ref="F27">INDEX(Data_DBD!$F:$F,$A27)</f>
        <v>3</v>
      </c>
      <c r="H27" s="30">
        <v>89</v>
      </c>
      <c r="I27" s="30">
        <v>32</v>
      </c>
      <c r="J27" s="30">
        <v>4</v>
      </c>
      <c r="K27" s="30">
        <v>13</v>
      </c>
      <c r="L27" s="30">
        <v>0</v>
      </c>
      <c r="M27" s="30">
        <v>2</v>
      </c>
    </row>
    <row r="28" spans="1:13">
      <c r="A28" s="30">
        <f ca="1" t="shared" si="0"/>
        <v>158</v>
      </c>
      <c r="B28" s="30">
        <f ca="1" t="array" ref="B28">INDEX(Data_DBD!$B:$B,$A28)</f>
        <v>5</v>
      </c>
      <c r="C28" s="30">
        <f ca="1" t="array" ref="C28">INDEX(Data_DBD!$C:$C,$A28)</f>
        <v>2</v>
      </c>
      <c r="D28" s="30">
        <f ca="1" t="array" ref="D28">INDEX(Data_DBD!$D:$D,$A28)</f>
        <v>21</v>
      </c>
      <c r="E28" s="30">
        <f ca="1" t="array" ref="E28">INDEX(Data_DBD!$E:$E,$A28)</f>
        <v>0</v>
      </c>
      <c r="F28" s="30">
        <f ca="1" t="array" ref="F28">INDEX(Data_DBD!$F:$F,$A28)</f>
        <v>3</v>
      </c>
      <c r="H28" s="30">
        <v>57</v>
      </c>
      <c r="I28" s="30">
        <v>2</v>
      </c>
      <c r="J28" s="30">
        <v>2</v>
      </c>
      <c r="K28" s="30">
        <v>15</v>
      </c>
      <c r="L28" s="30">
        <v>1</v>
      </c>
      <c r="M28" s="30">
        <v>2</v>
      </c>
    </row>
    <row r="29" spans="1:13">
      <c r="A29" s="30">
        <f ca="1" t="shared" si="0"/>
        <v>43</v>
      </c>
      <c r="B29" s="30">
        <f ca="1" t="array" ref="B29">INDEX(Data_DBD!$B:$B,$A29)</f>
        <v>15</v>
      </c>
      <c r="C29" s="30">
        <f ca="1" t="array" ref="C29">INDEX(Data_DBD!$C:$C,$A29)</f>
        <v>4</v>
      </c>
      <c r="D29" s="30">
        <f ca="1" t="array" ref="D29">INDEX(Data_DBD!$D:$D,$A29)</f>
        <v>13</v>
      </c>
      <c r="E29" s="30">
        <f ca="1" t="array" ref="E29">INDEX(Data_DBD!$E:$E,$A29)</f>
        <v>0</v>
      </c>
      <c r="F29" s="30">
        <f ca="1" t="array" ref="F29">INDEX(Data_DBD!$F:$F,$A29)</f>
        <v>2</v>
      </c>
      <c r="H29" s="30">
        <v>58</v>
      </c>
      <c r="I29" s="30">
        <v>17</v>
      </c>
      <c r="J29" s="30">
        <v>3</v>
      </c>
      <c r="K29" s="30">
        <v>15</v>
      </c>
      <c r="L29" s="30">
        <v>0</v>
      </c>
      <c r="M29" s="30">
        <v>2</v>
      </c>
    </row>
    <row r="30" spans="1:13">
      <c r="A30" s="30">
        <f ca="1" t="shared" si="0"/>
        <v>89</v>
      </c>
      <c r="B30" s="30">
        <f ca="1" t="array" ref="B30">INDEX(Data_DBD!$B:$B,$A30)</f>
        <v>32</v>
      </c>
      <c r="C30" s="30">
        <f ca="1" t="array" ref="C30">INDEX(Data_DBD!$C:$C,$A30)</f>
        <v>4</v>
      </c>
      <c r="D30" s="30">
        <f ca="1" t="array" ref="D30">INDEX(Data_DBD!$D:$D,$A30)</f>
        <v>13</v>
      </c>
      <c r="E30" s="30">
        <f ca="1" t="array" ref="E30">INDEX(Data_DBD!$E:$E,$A30)</f>
        <v>0</v>
      </c>
      <c r="F30" s="30">
        <f ca="1" t="array" ref="F30">INDEX(Data_DBD!$F:$F,$A30)</f>
        <v>2</v>
      </c>
      <c r="H30" s="30">
        <v>60</v>
      </c>
      <c r="I30" s="30">
        <v>68</v>
      </c>
      <c r="J30" s="30">
        <v>4</v>
      </c>
      <c r="K30" s="30">
        <v>15</v>
      </c>
      <c r="L30" s="30">
        <v>0</v>
      </c>
      <c r="M30" s="30">
        <v>2</v>
      </c>
    </row>
    <row r="31" spans="1:13">
      <c r="A31" s="30">
        <f ca="1" t="shared" si="0"/>
        <v>130</v>
      </c>
      <c r="B31" s="30">
        <f ca="1" t="array" ref="B31">INDEX(Data_DBD!$B:$B,$A31)</f>
        <v>12</v>
      </c>
      <c r="C31" s="30">
        <f ca="1" t="array" ref="C31">INDEX(Data_DBD!$C:$C,$A31)</f>
        <v>4</v>
      </c>
      <c r="D31" s="30">
        <f ca="1" t="array" ref="D31">INDEX(Data_DBD!$D:$D,$A31)</f>
        <v>33</v>
      </c>
      <c r="E31" s="30">
        <f ca="1" t="array" ref="E31">INDEX(Data_DBD!$E:$E,$A31)</f>
        <v>0</v>
      </c>
      <c r="F31" s="30">
        <f ca="1" t="array" ref="F31">INDEX(Data_DBD!$F:$F,$A31)</f>
        <v>3</v>
      </c>
      <c r="H31" s="30">
        <v>114</v>
      </c>
      <c r="I31" s="30">
        <v>14</v>
      </c>
      <c r="J31" s="30">
        <v>2</v>
      </c>
      <c r="K31" s="30">
        <v>33</v>
      </c>
      <c r="L31" s="30">
        <v>1</v>
      </c>
      <c r="M31" s="30">
        <v>3</v>
      </c>
    </row>
    <row r="32" spans="1:13">
      <c r="A32" s="30">
        <f ca="1" t="shared" si="0"/>
        <v>21</v>
      </c>
      <c r="B32" s="30">
        <f ca="1" t="array" ref="B32">INDEX(Data_DBD!$B:$B,$A32)</f>
        <v>10</v>
      </c>
      <c r="C32" s="30">
        <f ca="1" t="array" ref="C32">INDEX(Data_DBD!$C:$C,$A32)</f>
        <v>5</v>
      </c>
      <c r="D32" s="30">
        <f ca="1" t="array" ref="D32">INDEX(Data_DBD!$D:$D,$A32)</f>
        <v>14</v>
      </c>
      <c r="E32" s="30">
        <f ca="1" t="array" ref="E32">INDEX(Data_DBD!$E:$E,$A32)</f>
        <v>1</v>
      </c>
      <c r="F32" s="30">
        <f ca="1" t="array" ref="F32">INDEX(Data_DBD!$F:$F,$A32)</f>
        <v>2</v>
      </c>
      <c r="H32" s="30">
        <v>37</v>
      </c>
      <c r="I32" s="30">
        <v>28</v>
      </c>
      <c r="J32" s="30">
        <v>4</v>
      </c>
      <c r="K32" s="30">
        <v>4</v>
      </c>
      <c r="L32" s="30">
        <v>1</v>
      </c>
      <c r="M32" s="30">
        <v>1</v>
      </c>
    </row>
    <row r="33" spans="1:13">
      <c r="A33" s="30">
        <f ca="1" t="shared" si="0"/>
        <v>95</v>
      </c>
      <c r="B33" s="30">
        <f ca="1" t="array" ref="B33">INDEX(Data_DBD!$B:$B,$A33)</f>
        <v>11</v>
      </c>
      <c r="C33" s="30">
        <f ca="1" t="array" ref="C33">INDEX(Data_DBD!$C:$C,$A33)</f>
        <v>3</v>
      </c>
      <c r="D33" s="30">
        <f ca="1" t="array" ref="D33">INDEX(Data_DBD!$D:$D,$A33)</f>
        <v>18</v>
      </c>
      <c r="E33" s="30">
        <f ca="1" t="array" ref="E33">INDEX(Data_DBD!$E:$E,$A33)</f>
        <v>1</v>
      </c>
      <c r="F33" s="30">
        <f ca="1" t="array" ref="F33">INDEX(Data_DBD!$F:$F,$A33)</f>
        <v>3</v>
      </c>
      <c r="H33" s="30">
        <v>33</v>
      </c>
      <c r="I33" s="30">
        <v>19</v>
      </c>
      <c r="J33" s="30">
        <v>4</v>
      </c>
      <c r="K33" s="30">
        <v>14</v>
      </c>
      <c r="L33" s="30">
        <v>1</v>
      </c>
      <c r="M33" s="30">
        <v>2</v>
      </c>
    </row>
    <row r="34" spans="1:13">
      <c r="A34" s="30">
        <f ca="1" t="shared" si="0"/>
        <v>72</v>
      </c>
      <c r="B34" s="30">
        <f ca="1" t="array" ref="B34">INDEX(Data_DBD!$B:$B,$A34)</f>
        <v>3</v>
      </c>
      <c r="C34" s="30">
        <f ca="1" t="array" ref="C34">INDEX(Data_DBD!$C:$C,$A34)</f>
        <v>5</v>
      </c>
      <c r="D34" s="30">
        <f ca="1" t="array" ref="D34">INDEX(Data_DBD!$D:$D,$A34)</f>
        <v>10</v>
      </c>
      <c r="E34" s="30">
        <f ca="1" t="array" ref="E34">INDEX(Data_DBD!$E:$E,$A34)</f>
        <v>1</v>
      </c>
      <c r="F34" s="30">
        <f ca="1" t="array" ref="F34">INDEX(Data_DBD!$F:$F,$A34)</f>
        <v>2</v>
      </c>
      <c r="H34" s="30">
        <v>51</v>
      </c>
      <c r="I34" s="30">
        <v>48</v>
      </c>
      <c r="J34" s="30">
        <v>4</v>
      </c>
      <c r="K34" s="30">
        <v>13</v>
      </c>
      <c r="L34" s="30">
        <v>0</v>
      </c>
      <c r="M34" s="30">
        <v>2</v>
      </c>
    </row>
    <row r="35" spans="1:13">
      <c r="A35" s="30">
        <f ca="1" t="shared" si="0"/>
        <v>93</v>
      </c>
      <c r="B35" s="30">
        <f ca="1" t="array" ref="B35">INDEX(Data_DBD!$B:$B,$A35)</f>
        <v>65</v>
      </c>
      <c r="C35" s="30">
        <f ca="1" t="array" ref="C35">INDEX(Data_DBD!$C:$C,$A35)</f>
        <v>4</v>
      </c>
      <c r="D35" s="30">
        <f ca="1" t="array" ref="D35">INDEX(Data_DBD!$D:$D,$A35)</f>
        <v>18</v>
      </c>
      <c r="E35" s="30">
        <f ca="1" t="array" ref="E35">INDEX(Data_DBD!$E:$E,$A35)</f>
        <v>0</v>
      </c>
      <c r="F35" s="30">
        <f ca="1" t="array" ref="F35">INDEX(Data_DBD!$F:$F,$A35)</f>
        <v>3</v>
      </c>
      <c r="H35" s="30">
        <v>39</v>
      </c>
      <c r="I35" s="30">
        <v>12</v>
      </c>
      <c r="J35" s="30">
        <v>5</v>
      </c>
      <c r="K35" s="30">
        <v>13</v>
      </c>
      <c r="L35" s="30">
        <v>1</v>
      </c>
      <c r="M35" s="30">
        <v>2</v>
      </c>
    </row>
    <row r="36" spans="1:13">
      <c r="A36" s="30">
        <f ca="1" t="shared" si="0"/>
        <v>45</v>
      </c>
      <c r="B36" s="30">
        <f ca="1" t="array" ref="B36">INDEX(Data_DBD!$B:$B,$A36)</f>
        <v>75</v>
      </c>
      <c r="C36" s="30">
        <f ca="1" t="array" ref="C36">INDEX(Data_DBD!$C:$C,$A36)</f>
        <v>3</v>
      </c>
      <c r="D36" s="30">
        <f ca="1" t="array" ref="D36">INDEX(Data_DBD!$D:$D,$A36)</f>
        <v>13</v>
      </c>
      <c r="E36" s="30">
        <f ca="1" t="array" ref="E36">INDEX(Data_DBD!$E:$E,$A36)</f>
        <v>1</v>
      </c>
      <c r="F36" s="30">
        <f ca="1" t="array" ref="F36">INDEX(Data_DBD!$F:$F,$A36)</f>
        <v>2</v>
      </c>
      <c r="H36" s="30">
        <v>85</v>
      </c>
      <c r="I36" s="30">
        <v>27</v>
      </c>
      <c r="J36" s="30">
        <v>9</v>
      </c>
      <c r="K36" s="30">
        <v>13</v>
      </c>
      <c r="L36" s="30">
        <v>0</v>
      </c>
      <c r="M36" s="30">
        <v>2</v>
      </c>
    </row>
    <row r="37" spans="1:13">
      <c r="A37" s="30">
        <f ca="1" t="shared" si="0"/>
        <v>110</v>
      </c>
      <c r="B37" s="30">
        <f ca="1" t="array" ref="B37">INDEX(Data_DBD!$B:$B,$A37)</f>
        <v>42</v>
      </c>
      <c r="C37" s="30">
        <f ca="1" t="array" ref="C37">INDEX(Data_DBD!$C:$C,$A37)</f>
        <v>2</v>
      </c>
      <c r="D37" s="30">
        <f ca="1" t="array" ref="D37">INDEX(Data_DBD!$D:$D,$A37)</f>
        <v>33</v>
      </c>
      <c r="E37" s="30">
        <f ca="1" t="array" ref="E37">INDEX(Data_DBD!$E:$E,$A37)</f>
        <v>1</v>
      </c>
      <c r="F37" s="30">
        <f ca="1" t="array" ref="F37">INDEX(Data_DBD!$F:$F,$A37)</f>
        <v>3</v>
      </c>
      <c r="H37" s="30">
        <v>77</v>
      </c>
      <c r="I37" s="30">
        <v>16</v>
      </c>
      <c r="J37" s="30">
        <v>4</v>
      </c>
      <c r="K37" s="30">
        <v>13</v>
      </c>
      <c r="L37" s="30">
        <v>1</v>
      </c>
      <c r="M37" s="30">
        <v>2</v>
      </c>
    </row>
    <row r="38" spans="1:13">
      <c r="A38" s="30">
        <f ca="1" t="shared" si="0"/>
        <v>75</v>
      </c>
      <c r="B38" s="30">
        <f ca="1" t="array" ref="B38">INDEX(Data_DBD!$B:$B,$A38)</f>
        <v>2</v>
      </c>
      <c r="C38" s="30">
        <f ca="1" t="array" ref="C38">INDEX(Data_DBD!$C:$C,$A38)</f>
        <v>2</v>
      </c>
      <c r="D38" s="30">
        <f ca="1" t="array" ref="D38">INDEX(Data_DBD!$D:$D,$A38)</f>
        <v>10</v>
      </c>
      <c r="E38" s="30">
        <f ca="1" t="array" ref="E38">INDEX(Data_DBD!$E:$E,$A38)</f>
        <v>1</v>
      </c>
      <c r="F38" s="30">
        <f ca="1" t="array" ref="F38">INDEX(Data_DBD!$F:$F,$A38)</f>
        <v>2</v>
      </c>
      <c r="H38" s="30">
        <v>151</v>
      </c>
      <c r="I38" s="30">
        <v>24</v>
      </c>
      <c r="J38" s="30">
        <v>3</v>
      </c>
      <c r="K38" s="30">
        <v>21</v>
      </c>
      <c r="L38" s="30">
        <v>0</v>
      </c>
      <c r="M38" s="30">
        <v>3</v>
      </c>
    </row>
    <row r="39" spans="1:13">
      <c r="A39" s="30">
        <f ca="1" t="shared" si="0"/>
        <v>40</v>
      </c>
      <c r="B39" s="30">
        <f ca="1" t="array" ref="B39">INDEX(Data_DBD!$B:$B,$A39)</f>
        <v>65</v>
      </c>
      <c r="C39" s="30">
        <f ca="1" t="array" ref="C39">INDEX(Data_DBD!$C:$C,$A39)</f>
        <v>3</v>
      </c>
      <c r="D39" s="30">
        <f ca="1" t="array" ref="D39">INDEX(Data_DBD!$D:$D,$A39)</f>
        <v>13</v>
      </c>
      <c r="E39" s="30">
        <f ca="1" t="array" ref="E39">INDEX(Data_DBD!$E:$E,$A39)</f>
        <v>1</v>
      </c>
      <c r="F39" s="30">
        <f ca="1" t="array" ref="F39">INDEX(Data_DBD!$F:$F,$A39)</f>
        <v>2</v>
      </c>
      <c r="H39" s="30">
        <v>37</v>
      </c>
      <c r="I39" s="30">
        <v>28</v>
      </c>
      <c r="J39" s="30">
        <v>4</v>
      </c>
      <c r="K39" s="30">
        <v>4</v>
      </c>
      <c r="L39" s="30">
        <v>1</v>
      </c>
      <c r="M39" s="30">
        <v>1</v>
      </c>
    </row>
    <row r="40" spans="1:13">
      <c r="A40" s="30">
        <f ca="1" t="shared" si="0"/>
        <v>121</v>
      </c>
      <c r="B40" s="30">
        <f ca="1" t="array" ref="B40">INDEX(Data_DBD!$B:$B,$A40)</f>
        <v>82</v>
      </c>
      <c r="C40" s="30">
        <f ca="1" t="array" ref="C40">INDEX(Data_DBD!$C:$C,$A40)</f>
        <v>5</v>
      </c>
      <c r="D40" s="30">
        <f ca="1" t="array" ref="D40">INDEX(Data_DBD!$D:$D,$A40)</f>
        <v>33</v>
      </c>
      <c r="E40" s="30">
        <f ca="1" t="array" ref="E40">INDEX(Data_DBD!$E:$E,$A40)</f>
        <v>1</v>
      </c>
      <c r="F40" s="30">
        <f ca="1" t="array" ref="F40">INDEX(Data_DBD!$F:$F,$A40)</f>
        <v>3</v>
      </c>
      <c r="H40" s="30">
        <v>83</v>
      </c>
      <c r="I40" s="30">
        <v>50</v>
      </c>
      <c r="J40" s="30">
        <v>3</v>
      </c>
      <c r="K40" s="30">
        <v>13</v>
      </c>
      <c r="L40" s="30">
        <v>0</v>
      </c>
      <c r="M40" s="30">
        <v>2</v>
      </c>
    </row>
    <row r="41" spans="1:13">
      <c r="A41" s="30">
        <f ca="1" t="shared" si="0"/>
        <v>127</v>
      </c>
      <c r="B41" s="30">
        <f ca="1" t="array" ref="B41">INDEX(Data_DBD!$B:$B,$A41)</f>
        <v>21</v>
      </c>
      <c r="C41" s="30">
        <f ca="1" t="array" ref="C41">INDEX(Data_DBD!$C:$C,$A41)</f>
        <v>2</v>
      </c>
      <c r="D41" s="30">
        <f ca="1" t="array" ref="D41">INDEX(Data_DBD!$D:$D,$A41)</f>
        <v>33</v>
      </c>
      <c r="E41" s="30">
        <f ca="1" t="array" ref="E41">INDEX(Data_DBD!$E:$E,$A41)</f>
        <v>0</v>
      </c>
      <c r="F41" s="30">
        <f ca="1" t="array" ref="F41">INDEX(Data_DBD!$F:$F,$A41)</f>
        <v>3</v>
      </c>
      <c r="H41" s="30">
        <v>48</v>
      </c>
      <c r="I41" s="30">
        <v>50</v>
      </c>
      <c r="J41" s="30">
        <v>5</v>
      </c>
      <c r="K41" s="30">
        <v>13</v>
      </c>
      <c r="L41" s="30">
        <v>1</v>
      </c>
      <c r="M41" s="30">
        <v>2</v>
      </c>
    </row>
    <row r="42" spans="1:13">
      <c r="A42" s="30">
        <f ca="1" t="shared" si="0"/>
        <v>24</v>
      </c>
      <c r="B42" s="30">
        <f ca="1" t="array" ref="B42">INDEX(Data_DBD!$B:$B,$A42)</f>
        <v>60</v>
      </c>
      <c r="C42" s="30">
        <f ca="1" t="array" ref="C42">INDEX(Data_DBD!$C:$C,$A42)</f>
        <v>4</v>
      </c>
      <c r="D42" s="30">
        <f ca="1" t="array" ref="D42">INDEX(Data_DBD!$D:$D,$A42)</f>
        <v>14</v>
      </c>
      <c r="E42" s="30">
        <f ca="1" t="array" ref="E42">INDEX(Data_DBD!$E:$E,$A42)</f>
        <v>0</v>
      </c>
      <c r="F42" s="30">
        <f ca="1" t="array" ref="F42">INDEX(Data_DBD!$F:$F,$A42)</f>
        <v>2</v>
      </c>
      <c r="H42" s="30">
        <v>53</v>
      </c>
      <c r="I42" s="30">
        <v>35</v>
      </c>
      <c r="J42" s="30">
        <v>4</v>
      </c>
      <c r="K42" s="30">
        <v>15</v>
      </c>
      <c r="L42" s="30">
        <v>1</v>
      </c>
      <c r="M42" s="30">
        <v>2</v>
      </c>
    </row>
    <row r="43" spans="1:13">
      <c r="A43" s="30">
        <f ca="1" t="shared" si="0"/>
        <v>129</v>
      </c>
      <c r="B43" s="30">
        <f ca="1" t="array" ref="B43">INDEX(Data_DBD!$B:$B,$A43)</f>
        <v>4.5</v>
      </c>
      <c r="C43" s="30">
        <f ca="1" t="array" ref="C43">INDEX(Data_DBD!$C:$C,$A43)</f>
        <v>3</v>
      </c>
      <c r="D43" s="30">
        <f ca="1" t="array" ref="D43">INDEX(Data_DBD!$D:$D,$A43)</f>
        <v>33</v>
      </c>
      <c r="E43" s="30">
        <f ca="1" t="array" ref="E43">INDEX(Data_DBD!$E:$E,$A43)</f>
        <v>0</v>
      </c>
      <c r="F43" s="30">
        <f ca="1" t="array" ref="F43">INDEX(Data_DBD!$F:$F,$A43)</f>
        <v>3</v>
      </c>
      <c r="H43" s="30">
        <v>27</v>
      </c>
      <c r="I43" s="30">
        <v>37</v>
      </c>
      <c r="J43" s="30">
        <v>4</v>
      </c>
      <c r="K43" s="30">
        <v>14</v>
      </c>
      <c r="L43" s="30">
        <v>1</v>
      </c>
      <c r="M43" s="30">
        <v>2</v>
      </c>
    </row>
    <row r="44" spans="1:13">
      <c r="A44" s="30">
        <f ca="1" t="shared" si="0"/>
        <v>56</v>
      </c>
      <c r="B44" s="30">
        <f ca="1" t="array" ref="B44">INDEX(Data_DBD!$B:$B,$A44)</f>
        <v>4</v>
      </c>
      <c r="C44" s="30">
        <f ca="1" t="array" ref="C44">INDEX(Data_DBD!$C:$C,$A44)</f>
        <v>3</v>
      </c>
      <c r="D44" s="30">
        <f ca="1" t="array" ref="D44">INDEX(Data_DBD!$D:$D,$A44)</f>
        <v>15</v>
      </c>
      <c r="E44" s="30">
        <f ca="1" t="array" ref="E44">INDEX(Data_DBD!$E:$E,$A44)</f>
        <v>0</v>
      </c>
      <c r="F44" s="30">
        <f ca="1" t="array" ref="F44">INDEX(Data_DBD!$F:$F,$A44)</f>
        <v>2</v>
      </c>
      <c r="H44" s="30">
        <v>32</v>
      </c>
      <c r="I44" s="30">
        <v>54</v>
      </c>
      <c r="J44" s="30">
        <v>4</v>
      </c>
      <c r="K44" s="30">
        <v>14</v>
      </c>
      <c r="L44" s="30">
        <v>0</v>
      </c>
      <c r="M44" s="30">
        <v>2</v>
      </c>
    </row>
    <row r="45" spans="1:13">
      <c r="A45" s="30">
        <f ca="1" t="shared" si="0"/>
        <v>14</v>
      </c>
      <c r="B45" s="30">
        <f ca="1" t="array" ref="B45">INDEX(Data_DBD!$B:$B,$A45)</f>
        <v>49</v>
      </c>
      <c r="C45" s="30">
        <f ca="1" t="array" ref="C45">INDEX(Data_DBD!$C:$C,$A45)</f>
        <v>4</v>
      </c>
      <c r="D45" s="30">
        <f ca="1" t="array" ref="D45">INDEX(Data_DBD!$D:$D,$A45)</f>
        <v>7</v>
      </c>
      <c r="E45" s="30">
        <f ca="1" t="array" ref="E45">INDEX(Data_DBD!$E:$E,$A45)</f>
        <v>1</v>
      </c>
      <c r="F45" s="30">
        <f ca="1" t="array" ref="F45">INDEX(Data_DBD!$F:$F,$A45)</f>
        <v>1</v>
      </c>
      <c r="H45" s="30">
        <v>55</v>
      </c>
      <c r="I45" s="30">
        <v>7</v>
      </c>
      <c r="J45" s="30">
        <v>4</v>
      </c>
      <c r="K45" s="30">
        <v>15</v>
      </c>
      <c r="L45" s="30">
        <v>1</v>
      </c>
      <c r="M45" s="30">
        <v>2</v>
      </c>
    </row>
    <row r="46" spans="1:13">
      <c r="A46" s="30">
        <f ca="1" t="shared" si="0"/>
        <v>56</v>
      </c>
      <c r="B46" s="30">
        <f ca="1" t="array" ref="B46">INDEX(Data_DBD!$B:$B,$A46)</f>
        <v>4</v>
      </c>
      <c r="C46" s="30">
        <f ca="1" t="array" ref="C46">INDEX(Data_DBD!$C:$C,$A46)</f>
        <v>3</v>
      </c>
      <c r="D46" s="30">
        <f ca="1" t="array" ref="D46">INDEX(Data_DBD!$D:$D,$A46)</f>
        <v>15</v>
      </c>
      <c r="E46" s="30">
        <f ca="1" t="array" ref="E46">INDEX(Data_DBD!$E:$E,$A46)</f>
        <v>0</v>
      </c>
      <c r="F46" s="30">
        <f ca="1" t="array" ref="F46">INDEX(Data_DBD!$F:$F,$A46)</f>
        <v>2</v>
      </c>
      <c r="H46" s="30">
        <v>40</v>
      </c>
      <c r="I46" s="30">
        <v>65</v>
      </c>
      <c r="J46" s="30">
        <v>3</v>
      </c>
      <c r="K46" s="30">
        <v>13</v>
      </c>
      <c r="L46" s="30">
        <v>1</v>
      </c>
      <c r="M46" s="30">
        <v>2</v>
      </c>
    </row>
    <row r="47" spans="1:13">
      <c r="A47" s="30">
        <f ca="1" t="shared" si="0"/>
        <v>82</v>
      </c>
      <c r="B47" s="30">
        <f ca="1" t="array" ref="B47">INDEX(Data_DBD!$B:$B,$A47)</f>
        <v>28</v>
      </c>
      <c r="C47" s="30">
        <f ca="1" t="array" ref="C47">INDEX(Data_DBD!$C:$C,$A47)</f>
        <v>3</v>
      </c>
      <c r="D47" s="30">
        <f ca="1" t="array" ref="D47">INDEX(Data_DBD!$D:$D,$A47)</f>
        <v>13</v>
      </c>
      <c r="E47" s="30">
        <f ca="1" t="array" ref="E47">INDEX(Data_DBD!$E:$E,$A47)</f>
        <v>1</v>
      </c>
      <c r="F47" s="30">
        <f ca="1" t="array" ref="F47">INDEX(Data_DBD!$F:$F,$A47)</f>
        <v>2</v>
      </c>
      <c r="H47" s="30">
        <v>42</v>
      </c>
      <c r="I47" s="30">
        <v>21</v>
      </c>
      <c r="J47" s="30">
        <v>5</v>
      </c>
      <c r="K47" s="30">
        <v>13</v>
      </c>
      <c r="L47" s="30">
        <v>1</v>
      </c>
      <c r="M47" s="30">
        <v>2</v>
      </c>
    </row>
    <row r="48" spans="1:13">
      <c r="A48" s="30">
        <f ca="1" t="shared" si="0"/>
        <v>38</v>
      </c>
      <c r="B48" s="30">
        <f ca="1" t="array" ref="B48">INDEX(Data_DBD!$B:$B,$A48)</f>
        <v>52</v>
      </c>
      <c r="C48" s="30">
        <f ca="1" t="array" ref="C48">INDEX(Data_DBD!$C:$C,$A48)</f>
        <v>3</v>
      </c>
      <c r="D48" s="30">
        <f ca="1" t="array" ref="D48">INDEX(Data_DBD!$D:$D,$A48)</f>
        <v>4</v>
      </c>
      <c r="E48" s="30">
        <f ca="1" t="array" ref="E48">INDEX(Data_DBD!$E:$E,$A48)</f>
        <v>1</v>
      </c>
      <c r="F48" s="30">
        <f ca="1" t="array" ref="F48">INDEX(Data_DBD!$F:$F,$A48)</f>
        <v>1</v>
      </c>
      <c r="H48" s="30">
        <v>12</v>
      </c>
      <c r="I48" s="30">
        <v>23</v>
      </c>
      <c r="J48" s="30">
        <v>3</v>
      </c>
      <c r="K48" s="30">
        <v>12</v>
      </c>
      <c r="L48" s="30">
        <v>0</v>
      </c>
      <c r="M48" s="30">
        <v>2</v>
      </c>
    </row>
    <row r="49" spans="1:13">
      <c r="A49" s="30">
        <f ca="1" t="shared" si="0"/>
        <v>113</v>
      </c>
      <c r="B49" s="30">
        <f ca="1" t="array" ref="B49">INDEX(Data_DBD!$B:$B,$A49)</f>
        <v>69</v>
      </c>
      <c r="C49" s="30">
        <f ca="1" t="array" ref="C49">INDEX(Data_DBD!$C:$C,$A49)</f>
        <v>1</v>
      </c>
      <c r="D49" s="30">
        <f ca="1" t="array" ref="D49">INDEX(Data_DBD!$D:$D,$A49)</f>
        <v>33</v>
      </c>
      <c r="E49" s="30">
        <f ca="1" t="array" ref="E49">INDEX(Data_DBD!$E:$E,$A49)</f>
        <v>1</v>
      </c>
      <c r="F49" s="30">
        <f ca="1" t="array" ref="F49">INDEX(Data_DBD!$F:$F,$A49)</f>
        <v>3</v>
      </c>
      <c r="H49" s="30">
        <v>87</v>
      </c>
      <c r="I49" s="30">
        <v>21</v>
      </c>
      <c r="J49" s="30">
        <v>3</v>
      </c>
      <c r="K49" s="30">
        <v>13</v>
      </c>
      <c r="L49" s="30">
        <v>0</v>
      </c>
      <c r="M49" s="30">
        <v>2</v>
      </c>
    </row>
    <row r="50" spans="1:13">
      <c r="A50" s="30">
        <f ca="1" t="shared" si="0"/>
        <v>150</v>
      </c>
      <c r="B50" s="30">
        <f ca="1" t="array" ref="B50">INDEX(Data_DBD!$B:$B,$A50)</f>
        <v>61</v>
      </c>
      <c r="C50" s="30">
        <f ca="1" t="array" ref="C50">INDEX(Data_DBD!$C:$C,$A50)</f>
        <v>5</v>
      </c>
      <c r="D50" s="30">
        <f ca="1" t="array" ref="D50">INDEX(Data_DBD!$D:$D,$A50)</f>
        <v>21</v>
      </c>
      <c r="E50" s="30">
        <f ca="1" t="array" ref="E50">INDEX(Data_DBD!$E:$E,$A50)</f>
        <v>1</v>
      </c>
      <c r="F50" s="30">
        <f ca="1" t="array" ref="F50">INDEX(Data_DBD!$F:$F,$A50)</f>
        <v>3</v>
      </c>
      <c r="H50" s="30">
        <v>151</v>
      </c>
      <c r="I50" s="30">
        <v>24</v>
      </c>
      <c r="J50" s="30">
        <v>3</v>
      </c>
      <c r="K50" s="30">
        <v>21</v>
      </c>
      <c r="L50" s="30">
        <v>0</v>
      </c>
      <c r="M50" s="30">
        <v>3</v>
      </c>
    </row>
    <row r="51" spans="1:13">
      <c r="A51" s="30">
        <f ca="1" t="shared" si="0"/>
        <v>139</v>
      </c>
      <c r="B51" s="30">
        <f ca="1" t="array" ref="B51">INDEX(Data_DBD!$B:$B,$A51)</f>
        <v>52</v>
      </c>
      <c r="C51" s="30">
        <f ca="1" t="array" ref="C51">INDEX(Data_DBD!$C:$C,$A51)</f>
        <v>7</v>
      </c>
      <c r="D51" s="30">
        <f ca="1" t="array" ref="D51">INDEX(Data_DBD!$D:$D,$A51)</f>
        <v>21</v>
      </c>
      <c r="E51" s="30">
        <f ca="1" t="array" ref="E51">INDEX(Data_DBD!$E:$E,$A51)</f>
        <v>0</v>
      </c>
      <c r="F51" s="30">
        <f ca="1" t="array" ref="F51">INDEX(Data_DBD!$F:$F,$A51)</f>
        <v>3</v>
      </c>
      <c r="H51" s="30">
        <v>113</v>
      </c>
      <c r="I51" s="30">
        <v>69</v>
      </c>
      <c r="J51" s="30">
        <v>1</v>
      </c>
      <c r="K51" s="30">
        <v>33</v>
      </c>
      <c r="L51" s="30">
        <v>1</v>
      </c>
      <c r="M51" s="30">
        <v>3</v>
      </c>
    </row>
    <row r="52" spans="1:13">
      <c r="A52" s="30">
        <f ca="1" t="shared" si="0"/>
        <v>44</v>
      </c>
      <c r="B52" s="30">
        <f ca="1" t="array" ref="B52">INDEX(Data_DBD!$B:$B,$A52)</f>
        <v>28</v>
      </c>
      <c r="C52" s="30">
        <f ca="1" t="array" ref="C52">INDEX(Data_DBD!$C:$C,$A52)</f>
        <v>5</v>
      </c>
      <c r="D52" s="30">
        <f ca="1" t="array" ref="D52">INDEX(Data_DBD!$D:$D,$A52)</f>
        <v>13</v>
      </c>
      <c r="E52" s="30">
        <f ca="1" t="array" ref="E52">INDEX(Data_DBD!$E:$E,$A52)</f>
        <v>1</v>
      </c>
      <c r="F52" s="30">
        <f ca="1" t="array" ref="F52">INDEX(Data_DBD!$F:$F,$A52)</f>
        <v>2</v>
      </c>
      <c r="H52" s="30">
        <v>9</v>
      </c>
      <c r="I52" s="30">
        <v>16</v>
      </c>
      <c r="J52" s="30">
        <v>6</v>
      </c>
      <c r="K52" s="30">
        <v>12</v>
      </c>
      <c r="L52" s="30">
        <v>1</v>
      </c>
      <c r="M52" s="30">
        <v>2</v>
      </c>
    </row>
    <row r="53" spans="1:13">
      <c r="A53" s="30">
        <f ca="1" t="shared" si="0"/>
        <v>141</v>
      </c>
      <c r="B53" s="30">
        <f ca="1" t="array" ref="B53">INDEX(Data_DBD!$B:$B,$A53)</f>
        <v>36</v>
      </c>
      <c r="C53" s="30">
        <f ca="1" t="array" ref="C53">INDEX(Data_DBD!$C:$C,$A53)</f>
        <v>2</v>
      </c>
      <c r="D53" s="30">
        <f ca="1" t="array" ref="D53">INDEX(Data_DBD!$D:$D,$A53)</f>
        <v>21</v>
      </c>
      <c r="E53" s="30">
        <f ca="1" t="array" ref="E53">INDEX(Data_DBD!$E:$E,$A53)</f>
        <v>0</v>
      </c>
      <c r="F53" s="30">
        <f ca="1" t="array" ref="F53">INDEX(Data_DBD!$F:$F,$A53)</f>
        <v>3</v>
      </c>
      <c r="H53" s="30">
        <v>147</v>
      </c>
      <c r="I53" s="30">
        <v>66</v>
      </c>
      <c r="J53" s="30">
        <v>10</v>
      </c>
      <c r="K53" s="30">
        <v>21</v>
      </c>
      <c r="L53" s="30">
        <v>1</v>
      </c>
      <c r="M53" s="30">
        <v>3</v>
      </c>
    </row>
    <row r="54" spans="1:13">
      <c r="A54" s="30">
        <f ca="1" t="shared" si="0"/>
        <v>156</v>
      </c>
      <c r="B54" s="30">
        <f ca="1" t="array" ref="B54">INDEX(Data_DBD!$B:$B,$A54)</f>
        <v>5</v>
      </c>
      <c r="C54" s="30">
        <f ca="1" t="array" ref="C54">INDEX(Data_DBD!$C:$C,$A54)</f>
        <v>2</v>
      </c>
      <c r="D54" s="30">
        <f ca="1" t="array" ref="D54">INDEX(Data_DBD!$D:$D,$A54)</f>
        <v>21</v>
      </c>
      <c r="E54" s="30">
        <f ca="1" t="array" ref="E54">INDEX(Data_DBD!$E:$E,$A54)</f>
        <v>0</v>
      </c>
      <c r="F54" s="30">
        <f ca="1" t="array" ref="F54">INDEX(Data_DBD!$F:$F,$A54)</f>
        <v>3</v>
      </c>
      <c r="H54" s="30">
        <v>49</v>
      </c>
      <c r="I54" s="30">
        <v>64</v>
      </c>
      <c r="J54" s="30">
        <v>5</v>
      </c>
      <c r="K54" s="30">
        <v>13</v>
      </c>
      <c r="L54" s="30">
        <v>0</v>
      </c>
      <c r="M54" s="30">
        <v>2</v>
      </c>
    </row>
    <row r="55" spans="1:13">
      <c r="A55" s="30">
        <f ca="1" t="shared" si="0"/>
        <v>53</v>
      </c>
      <c r="B55" s="30">
        <f ca="1" t="array" ref="B55">INDEX(Data_DBD!$B:$B,$A55)</f>
        <v>35</v>
      </c>
      <c r="C55" s="30">
        <f ca="1" t="array" ref="C55">INDEX(Data_DBD!$C:$C,$A55)</f>
        <v>4</v>
      </c>
      <c r="D55" s="30">
        <f ca="1" t="array" ref="D55">INDEX(Data_DBD!$D:$D,$A55)</f>
        <v>15</v>
      </c>
      <c r="E55" s="30">
        <f ca="1" t="array" ref="E55">INDEX(Data_DBD!$E:$E,$A55)</f>
        <v>1</v>
      </c>
      <c r="F55" s="30">
        <f ca="1" t="array" ref="F55">INDEX(Data_DBD!$F:$F,$A55)</f>
        <v>2</v>
      </c>
      <c r="H55" s="30">
        <v>84</v>
      </c>
      <c r="I55" s="30">
        <v>42</v>
      </c>
      <c r="J55" s="30">
        <v>4</v>
      </c>
      <c r="K55" s="30">
        <v>13</v>
      </c>
      <c r="L55" s="30">
        <v>1</v>
      </c>
      <c r="M55" s="30">
        <v>2</v>
      </c>
    </row>
    <row r="56" spans="1:13">
      <c r="A56" s="30">
        <f ca="1" t="shared" si="0"/>
        <v>106</v>
      </c>
      <c r="B56" s="30">
        <f ca="1" t="array" ref="B56">INDEX(Data_DBD!$B:$B,$A56)</f>
        <v>23</v>
      </c>
      <c r="C56" s="30">
        <f ca="1" t="array" ref="C56">INDEX(Data_DBD!$C:$C,$A56)</f>
        <v>3</v>
      </c>
      <c r="D56" s="30">
        <f ca="1" t="array" ref="D56">INDEX(Data_DBD!$D:$D,$A56)</f>
        <v>18</v>
      </c>
      <c r="E56" s="30">
        <f ca="1" t="array" ref="E56">INDEX(Data_DBD!$E:$E,$A56)</f>
        <v>1</v>
      </c>
      <c r="F56" s="30">
        <f ca="1" t="array" ref="F56">INDEX(Data_DBD!$F:$F,$A56)</f>
        <v>3</v>
      </c>
      <c r="H56" s="30">
        <v>55</v>
      </c>
      <c r="I56" s="30">
        <v>7</v>
      </c>
      <c r="J56" s="30">
        <v>4</v>
      </c>
      <c r="K56" s="30">
        <v>15</v>
      </c>
      <c r="L56" s="30">
        <v>1</v>
      </c>
      <c r="M56" s="30">
        <v>2</v>
      </c>
    </row>
    <row r="57" spans="1:13">
      <c r="A57" s="30">
        <f ca="1" t="shared" si="0"/>
        <v>42</v>
      </c>
      <c r="B57" s="30">
        <f ca="1" t="array" ref="B57">INDEX(Data_DBD!$B:$B,$A57)</f>
        <v>21</v>
      </c>
      <c r="C57" s="30">
        <f ca="1" t="array" ref="C57">INDEX(Data_DBD!$C:$C,$A57)</f>
        <v>5</v>
      </c>
      <c r="D57" s="30">
        <f ca="1" t="array" ref="D57">INDEX(Data_DBD!$D:$D,$A57)</f>
        <v>13</v>
      </c>
      <c r="E57" s="30">
        <f ca="1" t="array" ref="E57">INDEX(Data_DBD!$E:$E,$A57)</f>
        <v>1</v>
      </c>
      <c r="F57" s="30">
        <f ca="1" t="array" ref="F57">INDEX(Data_DBD!$F:$F,$A57)</f>
        <v>2</v>
      </c>
      <c r="H57" s="30">
        <v>38</v>
      </c>
      <c r="I57" s="30">
        <v>52</v>
      </c>
      <c r="J57" s="30">
        <v>3</v>
      </c>
      <c r="K57" s="30">
        <v>4</v>
      </c>
      <c r="L57" s="30">
        <v>1</v>
      </c>
      <c r="M57" s="30">
        <v>1</v>
      </c>
    </row>
    <row r="58" spans="1:13">
      <c r="A58" s="30">
        <f ca="1" t="shared" si="0"/>
        <v>45</v>
      </c>
      <c r="B58" s="30">
        <f ca="1" t="array" ref="B58">INDEX(Data_DBD!$B:$B,$A58)</f>
        <v>75</v>
      </c>
      <c r="C58" s="30">
        <f ca="1" t="array" ref="C58">INDEX(Data_DBD!$C:$C,$A58)</f>
        <v>3</v>
      </c>
      <c r="D58" s="30">
        <f ca="1" t="array" ref="D58">INDEX(Data_DBD!$D:$D,$A58)</f>
        <v>13</v>
      </c>
      <c r="E58" s="30">
        <f ca="1" t="array" ref="E58">INDEX(Data_DBD!$E:$E,$A58)</f>
        <v>1</v>
      </c>
      <c r="F58" s="30">
        <f ca="1" t="array" ref="F58">INDEX(Data_DBD!$F:$F,$A58)</f>
        <v>2</v>
      </c>
      <c r="H58" s="30">
        <v>33</v>
      </c>
      <c r="I58" s="30">
        <v>19</v>
      </c>
      <c r="J58" s="30">
        <v>4</v>
      </c>
      <c r="K58" s="30">
        <v>14</v>
      </c>
      <c r="L58" s="30">
        <v>1</v>
      </c>
      <c r="M58" s="30">
        <v>2</v>
      </c>
    </row>
    <row r="59" spans="1:13">
      <c r="A59" s="30">
        <f ca="1" t="shared" si="0"/>
        <v>152</v>
      </c>
      <c r="B59" s="30">
        <f ca="1" t="array" ref="B59">INDEX(Data_DBD!$B:$B,$A59)</f>
        <v>47</v>
      </c>
      <c r="C59" s="30">
        <f ca="1" t="array" ref="C59">INDEX(Data_DBD!$C:$C,$A59)</f>
        <v>3</v>
      </c>
      <c r="D59" s="30">
        <f ca="1" t="array" ref="D59">INDEX(Data_DBD!$D:$D,$A59)</f>
        <v>21</v>
      </c>
      <c r="E59" s="30">
        <f ca="1" t="array" ref="E59">INDEX(Data_DBD!$E:$E,$A59)</f>
        <v>1</v>
      </c>
      <c r="F59" s="30">
        <f ca="1" t="array" ref="F59">INDEX(Data_DBD!$F:$F,$A59)</f>
        <v>3</v>
      </c>
      <c r="H59" s="30">
        <v>130</v>
      </c>
      <c r="I59" s="30">
        <v>12</v>
      </c>
      <c r="J59" s="30">
        <v>4</v>
      </c>
      <c r="K59" s="30">
        <v>33</v>
      </c>
      <c r="L59" s="30">
        <v>0</v>
      </c>
      <c r="M59" s="30">
        <v>3</v>
      </c>
    </row>
    <row r="60" spans="1:13">
      <c r="A60" s="30">
        <f ca="1" t="shared" si="0"/>
        <v>106</v>
      </c>
      <c r="B60" s="30">
        <f ca="1" t="array" ref="B60">INDEX(Data_DBD!$B:$B,$A60)</f>
        <v>23</v>
      </c>
      <c r="C60" s="30">
        <f ca="1" t="array" ref="C60">INDEX(Data_DBD!$C:$C,$A60)</f>
        <v>3</v>
      </c>
      <c r="D60" s="30">
        <f ca="1" t="array" ref="D60">INDEX(Data_DBD!$D:$D,$A60)</f>
        <v>18</v>
      </c>
      <c r="E60" s="30">
        <f ca="1" t="array" ref="E60">INDEX(Data_DBD!$E:$E,$A60)</f>
        <v>1</v>
      </c>
      <c r="F60" s="30">
        <f ca="1" t="array" ref="F60">INDEX(Data_DBD!$F:$F,$A60)</f>
        <v>3</v>
      </c>
      <c r="H60" s="30">
        <v>65</v>
      </c>
      <c r="I60" s="30">
        <v>49</v>
      </c>
      <c r="J60" s="30">
        <v>3</v>
      </c>
      <c r="K60" s="30">
        <v>15</v>
      </c>
      <c r="L60" s="30">
        <v>0</v>
      </c>
      <c r="M60" s="30">
        <v>2</v>
      </c>
    </row>
    <row r="61" spans="1:13">
      <c r="A61" s="30">
        <f ca="1" t="shared" si="0"/>
        <v>48</v>
      </c>
      <c r="B61" s="30">
        <f ca="1" t="array" ref="B61">INDEX(Data_DBD!$B:$B,$A61)</f>
        <v>50</v>
      </c>
      <c r="C61" s="30">
        <f ca="1" t="array" ref="C61">INDEX(Data_DBD!$C:$C,$A61)</f>
        <v>5</v>
      </c>
      <c r="D61" s="30">
        <f ca="1" t="array" ref="D61">INDEX(Data_DBD!$D:$D,$A61)</f>
        <v>13</v>
      </c>
      <c r="E61" s="30">
        <f ca="1" t="array" ref="E61">INDEX(Data_DBD!$E:$E,$A61)</f>
        <v>1</v>
      </c>
      <c r="F61" s="30">
        <f ca="1" t="array" ref="F61">INDEX(Data_DBD!$F:$F,$A61)</f>
        <v>2</v>
      </c>
      <c r="H61" s="30">
        <v>152</v>
      </c>
      <c r="I61" s="30">
        <v>47</v>
      </c>
      <c r="J61" s="30">
        <v>3</v>
      </c>
      <c r="K61" s="30">
        <v>21</v>
      </c>
      <c r="L61" s="30">
        <v>1</v>
      </c>
      <c r="M61" s="30">
        <v>3</v>
      </c>
    </row>
    <row r="62" spans="1:13">
      <c r="A62" s="30">
        <f ca="1" t="shared" si="0"/>
        <v>64</v>
      </c>
      <c r="B62" s="30">
        <f ca="1" t="array" ref="B62">INDEX(Data_DBD!$B:$B,$A62)</f>
        <v>35</v>
      </c>
      <c r="C62" s="30">
        <f ca="1" t="array" ref="C62">INDEX(Data_DBD!$C:$C,$A62)</f>
        <v>1</v>
      </c>
      <c r="D62" s="30">
        <f ca="1" t="array" ref="D62">INDEX(Data_DBD!$D:$D,$A62)</f>
        <v>15</v>
      </c>
      <c r="E62" s="30">
        <f ca="1" t="array" ref="E62">INDEX(Data_DBD!$E:$E,$A62)</f>
        <v>0</v>
      </c>
      <c r="F62" s="30">
        <f ca="1" t="array" ref="F62">INDEX(Data_DBD!$F:$F,$A62)</f>
        <v>2</v>
      </c>
      <c r="H62" s="30">
        <v>140</v>
      </c>
      <c r="I62" s="30">
        <v>74</v>
      </c>
      <c r="J62" s="30">
        <v>5</v>
      </c>
      <c r="K62" s="30">
        <v>21</v>
      </c>
      <c r="L62" s="30">
        <v>1</v>
      </c>
      <c r="M62" s="30">
        <v>3</v>
      </c>
    </row>
    <row r="63" spans="1:13">
      <c r="A63" s="30">
        <f ca="1" t="shared" si="0"/>
        <v>27</v>
      </c>
      <c r="B63" s="30">
        <f ca="1" t="array" ref="B63">INDEX(Data_DBD!$B:$B,$A63)</f>
        <v>37</v>
      </c>
      <c r="C63" s="30">
        <f ca="1" t="array" ref="C63">INDEX(Data_DBD!$C:$C,$A63)</f>
        <v>4</v>
      </c>
      <c r="D63" s="30">
        <f ca="1" t="array" ref="D63">INDEX(Data_DBD!$D:$D,$A63)</f>
        <v>14</v>
      </c>
      <c r="E63" s="30">
        <f ca="1" t="array" ref="E63">INDEX(Data_DBD!$E:$E,$A63)</f>
        <v>1</v>
      </c>
      <c r="F63" s="30">
        <f ca="1" t="array" ref="F63">INDEX(Data_DBD!$F:$F,$A63)</f>
        <v>2</v>
      </c>
      <c r="H63" s="30">
        <v>106</v>
      </c>
      <c r="I63" s="30">
        <v>23</v>
      </c>
      <c r="J63" s="30">
        <v>3</v>
      </c>
      <c r="K63" s="30">
        <v>18</v>
      </c>
      <c r="L63" s="30">
        <v>1</v>
      </c>
      <c r="M63" s="30">
        <v>3</v>
      </c>
    </row>
    <row r="64" spans="1:13">
      <c r="A64" s="30">
        <f ca="1" t="shared" si="0"/>
        <v>155</v>
      </c>
      <c r="B64" s="30">
        <f ca="1" t="array" ref="B64">INDEX(Data_DBD!$B:$B,$A64)</f>
        <v>19</v>
      </c>
      <c r="C64" s="30">
        <f ca="1" t="array" ref="C64">INDEX(Data_DBD!$C:$C,$A64)</f>
        <v>5</v>
      </c>
      <c r="D64" s="30">
        <f ca="1" t="array" ref="D64">INDEX(Data_DBD!$D:$D,$A64)</f>
        <v>21</v>
      </c>
      <c r="E64" s="30">
        <f ca="1" t="array" ref="E64">INDEX(Data_DBD!$E:$E,$A64)</f>
        <v>1</v>
      </c>
      <c r="F64" s="30">
        <f ca="1" t="array" ref="F64">INDEX(Data_DBD!$F:$F,$A64)</f>
        <v>3</v>
      </c>
      <c r="H64" s="30">
        <v>130</v>
      </c>
      <c r="I64" s="30">
        <v>12</v>
      </c>
      <c r="J64" s="30">
        <v>4</v>
      </c>
      <c r="K64" s="30">
        <v>33</v>
      </c>
      <c r="L64" s="30">
        <v>0</v>
      </c>
      <c r="M64" s="30">
        <v>3</v>
      </c>
    </row>
    <row r="65" spans="1:13">
      <c r="A65" s="30">
        <f ca="1" t="shared" si="0"/>
        <v>123</v>
      </c>
      <c r="B65" s="30">
        <f ca="1" t="array" ref="B65">INDEX(Data_DBD!$B:$B,$A65)</f>
        <v>22</v>
      </c>
      <c r="C65" s="30">
        <f ca="1" t="array" ref="C65">INDEX(Data_DBD!$C:$C,$A65)</f>
        <v>4</v>
      </c>
      <c r="D65" s="30">
        <f ca="1" t="array" ref="D65">INDEX(Data_DBD!$D:$D,$A65)</f>
        <v>33</v>
      </c>
      <c r="E65" s="30">
        <f ca="1" t="array" ref="E65">INDEX(Data_DBD!$E:$E,$A65)</f>
        <v>0</v>
      </c>
      <c r="F65" s="30">
        <f ca="1" t="array" ref="F65">INDEX(Data_DBD!$F:$F,$A65)</f>
        <v>3</v>
      </c>
      <c r="H65" s="30">
        <v>18</v>
      </c>
      <c r="I65" s="30">
        <v>49</v>
      </c>
      <c r="J65" s="30">
        <v>4</v>
      </c>
      <c r="K65" s="30">
        <v>7</v>
      </c>
      <c r="L65" s="30">
        <v>1</v>
      </c>
      <c r="M65" s="30">
        <v>1</v>
      </c>
    </row>
    <row r="66" spans="1:13">
      <c r="A66" s="30">
        <f ca="1" t="shared" si="0"/>
        <v>12</v>
      </c>
      <c r="B66" s="30">
        <f ca="1" t="array" ref="B66">INDEX(Data_DBD!$B:$B,$A66)</f>
        <v>23</v>
      </c>
      <c r="C66" s="30">
        <f ca="1" t="array" ref="C66">INDEX(Data_DBD!$C:$C,$A66)</f>
        <v>3</v>
      </c>
      <c r="D66" s="30">
        <f ca="1" t="array" ref="D66">INDEX(Data_DBD!$D:$D,$A66)</f>
        <v>12</v>
      </c>
      <c r="E66" s="30">
        <f ca="1" t="array" ref="E66">INDEX(Data_DBD!$E:$E,$A66)</f>
        <v>0</v>
      </c>
      <c r="F66" s="30">
        <f ca="1" t="array" ref="F66">INDEX(Data_DBD!$F:$F,$A66)</f>
        <v>2</v>
      </c>
      <c r="H66" s="30">
        <v>22</v>
      </c>
      <c r="I66" s="30">
        <v>6</v>
      </c>
      <c r="J66" s="30">
        <v>3</v>
      </c>
      <c r="K66" s="30">
        <v>14</v>
      </c>
      <c r="L66" s="30">
        <v>0</v>
      </c>
      <c r="M66" s="30">
        <v>2</v>
      </c>
    </row>
    <row r="67" spans="1:13">
      <c r="A67" s="30">
        <f ca="1" t="shared" ref="A67:A130" si="1">RANDBETWEEN(2,164)</f>
        <v>55</v>
      </c>
      <c r="B67" s="30">
        <f ca="1" t="array" ref="B67">INDEX(Data_DBD!$B:$B,$A67)</f>
        <v>7</v>
      </c>
      <c r="C67" s="30">
        <f ca="1" t="array" ref="C67">INDEX(Data_DBD!$C:$C,$A67)</f>
        <v>4</v>
      </c>
      <c r="D67" s="30">
        <f ca="1" t="array" ref="D67">INDEX(Data_DBD!$D:$D,$A67)</f>
        <v>15</v>
      </c>
      <c r="E67" s="30">
        <f ca="1" t="array" ref="E67">INDEX(Data_DBD!$E:$E,$A67)</f>
        <v>1</v>
      </c>
      <c r="F67" s="30">
        <f ca="1" t="array" ref="F67">INDEX(Data_DBD!$F:$F,$A67)</f>
        <v>2</v>
      </c>
      <c r="H67" s="30">
        <v>32</v>
      </c>
      <c r="I67" s="30">
        <v>54</v>
      </c>
      <c r="J67" s="30">
        <v>4</v>
      </c>
      <c r="K67" s="30">
        <v>14</v>
      </c>
      <c r="L67" s="30">
        <v>0</v>
      </c>
      <c r="M67" s="30">
        <v>2</v>
      </c>
    </row>
    <row r="68" spans="1:13">
      <c r="A68" s="30">
        <f ca="1" t="shared" si="1"/>
        <v>111</v>
      </c>
      <c r="B68" s="30">
        <f ca="1" t="array" ref="B68">INDEX(Data_DBD!$B:$B,$A68)</f>
        <v>25</v>
      </c>
      <c r="C68" s="30">
        <f ca="1" t="array" ref="C68">INDEX(Data_DBD!$C:$C,$A68)</f>
        <v>4</v>
      </c>
      <c r="D68" s="30">
        <f ca="1" t="array" ref="D68">INDEX(Data_DBD!$D:$D,$A68)</f>
        <v>33</v>
      </c>
      <c r="E68" s="30">
        <f ca="1" t="array" ref="E68">INDEX(Data_DBD!$E:$E,$A68)</f>
        <v>0</v>
      </c>
      <c r="F68" s="30">
        <f ca="1" t="array" ref="F68">INDEX(Data_DBD!$F:$F,$A68)</f>
        <v>3</v>
      </c>
      <c r="H68" s="30">
        <v>96</v>
      </c>
      <c r="I68" s="30">
        <v>56</v>
      </c>
      <c r="J68" s="30">
        <v>4</v>
      </c>
      <c r="K68" s="30">
        <v>18</v>
      </c>
      <c r="L68" s="30">
        <v>0</v>
      </c>
      <c r="M68" s="30">
        <v>3</v>
      </c>
    </row>
    <row r="69" spans="1:13">
      <c r="A69" s="30">
        <f ca="1" t="shared" si="1"/>
        <v>134</v>
      </c>
      <c r="B69" s="30">
        <f ca="1" t="array" ref="B69">INDEX(Data_DBD!$B:$B,$A69)</f>
        <v>4</v>
      </c>
      <c r="C69" s="30">
        <f ca="1" t="array" ref="C69">INDEX(Data_DBD!$C:$C,$A69)</f>
        <v>2</v>
      </c>
      <c r="D69" s="30">
        <f ca="1" t="array" ref="D69">INDEX(Data_DBD!$D:$D,$A69)</f>
        <v>33</v>
      </c>
      <c r="E69" s="30">
        <f ca="1" t="array" ref="E69">INDEX(Data_DBD!$E:$E,$A69)</f>
        <v>1</v>
      </c>
      <c r="F69" s="30">
        <f ca="1" t="array" ref="F69">INDEX(Data_DBD!$F:$F,$A69)</f>
        <v>3</v>
      </c>
      <c r="H69" s="30">
        <v>164</v>
      </c>
      <c r="I69" s="30">
        <v>10</v>
      </c>
      <c r="J69" s="30">
        <v>6</v>
      </c>
      <c r="K69" s="30">
        <v>3</v>
      </c>
      <c r="L69" s="30">
        <v>0</v>
      </c>
      <c r="M69" s="30">
        <v>1</v>
      </c>
    </row>
    <row r="70" spans="1:13">
      <c r="A70" s="30">
        <f ca="1" t="shared" si="1"/>
        <v>54</v>
      </c>
      <c r="B70" s="30">
        <f ca="1" t="array" ref="B70">INDEX(Data_DBD!$B:$B,$A70)</f>
        <v>7</v>
      </c>
      <c r="C70" s="30">
        <f ca="1" t="array" ref="C70">INDEX(Data_DBD!$C:$C,$A70)</f>
        <v>3</v>
      </c>
      <c r="D70" s="30">
        <f ca="1" t="array" ref="D70">INDEX(Data_DBD!$D:$D,$A70)</f>
        <v>15</v>
      </c>
      <c r="E70" s="30">
        <f ca="1" t="array" ref="E70">INDEX(Data_DBD!$E:$E,$A70)</f>
        <v>0</v>
      </c>
      <c r="F70" s="30">
        <f ca="1" t="array" ref="F70">INDEX(Data_DBD!$F:$F,$A70)</f>
        <v>2</v>
      </c>
      <c r="H70" s="30">
        <v>144</v>
      </c>
      <c r="I70" s="30">
        <v>61</v>
      </c>
      <c r="J70" s="30">
        <v>4</v>
      </c>
      <c r="K70" s="30">
        <v>21</v>
      </c>
      <c r="L70" s="30">
        <v>1</v>
      </c>
      <c r="M70" s="30">
        <v>3</v>
      </c>
    </row>
    <row r="71" spans="1:13">
      <c r="A71" s="30">
        <f ca="1" t="shared" si="1"/>
        <v>61</v>
      </c>
      <c r="B71" s="30">
        <f ca="1" t="array" ref="B71">INDEX(Data_DBD!$B:$B,$A71)</f>
        <v>29</v>
      </c>
      <c r="C71" s="30">
        <f ca="1" t="array" ref="C71">INDEX(Data_DBD!$C:$C,$A71)</f>
        <v>3</v>
      </c>
      <c r="D71" s="30">
        <f ca="1" t="array" ref="D71">INDEX(Data_DBD!$D:$D,$A71)</f>
        <v>15</v>
      </c>
      <c r="E71" s="30">
        <f ca="1" t="array" ref="E71">INDEX(Data_DBD!$E:$E,$A71)</f>
        <v>1</v>
      </c>
      <c r="F71" s="30">
        <f ca="1" t="array" ref="F71">INDEX(Data_DBD!$F:$F,$A71)</f>
        <v>2</v>
      </c>
      <c r="H71" s="30">
        <v>107</v>
      </c>
      <c r="I71" s="30">
        <v>48</v>
      </c>
      <c r="J71" s="30">
        <v>5</v>
      </c>
      <c r="K71" s="30">
        <v>18</v>
      </c>
      <c r="L71" s="30">
        <v>0</v>
      </c>
      <c r="M71" s="30">
        <v>3</v>
      </c>
    </row>
    <row r="72" spans="1:13">
      <c r="A72" s="30">
        <f ca="1" t="shared" si="1"/>
        <v>104</v>
      </c>
      <c r="B72" s="30">
        <f ca="1" t="array" ref="B72">INDEX(Data_DBD!$B:$B,$A72)</f>
        <v>37</v>
      </c>
      <c r="C72" s="30">
        <f ca="1" t="array" ref="C72">INDEX(Data_DBD!$C:$C,$A72)</f>
        <v>4</v>
      </c>
      <c r="D72" s="30">
        <f ca="1" t="array" ref="D72">INDEX(Data_DBD!$D:$D,$A72)</f>
        <v>18</v>
      </c>
      <c r="E72" s="30">
        <f ca="1" t="array" ref="E72">INDEX(Data_DBD!$E:$E,$A72)</f>
        <v>1</v>
      </c>
      <c r="F72" s="30">
        <f ca="1" t="array" ref="F72">INDEX(Data_DBD!$F:$F,$A72)</f>
        <v>3</v>
      </c>
      <c r="H72" s="30">
        <v>145</v>
      </c>
      <c r="I72" s="30">
        <v>28</v>
      </c>
      <c r="J72" s="30">
        <v>4</v>
      </c>
      <c r="K72" s="30">
        <v>21</v>
      </c>
      <c r="L72" s="30">
        <v>1</v>
      </c>
      <c r="M72" s="30">
        <v>3</v>
      </c>
    </row>
    <row r="73" spans="1:13">
      <c r="A73" s="30">
        <f ca="1" t="shared" si="1"/>
        <v>67</v>
      </c>
      <c r="B73" s="30">
        <f ca="1" t="array" ref="B73">INDEX(Data_DBD!$B:$B,$A73)</f>
        <v>21</v>
      </c>
      <c r="C73" s="30">
        <f ca="1" t="array" ref="C73">INDEX(Data_DBD!$C:$C,$A73)</f>
        <v>3</v>
      </c>
      <c r="D73" s="30">
        <f ca="1" t="array" ref="D73">INDEX(Data_DBD!$D:$D,$A73)</f>
        <v>10</v>
      </c>
      <c r="E73" s="30">
        <f ca="1" t="array" ref="E73">INDEX(Data_DBD!$E:$E,$A73)</f>
        <v>1</v>
      </c>
      <c r="F73" s="30">
        <f ca="1" t="array" ref="F73">INDEX(Data_DBD!$F:$F,$A73)</f>
        <v>2</v>
      </c>
      <c r="H73" s="30">
        <v>160</v>
      </c>
      <c r="I73" s="30">
        <v>16</v>
      </c>
      <c r="J73" s="30">
        <v>3</v>
      </c>
      <c r="K73" s="30">
        <v>21</v>
      </c>
      <c r="L73" s="30">
        <v>0</v>
      </c>
      <c r="M73" s="30">
        <v>3</v>
      </c>
    </row>
    <row r="74" spans="1:13">
      <c r="A74" s="30">
        <f ca="1" t="shared" si="1"/>
        <v>35</v>
      </c>
      <c r="B74" s="30">
        <f ca="1" t="array" ref="B74">INDEX(Data_DBD!$B:$B,$A74)</f>
        <v>40</v>
      </c>
      <c r="C74" s="30">
        <f ca="1" t="array" ref="C74">INDEX(Data_DBD!$C:$C,$A74)</f>
        <v>3</v>
      </c>
      <c r="D74" s="30">
        <f ca="1" t="array" ref="D74">INDEX(Data_DBD!$D:$D,$A74)</f>
        <v>4</v>
      </c>
      <c r="E74" s="30">
        <f ca="1" t="array" ref="E74">INDEX(Data_DBD!$E:$E,$A74)</f>
        <v>1</v>
      </c>
      <c r="F74" s="30">
        <f ca="1" t="array" ref="F74">INDEX(Data_DBD!$F:$F,$A74)</f>
        <v>1</v>
      </c>
      <c r="H74" s="30">
        <v>12</v>
      </c>
      <c r="I74" s="30">
        <v>23</v>
      </c>
      <c r="J74" s="30">
        <v>3</v>
      </c>
      <c r="K74" s="30">
        <v>12</v>
      </c>
      <c r="L74" s="30">
        <v>0</v>
      </c>
      <c r="M74" s="30">
        <v>2</v>
      </c>
    </row>
    <row r="75" spans="1:13">
      <c r="A75" s="30">
        <f ca="1" t="shared" si="1"/>
        <v>155</v>
      </c>
      <c r="B75" s="30">
        <f ca="1" t="array" ref="B75">INDEX(Data_DBD!$B:$B,$A75)</f>
        <v>19</v>
      </c>
      <c r="C75" s="30">
        <f ca="1" t="array" ref="C75">INDEX(Data_DBD!$C:$C,$A75)</f>
        <v>5</v>
      </c>
      <c r="D75" s="30">
        <f ca="1" t="array" ref="D75">INDEX(Data_DBD!$D:$D,$A75)</f>
        <v>21</v>
      </c>
      <c r="E75" s="30">
        <f ca="1" t="array" ref="E75">INDEX(Data_DBD!$E:$E,$A75)</f>
        <v>1</v>
      </c>
      <c r="F75" s="30">
        <f ca="1" t="array" ref="F75">INDEX(Data_DBD!$F:$F,$A75)</f>
        <v>3</v>
      </c>
      <c r="H75" s="30">
        <v>71</v>
      </c>
      <c r="I75" s="30">
        <v>84</v>
      </c>
      <c r="J75" s="30">
        <v>3</v>
      </c>
      <c r="K75" s="30">
        <v>10</v>
      </c>
      <c r="L75" s="30">
        <v>0</v>
      </c>
      <c r="M75" s="30">
        <v>2</v>
      </c>
    </row>
    <row r="76" spans="1:13">
      <c r="A76" s="30">
        <f ca="1" t="shared" si="1"/>
        <v>110</v>
      </c>
      <c r="B76" s="30">
        <f ca="1" t="array" ref="B76">INDEX(Data_DBD!$B:$B,$A76)</f>
        <v>42</v>
      </c>
      <c r="C76" s="30">
        <f ca="1" t="array" ref="C76">INDEX(Data_DBD!$C:$C,$A76)</f>
        <v>2</v>
      </c>
      <c r="D76" s="30">
        <f ca="1" t="array" ref="D76">INDEX(Data_DBD!$D:$D,$A76)</f>
        <v>33</v>
      </c>
      <c r="E76" s="30">
        <f ca="1" t="array" ref="E76">INDEX(Data_DBD!$E:$E,$A76)</f>
        <v>1</v>
      </c>
      <c r="F76" s="30">
        <f ca="1" t="array" ref="F76">INDEX(Data_DBD!$F:$F,$A76)</f>
        <v>3</v>
      </c>
      <c r="H76" s="30">
        <v>116</v>
      </c>
      <c r="I76" s="30">
        <v>32</v>
      </c>
      <c r="J76" s="30">
        <v>4</v>
      </c>
      <c r="K76" s="30">
        <v>33</v>
      </c>
      <c r="L76" s="30">
        <v>1</v>
      </c>
      <c r="M76" s="30">
        <v>3</v>
      </c>
    </row>
    <row r="77" spans="1:13">
      <c r="A77" s="30">
        <f ca="1" t="shared" si="1"/>
        <v>99</v>
      </c>
      <c r="B77" s="30">
        <f ca="1" t="array" ref="B77">INDEX(Data_DBD!$B:$B,$A77)</f>
        <v>4</v>
      </c>
      <c r="C77" s="30">
        <f ca="1" t="array" ref="C77">INDEX(Data_DBD!$C:$C,$A77)</f>
        <v>2</v>
      </c>
      <c r="D77" s="30">
        <f ca="1" t="array" ref="D77">INDEX(Data_DBD!$D:$D,$A77)</f>
        <v>18</v>
      </c>
      <c r="E77" s="30">
        <f ca="1" t="array" ref="E77">INDEX(Data_DBD!$E:$E,$A77)</f>
        <v>1</v>
      </c>
      <c r="F77" s="30">
        <f ca="1" t="array" ref="F77">INDEX(Data_DBD!$F:$F,$A77)</f>
        <v>3</v>
      </c>
      <c r="H77" s="30">
        <v>76</v>
      </c>
      <c r="I77" s="30">
        <v>70</v>
      </c>
      <c r="J77" s="30">
        <v>2</v>
      </c>
      <c r="K77" s="30">
        <v>10</v>
      </c>
      <c r="L77" s="30">
        <v>0</v>
      </c>
      <c r="M77" s="30">
        <v>2</v>
      </c>
    </row>
    <row r="78" spans="1:13">
      <c r="A78" s="30">
        <f ca="1" t="shared" si="1"/>
        <v>63</v>
      </c>
      <c r="B78" s="30">
        <f ca="1" t="array" ref="B78">INDEX(Data_DBD!$B:$B,$A78)</f>
        <v>25</v>
      </c>
      <c r="C78" s="30">
        <f ca="1" t="array" ref="C78">INDEX(Data_DBD!$C:$C,$A78)</f>
        <v>3</v>
      </c>
      <c r="D78" s="30">
        <f ca="1" t="array" ref="D78">INDEX(Data_DBD!$D:$D,$A78)</f>
        <v>15</v>
      </c>
      <c r="E78" s="30">
        <f ca="1" t="array" ref="E78">INDEX(Data_DBD!$E:$E,$A78)</f>
        <v>0</v>
      </c>
      <c r="F78" s="30">
        <f ca="1" t="array" ref="F78">INDEX(Data_DBD!$F:$F,$A78)</f>
        <v>2</v>
      </c>
      <c r="H78" s="30">
        <v>22</v>
      </c>
      <c r="I78" s="30">
        <v>6</v>
      </c>
      <c r="J78" s="30">
        <v>3</v>
      </c>
      <c r="K78" s="30">
        <v>14</v>
      </c>
      <c r="L78" s="30">
        <v>0</v>
      </c>
      <c r="M78" s="30">
        <v>2</v>
      </c>
    </row>
    <row r="79" spans="1:13">
      <c r="A79" s="30">
        <f ca="1" t="shared" si="1"/>
        <v>31</v>
      </c>
      <c r="B79" s="30">
        <f ca="1" t="array" ref="B79">INDEX(Data_DBD!$B:$B,$A79)</f>
        <v>64</v>
      </c>
      <c r="C79" s="30">
        <f ca="1" t="array" ref="C79">INDEX(Data_DBD!$C:$C,$A79)</f>
        <v>4</v>
      </c>
      <c r="D79" s="30">
        <f ca="1" t="array" ref="D79">INDEX(Data_DBD!$D:$D,$A79)</f>
        <v>14</v>
      </c>
      <c r="E79" s="30">
        <f ca="1" t="array" ref="E79">INDEX(Data_DBD!$E:$E,$A79)</f>
        <v>1</v>
      </c>
      <c r="F79" s="30">
        <f ca="1" t="array" ref="F79">INDEX(Data_DBD!$F:$F,$A79)</f>
        <v>2</v>
      </c>
      <c r="H79" s="30">
        <v>17</v>
      </c>
      <c r="I79" s="30">
        <v>2</v>
      </c>
      <c r="J79" s="30">
        <v>3</v>
      </c>
      <c r="K79" s="30">
        <v>7</v>
      </c>
      <c r="L79" s="30">
        <v>0</v>
      </c>
      <c r="M79" s="30">
        <v>1</v>
      </c>
    </row>
    <row r="80" spans="1:13">
      <c r="A80" s="30">
        <f ca="1" t="shared" si="1"/>
        <v>38</v>
      </c>
      <c r="B80" s="30">
        <f ca="1" t="array" ref="B80">INDEX(Data_DBD!$B:$B,$A80)</f>
        <v>52</v>
      </c>
      <c r="C80" s="30">
        <f ca="1" t="array" ref="C80">INDEX(Data_DBD!$C:$C,$A80)</f>
        <v>3</v>
      </c>
      <c r="D80" s="30">
        <f ca="1" t="array" ref="D80">INDEX(Data_DBD!$D:$D,$A80)</f>
        <v>4</v>
      </c>
      <c r="E80" s="30">
        <f ca="1" t="array" ref="E80">INDEX(Data_DBD!$E:$E,$A80)</f>
        <v>1</v>
      </c>
      <c r="F80" s="30">
        <f ca="1" t="array" ref="F80">INDEX(Data_DBD!$F:$F,$A80)</f>
        <v>1</v>
      </c>
      <c r="H80" s="30">
        <v>20</v>
      </c>
      <c r="I80" s="30">
        <v>15</v>
      </c>
      <c r="J80" s="30">
        <v>5</v>
      </c>
      <c r="K80" s="30">
        <v>7</v>
      </c>
      <c r="L80" s="30">
        <v>0</v>
      </c>
      <c r="M80" s="30">
        <v>1</v>
      </c>
    </row>
    <row r="81" spans="1:13">
      <c r="A81" s="30">
        <f ca="1" t="shared" si="1"/>
        <v>85</v>
      </c>
      <c r="B81" s="30">
        <f ca="1" t="array" ref="B81">INDEX(Data_DBD!$B:$B,$A81)</f>
        <v>27</v>
      </c>
      <c r="C81" s="30">
        <f ca="1" t="array" ref="C81">INDEX(Data_DBD!$C:$C,$A81)</f>
        <v>9</v>
      </c>
      <c r="D81" s="30">
        <f ca="1" t="array" ref="D81">INDEX(Data_DBD!$D:$D,$A81)</f>
        <v>13</v>
      </c>
      <c r="E81" s="30">
        <f ca="1" t="array" ref="E81">INDEX(Data_DBD!$E:$E,$A81)</f>
        <v>0</v>
      </c>
      <c r="F81" s="30">
        <f ca="1" t="array" ref="F81">INDEX(Data_DBD!$F:$F,$A81)</f>
        <v>2</v>
      </c>
      <c r="H81" s="30">
        <v>19</v>
      </c>
      <c r="I81" s="30">
        <v>8</v>
      </c>
      <c r="J81" s="30">
        <v>4</v>
      </c>
      <c r="K81" s="30">
        <v>7</v>
      </c>
      <c r="L81" s="30">
        <v>0</v>
      </c>
      <c r="M81" s="30">
        <v>1</v>
      </c>
    </row>
    <row r="82" spans="1:13">
      <c r="A82" s="30">
        <f ca="1" t="shared" si="1"/>
        <v>152</v>
      </c>
      <c r="B82" s="30">
        <f ca="1" t="array" ref="B82">INDEX(Data_DBD!$B:$B,$A82)</f>
        <v>47</v>
      </c>
      <c r="C82" s="30">
        <f ca="1" t="array" ref="C82">INDEX(Data_DBD!$C:$C,$A82)</f>
        <v>3</v>
      </c>
      <c r="D82" s="30">
        <f ca="1" t="array" ref="D82">INDEX(Data_DBD!$D:$D,$A82)</f>
        <v>21</v>
      </c>
      <c r="E82" s="30">
        <f ca="1" t="array" ref="E82">INDEX(Data_DBD!$E:$E,$A82)</f>
        <v>1</v>
      </c>
      <c r="F82" s="30">
        <f ca="1" t="array" ref="F82">INDEX(Data_DBD!$F:$F,$A82)</f>
        <v>3</v>
      </c>
      <c r="H82" s="30">
        <v>26</v>
      </c>
      <c r="I82" s="30">
        <v>75</v>
      </c>
      <c r="J82" s="30">
        <v>4</v>
      </c>
      <c r="K82" s="30">
        <v>14</v>
      </c>
      <c r="L82" s="30">
        <v>1</v>
      </c>
      <c r="M82" s="30">
        <v>2</v>
      </c>
    </row>
    <row r="83" spans="1:13">
      <c r="A83" s="30">
        <f ca="1" t="shared" si="1"/>
        <v>48</v>
      </c>
      <c r="B83" s="30">
        <f ca="1" t="array" ref="B83">INDEX(Data_DBD!$B:$B,$A83)</f>
        <v>50</v>
      </c>
      <c r="C83" s="30">
        <f ca="1" t="array" ref="C83">INDEX(Data_DBD!$C:$C,$A83)</f>
        <v>5</v>
      </c>
      <c r="D83" s="30">
        <f ca="1" t="array" ref="D83">INDEX(Data_DBD!$D:$D,$A83)</f>
        <v>13</v>
      </c>
      <c r="E83" s="30">
        <f ca="1" t="array" ref="E83">INDEX(Data_DBD!$E:$E,$A83)</f>
        <v>1</v>
      </c>
      <c r="F83" s="30">
        <f ca="1" t="array" ref="F83">INDEX(Data_DBD!$F:$F,$A83)</f>
        <v>2</v>
      </c>
      <c r="H83" s="30">
        <v>113</v>
      </c>
      <c r="I83" s="30">
        <v>69</v>
      </c>
      <c r="J83" s="30">
        <v>1</v>
      </c>
      <c r="K83" s="30">
        <v>33</v>
      </c>
      <c r="L83" s="30">
        <v>1</v>
      </c>
      <c r="M83" s="30">
        <v>3</v>
      </c>
    </row>
    <row r="84" spans="1:13">
      <c r="A84" s="30">
        <f ca="1" t="shared" si="1"/>
        <v>107</v>
      </c>
      <c r="B84" s="30">
        <f ca="1" t="array" ref="B84">INDEX(Data_DBD!$B:$B,$A84)</f>
        <v>48</v>
      </c>
      <c r="C84" s="30">
        <f ca="1" t="array" ref="C84">INDEX(Data_DBD!$C:$C,$A84)</f>
        <v>5</v>
      </c>
      <c r="D84" s="30">
        <f ca="1" t="array" ref="D84">INDEX(Data_DBD!$D:$D,$A84)</f>
        <v>18</v>
      </c>
      <c r="E84" s="30">
        <f ca="1" t="array" ref="E84">INDEX(Data_DBD!$E:$E,$A84)</f>
        <v>0</v>
      </c>
      <c r="F84" s="30">
        <f ca="1" t="array" ref="F84">INDEX(Data_DBD!$F:$F,$A84)</f>
        <v>3</v>
      </c>
      <c r="H84" s="30">
        <v>76</v>
      </c>
      <c r="I84" s="30">
        <v>70</v>
      </c>
      <c r="J84" s="30">
        <v>2</v>
      </c>
      <c r="K84" s="30">
        <v>10</v>
      </c>
      <c r="L84" s="30">
        <v>0</v>
      </c>
      <c r="M84" s="30">
        <v>2</v>
      </c>
    </row>
    <row r="85" spans="1:13">
      <c r="A85" s="30">
        <f ca="1" t="shared" si="1"/>
        <v>63</v>
      </c>
      <c r="B85" s="30">
        <f ca="1" t="array" ref="B85">INDEX(Data_DBD!$B:$B,$A85)</f>
        <v>25</v>
      </c>
      <c r="C85" s="30">
        <f ca="1" t="array" ref="C85">INDEX(Data_DBD!$C:$C,$A85)</f>
        <v>3</v>
      </c>
      <c r="D85" s="30">
        <f ca="1" t="array" ref="D85">INDEX(Data_DBD!$D:$D,$A85)</f>
        <v>15</v>
      </c>
      <c r="E85" s="30">
        <f ca="1" t="array" ref="E85">INDEX(Data_DBD!$E:$E,$A85)</f>
        <v>0</v>
      </c>
      <c r="F85" s="30">
        <f ca="1" t="array" ref="F85">INDEX(Data_DBD!$F:$F,$A85)</f>
        <v>2</v>
      </c>
      <c r="H85" s="30">
        <v>8</v>
      </c>
      <c r="I85" s="30">
        <v>4</v>
      </c>
      <c r="J85" s="30">
        <v>2</v>
      </c>
      <c r="K85" s="30">
        <v>12</v>
      </c>
      <c r="L85" s="30">
        <v>0</v>
      </c>
      <c r="M85" s="30">
        <v>2</v>
      </c>
    </row>
    <row r="86" spans="1:13">
      <c r="A86" s="30">
        <f ca="1" t="shared" si="1"/>
        <v>26</v>
      </c>
      <c r="B86" s="30">
        <f ca="1" t="array" ref="B86">INDEX(Data_DBD!$B:$B,$A86)</f>
        <v>75</v>
      </c>
      <c r="C86" s="30">
        <f ca="1" t="array" ref="C86">INDEX(Data_DBD!$C:$C,$A86)</f>
        <v>4</v>
      </c>
      <c r="D86" s="30">
        <f ca="1" t="array" ref="D86">INDEX(Data_DBD!$D:$D,$A86)</f>
        <v>14</v>
      </c>
      <c r="E86" s="30">
        <f ca="1" t="array" ref="E86">INDEX(Data_DBD!$E:$E,$A86)</f>
        <v>1</v>
      </c>
      <c r="F86" s="30">
        <f ca="1" t="array" ref="F86">INDEX(Data_DBD!$F:$F,$A86)</f>
        <v>2</v>
      </c>
      <c r="H86" s="30">
        <v>164</v>
      </c>
      <c r="I86" s="30">
        <v>10</v>
      </c>
      <c r="J86" s="30">
        <v>6</v>
      </c>
      <c r="K86" s="30">
        <v>3</v>
      </c>
      <c r="L86" s="30">
        <v>0</v>
      </c>
      <c r="M86" s="30">
        <v>1</v>
      </c>
    </row>
    <row r="87" spans="1:13">
      <c r="A87" s="30">
        <f ca="1" t="shared" si="1"/>
        <v>82</v>
      </c>
      <c r="B87" s="30">
        <f ca="1" t="array" ref="B87">INDEX(Data_DBD!$B:$B,$A87)</f>
        <v>28</v>
      </c>
      <c r="C87" s="30">
        <f ca="1" t="array" ref="C87">INDEX(Data_DBD!$C:$C,$A87)</f>
        <v>3</v>
      </c>
      <c r="D87" s="30">
        <f ca="1" t="array" ref="D87">INDEX(Data_DBD!$D:$D,$A87)</f>
        <v>13</v>
      </c>
      <c r="E87" s="30">
        <f ca="1" t="array" ref="E87">INDEX(Data_DBD!$E:$E,$A87)</f>
        <v>1</v>
      </c>
      <c r="F87" s="30">
        <f ca="1" t="array" ref="F87">INDEX(Data_DBD!$F:$F,$A87)</f>
        <v>2</v>
      </c>
      <c r="H87" s="30">
        <v>143</v>
      </c>
      <c r="I87" s="30">
        <v>20</v>
      </c>
      <c r="J87" s="30">
        <v>4</v>
      </c>
      <c r="K87" s="30">
        <v>21</v>
      </c>
      <c r="L87" s="30">
        <v>1</v>
      </c>
      <c r="M87" s="30">
        <v>3</v>
      </c>
    </row>
    <row r="88" spans="1:13">
      <c r="A88" s="30">
        <f ca="1" t="shared" si="1"/>
        <v>67</v>
      </c>
      <c r="B88" s="30">
        <f ca="1" t="array" ref="B88">INDEX(Data_DBD!$B:$B,$A88)</f>
        <v>21</v>
      </c>
      <c r="C88" s="30">
        <f ca="1" t="array" ref="C88">INDEX(Data_DBD!$C:$C,$A88)</f>
        <v>3</v>
      </c>
      <c r="D88" s="30">
        <f ca="1" t="array" ref="D88">INDEX(Data_DBD!$D:$D,$A88)</f>
        <v>10</v>
      </c>
      <c r="E88" s="30">
        <f ca="1" t="array" ref="E88">INDEX(Data_DBD!$E:$E,$A88)</f>
        <v>1</v>
      </c>
      <c r="F88" s="30">
        <f ca="1" t="array" ref="F88">INDEX(Data_DBD!$F:$F,$A88)</f>
        <v>2</v>
      </c>
      <c r="H88" s="30">
        <v>53</v>
      </c>
      <c r="I88" s="30">
        <v>35</v>
      </c>
      <c r="J88" s="30">
        <v>4</v>
      </c>
      <c r="K88" s="30">
        <v>15</v>
      </c>
      <c r="L88" s="30">
        <v>1</v>
      </c>
      <c r="M88" s="30">
        <v>2</v>
      </c>
    </row>
    <row r="89" spans="1:13">
      <c r="A89" s="30">
        <f ca="1" t="shared" si="1"/>
        <v>109</v>
      </c>
      <c r="B89" s="30">
        <f ca="1" t="array" ref="B89">INDEX(Data_DBD!$B:$B,$A89)</f>
        <v>40</v>
      </c>
      <c r="C89" s="30">
        <f ca="1" t="array" ref="C89">INDEX(Data_DBD!$C:$C,$A89)</f>
        <v>3</v>
      </c>
      <c r="D89" s="30">
        <f ca="1" t="array" ref="D89">INDEX(Data_DBD!$D:$D,$A89)</f>
        <v>33</v>
      </c>
      <c r="E89" s="30">
        <f ca="1" t="array" ref="E89">INDEX(Data_DBD!$E:$E,$A89)</f>
        <v>1</v>
      </c>
      <c r="F89" s="30">
        <f ca="1" t="array" ref="F89">INDEX(Data_DBD!$F:$F,$A89)</f>
        <v>3</v>
      </c>
      <c r="H89" s="30">
        <v>114</v>
      </c>
      <c r="I89" s="30">
        <v>14</v>
      </c>
      <c r="J89" s="30">
        <v>2</v>
      </c>
      <c r="K89" s="30">
        <v>33</v>
      </c>
      <c r="L89" s="30">
        <v>1</v>
      </c>
      <c r="M89" s="30">
        <v>3</v>
      </c>
    </row>
    <row r="90" spans="1:13">
      <c r="A90" s="30">
        <f ca="1" t="shared" si="1"/>
        <v>10</v>
      </c>
      <c r="B90" s="30">
        <f ca="1" t="array" ref="B90">INDEX(Data_DBD!$B:$B,$A90)</f>
        <v>18</v>
      </c>
      <c r="C90" s="30">
        <f ca="1" t="array" ref="C90">INDEX(Data_DBD!$C:$C,$A90)</f>
        <v>5</v>
      </c>
      <c r="D90" s="30">
        <f ca="1" t="array" ref="D90">INDEX(Data_DBD!$D:$D,$A90)</f>
        <v>12</v>
      </c>
      <c r="E90" s="30">
        <f ca="1" t="array" ref="E90">INDEX(Data_DBD!$E:$E,$A90)</f>
        <v>0</v>
      </c>
      <c r="F90" s="30">
        <f ca="1" t="array" ref="F90">INDEX(Data_DBD!$F:$F,$A90)</f>
        <v>2</v>
      </c>
      <c r="H90" s="30">
        <v>52</v>
      </c>
      <c r="I90" s="30">
        <v>59</v>
      </c>
      <c r="J90" s="30">
        <v>4</v>
      </c>
      <c r="K90" s="30">
        <v>15</v>
      </c>
      <c r="L90" s="30">
        <v>1</v>
      </c>
      <c r="M90" s="30">
        <v>2</v>
      </c>
    </row>
    <row r="91" spans="1:13">
      <c r="A91" s="30">
        <f ca="1" t="shared" si="1"/>
        <v>127</v>
      </c>
      <c r="B91" s="30">
        <f ca="1" t="array" ref="B91">INDEX(Data_DBD!$B:$B,$A91)</f>
        <v>21</v>
      </c>
      <c r="C91" s="30">
        <f ca="1" t="array" ref="C91">INDEX(Data_DBD!$C:$C,$A91)</f>
        <v>2</v>
      </c>
      <c r="D91" s="30">
        <f ca="1" t="array" ref="D91">INDEX(Data_DBD!$D:$D,$A91)</f>
        <v>33</v>
      </c>
      <c r="E91" s="30">
        <f ca="1" t="array" ref="E91">INDEX(Data_DBD!$E:$E,$A91)</f>
        <v>0</v>
      </c>
      <c r="F91" s="30">
        <f ca="1" t="array" ref="F91">INDEX(Data_DBD!$F:$F,$A91)</f>
        <v>3</v>
      </c>
      <c r="H91" s="30">
        <v>136</v>
      </c>
      <c r="I91" s="30">
        <v>6</v>
      </c>
      <c r="J91" s="30">
        <v>2</v>
      </c>
      <c r="K91" s="30">
        <v>33</v>
      </c>
      <c r="L91" s="30">
        <v>0</v>
      </c>
      <c r="M91" s="30">
        <v>3</v>
      </c>
    </row>
    <row r="92" spans="1:13">
      <c r="A92" s="30">
        <f ca="1" t="shared" si="1"/>
        <v>107</v>
      </c>
      <c r="B92" s="30">
        <f ca="1" t="array" ref="B92">INDEX(Data_DBD!$B:$B,$A92)</f>
        <v>48</v>
      </c>
      <c r="C92" s="30">
        <f ca="1" t="array" ref="C92">INDEX(Data_DBD!$C:$C,$A92)</f>
        <v>5</v>
      </c>
      <c r="D92" s="30">
        <f ca="1" t="array" ref="D92">INDEX(Data_DBD!$D:$D,$A92)</f>
        <v>18</v>
      </c>
      <c r="E92" s="30">
        <f ca="1" t="array" ref="E92">INDEX(Data_DBD!$E:$E,$A92)</f>
        <v>0</v>
      </c>
      <c r="F92" s="30">
        <f ca="1" t="array" ref="F92">INDEX(Data_DBD!$F:$F,$A92)</f>
        <v>3</v>
      </c>
      <c r="H92" s="30">
        <v>143</v>
      </c>
      <c r="I92" s="30">
        <v>20</v>
      </c>
      <c r="J92" s="30">
        <v>4</v>
      </c>
      <c r="K92" s="30">
        <v>21</v>
      </c>
      <c r="L92" s="30">
        <v>1</v>
      </c>
      <c r="M92" s="30">
        <v>3</v>
      </c>
    </row>
    <row r="93" spans="1:13">
      <c r="A93" s="30">
        <f ca="1" t="shared" si="1"/>
        <v>73</v>
      </c>
      <c r="B93" s="30">
        <f ca="1" t="array" ref="B93">INDEX(Data_DBD!$B:$B,$A93)</f>
        <v>15</v>
      </c>
      <c r="C93" s="30">
        <f ca="1" t="array" ref="C93">INDEX(Data_DBD!$C:$C,$A93)</f>
        <v>3</v>
      </c>
      <c r="D93" s="30">
        <f ca="1" t="array" ref="D93">INDEX(Data_DBD!$D:$D,$A93)</f>
        <v>10</v>
      </c>
      <c r="E93" s="30">
        <f ca="1" t="array" ref="E93">INDEX(Data_DBD!$E:$E,$A93)</f>
        <v>1</v>
      </c>
      <c r="F93" s="30">
        <f ca="1" t="array" ref="F93">INDEX(Data_DBD!$F:$F,$A93)</f>
        <v>2</v>
      </c>
      <c r="H93" s="30">
        <v>10</v>
      </c>
      <c r="I93" s="30">
        <v>18</v>
      </c>
      <c r="J93" s="30">
        <v>5</v>
      </c>
      <c r="K93" s="30">
        <v>12</v>
      </c>
      <c r="L93" s="30">
        <v>0</v>
      </c>
      <c r="M93" s="30">
        <v>2</v>
      </c>
    </row>
    <row r="94" spans="1:13">
      <c r="A94" s="30">
        <f ca="1" t="shared" si="1"/>
        <v>160</v>
      </c>
      <c r="B94" s="30">
        <f ca="1" t="array" ref="B94">INDEX(Data_DBD!$B:$B,$A94)</f>
        <v>16</v>
      </c>
      <c r="C94" s="30">
        <f ca="1" t="array" ref="C94">INDEX(Data_DBD!$C:$C,$A94)</f>
        <v>3</v>
      </c>
      <c r="D94" s="30">
        <f ca="1" t="array" ref="D94">INDEX(Data_DBD!$D:$D,$A94)</f>
        <v>21</v>
      </c>
      <c r="E94" s="30">
        <f ca="1" t="array" ref="E94">INDEX(Data_DBD!$E:$E,$A94)</f>
        <v>0</v>
      </c>
      <c r="F94" s="30">
        <f ca="1" t="array" ref="F94">INDEX(Data_DBD!$F:$F,$A94)</f>
        <v>3</v>
      </c>
      <c r="H94" s="30">
        <v>147</v>
      </c>
      <c r="I94" s="30">
        <v>66</v>
      </c>
      <c r="J94" s="30">
        <v>10</v>
      </c>
      <c r="K94" s="30">
        <v>21</v>
      </c>
      <c r="L94" s="30">
        <v>1</v>
      </c>
      <c r="M94" s="30">
        <v>3</v>
      </c>
    </row>
    <row r="95" spans="1:13">
      <c r="A95" s="30">
        <f ca="1" t="shared" si="1"/>
        <v>161</v>
      </c>
      <c r="B95" s="30">
        <f ca="1" t="array" ref="B95">INDEX(Data_DBD!$B:$B,$A95)</f>
        <v>12</v>
      </c>
      <c r="C95" s="30">
        <f ca="1" t="array" ref="C95">INDEX(Data_DBD!$C:$C,$A95)</f>
        <v>3</v>
      </c>
      <c r="D95" s="30">
        <f ca="1" t="array" ref="D95">INDEX(Data_DBD!$D:$D,$A95)</f>
        <v>21</v>
      </c>
      <c r="E95" s="30">
        <f ca="1" t="array" ref="E95">INDEX(Data_DBD!$E:$E,$A95)</f>
        <v>1</v>
      </c>
      <c r="F95" s="30">
        <f ca="1" t="array" ref="F95">INDEX(Data_DBD!$F:$F,$A95)</f>
        <v>3</v>
      </c>
      <c r="H95" s="30">
        <v>115</v>
      </c>
      <c r="I95" s="30">
        <v>52</v>
      </c>
      <c r="J95" s="30">
        <v>3</v>
      </c>
      <c r="K95" s="30">
        <v>33</v>
      </c>
      <c r="L95" s="30">
        <v>1</v>
      </c>
      <c r="M95" s="30">
        <v>3</v>
      </c>
    </row>
    <row r="96" spans="1:13">
      <c r="A96" s="30">
        <f ca="1" t="shared" si="1"/>
        <v>100</v>
      </c>
      <c r="B96" s="30">
        <f ca="1" t="array" ref="B96">INDEX(Data_DBD!$B:$B,$A96)</f>
        <v>19</v>
      </c>
      <c r="C96" s="30">
        <f ca="1" t="array" ref="C96">INDEX(Data_DBD!$C:$C,$A96)</f>
        <v>6</v>
      </c>
      <c r="D96" s="30">
        <f ca="1" t="array" ref="D96">INDEX(Data_DBD!$D:$D,$A96)</f>
        <v>18</v>
      </c>
      <c r="E96" s="30">
        <f ca="1" t="array" ref="E96">INDEX(Data_DBD!$E:$E,$A96)</f>
        <v>0</v>
      </c>
      <c r="F96" s="30">
        <f ca="1" t="array" ref="F96">INDEX(Data_DBD!$F:$F,$A96)</f>
        <v>3</v>
      </c>
      <c r="H96" s="30">
        <v>121</v>
      </c>
      <c r="I96" s="30">
        <v>82</v>
      </c>
      <c r="J96" s="30">
        <v>5</v>
      </c>
      <c r="K96" s="30">
        <v>33</v>
      </c>
      <c r="L96" s="30">
        <v>1</v>
      </c>
      <c r="M96" s="30">
        <v>3</v>
      </c>
    </row>
    <row r="97" spans="1:13">
      <c r="A97" s="30">
        <f ca="1" t="shared" si="1"/>
        <v>127</v>
      </c>
      <c r="B97" s="30">
        <f ca="1" t="array" ref="B97">INDEX(Data_DBD!$B:$B,$A97)</f>
        <v>21</v>
      </c>
      <c r="C97" s="30">
        <f ca="1" t="array" ref="C97">INDEX(Data_DBD!$C:$C,$A97)</f>
        <v>2</v>
      </c>
      <c r="D97" s="30">
        <f ca="1" t="array" ref="D97">INDEX(Data_DBD!$D:$D,$A97)</f>
        <v>33</v>
      </c>
      <c r="E97" s="30">
        <f ca="1" t="array" ref="E97">INDEX(Data_DBD!$E:$E,$A97)</f>
        <v>0</v>
      </c>
      <c r="F97" s="30">
        <f ca="1" t="array" ref="F97">INDEX(Data_DBD!$F:$F,$A97)</f>
        <v>3</v>
      </c>
      <c r="H97" s="30">
        <v>132</v>
      </c>
      <c r="I97" s="30">
        <v>10</v>
      </c>
      <c r="J97" s="30">
        <v>3</v>
      </c>
      <c r="K97" s="30">
        <v>33</v>
      </c>
      <c r="L97" s="30">
        <v>1</v>
      </c>
      <c r="M97" s="30">
        <v>3</v>
      </c>
    </row>
    <row r="98" spans="1:13">
      <c r="A98" s="30">
        <f ca="1" t="shared" si="1"/>
        <v>107</v>
      </c>
      <c r="B98" s="30">
        <f ca="1" t="array" ref="B98">INDEX(Data_DBD!$B:$B,$A98)</f>
        <v>48</v>
      </c>
      <c r="C98" s="30">
        <f ca="1" t="array" ref="C98">INDEX(Data_DBD!$C:$C,$A98)</f>
        <v>5</v>
      </c>
      <c r="D98" s="30">
        <f ca="1" t="array" ref="D98">INDEX(Data_DBD!$D:$D,$A98)</f>
        <v>18</v>
      </c>
      <c r="E98" s="30">
        <f ca="1" t="array" ref="E98">INDEX(Data_DBD!$E:$E,$A98)</f>
        <v>0</v>
      </c>
      <c r="F98" s="30">
        <f ca="1" t="array" ref="F98">INDEX(Data_DBD!$F:$F,$A98)</f>
        <v>3</v>
      </c>
      <c r="H98" s="30">
        <v>22</v>
      </c>
      <c r="I98" s="30">
        <v>6</v>
      </c>
      <c r="J98" s="30">
        <v>3</v>
      </c>
      <c r="K98" s="30">
        <v>14</v>
      </c>
      <c r="L98" s="30">
        <v>0</v>
      </c>
      <c r="M98" s="30">
        <v>2</v>
      </c>
    </row>
    <row r="99" spans="1:13">
      <c r="A99" s="30">
        <f ca="1" t="shared" si="1"/>
        <v>98</v>
      </c>
      <c r="B99" s="30">
        <f ca="1" t="array" ref="B99">INDEX(Data_DBD!$B:$B,$A99)</f>
        <v>16</v>
      </c>
      <c r="C99" s="30">
        <f ca="1" t="array" ref="C99">INDEX(Data_DBD!$C:$C,$A99)</f>
        <v>2</v>
      </c>
      <c r="D99" s="30">
        <f ca="1" t="array" ref="D99">INDEX(Data_DBD!$D:$D,$A99)</f>
        <v>18</v>
      </c>
      <c r="E99" s="30">
        <f ca="1" t="array" ref="E99">INDEX(Data_DBD!$E:$E,$A99)</f>
        <v>1</v>
      </c>
      <c r="F99" s="30">
        <f ca="1" t="array" ref="F99">INDEX(Data_DBD!$F:$F,$A99)</f>
        <v>3</v>
      </c>
      <c r="H99" s="30">
        <v>12</v>
      </c>
      <c r="I99" s="30">
        <v>23</v>
      </c>
      <c r="J99" s="30">
        <v>3</v>
      </c>
      <c r="K99" s="30">
        <v>12</v>
      </c>
      <c r="L99" s="30">
        <v>0</v>
      </c>
      <c r="M99" s="30">
        <v>2</v>
      </c>
    </row>
    <row r="100" spans="1:13">
      <c r="A100" s="30">
        <f ca="1" t="shared" si="1"/>
        <v>113</v>
      </c>
      <c r="B100" s="30">
        <f ca="1" t="array" ref="B100">INDEX(Data_DBD!$B:$B,$A100)</f>
        <v>69</v>
      </c>
      <c r="C100" s="30">
        <f ca="1" t="array" ref="C100">INDEX(Data_DBD!$C:$C,$A100)</f>
        <v>1</v>
      </c>
      <c r="D100" s="30">
        <f ca="1" t="array" ref="D100">INDEX(Data_DBD!$D:$D,$A100)</f>
        <v>33</v>
      </c>
      <c r="E100" s="30">
        <f ca="1" t="array" ref="E100">INDEX(Data_DBD!$E:$E,$A100)</f>
        <v>1</v>
      </c>
      <c r="F100" s="30">
        <f ca="1" t="array" ref="F100">INDEX(Data_DBD!$F:$F,$A100)</f>
        <v>3</v>
      </c>
      <c r="H100" s="30">
        <v>52</v>
      </c>
      <c r="I100" s="30">
        <v>59</v>
      </c>
      <c r="J100" s="30">
        <v>4</v>
      </c>
      <c r="K100" s="30">
        <v>15</v>
      </c>
      <c r="L100" s="30">
        <v>1</v>
      </c>
      <c r="M100" s="30">
        <v>2</v>
      </c>
    </row>
    <row r="101" spans="1:13">
      <c r="A101" s="30">
        <f ca="1" t="shared" si="1"/>
        <v>24</v>
      </c>
      <c r="B101" s="30">
        <f ca="1" t="array" ref="B101">INDEX(Data_DBD!$B:$B,$A101)</f>
        <v>60</v>
      </c>
      <c r="C101" s="30">
        <f ca="1" t="array" ref="C101">INDEX(Data_DBD!$C:$C,$A101)</f>
        <v>4</v>
      </c>
      <c r="D101" s="30">
        <f ca="1" t="array" ref="D101">INDEX(Data_DBD!$D:$D,$A101)</f>
        <v>14</v>
      </c>
      <c r="E101" s="30">
        <f ca="1" t="array" ref="E101">INDEX(Data_DBD!$E:$E,$A101)</f>
        <v>0</v>
      </c>
      <c r="F101" s="30">
        <f ca="1" t="array" ref="F101">INDEX(Data_DBD!$F:$F,$A101)</f>
        <v>2</v>
      </c>
      <c r="H101" s="30">
        <v>91</v>
      </c>
      <c r="I101" s="30">
        <v>35</v>
      </c>
      <c r="J101" s="30">
        <v>1</v>
      </c>
      <c r="K101" s="30">
        <v>18</v>
      </c>
      <c r="L101" s="30">
        <v>1</v>
      </c>
      <c r="M101" s="30">
        <v>3</v>
      </c>
    </row>
    <row r="102" spans="1:13">
      <c r="A102" s="30">
        <f ca="1" t="shared" si="1"/>
        <v>40</v>
      </c>
      <c r="B102" s="30">
        <f ca="1" t="array" ref="B102">INDEX(Data_DBD!$B:$B,$A102)</f>
        <v>65</v>
      </c>
      <c r="C102" s="30">
        <f ca="1" t="array" ref="C102">INDEX(Data_DBD!$C:$C,$A102)</f>
        <v>3</v>
      </c>
      <c r="D102" s="30">
        <f ca="1" t="array" ref="D102">INDEX(Data_DBD!$D:$D,$A102)</f>
        <v>13</v>
      </c>
      <c r="E102" s="30">
        <f ca="1" t="array" ref="E102">INDEX(Data_DBD!$E:$E,$A102)</f>
        <v>1</v>
      </c>
      <c r="F102" s="30">
        <f ca="1" t="array" ref="F102">INDEX(Data_DBD!$F:$F,$A102)</f>
        <v>2</v>
      </c>
      <c r="H102" s="30">
        <v>26</v>
      </c>
      <c r="I102" s="30">
        <v>75</v>
      </c>
      <c r="J102" s="30">
        <v>4</v>
      </c>
      <c r="K102" s="30">
        <v>14</v>
      </c>
      <c r="L102" s="30">
        <v>1</v>
      </c>
      <c r="M102" s="30">
        <v>2</v>
      </c>
    </row>
    <row r="103" spans="1:13">
      <c r="A103" s="30">
        <f ca="1" t="shared" si="1"/>
        <v>153</v>
      </c>
      <c r="B103" s="30">
        <f ca="1" t="array" ref="B103">INDEX(Data_DBD!$B:$B,$A103)</f>
        <v>73</v>
      </c>
      <c r="C103" s="30">
        <f ca="1" t="array" ref="C103">INDEX(Data_DBD!$C:$C,$A103)</f>
        <v>7</v>
      </c>
      <c r="D103" s="30">
        <f ca="1" t="array" ref="D103">INDEX(Data_DBD!$D:$D,$A103)</f>
        <v>21</v>
      </c>
      <c r="E103" s="30">
        <f ca="1" t="array" ref="E103">INDEX(Data_DBD!$E:$E,$A103)</f>
        <v>1</v>
      </c>
      <c r="F103" s="30">
        <f ca="1" t="array" ref="F103">INDEX(Data_DBD!$F:$F,$A103)</f>
        <v>3</v>
      </c>
      <c r="H103" s="30">
        <v>50</v>
      </c>
      <c r="I103" s="30">
        <v>19</v>
      </c>
      <c r="J103" s="30">
        <v>5</v>
      </c>
      <c r="K103" s="30">
        <v>13</v>
      </c>
      <c r="L103" s="30">
        <v>0</v>
      </c>
      <c r="M103" s="30">
        <v>2</v>
      </c>
    </row>
    <row r="104" spans="1:13">
      <c r="A104" s="30">
        <f ca="1" t="shared" si="1"/>
        <v>17</v>
      </c>
      <c r="B104" s="30">
        <f ca="1" t="array" ref="B104">INDEX(Data_DBD!$B:$B,$A104)</f>
        <v>2</v>
      </c>
      <c r="C104" s="30">
        <f ca="1" t="array" ref="C104">INDEX(Data_DBD!$C:$C,$A104)</f>
        <v>3</v>
      </c>
      <c r="D104" s="30">
        <f ca="1" t="array" ref="D104">INDEX(Data_DBD!$D:$D,$A104)</f>
        <v>7</v>
      </c>
      <c r="E104" s="30">
        <f ca="1" t="array" ref="E104">INDEX(Data_DBD!$E:$E,$A104)</f>
        <v>0</v>
      </c>
      <c r="F104" s="30">
        <f ca="1" t="array" ref="F104">INDEX(Data_DBD!$F:$F,$A104)</f>
        <v>1</v>
      </c>
      <c r="H104" s="30">
        <v>119</v>
      </c>
      <c r="I104" s="30">
        <v>30</v>
      </c>
      <c r="J104" s="30">
        <v>7</v>
      </c>
      <c r="K104" s="30">
        <v>33</v>
      </c>
      <c r="L104" s="30">
        <v>0</v>
      </c>
      <c r="M104" s="30">
        <v>3</v>
      </c>
    </row>
    <row r="105" spans="1:13">
      <c r="A105" s="30">
        <f ca="1" t="shared" si="1"/>
        <v>53</v>
      </c>
      <c r="B105" s="30">
        <f ca="1" t="array" ref="B105">INDEX(Data_DBD!$B:$B,$A105)</f>
        <v>35</v>
      </c>
      <c r="C105" s="30">
        <f ca="1" t="array" ref="C105">INDEX(Data_DBD!$C:$C,$A105)</f>
        <v>4</v>
      </c>
      <c r="D105" s="30">
        <f ca="1" t="array" ref="D105">INDEX(Data_DBD!$D:$D,$A105)</f>
        <v>15</v>
      </c>
      <c r="E105" s="30">
        <f ca="1" t="array" ref="E105">INDEX(Data_DBD!$E:$E,$A105)</f>
        <v>1</v>
      </c>
      <c r="F105" s="30">
        <f ca="1" t="array" ref="F105">INDEX(Data_DBD!$F:$F,$A105)</f>
        <v>2</v>
      </c>
      <c r="H105" s="30">
        <v>100</v>
      </c>
      <c r="I105" s="30">
        <v>19</v>
      </c>
      <c r="J105" s="30">
        <v>6</v>
      </c>
      <c r="K105" s="30">
        <v>18</v>
      </c>
      <c r="L105" s="30">
        <v>0</v>
      </c>
      <c r="M105" s="30">
        <v>3</v>
      </c>
    </row>
    <row r="106" spans="1:13">
      <c r="A106" s="30">
        <f ca="1" t="shared" si="1"/>
        <v>88</v>
      </c>
      <c r="B106" s="30">
        <f ca="1" t="array" ref="B106">INDEX(Data_DBD!$B:$B,$A106)</f>
        <v>20</v>
      </c>
      <c r="C106" s="30">
        <f ca="1" t="array" ref="C106">INDEX(Data_DBD!$C:$C,$A106)</f>
        <v>4</v>
      </c>
      <c r="D106" s="30">
        <f ca="1" t="array" ref="D106">INDEX(Data_DBD!$D:$D,$A106)</f>
        <v>13</v>
      </c>
      <c r="E106" s="30">
        <f ca="1" t="array" ref="E106">INDEX(Data_DBD!$E:$E,$A106)</f>
        <v>1</v>
      </c>
      <c r="F106" s="30">
        <f ca="1" t="array" ref="F106">INDEX(Data_DBD!$F:$F,$A106)</f>
        <v>2</v>
      </c>
      <c r="H106" s="30">
        <v>57</v>
      </c>
      <c r="I106" s="30">
        <v>2</v>
      </c>
      <c r="J106" s="30">
        <v>2</v>
      </c>
      <c r="K106" s="30">
        <v>15</v>
      </c>
      <c r="L106" s="30">
        <v>1</v>
      </c>
      <c r="M106" s="30">
        <v>2</v>
      </c>
    </row>
    <row r="107" spans="1:13">
      <c r="A107" s="30">
        <f ca="1" t="shared" si="1"/>
        <v>24</v>
      </c>
      <c r="B107" s="30">
        <f ca="1" t="array" ref="B107">INDEX(Data_DBD!$B:$B,$A107)</f>
        <v>60</v>
      </c>
      <c r="C107" s="30">
        <f ca="1" t="array" ref="C107">INDEX(Data_DBD!$C:$C,$A107)</f>
        <v>4</v>
      </c>
      <c r="D107" s="30">
        <f ca="1" t="array" ref="D107">INDEX(Data_DBD!$D:$D,$A107)</f>
        <v>14</v>
      </c>
      <c r="E107" s="30">
        <f ca="1" t="array" ref="E107">INDEX(Data_DBD!$E:$E,$A107)</f>
        <v>0</v>
      </c>
      <c r="F107" s="30">
        <f ca="1" t="array" ref="F107">INDEX(Data_DBD!$F:$F,$A107)</f>
        <v>2</v>
      </c>
      <c r="H107" s="30">
        <v>87</v>
      </c>
      <c r="I107" s="30">
        <v>21</v>
      </c>
      <c r="J107" s="30">
        <v>3</v>
      </c>
      <c r="K107" s="30">
        <v>13</v>
      </c>
      <c r="L107" s="30">
        <v>0</v>
      </c>
      <c r="M107" s="30">
        <v>2</v>
      </c>
    </row>
    <row r="108" spans="1:13">
      <c r="A108" s="30">
        <f ca="1" t="shared" si="1"/>
        <v>93</v>
      </c>
      <c r="B108" s="30">
        <f ca="1" t="array" ref="B108">INDEX(Data_DBD!$B:$B,$A108)</f>
        <v>65</v>
      </c>
      <c r="C108" s="30">
        <f ca="1" t="array" ref="C108">INDEX(Data_DBD!$C:$C,$A108)</f>
        <v>4</v>
      </c>
      <c r="D108" s="30">
        <f ca="1" t="array" ref="D108">INDEX(Data_DBD!$D:$D,$A108)</f>
        <v>18</v>
      </c>
      <c r="E108" s="30">
        <f ca="1" t="array" ref="E108">INDEX(Data_DBD!$E:$E,$A108)</f>
        <v>0</v>
      </c>
      <c r="F108" s="30">
        <f ca="1" t="array" ref="F108">INDEX(Data_DBD!$F:$F,$A108)</f>
        <v>3</v>
      </c>
      <c r="H108" s="30">
        <v>121</v>
      </c>
      <c r="I108" s="30">
        <v>82</v>
      </c>
      <c r="J108" s="30">
        <v>5</v>
      </c>
      <c r="K108" s="30">
        <v>33</v>
      </c>
      <c r="L108" s="30">
        <v>1</v>
      </c>
      <c r="M108" s="30">
        <v>3</v>
      </c>
    </row>
    <row r="109" spans="1:13">
      <c r="A109" s="30">
        <f ca="1" t="shared" si="1"/>
        <v>25</v>
      </c>
      <c r="B109" s="30">
        <f ca="1" t="array" ref="B109">INDEX(Data_DBD!$B:$B,$A109)</f>
        <v>81</v>
      </c>
      <c r="C109" s="30">
        <f ca="1" t="array" ref="C109">INDEX(Data_DBD!$C:$C,$A109)</f>
        <v>5</v>
      </c>
      <c r="D109" s="30">
        <f ca="1" t="array" ref="D109">INDEX(Data_DBD!$D:$D,$A109)</f>
        <v>14</v>
      </c>
      <c r="E109" s="30">
        <f ca="1" t="array" ref="E109">INDEX(Data_DBD!$E:$E,$A109)</f>
        <v>0</v>
      </c>
      <c r="F109" s="30">
        <f ca="1" t="array" ref="F109">INDEX(Data_DBD!$F:$F,$A109)</f>
        <v>2</v>
      </c>
      <c r="H109" s="30">
        <v>52</v>
      </c>
      <c r="I109" s="30">
        <v>59</v>
      </c>
      <c r="J109" s="30">
        <v>4</v>
      </c>
      <c r="K109" s="30">
        <v>15</v>
      </c>
      <c r="L109" s="30">
        <v>1</v>
      </c>
      <c r="M109" s="30">
        <v>2</v>
      </c>
    </row>
    <row r="110" spans="1:13">
      <c r="A110" s="30">
        <f ca="1" t="shared" si="1"/>
        <v>81</v>
      </c>
      <c r="B110" s="30">
        <f ca="1" t="array" ref="B110">INDEX(Data_DBD!$B:$B,$A110)</f>
        <v>23</v>
      </c>
      <c r="C110" s="30">
        <f ca="1" t="array" ref="C110">INDEX(Data_DBD!$C:$C,$A110)</f>
        <v>5</v>
      </c>
      <c r="D110" s="30">
        <f ca="1" t="array" ref="D110">INDEX(Data_DBD!$D:$D,$A110)</f>
        <v>13</v>
      </c>
      <c r="E110" s="30">
        <f ca="1" t="array" ref="E110">INDEX(Data_DBD!$E:$E,$A110)</f>
        <v>1</v>
      </c>
      <c r="F110" s="30">
        <f ca="1" t="array" ref="F110">INDEX(Data_DBD!$F:$F,$A110)</f>
        <v>2</v>
      </c>
      <c r="H110" s="30">
        <v>76</v>
      </c>
      <c r="I110" s="30">
        <v>70</v>
      </c>
      <c r="J110" s="30">
        <v>2</v>
      </c>
      <c r="K110" s="30">
        <v>10</v>
      </c>
      <c r="L110" s="30">
        <v>0</v>
      </c>
      <c r="M110" s="30">
        <v>2</v>
      </c>
    </row>
    <row r="111" spans="1:13">
      <c r="A111" s="30">
        <f ca="1" t="shared" si="1"/>
        <v>55</v>
      </c>
      <c r="B111" s="30">
        <f ca="1" t="array" ref="B111">INDEX(Data_DBD!$B:$B,$A111)</f>
        <v>7</v>
      </c>
      <c r="C111" s="30">
        <f ca="1" t="array" ref="C111">INDEX(Data_DBD!$C:$C,$A111)</f>
        <v>4</v>
      </c>
      <c r="D111" s="30">
        <f ca="1" t="array" ref="D111">INDEX(Data_DBD!$D:$D,$A111)</f>
        <v>15</v>
      </c>
      <c r="E111" s="30">
        <f ca="1" t="array" ref="E111">INDEX(Data_DBD!$E:$E,$A111)</f>
        <v>1</v>
      </c>
      <c r="F111" s="30">
        <f ca="1" t="array" ref="F111">INDEX(Data_DBD!$F:$F,$A111)</f>
        <v>2</v>
      </c>
      <c r="H111" s="30">
        <v>105</v>
      </c>
      <c r="I111" s="30">
        <v>61</v>
      </c>
      <c r="J111" s="30">
        <v>3</v>
      </c>
      <c r="K111" s="30">
        <v>18</v>
      </c>
      <c r="L111" s="30">
        <v>1</v>
      </c>
      <c r="M111" s="30">
        <v>3</v>
      </c>
    </row>
    <row r="112" spans="1:13">
      <c r="A112" s="30">
        <f ca="1" t="shared" si="1"/>
        <v>156</v>
      </c>
      <c r="B112" s="30">
        <f ca="1" t="array" ref="B112">INDEX(Data_DBD!$B:$B,$A112)</f>
        <v>5</v>
      </c>
      <c r="C112" s="30">
        <f ca="1" t="array" ref="C112">INDEX(Data_DBD!$C:$C,$A112)</f>
        <v>2</v>
      </c>
      <c r="D112" s="30">
        <f ca="1" t="array" ref="D112">INDEX(Data_DBD!$D:$D,$A112)</f>
        <v>21</v>
      </c>
      <c r="E112" s="30">
        <f ca="1" t="array" ref="E112">INDEX(Data_DBD!$E:$E,$A112)</f>
        <v>0</v>
      </c>
      <c r="F112" s="30">
        <f ca="1" t="array" ref="F112">INDEX(Data_DBD!$F:$F,$A112)</f>
        <v>3</v>
      </c>
      <c r="H112" s="30">
        <v>155</v>
      </c>
      <c r="I112" s="30">
        <v>19</v>
      </c>
      <c r="J112" s="30">
        <v>5</v>
      </c>
      <c r="K112" s="30">
        <v>21</v>
      </c>
      <c r="L112" s="30">
        <v>1</v>
      </c>
      <c r="M112" s="30">
        <v>3</v>
      </c>
    </row>
    <row r="113" spans="1:13">
      <c r="A113" s="30">
        <f ca="1" t="shared" si="1"/>
        <v>48</v>
      </c>
      <c r="B113" s="30">
        <f ca="1" t="array" ref="B113">INDEX(Data_DBD!$B:$B,$A113)</f>
        <v>50</v>
      </c>
      <c r="C113" s="30">
        <f ca="1" t="array" ref="C113">INDEX(Data_DBD!$C:$C,$A113)</f>
        <v>5</v>
      </c>
      <c r="D113" s="30">
        <f ca="1" t="array" ref="D113">INDEX(Data_DBD!$D:$D,$A113)</f>
        <v>13</v>
      </c>
      <c r="E113" s="30">
        <f ca="1" t="array" ref="E113">INDEX(Data_DBD!$E:$E,$A113)</f>
        <v>1</v>
      </c>
      <c r="F113" s="30">
        <f ca="1" t="array" ref="F113">INDEX(Data_DBD!$F:$F,$A113)</f>
        <v>2</v>
      </c>
      <c r="H113" s="30">
        <v>53</v>
      </c>
      <c r="I113" s="30">
        <v>35</v>
      </c>
      <c r="J113" s="30">
        <v>4</v>
      </c>
      <c r="K113" s="30">
        <v>15</v>
      </c>
      <c r="L113" s="30">
        <v>1</v>
      </c>
      <c r="M113" s="30">
        <v>2</v>
      </c>
    </row>
    <row r="114" spans="1:13">
      <c r="A114" s="30">
        <f ca="1" t="shared" si="1"/>
        <v>79</v>
      </c>
      <c r="B114" s="30">
        <f ca="1" t="array" ref="B114">INDEX(Data_DBD!$B:$B,$A114)</f>
        <v>29</v>
      </c>
      <c r="C114" s="30">
        <f ca="1" t="array" ref="C114">INDEX(Data_DBD!$C:$C,$A114)</f>
        <v>3</v>
      </c>
      <c r="D114" s="30">
        <f ca="1" t="array" ref="D114">INDEX(Data_DBD!$D:$D,$A114)</f>
        <v>13</v>
      </c>
      <c r="E114" s="30">
        <f ca="1" t="array" ref="E114">INDEX(Data_DBD!$E:$E,$A114)</f>
        <v>0</v>
      </c>
      <c r="F114" s="30">
        <f ca="1" t="array" ref="F114">INDEX(Data_DBD!$F:$F,$A114)</f>
        <v>2</v>
      </c>
      <c r="H114" s="30">
        <v>164</v>
      </c>
      <c r="I114" s="30">
        <v>10</v>
      </c>
      <c r="J114" s="30">
        <v>6</v>
      </c>
      <c r="K114" s="30">
        <v>3</v>
      </c>
      <c r="L114" s="30">
        <v>0</v>
      </c>
      <c r="M114" s="30">
        <v>1</v>
      </c>
    </row>
    <row r="115" spans="1:13">
      <c r="A115" s="30">
        <f ca="1" t="shared" si="1"/>
        <v>46</v>
      </c>
      <c r="B115" s="30">
        <f ca="1" t="array" ref="B115">INDEX(Data_DBD!$B:$B,$A115)</f>
        <v>62</v>
      </c>
      <c r="C115" s="30">
        <f ca="1" t="array" ref="C115">INDEX(Data_DBD!$C:$C,$A115)</f>
        <v>2</v>
      </c>
      <c r="D115" s="30">
        <f ca="1" t="array" ref="D115">INDEX(Data_DBD!$D:$D,$A115)</f>
        <v>13</v>
      </c>
      <c r="E115" s="30">
        <f ca="1" t="array" ref="E115">INDEX(Data_DBD!$E:$E,$A115)</f>
        <v>0</v>
      </c>
      <c r="F115" s="30">
        <f ca="1" t="array" ref="F115">INDEX(Data_DBD!$F:$F,$A115)</f>
        <v>2</v>
      </c>
      <c r="H115" s="30">
        <v>132</v>
      </c>
      <c r="I115" s="30">
        <v>10</v>
      </c>
      <c r="J115" s="30">
        <v>3</v>
      </c>
      <c r="K115" s="30">
        <v>33</v>
      </c>
      <c r="L115" s="30">
        <v>1</v>
      </c>
      <c r="M115" s="30">
        <v>3</v>
      </c>
    </row>
    <row r="116" spans="1:13">
      <c r="A116" s="30">
        <f ca="1" t="shared" si="1"/>
        <v>109</v>
      </c>
      <c r="B116" s="30">
        <f ca="1" t="array" ref="B116">INDEX(Data_DBD!$B:$B,$A116)</f>
        <v>40</v>
      </c>
      <c r="C116" s="30">
        <f ca="1" t="array" ref="C116">INDEX(Data_DBD!$C:$C,$A116)</f>
        <v>3</v>
      </c>
      <c r="D116" s="30">
        <f ca="1" t="array" ref="D116">INDEX(Data_DBD!$D:$D,$A116)</f>
        <v>33</v>
      </c>
      <c r="E116" s="30">
        <f ca="1" t="array" ref="E116">INDEX(Data_DBD!$E:$E,$A116)</f>
        <v>1</v>
      </c>
      <c r="F116" s="30">
        <f ca="1" t="array" ref="F116">INDEX(Data_DBD!$F:$F,$A116)</f>
        <v>3</v>
      </c>
      <c r="H116" s="30">
        <v>47</v>
      </c>
      <c r="I116" s="30">
        <v>19</v>
      </c>
      <c r="J116" s="30">
        <v>2</v>
      </c>
      <c r="K116" s="30">
        <v>13</v>
      </c>
      <c r="L116" s="30">
        <v>0</v>
      </c>
      <c r="M116" s="30">
        <v>2</v>
      </c>
    </row>
    <row r="117" spans="1:13">
      <c r="A117" s="30">
        <f ca="1" t="shared" si="1"/>
        <v>106</v>
      </c>
      <c r="B117" s="30">
        <f ca="1" t="array" ref="B117">INDEX(Data_DBD!$B:$B,$A117)</f>
        <v>23</v>
      </c>
      <c r="C117" s="30">
        <f ca="1" t="array" ref="C117">INDEX(Data_DBD!$C:$C,$A117)</f>
        <v>3</v>
      </c>
      <c r="D117" s="30">
        <f ca="1" t="array" ref="D117">INDEX(Data_DBD!$D:$D,$A117)</f>
        <v>18</v>
      </c>
      <c r="E117" s="30">
        <f ca="1" t="array" ref="E117">INDEX(Data_DBD!$E:$E,$A117)</f>
        <v>1</v>
      </c>
      <c r="F117" s="30">
        <f ca="1" t="array" ref="F117">INDEX(Data_DBD!$F:$F,$A117)</f>
        <v>3</v>
      </c>
      <c r="H117" s="30">
        <v>55</v>
      </c>
      <c r="I117" s="30">
        <v>7</v>
      </c>
      <c r="J117" s="30">
        <v>4</v>
      </c>
      <c r="K117" s="30">
        <v>15</v>
      </c>
      <c r="L117" s="30">
        <v>1</v>
      </c>
      <c r="M117" s="30">
        <v>2</v>
      </c>
    </row>
    <row r="118" spans="1:13">
      <c r="A118" s="30">
        <f ca="1" t="shared" si="1"/>
        <v>76</v>
      </c>
      <c r="B118" s="30">
        <f ca="1" t="array" ref="B118">INDEX(Data_DBD!$B:$B,$A118)</f>
        <v>70</v>
      </c>
      <c r="C118" s="30">
        <f ca="1" t="array" ref="C118">INDEX(Data_DBD!$C:$C,$A118)</f>
        <v>2</v>
      </c>
      <c r="D118" s="30">
        <f ca="1" t="array" ref="D118">INDEX(Data_DBD!$D:$D,$A118)</f>
        <v>10</v>
      </c>
      <c r="E118" s="30">
        <f ca="1" t="array" ref="E118">INDEX(Data_DBD!$E:$E,$A118)</f>
        <v>0</v>
      </c>
      <c r="F118" s="30">
        <f ca="1" t="array" ref="F118">INDEX(Data_DBD!$F:$F,$A118)</f>
        <v>2</v>
      </c>
      <c r="H118" s="30">
        <v>123</v>
      </c>
      <c r="I118" s="30">
        <v>22</v>
      </c>
      <c r="J118" s="30">
        <v>4</v>
      </c>
      <c r="K118" s="30">
        <v>33</v>
      </c>
      <c r="L118" s="30">
        <v>0</v>
      </c>
      <c r="M118" s="30">
        <v>3</v>
      </c>
    </row>
    <row r="119" spans="1:13">
      <c r="A119" s="30">
        <f ca="1" t="shared" si="1"/>
        <v>121</v>
      </c>
      <c r="B119" s="30">
        <f ca="1" t="array" ref="B119">INDEX(Data_DBD!$B:$B,$A119)</f>
        <v>82</v>
      </c>
      <c r="C119" s="30">
        <f ca="1" t="array" ref="C119">INDEX(Data_DBD!$C:$C,$A119)</f>
        <v>5</v>
      </c>
      <c r="D119" s="30">
        <f ca="1" t="array" ref="D119">INDEX(Data_DBD!$D:$D,$A119)</f>
        <v>33</v>
      </c>
      <c r="E119" s="30">
        <f ca="1" t="array" ref="E119">INDEX(Data_DBD!$E:$E,$A119)</f>
        <v>1</v>
      </c>
      <c r="F119" s="30">
        <f ca="1" t="array" ref="F119">INDEX(Data_DBD!$F:$F,$A119)</f>
        <v>3</v>
      </c>
      <c r="H119" s="30">
        <v>88</v>
      </c>
      <c r="I119" s="30">
        <v>20</v>
      </c>
      <c r="J119" s="30">
        <v>4</v>
      </c>
      <c r="K119" s="30">
        <v>13</v>
      </c>
      <c r="L119" s="30">
        <v>1</v>
      </c>
      <c r="M119" s="30">
        <v>2</v>
      </c>
    </row>
    <row r="120" spans="1:13">
      <c r="A120" s="30">
        <f ca="1" t="shared" si="1"/>
        <v>113</v>
      </c>
      <c r="B120" s="30">
        <f ca="1" t="array" ref="B120">INDEX(Data_DBD!$B:$B,$A120)</f>
        <v>69</v>
      </c>
      <c r="C120" s="30">
        <f ca="1" t="array" ref="C120">INDEX(Data_DBD!$C:$C,$A120)</f>
        <v>1</v>
      </c>
      <c r="D120" s="30">
        <f ca="1" t="array" ref="D120">INDEX(Data_DBD!$D:$D,$A120)</f>
        <v>33</v>
      </c>
      <c r="E120" s="30">
        <f ca="1" t="array" ref="E120">INDEX(Data_DBD!$E:$E,$A120)</f>
        <v>1</v>
      </c>
      <c r="F120" s="30">
        <f ca="1" t="array" ref="F120">INDEX(Data_DBD!$F:$F,$A120)</f>
        <v>3</v>
      </c>
      <c r="H120" s="30">
        <v>51</v>
      </c>
      <c r="I120" s="30">
        <v>48</v>
      </c>
      <c r="J120" s="30">
        <v>4</v>
      </c>
      <c r="K120" s="30">
        <v>13</v>
      </c>
      <c r="L120" s="30">
        <v>0</v>
      </c>
      <c r="M120" s="30">
        <v>2</v>
      </c>
    </row>
    <row r="121" spans="1:13">
      <c r="A121" s="30">
        <f ca="1" t="shared" si="1"/>
        <v>33</v>
      </c>
      <c r="B121" s="30">
        <f ca="1" t="array" ref="B121">INDEX(Data_DBD!$B:$B,$A121)</f>
        <v>19</v>
      </c>
      <c r="C121" s="30">
        <f ca="1" t="array" ref="C121">INDEX(Data_DBD!$C:$C,$A121)</f>
        <v>4</v>
      </c>
      <c r="D121" s="30">
        <f ca="1" t="array" ref="D121">INDEX(Data_DBD!$D:$D,$A121)</f>
        <v>14</v>
      </c>
      <c r="E121" s="30">
        <f ca="1" t="array" ref="E121">INDEX(Data_DBD!$E:$E,$A121)</f>
        <v>1</v>
      </c>
      <c r="F121" s="30">
        <f ca="1" t="array" ref="F121">INDEX(Data_DBD!$F:$F,$A121)</f>
        <v>2</v>
      </c>
      <c r="H121" s="30">
        <v>39</v>
      </c>
      <c r="I121" s="30">
        <v>12</v>
      </c>
      <c r="J121" s="30">
        <v>5</v>
      </c>
      <c r="K121" s="30">
        <v>13</v>
      </c>
      <c r="L121" s="30">
        <v>1</v>
      </c>
      <c r="M121" s="30">
        <v>2</v>
      </c>
    </row>
    <row r="122" spans="1:13">
      <c r="A122" s="30">
        <f ca="1" t="shared" si="1"/>
        <v>2</v>
      </c>
      <c r="B122" s="30">
        <f ca="1" t="array" ref="B122">INDEX(Data_DBD!$B:$B,$A122)</f>
        <v>34</v>
      </c>
      <c r="C122" s="30">
        <f ca="1" t="array" ref="C122">INDEX(Data_DBD!$C:$C,$A122)</f>
        <v>3</v>
      </c>
      <c r="D122" s="30">
        <f ca="1" t="array" ref="D122">INDEX(Data_DBD!$D:$D,$A122)</f>
        <v>12</v>
      </c>
      <c r="E122" s="30">
        <f ca="1" t="array" ref="E122">INDEX(Data_DBD!$E:$E,$A122)</f>
        <v>0</v>
      </c>
      <c r="F122" s="30">
        <f ca="1" t="array" ref="F122">INDEX(Data_DBD!$F:$F,$A122)</f>
        <v>2</v>
      </c>
      <c r="H122" s="30">
        <v>34</v>
      </c>
      <c r="I122" s="30">
        <v>55</v>
      </c>
      <c r="J122" s="30">
        <v>3</v>
      </c>
      <c r="K122" s="30">
        <v>14</v>
      </c>
      <c r="L122" s="30">
        <v>0</v>
      </c>
      <c r="M122" s="30">
        <v>2</v>
      </c>
    </row>
    <row r="123" spans="1:13">
      <c r="A123" s="30">
        <f ca="1" t="shared" si="1"/>
        <v>150</v>
      </c>
      <c r="B123" s="30">
        <f ca="1" t="array" ref="B123">INDEX(Data_DBD!$B:$B,$A123)</f>
        <v>61</v>
      </c>
      <c r="C123" s="30">
        <f ca="1" t="array" ref="C123">INDEX(Data_DBD!$C:$C,$A123)</f>
        <v>5</v>
      </c>
      <c r="D123" s="30">
        <f ca="1" t="array" ref="D123">INDEX(Data_DBD!$D:$D,$A123)</f>
        <v>21</v>
      </c>
      <c r="E123" s="30">
        <f ca="1" t="array" ref="E123">INDEX(Data_DBD!$E:$E,$A123)</f>
        <v>1</v>
      </c>
      <c r="F123" s="30">
        <f ca="1" t="array" ref="F123">INDEX(Data_DBD!$F:$F,$A123)</f>
        <v>3</v>
      </c>
      <c r="H123" s="30">
        <v>45</v>
      </c>
      <c r="I123" s="30">
        <v>75</v>
      </c>
      <c r="J123" s="30">
        <v>3</v>
      </c>
      <c r="K123" s="30">
        <v>13</v>
      </c>
      <c r="L123" s="30">
        <v>1</v>
      </c>
      <c r="M123" s="30">
        <v>2</v>
      </c>
    </row>
    <row r="124" spans="1:13">
      <c r="A124" s="30">
        <f ca="1" t="shared" si="1"/>
        <v>90</v>
      </c>
      <c r="B124" s="30">
        <f ca="1" t="array" ref="B124">INDEX(Data_DBD!$B:$B,$A124)</f>
        <v>47</v>
      </c>
      <c r="C124" s="30">
        <f ca="1" t="array" ref="C124">INDEX(Data_DBD!$C:$C,$A124)</f>
        <v>3</v>
      </c>
      <c r="D124" s="30">
        <f ca="1" t="array" ref="D124">INDEX(Data_DBD!$D:$D,$A124)</f>
        <v>18</v>
      </c>
      <c r="E124" s="30">
        <f ca="1" t="array" ref="E124">INDEX(Data_DBD!$E:$E,$A124)</f>
        <v>0</v>
      </c>
      <c r="F124" s="30">
        <f ca="1" t="array" ref="F124">INDEX(Data_DBD!$F:$F,$A124)</f>
        <v>3</v>
      </c>
      <c r="H124" s="30">
        <v>95</v>
      </c>
      <c r="I124" s="30">
        <v>11</v>
      </c>
      <c r="J124" s="30">
        <v>3</v>
      </c>
      <c r="K124" s="30">
        <v>18</v>
      </c>
      <c r="L124" s="30">
        <v>1</v>
      </c>
      <c r="M124" s="30">
        <v>3</v>
      </c>
    </row>
    <row r="125" spans="1:13">
      <c r="A125" s="30">
        <f ca="1" t="shared" si="1"/>
        <v>153</v>
      </c>
      <c r="B125" s="30">
        <f ca="1" t="array" ref="B125">INDEX(Data_DBD!$B:$B,$A125)</f>
        <v>73</v>
      </c>
      <c r="C125" s="30">
        <f ca="1" t="array" ref="C125">INDEX(Data_DBD!$C:$C,$A125)</f>
        <v>7</v>
      </c>
      <c r="D125" s="30">
        <f ca="1" t="array" ref="D125">INDEX(Data_DBD!$D:$D,$A125)</f>
        <v>21</v>
      </c>
      <c r="E125" s="30">
        <f ca="1" t="array" ref="E125">INDEX(Data_DBD!$E:$E,$A125)</f>
        <v>1</v>
      </c>
      <c r="F125" s="30">
        <f ca="1" t="array" ref="F125">INDEX(Data_DBD!$F:$F,$A125)</f>
        <v>3</v>
      </c>
      <c r="H125" s="30">
        <v>145</v>
      </c>
      <c r="I125" s="30">
        <v>28</v>
      </c>
      <c r="J125" s="30">
        <v>4</v>
      </c>
      <c r="K125" s="30">
        <v>21</v>
      </c>
      <c r="L125" s="30">
        <v>1</v>
      </c>
      <c r="M125" s="30">
        <v>3</v>
      </c>
    </row>
    <row r="126" spans="1:13">
      <c r="A126" s="30">
        <f ca="1" t="shared" si="1"/>
        <v>63</v>
      </c>
      <c r="B126" s="30">
        <f ca="1" t="array" ref="B126">INDEX(Data_DBD!$B:$B,$A126)</f>
        <v>25</v>
      </c>
      <c r="C126" s="30">
        <f ca="1" t="array" ref="C126">INDEX(Data_DBD!$C:$C,$A126)</f>
        <v>3</v>
      </c>
      <c r="D126" s="30">
        <f ca="1" t="array" ref="D126">INDEX(Data_DBD!$D:$D,$A126)</f>
        <v>15</v>
      </c>
      <c r="E126" s="30">
        <f ca="1" t="array" ref="E126">INDEX(Data_DBD!$E:$E,$A126)</f>
        <v>0</v>
      </c>
      <c r="F126" s="30">
        <f ca="1" t="array" ref="F126">INDEX(Data_DBD!$F:$F,$A126)</f>
        <v>2</v>
      </c>
      <c r="H126" s="30">
        <v>75</v>
      </c>
      <c r="I126" s="30">
        <v>2</v>
      </c>
      <c r="J126" s="30">
        <v>2</v>
      </c>
      <c r="K126" s="30">
        <v>10</v>
      </c>
      <c r="L126" s="30">
        <v>1</v>
      </c>
      <c r="M126" s="30">
        <v>2</v>
      </c>
    </row>
    <row r="127" spans="1:13">
      <c r="A127" s="30">
        <f ca="1" t="shared" si="1"/>
        <v>139</v>
      </c>
      <c r="B127" s="30">
        <f ca="1" t="array" ref="B127">INDEX(Data_DBD!$B:$B,$A127)</f>
        <v>52</v>
      </c>
      <c r="C127" s="30">
        <f ca="1" t="array" ref="C127">INDEX(Data_DBD!$C:$C,$A127)</f>
        <v>7</v>
      </c>
      <c r="D127" s="30">
        <f ca="1" t="array" ref="D127">INDEX(Data_DBD!$D:$D,$A127)</f>
        <v>21</v>
      </c>
      <c r="E127" s="30">
        <f ca="1" t="array" ref="E127">INDEX(Data_DBD!$E:$E,$A127)</f>
        <v>0</v>
      </c>
      <c r="F127" s="30">
        <f ca="1" t="array" ref="F127">INDEX(Data_DBD!$F:$F,$A127)</f>
        <v>3</v>
      </c>
      <c r="H127" s="30">
        <v>101</v>
      </c>
      <c r="I127" s="30">
        <v>42</v>
      </c>
      <c r="J127" s="30">
        <v>5</v>
      </c>
      <c r="K127" s="30">
        <v>18</v>
      </c>
      <c r="L127" s="30">
        <v>0</v>
      </c>
      <c r="M127" s="30">
        <v>3</v>
      </c>
    </row>
    <row r="128" spans="1:13">
      <c r="A128" s="30">
        <f ca="1" t="shared" si="1"/>
        <v>79</v>
      </c>
      <c r="B128" s="30">
        <f ca="1" t="array" ref="B128">INDEX(Data_DBD!$B:$B,$A128)</f>
        <v>29</v>
      </c>
      <c r="C128" s="30">
        <f ca="1" t="array" ref="C128">INDEX(Data_DBD!$C:$C,$A128)</f>
        <v>3</v>
      </c>
      <c r="D128" s="30">
        <f ca="1" t="array" ref="D128">INDEX(Data_DBD!$D:$D,$A128)</f>
        <v>13</v>
      </c>
      <c r="E128" s="30">
        <f ca="1" t="array" ref="E128">INDEX(Data_DBD!$E:$E,$A128)</f>
        <v>0</v>
      </c>
      <c r="F128" s="30">
        <f ca="1" t="array" ref="F128">INDEX(Data_DBD!$F:$F,$A128)</f>
        <v>2</v>
      </c>
      <c r="H128" s="30">
        <v>155</v>
      </c>
      <c r="I128" s="30">
        <v>19</v>
      </c>
      <c r="J128" s="30">
        <v>5</v>
      </c>
      <c r="K128" s="30">
        <v>21</v>
      </c>
      <c r="L128" s="30">
        <v>1</v>
      </c>
      <c r="M128" s="30">
        <v>3</v>
      </c>
    </row>
    <row r="129" spans="1:13">
      <c r="A129" s="30">
        <f ca="1" t="shared" si="1"/>
        <v>159</v>
      </c>
      <c r="B129" s="30">
        <f ca="1" t="array" ref="B129">INDEX(Data_DBD!$B:$B,$A129)</f>
        <v>17</v>
      </c>
      <c r="C129" s="30">
        <f ca="1" t="array" ref="C129">INDEX(Data_DBD!$C:$C,$A129)</f>
        <v>2</v>
      </c>
      <c r="D129" s="30">
        <f ca="1" t="array" ref="D129">INDEX(Data_DBD!$D:$D,$A129)</f>
        <v>21</v>
      </c>
      <c r="E129" s="30">
        <f ca="1" t="array" ref="E129">INDEX(Data_DBD!$E:$E,$A129)</f>
        <v>0</v>
      </c>
      <c r="F129" s="30">
        <f ca="1" t="array" ref="F129">INDEX(Data_DBD!$F:$F,$A129)</f>
        <v>3</v>
      </c>
      <c r="H129" s="30">
        <v>114</v>
      </c>
      <c r="I129" s="30">
        <v>14</v>
      </c>
      <c r="J129" s="30">
        <v>2</v>
      </c>
      <c r="K129" s="30">
        <v>33</v>
      </c>
      <c r="L129" s="30">
        <v>1</v>
      </c>
      <c r="M129" s="30">
        <v>3</v>
      </c>
    </row>
    <row r="130" spans="1:13">
      <c r="A130" s="30">
        <f ca="1" t="shared" si="1"/>
        <v>11</v>
      </c>
      <c r="B130" s="30">
        <f ca="1" t="array" ref="B130">INDEX(Data_DBD!$B:$B,$A130)</f>
        <v>24</v>
      </c>
      <c r="C130" s="30">
        <f ca="1" t="array" ref="C130">INDEX(Data_DBD!$C:$C,$A130)</f>
        <v>5</v>
      </c>
      <c r="D130" s="30">
        <f ca="1" t="array" ref="D130">INDEX(Data_DBD!$D:$D,$A130)</f>
        <v>12</v>
      </c>
      <c r="E130" s="30">
        <f ca="1" t="array" ref="E130">INDEX(Data_DBD!$E:$E,$A130)</f>
        <v>1</v>
      </c>
      <c r="F130" s="30">
        <f ca="1" t="array" ref="F130">INDEX(Data_DBD!$F:$F,$A130)</f>
        <v>2</v>
      </c>
      <c r="H130" s="30">
        <v>54</v>
      </c>
      <c r="I130" s="30">
        <v>7</v>
      </c>
      <c r="J130" s="30">
        <v>3</v>
      </c>
      <c r="K130" s="30">
        <v>15</v>
      </c>
      <c r="L130" s="30">
        <v>0</v>
      </c>
      <c r="M130" s="30">
        <v>2</v>
      </c>
    </row>
    <row r="131" spans="1:13">
      <c r="A131" s="30">
        <f ca="1" t="shared" ref="A131:A164" si="2">RANDBETWEEN(2,164)</f>
        <v>14</v>
      </c>
      <c r="B131" s="30">
        <f ca="1" t="array" ref="B131">INDEX(Data_DBD!$B:$B,$A131)</f>
        <v>49</v>
      </c>
      <c r="C131" s="30">
        <f ca="1" t="array" ref="C131">INDEX(Data_DBD!$C:$C,$A131)</f>
        <v>4</v>
      </c>
      <c r="D131" s="30">
        <f ca="1" t="array" ref="D131">INDEX(Data_DBD!$D:$D,$A131)</f>
        <v>7</v>
      </c>
      <c r="E131" s="30">
        <f ca="1" t="array" ref="E131">INDEX(Data_DBD!$E:$E,$A131)</f>
        <v>1</v>
      </c>
      <c r="F131" s="30">
        <f ca="1" t="array" ref="F131">INDEX(Data_DBD!$F:$F,$A131)</f>
        <v>1</v>
      </c>
      <c r="H131" s="30">
        <v>118</v>
      </c>
      <c r="I131" s="30">
        <v>67</v>
      </c>
      <c r="J131" s="30">
        <v>4</v>
      </c>
      <c r="K131" s="30">
        <v>33</v>
      </c>
      <c r="L131" s="30">
        <v>1</v>
      </c>
      <c r="M131" s="30">
        <v>3</v>
      </c>
    </row>
    <row r="132" spans="1:13">
      <c r="A132" s="30">
        <f ca="1" t="shared" si="2"/>
        <v>148</v>
      </c>
      <c r="B132" s="30">
        <f ca="1" t="array" ref="B132">INDEX(Data_DBD!$B:$B,$A132)</f>
        <v>55</v>
      </c>
      <c r="C132" s="30">
        <f ca="1" t="array" ref="C132">INDEX(Data_DBD!$C:$C,$A132)</f>
        <v>3</v>
      </c>
      <c r="D132" s="30">
        <f ca="1" t="array" ref="D132">INDEX(Data_DBD!$D:$D,$A132)</f>
        <v>21</v>
      </c>
      <c r="E132" s="30">
        <f ca="1" t="array" ref="E132">INDEX(Data_DBD!$E:$E,$A132)</f>
        <v>1</v>
      </c>
      <c r="F132" s="30">
        <f ca="1" t="array" ref="F132">INDEX(Data_DBD!$F:$F,$A132)</f>
        <v>3</v>
      </c>
      <c r="H132" s="30">
        <v>57</v>
      </c>
      <c r="I132" s="30">
        <v>2</v>
      </c>
      <c r="J132" s="30">
        <v>2</v>
      </c>
      <c r="K132" s="30">
        <v>15</v>
      </c>
      <c r="L132" s="30">
        <v>1</v>
      </c>
      <c r="M132" s="30">
        <v>2</v>
      </c>
    </row>
    <row r="133" spans="1:13">
      <c r="A133" s="30">
        <f ca="1" t="shared" si="2"/>
        <v>123</v>
      </c>
      <c r="B133" s="30">
        <f ca="1" t="array" ref="B133">INDEX(Data_DBD!$B:$B,$A133)</f>
        <v>22</v>
      </c>
      <c r="C133" s="30">
        <f ca="1" t="array" ref="C133">INDEX(Data_DBD!$C:$C,$A133)</f>
        <v>4</v>
      </c>
      <c r="D133" s="30">
        <f ca="1" t="array" ref="D133">INDEX(Data_DBD!$D:$D,$A133)</f>
        <v>33</v>
      </c>
      <c r="E133" s="30">
        <f ca="1" t="array" ref="E133">INDEX(Data_DBD!$E:$E,$A133)</f>
        <v>0</v>
      </c>
      <c r="F133" s="30">
        <f ca="1" t="array" ref="F133">INDEX(Data_DBD!$F:$F,$A133)</f>
        <v>3</v>
      </c>
      <c r="H133" s="30">
        <v>143</v>
      </c>
      <c r="I133" s="30">
        <v>20</v>
      </c>
      <c r="J133" s="30">
        <v>4</v>
      </c>
      <c r="K133" s="30">
        <v>21</v>
      </c>
      <c r="L133" s="30">
        <v>1</v>
      </c>
      <c r="M133" s="30">
        <v>3</v>
      </c>
    </row>
    <row r="134" spans="1:13">
      <c r="A134" s="30">
        <f ca="1" t="shared" si="2"/>
        <v>155</v>
      </c>
      <c r="B134" s="30">
        <f ca="1" t="array" ref="B134">INDEX(Data_DBD!$B:$B,$A134)</f>
        <v>19</v>
      </c>
      <c r="C134" s="30">
        <f ca="1" t="array" ref="C134">INDEX(Data_DBD!$C:$C,$A134)</f>
        <v>5</v>
      </c>
      <c r="D134" s="30">
        <f ca="1" t="array" ref="D134">INDEX(Data_DBD!$D:$D,$A134)</f>
        <v>21</v>
      </c>
      <c r="E134" s="30">
        <f ca="1" t="array" ref="E134">INDEX(Data_DBD!$E:$E,$A134)</f>
        <v>1</v>
      </c>
      <c r="F134" s="30">
        <f ca="1" t="array" ref="F134">INDEX(Data_DBD!$F:$F,$A134)</f>
        <v>3</v>
      </c>
      <c r="H134" s="30">
        <v>122</v>
      </c>
      <c r="I134" s="30">
        <v>28</v>
      </c>
      <c r="J134" s="30">
        <v>3</v>
      </c>
      <c r="K134" s="30">
        <v>33</v>
      </c>
      <c r="L134" s="30">
        <v>1</v>
      </c>
      <c r="M134" s="30">
        <v>3</v>
      </c>
    </row>
    <row r="135" spans="1:13">
      <c r="A135" s="30">
        <f ca="1" t="shared" si="2"/>
        <v>111</v>
      </c>
      <c r="B135" s="30">
        <f ca="1" t="array" ref="B135">INDEX(Data_DBD!$B:$B,$A135)</f>
        <v>25</v>
      </c>
      <c r="C135" s="30">
        <f ca="1" t="array" ref="C135">INDEX(Data_DBD!$C:$C,$A135)</f>
        <v>4</v>
      </c>
      <c r="D135" s="30">
        <f ca="1" t="array" ref="D135">INDEX(Data_DBD!$D:$D,$A135)</f>
        <v>33</v>
      </c>
      <c r="E135" s="30">
        <f ca="1" t="array" ref="E135">INDEX(Data_DBD!$E:$E,$A135)</f>
        <v>0</v>
      </c>
      <c r="F135" s="30">
        <f ca="1" t="array" ref="F135">INDEX(Data_DBD!$F:$F,$A135)</f>
        <v>3</v>
      </c>
      <c r="H135" s="30">
        <v>11</v>
      </c>
      <c r="I135" s="30">
        <v>24</v>
      </c>
      <c r="J135" s="30">
        <v>5</v>
      </c>
      <c r="K135" s="30">
        <v>12</v>
      </c>
      <c r="L135" s="30">
        <v>1</v>
      </c>
      <c r="M135" s="30">
        <v>2</v>
      </c>
    </row>
    <row r="136" spans="1:13">
      <c r="A136" s="30">
        <f ca="1" t="shared" si="2"/>
        <v>134</v>
      </c>
      <c r="B136" s="30">
        <f ca="1" t="array" ref="B136">INDEX(Data_DBD!$B:$B,$A136)</f>
        <v>4</v>
      </c>
      <c r="C136" s="30">
        <f ca="1" t="array" ref="C136">INDEX(Data_DBD!$C:$C,$A136)</f>
        <v>2</v>
      </c>
      <c r="D136" s="30">
        <f ca="1" t="array" ref="D136">INDEX(Data_DBD!$D:$D,$A136)</f>
        <v>33</v>
      </c>
      <c r="E136" s="30">
        <f ca="1" t="array" ref="E136">INDEX(Data_DBD!$E:$E,$A136)</f>
        <v>1</v>
      </c>
      <c r="F136" s="30">
        <f ca="1" t="array" ref="F136">INDEX(Data_DBD!$F:$F,$A136)</f>
        <v>3</v>
      </c>
      <c r="H136" s="30">
        <v>91</v>
      </c>
      <c r="I136" s="30">
        <v>35</v>
      </c>
      <c r="J136" s="30">
        <v>1</v>
      </c>
      <c r="K136" s="30">
        <v>18</v>
      </c>
      <c r="L136" s="30">
        <v>1</v>
      </c>
      <c r="M136" s="30">
        <v>3</v>
      </c>
    </row>
    <row r="137" spans="1:13">
      <c r="A137" s="30">
        <f ca="1" t="shared" si="2"/>
        <v>73</v>
      </c>
      <c r="B137" s="30">
        <f ca="1" t="array" ref="B137">INDEX(Data_DBD!$B:$B,$A137)</f>
        <v>15</v>
      </c>
      <c r="C137" s="30">
        <f ca="1" t="array" ref="C137">INDEX(Data_DBD!$C:$C,$A137)</f>
        <v>3</v>
      </c>
      <c r="D137" s="30">
        <f ca="1" t="array" ref="D137">INDEX(Data_DBD!$D:$D,$A137)</f>
        <v>10</v>
      </c>
      <c r="E137" s="30">
        <f ca="1" t="array" ref="E137">INDEX(Data_DBD!$E:$E,$A137)</f>
        <v>1</v>
      </c>
      <c r="F137" s="30">
        <f ca="1" t="array" ref="F137">INDEX(Data_DBD!$F:$F,$A137)</f>
        <v>2</v>
      </c>
      <c r="H137" s="30">
        <v>68</v>
      </c>
      <c r="I137" s="30">
        <v>44</v>
      </c>
      <c r="J137" s="30">
        <v>5</v>
      </c>
      <c r="K137" s="30">
        <v>10</v>
      </c>
      <c r="L137" s="30">
        <v>0</v>
      </c>
      <c r="M137" s="30">
        <v>2</v>
      </c>
    </row>
    <row r="138" spans="1:13">
      <c r="A138" s="30">
        <f ca="1" t="shared" si="2"/>
        <v>93</v>
      </c>
      <c r="B138" s="30">
        <f ca="1" t="array" ref="B138">INDEX(Data_DBD!$B:$B,$A138)</f>
        <v>65</v>
      </c>
      <c r="C138" s="30">
        <f ca="1" t="array" ref="C138">INDEX(Data_DBD!$C:$C,$A138)</f>
        <v>4</v>
      </c>
      <c r="D138" s="30">
        <f ca="1" t="array" ref="D138">INDEX(Data_DBD!$D:$D,$A138)</f>
        <v>18</v>
      </c>
      <c r="E138" s="30">
        <f ca="1" t="array" ref="E138">INDEX(Data_DBD!$E:$E,$A138)</f>
        <v>0</v>
      </c>
      <c r="F138" s="30">
        <f ca="1" t="array" ref="F138">INDEX(Data_DBD!$F:$F,$A138)</f>
        <v>3</v>
      </c>
      <c r="H138" s="30">
        <v>155</v>
      </c>
      <c r="I138" s="30">
        <v>19</v>
      </c>
      <c r="J138" s="30">
        <v>5</v>
      </c>
      <c r="K138" s="30">
        <v>21</v>
      </c>
      <c r="L138" s="30">
        <v>1</v>
      </c>
      <c r="M138" s="30">
        <v>3</v>
      </c>
    </row>
    <row r="139" spans="1:13">
      <c r="A139" s="30">
        <f ca="1" t="shared" si="2"/>
        <v>161</v>
      </c>
      <c r="B139" s="30">
        <f ca="1" t="array" ref="B139">INDEX(Data_DBD!$B:$B,$A139)</f>
        <v>12</v>
      </c>
      <c r="C139" s="30">
        <f ca="1" t="array" ref="C139">INDEX(Data_DBD!$C:$C,$A139)</f>
        <v>3</v>
      </c>
      <c r="D139" s="30">
        <f ca="1" t="array" ref="D139">INDEX(Data_DBD!$D:$D,$A139)</f>
        <v>21</v>
      </c>
      <c r="E139" s="30">
        <f ca="1" t="array" ref="E139">INDEX(Data_DBD!$E:$E,$A139)</f>
        <v>1</v>
      </c>
      <c r="F139" s="30">
        <f ca="1" t="array" ref="F139">INDEX(Data_DBD!$F:$F,$A139)</f>
        <v>3</v>
      </c>
      <c r="H139" s="30">
        <v>129</v>
      </c>
      <c r="I139" s="30">
        <v>4.5</v>
      </c>
      <c r="J139" s="30">
        <v>3</v>
      </c>
      <c r="K139" s="30">
        <v>33</v>
      </c>
      <c r="L139" s="30">
        <v>0</v>
      </c>
      <c r="M139" s="30">
        <v>3</v>
      </c>
    </row>
    <row r="140" spans="1:13">
      <c r="A140" s="30">
        <f ca="1" t="shared" si="2"/>
        <v>44</v>
      </c>
      <c r="B140" s="30">
        <f ca="1" t="array" ref="B140">INDEX(Data_DBD!$B:$B,$A140)</f>
        <v>28</v>
      </c>
      <c r="C140" s="30">
        <f ca="1" t="array" ref="C140">INDEX(Data_DBD!$C:$C,$A140)</f>
        <v>5</v>
      </c>
      <c r="D140" s="30">
        <f ca="1" t="array" ref="D140">INDEX(Data_DBD!$D:$D,$A140)</f>
        <v>13</v>
      </c>
      <c r="E140" s="30">
        <f ca="1" t="array" ref="E140">INDEX(Data_DBD!$E:$E,$A140)</f>
        <v>1</v>
      </c>
      <c r="F140" s="30">
        <f ca="1" t="array" ref="F140">INDEX(Data_DBD!$F:$F,$A140)</f>
        <v>2</v>
      </c>
      <c r="H140" s="30">
        <v>151</v>
      </c>
      <c r="I140" s="30">
        <v>24</v>
      </c>
      <c r="J140" s="30">
        <v>3</v>
      </c>
      <c r="K140" s="30">
        <v>21</v>
      </c>
      <c r="L140" s="30">
        <v>0</v>
      </c>
      <c r="M140" s="30">
        <v>3</v>
      </c>
    </row>
    <row r="141" spans="1:13">
      <c r="A141" s="30">
        <f ca="1" t="shared" si="2"/>
        <v>50</v>
      </c>
      <c r="B141" s="30">
        <f ca="1" t="array" ref="B141">INDEX(Data_DBD!$B:$B,$A141)</f>
        <v>19</v>
      </c>
      <c r="C141" s="30">
        <f ca="1" t="array" ref="C141">INDEX(Data_DBD!$C:$C,$A141)</f>
        <v>5</v>
      </c>
      <c r="D141" s="30">
        <f ca="1" t="array" ref="D141">INDEX(Data_DBD!$D:$D,$A141)</f>
        <v>13</v>
      </c>
      <c r="E141" s="30">
        <f ca="1" t="array" ref="E141">INDEX(Data_DBD!$E:$E,$A141)</f>
        <v>0</v>
      </c>
      <c r="F141" s="30">
        <f ca="1" t="array" ref="F141">INDEX(Data_DBD!$F:$F,$A141)</f>
        <v>2</v>
      </c>
      <c r="H141" s="30">
        <v>120</v>
      </c>
      <c r="I141" s="30">
        <v>26</v>
      </c>
      <c r="J141" s="30">
        <v>4</v>
      </c>
      <c r="K141" s="30">
        <v>33</v>
      </c>
      <c r="L141" s="30">
        <v>1</v>
      </c>
      <c r="M141" s="30">
        <v>3</v>
      </c>
    </row>
    <row r="142" spans="1:13">
      <c r="A142" s="30">
        <f ca="1" t="shared" si="2"/>
        <v>61</v>
      </c>
      <c r="B142" s="30">
        <f ca="1" t="array" ref="B142">INDEX(Data_DBD!$B:$B,$A142)</f>
        <v>29</v>
      </c>
      <c r="C142" s="30">
        <f ca="1" t="array" ref="C142">INDEX(Data_DBD!$C:$C,$A142)</f>
        <v>3</v>
      </c>
      <c r="D142" s="30">
        <f ca="1" t="array" ref="D142">INDEX(Data_DBD!$D:$D,$A142)</f>
        <v>15</v>
      </c>
      <c r="E142" s="30">
        <f ca="1" t="array" ref="E142">INDEX(Data_DBD!$E:$E,$A142)</f>
        <v>1</v>
      </c>
      <c r="F142" s="30">
        <f ca="1" t="array" ref="F142">INDEX(Data_DBD!$F:$F,$A142)</f>
        <v>2</v>
      </c>
      <c r="H142" s="30">
        <v>87</v>
      </c>
      <c r="I142" s="30">
        <v>21</v>
      </c>
      <c r="J142" s="30">
        <v>3</v>
      </c>
      <c r="K142" s="30">
        <v>13</v>
      </c>
      <c r="L142" s="30">
        <v>0</v>
      </c>
      <c r="M142" s="30">
        <v>2</v>
      </c>
    </row>
    <row r="143" spans="1:13">
      <c r="A143" s="30">
        <f ca="1" t="shared" si="2"/>
        <v>56</v>
      </c>
      <c r="B143" s="30">
        <f ca="1" t="array" ref="B143">INDEX(Data_DBD!$B:$B,$A143)</f>
        <v>4</v>
      </c>
      <c r="C143" s="30">
        <f ca="1" t="array" ref="C143">INDEX(Data_DBD!$C:$C,$A143)</f>
        <v>3</v>
      </c>
      <c r="D143" s="30">
        <f ca="1" t="array" ref="D143">INDEX(Data_DBD!$D:$D,$A143)</f>
        <v>15</v>
      </c>
      <c r="E143" s="30">
        <f ca="1" t="array" ref="E143">INDEX(Data_DBD!$E:$E,$A143)</f>
        <v>0</v>
      </c>
      <c r="F143" s="30">
        <f ca="1" t="array" ref="F143">INDEX(Data_DBD!$F:$F,$A143)</f>
        <v>2</v>
      </c>
      <c r="H143" s="30">
        <v>53</v>
      </c>
      <c r="I143" s="30">
        <v>35</v>
      </c>
      <c r="J143" s="30">
        <v>4</v>
      </c>
      <c r="K143" s="30">
        <v>15</v>
      </c>
      <c r="L143" s="30">
        <v>1</v>
      </c>
      <c r="M143" s="30">
        <v>2</v>
      </c>
    </row>
    <row r="144" spans="1:13">
      <c r="A144" s="30">
        <f ca="1" t="shared" si="2"/>
        <v>57</v>
      </c>
      <c r="B144" s="30">
        <f ca="1" t="array" ref="B144">INDEX(Data_DBD!$B:$B,$A144)</f>
        <v>2</v>
      </c>
      <c r="C144" s="30">
        <f ca="1" t="array" ref="C144">INDEX(Data_DBD!$C:$C,$A144)</f>
        <v>2</v>
      </c>
      <c r="D144" s="30">
        <f ca="1" t="array" ref="D144">INDEX(Data_DBD!$D:$D,$A144)</f>
        <v>15</v>
      </c>
      <c r="E144" s="30">
        <f ca="1" t="array" ref="E144">INDEX(Data_DBD!$E:$E,$A144)</f>
        <v>1</v>
      </c>
      <c r="F144" s="30">
        <f ca="1" t="array" ref="F144">INDEX(Data_DBD!$F:$F,$A144)</f>
        <v>2</v>
      </c>
      <c r="H144" s="30">
        <v>53</v>
      </c>
      <c r="I144" s="30">
        <v>35</v>
      </c>
      <c r="J144" s="30">
        <v>4</v>
      </c>
      <c r="K144" s="30">
        <v>15</v>
      </c>
      <c r="L144" s="30">
        <v>1</v>
      </c>
      <c r="M144" s="30">
        <v>2</v>
      </c>
    </row>
    <row r="145" spans="1:13">
      <c r="A145" s="30">
        <f ca="1" t="shared" si="2"/>
        <v>110</v>
      </c>
      <c r="B145" s="30">
        <f ca="1" t="array" ref="B145">INDEX(Data_DBD!$B:$B,$A145)</f>
        <v>42</v>
      </c>
      <c r="C145" s="30">
        <f ca="1" t="array" ref="C145">INDEX(Data_DBD!$C:$C,$A145)</f>
        <v>2</v>
      </c>
      <c r="D145" s="30">
        <f ca="1" t="array" ref="D145">INDEX(Data_DBD!$D:$D,$A145)</f>
        <v>33</v>
      </c>
      <c r="E145" s="30">
        <f ca="1" t="array" ref="E145">INDEX(Data_DBD!$E:$E,$A145)</f>
        <v>1</v>
      </c>
      <c r="F145" s="30">
        <f ca="1" t="array" ref="F145">INDEX(Data_DBD!$F:$F,$A145)</f>
        <v>3</v>
      </c>
      <c r="H145" s="30">
        <v>62</v>
      </c>
      <c r="I145" s="30">
        <v>43</v>
      </c>
      <c r="J145" s="30">
        <v>4</v>
      </c>
      <c r="K145" s="30">
        <v>15</v>
      </c>
      <c r="L145" s="30">
        <v>1</v>
      </c>
      <c r="M145" s="30">
        <v>2</v>
      </c>
    </row>
    <row r="146" spans="1:13">
      <c r="A146" s="30">
        <f ca="1" t="shared" si="2"/>
        <v>72</v>
      </c>
      <c r="B146" s="30">
        <f ca="1" t="array" ref="B146">INDEX(Data_DBD!$B:$B,$A146)</f>
        <v>3</v>
      </c>
      <c r="C146" s="30">
        <f ca="1" t="array" ref="C146">INDEX(Data_DBD!$C:$C,$A146)</f>
        <v>5</v>
      </c>
      <c r="D146" s="30">
        <f ca="1" t="array" ref="D146">INDEX(Data_DBD!$D:$D,$A146)</f>
        <v>10</v>
      </c>
      <c r="E146" s="30">
        <f ca="1" t="array" ref="E146">INDEX(Data_DBD!$E:$E,$A146)</f>
        <v>1</v>
      </c>
      <c r="F146" s="30">
        <f ca="1" t="array" ref="F146">INDEX(Data_DBD!$F:$F,$A146)</f>
        <v>2</v>
      </c>
      <c r="H146" s="30">
        <v>158</v>
      </c>
      <c r="I146" s="30">
        <v>5</v>
      </c>
      <c r="J146" s="30">
        <v>2</v>
      </c>
      <c r="K146" s="30">
        <v>21</v>
      </c>
      <c r="L146" s="30">
        <v>0</v>
      </c>
      <c r="M146" s="30">
        <v>3</v>
      </c>
    </row>
    <row r="147" spans="1:13">
      <c r="A147" s="30">
        <f ca="1" t="shared" si="2"/>
        <v>161</v>
      </c>
      <c r="B147" s="30">
        <f ca="1" t="array" ref="B147">INDEX(Data_DBD!$B:$B,$A147)</f>
        <v>12</v>
      </c>
      <c r="C147" s="30">
        <f ca="1" t="array" ref="C147">INDEX(Data_DBD!$C:$C,$A147)</f>
        <v>3</v>
      </c>
      <c r="D147" s="30">
        <f ca="1" t="array" ref="D147">INDEX(Data_DBD!$D:$D,$A147)</f>
        <v>21</v>
      </c>
      <c r="E147" s="30">
        <f ca="1" t="array" ref="E147">INDEX(Data_DBD!$E:$E,$A147)</f>
        <v>1</v>
      </c>
      <c r="F147" s="30">
        <f ca="1" t="array" ref="F147">INDEX(Data_DBD!$F:$F,$A147)</f>
        <v>3</v>
      </c>
      <c r="H147" s="30">
        <v>99</v>
      </c>
      <c r="I147" s="30">
        <v>4</v>
      </c>
      <c r="J147" s="30">
        <v>2</v>
      </c>
      <c r="K147" s="30">
        <v>18</v>
      </c>
      <c r="L147" s="30">
        <v>1</v>
      </c>
      <c r="M147" s="30">
        <v>3</v>
      </c>
    </row>
    <row r="148" spans="1:13">
      <c r="A148" s="30">
        <f ca="1" t="shared" si="2"/>
        <v>145</v>
      </c>
      <c r="B148" s="30">
        <f ca="1" t="array" ref="B148">INDEX(Data_DBD!$B:$B,$A148)</f>
        <v>28</v>
      </c>
      <c r="C148" s="30">
        <f ca="1" t="array" ref="C148">INDEX(Data_DBD!$C:$C,$A148)</f>
        <v>4</v>
      </c>
      <c r="D148" s="30">
        <f ca="1" t="array" ref="D148">INDEX(Data_DBD!$D:$D,$A148)</f>
        <v>21</v>
      </c>
      <c r="E148" s="30">
        <f ca="1" t="array" ref="E148">INDEX(Data_DBD!$E:$E,$A148)</f>
        <v>1</v>
      </c>
      <c r="F148" s="30">
        <f ca="1" t="array" ref="F148">INDEX(Data_DBD!$F:$F,$A148)</f>
        <v>3</v>
      </c>
      <c r="H148" s="30">
        <v>71</v>
      </c>
      <c r="I148" s="30">
        <v>84</v>
      </c>
      <c r="J148" s="30">
        <v>3</v>
      </c>
      <c r="K148" s="30">
        <v>10</v>
      </c>
      <c r="L148" s="30">
        <v>0</v>
      </c>
      <c r="M148" s="30">
        <v>2</v>
      </c>
    </row>
    <row r="149" spans="1:13">
      <c r="A149" s="30">
        <f ca="1" t="shared" si="2"/>
        <v>55</v>
      </c>
      <c r="B149" s="30">
        <f ca="1" t="array" ref="B149">INDEX(Data_DBD!$B:$B,$A149)</f>
        <v>7</v>
      </c>
      <c r="C149" s="30">
        <f ca="1" t="array" ref="C149">INDEX(Data_DBD!$C:$C,$A149)</f>
        <v>4</v>
      </c>
      <c r="D149" s="30">
        <f ca="1" t="array" ref="D149">INDEX(Data_DBD!$D:$D,$A149)</f>
        <v>15</v>
      </c>
      <c r="E149" s="30">
        <f ca="1" t="array" ref="E149">INDEX(Data_DBD!$E:$E,$A149)</f>
        <v>1</v>
      </c>
      <c r="F149" s="30">
        <f ca="1" t="array" ref="F149">INDEX(Data_DBD!$F:$F,$A149)</f>
        <v>2</v>
      </c>
      <c r="H149" s="30">
        <v>130</v>
      </c>
      <c r="I149" s="30">
        <v>12</v>
      </c>
      <c r="J149" s="30">
        <v>4</v>
      </c>
      <c r="K149" s="30">
        <v>33</v>
      </c>
      <c r="L149" s="30">
        <v>0</v>
      </c>
      <c r="M149" s="30">
        <v>3</v>
      </c>
    </row>
    <row r="150" spans="1:13">
      <c r="A150" s="30">
        <f ca="1" t="shared" si="2"/>
        <v>39</v>
      </c>
      <c r="B150" s="30">
        <f ca="1" t="array" ref="B150">INDEX(Data_DBD!$B:$B,$A150)</f>
        <v>12</v>
      </c>
      <c r="C150" s="30">
        <f ca="1" t="array" ref="C150">INDEX(Data_DBD!$C:$C,$A150)</f>
        <v>5</v>
      </c>
      <c r="D150" s="30">
        <f ca="1" t="array" ref="D150">INDEX(Data_DBD!$D:$D,$A150)</f>
        <v>13</v>
      </c>
      <c r="E150" s="30">
        <f ca="1" t="array" ref="E150">INDEX(Data_DBD!$E:$E,$A150)</f>
        <v>1</v>
      </c>
      <c r="F150" s="30">
        <f ca="1" t="array" ref="F150">INDEX(Data_DBD!$F:$F,$A150)</f>
        <v>2</v>
      </c>
      <c r="H150" s="30">
        <v>133</v>
      </c>
      <c r="I150" s="30">
        <v>6</v>
      </c>
      <c r="J150" s="30">
        <v>4</v>
      </c>
      <c r="K150" s="30">
        <v>33</v>
      </c>
      <c r="L150" s="30">
        <v>0</v>
      </c>
      <c r="M150" s="30">
        <v>3</v>
      </c>
    </row>
    <row r="151" spans="1:13">
      <c r="A151" s="30">
        <f ca="1" t="shared" si="2"/>
        <v>156</v>
      </c>
      <c r="B151" s="30">
        <f ca="1" t="array" ref="B151">INDEX(Data_DBD!$B:$B,$A151)</f>
        <v>5</v>
      </c>
      <c r="C151" s="30">
        <f ca="1" t="array" ref="C151">INDEX(Data_DBD!$C:$C,$A151)</f>
        <v>2</v>
      </c>
      <c r="D151" s="30">
        <f ca="1" t="array" ref="D151">INDEX(Data_DBD!$D:$D,$A151)</f>
        <v>21</v>
      </c>
      <c r="E151" s="30">
        <f ca="1" t="array" ref="E151">INDEX(Data_DBD!$E:$E,$A151)</f>
        <v>0</v>
      </c>
      <c r="F151" s="30">
        <f ca="1" t="array" ref="F151">INDEX(Data_DBD!$F:$F,$A151)</f>
        <v>3</v>
      </c>
      <c r="H151" s="30">
        <v>128</v>
      </c>
      <c r="I151" s="30">
        <v>38</v>
      </c>
      <c r="J151" s="30">
        <v>2</v>
      </c>
      <c r="K151" s="30">
        <v>33</v>
      </c>
      <c r="L151" s="30">
        <v>0</v>
      </c>
      <c r="M151" s="30">
        <v>3</v>
      </c>
    </row>
    <row r="152" spans="1:13">
      <c r="A152" s="30">
        <f ca="1" t="shared" si="2"/>
        <v>40</v>
      </c>
      <c r="B152" s="30">
        <f ca="1" t="array" ref="B152">INDEX(Data_DBD!$B:$B,$A152)</f>
        <v>65</v>
      </c>
      <c r="C152" s="30">
        <f ca="1" t="array" ref="C152">INDEX(Data_DBD!$C:$C,$A152)</f>
        <v>3</v>
      </c>
      <c r="D152" s="30">
        <f ca="1" t="array" ref="D152">INDEX(Data_DBD!$D:$D,$A152)</f>
        <v>13</v>
      </c>
      <c r="E152" s="30">
        <f ca="1" t="array" ref="E152">INDEX(Data_DBD!$E:$E,$A152)</f>
        <v>1</v>
      </c>
      <c r="F152" s="30">
        <f ca="1" t="array" ref="F152">INDEX(Data_DBD!$F:$F,$A152)</f>
        <v>2</v>
      </c>
      <c r="H152" s="30">
        <v>47</v>
      </c>
      <c r="I152" s="30">
        <v>19</v>
      </c>
      <c r="J152" s="30">
        <v>2</v>
      </c>
      <c r="K152" s="30">
        <v>13</v>
      </c>
      <c r="L152" s="30">
        <v>0</v>
      </c>
      <c r="M152" s="30">
        <v>2</v>
      </c>
    </row>
    <row r="153" spans="1:13">
      <c r="A153" s="30">
        <f ca="1" t="shared" si="2"/>
        <v>88</v>
      </c>
      <c r="B153" s="30">
        <f ca="1" t="array" ref="B153">INDEX(Data_DBD!$B:$B,$A153)</f>
        <v>20</v>
      </c>
      <c r="C153" s="30">
        <f ca="1" t="array" ref="C153">INDEX(Data_DBD!$C:$C,$A153)</f>
        <v>4</v>
      </c>
      <c r="D153" s="30">
        <f ca="1" t="array" ref="D153">INDEX(Data_DBD!$D:$D,$A153)</f>
        <v>13</v>
      </c>
      <c r="E153" s="30">
        <f ca="1" t="array" ref="E153">INDEX(Data_DBD!$E:$E,$A153)</f>
        <v>1</v>
      </c>
      <c r="F153" s="30">
        <f ca="1" t="array" ref="F153">INDEX(Data_DBD!$F:$F,$A153)</f>
        <v>2</v>
      </c>
      <c r="H153" s="30">
        <v>70</v>
      </c>
      <c r="I153" s="30">
        <v>26</v>
      </c>
      <c r="J153" s="30">
        <v>3</v>
      </c>
      <c r="K153" s="30">
        <v>10</v>
      </c>
      <c r="L153" s="30">
        <v>1</v>
      </c>
      <c r="M153" s="30">
        <v>2</v>
      </c>
    </row>
    <row r="154" spans="1:13">
      <c r="A154" s="30">
        <f ca="1" t="shared" si="2"/>
        <v>153</v>
      </c>
      <c r="B154" s="30">
        <f ca="1" t="array" ref="B154">INDEX(Data_DBD!$B:$B,$A154)</f>
        <v>73</v>
      </c>
      <c r="C154" s="30">
        <f ca="1" t="array" ref="C154">INDEX(Data_DBD!$C:$C,$A154)</f>
        <v>7</v>
      </c>
      <c r="D154" s="30">
        <f ca="1" t="array" ref="D154">INDEX(Data_DBD!$D:$D,$A154)</f>
        <v>21</v>
      </c>
      <c r="E154" s="30">
        <f ca="1" t="array" ref="E154">INDEX(Data_DBD!$E:$E,$A154)</f>
        <v>1</v>
      </c>
      <c r="F154" s="30">
        <f ca="1" t="array" ref="F154">INDEX(Data_DBD!$F:$F,$A154)</f>
        <v>3</v>
      </c>
      <c r="H154" s="30">
        <v>120</v>
      </c>
      <c r="I154" s="30">
        <v>26</v>
      </c>
      <c r="J154" s="30">
        <v>4</v>
      </c>
      <c r="K154" s="30">
        <v>33</v>
      </c>
      <c r="L154" s="30">
        <v>1</v>
      </c>
      <c r="M154" s="30">
        <v>3</v>
      </c>
    </row>
    <row r="155" spans="1:13">
      <c r="A155" s="30">
        <f ca="1" t="shared" si="2"/>
        <v>61</v>
      </c>
      <c r="B155" s="30">
        <f ca="1" t="array" ref="B155">INDEX(Data_DBD!$B:$B,$A155)</f>
        <v>29</v>
      </c>
      <c r="C155" s="30">
        <f ca="1" t="array" ref="C155">INDEX(Data_DBD!$C:$C,$A155)</f>
        <v>3</v>
      </c>
      <c r="D155" s="30">
        <f ca="1" t="array" ref="D155">INDEX(Data_DBD!$D:$D,$A155)</f>
        <v>15</v>
      </c>
      <c r="E155" s="30">
        <f ca="1" t="array" ref="E155">INDEX(Data_DBD!$E:$E,$A155)</f>
        <v>1</v>
      </c>
      <c r="F155" s="30">
        <f ca="1" t="array" ref="F155">INDEX(Data_DBD!$F:$F,$A155)</f>
        <v>2</v>
      </c>
      <c r="H155" s="30">
        <v>89</v>
      </c>
      <c r="I155" s="30">
        <v>32</v>
      </c>
      <c r="J155" s="30">
        <v>4</v>
      </c>
      <c r="K155" s="30">
        <v>13</v>
      </c>
      <c r="L155" s="30">
        <v>0</v>
      </c>
      <c r="M155" s="30">
        <v>2</v>
      </c>
    </row>
    <row r="156" spans="1:13">
      <c r="A156" s="30">
        <f ca="1" t="shared" si="2"/>
        <v>112</v>
      </c>
      <c r="B156" s="30">
        <f ca="1" t="array" ref="B156">INDEX(Data_DBD!$B:$B,$A156)</f>
        <v>61</v>
      </c>
      <c r="C156" s="30">
        <f ca="1" t="array" ref="C156">INDEX(Data_DBD!$C:$C,$A156)</f>
        <v>3</v>
      </c>
      <c r="D156" s="30">
        <f ca="1" t="array" ref="D156">INDEX(Data_DBD!$D:$D,$A156)</f>
        <v>33</v>
      </c>
      <c r="E156" s="30">
        <f ca="1" t="array" ref="E156">INDEX(Data_DBD!$E:$E,$A156)</f>
        <v>1</v>
      </c>
      <c r="F156" s="30">
        <f ca="1" t="array" ref="F156">INDEX(Data_DBD!$F:$F,$A156)</f>
        <v>3</v>
      </c>
      <c r="H156" s="30">
        <v>136</v>
      </c>
      <c r="I156" s="30">
        <v>6</v>
      </c>
      <c r="J156" s="30">
        <v>2</v>
      </c>
      <c r="K156" s="30">
        <v>33</v>
      </c>
      <c r="L156" s="30">
        <v>0</v>
      </c>
      <c r="M156" s="30">
        <v>3</v>
      </c>
    </row>
    <row r="157" spans="1:13">
      <c r="A157" s="30">
        <f ca="1" t="shared" si="2"/>
        <v>155</v>
      </c>
      <c r="B157" s="30">
        <f ca="1" t="array" ref="B157">INDEX(Data_DBD!$B:$B,$A157)</f>
        <v>19</v>
      </c>
      <c r="C157" s="30">
        <f ca="1" t="array" ref="C157">INDEX(Data_DBD!$C:$C,$A157)</f>
        <v>5</v>
      </c>
      <c r="D157" s="30">
        <f ca="1" t="array" ref="D157">INDEX(Data_DBD!$D:$D,$A157)</f>
        <v>21</v>
      </c>
      <c r="E157" s="30">
        <f ca="1" t="array" ref="E157">INDEX(Data_DBD!$E:$E,$A157)</f>
        <v>1</v>
      </c>
      <c r="F157" s="30">
        <f ca="1" t="array" ref="F157">INDEX(Data_DBD!$F:$F,$A157)</f>
        <v>3</v>
      </c>
      <c r="H157" s="30">
        <v>36</v>
      </c>
      <c r="I157" s="30">
        <v>27</v>
      </c>
      <c r="J157" s="30">
        <v>1</v>
      </c>
      <c r="K157" s="30">
        <v>4</v>
      </c>
      <c r="L157" s="30">
        <v>1</v>
      </c>
      <c r="M157" s="30">
        <v>1</v>
      </c>
    </row>
    <row r="158" ht="15.75" spans="1:13">
      <c r="A158" s="30">
        <f ca="1" t="shared" si="2"/>
        <v>5</v>
      </c>
      <c r="B158" s="30">
        <f ca="1" t="array" ref="B158">INDEX(Data_DBD!$B:$B,$A158)</f>
        <v>18</v>
      </c>
      <c r="C158" s="30">
        <f ca="1" t="array" ref="C158">INDEX(Data_DBD!$C:$C,$A158)</f>
        <v>2</v>
      </c>
      <c r="D158" s="30">
        <f ca="1" t="array" ref="D158">INDEX(Data_DBD!$D:$D,$A158)</f>
        <v>12</v>
      </c>
      <c r="E158" s="30">
        <f ca="1" t="array" ref="E158">INDEX(Data_DBD!$E:$E,$A158)</f>
        <v>1</v>
      </c>
      <c r="F158" s="30">
        <f ca="1" t="array" ref="F158">INDEX(Data_DBD!$F:$F,$A158)</f>
        <v>2</v>
      </c>
      <c r="H158" s="30">
        <v>107</v>
      </c>
      <c r="I158" s="30">
        <v>48</v>
      </c>
      <c r="J158" s="30">
        <v>5</v>
      </c>
      <c r="K158" s="30">
        <v>18</v>
      </c>
      <c r="L158" s="38">
        <v>0</v>
      </c>
      <c r="M158" s="30">
        <v>3</v>
      </c>
    </row>
    <row r="159" ht="15.75" spans="1:13">
      <c r="A159" s="30">
        <f ca="1" t="shared" si="2"/>
        <v>23</v>
      </c>
      <c r="B159" s="30">
        <f ca="1" t="array" ref="B159">INDEX(Data_DBD!$B:$B,$A159)</f>
        <v>28</v>
      </c>
      <c r="C159" s="30">
        <f ca="1" t="array" ref="C159">INDEX(Data_DBD!$C:$C,$A159)</f>
        <v>4</v>
      </c>
      <c r="D159" s="30">
        <f ca="1" t="array" ref="D159">INDEX(Data_DBD!$D:$D,$A159)</f>
        <v>14</v>
      </c>
      <c r="E159" s="30">
        <f ca="1" t="array" ref="E159">INDEX(Data_DBD!$E:$E,$A159)</f>
        <v>1</v>
      </c>
      <c r="F159" s="30">
        <f ca="1" t="array" ref="F159">INDEX(Data_DBD!$F:$F,$A159)</f>
        <v>2</v>
      </c>
      <c r="H159" s="30">
        <v>149</v>
      </c>
      <c r="I159" s="30">
        <v>19</v>
      </c>
      <c r="J159" s="30">
        <v>5</v>
      </c>
      <c r="K159" s="30">
        <v>21</v>
      </c>
      <c r="L159" s="39">
        <v>0</v>
      </c>
      <c r="M159" s="30">
        <v>3</v>
      </c>
    </row>
    <row r="160" ht="15.75" spans="1:13">
      <c r="A160" s="30">
        <f ca="1" t="shared" si="2"/>
        <v>79</v>
      </c>
      <c r="B160" s="30">
        <f ca="1" t="array" ref="B160">INDEX(Data_DBD!$B:$B,$A160)</f>
        <v>29</v>
      </c>
      <c r="C160" s="30">
        <f ca="1" t="array" ref="C160">INDEX(Data_DBD!$C:$C,$A160)</f>
        <v>3</v>
      </c>
      <c r="D160" s="30">
        <f ca="1" t="array" ref="D160">INDEX(Data_DBD!$D:$D,$A160)</f>
        <v>13</v>
      </c>
      <c r="E160" s="30">
        <f ca="1" t="array" ref="E160">INDEX(Data_DBD!$E:$E,$A160)</f>
        <v>0</v>
      </c>
      <c r="F160" s="30">
        <f ca="1" t="array" ref="F160">INDEX(Data_DBD!$F:$F,$A160)</f>
        <v>2</v>
      </c>
      <c r="H160" s="30">
        <v>147</v>
      </c>
      <c r="I160" s="30">
        <v>66</v>
      </c>
      <c r="J160" s="30">
        <v>10</v>
      </c>
      <c r="K160" s="30">
        <v>21</v>
      </c>
      <c r="L160" s="40">
        <v>1</v>
      </c>
      <c r="M160" s="30">
        <v>3</v>
      </c>
    </row>
    <row r="161" ht="15.75" spans="1:13">
      <c r="A161" s="30">
        <f ca="1" t="shared" si="2"/>
        <v>99</v>
      </c>
      <c r="B161" s="30">
        <f ca="1" t="array" ref="B161">INDEX(Data_DBD!$B:$B,$A161)</f>
        <v>4</v>
      </c>
      <c r="C161" s="30">
        <f ca="1" t="array" ref="C161">INDEX(Data_DBD!$C:$C,$A161)</f>
        <v>2</v>
      </c>
      <c r="D161" s="30">
        <f ca="1" t="array" ref="D161">INDEX(Data_DBD!$D:$D,$A161)</f>
        <v>18</v>
      </c>
      <c r="E161" s="30">
        <f ca="1" t="array" ref="E161">INDEX(Data_DBD!$E:$E,$A161)</f>
        <v>1</v>
      </c>
      <c r="F161" s="30">
        <f ca="1" t="array" ref="F161">INDEX(Data_DBD!$F:$F,$A161)</f>
        <v>3</v>
      </c>
      <c r="H161" s="30">
        <v>162</v>
      </c>
      <c r="I161" s="30">
        <v>22</v>
      </c>
      <c r="J161" s="30">
        <v>3</v>
      </c>
      <c r="K161" s="30">
        <v>3</v>
      </c>
      <c r="L161" s="40">
        <v>1</v>
      </c>
      <c r="M161" s="30">
        <v>1</v>
      </c>
    </row>
    <row r="162" ht="15.75" spans="1:13">
      <c r="A162" s="30">
        <f ca="1" t="shared" si="2"/>
        <v>30</v>
      </c>
      <c r="B162" s="30" t="str">
        <f ca="1" t="array" ref="B162">INDEX(Data_DBD!$B:$B,$A162)</f>
        <v>2,8</v>
      </c>
      <c r="C162" s="30">
        <f ca="1" t="array" ref="C162">INDEX(Data_DBD!$C:$C,$A162)</f>
        <v>2</v>
      </c>
      <c r="D162" s="30">
        <f ca="1" t="array" ref="D162">INDEX(Data_DBD!$D:$D,$A162)</f>
        <v>14</v>
      </c>
      <c r="E162" s="30">
        <f ca="1" t="array" ref="E162">INDEX(Data_DBD!$E:$E,$A162)</f>
        <v>1</v>
      </c>
      <c r="F162" s="30">
        <f ca="1" t="array" ref="F162">INDEX(Data_DBD!$F:$F,$A162)</f>
        <v>2</v>
      </c>
      <c r="H162" s="30">
        <v>58</v>
      </c>
      <c r="I162" s="30">
        <v>17</v>
      </c>
      <c r="J162" s="30">
        <v>3</v>
      </c>
      <c r="K162" s="30">
        <v>15</v>
      </c>
      <c r="L162" s="39">
        <v>0</v>
      </c>
      <c r="M162" s="30">
        <v>2</v>
      </c>
    </row>
    <row r="163" ht="15.75" spans="1:13">
      <c r="A163" s="30">
        <f ca="1" t="shared" si="2"/>
        <v>51</v>
      </c>
      <c r="B163" s="30">
        <f ca="1" t="array" ref="B163">INDEX(Data_DBD!$B:$B,$A163)</f>
        <v>48</v>
      </c>
      <c r="C163" s="30">
        <f ca="1" t="array" ref="C163">INDEX(Data_DBD!$C:$C,$A163)</f>
        <v>4</v>
      </c>
      <c r="D163" s="30">
        <f ca="1" t="array" ref="D163">INDEX(Data_DBD!$D:$D,$A163)</f>
        <v>13</v>
      </c>
      <c r="E163" s="30">
        <f ca="1" t="array" ref="E163">INDEX(Data_DBD!$E:$E,$A163)</f>
        <v>0</v>
      </c>
      <c r="F163" s="30">
        <f ca="1" t="array" ref="F163">INDEX(Data_DBD!$F:$F,$A163)</f>
        <v>2</v>
      </c>
      <c r="H163" s="30">
        <v>149</v>
      </c>
      <c r="I163" s="30">
        <v>19</v>
      </c>
      <c r="J163" s="30">
        <v>5</v>
      </c>
      <c r="K163" s="30">
        <v>21</v>
      </c>
      <c r="L163" s="40">
        <v>0</v>
      </c>
      <c r="M163" s="30">
        <v>3</v>
      </c>
    </row>
    <row r="164" spans="1:13">
      <c r="A164" s="30">
        <f ca="1" t="shared" si="2"/>
        <v>27</v>
      </c>
      <c r="B164" s="30">
        <f ca="1" t="array" ref="B164">INDEX(Data_DBD!$B:$B,$A164)</f>
        <v>37</v>
      </c>
      <c r="C164" s="30">
        <f ca="1" t="array" ref="C164">INDEX(Data_DBD!$C:$C,$A164)</f>
        <v>4</v>
      </c>
      <c r="D164" s="30">
        <f ca="1" t="array" ref="D164">INDEX(Data_DBD!$D:$D,$A164)</f>
        <v>14</v>
      </c>
      <c r="E164" s="30">
        <f ca="1" t="array" ref="E164">INDEX(Data_DBD!$E:$E,$A164)</f>
        <v>1</v>
      </c>
      <c r="F164" s="30">
        <f ca="1" t="array" ref="F164">INDEX(Data_DBD!$F:$F,$A164)</f>
        <v>2</v>
      </c>
      <c r="H164" s="30">
        <v>22</v>
      </c>
      <c r="I164" s="30">
        <v>6</v>
      </c>
      <c r="J164" s="30">
        <v>3</v>
      </c>
      <c r="K164" s="30">
        <v>14</v>
      </c>
      <c r="L164" s="30">
        <v>0</v>
      </c>
      <c r="M164" s="30">
        <v>2</v>
      </c>
    </row>
    <row r="165" spans="9:12">
      <c r="I165">
        <f>AVERAGE(I2:I164)</f>
        <v>31.5030864197531</v>
      </c>
      <c r="J165">
        <f>AVERAGE(J2:J164)</f>
        <v>3.68098159509202</v>
      </c>
      <c r="K165">
        <f>AVERAGE(K2:K164)</f>
        <v>17.7177914110429</v>
      </c>
      <c r="L165">
        <f>AVERAGE(L2:L164)</f>
        <v>0.539877300613497</v>
      </c>
    </row>
    <row r="166" spans="2:2">
      <c r="B166">
        <v>9</v>
      </c>
    </row>
    <row r="168" spans="5:20">
      <c r="E168" s="35" t="s">
        <v>183</v>
      </c>
      <c r="J168" s="35" t="s">
        <v>184</v>
      </c>
      <c r="O168" s="35" t="s">
        <v>185</v>
      </c>
      <c r="T168" s="35" t="s">
        <v>186</v>
      </c>
    </row>
    <row r="169" spans="5:22">
      <c r="E169" s="30" t="s">
        <v>1</v>
      </c>
      <c r="F169" s="30">
        <f>AVERAGEIF($I$2:$I$164,"&lt;="&amp;$I$165)</f>
        <v>15.7135416666667</v>
      </c>
      <c r="G169" s="30">
        <f>AVERAGEIF($I$2:$I$164,"&gt;"&amp;$I$165)</f>
        <v>54.469696969697</v>
      </c>
      <c r="J169" s="30" t="s">
        <v>187</v>
      </c>
      <c r="K169" s="30">
        <f>AVERAGEIF($J$2:$J$164,"&lt;="&amp;$J$165)</f>
        <v>2.53246753246753</v>
      </c>
      <c r="L169" s="30">
        <f>AVERAGEIF($J$2:$J$164,"&gt;"&amp;$J$165)</f>
        <v>4.7093023255814</v>
      </c>
      <c r="O169" s="30" t="s">
        <v>188</v>
      </c>
      <c r="P169" s="30">
        <f>AVERAGEIF($K$2:$K$164,"&lt;="&amp;$K$165)</f>
        <v>12.1122448979592</v>
      </c>
      <c r="Q169" s="30">
        <f>AVERAGEIF($K$2:$K$164,"&gt;"&amp;$K$165)</f>
        <v>26.1692307692308</v>
      </c>
      <c r="T169" s="30" t="s">
        <v>189</v>
      </c>
      <c r="U169" s="30">
        <f>AVERAGEIF($L$2:$L$164,"&lt;="&amp;$L$165)</f>
        <v>0</v>
      </c>
      <c r="V169" s="30">
        <f>AVERAGEIF($L$2:$L$164,"&gt;"&amp;$L$165)</f>
        <v>1</v>
      </c>
    </row>
    <row r="170" spans="5:22">
      <c r="E170" s="30" t="str">
        <f t="array" ref="E170:E332">IF($I$2:$I$164&lt;$F$169,"kiri",IF($I$2:$I$164&lt;$G$169,"tengah","kanan"))</f>
        <v>kanan</v>
      </c>
      <c r="F170" s="36" t="s">
        <v>207</v>
      </c>
      <c r="G170" s="30"/>
      <c r="J170" s="30" t="str">
        <f t="array" ref="J170:J332">IF($J$2:$J$164&lt;$K$169,"kiri",IF($J$2:$J$164&lt;$L$169,"tengah","kanan"))</f>
        <v>kiri</v>
      </c>
      <c r="K170" s="36" t="s">
        <v>208</v>
      </c>
      <c r="L170" s="30"/>
      <c r="O170" s="30" t="str">
        <f t="array" ref="O170:O332">IF($K$2:$K$164&lt;$P$169,"kiri",IF($K$2:$K$164&lt;$Q$169,"tengah","kanan"))</f>
        <v>tengah</v>
      </c>
      <c r="P170" s="36" t="s">
        <v>213</v>
      </c>
      <c r="Q170" s="30"/>
      <c r="T170" s="30" t="str">
        <f t="array" ref="T170:T332">IF($L$2:$L$164&lt;$U$169,"kiri",IF($L$2:$L$164&lt;$V$169,"tengah","kanan"))</f>
        <v>kanan</v>
      </c>
      <c r="U170" s="30" t="s">
        <v>193</v>
      </c>
      <c r="V170" s="30"/>
    </row>
    <row r="171" spans="5:22">
      <c r="E171" s="30" t="str">
        <v>kanan</v>
      </c>
      <c r="F171" s="30">
        <f>COUNTIFS($E$170:$E$332,"Kanan",$M$2:$M$164,"1")</f>
        <v>1</v>
      </c>
      <c r="G171" s="30">
        <f>F171/32</f>
        <v>0.03125</v>
      </c>
      <c r="J171" s="30" t="str">
        <v>kanan</v>
      </c>
      <c r="K171" s="30">
        <f t="array" ref="K171">SUMPRODUCT((J170:J332="Kanan")*(M2:M164=1))</f>
        <v>5</v>
      </c>
      <c r="L171" s="30">
        <f>K171/35</f>
        <v>0.142857142857143</v>
      </c>
      <c r="O171" s="30" t="str">
        <v>tengah</v>
      </c>
      <c r="P171" s="30">
        <f>COUNTIFS($O$170:$O$332,"Kanan",$M$2:$M$164,"1")</f>
        <v>0</v>
      </c>
      <c r="Q171" s="30">
        <f>P171/31</f>
        <v>0</v>
      </c>
      <c r="T171" s="30" t="str">
        <v>kanan</v>
      </c>
      <c r="U171" s="30">
        <f>COUNTIFS($T$170:$T$332,"Kanan",$M$2:$M$164,"1")</f>
        <v>8</v>
      </c>
      <c r="V171" s="30">
        <f>U171/88</f>
        <v>0.0909090909090909</v>
      </c>
    </row>
    <row r="172" spans="5:22">
      <c r="E172" s="30" t="str">
        <v>tengah</v>
      </c>
      <c r="F172" s="30">
        <f>COUNTIFS($E$170:$E$332,"Kanan",$M$2:$M$164,"2")</f>
        <v>18</v>
      </c>
      <c r="G172" s="30">
        <f t="shared" ref="G172:G173" si="3">F172/32</f>
        <v>0.5625</v>
      </c>
      <c r="J172" s="30" t="str">
        <v>tengah</v>
      </c>
      <c r="K172" s="30">
        <f>COUNTIFS($J$170:$J$332,"Kanan",$M$2:$M$164,"2")</f>
        <v>13</v>
      </c>
      <c r="L172" s="30">
        <f t="shared" ref="L172:L173" si="4">K172/35</f>
        <v>0.371428571428571</v>
      </c>
      <c r="O172" s="30" t="str">
        <v>tengah</v>
      </c>
      <c r="P172" s="30">
        <f>COUNTIFS($O$170:$O$332,"Kanan",$M$2:$M$164,"2")</f>
        <v>0</v>
      </c>
      <c r="Q172" s="30">
        <f t="shared" ref="Q172:Q173" si="5">P172/31</f>
        <v>0</v>
      </c>
      <c r="T172" s="30" t="str">
        <v>kanan</v>
      </c>
      <c r="U172" s="30">
        <f>COUNTIFS($T$170:$T$332,"Kanan",$M$2:$M$164,"2")</f>
        <v>41</v>
      </c>
      <c r="V172" s="30">
        <f t="shared" ref="V172:V173" si="6">U172/88</f>
        <v>0.465909090909091</v>
      </c>
    </row>
    <row r="173" spans="5:22">
      <c r="E173" s="30" t="str">
        <v>tengah</v>
      </c>
      <c r="F173" s="30">
        <f t="array" ref="F173">SUMPRODUCT((E170:E332="KANAN")*(M2:M164=3))</f>
        <v>13</v>
      </c>
      <c r="G173" s="30">
        <f t="shared" si="3"/>
        <v>0.40625</v>
      </c>
      <c r="J173" s="30" t="str">
        <v>tengah</v>
      </c>
      <c r="K173" s="30">
        <f>COUNTIFS($J$170:$J$332,"Kanan",$M$2:$M$164,"3")</f>
        <v>17</v>
      </c>
      <c r="L173" s="30">
        <f t="shared" si="4"/>
        <v>0.485714285714286</v>
      </c>
      <c r="O173" s="30" t="str">
        <v>tengah</v>
      </c>
      <c r="P173" s="30">
        <f>COUNTIFS($O$170:$O$332,"Kanan",$M$2:$M$164,"3")</f>
        <v>31</v>
      </c>
      <c r="Q173" s="30">
        <f t="shared" si="5"/>
        <v>1</v>
      </c>
      <c r="T173" s="30" t="str">
        <v>kanan</v>
      </c>
      <c r="U173" s="30">
        <f>COUNTIFS($T$170:$T$332,"Kanan",$M$2:$M$164,"3")</f>
        <v>39</v>
      </c>
      <c r="V173" s="30">
        <f t="shared" si="6"/>
        <v>0.443181818181818</v>
      </c>
    </row>
    <row r="174" spans="5:22">
      <c r="E174" s="30" t="str">
        <v>tengah</v>
      </c>
      <c r="F174" s="30" t="s">
        <v>194</v>
      </c>
      <c r="G174" s="30">
        <f>-(IFERROR(G171*LOG(G171,2),0)+IFERROR(G172*LOG(G172,2),0)+IFERROR(G173*LOG(G173,2),0))</f>
        <v>1.15111355119388</v>
      </c>
      <c r="J174" s="30" t="str">
        <v>kiri</v>
      </c>
      <c r="K174" s="30" t="s">
        <v>194</v>
      </c>
      <c r="L174" s="30">
        <f>-(IFERROR(L171*LOG(L171,2),0)+IFERROR(L172*LOG(L172,2),0)+IFERROR(L173*LOG(L173,2),0))</f>
        <v>1.43779087090134</v>
      </c>
      <c r="O174" s="30" t="str">
        <v>kanan</v>
      </c>
      <c r="P174" s="30" t="s">
        <v>194</v>
      </c>
      <c r="Q174" s="30">
        <f>-(IFERROR(Q171*LOG(Q171,2),0)+IFERROR(Q172*LOG(Q172,2),0)+IFERROR(Q173*LOG(Q173,2),0))</f>
        <v>0</v>
      </c>
      <c r="T174" s="30" t="str">
        <v>tengah</v>
      </c>
      <c r="U174" s="30" t="s">
        <v>194</v>
      </c>
      <c r="V174" s="30">
        <f>-(IFERROR(V171*LOG(V171,2),0)+IFERROR(V172*LOG(V172,2),0)+IFERROR(V173*LOG(V173,2),0))</f>
        <v>1.34817799676265</v>
      </c>
    </row>
    <row r="175" spans="5:22">
      <c r="E175" s="30" t="str">
        <v>tengah</v>
      </c>
      <c r="F175" s="30"/>
      <c r="G175" s="30">
        <f>SUM(F171:F173)/163</f>
        <v>0.196319018404908</v>
      </c>
      <c r="J175" s="30" t="str">
        <v>tengah</v>
      </c>
      <c r="K175" s="30"/>
      <c r="L175" s="30">
        <f>SUM(K171:K173)/163</f>
        <v>0.214723926380368</v>
      </c>
      <c r="O175" s="30" t="str">
        <v>kanan</v>
      </c>
      <c r="P175" s="30"/>
      <c r="Q175" s="30">
        <f>SUM(P171:P173)/163</f>
        <v>0.190184049079755</v>
      </c>
      <c r="T175" s="30" t="str">
        <v>kanan</v>
      </c>
      <c r="U175" s="30"/>
      <c r="V175" s="30">
        <f>SUM(U171:U173)/163</f>
        <v>0.539877300613497</v>
      </c>
    </row>
    <row r="176" spans="5:22">
      <c r="E176" s="30" t="str">
        <v>tengah</v>
      </c>
      <c r="F176" s="30"/>
      <c r="G176" s="37">
        <f>G174*G175</f>
        <v>0.22598548244297</v>
      </c>
      <c r="J176" s="30" t="str">
        <v>kiri</v>
      </c>
      <c r="K176" s="30"/>
      <c r="L176" s="37">
        <f>L174*L175</f>
        <v>0.308728101113786</v>
      </c>
      <c r="O176" s="30" t="str">
        <v>kanan</v>
      </c>
      <c r="P176" s="30"/>
      <c r="Q176" s="37">
        <f>Q174*Q175</f>
        <v>0</v>
      </c>
      <c r="T176" s="30" t="str">
        <v>tengah</v>
      </c>
      <c r="U176" s="30"/>
      <c r="V176" s="37">
        <f>V174*V175</f>
        <v>0.72785069763873</v>
      </c>
    </row>
    <row r="177" spans="5:22">
      <c r="E177" s="30" t="str">
        <v>kiri</v>
      </c>
      <c r="F177" s="30"/>
      <c r="G177" s="30"/>
      <c r="J177" s="30" t="str">
        <v>kiri</v>
      </c>
      <c r="K177" s="30"/>
      <c r="L177" s="30"/>
      <c r="O177" s="30" t="str">
        <v>tengah</v>
      </c>
      <c r="P177" s="30"/>
      <c r="Q177" s="30"/>
      <c r="T177" s="30" t="str">
        <v>kanan</v>
      </c>
      <c r="U177" s="30"/>
      <c r="V177" s="30"/>
    </row>
    <row r="178" spans="5:22">
      <c r="E178" s="30" t="str">
        <v>kanan</v>
      </c>
      <c r="F178" s="30"/>
      <c r="G178" s="30"/>
      <c r="J178" s="30" t="str">
        <v>kanan</v>
      </c>
      <c r="K178" s="30"/>
      <c r="L178" s="30"/>
      <c r="O178" s="30" t="str">
        <v>kiri</v>
      </c>
      <c r="P178" s="30"/>
      <c r="Q178" s="30"/>
      <c r="T178" s="30" t="str">
        <v>kanan</v>
      </c>
      <c r="U178" s="30"/>
      <c r="V178" s="30"/>
    </row>
    <row r="179" spans="5:22">
      <c r="E179" s="30" t="str">
        <v>kiri</v>
      </c>
      <c r="F179" s="36" t="s">
        <v>210</v>
      </c>
      <c r="G179" s="30"/>
      <c r="J179" s="30" t="str">
        <v>kiri</v>
      </c>
      <c r="K179" s="36" t="s">
        <v>211</v>
      </c>
      <c r="L179" s="30"/>
      <c r="O179" s="30" t="str">
        <v>kanan</v>
      </c>
      <c r="P179" s="36" t="s">
        <v>206</v>
      </c>
      <c r="Q179" s="30"/>
      <c r="T179" s="30" t="str">
        <v>tengah</v>
      </c>
      <c r="U179" s="30" t="s">
        <v>198</v>
      </c>
      <c r="V179" s="30"/>
    </row>
    <row r="180" spans="5:22">
      <c r="E180" s="30" t="str">
        <v>kiri</v>
      </c>
      <c r="F180" s="30">
        <f t="array" ref="F180">SUMPRODUCT((E170:E332="kiri")*(M2:M164=1))</f>
        <v>6</v>
      </c>
      <c r="G180" s="30">
        <f>F180/44</f>
        <v>0.136363636363636</v>
      </c>
      <c r="J180" s="30" t="str">
        <v>kiri</v>
      </c>
      <c r="K180" s="30">
        <f>COUNTIFS($J$170:$J$332,"Kiri",$M$2:$M$164,"1")</f>
        <v>1</v>
      </c>
      <c r="L180" s="30">
        <f>K180/31</f>
        <v>0.032258064516129</v>
      </c>
      <c r="O180" s="30" t="str">
        <v>kiri</v>
      </c>
      <c r="P180" s="30">
        <f>COUNTIFS($O$170:$O$332,"Kiri",$M$2:$M$164,"1")</f>
        <v>14</v>
      </c>
      <c r="Q180" s="30">
        <f>P180/32</f>
        <v>0.4375</v>
      </c>
      <c r="T180" s="30" t="str">
        <v>tengah</v>
      </c>
      <c r="U180" s="30">
        <f>COUNTIFS($T$170:$T$332,"Kiri",$M$2:$M$164,"1")</f>
        <v>0</v>
      </c>
      <c r="V180" s="30">
        <f>U180/57</f>
        <v>0</v>
      </c>
    </row>
    <row r="181" spans="5:22">
      <c r="E181" s="30" t="str">
        <v>tengah</v>
      </c>
      <c r="F181" s="30">
        <f t="array" ref="F181">SUMPRODUCT((E170:E332="kiri")*(M2:M164=2))</f>
        <v>21</v>
      </c>
      <c r="G181" s="30">
        <f t="shared" ref="G181:G182" si="7">F181/44</f>
        <v>0.477272727272727</v>
      </c>
      <c r="J181" s="30" t="str">
        <v>kanan</v>
      </c>
      <c r="K181" s="30">
        <f>COUNTIFS($J$170:$J$332,"Kiri",$M$2:$M$164,"2")</f>
        <v>15</v>
      </c>
      <c r="L181" s="30">
        <f t="shared" ref="L181:L182" si="8">K181/31</f>
        <v>0.483870967741935</v>
      </c>
      <c r="O181" s="30" t="str">
        <v>tengah</v>
      </c>
      <c r="P181" s="30">
        <f>COUNTIFS($O$170:$O$332,"Kiri",$M$2:$M$164,"2")</f>
        <v>18</v>
      </c>
      <c r="Q181" s="30">
        <f t="shared" ref="Q181:Q182" si="9">P181/32</f>
        <v>0.5625</v>
      </c>
      <c r="T181" s="30" t="str">
        <v>tengah</v>
      </c>
      <c r="U181" s="30">
        <f>COUNTIFS($T$170:$T$332,"Kiri",$M$2:$M$164,"2")</f>
        <v>0</v>
      </c>
      <c r="V181" s="30">
        <f>U181/57</f>
        <v>0</v>
      </c>
    </row>
    <row r="182" spans="5:22">
      <c r="E182" s="30" t="str">
        <v>kiri</v>
      </c>
      <c r="F182" s="30">
        <f t="array" ref="F182">SUMPRODUCT((E170:E332="kiri")*(M2:M164=3))</f>
        <v>17</v>
      </c>
      <c r="G182" s="30">
        <f t="shared" si="7"/>
        <v>0.386363636363636</v>
      </c>
      <c r="J182" s="30" t="str">
        <v>tengah</v>
      </c>
      <c r="K182" s="30">
        <f>COUNTIFS($J$170:$J$332,"Kiri",$M$2:$M$164,"3")</f>
        <v>15</v>
      </c>
      <c r="L182" s="30">
        <f t="shared" si="8"/>
        <v>0.483870967741935</v>
      </c>
      <c r="O182" s="30" t="str">
        <v>kiri</v>
      </c>
      <c r="P182" s="30">
        <f>COUNTIFS($O$170:$O$332,"Kiri",$M$2:$M$164,"3")</f>
        <v>0</v>
      </c>
      <c r="Q182" s="30">
        <f t="shared" si="9"/>
        <v>0</v>
      </c>
      <c r="T182" s="30" t="str">
        <v>kanan</v>
      </c>
      <c r="U182" s="30">
        <f>COUNTIFS($T$170:$T$332,"Kiri",$M$2:$M$164,"3")</f>
        <v>0</v>
      </c>
      <c r="V182" s="30">
        <f>U182/57</f>
        <v>0</v>
      </c>
    </row>
    <row r="183" spans="5:22">
      <c r="E183" s="30" t="str">
        <v>tengah</v>
      </c>
      <c r="F183" s="30" t="s">
        <v>194</v>
      </c>
      <c r="G183" s="30">
        <f>-(IFERROR(G180*LOG(G180,2),0)+IFERROR(G181*LOG(G181,2),0)+IFERROR(G182*LOG(G182,2),0))</f>
        <v>1.43135640991146</v>
      </c>
      <c r="J183" s="30" t="str">
        <v>tengah</v>
      </c>
      <c r="K183" s="30" t="s">
        <v>194</v>
      </c>
      <c r="L183" s="30">
        <f>-(IFERROR(L180*LOG(L180,2),0)+IFERROR(L181*LOG(L181,2),0)+IFERROR(L182*LOG(L182,2),0))</f>
        <v>1.17333444366895</v>
      </c>
      <c r="O183" s="30" t="str">
        <v>tengah</v>
      </c>
      <c r="P183" s="30" t="s">
        <v>194</v>
      </c>
      <c r="Q183" s="30">
        <f>-(IFERROR(Q180*LOG(Q180,2),0)+IFERROR(Q181*LOG(Q181,2),0)+IFERROR(Q182*LOG(Q182,2),0))</f>
        <v>0.988699408288497</v>
      </c>
      <c r="T183" s="30" t="str">
        <v>tengah</v>
      </c>
      <c r="U183" s="30" t="s">
        <v>194</v>
      </c>
      <c r="V183" s="30">
        <f>-(IFERROR(V180*LOG(V180,2),0)+IFERROR(V181*LOG(V181,2),0)+IFERROR(V182*LOG(V182,2),0))</f>
        <v>0</v>
      </c>
    </row>
    <row r="184" spans="5:22">
      <c r="E184" s="30" t="str">
        <v>kiri</v>
      </c>
      <c r="F184" s="30"/>
      <c r="G184" s="30">
        <f>SUM(F180:F182)/163</f>
        <v>0.269938650306748</v>
      </c>
      <c r="J184" s="30" t="str">
        <v>tengah</v>
      </c>
      <c r="K184" s="30"/>
      <c r="L184" s="30">
        <f>SUM(K180:K182)/163</f>
        <v>0.190184049079755</v>
      </c>
      <c r="O184" s="30" t="str">
        <v>kanan</v>
      </c>
      <c r="P184" s="30"/>
      <c r="Q184" s="30">
        <f>SUM(P180:P182)/163</f>
        <v>0.196319018404908</v>
      </c>
      <c r="T184" s="30" t="str">
        <v>kanan</v>
      </c>
      <c r="U184" s="30"/>
      <c r="V184" s="30">
        <f>SUM(U180:U182)/163</f>
        <v>0</v>
      </c>
    </row>
    <row r="185" spans="5:22">
      <c r="E185" s="30" t="str">
        <v>kiri</v>
      </c>
      <c r="F185" s="30"/>
      <c r="G185" s="37">
        <f>G183*G184</f>
        <v>0.386378417399414</v>
      </c>
      <c r="J185" s="30" t="str">
        <v>kanan</v>
      </c>
      <c r="K185" s="30"/>
      <c r="L185" s="37">
        <f>L183*L184</f>
        <v>0.223149495421703</v>
      </c>
      <c r="O185" s="30" t="str">
        <v>tengah</v>
      </c>
      <c r="P185" s="30"/>
      <c r="Q185" s="37">
        <f>Q183*Q184</f>
        <v>0.194100497332711</v>
      </c>
      <c r="T185" s="30" t="str">
        <v>kanan</v>
      </c>
      <c r="U185" s="30"/>
      <c r="V185" s="37">
        <f>V183*V184</f>
        <v>0</v>
      </c>
    </row>
    <row r="186" spans="5:22">
      <c r="E186" s="30" t="str">
        <v>tengah</v>
      </c>
      <c r="F186" s="30"/>
      <c r="G186" s="30"/>
      <c r="J186" s="30" t="str">
        <v>kiri</v>
      </c>
      <c r="K186" s="30"/>
      <c r="L186" s="30"/>
      <c r="O186" s="30" t="str">
        <v>kiri</v>
      </c>
      <c r="P186" s="30"/>
      <c r="Q186" s="30"/>
      <c r="T186" s="30" t="str">
        <v>tengah</v>
      </c>
      <c r="U186" s="30"/>
      <c r="V186" s="30"/>
    </row>
    <row r="187" spans="5:22">
      <c r="E187" s="30" t="str">
        <v>kiri</v>
      </c>
      <c r="F187" s="30"/>
      <c r="G187" s="30"/>
      <c r="J187" s="30" t="str">
        <v>tengah</v>
      </c>
      <c r="K187" s="30"/>
      <c r="L187" s="30"/>
      <c r="O187" s="30" t="str">
        <v>tengah</v>
      </c>
      <c r="P187" s="30"/>
      <c r="Q187" s="30"/>
      <c r="T187" s="30" t="str">
        <v>tengah</v>
      </c>
      <c r="U187" s="30"/>
      <c r="V187" s="30"/>
    </row>
    <row r="188" spans="5:22">
      <c r="E188" s="30" t="str">
        <v>tengah</v>
      </c>
      <c r="F188" s="30" t="s">
        <v>199</v>
      </c>
      <c r="G188" s="30"/>
      <c r="J188" s="30" t="str">
        <v>tengah</v>
      </c>
      <c r="K188" s="30" t="s">
        <v>199</v>
      </c>
      <c r="L188" s="30"/>
      <c r="O188" s="30" t="str">
        <v>kanan</v>
      </c>
      <c r="P188" s="30" t="s">
        <v>199</v>
      </c>
      <c r="Q188" s="30"/>
      <c r="T188" s="30" t="str">
        <v>kanan</v>
      </c>
      <c r="U188" s="30" t="s">
        <v>199</v>
      </c>
      <c r="V188" s="30"/>
    </row>
    <row r="189" spans="5:22">
      <c r="E189" s="30" t="str">
        <v>kanan</v>
      </c>
      <c r="F189" s="30">
        <f t="array" ref="F189">SUMPRODUCT((E170:E332="tengah")*(M2:M164=1))</f>
        <v>7</v>
      </c>
      <c r="G189" s="30">
        <f>F189/87</f>
        <v>0.0804597701149425</v>
      </c>
      <c r="J189" s="30" t="str">
        <v>tengah</v>
      </c>
      <c r="K189" s="30">
        <f>COUNTIFS($J$170:$J$332,"Tengah",$M$2:$M$164,"1")</f>
        <v>8</v>
      </c>
      <c r="L189" s="30">
        <f>K189/97</f>
        <v>0.0824742268041237</v>
      </c>
      <c r="O189" s="30" t="str">
        <v>tengah</v>
      </c>
      <c r="P189" s="30">
        <f>COUNTIFS($O$170:$O$332,"Tengah",$M$2:$M$164,"1")</f>
        <v>0</v>
      </c>
      <c r="Q189" s="30">
        <f>P189/100</f>
        <v>0</v>
      </c>
      <c r="T189" s="30" t="str">
        <v>kanan</v>
      </c>
      <c r="U189" s="30">
        <f>COUNTIFS($T$170:$T$332,"Tengah",$M$2:$M$164,"1")</f>
        <v>6</v>
      </c>
      <c r="V189" s="30">
        <f>U189/75</f>
        <v>0.08</v>
      </c>
    </row>
    <row r="190" spans="5:22">
      <c r="E190" s="30" t="str">
        <v>kanan</v>
      </c>
      <c r="F190" s="30">
        <f t="array" ref="F190">SUMPRODUCT((E170:E332="tengah")*(M2:M164=2))</f>
        <v>45</v>
      </c>
      <c r="G190" s="30">
        <f t="shared" ref="G190:G191" si="10">F190/87</f>
        <v>0.517241379310345</v>
      </c>
      <c r="J190" s="30" t="str">
        <v>kiri</v>
      </c>
      <c r="K190" s="30">
        <f>COUNTIFS($J$170:$J$332,"Tengah",$M$2:$M$164,"2")</f>
        <v>56</v>
      </c>
      <c r="L190" s="30">
        <f t="shared" ref="L190:L191" si="11">K190/97</f>
        <v>0.577319587628866</v>
      </c>
      <c r="O190" s="30" t="str">
        <v>tengah</v>
      </c>
      <c r="P190" s="30">
        <f>COUNTIFS($O$170:$O$332,"Tengah",$M$2:$M$164,"2")</f>
        <v>66</v>
      </c>
      <c r="Q190" s="30">
        <f t="shared" ref="Q190:Q191" si="12">P190/100</f>
        <v>0.66</v>
      </c>
      <c r="T190" s="30" t="str">
        <v>tengah</v>
      </c>
      <c r="U190" s="30">
        <f>COUNTIFS($T$170:$T$332,"Tengah",$M$2:$M$164,"2")</f>
        <v>43</v>
      </c>
      <c r="V190" s="30">
        <f t="shared" ref="V190:V191" si="13">U190/75</f>
        <v>0.573333333333333</v>
      </c>
    </row>
    <row r="191" spans="5:22">
      <c r="E191" s="30" t="str">
        <v>tengah</v>
      </c>
      <c r="F191" s="30">
        <f t="array" ref="F191">SUMPRODUCT((E170:E332="tengah")*(M2:M164=3))</f>
        <v>35</v>
      </c>
      <c r="G191" s="30">
        <f t="shared" si="10"/>
        <v>0.402298850574713</v>
      </c>
      <c r="J191" s="30" t="str">
        <v>tengah</v>
      </c>
      <c r="K191" s="30">
        <f>COUNTIFS($J$170:$J$332,"Tengah",$M$2:$M$164,"3")</f>
        <v>33</v>
      </c>
      <c r="L191" s="30">
        <f t="shared" si="11"/>
        <v>0.34020618556701</v>
      </c>
      <c r="O191" s="30" t="str">
        <v>tengah</v>
      </c>
      <c r="P191" s="30">
        <f>COUNTIFS($O$170:$O$332,"Tengah",$M$2:$M$164,"3")</f>
        <v>34</v>
      </c>
      <c r="Q191" s="30">
        <f t="shared" si="12"/>
        <v>0.34</v>
      </c>
      <c r="T191" s="30" t="str">
        <v>tengah</v>
      </c>
      <c r="U191" s="30">
        <f>COUNTIFS($T$170:$T$332,"Tengah",$M$2:$M$164,"3")</f>
        <v>26</v>
      </c>
      <c r="V191" s="30">
        <f t="shared" si="13"/>
        <v>0.346666666666667</v>
      </c>
    </row>
    <row r="192" spans="5:22">
      <c r="E192" s="30" t="str">
        <v>tengah</v>
      </c>
      <c r="F192" s="30" t="s">
        <v>194</v>
      </c>
      <c r="G192" s="30">
        <f>-(IFERROR(G189*LOG(G189,2),0)+IFERROR(G190*LOG(G190,2),0)+IFERROR(G191*LOG(G191,2),0))</f>
        <v>1.31294603168422</v>
      </c>
      <c r="J192" s="30" t="str">
        <v>tengah</v>
      </c>
      <c r="K192" s="30" t="s">
        <v>194</v>
      </c>
      <c r="L192" s="30">
        <f>-(IFERROR(L189*LOG(L189,2),0)+IFERROR(L190*LOG(L190,2),0)+IFERROR(L191*LOG(L191,2),0))</f>
        <v>1.2836563311144</v>
      </c>
      <c r="O192" s="30" t="str">
        <v>kiri</v>
      </c>
      <c r="P192" s="30" t="s">
        <v>194</v>
      </c>
      <c r="Q192" s="30">
        <f>-(IFERROR(Q189*LOG(Q189,2),0)+IFERROR(Q190*LOG(Q190,2),0)+IFERROR(Q191*LOG(Q191,2),0))</f>
        <v>0.92481870497303</v>
      </c>
      <c r="T192" s="30" t="str">
        <v>kanan</v>
      </c>
      <c r="U192" s="30" t="s">
        <v>194</v>
      </c>
      <c r="V192" s="30">
        <f>-(IFERROR(V189*LOG(V189,2),0)+IFERROR(V190*LOG(V190,2),0)+IFERROR(V191*LOG(V191,2),0))</f>
        <v>1.28147746212007</v>
      </c>
    </row>
    <row r="193" spans="5:22">
      <c r="E193" s="30" t="str">
        <v>kiri</v>
      </c>
      <c r="F193" s="30"/>
      <c r="G193" s="30">
        <f>SUM(F189:F191)/163</f>
        <v>0.533742331288344</v>
      </c>
      <c r="J193" s="30" t="str">
        <v>tengah</v>
      </c>
      <c r="K193" s="30"/>
      <c r="L193" s="30">
        <f>SUM(K189:K191)/163</f>
        <v>0.595092024539877</v>
      </c>
      <c r="O193" s="30" t="str">
        <v>tengah</v>
      </c>
      <c r="P193" s="30"/>
      <c r="Q193" s="30">
        <f>SUM(P189:P191)/163</f>
        <v>0.613496932515337</v>
      </c>
      <c r="T193" s="30" t="str">
        <v>tengah</v>
      </c>
      <c r="U193" s="30"/>
      <c r="V193" s="30">
        <f>SUM(U189:U191)/163</f>
        <v>0.460122699386503</v>
      </c>
    </row>
    <row r="194" spans="5:22">
      <c r="E194" s="30" t="str">
        <v>tengah</v>
      </c>
      <c r="F194" s="30"/>
      <c r="G194" s="37">
        <f>G192*G193</f>
        <v>0.700774875806914</v>
      </c>
      <c r="J194" s="30" t="str">
        <v>tengah</v>
      </c>
      <c r="K194" s="30"/>
      <c r="L194" s="37">
        <f>L192*L193</f>
        <v>0.763893644896298</v>
      </c>
      <c r="O194" s="30" t="str">
        <v>tengah</v>
      </c>
      <c r="P194" s="30"/>
      <c r="Q194" s="37">
        <f>Q192*Q193</f>
        <v>0.567373438633761</v>
      </c>
      <c r="T194" s="30" t="str">
        <v>kanan</v>
      </c>
      <c r="U194" s="30"/>
      <c r="V194" s="37">
        <f>V192*V193</f>
        <v>0.589636869073654</v>
      </c>
    </row>
    <row r="195" spans="5:22">
      <c r="E195" s="30" t="str">
        <v>tengah</v>
      </c>
      <c r="F195" s="30"/>
      <c r="G195" s="30"/>
      <c r="J195" s="30" t="str">
        <v>tengah</v>
      </c>
      <c r="K195" s="30"/>
      <c r="L195" s="30"/>
      <c r="O195" s="30" t="str">
        <v>tengah</v>
      </c>
      <c r="P195" s="30"/>
      <c r="Q195" s="30"/>
      <c r="T195" s="30" t="str">
        <v>tengah</v>
      </c>
      <c r="U195" s="30"/>
      <c r="V195" s="30"/>
    </row>
    <row r="196" spans="5:22">
      <c r="E196" s="30" t="str">
        <v>kiri</v>
      </c>
      <c r="F196" s="30" t="s">
        <v>200</v>
      </c>
      <c r="G196" s="36" t="s">
        <v>194</v>
      </c>
      <c r="J196" s="30" t="str">
        <v>kiri</v>
      </c>
      <c r="K196" s="30" t="s">
        <v>200</v>
      </c>
      <c r="L196" s="36" t="s">
        <v>194</v>
      </c>
      <c r="O196" s="30" t="str">
        <v>tengah</v>
      </c>
      <c r="P196" s="30" t="s">
        <v>200</v>
      </c>
      <c r="Q196" s="36" t="s">
        <v>194</v>
      </c>
      <c r="T196" s="30" t="str">
        <v>kanan</v>
      </c>
      <c r="U196" s="30" t="s">
        <v>200</v>
      </c>
      <c r="V196" s="36" t="s">
        <v>194</v>
      </c>
    </row>
    <row r="197" spans="5:22">
      <c r="E197" s="30" t="str">
        <v>tengah</v>
      </c>
      <c r="F197" s="41">
        <f>P5-(G176+G185+G194)</f>
        <v>0.0128191928819523</v>
      </c>
      <c r="G197" s="37">
        <f>(G176+G185+G194)</f>
        <v>1.3131387756493</v>
      </c>
      <c r="J197" s="30" t="str">
        <v>tengah</v>
      </c>
      <c r="K197" s="41">
        <f>P5-(L176+L185+L194)</f>
        <v>0.0301867270994634</v>
      </c>
      <c r="L197" s="37">
        <f>(L176+L185+L194)</f>
        <v>1.29577124143179</v>
      </c>
      <c r="O197" s="30" t="str">
        <v>tengah</v>
      </c>
      <c r="P197" s="41">
        <f>P5-(Q176+Q185+Q194)</f>
        <v>0.564484032564778</v>
      </c>
      <c r="Q197" s="37">
        <f>(Q176+Q185+Q194)</f>
        <v>0.761473935966472</v>
      </c>
      <c r="T197" s="30" t="str">
        <v>tengah</v>
      </c>
      <c r="U197" s="41">
        <f>P5-(V176+V185+V194)</f>
        <v>0.00847040181886616</v>
      </c>
      <c r="V197" s="37">
        <f>(V176+V185+V194)</f>
        <v>1.31748756671238</v>
      </c>
    </row>
    <row r="198" spans="5:22">
      <c r="E198" s="30" t="str">
        <v>kanan</v>
      </c>
      <c r="F198" s="30"/>
      <c r="G198" s="30"/>
      <c r="J198" s="30" t="str">
        <v>tengah</v>
      </c>
      <c r="K198" s="30"/>
      <c r="L198" s="30"/>
      <c r="O198" s="30" t="str">
        <v>tengah</v>
      </c>
      <c r="P198" s="30"/>
      <c r="Q198" s="30"/>
      <c r="T198" s="30" t="str">
        <v>tengah</v>
      </c>
      <c r="U198" s="30"/>
      <c r="V198" s="30"/>
    </row>
    <row r="199" spans="5:22">
      <c r="E199" s="30" t="str">
        <v>kiri</v>
      </c>
      <c r="F199" s="30"/>
      <c r="G199" s="30"/>
      <c r="J199" s="30" t="str">
        <v>kiri</v>
      </c>
      <c r="K199" s="30"/>
      <c r="L199" s="30"/>
      <c r="O199" s="30" t="str">
        <v>kanan</v>
      </c>
      <c r="P199" s="30"/>
      <c r="Q199" s="30"/>
      <c r="T199" s="30" t="str">
        <v>kanan</v>
      </c>
      <c r="U199" s="30"/>
      <c r="V199" s="30"/>
    </row>
    <row r="200" spans="5:22">
      <c r="E200" s="30" t="str">
        <v>tengah</v>
      </c>
      <c r="F200" s="30"/>
      <c r="G200" s="30"/>
      <c r="J200" s="30" t="str">
        <v>tengah</v>
      </c>
      <c r="K200" s="30"/>
      <c r="L200" s="30"/>
      <c r="O200" s="30" t="str">
        <v>kiri</v>
      </c>
      <c r="P200" s="30"/>
      <c r="Q200" s="30"/>
      <c r="T200" s="30" t="str">
        <v>kanan</v>
      </c>
      <c r="U200" s="30"/>
      <c r="V200" s="30"/>
    </row>
    <row r="201" spans="5:22">
      <c r="E201" s="30" t="str">
        <v>tengah</v>
      </c>
      <c r="F201" s="30"/>
      <c r="G201" s="30"/>
      <c r="J201" s="30" t="str">
        <v>tengah</v>
      </c>
      <c r="K201" s="30"/>
      <c r="L201" s="30"/>
      <c r="O201" s="30" t="str">
        <v>tengah</v>
      </c>
      <c r="P201" s="30"/>
      <c r="Q201" s="30"/>
      <c r="T201" s="30" t="str">
        <v>kanan</v>
      </c>
      <c r="U201" s="30"/>
      <c r="V201" s="30"/>
    </row>
    <row r="202" spans="5:22">
      <c r="E202" s="30" t="str">
        <v>tengah</v>
      </c>
      <c r="F202" s="30"/>
      <c r="G202" s="30"/>
      <c r="J202" s="30" t="str">
        <v>tengah</v>
      </c>
      <c r="K202" s="30"/>
      <c r="L202" s="30"/>
      <c r="O202" s="30" t="str">
        <v>tengah</v>
      </c>
      <c r="P202" s="30"/>
      <c r="Q202" s="30"/>
      <c r="T202" s="30" t="str">
        <v>tengah</v>
      </c>
      <c r="U202" s="30"/>
      <c r="V202" s="30"/>
    </row>
    <row r="203" spans="5:22">
      <c r="E203" s="30" t="str">
        <v>kiri</v>
      </c>
      <c r="F203" s="30"/>
      <c r="G203" s="30"/>
      <c r="J203" s="30" t="str">
        <v>kanan</v>
      </c>
      <c r="K203" s="30"/>
      <c r="L203" s="30"/>
      <c r="O203" s="30" t="str">
        <v>tengah</v>
      </c>
      <c r="P203" s="30"/>
      <c r="Q203" s="30"/>
      <c r="T203" s="30" t="str">
        <v>kanan</v>
      </c>
      <c r="U203" s="30"/>
      <c r="V203" s="30"/>
    </row>
    <row r="204" spans="5:22">
      <c r="E204" s="30" t="str">
        <v>tengah</v>
      </c>
      <c r="F204" s="30"/>
      <c r="G204" s="30"/>
      <c r="J204" s="30" t="str">
        <v>kanan</v>
      </c>
      <c r="K204" s="30"/>
      <c r="L204" s="30"/>
      <c r="O204" s="30" t="str">
        <v>tengah</v>
      </c>
      <c r="P204" s="30"/>
      <c r="Q204" s="30"/>
      <c r="T204" s="30" t="str">
        <v>tengah</v>
      </c>
      <c r="U204" s="30"/>
      <c r="V204" s="30"/>
    </row>
    <row r="205" spans="5:22">
      <c r="E205" s="30" t="str">
        <v>tengah</v>
      </c>
      <c r="F205" s="30"/>
      <c r="G205" s="30"/>
      <c r="J205" s="30" t="str">
        <v>tengah</v>
      </c>
      <c r="K205" s="30"/>
      <c r="L205" s="30"/>
      <c r="O205" s="30" t="str">
        <v>tengah</v>
      </c>
      <c r="P205" s="30"/>
      <c r="Q205" s="30"/>
      <c r="T205" s="30" t="str">
        <v>kanan</v>
      </c>
      <c r="U205" s="30"/>
      <c r="V205" s="30"/>
    </row>
    <row r="206" spans="5:22">
      <c r="E206" s="30" t="str">
        <v>tengah</v>
      </c>
      <c r="F206" s="30"/>
      <c r="G206" s="30"/>
      <c r="J206" s="30" t="str">
        <v>tengah</v>
      </c>
      <c r="K206" s="30"/>
      <c r="L206" s="30"/>
      <c r="O206" s="30" t="str">
        <v>tengah</v>
      </c>
      <c r="P206" s="30"/>
      <c r="Q206" s="30"/>
      <c r="T206" s="30" t="str">
        <v>tengah</v>
      </c>
      <c r="U206" s="30"/>
      <c r="V206" s="30"/>
    </row>
    <row r="207" spans="5:22">
      <c r="E207" s="30" t="str">
        <v>tengah</v>
      </c>
      <c r="F207" s="30"/>
      <c r="G207" s="30"/>
      <c r="J207" s="30" t="str">
        <v>tengah</v>
      </c>
      <c r="K207" s="30"/>
      <c r="L207" s="30"/>
      <c r="O207" s="30" t="str">
        <v>kiri</v>
      </c>
      <c r="P207" s="30"/>
      <c r="Q207" s="30"/>
      <c r="T207" s="30" t="str">
        <v>kanan</v>
      </c>
      <c r="U207" s="30"/>
      <c r="V207" s="30"/>
    </row>
    <row r="208" spans="5:22">
      <c r="E208" s="30" t="str">
        <v>tengah</v>
      </c>
      <c r="F208" s="30"/>
      <c r="G208" s="30"/>
      <c r="J208" s="30" t="str">
        <v>tengah</v>
      </c>
      <c r="K208" s="30"/>
      <c r="L208" s="30"/>
      <c r="O208" s="30" t="str">
        <v>tengah</v>
      </c>
      <c r="P208" s="30"/>
      <c r="Q208" s="30"/>
      <c r="T208" s="30" t="str">
        <v>tengah</v>
      </c>
      <c r="U208" s="30"/>
      <c r="V208" s="30"/>
    </row>
    <row r="209" spans="5:22">
      <c r="E209" s="30" t="str">
        <v>tengah</v>
      </c>
      <c r="F209" s="30"/>
      <c r="G209" s="30"/>
      <c r="J209" s="30" t="str">
        <v>kanan</v>
      </c>
      <c r="K209" s="30"/>
      <c r="L209" s="30"/>
      <c r="O209" s="30" t="str">
        <v>tengah</v>
      </c>
      <c r="P209" s="30"/>
      <c r="Q209" s="30"/>
      <c r="T209" s="30" t="str">
        <v>kanan</v>
      </c>
      <c r="U209" s="30"/>
      <c r="V209" s="30"/>
    </row>
    <row r="210" spans="5:22">
      <c r="E210" s="30" t="str">
        <v>tengah</v>
      </c>
      <c r="F210" s="30"/>
      <c r="G210" s="30"/>
      <c r="J210" s="30" t="str">
        <v>tengah</v>
      </c>
      <c r="K210" s="30"/>
      <c r="L210" s="30"/>
      <c r="O210" s="30" t="str">
        <v>tengah</v>
      </c>
      <c r="P210" s="30"/>
      <c r="Q210" s="30"/>
      <c r="T210" s="30" t="str">
        <v>kanan</v>
      </c>
      <c r="U210" s="30"/>
      <c r="V210" s="30"/>
    </row>
    <row r="211" spans="5:22">
      <c r="E211" s="30" t="str">
        <v>tengah</v>
      </c>
      <c r="F211" s="30"/>
      <c r="G211" s="30"/>
      <c r="J211" s="30" t="str">
        <v>tengah</v>
      </c>
      <c r="K211" s="30"/>
      <c r="L211" s="30"/>
      <c r="O211" s="30" t="str">
        <v>tengah</v>
      </c>
      <c r="P211" s="30"/>
      <c r="Q211" s="30"/>
      <c r="T211" s="30" t="str">
        <v>kanan</v>
      </c>
      <c r="U211" s="30"/>
      <c r="V211" s="30"/>
    </row>
    <row r="212" spans="5:22">
      <c r="E212" s="30" t="str">
        <v>tengah</v>
      </c>
      <c r="F212" s="30"/>
      <c r="G212" s="30"/>
      <c r="J212" s="30" t="str">
        <v>tengah</v>
      </c>
      <c r="K212" s="30"/>
      <c r="L212" s="30"/>
      <c r="O212" s="30" t="str">
        <v>tengah</v>
      </c>
      <c r="P212" s="30"/>
      <c r="Q212" s="30"/>
      <c r="T212" s="30" t="str">
        <v>tengah</v>
      </c>
      <c r="U212" s="30"/>
      <c r="V212" s="30"/>
    </row>
    <row r="213" spans="5:22">
      <c r="E213" s="30" t="str">
        <v>kiri</v>
      </c>
      <c r="F213" s="30"/>
      <c r="G213" s="30"/>
      <c r="J213" s="30" t="str">
        <v>tengah</v>
      </c>
      <c r="K213" s="30"/>
      <c r="L213" s="30"/>
      <c r="O213" s="30" t="str">
        <v>tengah</v>
      </c>
      <c r="P213" s="30"/>
      <c r="Q213" s="30"/>
      <c r="T213" s="30" t="str">
        <v>kanan</v>
      </c>
      <c r="U213" s="30"/>
      <c r="V213" s="30"/>
    </row>
    <row r="214" spans="5:22">
      <c r="E214" s="30" t="str">
        <v>kanan</v>
      </c>
      <c r="F214" s="30"/>
      <c r="G214" s="30"/>
      <c r="J214" s="30" t="str">
        <v>tengah</v>
      </c>
      <c r="K214" s="30"/>
      <c r="L214" s="30"/>
      <c r="O214" s="30" t="str">
        <v>tengah</v>
      </c>
      <c r="P214" s="30"/>
      <c r="Q214" s="30"/>
      <c r="T214" s="30" t="str">
        <v>kanan</v>
      </c>
      <c r="U214" s="30"/>
      <c r="V214" s="30"/>
    </row>
    <row r="215" spans="5:22">
      <c r="E215" s="30" t="str">
        <v>tengah</v>
      </c>
      <c r="F215" s="30"/>
      <c r="G215" s="30"/>
      <c r="J215" s="30" t="str">
        <v>kanan</v>
      </c>
      <c r="K215" s="30"/>
      <c r="L215" s="30"/>
      <c r="O215" s="30" t="str">
        <v>tengah</v>
      </c>
      <c r="P215" s="30"/>
      <c r="Q215" s="30"/>
      <c r="T215" s="30" t="str">
        <v>kanan</v>
      </c>
      <c r="U215" s="30"/>
      <c r="V215" s="30"/>
    </row>
    <row r="216" spans="5:22">
      <c r="E216" s="30" t="str">
        <v>tengah</v>
      </c>
      <c r="F216" s="30"/>
      <c r="G216" s="30"/>
      <c r="J216" s="30" t="str">
        <v>tengah</v>
      </c>
      <c r="K216" s="30"/>
      <c r="L216" s="30"/>
      <c r="O216" s="30" t="str">
        <v>kiri</v>
      </c>
      <c r="P216" s="30"/>
      <c r="Q216" s="30"/>
      <c r="T216" s="30" t="str">
        <v>tengah</v>
      </c>
      <c r="U216" s="30"/>
      <c r="V216" s="30"/>
    </row>
    <row r="217" spans="5:22">
      <c r="E217" s="30" t="str">
        <v>tengah</v>
      </c>
      <c r="F217" s="30"/>
      <c r="G217" s="30"/>
      <c r="J217" s="30" t="str">
        <v>tengah</v>
      </c>
      <c r="K217" s="30"/>
      <c r="L217" s="30"/>
      <c r="O217" s="30" t="str">
        <v>tengah</v>
      </c>
      <c r="P217" s="30"/>
      <c r="Q217" s="30"/>
      <c r="T217" s="30" t="str">
        <v>tengah</v>
      </c>
      <c r="U217" s="30"/>
      <c r="V217" s="30"/>
    </row>
    <row r="218" spans="5:22">
      <c r="E218" s="30" t="str">
        <v>tengah</v>
      </c>
      <c r="F218" s="30"/>
      <c r="G218" s="30"/>
      <c r="J218" s="30" t="str">
        <v>tengah</v>
      </c>
      <c r="K218" s="30"/>
      <c r="L218" s="30"/>
      <c r="O218" s="30" t="str">
        <v>tengah</v>
      </c>
      <c r="P218" s="30"/>
      <c r="Q218" s="30"/>
      <c r="T218" s="30" t="str">
        <v>tengah</v>
      </c>
      <c r="U218" s="30"/>
      <c r="V218" s="30"/>
    </row>
    <row r="219" spans="5:22">
      <c r="E219" s="30" t="str">
        <v>kanan</v>
      </c>
      <c r="F219" s="30"/>
      <c r="G219" s="30"/>
      <c r="J219" s="30" t="str">
        <v>kiri</v>
      </c>
      <c r="K219" s="30"/>
      <c r="L219" s="30"/>
      <c r="O219" s="30" t="str">
        <v>kanan</v>
      </c>
      <c r="P219" s="30"/>
      <c r="Q219" s="30"/>
      <c r="T219" s="30" t="str">
        <v>kanan</v>
      </c>
      <c r="U219" s="30"/>
      <c r="V219" s="30"/>
    </row>
    <row r="220" spans="5:22">
      <c r="E220" s="30" t="str">
        <v>tengah</v>
      </c>
      <c r="F220" s="30"/>
      <c r="G220" s="30"/>
      <c r="J220" s="30" t="str">
        <v>kanan</v>
      </c>
      <c r="K220" s="30"/>
      <c r="L220" s="30"/>
      <c r="O220" s="30" t="str">
        <v>kiri</v>
      </c>
      <c r="P220" s="30"/>
      <c r="Q220" s="30"/>
      <c r="T220" s="30" t="str">
        <v>kanan</v>
      </c>
      <c r="U220" s="30"/>
      <c r="V220" s="30"/>
    </row>
    <row r="221" spans="5:22">
      <c r="E221" s="30" t="str">
        <v>kanan</v>
      </c>
      <c r="F221" s="30"/>
      <c r="G221" s="30"/>
      <c r="J221" s="30" t="str">
        <v>kanan</v>
      </c>
      <c r="K221" s="30"/>
      <c r="L221" s="30"/>
      <c r="O221" s="30" t="str">
        <v>tengah</v>
      </c>
      <c r="P221" s="30"/>
      <c r="Q221" s="30"/>
      <c r="T221" s="30" t="str">
        <v>kanan</v>
      </c>
      <c r="U221" s="30"/>
      <c r="V221" s="30"/>
    </row>
    <row r="222" spans="5:22">
      <c r="E222" s="30" t="str">
        <v>kanan</v>
      </c>
      <c r="F222" s="30"/>
      <c r="G222" s="30"/>
      <c r="J222" s="30" t="str">
        <v>kanan</v>
      </c>
      <c r="K222" s="30"/>
      <c r="L222" s="30"/>
      <c r="O222" s="30" t="str">
        <v>tengah</v>
      </c>
      <c r="P222" s="30"/>
      <c r="Q222" s="30"/>
      <c r="T222" s="30" t="str">
        <v>tengah</v>
      </c>
      <c r="U222" s="30"/>
      <c r="V222" s="30"/>
    </row>
    <row r="223" spans="5:22">
      <c r="E223" s="30" t="str">
        <v>tengah</v>
      </c>
      <c r="F223" s="30"/>
      <c r="G223" s="30"/>
      <c r="J223" s="30" t="str">
        <v>tengah</v>
      </c>
      <c r="K223" s="30"/>
      <c r="L223" s="30"/>
      <c r="O223" s="30" t="str">
        <v>tengah</v>
      </c>
      <c r="P223" s="30"/>
      <c r="Q223" s="30"/>
      <c r="T223" s="30" t="str">
        <v>kanan</v>
      </c>
      <c r="U223" s="30"/>
      <c r="V223" s="30"/>
    </row>
    <row r="224" spans="5:22">
      <c r="E224" s="30" t="str">
        <v>kiri</v>
      </c>
      <c r="F224" s="30"/>
      <c r="G224" s="30"/>
      <c r="J224" s="30" t="str">
        <v>tengah</v>
      </c>
      <c r="K224" s="30"/>
      <c r="L224" s="30"/>
      <c r="O224" s="30" t="str">
        <v>tengah</v>
      </c>
      <c r="P224" s="30"/>
      <c r="Q224" s="30"/>
      <c r="T224" s="30" t="str">
        <v>kanan</v>
      </c>
      <c r="U224" s="30"/>
      <c r="V224" s="30"/>
    </row>
    <row r="225" spans="5:22">
      <c r="E225" s="30" t="str">
        <v>tengah</v>
      </c>
      <c r="F225" s="30"/>
      <c r="G225" s="30"/>
      <c r="J225" s="30" t="str">
        <v>tengah</v>
      </c>
      <c r="K225" s="30"/>
      <c r="L225" s="30"/>
      <c r="O225" s="30" t="str">
        <v>kiri</v>
      </c>
      <c r="P225" s="30"/>
      <c r="Q225" s="30"/>
      <c r="T225" s="30" t="str">
        <v>kanan</v>
      </c>
      <c r="U225" s="30"/>
      <c r="V225" s="30"/>
    </row>
    <row r="226" spans="5:22">
      <c r="E226" s="30" t="str">
        <v>tengah</v>
      </c>
      <c r="F226" s="30"/>
      <c r="G226" s="30"/>
      <c r="J226" s="30" t="str">
        <v>tengah</v>
      </c>
      <c r="K226" s="30"/>
      <c r="L226" s="30"/>
      <c r="O226" s="30" t="str">
        <v>tengah</v>
      </c>
      <c r="P226" s="30"/>
      <c r="Q226" s="30"/>
      <c r="T226" s="30" t="str">
        <v>kanan</v>
      </c>
      <c r="U226" s="30"/>
      <c r="V226" s="30"/>
    </row>
    <row r="227" spans="5:22">
      <c r="E227" s="30" t="str">
        <v>kiri</v>
      </c>
      <c r="F227" s="30"/>
      <c r="G227" s="30"/>
      <c r="J227" s="30" t="str">
        <v>tengah</v>
      </c>
      <c r="K227" s="30"/>
      <c r="L227" s="30"/>
      <c r="O227" s="30" t="str">
        <v>kanan</v>
      </c>
      <c r="P227" s="30"/>
      <c r="Q227" s="30"/>
      <c r="T227" s="30" t="str">
        <v>tengah</v>
      </c>
      <c r="U227" s="30"/>
      <c r="V227" s="30"/>
    </row>
    <row r="228" spans="5:22">
      <c r="E228" s="30" t="str">
        <v>tengah</v>
      </c>
      <c r="F228" s="30"/>
      <c r="G228" s="30"/>
      <c r="J228" s="30" t="str">
        <v>tengah</v>
      </c>
      <c r="K228" s="30"/>
      <c r="L228" s="30"/>
      <c r="O228" s="30" t="str">
        <v>tengah</v>
      </c>
      <c r="P228" s="30"/>
      <c r="Q228" s="30"/>
      <c r="T228" s="30" t="str">
        <v>tengah</v>
      </c>
      <c r="U228" s="30"/>
      <c r="V228" s="30"/>
    </row>
    <row r="229" spans="5:22">
      <c r="E229" s="30" t="str">
        <v>tengah</v>
      </c>
      <c r="F229" s="30"/>
      <c r="G229" s="30"/>
      <c r="J229" s="30" t="str">
        <v>tengah</v>
      </c>
      <c r="K229" s="30"/>
      <c r="L229" s="30"/>
      <c r="O229" s="30" t="str">
        <v>tengah</v>
      </c>
      <c r="P229" s="30"/>
      <c r="Q229" s="30"/>
      <c r="T229" s="30" t="str">
        <v>kanan</v>
      </c>
      <c r="U229" s="30"/>
      <c r="V229" s="30"/>
    </row>
    <row r="230" spans="5:22">
      <c r="E230" s="30" t="str">
        <v>kanan</v>
      </c>
      <c r="F230" s="30"/>
      <c r="G230" s="30"/>
      <c r="J230" s="30" t="str">
        <v>kanan</v>
      </c>
      <c r="K230" s="30"/>
      <c r="L230" s="30"/>
      <c r="O230" s="30" t="str">
        <v>tengah</v>
      </c>
      <c r="P230" s="30"/>
      <c r="Q230" s="30"/>
      <c r="T230" s="30" t="str">
        <v>kanan</v>
      </c>
      <c r="U230" s="30"/>
      <c r="V230" s="30"/>
    </row>
    <row r="231" spans="5:22">
      <c r="E231" s="30" t="str">
        <v>tengah</v>
      </c>
      <c r="F231" s="30"/>
      <c r="G231" s="30"/>
      <c r="J231" s="30" t="str">
        <v>tengah</v>
      </c>
      <c r="K231" s="30"/>
      <c r="L231" s="30"/>
      <c r="O231" s="30" t="str">
        <v>tengah</v>
      </c>
      <c r="P231" s="30"/>
      <c r="Q231" s="30"/>
      <c r="T231" s="30" t="str">
        <v>kanan</v>
      </c>
      <c r="U231" s="30"/>
      <c r="V231" s="30"/>
    </row>
    <row r="232" spans="5:22">
      <c r="E232" s="30" t="str">
        <v>kiri</v>
      </c>
      <c r="F232" s="30"/>
      <c r="G232" s="30"/>
      <c r="J232" s="30" t="str">
        <v>tengah</v>
      </c>
      <c r="K232" s="30"/>
      <c r="L232" s="30"/>
      <c r="O232" s="30" t="str">
        <v>kanan</v>
      </c>
      <c r="P232" s="30"/>
      <c r="Q232" s="30"/>
      <c r="T232" s="30" t="str">
        <v>tengah</v>
      </c>
      <c r="U232" s="30"/>
      <c r="V232" s="30"/>
    </row>
    <row r="233" spans="5:22">
      <c r="E233" s="30" t="str">
        <v>tengah</v>
      </c>
      <c r="F233" s="30"/>
      <c r="G233" s="30"/>
      <c r="J233" s="30" t="str">
        <v>tengah</v>
      </c>
      <c r="K233" s="30"/>
      <c r="L233" s="30"/>
      <c r="O233" s="30" t="str">
        <v>kiri</v>
      </c>
      <c r="P233" s="30"/>
      <c r="Q233" s="30"/>
      <c r="T233" s="30" t="str">
        <v>kanan</v>
      </c>
      <c r="U233" s="30"/>
      <c r="V233" s="30"/>
    </row>
    <row r="234" spans="5:22">
      <c r="E234" s="30" t="str">
        <v>kiri</v>
      </c>
      <c r="F234" s="30"/>
      <c r="G234" s="30"/>
      <c r="J234" s="30" t="str">
        <v>tengah</v>
      </c>
      <c r="K234" s="30"/>
      <c r="L234" s="30"/>
      <c r="O234" s="30" t="str">
        <v>tengah</v>
      </c>
      <c r="P234" s="30"/>
      <c r="Q234" s="30"/>
      <c r="T234" s="30" t="str">
        <v>tengah</v>
      </c>
      <c r="U234" s="30"/>
      <c r="V234" s="30"/>
    </row>
    <row r="235" spans="5:22">
      <c r="E235" s="30" t="str">
        <v>tengah</v>
      </c>
      <c r="F235" s="30"/>
      <c r="G235" s="30"/>
      <c r="J235" s="30" t="str">
        <v>tengah</v>
      </c>
      <c r="K235" s="30"/>
      <c r="L235" s="30"/>
      <c r="O235" s="30" t="str">
        <v>tengah</v>
      </c>
      <c r="P235" s="30"/>
      <c r="Q235" s="30"/>
      <c r="T235" s="30" t="str">
        <v>tengah</v>
      </c>
      <c r="U235" s="30"/>
      <c r="V235" s="30"/>
    </row>
    <row r="236" spans="5:22">
      <c r="E236" s="30" t="str">
        <v>kanan</v>
      </c>
      <c r="F236" s="30"/>
      <c r="G236" s="30"/>
      <c r="J236" s="30" t="str">
        <v>tengah</v>
      </c>
      <c r="K236" s="30"/>
      <c r="L236" s="30"/>
      <c r="O236" s="30" t="str">
        <v>tengah</v>
      </c>
      <c r="P236" s="30"/>
      <c r="Q236" s="30"/>
      <c r="T236" s="30" t="str">
        <v>tengah</v>
      </c>
      <c r="U236" s="30"/>
      <c r="V236" s="30"/>
    </row>
    <row r="237" spans="5:22">
      <c r="E237" s="30" t="str">
        <v>kiri</v>
      </c>
      <c r="F237" s="30"/>
      <c r="G237" s="30"/>
      <c r="J237" s="30" t="str">
        <v>kanan</v>
      </c>
      <c r="K237" s="30"/>
      <c r="L237" s="30"/>
      <c r="O237" s="30" t="str">
        <v>kiri</v>
      </c>
      <c r="P237" s="30"/>
      <c r="Q237" s="30"/>
      <c r="T237" s="30" t="str">
        <v>tengah</v>
      </c>
      <c r="U237" s="30"/>
      <c r="V237" s="30"/>
    </row>
    <row r="238" spans="5:22">
      <c r="E238" s="30" t="str">
        <v>kanan</v>
      </c>
      <c r="F238" s="30"/>
      <c r="G238" s="30"/>
      <c r="J238" s="30" t="str">
        <v>tengah</v>
      </c>
      <c r="K238" s="30"/>
      <c r="L238" s="30"/>
      <c r="O238" s="30" t="str">
        <v>tengah</v>
      </c>
      <c r="P238" s="30"/>
      <c r="Q238" s="30"/>
      <c r="T238" s="30" t="str">
        <v>kanan</v>
      </c>
      <c r="U238" s="30"/>
      <c r="V238" s="30"/>
    </row>
    <row r="239" spans="5:22">
      <c r="E239" s="30" t="str">
        <v>tengah</v>
      </c>
      <c r="F239" s="30"/>
      <c r="G239" s="30"/>
      <c r="J239" s="30" t="str">
        <v>kanan</v>
      </c>
      <c r="K239" s="30"/>
      <c r="L239" s="30"/>
      <c r="O239" s="30" t="str">
        <v>tengah</v>
      </c>
      <c r="P239" s="30"/>
      <c r="Q239" s="30"/>
      <c r="T239" s="30" t="str">
        <v>tengah</v>
      </c>
      <c r="U239" s="30"/>
      <c r="V239" s="30"/>
    </row>
    <row r="240" spans="5:22">
      <c r="E240" s="30" t="str">
        <v>tengah</v>
      </c>
      <c r="F240" s="30"/>
      <c r="G240" s="30"/>
      <c r="J240" s="30" t="str">
        <v>tengah</v>
      </c>
      <c r="K240" s="30"/>
      <c r="L240" s="30"/>
      <c r="O240" s="30" t="str">
        <v>tengah</v>
      </c>
      <c r="P240" s="30"/>
      <c r="Q240" s="30"/>
      <c r="T240" s="30" t="str">
        <v>kanan</v>
      </c>
      <c r="U240" s="30"/>
      <c r="V240" s="30"/>
    </row>
    <row r="241" spans="5:22">
      <c r="E241" s="30" t="str">
        <v>tengah</v>
      </c>
      <c r="F241" s="30"/>
      <c r="G241" s="30"/>
      <c r="J241" s="30" t="str">
        <v>tengah</v>
      </c>
      <c r="K241" s="30"/>
      <c r="L241" s="30"/>
      <c r="O241" s="30" t="str">
        <v>tengah</v>
      </c>
      <c r="P241" s="30"/>
      <c r="Q241" s="30"/>
      <c r="T241" s="30" t="str">
        <v>tengah</v>
      </c>
      <c r="U241" s="30"/>
      <c r="V241" s="30"/>
    </row>
    <row r="242" spans="5:22">
      <c r="E242" s="30" t="str">
        <v>tengah</v>
      </c>
      <c r="F242" s="30"/>
      <c r="G242" s="30"/>
      <c r="J242" s="30" t="str">
        <v>tengah</v>
      </c>
      <c r="K242" s="30"/>
      <c r="L242" s="30"/>
      <c r="O242" s="30" t="str">
        <v>kiri</v>
      </c>
      <c r="P242" s="30"/>
      <c r="Q242" s="30"/>
      <c r="T242" s="30" t="str">
        <v>tengah</v>
      </c>
      <c r="U242" s="30"/>
      <c r="V242" s="30"/>
    </row>
    <row r="243" spans="5:22">
      <c r="E243" s="30" t="str">
        <v>kanan</v>
      </c>
      <c r="F243" s="30"/>
      <c r="G243" s="30"/>
      <c r="J243" s="30" t="str">
        <v>tengah</v>
      </c>
      <c r="K243" s="30"/>
      <c r="L243" s="30"/>
      <c r="O243" s="30" t="str">
        <v>kiri</v>
      </c>
      <c r="P243" s="30"/>
      <c r="Q243" s="30"/>
      <c r="T243" s="30" t="str">
        <v>tengah</v>
      </c>
      <c r="U243" s="30"/>
      <c r="V243" s="30"/>
    </row>
    <row r="244" spans="5:22">
      <c r="E244" s="30" t="str">
        <v>tengah</v>
      </c>
      <c r="F244" s="30"/>
      <c r="G244" s="30"/>
      <c r="J244" s="30" t="str">
        <v>tengah</v>
      </c>
      <c r="K244" s="30"/>
      <c r="L244" s="30"/>
      <c r="O244" s="30" t="str">
        <v>kanan</v>
      </c>
      <c r="P244" s="30"/>
      <c r="Q244" s="30"/>
      <c r="T244" s="30" t="str">
        <v>kanan</v>
      </c>
      <c r="U244" s="30"/>
      <c r="V244" s="30"/>
    </row>
    <row r="245" spans="5:22">
      <c r="E245" s="30" t="str">
        <v>kanan</v>
      </c>
      <c r="F245" s="30"/>
      <c r="G245" s="30"/>
      <c r="J245" s="30" t="str">
        <v>kiri</v>
      </c>
      <c r="K245" s="30"/>
      <c r="L245" s="30"/>
      <c r="O245" s="30" t="str">
        <v>kiri</v>
      </c>
      <c r="P245" s="30"/>
      <c r="Q245" s="30"/>
      <c r="T245" s="30" t="str">
        <v>tengah</v>
      </c>
      <c r="U245" s="30"/>
      <c r="V245" s="30"/>
    </row>
    <row r="246" spans="5:22">
      <c r="E246" s="30" t="str">
        <v>kiri</v>
      </c>
      <c r="F246" s="30"/>
      <c r="G246" s="30"/>
      <c r="J246" s="30" t="str">
        <v>tengah</v>
      </c>
      <c r="K246" s="30"/>
      <c r="L246" s="30"/>
      <c r="O246" s="30" t="str">
        <v>tengah</v>
      </c>
      <c r="P246" s="30"/>
      <c r="Q246" s="30"/>
      <c r="T246" s="30" t="str">
        <v>tengah</v>
      </c>
      <c r="U246" s="30"/>
      <c r="V246" s="30"/>
    </row>
    <row r="247" spans="5:22">
      <c r="E247" s="30" t="str">
        <v>kiri</v>
      </c>
      <c r="F247" s="30"/>
      <c r="G247" s="30"/>
      <c r="J247" s="30" t="str">
        <v>tengah</v>
      </c>
      <c r="K247" s="30"/>
      <c r="L247" s="30"/>
      <c r="O247" s="30" t="str">
        <v>kiri</v>
      </c>
      <c r="P247" s="30"/>
      <c r="Q247" s="30"/>
      <c r="T247" s="30" t="str">
        <v>tengah</v>
      </c>
      <c r="U247" s="30"/>
      <c r="V247" s="30"/>
    </row>
    <row r="248" spans="5:22">
      <c r="E248" s="30" t="str">
        <v>kiri</v>
      </c>
      <c r="F248" s="30"/>
      <c r="G248" s="30"/>
      <c r="J248" s="30" t="str">
        <v>kanan</v>
      </c>
      <c r="K248" s="30"/>
      <c r="L248" s="30"/>
      <c r="O248" s="30" t="str">
        <v>kiri</v>
      </c>
      <c r="P248" s="30"/>
      <c r="Q248" s="30"/>
      <c r="T248" s="30" t="str">
        <v>tengah</v>
      </c>
      <c r="U248" s="30"/>
      <c r="V248" s="30"/>
    </row>
    <row r="249" spans="5:22">
      <c r="E249" s="30" t="str">
        <v>kiri</v>
      </c>
      <c r="F249" s="30"/>
      <c r="G249" s="30"/>
      <c r="J249" s="30" t="str">
        <v>tengah</v>
      </c>
      <c r="K249" s="30"/>
      <c r="L249" s="30"/>
      <c r="O249" s="30" t="str">
        <v>kiri</v>
      </c>
      <c r="P249" s="30"/>
      <c r="Q249" s="30"/>
      <c r="T249" s="30" t="str">
        <v>tengah</v>
      </c>
      <c r="U249" s="30"/>
      <c r="V249" s="30"/>
    </row>
    <row r="250" spans="5:22">
      <c r="E250" s="30" t="str">
        <v>kanan</v>
      </c>
      <c r="F250" s="30"/>
      <c r="G250" s="30"/>
      <c r="J250" s="30" t="str">
        <v>tengah</v>
      </c>
      <c r="K250" s="30"/>
      <c r="L250" s="30"/>
      <c r="O250" s="30" t="str">
        <v>tengah</v>
      </c>
      <c r="P250" s="30"/>
      <c r="Q250" s="30"/>
      <c r="T250" s="30" t="str">
        <v>kanan</v>
      </c>
      <c r="U250" s="30"/>
      <c r="V250" s="30"/>
    </row>
    <row r="251" spans="5:22">
      <c r="E251" s="30" t="str">
        <v>kanan</v>
      </c>
      <c r="F251" s="30"/>
      <c r="G251" s="30"/>
      <c r="J251" s="30" t="str">
        <v>kiri</v>
      </c>
      <c r="K251" s="30"/>
      <c r="L251" s="30"/>
      <c r="O251" s="30" t="str">
        <v>kanan</v>
      </c>
      <c r="P251" s="30"/>
      <c r="Q251" s="30"/>
      <c r="T251" s="30" t="str">
        <v>kanan</v>
      </c>
      <c r="U251" s="30"/>
      <c r="V251" s="30"/>
    </row>
    <row r="252" spans="5:22">
      <c r="E252" s="30" t="str">
        <v>kanan</v>
      </c>
      <c r="F252" s="30"/>
      <c r="G252" s="30"/>
      <c r="J252" s="30" t="str">
        <v>kiri</v>
      </c>
      <c r="K252" s="30"/>
      <c r="L252" s="30"/>
      <c r="O252" s="30" t="str">
        <v>kiri</v>
      </c>
      <c r="P252" s="30"/>
      <c r="Q252" s="30"/>
      <c r="T252" s="30" t="str">
        <v>tengah</v>
      </c>
      <c r="U252" s="30"/>
      <c r="V252" s="30"/>
    </row>
    <row r="253" spans="5:22">
      <c r="E253" s="30" t="str">
        <v>kiri</v>
      </c>
      <c r="F253" s="30"/>
      <c r="G253" s="30"/>
      <c r="J253" s="30" t="str">
        <v>kiri</v>
      </c>
      <c r="K253" s="30"/>
      <c r="L253" s="30"/>
      <c r="O253" s="30" t="str">
        <v>kiri</v>
      </c>
      <c r="P253" s="30"/>
      <c r="Q253" s="30"/>
      <c r="T253" s="30" t="str">
        <v>tengah</v>
      </c>
      <c r="U253" s="30"/>
      <c r="V253" s="30"/>
    </row>
    <row r="254" spans="5:22">
      <c r="E254" s="30" t="str">
        <v>kiri</v>
      </c>
      <c r="F254" s="30"/>
      <c r="G254" s="30"/>
      <c r="J254" s="30" t="str">
        <v>kanan</v>
      </c>
      <c r="K254" s="30"/>
      <c r="L254" s="30"/>
      <c r="O254" s="30" t="str">
        <v>kiri</v>
      </c>
      <c r="P254" s="30"/>
      <c r="Q254" s="30"/>
      <c r="T254" s="30" t="str">
        <v>tengah</v>
      </c>
      <c r="U254" s="30"/>
      <c r="V254" s="30"/>
    </row>
    <row r="255" spans="5:22">
      <c r="E255" s="30" t="str">
        <v>tengah</v>
      </c>
      <c r="F255" s="30"/>
      <c r="G255" s="30"/>
      <c r="J255" s="30" t="str">
        <v>tengah</v>
      </c>
      <c r="K255" s="30"/>
      <c r="L255" s="30"/>
      <c r="O255" s="30" t="str">
        <v>tengah</v>
      </c>
      <c r="P255" s="30"/>
      <c r="Q255" s="30"/>
      <c r="T255" s="30" t="str">
        <v>kanan</v>
      </c>
      <c r="U255" s="30"/>
      <c r="V255" s="30"/>
    </row>
    <row r="256" spans="5:22">
      <c r="E256" s="30" t="str">
        <v>tengah</v>
      </c>
      <c r="F256" s="30"/>
      <c r="G256" s="30"/>
      <c r="J256" s="30" t="str">
        <v>tengah</v>
      </c>
      <c r="K256" s="30"/>
      <c r="L256" s="30"/>
      <c r="O256" s="30" t="str">
        <v>tengah</v>
      </c>
      <c r="P256" s="30"/>
      <c r="Q256" s="30"/>
      <c r="T256" s="30" t="str">
        <v>kanan</v>
      </c>
      <c r="U256" s="30"/>
      <c r="V256" s="30"/>
    </row>
    <row r="257" spans="5:22">
      <c r="E257" s="30" t="str">
        <v>kiri</v>
      </c>
      <c r="F257" s="30"/>
      <c r="G257" s="30"/>
      <c r="J257" s="30" t="str">
        <v>kiri</v>
      </c>
      <c r="K257" s="30"/>
      <c r="L257" s="30"/>
      <c r="O257" s="30" t="str">
        <v>kanan</v>
      </c>
      <c r="P257" s="30"/>
      <c r="Q257" s="30"/>
      <c r="T257" s="30" t="str">
        <v>kanan</v>
      </c>
      <c r="U257" s="30"/>
      <c r="V257" s="30"/>
    </row>
    <row r="258" spans="5:22">
      <c r="E258" s="30" t="str">
        <v>kanan</v>
      </c>
      <c r="F258" s="30"/>
      <c r="G258" s="30"/>
      <c r="J258" s="30" t="str">
        <v>tengah</v>
      </c>
      <c r="K258" s="30"/>
      <c r="L258" s="30"/>
      <c r="O258" s="30" t="str">
        <v>tengah</v>
      </c>
      <c r="P258" s="30"/>
      <c r="Q258" s="30"/>
      <c r="T258" s="30" t="str">
        <v>kanan</v>
      </c>
      <c r="U258" s="30"/>
      <c r="V258" s="30"/>
    </row>
    <row r="259" spans="5:22">
      <c r="E259" s="30" t="str">
        <v>kiri</v>
      </c>
      <c r="F259" s="30"/>
      <c r="G259" s="30"/>
      <c r="J259" s="30" t="str">
        <v>kiri</v>
      </c>
      <c r="K259" s="30"/>
      <c r="L259" s="30"/>
      <c r="O259" s="30" t="str">
        <v>kanan</v>
      </c>
      <c r="P259" s="30"/>
      <c r="Q259" s="30"/>
      <c r="T259" s="30" t="str">
        <v>tengah</v>
      </c>
      <c r="U259" s="30"/>
      <c r="V259" s="30"/>
    </row>
    <row r="260" spans="5:22">
      <c r="E260" s="30" t="str">
        <v>tengah</v>
      </c>
      <c r="F260" s="30"/>
      <c r="G260" s="30"/>
      <c r="J260" s="30" t="str">
        <v>tengah</v>
      </c>
      <c r="K260" s="30"/>
      <c r="L260" s="30"/>
      <c r="O260" s="30" t="str">
        <v>tengah</v>
      </c>
      <c r="P260" s="30"/>
      <c r="Q260" s="30"/>
      <c r="T260" s="30" t="str">
        <v>kanan</v>
      </c>
      <c r="U260" s="30"/>
      <c r="V260" s="30"/>
    </row>
    <row r="261" spans="5:22">
      <c r="E261" s="30" t="str">
        <v>tengah</v>
      </c>
      <c r="F261" s="30"/>
      <c r="G261" s="30"/>
      <c r="J261" s="30" t="str">
        <v>kanan</v>
      </c>
      <c r="K261" s="30"/>
      <c r="L261" s="30"/>
      <c r="O261" s="30" t="str">
        <v>kiri</v>
      </c>
      <c r="P261" s="30"/>
      <c r="Q261" s="30"/>
      <c r="T261" s="30" t="str">
        <v>tengah</v>
      </c>
      <c r="U261" s="30"/>
      <c r="V261" s="30"/>
    </row>
    <row r="262" spans="5:22">
      <c r="E262" s="30" t="str">
        <v>kanan</v>
      </c>
      <c r="F262" s="30"/>
      <c r="G262" s="30"/>
      <c r="J262" s="30" t="str">
        <v>kanan</v>
      </c>
      <c r="K262" s="30"/>
      <c r="L262" s="30"/>
      <c r="O262" s="30" t="str">
        <v>tengah</v>
      </c>
      <c r="P262" s="30"/>
      <c r="Q262" s="30"/>
      <c r="T262" s="30" t="str">
        <v>kanan</v>
      </c>
      <c r="U262" s="30"/>
      <c r="V262" s="30"/>
    </row>
    <row r="263" spans="5:22">
      <c r="E263" s="30" t="str">
        <v>tengah</v>
      </c>
      <c r="F263" s="30"/>
      <c r="G263" s="30"/>
      <c r="J263" s="30" t="str">
        <v>tengah</v>
      </c>
      <c r="K263" s="30"/>
      <c r="L263" s="30"/>
      <c r="O263" s="30" t="str">
        <v>kanan</v>
      </c>
      <c r="P263" s="30"/>
      <c r="Q263" s="30"/>
      <c r="T263" s="30" t="str">
        <v>kanan</v>
      </c>
      <c r="U263" s="30"/>
      <c r="V263" s="30"/>
    </row>
    <row r="264" spans="5:22">
      <c r="E264" s="30" t="str">
        <v>kanan</v>
      </c>
      <c r="F264" s="30"/>
      <c r="G264" s="30"/>
      <c r="J264" s="30" t="str">
        <v>kanan</v>
      </c>
      <c r="K264" s="30"/>
      <c r="L264" s="30"/>
      <c r="O264" s="30" t="str">
        <v>kanan</v>
      </c>
      <c r="P264" s="30"/>
      <c r="Q264" s="30"/>
      <c r="T264" s="30" t="str">
        <v>kanan</v>
      </c>
      <c r="U264" s="30"/>
      <c r="V264" s="30"/>
    </row>
    <row r="265" spans="5:22">
      <c r="E265" s="30" t="str">
        <v>kiri</v>
      </c>
      <c r="F265" s="30"/>
      <c r="G265" s="30"/>
      <c r="J265" s="30" t="str">
        <v>tengah</v>
      </c>
      <c r="K265" s="30"/>
      <c r="L265" s="30"/>
      <c r="O265" s="30" t="str">
        <v>kanan</v>
      </c>
      <c r="P265" s="30"/>
      <c r="Q265" s="30"/>
      <c r="T265" s="30" t="str">
        <v>kanan</v>
      </c>
      <c r="U265" s="30"/>
      <c r="V265" s="30"/>
    </row>
    <row r="266" spans="5:22">
      <c r="E266" s="30" t="str">
        <v>kiri</v>
      </c>
      <c r="F266" s="30"/>
      <c r="G266" s="30"/>
      <c r="J266" s="30" t="str">
        <v>tengah</v>
      </c>
      <c r="K266" s="30"/>
      <c r="L266" s="30"/>
      <c r="O266" s="30" t="str">
        <v>tengah</v>
      </c>
      <c r="P266" s="30"/>
      <c r="Q266" s="30"/>
      <c r="T266" s="30" t="str">
        <v>tengah</v>
      </c>
      <c r="U266" s="30"/>
      <c r="V266" s="30"/>
    </row>
    <row r="267" spans="5:22">
      <c r="E267" s="30" t="str">
        <v>tengah</v>
      </c>
      <c r="F267" s="30"/>
      <c r="G267" s="30"/>
      <c r="J267" s="30" t="str">
        <v>tengah</v>
      </c>
      <c r="K267" s="30"/>
      <c r="L267" s="30"/>
      <c r="O267" s="30" t="str">
        <v>kiri</v>
      </c>
      <c r="P267" s="30"/>
      <c r="Q267" s="30"/>
      <c r="T267" s="30" t="str">
        <v>tengah</v>
      </c>
      <c r="U267" s="30"/>
      <c r="V267" s="30"/>
    </row>
    <row r="268" spans="5:22">
      <c r="E268" s="30" t="str">
        <v>kanan</v>
      </c>
      <c r="F268" s="30"/>
      <c r="G268" s="30"/>
      <c r="J268" s="30" t="str">
        <v>tengah</v>
      </c>
      <c r="K268" s="30"/>
      <c r="L268" s="30"/>
      <c r="O268" s="30" t="str">
        <v>tengah</v>
      </c>
      <c r="P268" s="30"/>
      <c r="Q268" s="30"/>
      <c r="T268" s="30" t="str">
        <v>kanan</v>
      </c>
      <c r="U268" s="30"/>
      <c r="V268" s="30"/>
    </row>
    <row r="269" spans="5:22">
      <c r="E269" s="30" t="str">
        <v>tengah</v>
      </c>
      <c r="F269" s="30"/>
      <c r="G269" s="30"/>
      <c r="J269" s="30" t="str">
        <v>kiri</v>
      </c>
      <c r="K269" s="30"/>
      <c r="L269" s="30"/>
      <c r="O269" s="30" t="str">
        <v>tengah</v>
      </c>
      <c r="P269" s="30"/>
      <c r="Q269" s="30"/>
      <c r="T269" s="30" t="str">
        <v>kanan</v>
      </c>
      <c r="U269" s="30"/>
      <c r="V269" s="30"/>
    </row>
    <row r="270" spans="5:22">
      <c r="E270" s="30" t="str">
        <v>kanan</v>
      </c>
      <c r="F270" s="30"/>
      <c r="G270" s="30"/>
      <c r="J270" s="30" t="str">
        <v>tengah</v>
      </c>
      <c r="K270" s="30"/>
      <c r="L270" s="30"/>
      <c r="O270" s="30" t="str">
        <v>tengah</v>
      </c>
      <c r="P270" s="30"/>
      <c r="Q270" s="30"/>
      <c r="T270" s="30" t="str">
        <v>kanan</v>
      </c>
      <c r="U270" s="30"/>
      <c r="V270" s="30"/>
    </row>
    <row r="271" spans="5:22">
      <c r="E271" s="30" t="str">
        <v>tengah</v>
      </c>
      <c r="F271" s="30"/>
      <c r="G271" s="30"/>
      <c r="J271" s="30" t="str">
        <v>kanan</v>
      </c>
      <c r="K271" s="30"/>
      <c r="L271" s="30"/>
      <c r="O271" s="30" t="str">
        <v>tengah</v>
      </c>
      <c r="P271" s="30"/>
      <c r="Q271" s="30"/>
      <c r="T271" s="30" t="str">
        <v>tengah</v>
      </c>
      <c r="U271" s="30"/>
      <c r="V271" s="30"/>
    </row>
    <row r="272" spans="5:22">
      <c r="E272" s="30" t="str">
        <v>tengah</v>
      </c>
      <c r="F272" s="30"/>
      <c r="G272" s="30"/>
      <c r="J272" s="30" t="str">
        <v>kanan</v>
      </c>
      <c r="K272" s="30"/>
      <c r="L272" s="30"/>
      <c r="O272" s="30" t="str">
        <v>kanan</v>
      </c>
      <c r="P272" s="30"/>
      <c r="Q272" s="30"/>
      <c r="T272" s="30" t="str">
        <v>tengah</v>
      </c>
      <c r="U272" s="30"/>
      <c r="V272" s="30"/>
    </row>
    <row r="273" spans="5:22">
      <c r="E273" s="30" t="str">
        <v>tengah</v>
      </c>
      <c r="F273" s="30"/>
      <c r="G273" s="30"/>
      <c r="J273" s="30" t="str">
        <v>kanan</v>
      </c>
      <c r="K273" s="30"/>
      <c r="L273" s="30"/>
      <c r="O273" s="30" t="str">
        <v>tengah</v>
      </c>
      <c r="P273" s="30"/>
      <c r="Q273" s="30"/>
      <c r="T273" s="30" t="str">
        <v>tengah</v>
      </c>
      <c r="U273" s="30"/>
      <c r="V273" s="30"/>
    </row>
    <row r="274" spans="5:22">
      <c r="E274" s="30" t="str">
        <v>kiri</v>
      </c>
      <c r="F274" s="30"/>
      <c r="G274" s="30"/>
      <c r="J274" s="30" t="str">
        <v>kiri</v>
      </c>
      <c r="K274" s="30"/>
      <c r="L274" s="30"/>
      <c r="O274" s="30" t="str">
        <v>tengah</v>
      </c>
      <c r="P274" s="30"/>
      <c r="Q274" s="30"/>
      <c r="T274" s="30" t="str">
        <v>kanan</v>
      </c>
      <c r="U274" s="30"/>
      <c r="V274" s="30"/>
    </row>
    <row r="275" spans="5:22">
      <c r="E275" s="30" t="str">
        <v>tengah</v>
      </c>
      <c r="F275" s="30"/>
      <c r="G275" s="30"/>
      <c r="J275" s="30" t="str">
        <v>tengah</v>
      </c>
      <c r="K275" s="30"/>
      <c r="L275" s="30"/>
      <c r="O275" s="30" t="str">
        <v>tengah</v>
      </c>
      <c r="P275" s="30"/>
      <c r="Q275" s="30"/>
      <c r="T275" s="30" t="str">
        <v>tengah</v>
      </c>
      <c r="U275" s="30"/>
      <c r="V275" s="30"/>
    </row>
    <row r="276" spans="5:22">
      <c r="E276" s="30" t="str">
        <v>kanan</v>
      </c>
      <c r="F276" s="30"/>
      <c r="G276" s="30"/>
      <c r="J276" s="30" t="str">
        <v>kanan</v>
      </c>
      <c r="K276" s="30"/>
      <c r="L276" s="30"/>
      <c r="O276" s="30" t="str">
        <v>kanan</v>
      </c>
      <c r="P276" s="30"/>
      <c r="Q276" s="30"/>
      <c r="T276" s="30" t="str">
        <v>kanan</v>
      </c>
      <c r="U276" s="30"/>
      <c r="V276" s="30"/>
    </row>
    <row r="277" spans="5:22">
      <c r="E277" s="30" t="str">
        <v>kanan</v>
      </c>
      <c r="F277" s="30"/>
      <c r="G277" s="30"/>
      <c r="J277" s="30" t="str">
        <v>tengah</v>
      </c>
      <c r="K277" s="30"/>
      <c r="L277" s="30"/>
      <c r="O277" s="30" t="str">
        <v>tengah</v>
      </c>
      <c r="P277" s="30"/>
      <c r="Q277" s="30"/>
      <c r="T277" s="30" t="str">
        <v>kanan</v>
      </c>
      <c r="U277" s="30"/>
      <c r="V277" s="30"/>
    </row>
    <row r="278" spans="5:22">
      <c r="E278" s="30" t="str">
        <v>kanan</v>
      </c>
      <c r="F278" s="30"/>
      <c r="G278" s="30"/>
      <c r="J278" s="30" t="str">
        <v>kiri</v>
      </c>
      <c r="K278" s="30"/>
      <c r="L278" s="30"/>
      <c r="O278" s="30" t="str">
        <v>kiri</v>
      </c>
      <c r="P278" s="30"/>
      <c r="Q278" s="30"/>
      <c r="T278" s="30" t="str">
        <v>tengah</v>
      </c>
      <c r="U278" s="30"/>
      <c r="V278" s="30"/>
    </row>
    <row r="279" spans="5:22">
      <c r="E279" s="30" t="str">
        <v>kanan</v>
      </c>
      <c r="F279" s="30"/>
      <c r="G279" s="30"/>
      <c r="J279" s="30" t="str">
        <v>tengah</v>
      </c>
      <c r="K279" s="30"/>
      <c r="L279" s="30"/>
      <c r="O279" s="30" t="str">
        <v>tengah</v>
      </c>
      <c r="P279" s="30"/>
      <c r="Q279" s="30"/>
      <c r="T279" s="30" t="str">
        <v>kanan</v>
      </c>
      <c r="U279" s="30"/>
      <c r="V279" s="30"/>
    </row>
    <row r="280" spans="5:22">
      <c r="E280" s="30" t="str">
        <v>tengah</v>
      </c>
      <c r="F280" s="30"/>
      <c r="G280" s="30"/>
      <c r="J280" s="30" t="str">
        <v>kanan</v>
      </c>
      <c r="K280" s="30"/>
      <c r="L280" s="30"/>
      <c r="O280" s="30" t="str">
        <v>tengah</v>
      </c>
      <c r="P280" s="30"/>
      <c r="Q280" s="30"/>
      <c r="T280" s="30" t="str">
        <v>kanan</v>
      </c>
      <c r="U280" s="30"/>
      <c r="V280" s="30"/>
    </row>
    <row r="281" spans="5:22">
      <c r="E281" s="30" t="str">
        <v>tengah</v>
      </c>
      <c r="F281" s="30"/>
      <c r="G281" s="30"/>
      <c r="J281" s="30" t="str">
        <v>tengah</v>
      </c>
      <c r="K281" s="30"/>
      <c r="L281" s="30"/>
      <c r="O281" s="30" t="str">
        <v>tengah</v>
      </c>
      <c r="P281" s="30"/>
      <c r="Q281" s="30"/>
      <c r="T281" s="30" t="str">
        <v>kanan</v>
      </c>
      <c r="U281" s="30"/>
      <c r="V281" s="30"/>
    </row>
    <row r="282" spans="5:22">
      <c r="E282" s="30" t="str">
        <v>kiri</v>
      </c>
      <c r="F282" s="30"/>
      <c r="G282" s="30"/>
      <c r="J282" s="30" t="str">
        <v>kanan</v>
      </c>
      <c r="K282" s="30"/>
      <c r="L282" s="30"/>
      <c r="O282" s="30" t="str">
        <v>kiri</v>
      </c>
      <c r="P282" s="30"/>
      <c r="Q282" s="30"/>
      <c r="T282" s="30" t="str">
        <v>tengah</v>
      </c>
      <c r="U282" s="30"/>
      <c r="V282" s="30"/>
    </row>
    <row r="283" spans="5:22">
      <c r="E283" s="30" t="str">
        <v>kiri</v>
      </c>
      <c r="F283" s="30"/>
      <c r="G283" s="30"/>
      <c r="J283" s="30" t="str">
        <v>tengah</v>
      </c>
      <c r="K283" s="30"/>
      <c r="L283" s="30"/>
      <c r="O283" s="30" t="str">
        <v>kanan</v>
      </c>
      <c r="P283" s="30"/>
      <c r="Q283" s="30"/>
      <c r="T283" s="30" t="str">
        <v>kanan</v>
      </c>
      <c r="U283" s="30"/>
      <c r="V283" s="30"/>
    </row>
    <row r="284" spans="5:22">
      <c r="E284" s="30" t="str">
        <v>tengah</v>
      </c>
      <c r="F284" s="30"/>
      <c r="G284" s="30"/>
      <c r="J284" s="30" t="str">
        <v>kiri</v>
      </c>
      <c r="K284" s="30"/>
      <c r="L284" s="30"/>
      <c r="O284" s="30" t="str">
        <v>tengah</v>
      </c>
      <c r="P284" s="30"/>
      <c r="Q284" s="30"/>
      <c r="T284" s="30" t="str">
        <v>tengah</v>
      </c>
      <c r="U284" s="30"/>
      <c r="V284" s="30"/>
    </row>
    <row r="285" spans="5:22">
      <c r="E285" s="30" t="str">
        <v>kiri</v>
      </c>
      <c r="F285" s="30"/>
      <c r="G285" s="30"/>
      <c r="J285" s="30" t="str">
        <v>tengah</v>
      </c>
      <c r="K285" s="30"/>
      <c r="L285" s="30"/>
      <c r="O285" s="30" t="str">
        <v>tengah</v>
      </c>
      <c r="P285" s="30"/>
      <c r="Q285" s="30"/>
      <c r="T285" s="30" t="str">
        <v>kanan</v>
      </c>
      <c r="U285" s="30"/>
      <c r="V285" s="30"/>
    </row>
    <row r="286" spans="5:22">
      <c r="E286" s="30" t="str">
        <v>tengah</v>
      </c>
      <c r="F286" s="30"/>
      <c r="G286" s="30"/>
      <c r="J286" s="30" t="str">
        <v>tengah</v>
      </c>
      <c r="K286" s="30"/>
      <c r="L286" s="30"/>
      <c r="O286" s="30" t="str">
        <v>kanan</v>
      </c>
      <c r="P286" s="30"/>
      <c r="Q286" s="30"/>
      <c r="T286" s="30" t="str">
        <v>tengah</v>
      </c>
      <c r="U286" s="30"/>
      <c r="V286" s="30"/>
    </row>
    <row r="287" spans="5:22">
      <c r="E287" s="30" t="str">
        <v>tengah</v>
      </c>
      <c r="F287" s="30"/>
      <c r="G287" s="30"/>
      <c r="J287" s="30" t="str">
        <v>tengah</v>
      </c>
      <c r="K287" s="30"/>
      <c r="L287" s="30"/>
      <c r="O287" s="30" t="str">
        <v>tengah</v>
      </c>
      <c r="P287" s="30"/>
      <c r="Q287" s="30"/>
      <c r="T287" s="30" t="str">
        <v>kanan</v>
      </c>
      <c r="U287" s="30"/>
      <c r="V287" s="30"/>
    </row>
    <row r="288" spans="5:22">
      <c r="E288" s="30" t="str">
        <v>tengah</v>
      </c>
      <c r="F288" s="30"/>
      <c r="G288" s="30"/>
      <c r="J288" s="30" t="str">
        <v>tengah</v>
      </c>
      <c r="K288" s="30"/>
      <c r="L288" s="30"/>
      <c r="O288" s="30" t="str">
        <v>tengah</v>
      </c>
      <c r="P288" s="30"/>
      <c r="Q288" s="30"/>
      <c r="T288" s="30" t="str">
        <v>tengah</v>
      </c>
      <c r="U288" s="30"/>
      <c r="V288" s="30"/>
    </row>
    <row r="289" spans="5:22">
      <c r="E289" s="30" t="str">
        <v>kiri</v>
      </c>
      <c r="F289" s="30"/>
      <c r="G289" s="30"/>
      <c r="J289" s="30" t="str">
        <v>kanan</v>
      </c>
      <c r="K289" s="30"/>
      <c r="L289" s="30"/>
      <c r="O289" s="30" t="str">
        <v>tengah</v>
      </c>
      <c r="P289" s="30"/>
      <c r="Q289" s="30"/>
      <c r="T289" s="30" t="str">
        <v>kanan</v>
      </c>
      <c r="U289" s="30"/>
      <c r="V289" s="30"/>
    </row>
    <row r="290" spans="5:22">
      <c r="E290" s="30" t="str">
        <v>kanan</v>
      </c>
      <c r="F290" s="30"/>
      <c r="G290" s="30"/>
      <c r="J290" s="30" t="str">
        <v>tengah</v>
      </c>
      <c r="K290" s="30"/>
      <c r="L290" s="30"/>
      <c r="O290" s="30" t="str">
        <v>tengah</v>
      </c>
      <c r="P290" s="30"/>
      <c r="Q290" s="30"/>
      <c r="T290" s="30" t="str">
        <v>tengah</v>
      </c>
      <c r="U290" s="30"/>
      <c r="V290" s="30"/>
    </row>
    <row r="291" spans="5:22">
      <c r="E291" s="30" t="str">
        <v>kanan</v>
      </c>
      <c r="F291" s="30"/>
      <c r="G291" s="30"/>
      <c r="J291" s="30" t="str">
        <v>tengah</v>
      </c>
      <c r="K291" s="30"/>
      <c r="L291" s="30"/>
      <c r="O291" s="30" t="str">
        <v>tengah</v>
      </c>
      <c r="P291" s="30"/>
      <c r="Q291" s="30"/>
      <c r="T291" s="30" t="str">
        <v>kanan</v>
      </c>
      <c r="U291" s="30"/>
      <c r="V291" s="30"/>
    </row>
    <row r="292" spans="5:22">
      <c r="E292" s="30" t="str">
        <v>kiri</v>
      </c>
      <c r="F292" s="30"/>
      <c r="G292" s="30"/>
      <c r="J292" s="30" t="str">
        <v>tengah</v>
      </c>
      <c r="K292" s="30"/>
      <c r="L292" s="30"/>
      <c r="O292" s="30" t="str">
        <v>tengah</v>
      </c>
      <c r="P292" s="30"/>
      <c r="Q292" s="30"/>
      <c r="T292" s="30" t="str">
        <v>kanan</v>
      </c>
      <c r="U292" s="30"/>
      <c r="V292" s="30"/>
    </row>
    <row r="293" spans="5:22">
      <c r="E293" s="30" t="str">
        <v>tengah</v>
      </c>
      <c r="F293" s="30"/>
      <c r="G293" s="30"/>
      <c r="J293" s="30" t="str">
        <v>tengah</v>
      </c>
      <c r="K293" s="30"/>
      <c r="L293" s="30"/>
      <c r="O293" s="30" t="str">
        <v>tengah</v>
      </c>
      <c r="P293" s="30"/>
      <c r="Q293" s="30"/>
      <c r="T293" s="30" t="str">
        <v>kanan</v>
      </c>
      <c r="U293" s="30"/>
      <c r="V293" s="30"/>
    </row>
    <row r="294" spans="5:22">
      <c r="E294" s="30" t="str">
        <v>kiri</v>
      </c>
      <c r="F294" s="30"/>
      <c r="G294" s="30"/>
      <c r="J294" s="30" t="str">
        <v>kiri</v>
      </c>
      <c r="K294" s="30"/>
      <c r="L294" s="30"/>
      <c r="O294" s="30" t="str">
        <v>kiri</v>
      </c>
      <c r="P294" s="30"/>
      <c r="Q294" s="30"/>
      <c r="T294" s="30" t="str">
        <v>kanan</v>
      </c>
      <c r="U294" s="30"/>
      <c r="V294" s="30"/>
    </row>
    <row r="295" spans="5:22">
      <c r="E295" s="30" t="str">
        <v>tengah</v>
      </c>
      <c r="F295" s="30"/>
      <c r="G295" s="30"/>
      <c r="J295" s="30" t="str">
        <v>kanan</v>
      </c>
      <c r="K295" s="30"/>
      <c r="L295" s="30"/>
      <c r="O295" s="30" t="str">
        <v>tengah</v>
      </c>
      <c r="P295" s="30"/>
      <c r="Q295" s="30"/>
      <c r="T295" s="30" t="str">
        <v>tengah</v>
      </c>
      <c r="U295" s="30"/>
      <c r="V295" s="30"/>
    </row>
    <row r="296" spans="5:22">
      <c r="E296" s="30" t="str">
        <v>tengah</v>
      </c>
      <c r="F296" s="30"/>
      <c r="G296" s="30"/>
      <c r="J296" s="30" t="str">
        <v>kanan</v>
      </c>
      <c r="K296" s="30"/>
      <c r="L296" s="30"/>
      <c r="O296" s="30" t="str">
        <v>tengah</v>
      </c>
      <c r="P296" s="30"/>
      <c r="Q296" s="30"/>
      <c r="T296" s="30" t="str">
        <v>kanan</v>
      </c>
      <c r="U296" s="30"/>
      <c r="V296" s="30"/>
    </row>
    <row r="297" spans="5:22">
      <c r="E297" s="30" t="str">
        <v>kiri</v>
      </c>
      <c r="F297" s="30"/>
      <c r="G297" s="30"/>
      <c r="J297" s="30" t="str">
        <v>kiri</v>
      </c>
      <c r="K297" s="30"/>
      <c r="L297" s="30"/>
      <c r="O297" s="30" t="str">
        <v>kanan</v>
      </c>
      <c r="P297" s="30"/>
      <c r="Q297" s="30"/>
      <c r="T297" s="30" t="str">
        <v>kanan</v>
      </c>
      <c r="U297" s="30"/>
      <c r="V297" s="30"/>
    </row>
    <row r="298" spans="5:22">
      <c r="E298" s="30" t="str">
        <v>kiri</v>
      </c>
      <c r="F298" s="30"/>
      <c r="G298" s="30"/>
      <c r="J298" s="30" t="str">
        <v>tengah</v>
      </c>
      <c r="K298" s="30"/>
      <c r="L298" s="30"/>
      <c r="O298" s="30" t="str">
        <v>tengah</v>
      </c>
      <c r="P298" s="30"/>
      <c r="Q298" s="30"/>
      <c r="T298" s="30" t="str">
        <v>tengah</v>
      </c>
      <c r="U298" s="30"/>
      <c r="V298" s="30"/>
    </row>
    <row r="299" spans="5:22">
      <c r="E299" s="30" t="str">
        <v>kanan</v>
      </c>
      <c r="F299" s="30"/>
      <c r="G299" s="30"/>
      <c r="J299" s="30" t="str">
        <v>tengah</v>
      </c>
      <c r="K299" s="30"/>
      <c r="L299" s="30"/>
      <c r="O299" s="30" t="str">
        <v>kanan</v>
      </c>
      <c r="P299" s="30"/>
      <c r="Q299" s="30"/>
      <c r="T299" s="30" t="str">
        <v>kanan</v>
      </c>
      <c r="U299" s="30"/>
      <c r="V299" s="30"/>
    </row>
    <row r="300" spans="5:22">
      <c r="E300" s="30" t="str">
        <v>kiri</v>
      </c>
      <c r="F300" s="30"/>
      <c r="G300" s="30"/>
      <c r="J300" s="30" t="str">
        <v>kiri</v>
      </c>
      <c r="K300" s="30"/>
      <c r="L300" s="30"/>
      <c r="O300" s="30" t="str">
        <v>tengah</v>
      </c>
      <c r="P300" s="30"/>
      <c r="Q300" s="30"/>
      <c r="T300" s="30" t="str">
        <v>kanan</v>
      </c>
      <c r="U300" s="30"/>
      <c r="V300" s="30"/>
    </row>
    <row r="301" spans="5:22">
      <c r="E301" s="30" t="str">
        <v>tengah</v>
      </c>
      <c r="F301" s="30"/>
      <c r="G301" s="30"/>
      <c r="J301" s="30" t="str">
        <v>tengah</v>
      </c>
      <c r="K301" s="30"/>
      <c r="L301" s="30"/>
      <c r="O301" s="30" t="str">
        <v>tengah</v>
      </c>
      <c r="P301" s="30"/>
      <c r="Q301" s="30"/>
      <c r="T301" s="30" t="str">
        <v>kanan</v>
      </c>
      <c r="U301" s="30"/>
      <c r="V301" s="30"/>
    </row>
    <row r="302" spans="5:22">
      <c r="E302" s="30" t="str">
        <v>tengah</v>
      </c>
      <c r="F302" s="30"/>
      <c r="G302" s="30"/>
      <c r="J302" s="30" t="str">
        <v>tengah</v>
      </c>
      <c r="K302" s="30"/>
      <c r="L302" s="30"/>
      <c r="O302" s="30" t="str">
        <v>kanan</v>
      </c>
      <c r="P302" s="30"/>
      <c r="Q302" s="30"/>
      <c r="T302" s="30" t="str">
        <v>kanan</v>
      </c>
      <c r="U302" s="30"/>
      <c r="V302" s="30"/>
    </row>
    <row r="303" spans="5:22">
      <c r="E303" s="30" t="str">
        <v>tengah</v>
      </c>
      <c r="F303" s="30"/>
      <c r="G303" s="30"/>
      <c r="J303" s="30" t="str">
        <v>kanan</v>
      </c>
      <c r="K303" s="30"/>
      <c r="L303" s="30"/>
      <c r="O303" s="30" t="str">
        <v>kiri</v>
      </c>
      <c r="P303" s="30"/>
      <c r="Q303" s="30"/>
      <c r="T303" s="30" t="str">
        <v>kanan</v>
      </c>
      <c r="U303" s="30"/>
      <c r="V303" s="30"/>
    </row>
    <row r="304" spans="5:22">
      <c r="E304" s="30" t="str">
        <v>tengah</v>
      </c>
      <c r="F304" s="30"/>
      <c r="G304" s="30"/>
      <c r="J304" s="30" t="str">
        <v>kiri</v>
      </c>
      <c r="K304" s="30"/>
      <c r="L304" s="30"/>
      <c r="O304" s="30" t="str">
        <v>tengah</v>
      </c>
      <c r="P304" s="30"/>
      <c r="Q304" s="30"/>
      <c r="T304" s="30" t="str">
        <v>kanan</v>
      </c>
      <c r="U304" s="30"/>
      <c r="V304" s="30"/>
    </row>
    <row r="305" spans="5:22">
      <c r="E305" s="30" t="str">
        <v>tengah</v>
      </c>
      <c r="F305" s="30"/>
      <c r="G305" s="30"/>
      <c r="J305" s="30" t="str">
        <v>kanan</v>
      </c>
      <c r="K305" s="30"/>
      <c r="L305" s="30"/>
      <c r="O305" s="30" t="str">
        <v>kiri</v>
      </c>
      <c r="P305" s="30"/>
      <c r="Q305" s="30"/>
      <c r="T305" s="30" t="str">
        <v>tengah</v>
      </c>
      <c r="U305" s="30"/>
      <c r="V305" s="30"/>
    </row>
    <row r="306" spans="5:22">
      <c r="E306" s="30" t="str">
        <v>tengah</v>
      </c>
      <c r="F306" s="30"/>
      <c r="G306" s="30"/>
      <c r="J306" s="30" t="str">
        <v>kanan</v>
      </c>
      <c r="K306" s="30"/>
      <c r="L306" s="30"/>
      <c r="O306" s="30" t="str">
        <v>tengah</v>
      </c>
      <c r="P306" s="30"/>
      <c r="Q306" s="30"/>
      <c r="T306" s="30" t="str">
        <v>kanan</v>
      </c>
      <c r="U306" s="30"/>
      <c r="V306" s="30"/>
    </row>
    <row r="307" spans="5:22">
      <c r="E307" s="30" t="str">
        <v>kiri</v>
      </c>
      <c r="F307" s="30"/>
      <c r="G307" s="30"/>
      <c r="J307" s="30" t="str">
        <v>tengah</v>
      </c>
      <c r="K307" s="30"/>
      <c r="L307" s="30"/>
      <c r="O307" s="30" t="str">
        <v>kanan</v>
      </c>
      <c r="P307" s="30"/>
      <c r="Q307" s="30"/>
      <c r="T307" s="30" t="str">
        <v>tengah</v>
      </c>
      <c r="U307" s="30"/>
      <c r="V307" s="30"/>
    </row>
    <row r="308" spans="5:22">
      <c r="E308" s="30" t="str">
        <v>tengah</v>
      </c>
      <c r="F308" s="30"/>
      <c r="G308" s="30"/>
      <c r="J308" s="30" t="str">
        <v>tengah</v>
      </c>
      <c r="K308" s="30"/>
      <c r="L308" s="30"/>
      <c r="O308" s="30" t="str">
        <v>tengah</v>
      </c>
      <c r="P308" s="30"/>
      <c r="Q308" s="30"/>
      <c r="T308" s="30" t="str">
        <v>tengah</v>
      </c>
      <c r="U308" s="30"/>
      <c r="V308" s="30"/>
    </row>
    <row r="309" spans="5:22">
      <c r="E309" s="30" t="str">
        <v>tengah</v>
      </c>
      <c r="F309" s="30"/>
      <c r="G309" s="30"/>
      <c r="J309" s="30" t="str">
        <v>tengah</v>
      </c>
      <c r="K309" s="30"/>
      <c r="L309" s="30"/>
      <c r="O309" s="30" t="str">
        <v>kanan</v>
      </c>
      <c r="P309" s="30"/>
      <c r="Q309" s="30"/>
      <c r="T309" s="30" t="str">
        <v>kanan</v>
      </c>
      <c r="U309" s="30"/>
      <c r="V309" s="30"/>
    </row>
    <row r="310" spans="5:22">
      <c r="E310" s="30" t="str">
        <v>tengah</v>
      </c>
      <c r="F310" s="30"/>
      <c r="G310" s="30"/>
      <c r="J310" s="30" t="str">
        <v>tengah</v>
      </c>
      <c r="K310" s="30"/>
      <c r="L310" s="30"/>
      <c r="O310" s="30" t="str">
        <v>tengah</v>
      </c>
      <c r="P310" s="30"/>
      <c r="Q310" s="30"/>
      <c r="T310" s="30" t="str">
        <v>tengah</v>
      </c>
      <c r="U310" s="30"/>
      <c r="V310" s="30"/>
    </row>
    <row r="311" spans="5:22">
      <c r="E311" s="30" t="str">
        <v>tengah</v>
      </c>
      <c r="F311" s="30"/>
      <c r="G311" s="30"/>
      <c r="J311" s="30" t="str">
        <v>tengah</v>
      </c>
      <c r="K311" s="30"/>
      <c r="L311" s="30"/>
      <c r="O311" s="30" t="str">
        <v>tengah</v>
      </c>
      <c r="P311" s="30"/>
      <c r="Q311" s="30"/>
      <c r="T311" s="30" t="str">
        <v>kanan</v>
      </c>
      <c r="U311" s="30"/>
      <c r="V311" s="30"/>
    </row>
    <row r="312" spans="5:22">
      <c r="E312" s="30" t="str">
        <v>tengah</v>
      </c>
      <c r="F312" s="30"/>
      <c r="G312" s="30"/>
      <c r="J312" s="30" t="str">
        <v>tengah</v>
      </c>
      <c r="K312" s="30"/>
      <c r="L312" s="30"/>
      <c r="O312" s="30" t="str">
        <v>tengah</v>
      </c>
      <c r="P312" s="30"/>
      <c r="Q312" s="30"/>
      <c r="T312" s="30" t="str">
        <v>kanan</v>
      </c>
      <c r="U312" s="30"/>
      <c r="V312" s="30"/>
    </row>
    <row r="313" spans="5:22">
      <c r="E313" s="30" t="str">
        <v>tengah</v>
      </c>
      <c r="F313" s="30"/>
      <c r="G313" s="30"/>
      <c r="J313" s="30" t="str">
        <v>tengah</v>
      </c>
      <c r="K313" s="30"/>
      <c r="L313" s="30"/>
      <c r="O313" s="30" t="str">
        <v>tengah</v>
      </c>
      <c r="P313" s="30"/>
      <c r="Q313" s="30"/>
      <c r="T313" s="30" t="str">
        <v>kanan</v>
      </c>
      <c r="U313" s="30"/>
      <c r="V313" s="30"/>
    </row>
    <row r="314" spans="5:22">
      <c r="E314" s="30" t="str">
        <v>kiri</v>
      </c>
      <c r="F314" s="30"/>
      <c r="G314" s="30"/>
      <c r="J314" s="30" t="str">
        <v>kiri</v>
      </c>
      <c r="K314" s="30"/>
      <c r="L314" s="30"/>
      <c r="O314" s="30" t="str">
        <v>tengah</v>
      </c>
      <c r="P314" s="30"/>
      <c r="Q314" s="30"/>
      <c r="T314" s="30" t="str">
        <v>tengah</v>
      </c>
      <c r="U314" s="30"/>
      <c r="V314" s="30"/>
    </row>
    <row r="315" spans="5:22">
      <c r="E315" s="30" t="str">
        <v>kiri</v>
      </c>
      <c r="F315" s="30"/>
      <c r="G315" s="30"/>
      <c r="J315" s="30" t="str">
        <v>kiri</v>
      </c>
      <c r="K315" s="30"/>
      <c r="L315" s="30"/>
      <c r="O315" s="30" t="str">
        <v>tengah</v>
      </c>
      <c r="P315" s="30"/>
      <c r="Q315" s="30"/>
      <c r="T315" s="30" t="str">
        <v>kanan</v>
      </c>
      <c r="U315" s="30"/>
      <c r="V315" s="30"/>
    </row>
    <row r="316" spans="5:22">
      <c r="E316" s="30" t="str">
        <v>kanan</v>
      </c>
      <c r="F316" s="30"/>
      <c r="G316" s="30"/>
      <c r="J316" s="30" t="str">
        <v>tengah</v>
      </c>
      <c r="K316" s="30"/>
      <c r="L316" s="30"/>
      <c r="O316" s="30" t="str">
        <v>kiri</v>
      </c>
      <c r="P316" s="30"/>
      <c r="Q316" s="30"/>
      <c r="T316" s="30" t="str">
        <v>tengah</v>
      </c>
      <c r="U316" s="30"/>
      <c r="V316" s="30"/>
    </row>
    <row r="317" spans="5:22">
      <c r="E317" s="30" t="str">
        <v>kiri</v>
      </c>
      <c r="F317" s="30"/>
      <c r="G317" s="30"/>
      <c r="J317" s="30" t="str">
        <v>tengah</v>
      </c>
      <c r="K317" s="30"/>
      <c r="L317" s="30"/>
      <c r="O317" s="30" t="str">
        <v>kanan</v>
      </c>
      <c r="P317" s="30"/>
      <c r="Q317" s="30"/>
      <c r="T317" s="30" t="str">
        <v>tengah</v>
      </c>
      <c r="U317" s="30"/>
      <c r="V317" s="30"/>
    </row>
    <row r="318" spans="5:22">
      <c r="E318" s="30" t="str">
        <v>kiri</v>
      </c>
      <c r="F318" s="30"/>
      <c r="G318" s="30"/>
      <c r="J318" s="30" t="str">
        <v>tengah</v>
      </c>
      <c r="K318" s="30"/>
      <c r="L318" s="30"/>
      <c r="O318" s="30" t="str">
        <v>kanan</v>
      </c>
      <c r="P318" s="30"/>
      <c r="Q318" s="30"/>
      <c r="T318" s="30" t="str">
        <v>tengah</v>
      </c>
      <c r="U318" s="30"/>
      <c r="V318" s="30"/>
    </row>
    <row r="319" spans="5:22">
      <c r="E319" s="30" t="str">
        <v>tengah</v>
      </c>
      <c r="F319" s="30"/>
      <c r="G319" s="30"/>
      <c r="J319" s="30" t="str">
        <v>kiri</v>
      </c>
      <c r="K319" s="30"/>
      <c r="L319" s="30"/>
      <c r="O319" s="30" t="str">
        <v>kanan</v>
      </c>
      <c r="P319" s="30"/>
      <c r="Q319" s="30"/>
      <c r="T319" s="30" t="str">
        <v>tengah</v>
      </c>
      <c r="U319" s="30"/>
      <c r="V319" s="30"/>
    </row>
    <row r="320" spans="5:22">
      <c r="E320" s="30" t="str">
        <v>tengah</v>
      </c>
      <c r="F320" s="30"/>
      <c r="G320" s="30"/>
      <c r="J320" s="30" t="str">
        <v>kiri</v>
      </c>
      <c r="K320" s="30"/>
      <c r="L320" s="30"/>
      <c r="O320" s="30" t="str">
        <v>tengah</v>
      </c>
      <c r="P320" s="30"/>
      <c r="Q320" s="30"/>
      <c r="T320" s="30" t="str">
        <v>tengah</v>
      </c>
      <c r="U320" s="30"/>
      <c r="V320" s="30"/>
    </row>
    <row r="321" spans="5:22">
      <c r="E321" s="30" t="str">
        <v>tengah</v>
      </c>
      <c r="F321" s="30"/>
      <c r="G321" s="30"/>
      <c r="J321" s="30" t="str">
        <v>tengah</v>
      </c>
      <c r="K321" s="30"/>
      <c r="L321" s="30"/>
      <c r="O321" s="30" t="str">
        <v>kiri</v>
      </c>
      <c r="P321" s="30"/>
      <c r="Q321" s="30"/>
      <c r="T321" s="30" t="str">
        <v>kanan</v>
      </c>
      <c r="U321" s="30"/>
      <c r="V321" s="30"/>
    </row>
    <row r="322" spans="5:22">
      <c r="E322" s="30" t="str">
        <v>tengah</v>
      </c>
      <c r="F322" s="30"/>
      <c r="G322" s="30"/>
      <c r="J322" s="30" t="str">
        <v>tengah</v>
      </c>
      <c r="K322" s="30"/>
      <c r="L322" s="30"/>
      <c r="O322" s="30" t="str">
        <v>kanan</v>
      </c>
      <c r="P322" s="30"/>
      <c r="Q322" s="30"/>
      <c r="T322" s="30" t="str">
        <v>kanan</v>
      </c>
      <c r="U322" s="30"/>
      <c r="V322" s="30"/>
    </row>
    <row r="323" spans="5:22">
      <c r="E323" s="30" t="str">
        <v>tengah</v>
      </c>
      <c r="F323" s="30"/>
      <c r="G323" s="30"/>
      <c r="J323" s="30" t="str">
        <v>tengah</v>
      </c>
      <c r="K323" s="30"/>
      <c r="L323" s="30"/>
      <c r="O323" s="30" t="str">
        <v>tengah</v>
      </c>
      <c r="P323" s="30"/>
      <c r="Q323" s="30"/>
      <c r="T323" s="30" t="str">
        <v>tengah</v>
      </c>
      <c r="U323" s="30"/>
      <c r="V323" s="30"/>
    </row>
    <row r="324" spans="5:22">
      <c r="E324" s="30" t="str">
        <v>kiri</v>
      </c>
      <c r="F324" s="30"/>
      <c r="G324" s="30"/>
      <c r="J324" s="30" t="str">
        <v>kiri</v>
      </c>
      <c r="K324" s="30"/>
      <c r="L324" s="30"/>
      <c r="O324" s="30" t="str">
        <v>kanan</v>
      </c>
      <c r="P324" s="30"/>
      <c r="Q324" s="30"/>
      <c r="T324" s="30" t="str">
        <v>tengah</v>
      </c>
      <c r="U324" s="30"/>
      <c r="V324" s="30"/>
    </row>
    <row r="325" spans="5:22">
      <c r="E325" s="30" t="str">
        <v>tengah</v>
      </c>
      <c r="F325" s="30"/>
      <c r="G325" s="30"/>
      <c r="J325" s="30" t="str">
        <v>kiri</v>
      </c>
      <c r="K325" s="30"/>
      <c r="L325" s="30"/>
      <c r="O325" s="30" t="str">
        <v>kiri</v>
      </c>
      <c r="P325" s="30"/>
      <c r="Q325" s="30"/>
      <c r="T325" s="30" t="str">
        <v>kanan</v>
      </c>
      <c r="U325" s="30"/>
      <c r="V325" s="30"/>
    </row>
    <row r="326" spans="5:22">
      <c r="E326" s="30" t="str">
        <v>tengah</v>
      </c>
      <c r="F326" s="30"/>
      <c r="G326" s="30"/>
      <c r="J326" s="30" t="str">
        <v>kanan</v>
      </c>
      <c r="K326" s="30"/>
      <c r="L326" s="30"/>
      <c r="O326" s="30" t="str">
        <v>tengah</v>
      </c>
      <c r="P326" s="30"/>
      <c r="Q326" s="30"/>
      <c r="T326" s="30" t="str">
        <v>tengah</v>
      </c>
      <c r="U326" s="30"/>
      <c r="V326" s="30"/>
    </row>
    <row r="327" spans="5:22">
      <c r="E327" s="30" t="str">
        <v>tengah</v>
      </c>
      <c r="F327" s="30"/>
      <c r="G327" s="30"/>
      <c r="J327" s="30" t="str">
        <v>kanan</v>
      </c>
      <c r="K327" s="30"/>
      <c r="L327" s="30"/>
      <c r="O327" s="30" t="str">
        <v>tengah</v>
      </c>
      <c r="P327" s="30"/>
      <c r="Q327" s="30"/>
      <c r="T327" s="30" t="str">
        <v>tengah</v>
      </c>
      <c r="U327" s="30"/>
      <c r="V327" s="30"/>
    </row>
    <row r="328" spans="5:22">
      <c r="E328" s="30" t="str">
        <v>kanan</v>
      </c>
      <c r="F328" s="30"/>
      <c r="G328" s="30"/>
      <c r="J328" s="30" t="str">
        <v>kanan</v>
      </c>
      <c r="K328" s="30"/>
      <c r="L328" s="30"/>
      <c r="O328" s="30" t="str">
        <v>tengah</v>
      </c>
      <c r="P328" s="30"/>
      <c r="Q328" s="30"/>
      <c r="T328" s="30" t="str">
        <v>kanan</v>
      </c>
      <c r="U328" s="30"/>
      <c r="V328" s="30"/>
    </row>
    <row r="329" spans="5:22">
      <c r="E329" s="30" t="str">
        <v>tengah</v>
      </c>
      <c r="F329" s="30"/>
      <c r="G329" s="30"/>
      <c r="J329" s="30" t="str">
        <v>tengah</v>
      </c>
      <c r="K329" s="30"/>
      <c r="L329" s="30"/>
      <c r="O329" s="30" t="str">
        <v>kiri</v>
      </c>
      <c r="P329" s="30"/>
      <c r="Q329" s="30"/>
      <c r="T329" s="30" t="str">
        <v>kanan</v>
      </c>
      <c r="U329" s="30"/>
      <c r="V329" s="30"/>
    </row>
    <row r="330" spans="5:22">
      <c r="E330" s="30" t="str">
        <v>tengah</v>
      </c>
      <c r="F330" s="30"/>
      <c r="G330" s="30"/>
      <c r="J330" s="30" t="str">
        <v>tengah</v>
      </c>
      <c r="K330" s="30"/>
      <c r="L330" s="30"/>
      <c r="O330" s="30" t="str">
        <v>tengah</v>
      </c>
      <c r="P330" s="30"/>
      <c r="Q330" s="30"/>
      <c r="T330" s="30" t="str">
        <v>tengah</v>
      </c>
      <c r="U330" s="30"/>
      <c r="V330" s="30"/>
    </row>
    <row r="331" spans="5:22">
      <c r="E331" s="30" t="str">
        <v>tengah</v>
      </c>
      <c r="F331" s="30"/>
      <c r="G331" s="30"/>
      <c r="J331" s="30" t="str">
        <v>kanan</v>
      </c>
      <c r="K331" s="30"/>
      <c r="L331" s="30"/>
      <c r="O331" s="30" t="str">
        <v>tengah</v>
      </c>
      <c r="P331" s="30"/>
      <c r="Q331" s="30"/>
      <c r="T331" s="30" t="str">
        <v>tengah</v>
      </c>
      <c r="U331" s="30"/>
      <c r="V331" s="30"/>
    </row>
    <row r="332" spans="5:22">
      <c r="E332" s="30" t="str">
        <v>kiri</v>
      </c>
      <c r="F332" s="30"/>
      <c r="G332" s="30"/>
      <c r="J332" s="30" t="str">
        <v>tengah</v>
      </c>
      <c r="K332" s="30"/>
      <c r="L332" s="30"/>
      <c r="O332" s="30" t="str">
        <v>tengah</v>
      </c>
      <c r="P332" s="30"/>
      <c r="Q332" s="30"/>
      <c r="T332" s="30" t="str">
        <v>tengah</v>
      </c>
      <c r="U332" s="30"/>
      <c r="V332" s="30"/>
    </row>
  </sheetData>
  <pageMargins left="0.7" right="0.7" top="0.75" bottom="0.75" header="0.3" footer="0.3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32"/>
  <sheetViews>
    <sheetView zoomScale="98" zoomScaleNormal="98" topLeftCell="N154" workbookViewId="0">
      <selection activeCell="W164" sqref="W164"/>
    </sheetView>
  </sheetViews>
  <sheetFormatPr defaultColWidth="9" defaultRowHeight="15"/>
  <cols>
    <col min="2" max="2" width="15.8518518518519" customWidth="1"/>
    <col min="3" max="3" width="16.7111111111111" customWidth="1"/>
    <col min="4" max="4" width="13.8518518518519" customWidth="1"/>
    <col min="6" max="6" width="14.4222222222222" customWidth="1"/>
    <col min="8" max="8" width="14.2814814814815" customWidth="1"/>
    <col min="9" max="9" width="13.2814814814815" customWidth="1"/>
    <col min="10" max="10" width="13.8518518518519" customWidth="1"/>
    <col min="13" max="13" width="14.4222222222222" customWidth="1"/>
    <col min="15" max="15" width="25.2814814814815" customWidth="1"/>
    <col min="16" max="16" width="12.8518518518519" customWidth="1"/>
    <col min="17" max="17" width="11.7111111111111" customWidth="1"/>
    <col min="20" max="20" width="14.4222222222222" customWidth="1"/>
  </cols>
  <sheetData>
    <row r="1" spans="1:17">
      <c r="A1" s="29" t="s">
        <v>175</v>
      </c>
      <c r="B1" s="29" t="s">
        <v>1</v>
      </c>
      <c r="C1" s="29" t="s">
        <v>2</v>
      </c>
      <c r="D1" s="29" t="s">
        <v>171</v>
      </c>
      <c r="E1" s="29" t="s">
        <v>4</v>
      </c>
      <c r="F1" s="29" t="s">
        <v>6</v>
      </c>
      <c r="H1" s="31" t="s">
        <v>175</v>
      </c>
      <c r="I1" s="31" t="s">
        <v>1</v>
      </c>
      <c r="J1" s="31" t="s">
        <v>2</v>
      </c>
      <c r="K1" s="31" t="s">
        <v>171</v>
      </c>
      <c r="L1" s="31" t="s">
        <v>4</v>
      </c>
      <c r="M1" s="31" t="s">
        <v>6</v>
      </c>
      <c r="O1" s="29" t="s">
        <v>176</v>
      </c>
      <c r="P1" s="32"/>
      <c r="Q1" s="32"/>
    </row>
    <row r="2" spans="1:17">
      <c r="A2" s="30">
        <f ca="1">RANDBETWEEN(2,164)</f>
        <v>127</v>
      </c>
      <c r="B2" s="30">
        <f ca="1" t="array" ref="B2">INDEX(Data_DBD!$B:$B,$A2)</f>
        <v>21</v>
      </c>
      <c r="C2" s="30">
        <f ca="1" t="array" ref="C2">INDEX(Data_DBD!$C:$C,$A2)</f>
        <v>2</v>
      </c>
      <c r="D2" s="30">
        <f ca="1" t="array" ref="D2">INDEX(Data_DBD!$D:$D,$A2)</f>
        <v>33</v>
      </c>
      <c r="E2" s="30">
        <f ca="1" t="array" ref="E2">INDEX(Data_DBD!$E:$E,$A2)</f>
        <v>0</v>
      </c>
      <c r="F2" s="30">
        <f ca="1" t="array" ref="F2">INDEX(Data_DBD!$F:$F,$A2)</f>
        <v>3</v>
      </c>
      <c r="H2" s="30">
        <v>100</v>
      </c>
      <c r="I2" s="30">
        <v>19</v>
      </c>
      <c r="J2" s="30">
        <v>6</v>
      </c>
      <c r="K2" s="30">
        <v>18</v>
      </c>
      <c r="L2" s="30">
        <v>0</v>
      </c>
      <c r="M2" s="30">
        <v>3</v>
      </c>
      <c r="O2" s="33">
        <v>1</v>
      </c>
      <c r="P2" s="32">
        <f>COUNTIF(M2:M164,"1")</f>
        <v>16</v>
      </c>
      <c r="Q2" s="32">
        <f>P2/163</f>
        <v>0.098159509202454</v>
      </c>
    </row>
    <row r="3" spans="1:17">
      <c r="A3" s="30">
        <f ca="1" t="shared" ref="A3:A66" si="0">RANDBETWEEN(2,164)</f>
        <v>64</v>
      </c>
      <c r="B3" s="30">
        <f ca="1" t="array" ref="B3">INDEX(Data_DBD!$B:$B,$A3)</f>
        <v>35</v>
      </c>
      <c r="C3" s="30">
        <f ca="1" t="array" ref="C3">INDEX(Data_DBD!$C:$C,$A3)</f>
        <v>1</v>
      </c>
      <c r="D3" s="30">
        <f ca="1" t="array" ref="D3">INDEX(Data_DBD!$D:$D,$A3)</f>
        <v>15</v>
      </c>
      <c r="E3" s="30">
        <f ca="1" t="array" ref="E3">INDEX(Data_DBD!$E:$E,$A3)</f>
        <v>0</v>
      </c>
      <c r="F3" s="30">
        <f ca="1" t="array" ref="F3">INDEX(Data_DBD!$F:$F,$A3)</f>
        <v>2</v>
      </c>
      <c r="H3" s="30">
        <v>64</v>
      </c>
      <c r="I3" s="30">
        <v>35</v>
      </c>
      <c r="J3" s="30">
        <v>1</v>
      </c>
      <c r="K3" s="30">
        <v>15</v>
      </c>
      <c r="L3" s="30">
        <v>0</v>
      </c>
      <c r="M3" s="30">
        <v>2</v>
      </c>
      <c r="O3" s="32">
        <v>2</v>
      </c>
      <c r="P3" s="32">
        <f>COUNTIF(M2:M164,"2")</f>
        <v>68</v>
      </c>
      <c r="Q3" s="32">
        <f>P3/163</f>
        <v>0.417177914110429</v>
      </c>
    </row>
    <row r="4" spans="1:17">
      <c r="A4" s="30">
        <f ca="1" t="shared" si="0"/>
        <v>44</v>
      </c>
      <c r="B4" s="30">
        <f ca="1" t="array" ref="B4">INDEX(Data_DBD!$B:$B,$A4)</f>
        <v>28</v>
      </c>
      <c r="C4" s="30">
        <f ca="1" t="array" ref="C4">INDEX(Data_DBD!$C:$C,$A4)</f>
        <v>5</v>
      </c>
      <c r="D4" s="30">
        <f ca="1" t="array" ref="D4">INDEX(Data_DBD!$D:$D,$A4)</f>
        <v>13</v>
      </c>
      <c r="E4" s="30">
        <f ca="1" t="array" ref="E4">INDEX(Data_DBD!$E:$E,$A4)</f>
        <v>1</v>
      </c>
      <c r="F4" s="30">
        <f ca="1" t="array" ref="F4">INDEX(Data_DBD!$F:$F,$A4)</f>
        <v>2</v>
      </c>
      <c r="H4" s="30">
        <v>75</v>
      </c>
      <c r="I4" s="30">
        <v>2</v>
      </c>
      <c r="J4" s="30">
        <v>2</v>
      </c>
      <c r="K4" s="30">
        <v>10</v>
      </c>
      <c r="L4" s="30">
        <v>1</v>
      </c>
      <c r="M4" s="30">
        <v>2</v>
      </c>
      <c r="O4" s="32">
        <v>3</v>
      </c>
      <c r="P4" s="32">
        <f>COUNTIF(M2:M164,"3")</f>
        <v>79</v>
      </c>
      <c r="Q4" s="32">
        <f>P4/163</f>
        <v>0.484662576687117</v>
      </c>
    </row>
    <row r="5" spans="1:16">
      <c r="A5" s="30">
        <f ca="1" t="shared" si="0"/>
        <v>43</v>
      </c>
      <c r="B5" s="30">
        <f ca="1" t="array" ref="B5">INDEX(Data_DBD!$B:$B,$A5)</f>
        <v>15</v>
      </c>
      <c r="C5" s="30">
        <f ca="1" t="array" ref="C5">INDEX(Data_DBD!$C:$C,$A5)</f>
        <v>4</v>
      </c>
      <c r="D5" s="30">
        <f ca="1" t="array" ref="D5">INDEX(Data_DBD!$D:$D,$A5)</f>
        <v>13</v>
      </c>
      <c r="E5" s="30">
        <f ca="1" t="array" ref="E5">INDEX(Data_DBD!$E:$E,$A5)</f>
        <v>0</v>
      </c>
      <c r="F5" s="30">
        <f ca="1" t="array" ref="F5">INDEX(Data_DBD!$F:$F,$A5)</f>
        <v>2</v>
      </c>
      <c r="H5" s="30">
        <v>155</v>
      </c>
      <c r="I5" s="30">
        <v>19</v>
      </c>
      <c r="J5" s="30">
        <v>5</v>
      </c>
      <c r="K5" s="30">
        <v>21</v>
      </c>
      <c r="L5" s="30">
        <v>1</v>
      </c>
      <c r="M5" s="30">
        <v>3</v>
      </c>
      <c r="O5" s="34" t="s">
        <v>181</v>
      </c>
      <c r="P5">
        <f>-(IFERROR(Q2*LOG(Q2,2),0)+IFERROR(Q3*LOG(Q3,2),0)+IFERROR(Q4*LOG(Q4,2),0))</f>
        <v>1.36132844680154</v>
      </c>
    </row>
    <row r="6" spans="1:13">
      <c r="A6" s="30">
        <f ca="1" t="shared" si="0"/>
        <v>96</v>
      </c>
      <c r="B6" s="30">
        <f ca="1" t="array" ref="B6">INDEX(Data_DBD!$B:$B,$A6)</f>
        <v>56</v>
      </c>
      <c r="C6" s="30">
        <f ca="1" t="array" ref="C6">INDEX(Data_DBD!$C:$C,$A6)</f>
        <v>4</v>
      </c>
      <c r="D6" s="30">
        <f ca="1" t="array" ref="D6">INDEX(Data_DBD!$D:$D,$A6)</f>
        <v>18</v>
      </c>
      <c r="E6" s="30">
        <f ca="1" t="array" ref="E6">INDEX(Data_DBD!$E:$E,$A6)</f>
        <v>0</v>
      </c>
      <c r="F6" s="30">
        <f ca="1" t="array" ref="F6">INDEX(Data_DBD!$F:$F,$A6)</f>
        <v>3</v>
      </c>
      <c r="H6" s="30">
        <v>13</v>
      </c>
      <c r="I6" s="30">
        <v>47</v>
      </c>
      <c r="J6" s="30">
        <v>2</v>
      </c>
      <c r="K6" s="30">
        <v>12</v>
      </c>
      <c r="L6" s="30">
        <v>0</v>
      </c>
      <c r="M6" s="30">
        <v>2</v>
      </c>
    </row>
    <row r="7" spans="1:13">
      <c r="A7" s="30">
        <f ca="1" t="shared" si="0"/>
        <v>51</v>
      </c>
      <c r="B7" s="30">
        <f ca="1" t="array" ref="B7">INDEX(Data_DBD!$B:$B,$A7)</f>
        <v>48</v>
      </c>
      <c r="C7" s="30">
        <f ca="1" t="array" ref="C7">INDEX(Data_DBD!$C:$C,$A7)</f>
        <v>4</v>
      </c>
      <c r="D7" s="30">
        <f ca="1" t="array" ref="D7">INDEX(Data_DBD!$D:$D,$A7)</f>
        <v>13</v>
      </c>
      <c r="E7" s="30">
        <f ca="1" t="array" ref="E7">INDEX(Data_DBD!$E:$E,$A7)</f>
        <v>0</v>
      </c>
      <c r="F7" s="30">
        <f ca="1" t="array" ref="F7">INDEX(Data_DBD!$F:$F,$A7)</f>
        <v>2</v>
      </c>
      <c r="H7" s="30">
        <v>65</v>
      </c>
      <c r="I7" s="30">
        <v>49</v>
      </c>
      <c r="J7" s="30">
        <v>3</v>
      </c>
      <c r="K7" s="30">
        <v>15</v>
      </c>
      <c r="L7" s="30">
        <v>0</v>
      </c>
      <c r="M7" s="30">
        <v>2</v>
      </c>
    </row>
    <row r="8" spans="1:13">
      <c r="A8" s="30">
        <f ca="1" t="shared" si="0"/>
        <v>51</v>
      </c>
      <c r="B8" s="30">
        <f ca="1" t="array" ref="B8">INDEX(Data_DBD!$B:$B,$A8)</f>
        <v>48</v>
      </c>
      <c r="C8" s="30">
        <f ca="1" t="array" ref="C8">INDEX(Data_DBD!$C:$C,$A8)</f>
        <v>4</v>
      </c>
      <c r="D8" s="30">
        <f ca="1" t="array" ref="D8">INDEX(Data_DBD!$D:$D,$A8)</f>
        <v>13</v>
      </c>
      <c r="E8" s="30">
        <f ca="1" t="array" ref="E8">INDEX(Data_DBD!$E:$E,$A8)</f>
        <v>0</v>
      </c>
      <c r="F8" s="30">
        <f ca="1" t="array" ref="F8">INDEX(Data_DBD!$F:$F,$A8)</f>
        <v>2</v>
      </c>
      <c r="H8" s="30">
        <v>160</v>
      </c>
      <c r="I8" s="30">
        <v>16</v>
      </c>
      <c r="J8" s="30">
        <v>3</v>
      </c>
      <c r="K8" s="30">
        <v>21</v>
      </c>
      <c r="L8" s="30">
        <v>0</v>
      </c>
      <c r="M8" s="30">
        <v>3</v>
      </c>
    </row>
    <row r="9" spans="1:13">
      <c r="A9" s="30">
        <f ca="1" t="shared" si="0"/>
        <v>158</v>
      </c>
      <c r="B9" s="30">
        <f ca="1" t="array" ref="B9">INDEX(Data_DBD!$B:$B,$A9)</f>
        <v>5</v>
      </c>
      <c r="C9" s="30">
        <f ca="1" t="array" ref="C9">INDEX(Data_DBD!$C:$C,$A9)</f>
        <v>2</v>
      </c>
      <c r="D9" s="30">
        <f ca="1" t="array" ref="D9">INDEX(Data_DBD!$D:$D,$A9)</f>
        <v>21</v>
      </c>
      <c r="E9" s="30">
        <f ca="1" t="array" ref="E9">INDEX(Data_DBD!$E:$E,$A9)</f>
        <v>0</v>
      </c>
      <c r="F9" s="30">
        <f ca="1" t="array" ref="F9">INDEX(Data_DBD!$F:$F,$A9)</f>
        <v>3</v>
      </c>
      <c r="H9" s="30">
        <v>144</v>
      </c>
      <c r="I9" s="30">
        <v>61</v>
      </c>
      <c r="J9" s="30">
        <v>4</v>
      </c>
      <c r="K9" s="30">
        <v>21</v>
      </c>
      <c r="L9" s="30">
        <v>1</v>
      </c>
      <c r="M9" s="30">
        <v>3</v>
      </c>
    </row>
    <row r="10" spans="1:13">
      <c r="A10" s="30">
        <f ca="1" t="shared" si="0"/>
        <v>127</v>
      </c>
      <c r="B10" s="30">
        <f ca="1" t="array" ref="B10">INDEX(Data_DBD!$B:$B,$A10)</f>
        <v>21</v>
      </c>
      <c r="C10" s="30">
        <f ca="1" t="array" ref="C10">INDEX(Data_DBD!$C:$C,$A10)</f>
        <v>2</v>
      </c>
      <c r="D10" s="30">
        <f ca="1" t="array" ref="D10">INDEX(Data_DBD!$D:$D,$A10)</f>
        <v>33</v>
      </c>
      <c r="E10" s="30">
        <f ca="1" t="array" ref="E10">INDEX(Data_DBD!$E:$E,$A10)</f>
        <v>0</v>
      </c>
      <c r="F10" s="30">
        <f ca="1" t="array" ref="F10">INDEX(Data_DBD!$F:$F,$A10)</f>
        <v>3</v>
      </c>
      <c r="H10" s="30">
        <v>11</v>
      </c>
      <c r="I10" s="30">
        <v>24</v>
      </c>
      <c r="J10" s="30">
        <v>5</v>
      </c>
      <c r="K10" s="30">
        <v>12</v>
      </c>
      <c r="L10" s="30">
        <v>1</v>
      </c>
      <c r="M10" s="30">
        <v>2</v>
      </c>
    </row>
    <row r="11" spans="1:13">
      <c r="A11" s="30">
        <f ca="1" t="shared" si="0"/>
        <v>99</v>
      </c>
      <c r="B11" s="30">
        <f ca="1" t="array" ref="B11">INDEX(Data_DBD!$B:$B,$A11)</f>
        <v>4</v>
      </c>
      <c r="C11" s="30">
        <f ca="1" t="array" ref="C11">INDEX(Data_DBD!$C:$C,$A11)</f>
        <v>2</v>
      </c>
      <c r="D11" s="30">
        <f ca="1" t="array" ref="D11">INDEX(Data_DBD!$D:$D,$A11)</f>
        <v>18</v>
      </c>
      <c r="E11" s="30">
        <f ca="1" t="array" ref="E11">INDEX(Data_DBD!$E:$E,$A11)</f>
        <v>1</v>
      </c>
      <c r="F11" s="30">
        <f ca="1" t="array" ref="F11">INDEX(Data_DBD!$F:$F,$A11)</f>
        <v>3</v>
      </c>
      <c r="H11" s="30">
        <v>49</v>
      </c>
      <c r="I11" s="30">
        <v>64</v>
      </c>
      <c r="J11" s="30">
        <v>5</v>
      </c>
      <c r="K11" s="30">
        <v>13</v>
      </c>
      <c r="L11" s="30">
        <v>0</v>
      </c>
      <c r="M11" s="30">
        <v>2</v>
      </c>
    </row>
    <row r="12" spans="1:13">
      <c r="A12" s="30">
        <f ca="1" t="shared" si="0"/>
        <v>92</v>
      </c>
      <c r="B12" s="30">
        <f ca="1" t="array" ref="B12">INDEX(Data_DBD!$B:$B,$A12)</f>
        <v>55</v>
      </c>
      <c r="C12" s="30">
        <f ca="1" t="array" ref="C12">INDEX(Data_DBD!$C:$C,$A12)</f>
        <v>7</v>
      </c>
      <c r="D12" s="30">
        <f ca="1" t="array" ref="D12">INDEX(Data_DBD!$D:$D,$A12)</f>
        <v>18</v>
      </c>
      <c r="E12" s="30">
        <f ca="1" t="array" ref="E12">INDEX(Data_DBD!$E:$E,$A12)</f>
        <v>0</v>
      </c>
      <c r="F12" s="30">
        <f ca="1" t="array" ref="F12">INDEX(Data_DBD!$F:$F,$A12)</f>
        <v>3</v>
      </c>
      <c r="H12" s="30">
        <v>13</v>
      </c>
      <c r="I12" s="30">
        <v>47</v>
      </c>
      <c r="J12" s="30">
        <v>2</v>
      </c>
      <c r="K12" s="30">
        <v>12</v>
      </c>
      <c r="L12" s="30">
        <v>0</v>
      </c>
      <c r="M12" s="30">
        <v>2</v>
      </c>
    </row>
    <row r="13" spans="1:13">
      <c r="A13" s="30">
        <f ca="1" t="shared" si="0"/>
        <v>10</v>
      </c>
      <c r="B13" s="30">
        <f ca="1" t="array" ref="B13">INDEX(Data_DBD!$B:$B,$A13)</f>
        <v>18</v>
      </c>
      <c r="C13" s="30">
        <f ca="1" t="array" ref="C13">INDEX(Data_DBD!$C:$C,$A13)</f>
        <v>5</v>
      </c>
      <c r="D13" s="30">
        <f ca="1" t="array" ref="D13">INDEX(Data_DBD!$D:$D,$A13)</f>
        <v>12</v>
      </c>
      <c r="E13" s="30">
        <f ca="1" t="array" ref="E13">INDEX(Data_DBD!$E:$E,$A13)</f>
        <v>0</v>
      </c>
      <c r="F13" s="30">
        <f ca="1" t="array" ref="F13">INDEX(Data_DBD!$F:$F,$A13)</f>
        <v>2</v>
      </c>
      <c r="H13" s="30">
        <v>111</v>
      </c>
      <c r="I13" s="30">
        <v>25</v>
      </c>
      <c r="J13" s="30">
        <v>4</v>
      </c>
      <c r="K13" s="30">
        <v>33</v>
      </c>
      <c r="L13" s="30">
        <v>0</v>
      </c>
      <c r="M13" s="30">
        <v>3</v>
      </c>
    </row>
    <row r="14" spans="1:13">
      <c r="A14" s="30">
        <f ca="1" t="shared" si="0"/>
        <v>148</v>
      </c>
      <c r="B14" s="30">
        <f ca="1" t="array" ref="B14">INDEX(Data_DBD!$B:$B,$A14)</f>
        <v>55</v>
      </c>
      <c r="C14" s="30">
        <f ca="1" t="array" ref="C14">INDEX(Data_DBD!$C:$C,$A14)</f>
        <v>3</v>
      </c>
      <c r="D14" s="30">
        <f ca="1" t="array" ref="D14">INDEX(Data_DBD!$D:$D,$A14)</f>
        <v>21</v>
      </c>
      <c r="E14" s="30">
        <f ca="1" t="array" ref="E14">INDEX(Data_DBD!$E:$E,$A14)</f>
        <v>1</v>
      </c>
      <c r="F14" s="30">
        <f ca="1" t="array" ref="F14">INDEX(Data_DBD!$F:$F,$A14)</f>
        <v>3</v>
      </c>
      <c r="H14" s="30">
        <v>40</v>
      </c>
      <c r="I14" s="30">
        <v>65</v>
      </c>
      <c r="J14" s="30">
        <v>3</v>
      </c>
      <c r="K14" s="30">
        <v>13</v>
      </c>
      <c r="L14" s="30">
        <v>1</v>
      </c>
      <c r="M14" s="30">
        <v>2</v>
      </c>
    </row>
    <row r="15" spans="1:13">
      <c r="A15" s="30">
        <f ca="1" t="shared" si="0"/>
        <v>18</v>
      </c>
      <c r="B15" s="30">
        <f ca="1" t="array" ref="B15">INDEX(Data_DBD!$B:$B,$A15)</f>
        <v>49</v>
      </c>
      <c r="C15" s="30">
        <f ca="1" t="array" ref="C15">INDEX(Data_DBD!$C:$C,$A15)</f>
        <v>4</v>
      </c>
      <c r="D15" s="30">
        <f ca="1" t="array" ref="D15">INDEX(Data_DBD!$D:$D,$A15)</f>
        <v>7</v>
      </c>
      <c r="E15" s="30">
        <f ca="1" t="array" ref="E15">INDEX(Data_DBD!$E:$E,$A15)</f>
        <v>1</v>
      </c>
      <c r="F15" s="30">
        <f ca="1" t="array" ref="F15">INDEX(Data_DBD!$F:$F,$A15)</f>
        <v>1</v>
      </c>
      <c r="H15" s="30">
        <v>154</v>
      </c>
      <c r="I15" s="30">
        <v>18</v>
      </c>
      <c r="J15" s="30">
        <v>5</v>
      </c>
      <c r="K15" s="30">
        <v>21</v>
      </c>
      <c r="L15" s="30">
        <v>1</v>
      </c>
      <c r="M15" s="30">
        <v>3</v>
      </c>
    </row>
    <row r="16" spans="1:13">
      <c r="A16" s="30">
        <f ca="1" t="shared" si="0"/>
        <v>40</v>
      </c>
      <c r="B16" s="30">
        <f ca="1" t="array" ref="B16">INDEX(Data_DBD!$B:$B,$A16)</f>
        <v>65</v>
      </c>
      <c r="C16" s="30">
        <f ca="1" t="array" ref="C16">INDEX(Data_DBD!$C:$C,$A16)</f>
        <v>3</v>
      </c>
      <c r="D16" s="30">
        <f ca="1" t="array" ref="D16">INDEX(Data_DBD!$D:$D,$A16)</f>
        <v>13</v>
      </c>
      <c r="E16" s="30">
        <f ca="1" t="array" ref="E16">INDEX(Data_DBD!$E:$E,$A16)</f>
        <v>1</v>
      </c>
      <c r="F16" s="30">
        <f ca="1" t="array" ref="F16">INDEX(Data_DBD!$F:$F,$A16)</f>
        <v>2</v>
      </c>
      <c r="H16" s="30">
        <v>123</v>
      </c>
      <c r="I16" s="30">
        <v>22</v>
      </c>
      <c r="J16" s="30">
        <v>4</v>
      </c>
      <c r="K16" s="30">
        <v>33</v>
      </c>
      <c r="L16" s="30">
        <v>0</v>
      </c>
      <c r="M16" s="30">
        <v>3</v>
      </c>
    </row>
    <row r="17" spans="1:13">
      <c r="A17" s="30">
        <f ca="1" t="shared" si="0"/>
        <v>148</v>
      </c>
      <c r="B17" s="30">
        <f ca="1" t="array" ref="B17">INDEX(Data_DBD!$B:$B,$A17)</f>
        <v>55</v>
      </c>
      <c r="C17" s="30">
        <f ca="1" t="array" ref="C17">INDEX(Data_DBD!$C:$C,$A17)</f>
        <v>3</v>
      </c>
      <c r="D17" s="30">
        <f ca="1" t="array" ref="D17">INDEX(Data_DBD!$D:$D,$A17)</f>
        <v>21</v>
      </c>
      <c r="E17" s="30">
        <f ca="1" t="array" ref="E17">INDEX(Data_DBD!$E:$E,$A17)</f>
        <v>1</v>
      </c>
      <c r="F17" s="30">
        <f ca="1" t="array" ref="F17">INDEX(Data_DBD!$F:$F,$A17)</f>
        <v>3</v>
      </c>
      <c r="H17" s="30">
        <v>103</v>
      </c>
      <c r="I17" s="30">
        <v>22</v>
      </c>
      <c r="J17" s="30">
        <v>5</v>
      </c>
      <c r="K17" s="30">
        <v>18</v>
      </c>
      <c r="L17" s="30">
        <v>0</v>
      </c>
      <c r="M17" s="30">
        <v>3</v>
      </c>
    </row>
    <row r="18" spans="1:13">
      <c r="A18" s="30">
        <f ca="1" t="shared" si="0"/>
        <v>45</v>
      </c>
      <c r="B18" s="30">
        <f ca="1" t="array" ref="B18">INDEX(Data_DBD!$B:$B,$A18)</f>
        <v>75</v>
      </c>
      <c r="C18" s="30">
        <f ca="1" t="array" ref="C18">INDEX(Data_DBD!$C:$C,$A18)</f>
        <v>3</v>
      </c>
      <c r="D18" s="30">
        <f ca="1" t="array" ref="D18">INDEX(Data_DBD!$D:$D,$A18)</f>
        <v>13</v>
      </c>
      <c r="E18" s="30">
        <f ca="1" t="array" ref="E18">INDEX(Data_DBD!$E:$E,$A18)</f>
        <v>1</v>
      </c>
      <c r="F18" s="30">
        <f ca="1" t="array" ref="F18">INDEX(Data_DBD!$F:$F,$A18)</f>
        <v>2</v>
      </c>
      <c r="H18" s="30">
        <v>163</v>
      </c>
      <c r="I18" s="30">
        <v>34</v>
      </c>
      <c r="J18" s="30">
        <v>4</v>
      </c>
      <c r="K18" s="30">
        <v>3</v>
      </c>
      <c r="L18" s="30">
        <v>1</v>
      </c>
      <c r="M18" s="30">
        <v>1</v>
      </c>
    </row>
    <row r="19" spans="1:13">
      <c r="A19" s="30">
        <f ca="1" t="shared" si="0"/>
        <v>58</v>
      </c>
      <c r="B19" s="30">
        <f ca="1" t="array" ref="B19">INDEX(Data_DBD!$B:$B,$A19)</f>
        <v>17</v>
      </c>
      <c r="C19" s="30">
        <f ca="1" t="array" ref="C19">INDEX(Data_DBD!$C:$C,$A19)</f>
        <v>3</v>
      </c>
      <c r="D19" s="30">
        <f ca="1" t="array" ref="D19">INDEX(Data_DBD!$D:$D,$A19)</f>
        <v>15</v>
      </c>
      <c r="E19" s="30">
        <f ca="1" t="array" ref="E19">INDEX(Data_DBD!$E:$E,$A19)</f>
        <v>0</v>
      </c>
      <c r="F19" s="30">
        <f ca="1" t="array" ref="F19">INDEX(Data_DBD!$F:$F,$A19)</f>
        <v>2</v>
      </c>
      <c r="H19" s="30">
        <v>127</v>
      </c>
      <c r="I19" s="30">
        <v>21</v>
      </c>
      <c r="J19" s="30">
        <v>2</v>
      </c>
      <c r="K19" s="30">
        <v>33</v>
      </c>
      <c r="L19" s="30">
        <v>0</v>
      </c>
      <c r="M19" s="30">
        <v>3</v>
      </c>
    </row>
    <row r="20" spans="1:13">
      <c r="A20" s="30">
        <f ca="1" t="shared" si="0"/>
        <v>18</v>
      </c>
      <c r="B20" s="30">
        <f ca="1" t="array" ref="B20">INDEX(Data_DBD!$B:$B,$A20)</f>
        <v>49</v>
      </c>
      <c r="C20" s="30">
        <f ca="1" t="array" ref="C20">INDEX(Data_DBD!$C:$C,$A20)</f>
        <v>4</v>
      </c>
      <c r="D20" s="30">
        <f ca="1" t="array" ref="D20">INDEX(Data_DBD!$D:$D,$A20)</f>
        <v>7</v>
      </c>
      <c r="E20" s="30">
        <f ca="1" t="array" ref="E20">INDEX(Data_DBD!$E:$E,$A20)</f>
        <v>1</v>
      </c>
      <c r="F20" s="30">
        <f ca="1" t="array" ref="F20">INDEX(Data_DBD!$F:$F,$A20)</f>
        <v>1</v>
      </c>
      <c r="H20" s="30">
        <v>127</v>
      </c>
      <c r="I20" s="30">
        <v>21</v>
      </c>
      <c r="J20" s="30">
        <v>2</v>
      </c>
      <c r="K20" s="30">
        <v>33</v>
      </c>
      <c r="L20" s="30">
        <v>0</v>
      </c>
      <c r="M20" s="30">
        <v>3</v>
      </c>
    </row>
    <row r="21" spans="1:13">
      <c r="A21" s="30">
        <f ca="1" t="shared" si="0"/>
        <v>155</v>
      </c>
      <c r="B21" s="30">
        <f ca="1" t="array" ref="B21">INDEX(Data_DBD!$B:$B,$A21)</f>
        <v>19</v>
      </c>
      <c r="C21" s="30">
        <f ca="1" t="array" ref="C21">INDEX(Data_DBD!$C:$C,$A21)</f>
        <v>5</v>
      </c>
      <c r="D21" s="30">
        <f ca="1" t="array" ref="D21">INDEX(Data_DBD!$D:$D,$A21)</f>
        <v>21</v>
      </c>
      <c r="E21" s="30">
        <f ca="1" t="array" ref="E21">INDEX(Data_DBD!$E:$E,$A21)</f>
        <v>1</v>
      </c>
      <c r="F21" s="30">
        <f ca="1" t="array" ref="F21">INDEX(Data_DBD!$F:$F,$A21)</f>
        <v>3</v>
      </c>
      <c r="H21" s="30">
        <v>53</v>
      </c>
      <c r="I21" s="30">
        <v>35</v>
      </c>
      <c r="J21" s="30">
        <v>4</v>
      </c>
      <c r="K21" s="30">
        <v>15</v>
      </c>
      <c r="L21" s="30">
        <v>1</v>
      </c>
      <c r="M21" s="30">
        <v>2</v>
      </c>
    </row>
    <row r="22" spans="1:13">
      <c r="A22" s="30">
        <f ca="1" t="shared" si="0"/>
        <v>17</v>
      </c>
      <c r="B22" s="30">
        <f ca="1" t="array" ref="B22">INDEX(Data_DBD!$B:$B,$A22)</f>
        <v>2</v>
      </c>
      <c r="C22" s="30">
        <f ca="1" t="array" ref="C22">INDEX(Data_DBD!$C:$C,$A22)</f>
        <v>3</v>
      </c>
      <c r="D22" s="30">
        <f ca="1" t="array" ref="D22">INDEX(Data_DBD!$D:$D,$A22)</f>
        <v>7</v>
      </c>
      <c r="E22" s="30">
        <f ca="1" t="array" ref="E22">INDEX(Data_DBD!$E:$E,$A22)</f>
        <v>0</v>
      </c>
      <c r="F22" s="30">
        <f ca="1" t="array" ref="F22">INDEX(Data_DBD!$F:$F,$A22)</f>
        <v>1</v>
      </c>
      <c r="H22" s="30">
        <v>158</v>
      </c>
      <c r="I22" s="30">
        <v>5</v>
      </c>
      <c r="J22" s="30">
        <v>2</v>
      </c>
      <c r="K22" s="30">
        <v>21</v>
      </c>
      <c r="L22" s="30">
        <v>0</v>
      </c>
      <c r="M22" s="30">
        <v>3</v>
      </c>
    </row>
    <row r="23" spans="1:13">
      <c r="A23" s="30">
        <f ca="1" t="shared" si="0"/>
        <v>31</v>
      </c>
      <c r="B23" s="30">
        <f ca="1" t="array" ref="B23">INDEX(Data_DBD!$B:$B,$A23)</f>
        <v>64</v>
      </c>
      <c r="C23" s="30">
        <f ca="1" t="array" ref="C23">INDEX(Data_DBD!$C:$C,$A23)</f>
        <v>4</v>
      </c>
      <c r="D23" s="30">
        <f ca="1" t="array" ref="D23">INDEX(Data_DBD!$D:$D,$A23)</f>
        <v>14</v>
      </c>
      <c r="E23" s="30">
        <f ca="1" t="array" ref="E23">INDEX(Data_DBD!$E:$E,$A23)</f>
        <v>1</v>
      </c>
      <c r="F23" s="30">
        <f ca="1" t="array" ref="F23">INDEX(Data_DBD!$F:$F,$A23)</f>
        <v>2</v>
      </c>
      <c r="H23" s="30">
        <v>160</v>
      </c>
      <c r="I23" s="30">
        <v>16</v>
      </c>
      <c r="J23" s="30">
        <v>3</v>
      </c>
      <c r="K23" s="30">
        <v>21</v>
      </c>
      <c r="L23" s="30">
        <v>0</v>
      </c>
      <c r="M23" s="30">
        <v>3</v>
      </c>
    </row>
    <row r="24" spans="1:13">
      <c r="A24" s="30">
        <f ca="1" t="shared" si="0"/>
        <v>82</v>
      </c>
      <c r="B24" s="30">
        <f ca="1" t="array" ref="B24">INDEX(Data_DBD!$B:$B,$A24)</f>
        <v>28</v>
      </c>
      <c r="C24" s="30">
        <f ca="1" t="array" ref="C24">INDEX(Data_DBD!$C:$C,$A24)</f>
        <v>3</v>
      </c>
      <c r="D24" s="30">
        <f ca="1" t="array" ref="D24">INDEX(Data_DBD!$D:$D,$A24)</f>
        <v>13</v>
      </c>
      <c r="E24" s="30">
        <f ca="1" t="array" ref="E24">INDEX(Data_DBD!$E:$E,$A24)</f>
        <v>1</v>
      </c>
      <c r="F24" s="30">
        <f ca="1" t="array" ref="F24">INDEX(Data_DBD!$F:$F,$A24)</f>
        <v>2</v>
      </c>
      <c r="H24" s="30">
        <v>161</v>
      </c>
      <c r="I24" s="30">
        <v>12</v>
      </c>
      <c r="J24" s="30">
        <v>3</v>
      </c>
      <c r="K24" s="30">
        <v>21</v>
      </c>
      <c r="L24" s="30">
        <v>1</v>
      </c>
      <c r="M24" s="30">
        <v>3</v>
      </c>
    </row>
    <row r="25" spans="1:13">
      <c r="A25" s="30">
        <f ca="1" t="shared" si="0"/>
        <v>99</v>
      </c>
      <c r="B25" s="30">
        <f ca="1" t="array" ref="B25">INDEX(Data_DBD!$B:$B,$A25)</f>
        <v>4</v>
      </c>
      <c r="C25" s="30">
        <f ca="1" t="array" ref="C25">INDEX(Data_DBD!$C:$C,$A25)</f>
        <v>2</v>
      </c>
      <c r="D25" s="30">
        <f ca="1" t="array" ref="D25">INDEX(Data_DBD!$D:$D,$A25)</f>
        <v>18</v>
      </c>
      <c r="E25" s="30">
        <f ca="1" t="array" ref="E25">INDEX(Data_DBD!$E:$E,$A25)</f>
        <v>1</v>
      </c>
      <c r="F25" s="30">
        <f ca="1" t="array" ref="F25">INDEX(Data_DBD!$F:$F,$A25)</f>
        <v>3</v>
      </c>
      <c r="H25" s="30">
        <v>103</v>
      </c>
      <c r="I25" s="30">
        <v>22</v>
      </c>
      <c r="J25" s="30">
        <v>5</v>
      </c>
      <c r="K25" s="30">
        <v>18</v>
      </c>
      <c r="L25" s="30">
        <v>0</v>
      </c>
      <c r="M25" s="30">
        <v>3</v>
      </c>
    </row>
    <row r="26" spans="1:13">
      <c r="A26" s="30">
        <f ca="1" t="shared" si="0"/>
        <v>89</v>
      </c>
      <c r="B26" s="30">
        <f ca="1" t="array" ref="B26">INDEX(Data_DBD!$B:$B,$A26)</f>
        <v>32</v>
      </c>
      <c r="C26" s="30">
        <f ca="1" t="array" ref="C26">INDEX(Data_DBD!$C:$C,$A26)</f>
        <v>4</v>
      </c>
      <c r="D26" s="30">
        <f ca="1" t="array" ref="D26">INDEX(Data_DBD!$D:$D,$A26)</f>
        <v>13</v>
      </c>
      <c r="E26" s="30">
        <f ca="1" t="array" ref="E26">INDEX(Data_DBD!$E:$E,$A26)</f>
        <v>0</v>
      </c>
      <c r="F26" s="30">
        <f ca="1" t="array" ref="F26">INDEX(Data_DBD!$F:$F,$A26)</f>
        <v>2</v>
      </c>
      <c r="H26" s="30">
        <v>92</v>
      </c>
      <c r="I26" s="30">
        <v>55</v>
      </c>
      <c r="J26" s="30">
        <v>7</v>
      </c>
      <c r="K26" s="30">
        <v>18</v>
      </c>
      <c r="L26" s="30">
        <v>0</v>
      </c>
      <c r="M26" s="30">
        <v>3</v>
      </c>
    </row>
    <row r="27" spans="1:13">
      <c r="A27" s="30">
        <f ca="1" t="shared" si="0"/>
        <v>164</v>
      </c>
      <c r="B27" s="30">
        <f ca="1" t="array" ref="B27">INDEX(Data_DBD!$B:$B,$A27)</f>
        <v>10</v>
      </c>
      <c r="C27" s="30">
        <f ca="1" t="array" ref="C27">INDEX(Data_DBD!$C:$C,$A27)</f>
        <v>6</v>
      </c>
      <c r="D27" s="30">
        <f ca="1" t="array" ref="D27">INDEX(Data_DBD!$D:$D,$A27)</f>
        <v>3</v>
      </c>
      <c r="E27" s="30">
        <f ca="1" t="array" ref="E27">INDEX(Data_DBD!$E:$E,$A27)</f>
        <v>0</v>
      </c>
      <c r="F27" s="30">
        <f ca="1" t="array" ref="F27">INDEX(Data_DBD!$F:$F,$A27)</f>
        <v>1</v>
      </c>
      <c r="H27" s="30">
        <v>14</v>
      </c>
      <c r="I27" s="30">
        <v>49</v>
      </c>
      <c r="J27" s="30">
        <v>4</v>
      </c>
      <c r="K27" s="30">
        <v>7</v>
      </c>
      <c r="L27" s="30">
        <v>1</v>
      </c>
      <c r="M27" s="30">
        <v>1</v>
      </c>
    </row>
    <row r="28" spans="1:13">
      <c r="A28" s="30">
        <f ca="1" t="shared" si="0"/>
        <v>18</v>
      </c>
      <c r="B28" s="30">
        <f ca="1" t="array" ref="B28">INDEX(Data_DBD!$B:$B,$A28)</f>
        <v>49</v>
      </c>
      <c r="C28" s="30">
        <f ca="1" t="array" ref="C28">INDEX(Data_DBD!$C:$C,$A28)</f>
        <v>4</v>
      </c>
      <c r="D28" s="30">
        <f ca="1" t="array" ref="D28">INDEX(Data_DBD!$D:$D,$A28)</f>
        <v>7</v>
      </c>
      <c r="E28" s="30">
        <f ca="1" t="array" ref="E28">INDEX(Data_DBD!$E:$E,$A28)</f>
        <v>1</v>
      </c>
      <c r="F28" s="30">
        <f ca="1" t="array" ref="F28">INDEX(Data_DBD!$F:$F,$A28)</f>
        <v>1</v>
      </c>
      <c r="H28" s="30">
        <v>101</v>
      </c>
      <c r="I28" s="30">
        <v>42</v>
      </c>
      <c r="J28" s="30">
        <v>5</v>
      </c>
      <c r="K28" s="30">
        <v>18</v>
      </c>
      <c r="L28" s="30">
        <v>0</v>
      </c>
      <c r="M28" s="30">
        <v>3</v>
      </c>
    </row>
    <row r="29" spans="1:13">
      <c r="A29" s="30">
        <f ca="1" t="shared" si="0"/>
        <v>104</v>
      </c>
      <c r="B29" s="30">
        <f ca="1" t="array" ref="B29">INDEX(Data_DBD!$B:$B,$A29)</f>
        <v>37</v>
      </c>
      <c r="C29" s="30">
        <f ca="1" t="array" ref="C29">INDEX(Data_DBD!$C:$C,$A29)</f>
        <v>4</v>
      </c>
      <c r="D29" s="30">
        <f ca="1" t="array" ref="D29">INDEX(Data_DBD!$D:$D,$A29)</f>
        <v>18</v>
      </c>
      <c r="E29" s="30">
        <f ca="1" t="array" ref="E29">INDEX(Data_DBD!$E:$E,$A29)</f>
        <v>1</v>
      </c>
      <c r="F29" s="30">
        <f ca="1" t="array" ref="F29">INDEX(Data_DBD!$F:$F,$A29)</f>
        <v>3</v>
      </c>
      <c r="H29" s="30">
        <v>105</v>
      </c>
      <c r="I29" s="30">
        <v>61</v>
      </c>
      <c r="J29" s="30">
        <v>3</v>
      </c>
      <c r="K29" s="30">
        <v>18</v>
      </c>
      <c r="L29" s="30">
        <v>1</v>
      </c>
      <c r="M29" s="30">
        <v>3</v>
      </c>
    </row>
    <row r="30" spans="1:13">
      <c r="A30" s="30">
        <f ca="1" t="shared" si="0"/>
        <v>148</v>
      </c>
      <c r="B30" s="30">
        <f ca="1" t="array" ref="B30">INDEX(Data_DBD!$B:$B,$A30)</f>
        <v>55</v>
      </c>
      <c r="C30" s="30">
        <f ca="1" t="array" ref="C30">INDEX(Data_DBD!$C:$C,$A30)</f>
        <v>3</v>
      </c>
      <c r="D30" s="30">
        <f ca="1" t="array" ref="D30">INDEX(Data_DBD!$D:$D,$A30)</f>
        <v>21</v>
      </c>
      <c r="E30" s="30">
        <f ca="1" t="array" ref="E30">INDEX(Data_DBD!$E:$E,$A30)</f>
        <v>1</v>
      </c>
      <c r="F30" s="30">
        <f ca="1" t="array" ref="F30">INDEX(Data_DBD!$F:$F,$A30)</f>
        <v>3</v>
      </c>
      <c r="H30" s="30">
        <v>155</v>
      </c>
      <c r="I30" s="30">
        <v>19</v>
      </c>
      <c r="J30" s="30">
        <v>5</v>
      </c>
      <c r="K30" s="30">
        <v>21</v>
      </c>
      <c r="L30" s="30">
        <v>1</v>
      </c>
      <c r="M30" s="30">
        <v>3</v>
      </c>
    </row>
    <row r="31" spans="1:13">
      <c r="A31" s="30">
        <f ca="1" t="shared" si="0"/>
        <v>85</v>
      </c>
      <c r="B31" s="30">
        <f ca="1" t="array" ref="B31">INDEX(Data_DBD!$B:$B,$A31)</f>
        <v>27</v>
      </c>
      <c r="C31" s="30">
        <f ca="1" t="array" ref="C31">INDEX(Data_DBD!$C:$C,$A31)</f>
        <v>9</v>
      </c>
      <c r="D31" s="30">
        <f ca="1" t="array" ref="D31">INDEX(Data_DBD!$D:$D,$A31)</f>
        <v>13</v>
      </c>
      <c r="E31" s="30">
        <f ca="1" t="array" ref="E31">INDEX(Data_DBD!$E:$E,$A31)</f>
        <v>0</v>
      </c>
      <c r="F31" s="30">
        <f ca="1" t="array" ref="F31">INDEX(Data_DBD!$F:$F,$A31)</f>
        <v>2</v>
      </c>
      <c r="H31" s="30">
        <v>49</v>
      </c>
      <c r="I31" s="30">
        <v>64</v>
      </c>
      <c r="J31" s="30">
        <v>5</v>
      </c>
      <c r="K31" s="30">
        <v>13</v>
      </c>
      <c r="L31" s="30">
        <v>0</v>
      </c>
      <c r="M31" s="30">
        <v>2</v>
      </c>
    </row>
    <row r="32" spans="1:13">
      <c r="A32" s="30">
        <f ca="1" t="shared" si="0"/>
        <v>41</v>
      </c>
      <c r="B32" s="30">
        <f ca="1" t="array" ref="B32">INDEX(Data_DBD!$B:$B,$A32)</f>
        <v>8</v>
      </c>
      <c r="C32" s="30">
        <f ca="1" t="array" ref="C32">INDEX(Data_DBD!$C:$C,$A32)</f>
        <v>4</v>
      </c>
      <c r="D32" s="30">
        <f ca="1" t="array" ref="D32">INDEX(Data_DBD!$D:$D,$A32)</f>
        <v>13</v>
      </c>
      <c r="E32" s="30">
        <f ca="1" t="array" ref="E32">INDEX(Data_DBD!$E:$E,$A32)</f>
        <v>0</v>
      </c>
      <c r="F32" s="30">
        <f ca="1" t="array" ref="F32">INDEX(Data_DBD!$F:$F,$A32)</f>
        <v>2</v>
      </c>
      <c r="H32" s="30">
        <v>3</v>
      </c>
      <c r="I32" s="30">
        <v>43</v>
      </c>
      <c r="J32" s="30">
        <v>3</v>
      </c>
      <c r="K32" s="30">
        <v>12</v>
      </c>
      <c r="L32" s="30">
        <v>1</v>
      </c>
      <c r="M32" s="30">
        <v>2</v>
      </c>
    </row>
    <row r="33" spans="1:13">
      <c r="A33" s="30">
        <f ca="1" t="shared" si="0"/>
        <v>37</v>
      </c>
      <c r="B33" s="30">
        <f ca="1" t="array" ref="B33">INDEX(Data_DBD!$B:$B,$A33)</f>
        <v>28</v>
      </c>
      <c r="C33" s="30">
        <f ca="1" t="array" ref="C33">INDEX(Data_DBD!$C:$C,$A33)</f>
        <v>4</v>
      </c>
      <c r="D33" s="30">
        <f ca="1" t="array" ref="D33">INDEX(Data_DBD!$D:$D,$A33)</f>
        <v>4</v>
      </c>
      <c r="E33" s="30">
        <f ca="1" t="array" ref="E33">INDEX(Data_DBD!$E:$E,$A33)</f>
        <v>1</v>
      </c>
      <c r="F33" s="30">
        <f ca="1" t="array" ref="F33">INDEX(Data_DBD!$F:$F,$A33)</f>
        <v>1</v>
      </c>
      <c r="H33" s="30">
        <v>17</v>
      </c>
      <c r="I33" s="30">
        <v>2</v>
      </c>
      <c r="J33" s="30">
        <v>3</v>
      </c>
      <c r="K33" s="30">
        <v>7</v>
      </c>
      <c r="L33" s="30">
        <v>0</v>
      </c>
      <c r="M33" s="30">
        <v>1</v>
      </c>
    </row>
    <row r="34" spans="1:13">
      <c r="A34" s="30">
        <f ca="1" t="shared" si="0"/>
        <v>45</v>
      </c>
      <c r="B34" s="30">
        <f ca="1" t="array" ref="B34">INDEX(Data_DBD!$B:$B,$A34)</f>
        <v>75</v>
      </c>
      <c r="C34" s="30">
        <f ca="1" t="array" ref="C34">INDEX(Data_DBD!$C:$C,$A34)</f>
        <v>3</v>
      </c>
      <c r="D34" s="30">
        <f ca="1" t="array" ref="D34">INDEX(Data_DBD!$D:$D,$A34)</f>
        <v>13</v>
      </c>
      <c r="E34" s="30">
        <f ca="1" t="array" ref="E34">INDEX(Data_DBD!$E:$E,$A34)</f>
        <v>1</v>
      </c>
      <c r="F34" s="30">
        <f ca="1" t="array" ref="F34">INDEX(Data_DBD!$F:$F,$A34)</f>
        <v>2</v>
      </c>
      <c r="H34" s="30">
        <v>86</v>
      </c>
      <c r="I34" s="30">
        <v>23</v>
      </c>
      <c r="J34" s="30">
        <v>3</v>
      </c>
      <c r="K34" s="30">
        <v>13</v>
      </c>
      <c r="L34" s="30">
        <v>0</v>
      </c>
      <c r="M34" s="30">
        <v>2</v>
      </c>
    </row>
    <row r="35" spans="1:13">
      <c r="A35" s="30">
        <f ca="1" t="shared" si="0"/>
        <v>53</v>
      </c>
      <c r="B35" s="30">
        <f ca="1" t="array" ref="B35">INDEX(Data_DBD!$B:$B,$A35)</f>
        <v>35</v>
      </c>
      <c r="C35" s="30">
        <f ca="1" t="array" ref="C35">INDEX(Data_DBD!$C:$C,$A35)</f>
        <v>4</v>
      </c>
      <c r="D35" s="30">
        <f ca="1" t="array" ref="D35">INDEX(Data_DBD!$D:$D,$A35)</f>
        <v>15</v>
      </c>
      <c r="E35" s="30">
        <f ca="1" t="array" ref="E35">INDEX(Data_DBD!$E:$E,$A35)</f>
        <v>1</v>
      </c>
      <c r="F35" s="30">
        <f ca="1" t="array" ref="F35">INDEX(Data_DBD!$F:$F,$A35)</f>
        <v>2</v>
      </c>
      <c r="H35" s="30">
        <v>122</v>
      </c>
      <c r="I35" s="30">
        <v>28</v>
      </c>
      <c r="J35" s="30">
        <v>3</v>
      </c>
      <c r="K35" s="30">
        <v>33</v>
      </c>
      <c r="L35" s="30">
        <v>1</v>
      </c>
      <c r="M35" s="30">
        <v>3</v>
      </c>
    </row>
    <row r="36" spans="1:13">
      <c r="A36" s="30">
        <f ca="1" t="shared" si="0"/>
        <v>43</v>
      </c>
      <c r="B36" s="30">
        <f ca="1" t="array" ref="B36">INDEX(Data_DBD!$B:$B,$A36)</f>
        <v>15</v>
      </c>
      <c r="C36" s="30">
        <f ca="1" t="array" ref="C36">INDEX(Data_DBD!$C:$C,$A36)</f>
        <v>4</v>
      </c>
      <c r="D36" s="30">
        <f ca="1" t="array" ref="D36">INDEX(Data_DBD!$D:$D,$A36)</f>
        <v>13</v>
      </c>
      <c r="E36" s="30">
        <f ca="1" t="array" ref="E36">INDEX(Data_DBD!$E:$E,$A36)</f>
        <v>0</v>
      </c>
      <c r="F36" s="30">
        <f ca="1" t="array" ref="F36">INDEX(Data_DBD!$F:$F,$A36)</f>
        <v>2</v>
      </c>
      <c r="H36" s="30">
        <v>36</v>
      </c>
      <c r="I36" s="30">
        <v>27</v>
      </c>
      <c r="J36" s="30">
        <v>1</v>
      </c>
      <c r="K36" s="30">
        <v>4</v>
      </c>
      <c r="L36" s="30">
        <v>1</v>
      </c>
      <c r="M36" s="30">
        <v>1</v>
      </c>
    </row>
    <row r="37" spans="1:13">
      <c r="A37" s="30">
        <f ca="1" t="shared" si="0"/>
        <v>48</v>
      </c>
      <c r="B37" s="30">
        <f ca="1" t="array" ref="B37">INDEX(Data_DBD!$B:$B,$A37)</f>
        <v>50</v>
      </c>
      <c r="C37" s="30">
        <f ca="1" t="array" ref="C37">INDEX(Data_DBD!$C:$C,$A37)</f>
        <v>5</v>
      </c>
      <c r="D37" s="30">
        <f ca="1" t="array" ref="D37">INDEX(Data_DBD!$D:$D,$A37)</f>
        <v>13</v>
      </c>
      <c r="E37" s="30">
        <f ca="1" t="array" ref="E37">INDEX(Data_DBD!$E:$E,$A37)</f>
        <v>1</v>
      </c>
      <c r="F37" s="30">
        <f ca="1" t="array" ref="F37">INDEX(Data_DBD!$F:$F,$A37)</f>
        <v>2</v>
      </c>
      <c r="H37" s="30">
        <v>49</v>
      </c>
      <c r="I37" s="30">
        <v>64</v>
      </c>
      <c r="J37" s="30">
        <v>5</v>
      </c>
      <c r="K37" s="30">
        <v>13</v>
      </c>
      <c r="L37" s="30">
        <v>0</v>
      </c>
      <c r="M37" s="30">
        <v>2</v>
      </c>
    </row>
    <row r="38" spans="1:13">
      <c r="A38" s="30">
        <f ca="1" t="shared" si="0"/>
        <v>67</v>
      </c>
      <c r="B38" s="30">
        <f ca="1" t="array" ref="B38">INDEX(Data_DBD!$B:$B,$A38)</f>
        <v>21</v>
      </c>
      <c r="C38" s="30">
        <f ca="1" t="array" ref="C38">INDEX(Data_DBD!$C:$C,$A38)</f>
        <v>3</v>
      </c>
      <c r="D38" s="30">
        <f ca="1" t="array" ref="D38">INDEX(Data_DBD!$D:$D,$A38)</f>
        <v>10</v>
      </c>
      <c r="E38" s="30">
        <f ca="1" t="array" ref="E38">INDEX(Data_DBD!$E:$E,$A38)</f>
        <v>1</v>
      </c>
      <c r="F38" s="30">
        <f ca="1" t="array" ref="F38">INDEX(Data_DBD!$F:$F,$A38)</f>
        <v>2</v>
      </c>
      <c r="H38" s="30">
        <v>99</v>
      </c>
      <c r="I38" s="30">
        <v>4</v>
      </c>
      <c r="J38" s="30">
        <v>2</v>
      </c>
      <c r="K38" s="30">
        <v>18</v>
      </c>
      <c r="L38" s="30">
        <v>1</v>
      </c>
      <c r="M38" s="30">
        <v>3</v>
      </c>
    </row>
    <row r="39" spans="1:13">
      <c r="A39" s="30">
        <f ca="1" t="shared" si="0"/>
        <v>45</v>
      </c>
      <c r="B39" s="30">
        <f ca="1" t="array" ref="B39">INDEX(Data_DBD!$B:$B,$A39)</f>
        <v>75</v>
      </c>
      <c r="C39" s="30">
        <f ca="1" t="array" ref="C39">INDEX(Data_DBD!$C:$C,$A39)</f>
        <v>3</v>
      </c>
      <c r="D39" s="30">
        <f ca="1" t="array" ref="D39">INDEX(Data_DBD!$D:$D,$A39)</f>
        <v>13</v>
      </c>
      <c r="E39" s="30">
        <f ca="1" t="array" ref="E39">INDEX(Data_DBD!$E:$E,$A39)</f>
        <v>1</v>
      </c>
      <c r="F39" s="30">
        <f ca="1" t="array" ref="F39">INDEX(Data_DBD!$F:$F,$A39)</f>
        <v>2</v>
      </c>
      <c r="H39" s="30">
        <v>60</v>
      </c>
      <c r="I39" s="30">
        <v>68</v>
      </c>
      <c r="J39" s="30">
        <v>4</v>
      </c>
      <c r="K39" s="30">
        <v>15</v>
      </c>
      <c r="L39" s="30">
        <v>0</v>
      </c>
      <c r="M39" s="30">
        <v>2</v>
      </c>
    </row>
    <row r="40" spans="1:13">
      <c r="A40" s="30">
        <f ca="1" t="shared" si="0"/>
        <v>31</v>
      </c>
      <c r="B40" s="30">
        <f ca="1" t="array" ref="B40">INDEX(Data_DBD!$B:$B,$A40)</f>
        <v>64</v>
      </c>
      <c r="C40" s="30">
        <f ca="1" t="array" ref="C40">INDEX(Data_DBD!$C:$C,$A40)</f>
        <v>4</v>
      </c>
      <c r="D40" s="30">
        <f ca="1" t="array" ref="D40">INDEX(Data_DBD!$D:$D,$A40)</f>
        <v>14</v>
      </c>
      <c r="E40" s="30">
        <f ca="1" t="array" ref="E40">INDEX(Data_DBD!$E:$E,$A40)</f>
        <v>1</v>
      </c>
      <c r="F40" s="30">
        <f ca="1" t="array" ref="F40">INDEX(Data_DBD!$F:$F,$A40)</f>
        <v>2</v>
      </c>
      <c r="H40" s="30">
        <v>39</v>
      </c>
      <c r="I40" s="30">
        <v>12</v>
      </c>
      <c r="J40" s="30">
        <v>5</v>
      </c>
      <c r="K40" s="30">
        <v>13</v>
      </c>
      <c r="L40" s="30">
        <v>1</v>
      </c>
      <c r="M40" s="30">
        <v>2</v>
      </c>
    </row>
    <row r="41" spans="1:13">
      <c r="A41" s="30">
        <f ca="1" t="shared" si="0"/>
        <v>107</v>
      </c>
      <c r="B41" s="30">
        <f ca="1" t="array" ref="B41">INDEX(Data_DBD!$B:$B,$A41)</f>
        <v>48</v>
      </c>
      <c r="C41" s="30">
        <f ca="1" t="array" ref="C41">INDEX(Data_DBD!$C:$C,$A41)</f>
        <v>5</v>
      </c>
      <c r="D41" s="30">
        <f ca="1" t="array" ref="D41">INDEX(Data_DBD!$D:$D,$A41)</f>
        <v>18</v>
      </c>
      <c r="E41" s="30">
        <f ca="1" t="array" ref="E41">INDEX(Data_DBD!$E:$E,$A41)</f>
        <v>0</v>
      </c>
      <c r="F41" s="30">
        <f ca="1" t="array" ref="F41">INDEX(Data_DBD!$F:$F,$A41)</f>
        <v>3</v>
      </c>
      <c r="H41" s="30">
        <v>54</v>
      </c>
      <c r="I41" s="30">
        <v>7</v>
      </c>
      <c r="J41" s="30">
        <v>3</v>
      </c>
      <c r="K41" s="30">
        <v>15</v>
      </c>
      <c r="L41" s="30">
        <v>0</v>
      </c>
      <c r="M41" s="30">
        <v>2</v>
      </c>
    </row>
    <row r="42" spans="1:13">
      <c r="A42" s="30">
        <f ca="1" t="shared" si="0"/>
        <v>85</v>
      </c>
      <c r="B42" s="30">
        <f ca="1" t="array" ref="B42">INDEX(Data_DBD!$B:$B,$A42)</f>
        <v>27</v>
      </c>
      <c r="C42" s="30">
        <f ca="1" t="array" ref="C42">INDEX(Data_DBD!$C:$C,$A42)</f>
        <v>9</v>
      </c>
      <c r="D42" s="30">
        <f ca="1" t="array" ref="D42">INDEX(Data_DBD!$D:$D,$A42)</f>
        <v>13</v>
      </c>
      <c r="E42" s="30">
        <f ca="1" t="array" ref="E42">INDEX(Data_DBD!$E:$E,$A42)</f>
        <v>0</v>
      </c>
      <c r="F42" s="30">
        <f ca="1" t="array" ref="F42">INDEX(Data_DBD!$F:$F,$A42)</f>
        <v>2</v>
      </c>
      <c r="H42" s="30">
        <v>72</v>
      </c>
      <c r="I42" s="30">
        <v>3</v>
      </c>
      <c r="J42" s="30">
        <v>5</v>
      </c>
      <c r="K42" s="30">
        <v>10</v>
      </c>
      <c r="L42" s="30">
        <v>1</v>
      </c>
      <c r="M42" s="30">
        <v>2</v>
      </c>
    </row>
    <row r="43" spans="1:13">
      <c r="A43" s="30">
        <f ca="1" t="shared" si="0"/>
        <v>134</v>
      </c>
      <c r="B43" s="30">
        <f ca="1" t="array" ref="B43">INDEX(Data_DBD!$B:$B,$A43)</f>
        <v>4</v>
      </c>
      <c r="C43" s="30">
        <f ca="1" t="array" ref="C43">INDEX(Data_DBD!$C:$C,$A43)</f>
        <v>2</v>
      </c>
      <c r="D43" s="30">
        <f ca="1" t="array" ref="D43">INDEX(Data_DBD!$D:$D,$A43)</f>
        <v>33</v>
      </c>
      <c r="E43" s="30">
        <f ca="1" t="array" ref="E43">INDEX(Data_DBD!$E:$E,$A43)</f>
        <v>1</v>
      </c>
      <c r="F43" s="30">
        <f ca="1" t="array" ref="F43">INDEX(Data_DBD!$F:$F,$A43)</f>
        <v>3</v>
      </c>
      <c r="H43" s="30">
        <v>111</v>
      </c>
      <c r="I43" s="30">
        <v>25</v>
      </c>
      <c r="J43" s="30">
        <v>4</v>
      </c>
      <c r="K43" s="30">
        <v>33</v>
      </c>
      <c r="L43" s="30">
        <v>0</v>
      </c>
      <c r="M43" s="30">
        <v>3</v>
      </c>
    </row>
    <row r="44" spans="1:13">
      <c r="A44" s="30">
        <f ca="1" t="shared" si="0"/>
        <v>57</v>
      </c>
      <c r="B44" s="30">
        <f ca="1" t="array" ref="B44">INDEX(Data_DBD!$B:$B,$A44)</f>
        <v>2</v>
      </c>
      <c r="C44" s="30">
        <f ca="1" t="array" ref="C44">INDEX(Data_DBD!$C:$C,$A44)</f>
        <v>2</v>
      </c>
      <c r="D44" s="30">
        <f ca="1" t="array" ref="D44">INDEX(Data_DBD!$D:$D,$A44)</f>
        <v>15</v>
      </c>
      <c r="E44" s="30">
        <f ca="1" t="array" ref="E44">INDEX(Data_DBD!$E:$E,$A44)</f>
        <v>1</v>
      </c>
      <c r="F44" s="30">
        <f ca="1" t="array" ref="F44">INDEX(Data_DBD!$F:$F,$A44)</f>
        <v>2</v>
      </c>
      <c r="H44" s="30">
        <v>46</v>
      </c>
      <c r="I44" s="30">
        <v>62</v>
      </c>
      <c r="J44" s="30">
        <v>2</v>
      </c>
      <c r="K44" s="30">
        <v>13</v>
      </c>
      <c r="L44" s="30">
        <v>0</v>
      </c>
      <c r="M44" s="30">
        <v>2</v>
      </c>
    </row>
    <row r="45" spans="1:13">
      <c r="A45" s="30">
        <f ca="1" t="shared" si="0"/>
        <v>61</v>
      </c>
      <c r="B45" s="30">
        <f ca="1" t="array" ref="B45">INDEX(Data_DBD!$B:$B,$A45)</f>
        <v>29</v>
      </c>
      <c r="C45" s="30">
        <f ca="1" t="array" ref="C45">INDEX(Data_DBD!$C:$C,$A45)</f>
        <v>3</v>
      </c>
      <c r="D45" s="30">
        <f ca="1" t="array" ref="D45">INDEX(Data_DBD!$D:$D,$A45)</f>
        <v>15</v>
      </c>
      <c r="E45" s="30">
        <f ca="1" t="array" ref="E45">INDEX(Data_DBD!$E:$E,$A45)</f>
        <v>1</v>
      </c>
      <c r="F45" s="30">
        <f ca="1" t="array" ref="F45">INDEX(Data_DBD!$F:$F,$A45)</f>
        <v>2</v>
      </c>
      <c r="H45" s="30">
        <v>67</v>
      </c>
      <c r="I45" s="30">
        <v>21</v>
      </c>
      <c r="J45" s="30">
        <v>3</v>
      </c>
      <c r="K45" s="30">
        <v>10</v>
      </c>
      <c r="L45" s="30">
        <v>1</v>
      </c>
      <c r="M45" s="30">
        <v>2</v>
      </c>
    </row>
    <row r="46" spans="1:13">
      <c r="A46" s="30">
        <f ca="1" t="shared" si="0"/>
        <v>57</v>
      </c>
      <c r="B46" s="30">
        <f ca="1" t="array" ref="B46">INDEX(Data_DBD!$B:$B,$A46)</f>
        <v>2</v>
      </c>
      <c r="C46" s="30">
        <f ca="1" t="array" ref="C46">INDEX(Data_DBD!$C:$C,$A46)</f>
        <v>2</v>
      </c>
      <c r="D46" s="30">
        <f ca="1" t="array" ref="D46">INDEX(Data_DBD!$D:$D,$A46)</f>
        <v>15</v>
      </c>
      <c r="E46" s="30">
        <f ca="1" t="array" ref="E46">INDEX(Data_DBD!$E:$E,$A46)</f>
        <v>1</v>
      </c>
      <c r="F46" s="30">
        <f ca="1" t="array" ref="F46">INDEX(Data_DBD!$F:$F,$A46)</f>
        <v>2</v>
      </c>
      <c r="H46" s="30">
        <v>37</v>
      </c>
      <c r="I46" s="30">
        <v>28</v>
      </c>
      <c r="J46" s="30">
        <v>4</v>
      </c>
      <c r="K46" s="30">
        <v>4</v>
      </c>
      <c r="L46" s="30">
        <v>1</v>
      </c>
      <c r="M46" s="30">
        <v>1</v>
      </c>
    </row>
    <row r="47" spans="1:13">
      <c r="A47" s="30">
        <f ca="1" t="shared" si="0"/>
        <v>130</v>
      </c>
      <c r="B47" s="30">
        <f ca="1" t="array" ref="B47">INDEX(Data_DBD!$B:$B,$A47)</f>
        <v>12</v>
      </c>
      <c r="C47" s="30">
        <f ca="1" t="array" ref="C47">INDEX(Data_DBD!$C:$C,$A47)</f>
        <v>4</v>
      </c>
      <c r="D47" s="30">
        <f ca="1" t="array" ref="D47">INDEX(Data_DBD!$D:$D,$A47)</f>
        <v>33</v>
      </c>
      <c r="E47" s="30">
        <f ca="1" t="array" ref="E47">INDEX(Data_DBD!$E:$E,$A47)</f>
        <v>0</v>
      </c>
      <c r="F47" s="30">
        <f ca="1" t="array" ref="F47">INDEX(Data_DBD!$F:$F,$A47)</f>
        <v>3</v>
      </c>
      <c r="H47" s="30">
        <v>71</v>
      </c>
      <c r="I47" s="30">
        <v>84</v>
      </c>
      <c r="J47" s="30">
        <v>3</v>
      </c>
      <c r="K47" s="30">
        <v>10</v>
      </c>
      <c r="L47" s="30">
        <v>0</v>
      </c>
      <c r="M47" s="30">
        <v>2</v>
      </c>
    </row>
    <row r="48" spans="1:13">
      <c r="A48" s="30">
        <f ca="1" t="shared" si="0"/>
        <v>53</v>
      </c>
      <c r="B48" s="30">
        <f ca="1" t="array" ref="B48">INDEX(Data_DBD!$B:$B,$A48)</f>
        <v>35</v>
      </c>
      <c r="C48" s="30">
        <f ca="1" t="array" ref="C48">INDEX(Data_DBD!$C:$C,$A48)</f>
        <v>4</v>
      </c>
      <c r="D48" s="30">
        <f ca="1" t="array" ref="D48">INDEX(Data_DBD!$D:$D,$A48)</f>
        <v>15</v>
      </c>
      <c r="E48" s="30">
        <f ca="1" t="array" ref="E48">INDEX(Data_DBD!$E:$E,$A48)</f>
        <v>1</v>
      </c>
      <c r="F48" s="30">
        <f ca="1" t="array" ref="F48">INDEX(Data_DBD!$F:$F,$A48)</f>
        <v>2</v>
      </c>
      <c r="H48" s="30">
        <v>150</v>
      </c>
      <c r="I48" s="30">
        <v>61</v>
      </c>
      <c r="J48" s="30">
        <v>5</v>
      </c>
      <c r="K48" s="30">
        <v>21</v>
      </c>
      <c r="L48" s="30">
        <v>1</v>
      </c>
      <c r="M48" s="30">
        <v>3</v>
      </c>
    </row>
    <row r="49" spans="1:13">
      <c r="A49" s="30">
        <f ca="1" t="shared" si="0"/>
        <v>42</v>
      </c>
      <c r="B49" s="30">
        <f ca="1" t="array" ref="B49">INDEX(Data_DBD!$B:$B,$A49)</f>
        <v>21</v>
      </c>
      <c r="C49" s="30">
        <f ca="1" t="array" ref="C49">INDEX(Data_DBD!$C:$C,$A49)</f>
        <v>5</v>
      </c>
      <c r="D49" s="30">
        <f ca="1" t="array" ref="D49">INDEX(Data_DBD!$D:$D,$A49)</f>
        <v>13</v>
      </c>
      <c r="E49" s="30">
        <f ca="1" t="array" ref="E49">INDEX(Data_DBD!$E:$E,$A49)</f>
        <v>1</v>
      </c>
      <c r="F49" s="30">
        <f ca="1" t="array" ref="F49">INDEX(Data_DBD!$F:$F,$A49)</f>
        <v>2</v>
      </c>
      <c r="H49" s="30">
        <v>26</v>
      </c>
      <c r="I49" s="30">
        <v>75</v>
      </c>
      <c r="J49" s="30">
        <v>4</v>
      </c>
      <c r="K49" s="30">
        <v>14</v>
      </c>
      <c r="L49" s="30">
        <v>1</v>
      </c>
      <c r="M49" s="30">
        <v>2</v>
      </c>
    </row>
    <row r="50" spans="1:13">
      <c r="A50" s="30">
        <f ca="1" t="shared" si="0"/>
        <v>55</v>
      </c>
      <c r="B50" s="30">
        <f ca="1" t="array" ref="B50">INDEX(Data_DBD!$B:$B,$A50)</f>
        <v>7</v>
      </c>
      <c r="C50" s="30">
        <f ca="1" t="array" ref="C50">INDEX(Data_DBD!$C:$C,$A50)</f>
        <v>4</v>
      </c>
      <c r="D50" s="30">
        <f ca="1" t="array" ref="D50">INDEX(Data_DBD!$D:$D,$A50)</f>
        <v>15</v>
      </c>
      <c r="E50" s="30">
        <f ca="1" t="array" ref="E50">INDEX(Data_DBD!$E:$E,$A50)</f>
        <v>1</v>
      </c>
      <c r="F50" s="30">
        <f ca="1" t="array" ref="F50">INDEX(Data_DBD!$F:$F,$A50)</f>
        <v>2</v>
      </c>
      <c r="H50" s="30">
        <v>30</v>
      </c>
      <c r="I50" s="30" t="s">
        <v>36</v>
      </c>
      <c r="J50" s="30">
        <v>2</v>
      </c>
      <c r="K50" s="30">
        <v>14</v>
      </c>
      <c r="L50" s="30">
        <v>1</v>
      </c>
      <c r="M50" s="30">
        <v>2</v>
      </c>
    </row>
    <row r="51" spans="1:13">
      <c r="A51" s="30">
        <f ca="1" t="shared" si="0"/>
        <v>130</v>
      </c>
      <c r="B51" s="30">
        <f ca="1" t="array" ref="B51">INDEX(Data_DBD!$B:$B,$A51)</f>
        <v>12</v>
      </c>
      <c r="C51" s="30">
        <f ca="1" t="array" ref="C51">INDEX(Data_DBD!$C:$C,$A51)</f>
        <v>4</v>
      </c>
      <c r="D51" s="30">
        <f ca="1" t="array" ref="D51">INDEX(Data_DBD!$D:$D,$A51)</f>
        <v>33</v>
      </c>
      <c r="E51" s="30">
        <f ca="1" t="array" ref="E51">INDEX(Data_DBD!$E:$E,$A51)</f>
        <v>0</v>
      </c>
      <c r="F51" s="30">
        <f ca="1" t="array" ref="F51">INDEX(Data_DBD!$F:$F,$A51)</f>
        <v>3</v>
      </c>
      <c r="H51" s="30">
        <v>163</v>
      </c>
      <c r="I51" s="30">
        <v>34</v>
      </c>
      <c r="J51" s="30">
        <v>4</v>
      </c>
      <c r="K51" s="30">
        <v>3</v>
      </c>
      <c r="L51" s="30">
        <v>1</v>
      </c>
      <c r="M51" s="30">
        <v>1</v>
      </c>
    </row>
    <row r="52" spans="1:13">
      <c r="A52" s="30">
        <f ca="1" t="shared" si="0"/>
        <v>43</v>
      </c>
      <c r="B52" s="30">
        <f ca="1" t="array" ref="B52">INDEX(Data_DBD!$B:$B,$A52)</f>
        <v>15</v>
      </c>
      <c r="C52" s="30">
        <f ca="1" t="array" ref="C52">INDEX(Data_DBD!$C:$C,$A52)</f>
        <v>4</v>
      </c>
      <c r="D52" s="30">
        <f ca="1" t="array" ref="D52">INDEX(Data_DBD!$D:$D,$A52)</f>
        <v>13</v>
      </c>
      <c r="E52" s="30">
        <f ca="1" t="array" ref="E52">INDEX(Data_DBD!$E:$E,$A52)</f>
        <v>0</v>
      </c>
      <c r="F52" s="30">
        <f ca="1" t="array" ref="F52">INDEX(Data_DBD!$F:$F,$A52)</f>
        <v>2</v>
      </c>
      <c r="H52" s="30">
        <v>155</v>
      </c>
      <c r="I52" s="30">
        <v>19</v>
      </c>
      <c r="J52" s="30">
        <v>5</v>
      </c>
      <c r="K52" s="30">
        <v>21</v>
      </c>
      <c r="L52" s="30">
        <v>1</v>
      </c>
      <c r="M52" s="30">
        <v>3</v>
      </c>
    </row>
    <row r="53" spans="1:13">
      <c r="A53" s="30">
        <f ca="1" t="shared" si="0"/>
        <v>48</v>
      </c>
      <c r="B53" s="30">
        <f ca="1" t="array" ref="B53">INDEX(Data_DBD!$B:$B,$A53)</f>
        <v>50</v>
      </c>
      <c r="C53" s="30">
        <f ca="1" t="array" ref="C53">INDEX(Data_DBD!$C:$C,$A53)</f>
        <v>5</v>
      </c>
      <c r="D53" s="30">
        <f ca="1" t="array" ref="D53">INDEX(Data_DBD!$D:$D,$A53)</f>
        <v>13</v>
      </c>
      <c r="E53" s="30">
        <f ca="1" t="array" ref="E53">INDEX(Data_DBD!$E:$E,$A53)</f>
        <v>1</v>
      </c>
      <c r="F53" s="30">
        <f ca="1" t="array" ref="F53">INDEX(Data_DBD!$F:$F,$A53)</f>
        <v>2</v>
      </c>
      <c r="H53" s="30">
        <v>5</v>
      </c>
      <c r="I53" s="30">
        <v>18</v>
      </c>
      <c r="J53" s="30">
        <v>2</v>
      </c>
      <c r="K53" s="30">
        <v>12</v>
      </c>
      <c r="L53" s="30">
        <v>1</v>
      </c>
      <c r="M53" s="30">
        <v>2</v>
      </c>
    </row>
    <row r="54" spans="1:13">
      <c r="A54" s="30">
        <f ca="1" t="shared" si="0"/>
        <v>63</v>
      </c>
      <c r="B54" s="30">
        <f ca="1" t="array" ref="B54">INDEX(Data_DBD!$B:$B,$A54)</f>
        <v>25</v>
      </c>
      <c r="C54" s="30">
        <f ca="1" t="array" ref="C54">INDEX(Data_DBD!$C:$C,$A54)</f>
        <v>3</v>
      </c>
      <c r="D54" s="30">
        <f ca="1" t="array" ref="D54">INDEX(Data_DBD!$D:$D,$A54)</f>
        <v>15</v>
      </c>
      <c r="E54" s="30">
        <f ca="1" t="array" ref="E54">INDEX(Data_DBD!$E:$E,$A54)</f>
        <v>0</v>
      </c>
      <c r="F54" s="30">
        <f ca="1" t="array" ref="F54">INDEX(Data_DBD!$F:$F,$A54)</f>
        <v>2</v>
      </c>
      <c r="H54" s="30">
        <v>103</v>
      </c>
      <c r="I54" s="30">
        <v>22</v>
      </c>
      <c r="J54" s="30">
        <v>5</v>
      </c>
      <c r="K54" s="30">
        <v>18</v>
      </c>
      <c r="L54" s="30">
        <v>0</v>
      </c>
      <c r="M54" s="30">
        <v>3</v>
      </c>
    </row>
    <row r="55" spans="1:13">
      <c r="A55" s="30">
        <f ca="1" t="shared" si="0"/>
        <v>113</v>
      </c>
      <c r="B55" s="30">
        <f ca="1" t="array" ref="B55">INDEX(Data_DBD!$B:$B,$A55)</f>
        <v>69</v>
      </c>
      <c r="C55" s="30">
        <f ca="1" t="array" ref="C55">INDEX(Data_DBD!$C:$C,$A55)</f>
        <v>1</v>
      </c>
      <c r="D55" s="30">
        <f ca="1" t="array" ref="D55">INDEX(Data_DBD!$D:$D,$A55)</f>
        <v>33</v>
      </c>
      <c r="E55" s="30">
        <f ca="1" t="array" ref="E55">INDEX(Data_DBD!$E:$E,$A55)</f>
        <v>1</v>
      </c>
      <c r="F55" s="30">
        <f ca="1" t="array" ref="F55">INDEX(Data_DBD!$F:$F,$A55)</f>
        <v>3</v>
      </c>
      <c r="H55" s="30">
        <v>67</v>
      </c>
      <c r="I55" s="30">
        <v>21</v>
      </c>
      <c r="J55" s="30">
        <v>3</v>
      </c>
      <c r="K55" s="30">
        <v>10</v>
      </c>
      <c r="L55" s="30">
        <v>1</v>
      </c>
      <c r="M55" s="30">
        <v>2</v>
      </c>
    </row>
    <row r="56" spans="1:13">
      <c r="A56" s="30">
        <f ca="1" t="shared" si="0"/>
        <v>48</v>
      </c>
      <c r="B56" s="30">
        <f ca="1" t="array" ref="B56">INDEX(Data_DBD!$B:$B,$A56)</f>
        <v>50</v>
      </c>
      <c r="C56" s="30">
        <f ca="1" t="array" ref="C56">INDEX(Data_DBD!$C:$C,$A56)</f>
        <v>5</v>
      </c>
      <c r="D56" s="30">
        <f ca="1" t="array" ref="D56">INDEX(Data_DBD!$D:$D,$A56)</f>
        <v>13</v>
      </c>
      <c r="E56" s="30">
        <f ca="1" t="array" ref="E56">INDEX(Data_DBD!$E:$E,$A56)</f>
        <v>1</v>
      </c>
      <c r="F56" s="30">
        <f ca="1" t="array" ref="F56">INDEX(Data_DBD!$F:$F,$A56)</f>
        <v>2</v>
      </c>
      <c r="H56" s="30">
        <v>72</v>
      </c>
      <c r="I56" s="30">
        <v>3</v>
      </c>
      <c r="J56" s="30">
        <v>5</v>
      </c>
      <c r="K56" s="30">
        <v>10</v>
      </c>
      <c r="L56" s="30">
        <v>1</v>
      </c>
      <c r="M56" s="30">
        <v>2</v>
      </c>
    </row>
    <row r="57" spans="1:13">
      <c r="A57" s="30">
        <f ca="1" t="shared" si="0"/>
        <v>64</v>
      </c>
      <c r="B57" s="30">
        <f ca="1" t="array" ref="B57">INDEX(Data_DBD!$B:$B,$A57)</f>
        <v>35</v>
      </c>
      <c r="C57" s="30">
        <f ca="1" t="array" ref="C57">INDEX(Data_DBD!$C:$C,$A57)</f>
        <v>1</v>
      </c>
      <c r="D57" s="30">
        <f ca="1" t="array" ref="D57">INDEX(Data_DBD!$D:$D,$A57)</f>
        <v>15</v>
      </c>
      <c r="E57" s="30">
        <f ca="1" t="array" ref="E57">INDEX(Data_DBD!$E:$E,$A57)</f>
        <v>0</v>
      </c>
      <c r="F57" s="30">
        <f ca="1" t="array" ref="F57">INDEX(Data_DBD!$F:$F,$A57)</f>
        <v>2</v>
      </c>
      <c r="H57" s="30">
        <v>140</v>
      </c>
      <c r="I57" s="30">
        <v>74</v>
      </c>
      <c r="J57" s="30">
        <v>5</v>
      </c>
      <c r="K57" s="30">
        <v>21</v>
      </c>
      <c r="L57" s="30">
        <v>1</v>
      </c>
      <c r="M57" s="30">
        <v>3</v>
      </c>
    </row>
    <row r="58" spans="1:13">
      <c r="A58" s="30">
        <f ca="1" t="shared" si="0"/>
        <v>104</v>
      </c>
      <c r="B58" s="30">
        <f ca="1" t="array" ref="B58">INDEX(Data_DBD!$B:$B,$A58)</f>
        <v>37</v>
      </c>
      <c r="C58" s="30">
        <f ca="1" t="array" ref="C58">INDEX(Data_DBD!$C:$C,$A58)</f>
        <v>4</v>
      </c>
      <c r="D58" s="30">
        <f ca="1" t="array" ref="D58">INDEX(Data_DBD!$D:$D,$A58)</f>
        <v>18</v>
      </c>
      <c r="E58" s="30">
        <f ca="1" t="array" ref="E58">INDEX(Data_DBD!$E:$E,$A58)</f>
        <v>1</v>
      </c>
      <c r="F58" s="30">
        <f ca="1" t="array" ref="F58">INDEX(Data_DBD!$F:$F,$A58)</f>
        <v>3</v>
      </c>
      <c r="H58" s="30">
        <v>78</v>
      </c>
      <c r="I58" s="30">
        <v>6</v>
      </c>
      <c r="J58" s="30">
        <v>3</v>
      </c>
      <c r="K58" s="30">
        <v>13</v>
      </c>
      <c r="L58" s="30">
        <v>0</v>
      </c>
      <c r="M58" s="30">
        <v>2</v>
      </c>
    </row>
    <row r="59" spans="1:13">
      <c r="A59" s="30">
        <f ca="1" t="shared" si="0"/>
        <v>12</v>
      </c>
      <c r="B59" s="30">
        <f ca="1" t="array" ref="B59">INDEX(Data_DBD!$B:$B,$A59)</f>
        <v>23</v>
      </c>
      <c r="C59" s="30">
        <f ca="1" t="array" ref="C59">INDEX(Data_DBD!$C:$C,$A59)</f>
        <v>3</v>
      </c>
      <c r="D59" s="30">
        <f ca="1" t="array" ref="D59">INDEX(Data_DBD!$D:$D,$A59)</f>
        <v>12</v>
      </c>
      <c r="E59" s="30">
        <f ca="1" t="array" ref="E59">INDEX(Data_DBD!$E:$E,$A59)</f>
        <v>0</v>
      </c>
      <c r="F59" s="30">
        <f ca="1" t="array" ref="F59">INDEX(Data_DBD!$F:$F,$A59)</f>
        <v>2</v>
      </c>
      <c r="H59" s="30">
        <v>76</v>
      </c>
      <c r="I59" s="30">
        <v>70</v>
      </c>
      <c r="J59" s="30">
        <v>2</v>
      </c>
      <c r="K59" s="30">
        <v>10</v>
      </c>
      <c r="L59" s="30">
        <v>0</v>
      </c>
      <c r="M59" s="30">
        <v>2</v>
      </c>
    </row>
    <row r="60" spans="1:13">
      <c r="A60" s="30">
        <f ca="1" t="shared" si="0"/>
        <v>21</v>
      </c>
      <c r="B60" s="30">
        <f ca="1" t="array" ref="B60">INDEX(Data_DBD!$B:$B,$A60)</f>
        <v>10</v>
      </c>
      <c r="C60" s="30">
        <f ca="1" t="array" ref="C60">INDEX(Data_DBD!$C:$C,$A60)</f>
        <v>5</v>
      </c>
      <c r="D60" s="30">
        <f ca="1" t="array" ref="D60">INDEX(Data_DBD!$D:$D,$A60)</f>
        <v>14</v>
      </c>
      <c r="E60" s="30">
        <f ca="1" t="array" ref="E60">INDEX(Data_DBD!$E:$E,$A60)</f>
        <v>1</v>
      </c>
      <c r="F60" s="30">
        <f ca="1" t="array" ref="F60">INDEX(Data_DBD!$F:$F,$A60)</f>
        <v>2</v>
      </c>
      <c r="H60" s="30">
        <v>63</v>
      </c>
      <c r="I60" s="30">
        <v>25</v>
      </c>
      <c r="J60" s="30">
        <v>3</v>
      </c>
      <c r="K60" s="30">
        <v>15</v>
      </c>
      <c r="L60" s="30">
        <v>0</v>
      </c>
      <c r="M60" s="30">
        <v>2</v>
      </c>
    </row>
    <row r="61" spans="1:13">
      <c r="A61" s="30">
        <f ca="1" t="shared" si="0"/>
        <v>160</v>
      </c>
      <c r="B61" s="30">
        <f ca="1" t="array" ref="B61">INDEX(Data_DBD!$B:$B,$A61)</f>
        <v>16</v>
      </c>
      <c r="C61" s="30">
        <f ca="1" t="array" ref="C61">INDEX(Data_DBD!$C:$C,$A61)</f>
        <v>3</v>
      </c>
      <c r="D61" s="30">
        <f ca="1" t="array" ref="D61">INDEX(Data_DBD!$D:$D,$A61)</f>
        <v>21</v>
      </c>
      <c r="E61" s="30">
        <f ca="1" t="array" ref="E61">INDEX(Data_DBD!$E:$E,$A61)</f>
        <v>0</v>
      </c>
      <c r="F61" s="30">
        <f ca="1" t="array" ref="F61">INDEX(Data_DBD!$F:$F,$A61)</f>
        <v>3</v>
      </c>
      <c r="H61" s="30">
        <v>20</v>
      </c>
      <c r="I61" s="30">
        <v>15</v>
      </c>
      <c r="J61" s="30">
        <v>5</v>
      </c>
      <c r="K61" s="30">
        <v>7</v>
      </c>
      <c r="L61" s="30">
        <v>0</v>
      </c>
      <c r="M61" s="30">
        <v>1</v>
      </c>
    </row>
    <row r="62" spans="1:13">
      <c r="A62" s="30">
        <f ca="1" t="shared" si="0"/>
        <v>14</v>
      </c>
      <c r="B62" s="30">
        <f ca="1" t="array" ref="B62">INDEX(Data_DBD!$B:$B,$A62)</f>
        <v>49</v>
      </c>
      <c r="C62" s="30">
        <f ca="1" t="array" ref="C62">INDEX(Data_DBD!$C:$C,$A62)</f>
        <v>4</v>
      </c>
      <c r="D62" s="30">
        <f ca="1" t="array" ref="D62">INDEX(Data_DBD!$D:$D,$A62)</f>
        <v>7</v>
      </c>
      <c r="E62" s="30">
        <f ca="1" t="array" ref="E62">INDEX(Data_DBD!$E:$E,$A62)</f>
        <v>1</v>
      </c>
      <c r="F62" s="30">
        <f ca="1" t="array" ref="F62">INDEX(Data_DBD!$F:$F,$A62)</f>
        <v>1</v>
      </c>
      <c r="H62" s="30">
        <v>56</v>
      </c>
      <c r="I62" s="30">
        <v>4</v>
      </c>
      <c r="J62" s="30">
        <v>3</v>
      </c>
      <c r="K62" s="30">
        <v>15</v>
      </c>
      <c r="L62" s="30">
        <v>0</v>
      </c>
      <c r="M62" s="30">
        <v>2</v>
      </c>
    </row>
    <row r="63" spans="1:13">
      <c r="A63" s="30">
        <f ca="1" t="shared" si="0"/>
        <v>64</v>
      </c>
      <c r="B63" s="30">
        <f ca="1" t="array" ref="B63">INDEX(Data_DBD!$B:$B,$A63)</f>
        <v>35</v>
      </c>
      <c r="C63" s="30">
        <f ca="1" t="array" ref="C63">INDEX(Data_DBD!$C:$C,$A63)</f>
        <v>1</v>
      </c>
      <c r="D63" s="30">
        <f ca="1" t="array" ref="D63">INDEX(Data_DBD!$D:$D,$A63)</f>
        <v>15</v>
      </c>
      <c r="E63" s="30">
        <f ca="1" t="array" ref="E63">INDEX(Data_DBD!$E:$E,$A63)</f>
        <v>0</v>
      </c>
      <c r="F63" s="30">
        <f ca="1" t="array" ref="F63">INDEX(Data_DBD!$F:$F,$A63)</f>
        <v>2</v>
      </c>
      <c r="H63" s="30">
        <v>27</v>
      </c>
      <c r="I63" s="30">
        <v>37</v>
      </c>
      <c r="J63" s="30">
        <v>4</v>
      </c>
      <c r="K63" s="30">
        <v>14</v>
      </c>
      <c r="L63" s="30">
        <v>1</v>
      </c>
      <c r="M63" s="30">
        <v>2</v>
      </c>
    </row>
    <row r="64" spans="1:13">
      <c r="A64" s="30">
        <f ca="1" t="shared" si="0"/>
        <v>67</v>
      </c>
      <c r="B64" s="30">
        <f ca="1" t="array" ref="B64">INDEX(Data_DBD!$B:$B,$A64)</f>
        <v>21</v>
      </c>
      <c r="C64" s="30">
        <f ca="1" t="array" ref="C64">INDEX(Data_DBD!$C:$C,$A64)</f>
        <v>3</v>
      </c>
      <c r="D64" s="30">
        <f ca="1" t="array" ref="D64">INDEX(Data_DBD!$D:$D,$A64)</f>
        <v>10</v>
      </c>
      <c r="E64" s="30">
        <f ca="1" t="array" ref="E64">INDEX(Data_DBD!$E:$E,$A64)</f>
        <v>1</v>
      </c>
      <c r="F64" s="30">
        <f ca="1" t="array" ref="F64">INDEX(Data_DBD!$F:$F,$A64)</f>
        <v>2</v>
      </c>
      <c r="H64" s="30">
        <v>20</v>
      </c>
      <c r="I64" s="30">
        <v>15</v>
      </c>
      <c r="J64" s="30">
        <v>5</v>
      </c>
      <c r="K64" s="30">
        <v>7</v>
      </c>
      <c r="L64" s="30">
        <v>0</v>
      </c>
      <c r="M64" s="30">
        <v>1</v>
      </c>
    </row>
    <row r="65" spans="1:13">
      <c r="A65" s="30">
        <f ca="1" t="shared" si="0"/>
        <v>107</v>
      </c>
      <c r="B65" s="30">
        <f ca="1" t="array" ref="B65">INDEX(Data_DBD!$B:$B,$A65)</f>
        <v>48</v>
      </c>
      <c r="C65" s="30">
        <f ca="1" t="array" ref="C65">INDEX(Data_DBD!$C:$C,$A65)</f>
        <v>5</v>
      </c>
      <c r="D65" s="30">
        <f ca="1" t="array" ref="D65">INDEX(Data_DBD!$D:$D,$A65)</f>
        <v>18</v>
      </c>
      <c r="E65" s="30">
        <f ca="1" t="array" ref="E65">INDEX(Data_DBD!$E:$E,$A65)</f>
        <v>0</v>
      </c>
      <c r="F65" s="30">
        <f ca="1" t="array" ref="F65">INDEX(Data_DBD!$F:$F,$A65)</f>
        <v>3</v>
      </c>
      <c r="H65" s="30">
        <v>84</v>
      </c>
      <c r="I65" s="30">
        <v>42</v>
      </c>
      <c r="J65" s="30">
        <v>4</v>
      </c>
      <c r="K65" s="30">
        <v>13</v>
      </c>
      <c r="L65" s="30">
        <v>1</v>
      </c>
      <c r="M65" s="30">
        <v>2</v>
      </c>
    </row>
    <row r="66" spans="1:13">
      <c r="A66" s="30">
        <f ca="1" t="shared" si="0"/>
        <v>142</v>
      </c>
      <c r="B66" s="30">
        <f ca="1" t="array" ref="B66">INDEX(Data_DBD!$B:$B,$A66)</f>
        <v>39</v>
      </c>
      <c r="C66" s="30">
        <f ca="1" t="array" ref="C66">INDEX(Data_DBD!$C:$C,$A66)</f>
        <v>2</v>
      </c>
      <c r="D66" s="30">
        <f ca="1" t="array" ref="D66">INDEX(Data_DBD!$D:$D,$A66)</f>
        <v>21</v>
      </c>
      <c r="E66" s="30">
        <f ca="1" t="array" ref="E66">INDEX(Data_DBD!$E:$E,$A66)</f>
        <v>1</v>
      </c>
      <c r="F66" s="30">
        <f ca="1" t="array" ref="F66">INDEX(Data_DBD!$F:$F,$A66)</f>
        <v>3</v>
      </c>
      <c r="H66" s="30">
        <v>120</v>
      </c>
      <c r="I66" s="30">
        <v>26</v>
      </c>
      <c r="J66" s="30">
        <v>4</v>
      </c>
      <c r="K66" s="30">
        <v>33</v>
      </c>
      <c r="L66" s="30">
        <v>1</v>
      </c>
      <c r="M66" s="30">
        <v>3</v>
      </c>
    </row>
    <row r="67" spans="1:13">
      <c r="A67" s="30">
        <f ca="1" t="shared" ref="A67:A130" si="1">RANDBETWEEN(2,164)</f>
        <v>83</v>
      </c>
      <c r="B67" s="30">
        <f ca="1" t="array" ref="B67">INDEX(Data_DBD!$B:$B,$A67)</f>
        <v>50</v>
      </c>
      <c r="C67" s="30">
        <f ca="1" t="array" ref="C67">INDEX(Data_DBD!$C:$C,$A67)</f>
        <v>3</v>
      </c>
      <c r="D67" s="30">
        <f ca="1" t="array" ref="D67">INDEX(Data_DBD!$D:$D,$A67)</f>
        <v>13</v>
      </c>
      <c r="E67" s="30">
        <f ca="1" t="array" ref="E67">INDEX(Data_DBD!$E:$E,$A67)</f>
        <v>0</v>
      </c>
      <c r="F67" s="30">
        <f ca="1" t="array" ref="F67">INDEX(Data_DBD!$F:$F,$A67)</f>
        <v>2</v>
      </c>
      <c r="H67" s="30">
        <v>155</v>
      </c>
      <c r="I67" s="30">
        <v>19</v>
      </c>
      <c r="J67" s="30">
        <v>5</v>
      </c>
      <c r="K67" s="30">
        <v>21</v>
      </c>
      <c r="L67" s="30">
        <v>1</v>
      </c>
      <c r="M67" s="30">
        <v>3</v>
      </c>
    </row>
    <row r="68" spans="1:13">
      <c r="A68" s="30">
        <f ca="1" t="shared" si="1"/>
        <v>45</v>
      </c>
      <c r="B68" s="30">
        <f ca="1" t="array" ref="B68">INDEX(Data_DBD!$B:$B,$A68)</f>
        <v>75</v>
      </c>
      <c r="C68" s="30">
        <f ca="1" t="array" ref="C68">INDEX(Data_DBD!$C:$C,$A68)</f>
        <v>3</v>
      </c>
      <c r="D68" s="30">
        <f ca="1" t="array" ref="D68">INDEX(Data_DBD!$D:$D,$A68)</f>
        <v>13</v>
      </c>
      <c r="E68" s="30">
        <f ca="1" t="array" ref="E68">INDEX(Data_DBD!$E:$E,$A68)</f>
        <v>1</v>
      </c>
      <c r="F68" s="30">
        <f ca="1" t="array" ref="F68">INDEX(Data_DBD!$F:$F,$A68)</f>
        <v>2</v>
      </c>
      <c r="H68" s="30">
        <v>159</v>
      </c>
      <c r="I68" s="30">
        <v>17</v>
      </c>
      <c r="J68" s="30">
        <v>2</v>
      </c>
      <c r="K68" s="30">
        <v>21</v>
      </c>
      <c r="L68" s="30">
        <v>0</v>
      </c>
      <c r="M68" s="30">
        <v>3</v>
      </c>
    </row>
    <row r="69" spans="1:13">
      <c r="A69" s="30">
        <f ca="1" t="shared" si="1"/>
        <v>36</v>
      </c>
      <c r="B69" s="30">
        <f ca="1" t="array" ref="B69">INDEX(Data_DBD!$B:$B,$A69)</f>
        <v>27</v>
      </c>
      <c r="C69" s="30">
        <f ca="1" t="array" ref="C69">INDEX(Data_DBD!$C:$C,$A69)</f>
        <v>1</v>
      </c>
      <c r="D69" s="30">
        <f ca="1" t="array" ref="D69">INDEX(Data_DBD!$D:$D,$A69)</f>
        <v>4</v>
      </c>
      <c r="E69" s="30">
        <f ca="1" t="array" ref="E69">INDEX(Data_DBD!$E:$E,$A69)</f>
        <v>1</v>
      </c>
      <c r="F69" s="30">
        <f ca="1" t="array" ref="F69">INDEX(Data_DBD!$F:$F,$A69)</f>
        <v>1</v>
      </c>
      <c r="H69" s="30">
        <v>19</v>
      </c>
      <c r="I69" s="30">
        <v>8</v>
      </c>
      <c r="J69" s="30">
        <v>4</v>
      </c>
      <c r="K69" s="30">
        <v>7</v>
      </c>
      <c r="L69" s="30">
        <v>0</v>
      </c>
      <c r="M69" s="30">
        <v>1</v>
      </c>
    </row>
    <row r="70" spans="1:13">
      <c r="A70" s="30">
        <f ca="1" t="shared" si="1"/>
        <v>88</v>
      </c>
      <c r="B70" s="30">
        <f ca="1" t="array" ref="B70">INDEX(Data_DBD!$B:$B,$A70)</f>
        <v>20</v>
      </c>
      <c r="C70" s="30">
        <f ca="1" t="array" ref="C70">INDEX(Data_DBD!$C:$C,$A70)</f>
        <v>4</v>
      </c>
      <c r="D70" s="30">
        <f ca="1" t="array" ref="D70">INDEX(Data_DBD!$D:$D,$A70)</f>
        <v>13</v>
      </c>
      <c r="E70" s="30">
        <f ca="1" t="array" ref="E70">INDEX(Data_DBD!$E:$E,$A70)</f>
        <v>1</v>
      </c>
      <c r="F70" s="30">
        <f ca="1" t="array" ref="F70">INDEX(Data_DBD!$F:$F,$A70)</f>
        <v>2</v>
      </c>
      <c r="H70" s="30">
        <v>83</v>
      </c>
      <c r="I70" s="30">
        <v>50</v>
      </c>
      <c r="J70" s="30">
        <v>3</v>
      </c>
      <c r="K70" s="30">
        <v>13</v>
      </c>
      <c r="L70" s="30">
        <v>0</v>
      </c>
      <c r="M70" s="30">
        <v>2</v>
      </c>
    </row>
    <row r="71" spans="1:13">
      <c r="A71" s="30">
        <f ca="1" t="shared" si="1"/>
        <v>56</v>
      </c>
      <c r="B71" s="30">
        <f ca="1" t="array" ref="B71">INDEX(Data_DBD!$B:$B,$A71)</f>
        <v>4</v>
      </c>
      <c r="C71" s="30">
        <f ca="1" t="array" ref="C71">INDEX(Data_DBD!$C:$C,$A71)</f>
        <v>3</v>
      </c>
      <c r="D71" s="30">
        <f ca="1" t="array" ref="D71">INDEX(Data_DBD!$D:$D,$A71)</f>
        <v>15</v>
      </c>
      <c r="E71" s="30">
        <f ca="1" t="array" ref="E71">INDEX(Data_DBD!$E:$E,$A71)</f>
        <v>0</v>
      </c>
      <c r="F71" s="30">
        <f ca="1" t="array" ref="F71">INDEX(Data_DBD!$F:$F,$A71)</f>
        <v>2</v>
      </c>
      <c r="H71" s="30">
        <v>7</v>
      </c>
      <c r="I71" s="30">
        <v>12</v>
      </c>
      <c r="J71" s="30">
        <v>1</v>
      </c>
      <c r="K71" s="30">
        <v>12</v>
      </c>
      <c r="L71" s="30">
        <v>1</v>
      </c>
      <c r="M71" s="30">
        <v>2</v>
      </c>
    </row>
    <row r="72" spans="1:13">
      <c r="A72" s="30">
        <f ca="1" t="shared" si="1"/>
        <v>38</v>
      </c>
      <c r="B72" s="30">
        <f ca="1" t="array" ref="B72">INDEX(Data_DBD!$B:$B,$A72)</f>
        <v>52</v>
      </c>
      <c r="C72" s="30">
        <f ca="1" t="array" ref="C72">INDEX(Data_DBD!$C:$C,$A72)</f>
        <v>3</v>
      </c>
      <c r="D72" s="30">
        <f ca="1" t="array" ref="D72">INDEX(Data_DBD!$D:$D,$A72)</f>
        <v>4</v>
      </c>
      <c r="E72" s="30">
        <f ca="1" t="array" ref="E72">INDEX(Data_DBD!$E:$E,$A72)</f>
        <v>1</v>
      </c>
      <c r="F72" s="30">
        <f ca="1" t="array" ref="F72">INDEX(Data_DBD!$F:$F,$A72)</f>
        <v>1</v>
      </c>
      <c r="H72" s="30">
        <v>15</v>
      </c>
      <c r="I72" s="30">
        <v>21</v>
      </c>
      <c r="J72" s="30">
        <v>2</v>
      </c>
      <c r="K72" s="30">
        <v>7</v>
      </c>
      <c r="L72" s="30">
        <v>0</v>
      </c>
      <c r="M72" s="30">
        <v>1</v>
      </c>
    </row>
    <row r="73" spans="1:13">
      <c r="A73" s="30">
        <f ca="1" t="shared" si="1"/>
        <v>26</v>
      </c>
      <c r="B73" s="30">
        <f ca="1" t="array" ref="B73">INDEX(Data_DBD!$B:$B,$A73)</f>
        <v>75</v>
      </c>
      <c r="C73" s="30">
        <f ca="1" t="array" ref="C73">INDEX(Data_DBD!$C:$C,$A73)</f>
        <v>4</v>
      </c>
      <c r="D73" s="30">
        <f ca="1" t="array" ref="D73">INDEX(Data_DBD!$D:$D,$A73)</f>
        <v>14</v>
      </c>
      <c r="E73" s="30">
        <f ca="1" t="array" ref="E73">INDEX(Data_DBD!$E:$E,$A73)</f>
        <v>1</v>
      </c>
      <c r="F73" s="30">
        <f ca="1" t="array" ref="F73">INDEX(Data_DBD!$F:$F,$A73)</f>
        <v>2</v>
      </c>
      <c r="H73" s="30">
        <v>161</v>
      </c>
      <c r="I73" s="30">
        <v>12</v>
      </c>
      <c r="J73" s="30">
        <v>3</v>
      </c>
      <c r="K73" s="30">
        <v>21</v>
      </c>
      <c r="L73" s="30">
        <v>1</v>
      </c>
      <c r="M73" s="30">
        <v>3</v>
      </c>
    </row>
    <row r="74" spans="1:13">
      <c r="A74" s="30">
        <f ca="1" t="shared" si="1"/>
        <v>38</v>
      </c>
      <c r="B74" s="30">
        <f ca="1" t="array" ref="B74">INDEX(Data_DBD!$B:$B,$A74)</f>
        <v>52</v>
      </c>
      <c r="C74" s="30">
        <f ca="1" t="array" ref="C74">INDEX(Data_DBD!$C:$C,$A74)</f>
        <v>3</v>
      </c>
      <c r="D74" s="30">
        <f ca="1" t="array" ref="D74">INDEX(Data_DBD!$D:$D,$A74)</f>
        <v>4</v>
      </c>
      <c r="E74" s="30">
        <f ca="1" t="array" ref="E74">INDEX(Data_DBD!$E:$E,$A74)</f>
        <v>1</v>
      </c>
      <c r="F74" s="30">
        <f ca="1" t="array" ref="F74">INDEX(Data_DBD!$F:$F,$A74)</f>
        <v>1</v>
      </c>
      <c r="H74" s="30">
        <v>145</v>
      </c>
      <c r="I74" s="30">
        <v>28</v>
      </c>
      <c r="J74" s="30">
        <v>4</v>
      </c>
      <c r="K74" s="30">
        <v>21</v>
      </c>
      <c r="L74" s="30">
        <v>1</v>
      </c>
      <c r="M74" s="30">
        <v>3</v>
      </c>
    </row>
    <row r="75" spans="1:13">
      <c r="A75" s="30">
        <f ca="1" t="shared" si="1"/>
        <v>153</v>
      </c>
      <c r="B75" s="30">
        <f ca="1" t="array" ref="B75">INDEX(Data_DBD!$B:$B,$A75)</f>
        <v>73</v>
      </c>
      <c r="C75" s="30">
        <f ca="1" t="array" ref="C75">INDEX(Data_DBD!$C:$C,$A75)</f>
        <v>7</v>
      </c>
      <c r="D75" s="30">
        <f ca="1" t="array" ref="D75">INDEX(Data_DBD!$D:$D,$A75)</f>
        <v>21</v>
      </c>
      <c r="E75" s="30">
        <f ca="1" t="array" ref="E75">INDEX(Data_DBD!$E:$E,$A75)</f>
        <v>1</v>
      </c>
      <c r="F75" s="30">
        <f ca="1" t="array" ref="F75">INDEX(Data_DBD!$F:$F,$A75)</f>
        <v>3</v>
      </c>
      <c r="H75" s="30">
        <v>24</v>
      </c>
      <c r="I75" s="30">
        <v>60</v>
      </c>
      <c r="J75" s="30">
        <v>4</v>
      </c>
      <c r="K75" s="30">
        <v>14</v>
      </c>
      <c r="L75" s="30">
        <v>0</v>
      </c>
      <c r="M75" s="30">
        <v>2</v>
      </c>
    </row>
    <row r="76" spans="1:13">
      <c r="A76" s="30">
        <f ca="1" t="shared" si="1"/>
        <v>86</v>
      </c>
      <c r="B76" s="30">
        <f ca="1" t="array" ref="B76">INDEX(Data_DBD!$B:$B,$A76)</f>
        <v>23</v>
      </c>
      <c r="C76" s="30">
        <f ca="1" t="array" ref="C76">INDEX(Data_DBD!$C:$C,$A76)</f>
        <v>3</v>
      </c>
      <c r="D76" s="30">
        <f ca="1" t="array" ref="D76">INDEX(Data_DBD!$D:$D,$A76)</f>
        <v>13</v>
      </c>
      <c r="E76" s="30">
        <f ca="1" t="array" ref="E76">INDEX(Data_DBD!$E:$E,$A76)</f>
        <v>0</v>
      </c>
      <c r="F76" s="30">
        <f ca="1" t="array" ref="F76">INDEX(Data_DBD!$F:$F,$A76)</f>
        <v>2</v>
      </c>
      <c r="H76" s="30">
        <v>119</v>
      </c>
      <c r="I76" s="30">
        <v>30</v>
      </c>
      <c r="J76" s="30">
        <v>7</v>
      </c>
      <c r="K76" s="30">
        <v>33</v>
      </c>
      <c r="L76" s="30">
        <v>0</v>
      </c>
      <c r="M76" s="30">
        <v>3</v>
      </c>
    </row>
    <row r="77" spans="1:13">
      <c r="A77" s="30">
        <f ca="1" t="shared" si="1"/>
        <v>100</v>
      </c>
      <c r="B77" s="30">
        <f ca="1" t="array" ref="B77">INDEX(Data_DBD!$B:$B,$A77)</f>
        <v>19</v>
      </c>
      <c r="C77" s="30">
        <f ca="1" t="array" ref="C77">INDEX(Data_DBD!$C:$C,$A77)</f>
        <v>6</v>
      </c>
      <c r="D77" s="30">
        <f ca="1" t="array" ref="D77">INDEX(Data_DBD!$D:$D,$A77)</f>
        <v>18</v>
      </c>
      <c r="E77" s="30">
        <f ca="1" t="array" ref="E77">INDEX(Data_DBD!$E:$E,$A77)</f>
        <v>0</v>
      </c>
      <c r="F77" s="30">
        <f ca="1" t="array" ref="F77">INDEX(Data_DBD!$F:$F,$A77)</f>
        <v>3</v>
      </c>
      <c r="H77" s="30">
        <v>48</v>
      </c>
      <c r="I77" s="30">
        <v>50</v>
      </c>
      <c r="J77" s="30">
        <v>5</v>
      </c>
      <c r="K77" s="30">
        <v>13</v>
      </c>
      <c r="L77" s="30">
        <v>1</v>
      </c>
      <c r="M77" s="30">
        <v>2</v>
      </c>
    </row>
    <row r="78" spans="1:13">
      <c r="A78" s="30">
        <f ca="1" t="shared" si="1"/>
        <v>27</v>
      </c>
      <c r="B78" s="30">
        <f ca="1" t="array" ref="B78">INDEX(Data_DBD!$B:$B,$A78)</f>
        <v>37</v>
      </c>
      <c r="C78" s="30">
        <f ca="1" t="array" ref="C78">INDEX(Data_DBD!$C:$C,$A78)</f>
        <v>4</v>
      </c>
      <c r="D78" s="30">
        <f ca="1" t="array" ref="D78">INDEX(Data_DBD!$D:$D,$A78)</f>
        <v>14</v>
      </c>
      <c r="E78" s="30">
        <f ca="1" t="array" ref="E78">INDEX(Data_DBD!$E:$E,$A78)</f>
        <v>1</v>
      </c>
      <c r="F78" s="30">
        <f ca="1" t="array" ref="F78">INDEX(Data_DBD!$F:$F,$A78)</f>
        <v>2</v>
      </c>
      <c r="H78" s="30">
        <v>149</v>
      </c>
      <c r="I78" s="30">
        <v>19</v>
      </c>
      <c r="J78" s="30">
        <v>5</v>
      </c>
      <c r="K78" s="30">
        <v>21</v>
      </c>
      <c r="L78" s="30">
        <v>0</v>
      </c>
      <c r="M78" s="30">
        <v>3</v>
      </c>
    </row>
    <row r="79" spans="1:13">
      <c r="A79" s="30">
        <f ca="1" t="shared" si="1"/>
        <v>159</v>
      </c>
      <c r="B79" s="30">
        <f ca="1" t="array" ref="B79">INDEX(Data_DBD!$B:$B,$A79)</f>
        <v>17</v>
      </c>
      <c r="C79" s="30">
        <f ca="1" t="array" ref="C79">INDEX(Data_DBD!$C:$C,$A79)</f>
        <v>2</v>
      </c>
      <c r="D79" s="30">
        <f ca="1" t="array" ref="D79">INDEX(Data_DBD!$D:$D,$A79)</f>
        <v>21</v>
      </c>
      <c r="E79" s="30">
        <f ca="1" t="array" ref="E79">INDEX(Data_DBD!$E:$E,$A79)</f>
        <v>0</v>
      </c>
      <c r="F79" s="30">
        <f ca="1" t="array" ref="F79">INDEX(Data_DBD!$F:$F,$A79)</f>
        <v>3</v>
      </c>
      <c r="H79" s="30">
        <v>44</v>
      </c>
      <c r="I79" s="30">
        <v>28</v>
      </c>
      <c r="J79" s="30">
        <v>5</v>
      </c>
      <c r="K79" s="30">
        <v>13</v>
      </c>
      <c r="L79" s="30">
        <v>1</v>
      </c>
      <c r="M79" s="30">
        <v>2</v>
      </c>
    </row>
    <row r="80" spans="1:13">
      <c r="A80" s="30">
        <f ca="1" t="shared" si="1"/>
        <v>53</v>
      </c>
      <c r="B80" s="30">
        <f ca="1" t="array" ref="B80">INDEX(Data_DBD!$B:$B,$A80)</f>
        <v>35</v>
      </c>
      <c r="C80" s="30">
        <f ca="1" t="array" ref="C80">INDEX(Data_DBD!$C:$C,$A80)</f>
        <v>4</v>
      </c>
      <c r="D80" s="30">
        <f ca="1" t="array" ref="D80">INDEX(Data_DBD!$D:$D,$A80)</f>
        <v>15</v>
      </c>
      <c r="E80" s="30">
        <f ca="1" t="array" ref="E80">INDEX(Data_DBD!$E:$E,$A80)</f>
        <v>1</v>
      </c>
      <c r="F80" s="30">
        <f ca="1" t="array" ref="F80">INDEX(Data_DBD!$F:$F,$A80)</f>
        <v>2</v>
      </c>
      <c r="H80" s="30">
        <v>94</v>
      </c>
      <c r="I80" s="30">
        <v>12</v>
      </c>
      <c r="J80" s="30">
        <v>4</v>
      </c>
      <c r="K80" s="30">
        <v>18</v>
      </c>
      <c r="L80" s="30">
        <v>0</v>
      </c>
      <c r="M80" s="30">
        <v>3</v>
      </c>
    </row>
    <row r="81" spans="1:13">
      <c r="A81" s="30">
        <f ca="1" t="shared" si="1"/>
        <v>12</v>
      </c>
      <c r="B81" s="30">
        <f ca="1" t="array" ref="B81">INDEX(Data_DBD!$B:$B,$A81)</f>
        <v>23</v>
      </c>
      <c r="C81" s="30">
        <f ca="1" t="array" ref="C81">INDEX(Data_DBD!$C:$C,$A81)</f>
        <v>3</v>
      </c>
      <c r="D81" s="30">
        <f ca="1" t="array" ref="D81">INDEX(Data_DBD!$D:$D,$A81)</f>
        <v>12</v>
      </c>
      <c r="E81" s="30">
        <f ca="1" t="array" ref="E81">INDEX(Data_DBD!$E:$E,$A81)</f>
        <v>0</v>
      </c>
      <c r="F81" s="30">
        <f ca="1" t="array" ref="F81">INDEX(Data_DBD!$F:$F,$A81)</f>
        <v>2</v>
      </c>
      <c r="H81" s="30">
        <v>8</v>
      </c>
      <c r="I81" s="30">
        <v>4</v>
      </c>
      <c r="J81" s="30">
        <v>2</v>
      </c>
      <c r="K81" s="30">
        <v>12</v>
      </c>
      <c r="L81" s="30">
        <v>0</v>
      </c>
      <c r="M81" s="30">
        <v>2</v>
      </c>
    </row>
    <row r="82" spans="1:13">
      <c r="A82" s="30">
        <f ca="1" t="shared" si="1"/>
        <v>43</v>
      </c>
      <c r="B82" s="30">
        <f ca="1" t="array" ref="B82">INDEX(Data_DBD!$B:$B,$A82)</f>
        <v>15</v>
      </c>
      <c r="C82" s="30">
        <f ca="1" t="array" ref="C82">INDEX(Data_DBD!$C:$C,$A82)</f>
        <v>4</v>
      </c>
      <c r="D82" s="30">
        <f ca="1" t="array" ref="D82">INDEX(Data_DBD!$D:$D,$A82)</f>
        <v>13</v>
      </c>
      <c r="E82" s="30">
        <f ca="1" t="array" ref="E82">INDEX(Data_DBD!$E:$E,$A82)</f>
        <v>0</v>
      </c>
      <c r="F82" s="30">
        <f ca="1" t="array" ref="F82">INDEX(Data_DBD!$F:$F,$A82)</f>
        <v>2</v>
      </c>
      <c r="H82" s="30">
        <v>143</v>
      </c>
      <c r="I82" s="30">
        <v>20</v>
      </c>
      <c r="J82" s="30">
        <v>4</v>
      </c>
      <c r="K82" s="30">
        <v>21</v>
      </c>
      <c r="L82" s="30">
        <v>1</v>
      </c>
      <c r="M82" s="30">
        <v>3</v>
      </c>
    </row>
    <row r="83" spans="1:13">
      <c r="A83" s="30">
        <f ca="1" t="shared" si="1"/>
        <v>67</v>
      </c>
      <c r="B83" s="30">
        <f ca="1" t="array" ref="B83">INDEX(Data_DBD!$B:$B,$A83)</f>
        <v>21</v>
      </c>
      <c r="C83" s="30">
        <f ca="1" t="array" ref="C83">INDEX(Data_DBD!$C:$C,$A83)</f>
        <v>3</v>
      </c>
      <c r="D83" s="30">
        <f ca="1" t="array" ref="D83">INDEX(Data_DBD!$D:$D,$A83)</f>
        <v>10</v>
      </c>
      <c r="E83" s="30">
        <f ca="1" t="array" ref="E83">INDEX(Data_DBD!$E:$E,$A83)</f>
        <v>1</v>
      </c>
      <c r="F83" s="30">
        <f ca="1" t="array" ref="F83">INDEX(Data_DBD!$F:$F,$A83)</f>
        <v>2</v>
      </c>
      <c r="H83" s="30">
        <v>59</v>
      </c>
      <c r="I83" s="30">
        <v>28</v>
      </c>
      <c r="J83" s="30">
        <v>4</v>
      </c>
      <c r="K83" s="30">
        <v>15</v>
      </c>
      <c r="L83" s="30">
        <v>0</v>
      </c>
      <c r="M83" s="30">
        <v>2</v>
      </c>
    </row>
    <row r="84" spans="1:13">
      <c r="A84" s="30">
        <f ca="1" t="shared" si="1"/>
        <v>25</v>
      </c>
      <c r="B84" s="30">
        <f ca="1" t="array" ref="B84">INDEX(Data_DBD!$B:$B,$A84)</f>
        <v>81</v>
      </c>
      <c r="C84" s="30">
        <f ca="1" t="array" ref="C84">INDEX(Data_DBD!$C:$C,$A84)</f>
        <v>5</v>
      </c>
      <c r="D84" s="30">
        <f ca="1" t="array" ref="D84">INDEX(Data_DBD!$D:$D,$A84)</f>
        <v>14</v>
      </c>
      <c r="E84" s="30">
        <f ca="1" t="array" ref="E84">INDEX(Data_DBD!$E:$E,$A84)</f>
        <v>0</v>
      </c>
      <c r="F84" s="30">
        <f ca="1" t="array" ref="F84">INDEX(Data_DBD!$F:$F,$A84)</f>
        <v>2</v>
      </c>
      <c r="H84" s="30">
        <v>95</v>
      </c>
      <c r="I84" s="30">
        <v>11</v>
      </c>
      <c r="J84" s="30">
        <v>3</v>
      </c>
      <c r="K84" s="30">
        <v>18</v>
      </c>
      <c r="L84" s="30">
        <v>1</v>
      </c>
      <c r="M84" s="30">
        <v>3</v>
      </c>
    </row>
    <row r="85" spans="1:13">
      <c r="A85" s="30">
        <f ca="1" t="shared" si="1"/>
        <v>158</v>
      </c>
      <c r="B85" s="30">
        <f ca="1" t="array" ref="B85">INDEX(Data_DBD!$B:$B,$A85)</f>
        <v>5</v>
      </c>
      <c r="C85" s="30">
        <f ca="1" t="array" ref="C85">INDEX(Data_DBD!$C:$C,$A85)</f>
        <v>2</v>
      </c>
      <c r="D85" s="30">
        <f ca="1" t="array" ref="D85">INDEX(Data_DBD!$D:$D,$A85)</f>
        <v>21</v>
      </c>
      <c r="E85" s="30">
        <f ca="1" t="array" ref="E85">INDEX(Data_DBD!$E:$E,$A85)</f>
        <v>0</v>
      </c>
      <c r="F85" s="30">
        <f ca="1" t="array" ref="F85">INDEX(Data_DBD!$F:$F,$A85)</f>
        <v>3</v>
      </c>
      <c r="H85" s="30">
        <v>132</v>
      </c>
      <c r="I85" s="30">
        <v>10</v>
      </c>
      <c r="J85" s="30">
        <v>3</v>
      </c>
      <c r="K85" s="30">
        <v>33</v>
      </c>
      <c r="L85" s="30">
        <v>1</v>
      </c>
      <c r="M85" s="30">
        <v>3</v>
      </c>
    </row>
    <row r="86" spans="1:13">
      <c r="A86" s="30">
        <f ca="1" t="shared" si="1"/>
        <v>89</v>
      </c>
      <c r="B86" s="30">
        <f ca="1" t="array" ref="B86">INDEX(Data_DBD!$B:$B,$A86)</f>
        <v>32</v>
      </c>
      <c r="C86" s="30">
        <f ca="1" t="array" ref="C86">INDEX(Data_DBD!$C:$C,$A86)</f>
        <v>4</v>
      </c>
      <c r="D86" s="30">
        <f ca="1" t="array" ref="D86">INDEX(Data_DBD!$D:$D,$A86)</f>
        <v>13</v>
      </c>
      <c r="E86" s="30">
        <f ca="1" t="array" ref="E86">INDEX(Data_DBD!$E:$E,$A86)</f>
        <v>0</v>
      </c>
      <c r="F86" s="30">
        <f ca="1" t="array" ref="F86">INDEX(Data_DBD!$F:$F,$A86)</f>
        <v>2</v>
      </c>
      <c r="H86" s="30">
        <v>6</v>
      </c>
      <c r="I86" s="30">
        <v>14</v>
      </c>
      <c r="J86" s="30">
        <v>4</v>
      </c>
      <c r="K86" s="30">
        <v>12</v>
      </c>
      <c r="L86" s="30">
        <v>0</v>
      </c>
      <c r="M86" s="30">
        <v>2</v>
      </c>
    </row>
    <row r="87" spans="1:13">
      <c r="A87" s="30">
        <f ca="1" t="shared" si="1"/>
        <v>41</v>
      </c>
      <c r="B87" s="30">
        <f ca="1" t="array" ref="B87">INDEX(Data_DBD!$B:$B,$A87)</f>
        <v>8</v>
      </c>
      <c r="C87" s="30">
        <f ca="1" t="array" ref="C87">INDEX(Data_DBD!$C:$C,$A87)</f>
        <v>4</v>
      </c>
      <c r="D87" s="30">
        <f ca="1" t="array" ref="D87">INDEX(Data_DBD!$D:$D,$A87)</f>
        <v>13</v>
      </c>
      <c r="E87" s="30">
        <f ca="1" t="array" ref="E87">INDEX(Data_DBD!$E:$E,$A87)</f>
        <v>0</v>
      </c>
      <c r="F87" s="30">
        <f ca="1" t="array" ref="F87">INDEX(Data_DBD!$F:$F,$A87)</f>
        <v>2</v>
      </c>
      <c r="H87" s="30">
        <v>111</v>
      </c>
      <c r="I87" s="30">
        <v>25</v>
      </c>
      <c r="J87" s="30">
        <v>4</v>
      </c>
      <c r="K87" s="30">
        <v>33</v>
      </c>
      <c r="L87" s="30">
        <v>0</v>
      </c>
      <c r="M87" s="30">
        <v>3</v>
      </c>
    </row>
    <row r="88" spans="1:13">
      <c r="A88" s="30">
        <f ca="1" t="shared" si="1"/>
        <v>70</v>
      </c>
      <c r="B88" s="30">
        <f ca="1" t="array" ref="B88">INDEX(Data_DBD!$B:$B,$A88)</f>
        <v>26</v>
      </c>
      <c r="C88" s="30">
        <f ca="1" t="array" ref="C88">INDEX(Data_DBD!$C:$C,$A88)</f>
        <v>3</v>
      </c>
      <c r="D88" s="30">
        <f ca="1" t="array" ref="D88">INDEX(Data_DBD!$D:$D,$A88)</f>
        <v>10</v>
      </c>
      <c r="E88" s="30">
        <f ca="1" t="array" ref="E88">INDEX(Data_DBD!$E:$E,$A88)</f>
        <v>1</v>
      </c>
      <c r="F88" s="30">
        <f ca="1" t="array" ref="F88">INDEX(Data_DBD!$F:$F,$A88)</f>
        <v>2</v>
      </c>
      <c r="H88" s="30">
        <v>91</v>
      </c>
      <c r="I88" s="30">
        <v>35</v>
      </c>
      <c r="J88" s="30">
        <v>1</v>
      </c>
      <c r="K88" s="30">
        <v>18</v>
      </c>
      <c r="L88" s="30">
        <v>1</v>
      </c>
      <c r="M88" s="30">
        <v>3</v>
      </c>
    </row>
    <row r="89" spans="1:13">
      <c r="A89" s="30">
        <f ca="1" t="shared" si="1"/>
        <v>130</v>
      </c>
      <c r="B89" s="30">
        <f ca="1" t="array" ref="B89">INDEX(Data_DBD!$B:$B,$A89)</f>
        <v>12</v>
      </c>
      <c r="C89" s="30">
        <f ca="1" t="array" ref="C89">INDEX(Data_DBD!$C:$C,$A89)</f>
        <v>4</v>
      </c>
      <c r="D89" s="30">
        <f ca="1" t="array" ref="D89">INDEX(Data_DBD!$D:$D,$A89)</f>
        <v>33</v>
      </c>
      <c r="E89" s="30">
        <f ca="1" t="array" ref="E89">INDEX(Data_DBD!$E:$E,$A89)</f>
        <v>0</v>
      </c>
      <c r="F89" s="30">
        <f ca="1" t="array" ref="F89">INDEX(Data_DBD!$F:$F,$A89)</f>
        <v>3</v>
      </c>
      <c r="H89" s="30">
        <v>140</v>
      </c>
      <c r="I89" s="30">
        <v>74</v>
      </c>
      <c r="J89" s="30">
        <v>5</v>
      </c>
      <c r="K89" s="30">
        <v>21</v>
      </c>
      <c r="L89" s="30">
        <v>1</v>
      </c>
      <c r="M89" s="30">
        <v>3</v>
      </c>
    </row>
    <row r="90" spans="1:13">
      <c r="A90" s="30">
        <f ca="1" t="shared" si="1"/>
        <v>131</v>
      </c>
      <c r="B90" s="30">
        <f ca="1" t="array" ref="B90">INDEX(Data_DBD!$B:$B,$A90)</f>
        <v>10</v>
      </c>
      <c r="C90" s="30">
        <f ca="1" t="array" ref="C90">INDEX(Data_DBD!$C:$C,$A90)</f>
        <v>2</v>
      </c>
      <c r="D90" s="30">
        <f ca="1" t="array" ref="D90">INDEX(Data_DBD!$D:$D,$A90)</f>
        <v>33</v>
      </c>
      <c r="E90" s="30">
        <f ca="1" t="array" ref="E90">INDEX(Data_DBD!$E:$E,$A90)</f>
        <v>0</v>
      </c>
      <c r="F90" s="30">
        <f ca="1" t="array" ref="F90">INDEX(Data_DBD!$F:$F,$A90)</f>
        <v>3</v>
      </c>
      <c r="H90" s="30">
        <v>68</v>
      </c>
      <c r="I90" s="30">
        <v>44</v>
      </c>
      <c r="J90" s="30">
        <v>5</v>
      </c>
      <c r="K90" s="30">
        <v>10</v>
      </c>
      <c r="L90" s="30">
        <v>0</v>
      </c>
      <c r="M90" s="30">
        <v>2</v>
      </c>
    </row>
    <row r="91" spans="1:13">
      <c r="A91" s="30">
        <f ca="1" t="shared" si="1"/>
        <v>21</v>
      </c>
      <c r="B91" s="30">
        <f ca="1" t="array" ref="B91">INDEX(Data_DBD!$B:$B,$A91)</f>
        <v>10</v>
      </c>
      <c r="C91" s="30">
        <f ca="1" t="array" ref="C91">INDEX(Data_DBD!$C:$C,$A91)</f>
        <v>5</v>
      </c>
      <c r="D91" s="30">
        <f ca="1" t="array" ref="D91">INDEX(Data_DBD!$D:$D,$A91)</f>
        <v>14</v>
      </c>
      <c r="E91" s="30">
        <f ca="1" t="array" ref="E91">INDEX(Data_DBD!$E:$E,$A91)</f>
        <v>1</v>
      </c>
      <c r="F91" s="30">
        <f ca="1" t="array" ref="F91">INDEX(Data_DBD!$F:$F,$A91)</f>
        <v>2</v>
      </c>
      <c r="H91" s="30">
        <v>135</v>
      </c>
      <c r="I91" s="30">
        <v>10</v>
      </c>
      <c r="J91" s="30">
        <v>2</v>
      </c>
      <c r="K91" s="30">
        <v>33</v>
      </c>
      <c r="L91" s="30">
        <v>0</v>
      </c>
      <c r="M91" s="30">
        <v>3</v>
      </c>
    </row>
    <row r="92" spans="1:13">
      <c r="A92" s="30">
        <f ca="1" t="shared" si="1"/>
        <v>63</v>
      </c>
      <c r="B92" s="30">
        <f ca="1" t="array" ref="B92">INDEX(Data_DBD!$B:$B,$A92)</f>
        <v>25</v>
      </c>
      <c r="C92" s="30">
        <f ca="1" t="array" ref="C92">INDEX(Data_DBD!$C:$C,$A92)</f>
        <v>3</v>
      </c>
      <c r="D92" s="30">
        <f ca="1" t="array" ref="D92">INDEX(Data_DBD!$D:$D,$A92)</f>
        <v>15</v>
      </c>
      <c r="E92" s="30">
        <f ca="1" t="array" ref="E92">INDEX(Data_DBD!$E:$E,$A92)</f>
        <v>0</v>
      </c>
      <c r="F92" s="30">
        <f ca="1" t="array" ref="F92">INDEX(Data_DBD!$F:$F,$A92)</f>
        <v>2</v>
      </c>
      <c r="H92" s="30">
        <v>38</v>
      </c>
      <c r="I92" s="30">
        <v>52</v>
      </c>
      <c r="J92" s="30">
        <v>3</v>
      </c>
      <c r="K92" s="30">
        <v>4</v>
      </c>
      <c r="L92" s="30">
        <v>1</v>
      </c>
      <c r="M92" s="30">
        <v>1</v>
      </c>
    </row>
    <row r="93" spans="1:13">
      <c r="A93" s="30">
        <f ca="1" t="shared" si="1"/>
        <v>104</v>
      </c>
      <c r="B93" s="30">
        <f ca="1" t="array" ref="B93">INDEX(Data_DBD!$B:$B,$A93)</f>
        <v>37</v>
      </c>
      <c r="C93" s="30">
        <f ca="1" t="array" ref="C93">INDEX(Data_DBD!$C:$C,$A93)</f>
        <v>4</v>
      </c>
      <c r="D93" s="30">
        <f ca="1" t="array" ref="D93">INDEX(Data_DBD!$D:$D,$A93)</f>
        <v>18</v>
      </c>
      <c r="E93" s="30">
        <f ca="1" t="array" ref="E93">INDEX(Data_DBD!$E:$E,$A93)</f>
        <v>1</v>
      </c>
      <c r="F93" s="30">
        <f ca="1" t="array" ref="F93">INDEX(Data_DBD!$F:$F,$A93)</f>
        <v>3</v>
      </c>
      <c r="H93" s="30">
        <v>113</v>
      </c>
      <c r="I93" s="30">
        <v>69</v>
      </c>
      <c r="J93" s="30">
        <v>1</v>
      </c>
      <c r="K93" s="30">
        <v>33</v>
      </c>
      <c r="L93" s="30">
        <v>1</v>
      </c>
      <c r="M93" s="30">
        <v>3</v>
      </c>
    </row>
    <row r="94" spans="1:13">
      <c r="A94" s="30">
        <f ca="1" t="shared" si="1"/>
        <v>113</v>
      </c>
      <c r="B94" s="30">
        <f ca="1" t="array" ref="B94">INDEX(Data_DBD!$B:$B,$A94)</f>
        <v>69</v>
      </c>
      <c r="C94" s="30">
        <f ca="1" t="array" ref="C94">INDEX(Data_DBD!$C:$C,$A94)</f>
        <v>1</v>
      </c>
      <c r="D94" s="30">
        <f ca="1" t="array" ref="D94">INDEX(Data_DBD!$D:$D,$A94)</f>
        <v>33</v>
      </c>
      <c r="E94" s="30">
        <f ca="1" t="array" ref="E94">INDEX(Data_DBD!$E:$E,$A94)</f>
        <v>1</v>
      </c>
      <c r="F94" s="30">
        <f ca="1" t="array" ref="F94">INDEX(Data_DBD!$F:$F,$A94)</f>
        <v>3</v>
      </c>
      <c r="H94" s="30">
        <v>151</v>
      </c>
      <c r="I94" s="30">
        <v>24</v>
      </c>
      <c r="J94" s="30">
        <v>3</v>
      </c>
      <c r="K94" s="30">
        <v>21</v>
      </c>
      <c r="L94" s="30">
        <v>0</v>
      </c>
      <c r="M94" s="30">
        <v>3</v>
      </c>
    </row>
    <row r="95" spans="1:13">
      <c r="A95" s="30">
        <f ca="1" t="shared" si="1"/>
        <v>55</v>
      </c>
      <c r="B95" s="30">
        <f ca="1" t="array" ref="B95">INDEX(Data_DBD!$B:$B,$A95)</f>
        <v>7</v>
      </c>
      <c r="C95" s="30">
        <f ca="1" t="array" ref="C95">INDEX(Data_DBD!$C:$C,$A95)</f>
        <v>4</v>
      </c>
      <c r="D95" s="30">
        <f ca="1" t="array" ref="D95">INDEX(Data_DBD!$D:$D,$A95)</f>
        <v>15</v>
      </c>
      <c r="E95" s="30">
        <f ca="1" t="array" ref="E95">INDEX(Data_DBD!$E:$E,$A95)</f>
        <v>1</v>
      </c>
      <c r="F95" s="30">
        <f ca="1" t="array" ref="F95">INDEX(Data_DBD!$F:$F,$A95)</f>
        <v>2</v>
      </c>
      <c r="H95" s="30">
        <v>66</v>
      </c>
      <c r="I95" s="30">
        <v>21</v>
      </c>
      <c r="J95" s="30">
        <v>5</v>
      </c>
      <c r="K95" s="30">
        <v>15</v>
      </c>
      <c r="L95" s="30">
        <v>1</v>
      </c>
      <c r="M95" s="30">
        <v>2</v>
      </c>
    </row>
    <row r="96" spans="1:13">
      <c r="A96" s="30">
        <f ca="1" t="shared" si="1"/>
        <v>160</v>
      </c>
      <c r="B96" s="30">
        <f ca="1" t="array" ref="B96">INDEX(Data_DBD!$B:$B,$A96)</f>
        <v>16</v>
      </c>
      <c r="C96" s="30">
        <f ca="1" t="array" ref="C96">INDEX(Data_DBD!$C:$C,$A96)</f>
        <v>3</v>
      </c>
      <c r="D96" s="30">
        <f ca="1" t="array" ref="D96">INDEX(Data_DBD!$D:$D,$A96)</f>
        <v>21</v>
      </c>
      <c r="E96" s="30">
        <f ca="1" t="array" ref="E96">INDEX(Data_DBD!$E:$E,$A96)</f>
        <v>0</v>
      </c>
      <c r="F96" s="30">
        <f ca="1" t="array" ref="F96">INDEX(Data_DBD!$F:$F,$A96)</f>
        <v>3</v>
      </c>
      <c r="H96" s="30">
        <v>70</v>
      </c>
      <c r="I96" s="30">
        <v>26</v>
      </c>
      <c r="J96" s="30">
        <v>3</v>
      </c>
      <c r="K96" s="30">
        <v>10</v>
      </c>
      <c r="L96" s="30">
        <v>1</v>
      </c>
      <c r="M96" s="30">
        <v>2</v>
      </c>
    </row>
    <row r="97" spans="1:13">
      <c r="A97" s="30">
        <f ca="1" t="shared" si="1"/>
        <v>67</v>
      </c>
      <c r="B97" s="30">
        <f ca="1" t="array" ref="B97">INDEX(Data_DBD!$B:$B,$A97)</f>
        <v>21</v>
      </c>
      <c r="C97" s="30">
        <f ca="1" t="array" ref="C97">INDEX(Data_DBD!$C:$C,$A97)</f>
        <v>3</v>
      </c>
      <c r="D97" s="30">
        <f ca="1" t="array" ref="D97">INDEX(Data_DBD!$D:$D,$A97)</f>
        <v>10</v>
      </c>
      <c r="E97" s="30">
        <f ca="1" t="array" ref="E97">INDEX(Data_DBD!$E:$E,$A97)</f>
        <v>1</v>
      </c>
      <c r="F97" s="30">
        <f ca="1" t="array" ref="F97">INDEX(Data_DBD!$F:$F,$A97)</f>
        <v>2</v>
      </c>
      <c r="H97" s="30">
        <v>66</v>
      </c>
      <c r="I97" s="30">
        <v>21</v>
      </c>
      <c r="J97" s="30">
        <v>5</v>
      </c>
      <c r="K97" s="30">
        <v>15</v>
      </c>
      <c r="L97" s="30">
        <v>1</v>
      </c>
      <c r="M97" s="30">
        <v>2</v>
      </c>
    </row>
    <row r="98" spans="1:13">
      <c r="A98" s="30">
        <f ca="1" t="shared" si="1"/>
        <v>150</v>
      </c>
      <c r="B98" s="30">
        <f ca="1" t="array" ref="B98">INDEX(Data_DBD!$B:$B,$A98)</f>
        <v>61</v>
      </c>
      <c r="C98" s="30">
        <f ca="1" t="array" ref="C98">INDEX(Data_DBD!$C:$C,$A98)</f>
        <v>5</v>
      </c>
      <c r="D98" s="30">
        <f ca="1" t="array" ref="D98">INDEX(Data_DBD!$D:$D,$A98)</f>
        <v>21</v>
      </c>
      <c r="E98" s="30">
        <f ca="1" t="array" ref="E98">INDEX(Data_DBD!$E:$E,$A98)</f>
        <v>1</v>
      </c>
      <c r="F98" s="30">
        <f ca="1" t="array" ref="F98">INDEX(Data_DBD!$F:$F,$A98)</f>
        <v>3</v>
      </c>
      <c r="H98" s="30">
        <v>139</v>
      </c>
      <c r="I98" s="30">
        <v>52</v>
      </c>
      <c r="J98" s="30">
        <v>7</v>
      </c>
      <c r="K98" s="30">
        <v>21</v>
      </c>
      <c r="L98" s="30">
        <v>0</v>
      </c>
      <c r="M98" s="30">
        <v>3</v>
      </c>
    </row>
    <row r="99" spans="1:13">
      <c r="A99" s="30">
        <f ca="1" t="shared" si="1"/>
        <v>158</v>
      </c>
      <c r="B99" s="30">
        <f ca="1" t="array" ref="B99">INDEX(Data_DBD!$B:$B,$A99)</f>
        <v>5</v>
      </c>
      <c r="C99" s="30">
        <f ca="1" t="array" ref="C99">INDEX(Data_DBD!$C:$C,$A99)</f>
        <v>2</v>
      </c>
      <c r="D99" s="30">
        <f ca="1" t="array" ref="D99">INDEX(Data_DBD!$D:$D,$A99)</f>
        <v>21</v>
      </c>
      <c r="E99" s="30">
        <f ca="1" t="array" ref="E99">INDEX(Data_DBD!$E:$E,$A99)</f>
        <v>0</v>
      </c>
      <c r="F99" s="30">
        <f ca="1" t="array" ref="F99">INDEX(Data_DBD!$F:$F,$A99)</f>
        <v>3</v>
      </c>
      <c r="H99" s="30">
        <v>111</v>
      </c>
      <c r="I99" s="30">
        <v>25</v>
      </c>
      <c r="J99" s="30">
        <v>4</v>
      </c>
      <c r="K99" s="30">
        <v>33</v>
      </c>
      <c r="L99" s="30">
        <v>0</v>
      </c>
      <c r="M99" s="30">
        <v>3</v>
      </c>
    </row>
    <row r="100" spans="1:13">
      <c r="A100" s="30">
        <f ca="1" t="shared" si="1"/>
        <v>107</v>
      </c>
      <c r="B100" s="30">
        <f ca="1" t="array" ref="B100">INDEX(Data_DBD!$B:$B,$A100)</f>
        <v>48</v>
      </c>
      <c r="C100" s="30">
        <f ca="1" t="array" ref="C100">INDEX(Data_DBD!$C:$C,$A100)</f>
        <v>5</v>
      </c>
      <c r="D100" s="30">
        <f ca="1" t="array" ref="D100">INDEX(Data_DBD!$D:$D,$A100)</f>
        <v>18</v>
      </c>
      <c r="E100" s="30">
        <f ca="1" t="array" ref="E100">INDEX(Data_DBD!$E:$E,$A100)</f>
        <v>0</v>
      </c>
      <c r="F100" s="30">
        <f ca="1" t="array" ref="F100">INDEX(Data_DBD!$F:$F,$A100)</f>
        <v>3</v>
      </c>
      <c r="H100" s="30">
        <v>114</v>
      </c>
      <c r="I100" s="30">
        <v>14</v>
      </c>
      <c r="J100" s="30">
        <v>2</v>
      </c>
      <c r="K100" s="30">
        <v>33</v>
      </c>
      <c r="L100" s="30">
        <v>1</v>
      </c>
      <c r="M100" s="30">
        <v>3</v>
      </c>
    </row>
    <row r="101" spans="1:13">
      <c r="A101" s="30">
        <f ca="1" t="shared" si="1"/>
        <v>64</v>
      </c>
      <c r="B101" s="30">
        <f ca="1" t="array" ref="B101">INDEX(Data_DBD!$B:$B,$A101)</f>
        <v>35</v>
      </c>
      <c r="C101" s="30">
        <f ca="1" t="array" ref="C101">INDEX(Data_DBD!$C:$C,$A101)</f>
        <v>1</v>
      </c>
      <c r="D101" s="30">
        <f ca="1" t="array" ref="D101">INDEX(Data_DBD!$D:$D,$A101)</f>
        <v>15</v>
      </c>
      <c r="E101" s="30">
        <f ca="1" t="array" ref="E101">INDEX(Data_DBD!$E:$E,$A101)</f>
        <v>0</v>
      </c>
      <c r="F101" s="30">
        <f ca="1" t="array" ref="F101">INDEX(Data_DBD!$F:$F,$A101)</f>
        <v>2</v>
      </c>
      <c r="H101" s="30">
        <v>79</v>
      </c>
      <c r="I101" s="30">
        <v>29</v>
      </c>
      <c r="J101" s="30">
        <v>3</v>
      </c>
      <c r="K101" s="30">
        <v>13</v>
      </c>
      <c r="L101" s="30">
        <v>0</v>
      </c>
      <c r="M101" s="30">
        <v>2</v>
      </c>
    </row>
    <row r="102" spans="1:13">
      <c r="A102" s="30">
        <f ca="1" t="shared" si="1"/>
        <v>113</v>
      </c>
      <c r="B102" s="30">
        <f ca="1" t="array" ref="B102">INDEX(Data_DBD!$B:$B,$A102)</f>
        <v>69</v>
      </c>
      <c r="C102" s="30">
        <f ca="1" t="array" ref="C102">INDEX(Data_DBD!$C:$C,$A102)</f>
        <v>1</v>
      </c>
      <c r="D102" s="30">
        <f ca="1" t="array" ref="D102">INDEX(Data_DBD!$D:$D,$A102)</f>
        <v>33</v>
      </c>
      <c r="E102" s="30">
        <f ca="1" t="array" ref="E102">INDEX(Data_DBD!$E:$E,$A102)</f>
        <v>1</v>
      </c>
      <c r="F102" s="30">
        <f ca="1" t="array" ref="F102">INDEX(Data_DBD!$F:$F,$A102)</f>
        <v>3</v>
      </c>
      <c r="H102" s="30">
        <v>41</v>
      </c>
      <c r="I102" s="30">
        <v>8</v>
      </c>
      <c r="J102" s="30">
        <v>4</v>
      </c>
      <c r="K102" s="30">
        <v>13</v>
      </c>
      <c r="L102" s="30">
        <v>0</v>
      </c>
      <c r="M102" s="30">
        <v>2</v>
      </c>
    </row>
    <row r="103" spans="1:13">
      <c r="A103" s="30">
        <f ca="1" t="shared" si="1"/>
        <v>14</v>
      </c>
      <c r="B103" s="30">
        <f ca="1" t="array" ref="B103">INDEX(Data_DBD!$B:$B,$A103)</f>
        <v>49</v>
      </c>
      <c r="C103" s="30">
        <f ca="1" t="array" ref="C103">INDEX(Data_DBD!$C:$C,$A103)</f>
        <v>4</v>
      </c>
      <c r="D103" s="30">
        <f ca="1" t="array" ref="D103">INDEX(Data_DBD!$D:$D,$A103)</f>
        <v>7</v>
      </c>
      <c r="E103" s="30">
        <f ca="1" t="array" ref="E103">INDEX(Data_DBD!$E:$E,$A103)</f>
        <v>1</v>
      </c>
      <c r="F103" s="30">
        <f ca="1" t="array" ref="F103">INDEX(Data_DBD!$F:$F,$A103)</f>
        <v>1</v>
      </c>
      <c r="H103" s="30">
        <v>145</v>
      </c>
      <c r="I103" s="30">
        <v>28</v>
      </c>
      <c r="J103" s="30">
        <v>4</v>
      </c>
      <c r="K103" s="30">
        <v>21</v>
      </c>
      <c r="L103" s="30">
        <v>1</v>
      </c>
      <c r="M103" s="30">
        <v>3</v>
      </c>
    </row>
    <row r="104" spans="1:13">
      <c r="A104" s="30">
        <f ca="1" t="shared" si="1"/>
        <v>113</v>
      </c>
      <c r="B104" s="30">
        <f ca="1" t="array" ref="B104">INDEX(Data_DBD!$B:$B,$A104)</f>
        <v>69</v>
      </c>
      <c r="C104" s="30">
        <f ca="1" t="array" ref="C104">INDEX(Data_DBD!$C:$C,$A104)</f>
        <v>1</v>
      </c>
      <c r="D104" s="30">
        <f ca="1" t="array" ref="D104">INDEX(Data_DBD!$D:$D,$A104)</f>
        <v>33</v>
      </c>
      <c r="E104" s="30">
        <f ca="1" t="array" ref="E104">INDEX(Data_DBD!$E:$E,$A104)</f>
        <v>1</v>
      </c>
      <c r="F104" s="30">
        <f ca="1" t="array" ref="F104">INDEX(Data_DBD!$F:$F,$A104)</f>
        <v>3</v>
      </c>
      <c r="H104" s="30">
        <v>116</v>
      </c>
      <c r="I104" s="30">
        <v>32</v>
      </c>
      <c r="J104" s="30">
        <v>4</v>
      </c>
      <c r="K104" s="30">
        <v>33</v>
      </c>
      <c r="L104" s="30">
        <v>1</v>
      </c>
      <c r="M104" s="30">
        <v>3</v>
      </c>
    </row>
    <row r="105" spans="1:13">
      <c r="A105" s="30">
        <f ca="1" t="shared" si="1"/>
        <v>79</v>
      </c>
      <c r="B105" s="30">
        <f ca="1" t="array" ref="B105">INDEX(Data_DBD!$B:$B,$A105)</f>
        <v>29</v>
      </c>
      <c r="C105" s="30">
        <f ca="1" t="array" ref="C105">INDEX(Data_DBD!$C:$C,$A105)</f>
        <v>3</v>
      </c>
      <c r="D105" s="30">
        <f ca="1" t="array" ref="D105">INDEX(Data_DBD!$D:$D,$A105)</f>
        <v>13</v>
      </c>
      <c r="E105" s="30">
        <f ca="1" t="array" ref="E105">INDEX(Data_DBD!$E:$E,$A105)</f>
        <v>0</v>
      </c>
      <c r="F105" s="30">
        <f ca="1" t="array" ref="F105">INDEX(Data_DBD!$F:$F,$A105)</f>
        <v>2</v>
      </c>
      <c r="H105" s="30">
        <v>2</v>
      </c>
      <c r="I105" s="30">
        <v>34</v>
      </c>
      <c r="J105" s="30">
        <v>3</v>
      </c>
      <c r="K105" s="30">
        <v>12</v>
      </c>
      <c r="L105" s="30">
        <v>0</v>
      </c>
      <c r="M105" s="30">
        <v>2</v>
      </c>
    </row>
    <row r="106" spans="1:13">
      <c r="A106" s="30">
        <f ca="1" t="shared" si="1"/>
        <v>56</v>
      </c>
      <c r="B106" s="30">
        <f ca="1" t="array" ref="B106">INDEX(Data_DBD!$B:$B,$A106)</f>
        <v>4</v>
      </c>
      <c r="C106" s="30">
        <f ca="1" t="array" ref="C106">INDEX(Data_DBD!$C:$C,$A106)</f>
        <v>3</v>
      </c>
      <c r="D106" s="30">
        <f ca="1" t="array" ref="D106">INDEX(Data_DBD!$D:$D,$A106)</f>
        <v>15</v>
      </c>
      <c r="E106" s="30">
        <f ca="1" t="array" ref="E106">INDEX(Data_DBD!$E:$E,$A106)</f>
        <v>0</v>
      </c>
      <c r="F106" s="30">
        <f ca="1" t="array" ref="F106">INDEX(Data_DBD!$F:$F,$A106)</f>
        <v>2</v>
      </c>
      <c r="H106" s="30">
        <v>138</v>
      </c>
      <c r="I106" s="30">
        <v>13</v>
      </c>
      <c r="J106" s="30">
        <v>3</v>
      </c>
      <c r="K106" s="30">
        <v>33</v>
      </c>
      <c r="L106" s="30">
        <v>1</v>
      </c>
      <c r="M106" s="30">
        <v>3</v>
      </c>
    </row>
    <row r="107" spans="1:13">
      <c r="A107" s="30">
        <f ca="1" t="shared" si="1"/>
        <v>55</v>
      </c>
      <c r="B107" s="30">
        <f ca="1" t="array" ref="B107">INDEX(Data_DBD!$B:$B,$A107)</f>
        <v>7</v>
      </c>
      <c r="C107" s="30">
        <f ca="1" t="array" ref="C107">INDEX(Data_DBD!$C:$C,$A107)</f>
        <v>4</v>
      </c>
      <c r="D107" s="30">
        <f ca="1" t="array" ref="D107">INDEX(Data_DBD!$D:$D,$A107)</f>
        <v>15</v>
      </c>
      <c r="E107" s="30">
        <f ca="1" t="array" ref="E107">INDEX(Data_DBD!$E:$E,$A107)</f>
        <v>1</v>
      </c>
      <c r="F107" s="30">
        <f ca="1" t="array" ref="F107">INDEX(Data_DBD!$F:$F,$A107)</f>
        <v>2</v>
      </c>
      <c r="H107" s="30">
        <v>139</v>
      </c>
      <c r="I107" s="30">
        <v>52</v>
      </c>
      <c r="J107" s="30">
        <v>7</v>
      </c>
      <c r="K107" s="30">
        <v>21</v>
      </c>
      <c r="L107" s="30">
        <v>0</v>
      </c>
      <c r="M107" s="30">
        <v>3</v>
      </c>
    </row>
    <row r="108" spans="1:13">
      <c r="A108" s="30">
        <f ca="1" t="shared" si="1"/>
        <v>51</v>
      </c>
      <c r="B108" s="30">
        <f ca="1" t="array" ref="B108">INDEX(Data_DBD!$B:$B,$A108)</f>
        <v>48</v>
      </c>
      <c r="C108" s="30">
        <f ca="1" t="array" ref="C108">INDEX(Data_DBD!$C:$C,$A108)</f>
        <v>4</v>
      </c>
      <c r="D108" s="30">
        <f ca="1" t="array" ref="D108">INDEX(Data_DBD!$D:$D,$A108)</f>
        <v>13</v>
      </c>
      <c r="E108" s="30">
        <f ca="1" t="array" ref="E108">INDEX(Data_DBD!$E:$E,$A108)</f>
        <v>0</v>
      </c>
      <c r="F108" s="30">
        <f ca="1" t="array" ref="F108">INDEX(Data_DBD!$F:$F,$A108)</f>
        <v>2</v>
      </c>
      <c r="H108" s="30">
        <v>7</v>
      </c>
      <c r="I108" s="30">
        <v>12</v>
      </c>
      <c r="J108" s="30">
        <v>1</v>
      </c>
      <c r="K108" s="30">
        <v>12</v>
      </c>
      <c r="L108" s="30">
        <v>1</v>
      </c>
      <c r="M108" s="30">
        <v>2</v>
      </c>
    </row>
    <row r="109" spans="1:13">
      <c r="A109" s="30">
        <f ca="1" t="shared" si="1"/>
        <v>11</v>
      </c>
      <c r="B109" s="30">
        <f ca="1" t="array" ref="B109">INDEX(Data_DBD!$B:$B,$A109)</f>
        <v>24</v>
      </c>
      <c r="C109" s="30">
        <f ca="1" t="array" ref="C109">INDEX(Data_DBD!$C:$C,$A109)</f>
        <v>5</v>
      </c>
      <c r="D109" s="30">
        <f ca="1" t="array" ref="D109">INDEX(Data_DBD!$D:$D,$A109)</f>
        <v>12</v>
      </c>
      <c r="E109" s="30">
        <f ca="1" t="array" ref="E109">INDEX(Data_DBD!$E:$E,$A109)</f>
        <v>1</v>
      </c>
      <c r="F109" s="30">
        <f ca="1" t="array" ref="F109">INDEX(Data_DBD!$F:$F,$A109)</f>
        <v>2</v>
      </c>
      <c r="H109" s="30">
        <v>107</v>
      </c>
      <c r="I109" s="30">
        <v>48</v>
      </c>
      <c r="J109" s="30">
        <v>5</v>
      </c>
      <c r="K109" s="30">
        <v>18</v>
      </c>
      <c r="L109" s="30">
        <v>0</v>
      </c>
      <c r="M109" s="30">
        <v>3</v>
      </c>
    </row>
    <row r="110" spans="1:13">
      <c r="A110" s="30">
        <f ca="1" t="shared" si="1"/>
        <v>39</v>
      </c>
      <c r="B110" s="30">
        <f ca="1" t="array" ref="B110">INDEX(Data_DBD!$B:$B,$A110)</f>
        <v>12</v>
      </c>
      <c r="C110" s="30">
        <f ca="1" t="array" ref="C110">INDEX(Data_DBD!$C:$C,$A110)</f>
        <v>5</v>
      </c>
      <c r="D110" s="30">
        <f ca="1" t="array" ref="D110">INDEX(Data_DBD!$D:$D,$A110)</f>
        <v>13</v>
      </c>
      <c r="E110" s="30">
        <f ca="1" t="array" ref="E110">INDEX(Data_DBD!$E:$E,$A110)</f>
        <v>1</v>
      </c>
      <c r="F110" s="30">
        <f ca="1" t="array" ref="F110">INDEX(Data_DBD!$F:$F,$A110)</f>
        <v>2</v>
      </c>
      <c r="H110" s="30">
        <v>108</v>
      </c>
      <c r="I110" s="30">
        <v>69</v>
      </c>
      <c r="J110" s="30">
        <v>7</v>
      </c>
      <c r="K110" s="30">
        <v>33</v>
      </c>
      <c r="L110" s="30">
        <v>1</v>
      </c>
      <c r="M110" s="30">
        <v>3</v>
      </c>
    </row>
    <row r="111" spans="1:13">
      <c r="A111" s="30">
        <f ca="1" t="shared" si="1"/>
        <v>38</v>
      </c>
      <c r="B111" s="30">
        <f ca="1" t="array" ref="B111">INDEX(Data_DBD!$B:$B,$A111)</f>
        <v>52</v>
      </c>
      <c r="C111" s="30">
        <f ca="1" t="array" ref="C111">INDEX(Data_DBD!$C:$C,$A111)</f>
        <v>3</v>
      </c>
      <c r="D111" s="30">
        <f ca="1" t="array" ref="D111">INDEX(Data_DBD!$D:$D,$A111)</f>
        <v>4</v>
      </c>
      <c r="E111" s="30">
        <f ca="1" t="array" ref="E111">INDEX(Data_DBD!$E:$E,$A111)</f>
        <v>1</v>
      </c>
      <c r="F111" s="30">
        <f ca="1" t="array" ref="F111">INDEX(Data_DBD!$F:$F,$A111)</f>
        <v>1</v>
      </c>
      <c r="H111" s="30">
        <v>100</v>
      </c>
      <c r="I111" s="30">
        <v>19</v>
      </c>
      <c r="J111" s="30">
        <v>6</v>
      </c>
      <c r="K111" s="30">
        <v>18</v>
      </c>
      <c r="L111" s="30">
        <v>0</v>
      </c>
      <c r="M111" s="30">
        <v>3</v>
      </c>
    </row>
    <row r="112" spans="1:13">
      <c r="A112" s="30">
        <f ca="1" t="shared" si="1"/>
        <v>96</v>
      </c>
      <c r="B112" s="30">
        <f ca="1" t="array" ref="B112">INDEX(Data_DBD!$B:$B,$A112)</f>
        <v>56</v>
      </c>
      <c r="C112" s="30">
        <f ca="1" t="array" ref="C112">INDEX(Data_DBD!$C:$C,$A112)</f>
        <v>4</v>
      </c>
      <c r="D112" s="30">
        <f ca="1" t="array" ref="D112">INDEX(Data_DBD!$D:$D,$A112)</f>
        <v>18</v>
      </c>
      <c r="E112" s="30">
        <f ca="1" t="array" ref="E112">INDEX(Data_DBD!$E:$E,$A112)</f>
        <v>0</v>
      </c>
      <c r="F112" s="30">
        <f ca="1" t="array" ref="F112">INDEX(Data_DBD!$F:$F,$A112)</f>
        <v>3</v>
      </c>
      <c r="H112" s="30">
        <v>104</v>
      </c>
      <c r="I112" s="30">
        <v>37</v>
      </c>
      <c r="J112" s="30">
        <v>4</v>
      </c>
      <c r="K112" s="30">
        <v>18</v>
      </c>
      <c r="L112" s="30">
        <v>1</v>
      </c>
      <c r="M112" s="30">
        <v>3</v>
      </c>
    </row>
    <row r="113" spans="1:13">
      <c r="A113" s="30">
        <f ca="1" t="shared" si="1"/>
        <v>125</v>
      </c>
      <c r="B113" s="30">
        <f ca="1" t="array" ref="B113">INDEX(Data_DBD!$B:$B,$A113)</f>
        <v>39</v>
      </c>
      <c r="C113" s="30">
        <f ca="1" t="array" ref="C113">INDEX(Data_DBD!$C:$C,$A113)</f>
        <v>4</v>
      </c>
      <c r="D113" s="30">
        <f ca="1" t="array" ref="D113">INDEX(Data_DBD!$D:$D,$A113)</f>
        <v>33</v>
      </c>
      <c r="E113" s="30">
        <f ca="1" t="array" ref="E113">INDEX(Data_DBD!$E:$E,$A113)</f>
        <v>0</v>
      </c>
      <c r="F113" s="30">
        <f ca="1" t="array" ref="F113">INDEX(Data_DBD!$F:$F,$A113)</f>
        <v>3</v>
      </c>
      <c r="H113" s="30">
        <v>116</v>
      </c>
      <c r="I113" s="30">
        <v>32</v>
      </c>
      <c r="J113" s="30">
        <v>4</v>
      </c>
      <c r="K113" s="30">
        <v>33</v>
      </c>
      <c r="L113" s="30">
        <v>1</v>
      </c>
      <c r="M113" s="30">
        <v>3</v>
      </c>
    </row>
    <row r="114" spans="1:13">
      <c r="A114" s="30">
        <f ca="1" t="shared" si="1"/>
        <v>140</v>
      </c>
      <c r="B114" s="30">
        <f ca="1" t="array" ref="B114">INDEX(Data_DBD!$B:$B,$A114)</f>
        <v>74</v>
      </c>
      <c r="C114" s="30">
        <f ca="1" t="array" ref="C114">INDEX(Data_DBD!$C:$C,$A114)</f>
        <v>5</v>
      </c>
      <c r="D114" s="30">
        <f ca="1" t="array" ref="D114">INDEX(Data_DBD!$D:$D,$A114)</f>
        <v>21</v>
      </c>
      <c r="E114" s="30">
        <f ca="1" t="array" ref="E114">INDEX(Data_DBD!$E:$E,$A114)</f>
        <v>1</v>
      </c>
      <c r="F114" s="30">
        <f ca="1" t="array" ref="F114">INDEX(Data_DBD!$F:$F,$A114)</f>
        <v>3</v>
      </c>
      <c r="H114" s="30">
        <v>86</v>
      </c>
      <c r="I114" s="30">
        <v>23</v>
      </c>
      <c r="J114" s="30">
        <v>3</v>
      </c>
      <c r="K114" s="30">
        <v>13</v>
      </c>
      <c r="L114" s="30">
        <v>0</v>
      </c>
      <c r="M114" s="30">
        <v>2</v>
      </c>
    </row>
    <row r="115" spans="1:13">
      <c r="A115" s="30">
        <f ca="1" t="shared" si="1"/>
        <v>164</v>
      </c>
      <c r="B115" s="30">
        <f ca="1" t="array" ref="B115">INDEX(Data_DBD!$B:$B,$A115)</f>
        <v>10</v>
      </c>
      <c r="C115" s="30">
        <f ca="1" t="array" ref="C115">INDEX(Data_DBD!$C:$C,$A115)</f>
        <v>6</v>
      </c>
      <c r="D115" s="30">
        <f ca="1" t="array" ref="D115">INDEX(Data_DBD!$D:$D,$A115)</f>
        <v>3</v>
      </c>
      <c r="E115" s="30">
        <f ca="1" t="array" ref="E115">INDEX(Data_DBD!$E:$E,$A115)</f>
        <v>0</v>
      </c>
      <c r="F115" s="30">
        <f ca="1" t="array" ref="F115">INDEX(Data_DBD!$F:$F,$A115)</f>
        <v>1</v>
      </c>
      <c r="H115" s="30">
        <v>64</v>
      </c>
      <c r="I115" s="30">
        <v>35</v>
      </c>
      <c r="J115" s="30">
        <v>1</v>
      </c>
      <c r="K115" s="30">
        <v>15</v>
      </c>
      <c r="L115" s="30">
        <v>0</v>
      </c>
      <c r="M115" s="30">
        <v>2</v>
      </c>
    </row>
    <row r="116" spans="1:13">
      <c r="A116" s="30">
        <f ca="1" t="shared" si="1"/>
        <v>128</v>
      </c>
      <c r="B116" s="30">
        <f ca="1" t="array" ref="B116">INDEX(Data_DBD!$B:$B,$A116)</f>
        <v>38</v>
      </c>
      <c r="C116" s="30">
        <f ca="1" t="array" ref="C116">INDEX(Data_DBD!$C:$C,$A116)</f>
        <v>2</v>
      </c>
      <c r="D116" s="30">
        <f ca="1" t="array" ref="D116">INDEX(Data_DBD!$D:$D,$A116)</f>
        <v>33</v>
      </c>
      <c r="E116" s="30">
        <f ca="1" t="array" ref="E116">INDEX(Data_DBD!$E:$E,$A116)</f>
        <v>0</v>
      </c>
      <c r="F116" s="30">
        <f ca="1" t="array" ref="F116">INDEX(Data_DBD!$F:$F,$A116)</f>
        <v>3</v>
      </c>
      <c r="H116" s="30">
        <v>34</v>
      </c>
      <c r="I116" s="30">
        <v>55</v>
      </c>
      <c r="J116" s="30">
        <v>3</v>
      </c>
      <c r="K116" s="30">
        <v>14</v>
      </c>
      <c r="L116" s="30">
        <v>0</v>
      </c>
      <c r="M116" s="30">
        <v>2</v>
      </c>
    </row>
    <row r="117" spans="1:13">
      <c r="A117" s="30">
        <f ca="1" t="shared" si="1"/>
        <v>139</v>
      </c>
      <c r="B117" s="30">
        <f ca="1" t="array" ref="B117">INDEX(Data_DBD!$B:$B,$A117)</f>
        <v>52</v>
      </c>
      <c r="C117" s="30">
        <f ca="1" t="array" ref="C117">INDEX(Data_DBD!$C:$C,$A117)</f>
        <v>7</v>
      </c>
      <c r="D117" s="30">
        <f ca="1" t="array" ref="D117">INDEX(Data_DBD!$D:$D,$A117)</f>
        <v>21</v>
      </c>
      <c r="E117" s="30">
        <f ca="1" t="array" ref="E117">INDEX(Data_DBD!$E:$E,$A117)</f>
        <v>0</v>
      </c>
      <c r="F117" s="30">
        <f ca="1" t="array" ref="F117">INDEX(Data_DBD!$F:$F,$A117)</f>
        <v>3</v>
      </c>
      <c r="H117" s="30">
        <v>103</v>
      </c>
      <c r="I117" s="30">
        <v>22</v>
      </c>
      <c r="J117" s="30">
        <v>5</v>
      </c>
      <c r="K117" s="30">
        <v>18</v>
      </c>
      <c r="L117" s="30">
        <v>0</v>
      </c>
      <c r="M117" s="30">
        <v>3</v>
      </c>
    </row>
    <row r="118" spans="1:13">
      <c r="A118" s="30">
        <f ca="1" t="shared" si="1"/>
        <v>42</v>
      </c>
      <c r="B118" s="30">
        <f ca="1" t="array" ref="B118">INDEX(Data_DBD!$B:$B,$A118)</f>
        <v>21</v>
      </c>
      <c r="C118" s="30">
        <f ca="1" t="array" ref="C118">INDEX(Data_DBD!$C:$C,$A118)</f>
        <v>5</v>
      </c>
      <c r="D118" s="30">
        <f ca="1" t="array" ref="D118">INDEX(Data_DBD!$D:$D,$A118)</f>
        <v>13</v>
      </c>
      <c r="E118" s="30">
        <f ca="1" t="array" ref="E118">INDEX(Data_DBD!$E:$E,$A118)</f>
        <v>1</v>
      </c>
      <c r="F118" s="30">
        <f ca="1" t="array" ref="F118">INDEX(Data_DBD!$F:$F,$A118)</f>
        <v>2</v>
      </c>
      <c r="H118" s="30">
        <v>13</v>
      </c>
      <c r="I118" s="30">
        <v>47</v>
      </c>
      <c r="J118" s="30">
        <v>2</v>
      </c>
      <c r="K118" s="30">
        <v>12</v>
      </c>
      <c r="L118" s="30">
        <v>0</v>
      </c>
      <c r="M118" s="30">
        <v>2</v>
      </c>
    </row>
    <row r="119" spans="1:13">
      <c r="A119" s="30">
        <f ca="1" t="shared" si="1"/>
        <v>61</v>
      </c>
      <c r="B119" s="30">
        <f ca="1" t="array" ref="B119">INDEX(Data_DBD!$B:$B,$A119)</f>
        <v>29</v>
      </c>
      <c r="C119" s="30">
        <f ca="1" t="array" ref="C119">INDEX(Data_DBD!$C:$C,$A119)</f>
        <v>3</v>
      </c>
      <c r="D119" s="30">
        <f ca="1" t="array" ref="D119">INDEX(Data_DBD!$D:$D,$A119)</f>
        <v>15</v>
      </c>
      <c r="E119" s="30">
        <f ca="1" t="array" ref="E119">INDEX(Data_DBD!$E:$E,$A119)</f>
        <v>1</v>
      </c>
      <c r="F119" s="30">
        <f ca="1" t="array" ref="F119">INDEX(Data_DBD!$F:$F,$A119)</f>
        <v>2</v>
      </c>
      <c r="H119" s="30">
        <v>24</v>
      </c>
      <c r="I119" s="30">
        <v>60</v>
      </c>
      <c r="J119" s="30">
        <v>4</v>
      </c>
      <c r="K119" s="30">
        <v>14</v>
      </c>
      <c r="L119" s="30">
        <v>0</v>
      </c>
      <c r="M119" s="30">
        <v>2</v>
      </c>
    </row>
    <row r="120" spans="1:13">
      <c r="A120" s="30">
        <f ca="1" t="shared" si="1"/>
        <v>56</v>
      </c>
      <c r="B120" s="30">
        <f ca="1" t="array" ref="B120">INDEX(Data_DBD!$B:$B,$A120)</f>
        <v>4</v>
      </c>
      <c r="C120" s="30">
        <f ca="1" t="array" ref="C120">INDEX(Data_DBD!$C:$C,$A120)</f>
        <v>3</v>
      </c>
      <c r="D120" s="30">
        <f ca="1" t="array" ref="D120">INDEX(Data_DBD!$D:$D,$A120)</f>
        <v>15</v>
      </c>
      <c r="E120" s="30">
        <f ca="1" t="array" ref="E120">INDEX(Data_DBD!$E:$E,$A120)</f>
        <v>0</v>
      </c>
      <c r="F120" s="30">
        <f ca="1" t="array" ref="F120">INDEX(Data_DBD!$F:$F,$A120)</f>
        <v>2</v>
      </c>
      <c r="H120" s="30">
        <v>154</v>
      </c>
      <c r="I120" s="30">
        <v>18</v>
      </c>
      <c r="J120" s="30">
        <v>5</v>
      </c>
      <c r="K120" s="30">
        <v>21</v>
      </c>
      <c r="L120" s="30">
        <v>1</v>
      </c>
      <c r="M120" s="30">
        <v>3</v>
      </c>
    </row>
    <row r="121" spans="1:13">
      <c r="A121" s="30">
        <f ca="1" t="shared" si="1"/>
        <v>18</v>
      </c>
      <c r="B121" s="30">
        <f ca="1" t="array" ref="B121">INDEX(Data_DBD!$B:$B,$A121)</f>
        <v>49</v>
      </c>
      <c r="C121" s="30">
        <f ca="1" t="array" ref="C121">INDEX(Data_DBD!$C:$C,$A121)</f>
        <v>4</v>
      </c>
      <c r="D121" s="30">
        <f ca="1" t="array" ref="D121">INDEX(Data_DBD!$D:$D,$A121)</f>
        <v>7</v>
      </c>
      <c r="E121" s="30">
        <f ca="1" t="array" ref="E121">INDEX(Data_DBD!$E:$E,$A121)</f>
        <v>1</v>
      </c>
      <c r="F121" s="30">
        <f ca="1" t="array" ref="F121">INDEX(Data_DBD!$F:$F,$A121)</f>
        <v>1</v>
      </c>
      <c r="H121" s="30">
        <v>92</v>
      </c>
      <c r="I121" s="30">
        <v>55</v>
      </c>
      <c r="J121" s="30">
        <v>7</v>
      </c>
      <c r="K121" s="30">
        <v>18</v>
      </c>
      <c r="L121" s="30">
        <v>0</v>
      </c>
      <c r="M121" s="30">
        <v>3</v>
      </c>
    </row>
    <row r="122" spans="1:13">
      <c r="A122" s="30">
        <f ca="1" t="shared" si="1"/>
        <v>113</v>
      </c>
      <c r="B122" s="30">
        <f ca="1" t="array" ref="B122">INDEX(Data_DBD!$B:$B,$A122)</f>
        <v>69</v>
      </c>
      <c r="C122" s="30">
        <f ca="1" t="array" ref="C122">INDEX(Data_DBD!$C:$C,$A122)</f>
        <v>1</v>
      </c>
      <c r="D122" s="30">
        <f ca="1" t="array" ref="D122">INDEX(Data_DBD!$D:$D,$A122)</f>
        <v>33</v>
      </c>
      <c r="E122" s="30">
        <f ca="1" t="array" ref="E122">INDEX(Data_DBD!$E:$E,$A122)</f>
        <v>1</v>
      </c>
      <c r="F122" s="30">
        <f ca="1" t="array" ref="F122">INDEX(Data_DBD!$F:$F,$A122)</f>
        <v>3</v>
      </c>
      <c r="H122" s="30">
        <v>115</v>
      </c>
      <c r="I122" s="30">
        <v>52</v>
      </c>
      <c r="J122" s="30">
        <v>3</v>
      </c>
      <c r="K122" s="30">
        <v>33</v>
      </c>
      <c r="L122" s="30">
        <v>1</v>
      </c>
      <c r="M122" s="30">
        <v>3</v>
      </c>
    </row>
    <row r="123" spans="1:13">
      <c r="A123" s="30">
        <f ca="1" t="shared" si="1"/>
        <v>150</v>
      </c>
      <c r="B123" s="30">
        <f ca="1" t="array" ref="B123">INDEX(Data_DBD!$B:$B,$A123)</f>
        <v>61</v>
      </c>
      <c r="C123" s="30">
        <f ca="1" t="array" ref="C123">INDEX(Data_DBD!$C:$C,$A123)</f>
        <v>5</v>
      </c>
      <c r="D123" s="30">
        <f ca="1" t="array" ref="D123">INDEX(Data_DBD!$D:$D,$A123)</f>
        <v>21</v>
      </c>
      <c r="E123" s="30">
        <f ca="1" t="array" ref="E123">INDEX(Data_DBD!$E:$E,$A123)</f>
        <v>1</v>
      </c>
      <c r="F123" s="30">
        <f ca="1" t="array" ref="F123">INDEX(Data_DBD!$F:$F,$A123)</f>
        <v>3</v>
      </c>
      <c r="H123" s="30">
        <v>11</v>
      </c>
      <c r="I123" s="30">
        <v>24</v>
      </c>
      <c r="J123" s="30">
        <v>5</v>
      </c>
      <c r="K123" s="30">
        <v>12</v>
      </c>
      <c r="L123" s="30">
        <v>1</v>
      </c>
      <c r="M123" s="30">
        <v>2</v>
      </c>
    </row>
    <row r="124" spans="1:13">
      <c r="A124" s="30">
        <f ca="1" t="shared" si="1"/>
        <v>55</v>
      </c>
      <c r="B124" s="30">
        <f ca="1" t="array" ref="B124">INDEX(Data_DBD!$B:$B,$A124)</f>
        <v>7</v>
      </c>
      <c r="C124" s="30">
        <f ca="1" t="array" ref="C124">INDEX(Data_DBD!$C:$C,$A124)</f>
        <v>4</v>
      </c>
      <c r="D124" s="30">
        <f ca="1" t="array" ref="D124">INDEX(Data_DBD!$D:$D,$A124)</f>
        <v>15</v>
      </c>
      <c r="E124" s="30">
        <f ca="1" t="array" ref="E124">INDEX(Data_DBD!$E:$E,$A124)</f>
        <v>1</v>
      </c>
      <c r="F124" s="30">
        <f ca="1" t="array" ref="F124">INDEX(Data_DBD!$F:$F,$A124)</f>
        <v>2</v>
      </c>
      <c r="H124" s="30">
        <v>137</v>
      </c>
      <c r="I124" s="30">
        <v>3.5</v>
      </c>
      <c r="J124" s="30">
        <v>1</v>
      </c>
      <c r="K124" s="30">
        <v>33</v>
      </c>
      <c r="L124" s="30">
        <v>1</v>
      </c>
      <c r="M124" s="30">
        <v>3</v>
      </c>
    </row>
    <row r="125" spans="1:13">
      <c r="A125" s="30">
        <f ca="1" t="shared" si="1"/>
        <v>139</v>
      </c>
      <c r="B125" s="30">
        <f ca="1" t="array" ref="B125">INDEX(Data_DBD!$B:$B,$A125)</f>
        <v>52</v>
      </c>
      <c r="C125" s="30">
        <f ca="1" t="array" ref="C125">INDEX(Data_DBD!$C:$C,$A125)</f>
        <v>7</v>
      </c>
      <c r="D125" s="30">
        <f ca="1" t="array" ref="D125">INDEX(Data_DBD!$D:$D,$A125)</f>
        <v>21</v>
      </c>
      <c r="E125" s="30">
        <f ca="1" t="array" ref="E125">INDEX(Data_DBD!$E:$E,$A125)</f>
        <v>0</v>
      </c>
      <c r="F125" s="30">
        <f ca="1" t="array" ref="F125">INDEX(Data_DBD!$F:$F,$A125)</f>
        <v>3</v>
      </c>
      <c r="H125" s="30">
        <v>159</v>
      </c>
      <c r="I125" s="30">
        <v>17</v>
      </c>
      <c r="J125" s="30">
        <v>2</v>
      </c>
      <c r="K125" s="30">
        <v>21</v>
      </c>
      <c r="L125" s="30">
        <v>0</v>
      </c>
      <c r="M125" s="30">
        <v>3</v>
      </c>
    </row>
    <row r="126" spans="1:13">
      <c r="A126" s="30">
        <f ca="1" t="shared" si="1"/>
        <v>71</v>
      </c>
      <c r="B126" s="30">
        <f ca="1" t="array" ref="B126">INDEX(Data_DBD!$B:$B,$A126)</f>
        <v>84</v>
      </c>
      <c r="C126" s="30">
        <f ca="1" t="array" ref="C126">INDEX(Data_DBD!$C:$C,$A126)</f>
        <v>3</v>
      </c>
      <c r="D126" s="30">
        <f ca="1" t="array" ref="D126">INDEX(Data_DBD!$D:$D,$A126)</f>
        <v>10</v>
      </c>
      <c r="E126" s="30">
        <f ca="1" t="array" ref="E126">INDEX(Data_DBD!$E:$E,$A126)</f>
        <v>0</v>
      </c>
      <c r="F126" s="30">
        <f ca="1" t="array" ref="F126">INDEX(Data_DBD!$F:$F,$A126)</f>
        <v>2</v>
      </c>
      <c r="H126" s="30">
        <v>164</v>
      </c>
      <c r="I126" s="30">
        <v>10</v>
      </c>
      <c r="J126" s="30">
        <v>6</v>
      </c>
      <c r="K126" s="30">
        <v>3</v>
      </c>
      <c r="L126" s="30">
        <v>0</v>
      </c>
      <c r="M126" s="30">
        <v>1</v>
      </c>
    </row>
    <row r="127" spans="1:13">
      <c r="A127" s="30">
        <f ca="1" t="shared" si="1"/>
        <v>61</v>
      </c>
      <c r="B127" s="30">
        <f ca="1" t="array" ref="B127">INDEX(Data_DBD!$B:$B,$A127)</f>
        <v>29</v>
      </c>
      <c r="C127" s="30">
        <f ca="1" t="array" ref="C127">INDEX(Data_DBD!$C:$C,$A127)</f>
        <v>3</v>
      </c>
      <c r="D127" s="30">
        <f ca="1" t="array" ref="D127">INDEX(Data_DBD!$D:$D,$A127)</f>
        <v>15</v>
      </c>
      <c r="E127" s="30">
        <f ca="1" t="array" ref="E127">INDEX(Data_DBD!$E:$E,$A127)</f>
        <v>1</v>
      </c>
      <c r="F127" s="30">
        <f ca="1" t="array" ref="F127">INDEX(Data_DBD!$F:$F,$A127)</f>
        <v>2</v>
      </c>
      <c r="H127" s="30">
        <v>69</v>
      </c>
      <c r="I127" s="30">
        <v>24</v>
      </c>
      <c r="J127" s="30">
        <v>4</v>
      </c>
      <c r="K127" s="30">
        <v>10</v>
      </c>
      <c r="L127" s="30">
        <v>1</v>
      </c>
      <c r="M127" s="30">
        <v>2</v>
      </c>
    </row>
    <row r="128" spans="1:13">
      <c r="A128" s="30">
        <f ca="1" t="shared" si="1"/>
        <v>63</v>
      </c>
      <c r="B128" s="30">
        <f ca="1" t="array" ref="B128">INDEX(Data_DBD!$B:$B,$A128)</f>
        <v>25</v>
      </c>
      <c r="C128" s="30">
        <f ca="1" t="array" ref="C128">INDEX(Data_DBD!$C:$C,$A128)</f>
        <v>3</v>
      </c>
      <c r="D128" s="30">
        <f ca="1" t="array" ref="D128">INDEX(Data_DBD!$D:$D,$A128)</f>
        <v>15</v>
      </c>
      <c r="E128" s="30">
        <f ca="1" t="array" ref="E128">INDEX(Data_DBD!$E:$E,$A128)</f>
        <v>0</v>
      </c>
      <c r="F128" s="30">
        <f ca="1" t="array" ref="F128">INDEX(Data_DBD!$F:$F,$A128)</f>
        <v>2</v>
      </c>
      <c r="H128" s="30">
        <v>105</v>
      </c>
      <c r="I128" s="30">
        <v>61</v>
      </c>
      <c r="J128" s="30">
        <v>3</v>
      </c>
      <c r="K128" s="30">
        <v>18</v>
      </c>
      <c r="L128" s="30">
        <v>1</v>
      </c>
      <c r="M128" s="30">
        <v>3</v>
      </c>
    </row>
    <row r="129" spans="1:13">
      <c r="A129" s="30">
        <f ca="1" t="shared" si="1"/>
        <v>153</v>
      </c>
      <c r="B129" s="30">
        <f ca="1" t="array" ref="B129">INDEX(Data_DBD!$B:$B,$A129)</f>
        <v>73</v>
      </c>
      <c r="C129" s="30">
        <f ca="1" t="array" ref="C129">INDEX(Data_DBD!$C:$C,$A129)</f>
        <v>7</v>
      </c>
      <c r="D129" s="30">
        <f ca="1" t="array" ref="D129">INDEX(Data_DBD!$D:$D,$A129)</f>
        <v>21</v>
      </c>
      <c r="E129" s="30">
        <f ca="1" t="array" ref="E129">INDEX(Data_DBD!$E:$E,$A129)</f>
        <v>1</v>
      </c>
      <c r="F129" s="30">
        <f ca="1" t="array" ref="F129">INDEX(Data_DBD!$F:$F,$A129)</f>
        <v>3</v>
      </c>
      <c r="H129" s="30">
        <v>148</v>
      </c>
      <c r="I129" s="30">
        <v>55</v>
      </c>
      <c r="J129" s="30">
        <v>3</v>
      </c>
      <c r="K129" s="30">
        <v>21</v>
      </c>
      <c r="L129" s="30">
        <v>1</v>
      </c>
      <c r="M129" s="30">
        <v>3</v>
      </c>
    </row>
    <row r="130" spans="1:13">
      <c r="A130" s="30">
        <f ca="1" t="shared" si="1"/>
        <v>25</v>
      </c>
      <c r="B130" s="30">
        <f ca="1" t="array" ref="B130">INDEX(Data_DBD!$B:$B,$A130)</f>
        <v>81</v>
      </c>
      <c r="C130" s="30">
        <f ca="1" t="array" ref="C130">INDEX(Data_DBD!$C:$C,$A130)</f>
        <v>5</v>
      </c>
      <c r="D130" s="30">
        <f ca="1" t="array" ref="D130">INDEX(Data_DBD!$D:$D,$A130)</f>
        <v>14</v>
      </c>
      <c r="E130" s="30">
        <f ca="1" t="array" ref="E130">INDEX(Data_DBD!$E:$E,$A130)</f>
        <v>0</v>
      </c>
      <c r="F130" s="30">
        <f ca="1" t="array" ref="F130">INDEX(Data_DBD!$F:$F,$A130)</f>
        <v>2</v>
      </c>
      <c r="H130" s="30">
        <v>37</v>
      </c>
      <c r="I130" s="30">
        <v>28</v>
      </c>
      <c r="J130" s="30">
        <v>4</v>
      </c>
      <c r="K130" s="30">
        <v>4</v>
      </c>
      <c r="L130" s="30">
        <v>1</v>
      </c>
      <c r="M130" s="30">
        <v>1</v>
      </c>
    </row>
    <row r="131" spans="1:13">
      <c r="A131" s="30">
        <f ca="1" t="shared" ref="A131:A164" si="2">RANDBETWEEN(2,164)</f>
        <v>163</v>
      </c>
      <c r="B131" s="30">
        <f ca="1" t="array" ref="B131">INDEX(Data_DBD!$B:$B,$A131)</f>
        <v>34</v>
      </c>
      <c r="C131" s="30">
        <f ca="1" t="array" ref="C131">INDEX(Data_DBD!$C:$C,$A131)</f>
        <v>4</v>
      </c>
      <c r="D131" s="30">
        <f ca="1" t="array" ref="D131">INDEX(Data_DBD!$D:$D,$A131)</f>
        <v>3</v>
      </c>
      <c r="E131" s="30">
        <f ca="1" t="array" ref="E131">INDEX(Data_DBD!$E:$E,$A131)</f>
        <v>1</v>
      </c>
      <c r="F131" s="30">
        <f ca="1" t="array" ref="F131">INDEX(Data_DBD!$F:$F,$A131)</f>
        <v>1</v>
      </c>
      <c r="H131" s="30">
        <v>131</v>
      </c>
      <c r="I131" s="30">
        <v>10</v>
      </c>
      <c r="J131" s="30">
        <v>2</v>
      </c>
      <c r="K131" s="30">
        <v>33</v>
      </c>
      <c r="L131" s="30">
        <v>0</v>
      </c>
      <c r="M131" s="30">
        <v>3</v>
      </c>
    </row>
    <row r="132" spans="1:13">
      <c r="A132" s="30">
        <f ca="1" t="shared" si="2"/>
        <v>35</v>
      </c>
      <c r="B132" s="30">
        <f ca="1" t="array" ref="B132">INDEX(Data_DBD!$B:$B,$A132)</f>
        <v>40</v>
      </c>
      <c r="C132" s="30">
        <f ca="1" t="array" ref="C132">INDEX(Data_DBD!$C:$C,$A132)</f>
        <v>3</v>
      </c>
      <c r="D132" s="30">
        <f ca="1" t="array" ref="D132">INDEX(Data_DBD!$D:$D,$A132)</f>
        <v>4</v>
      </c>
      <c r="E132" s="30">
        <f ca="1" t="array" ref="E132">INDEX(Data_DBD!$E:$E,$A132)</f>
        <v>1</v>
      </c>
      <c r="F132" s="30">
        <f ca="1" t="array" ref="F132">INDEX(Data_DBD!$F:$F,$A132)</f>
        <v>1</v>
      </c>
      <c r="H132" s="30">
        <v>67</v>
      </c>
      <c r="I132" s="30">
        <v>21</v>
      </c>
      <c r="J132" s="30">
        <v>3</v>
      </c>
      <c r="K132" s="30">
        <v>10</v>
      </c>
      <c r="L132" s="30">
        <v>1</v>
      </c>
      <c r="M132" s="30">
        <v>2</v>
      </c>
    </row>
    <row r="133" spans="1:13">
      <c r="A133" s="30">
        <f ca="1" t="shared" si="2"/>
        <v>107</v>
      </c>
      <c r="B133" s="30">
        <f ca="1" t="array" ref="B133">INDEX(Data_DBD!$B:$B,$A133)</f>
        <v>48</v>
      </c>
      <c r="C133" s="30">
        <f ca="1" t="array" ref="C133">INDEX(Data_DBD!$C:$C,$A133)</f>
        <v>5</v>
      </c>
      <c r="D133" s="30">
        <f ca="1" t="array" ref="D133">INDEX(Data_DBD!$D:$D,$A133)</f>
        <v>18</v>
      </c>
      <c r="E133" s="30">
        <f ca="1" t="array" ref="E133">INDEX(Data_DBD!$E:$E,$A133)</f>
        <v>0</v>
      </c>
      <c r="F133" s="30">
        <f ca="1" t="array" ref="F133">INDEX(Data_DBD!$F:$F,$A133)</f>
        <v>3</v>
      </c>
      <c r="H133" s="30">
        <v>129</v>
      </c>
      <c r="I133" s="30">
        <v>4.5</v>
      </c>
      <c r="J133" s="30">
        <v>3</v>
      </c>
      <c r="K133" s="30">
        <v>33</v>
      </c>
      <c r="L133" s="30">
        <v>0</v>
      </c>
      <c r="M133" s="30">
        <v>3</v>
      </c>
    </row>
    <row r="134" spans="1:13">
      <c r="A134" s="30">
        <f ca="1" t="shared" si="2"/>
        <v>161</v>
      </c>
      <c r="B134" s="30">
        <f ca="1" t="array" ref="B134">INDEX(Data_DBD!$B:$B,$A134)</f>
        <v>12</v>
      </c>
      <c r="C134" s="30">
        <f ca="1" t="array" ref="C134">INDEX(Data_DBD!$C:$C,$A134)</f>
        <v>3</v>
      </c>
      <c r="D134" s="30">
        <f ca="1" t="array" ref="D134">INDEX(Data_DBD!$D:$D,$A134)</f>
        <v>21</v>
      </c>
      <c r="E134" s="30">
        <f ca="1" t="array" ref="E134">INDEX(Data_DBD!$E:$E,$A134)</f>
        <v>1</v>
      </c>
      <c r="F134" s="30">
        <f ca="1" t="array" ref="F134">INDEX(Data_DBD!$F:$F,$A134)</f>
        <v>3</v>
      </c>
      <c r="H134" s="30">
        <v>131</v>
      </c>
      <c r="I134" s="30">
        <v>10</v>
      </c>
      <c r="J134" s="30">
        <v>2</v>
      </c>
      <c r="K134" s="30">
        <v>33</v>
      </c>
      <c r="L134" s="30">
        <v>0</v>
      </c>
      <c r="M134" s="30">
        <v>3</v>
      </c>
    </row>
    <row r="135" spans="1:13">
      <c r="A135" s="30">
        <f ca="1" t="shared" si="2"/>
        <v>145</v>
      </c>
      <c r="B135" s="30">
        <f ca="1" t="array" ref="B135">INDEX(Data_DBD!$B:$B,$A135)</f>
        <v>28</v>
      </c>
      <c r="C135" s="30">
        <f ca="1" t="array" ref="C135">INDEX(Data_DBD!$C:$C,$A135)</f>
        <v>4</v>
      </c>
      <c r="D135" s="30">
        <f ca="1" t="array" ref="D135">INDEX(Data_DBD!$D:$D,$A135)</f>
        <v>21</v>
      </c>
      <c r="E135" s="30">
        <f ca="1" t="array" ref="E135">INDEX(Data_DBD!$E:$E,$A135)</f>
        <v>1</v>
      </c>
      <c r="F135" s="30">
        <f ca="1" t="array" ref="F135">INDEX(Data_DBD!$F:$F,$A135)</f>
        <v>3</v>
      </c>
      <c r="H135" s="30">
        <v>151</v>
      </c>
      <c r="I135" s="30">
        <v>24</v>
      </c>
      <c r="J135" s="30">
        <v>3</v>
      </c>
      <c r="K135" s="30">
        <v>21</v>
      </c>
      <c r="L135" s="30">
        <v>0</v>
      </c>
      <c r="M135" s="30">
        <v>3</v>
      </c>
    </row>
    <row r="136" spans="1:13">
      <c r="A136" s="30">
        <f ca="1" t="shared" si="2"/>
        <v>153</v>
      </c>
      <c r="B136" s="30">
        <f ca="1" t="array" ref="B136">INDEX(Data_DBD!$B:$B,$A136)</f>
        <v>73</v>
      </c>
      <c r="C136" s="30">
        <f ca="1" t="array" ref="C136">INDEX(Data_DBD!$C:$C,$A136)</f>
        <v>7</v>
      </c>
      <c r="D136" s="30">
        <f ca="1" t="array" ref="D136">INDEX(Data_DBD!$D:$D,$A136)</f>
        <v>21</v>
      </c>
      <c r="E136" s="30">
        <f ca="1" t="array" ref="E136">INDEX(Data_DBD!$E:$E,$A136)</f>
        <v>1</v>
      </c>
      <c r="F136" s="30">
        <f ca="1" t="array" ref="F136">INDEX(Data_DBD!$F:$F,$A136)</f>
        <v>3</v>
      </c>
      <c r="H136" s="30">
        <v>133</v>
      </c>
      <c r="I136" s="30">
        <v>6</v>
      </c>
      <c r="J136" s="30">
        <v>4</v>
      </c>
      <c r="K136" s="30">
        <v>33</v>
      </c>
      <c r="L136" s="30">
        <v>0</v>
      </c>
      <c r="M136" s="30">
        <v>3</v>
      </c>
    </row>
    <row r="137" spans="1:13">
      <c r="A137" s="30">
        <f ca="1" t="shared" si="2"/>
        <v>152</v>
      </c>
      <c r="B137" s="30">
        <f ca="1" t="array" ref="B137">INDEX(Data_DBD!$B:$B,$A137)</f>
        <v>47</v>
      </c>
      <c r="C137" s="30">
        <f ca="1" t="array" ref="C137">INDEX(Data_DBD!$C:$C,$A137)</f>
        <v>3</v>
      </c>
      <c r="D137" s="30">
        <f ca="1" t="array" ref="D137">INDEX(Data_DBD!$D:$D,$A137)</f>
        <v>21</v>
      </c>
      <c r="E137" s="30">
        <f ca="1" t="array" ref="E137">INDEX(Data_DBD!$E:$E,$A137)</f>
        <v>1</v>
      </c>
      <c r="F137" s="30">
        <f ca="1" t="array" ref="F137">INDEX(Data_DBD!$F:$F,$A137)</f>
        <v>3</v>
      </c>
      <c r="H137" s="30">
        <v>15</v>
      </c>
      <c r="I137" s="30">
        <v>21</v>
      </c>
      <c r="J137" s="30">
        <v>2</v>
      </c>
      <c r="K137" s="30">
        <v>7</v>
      </c>
      <c r="L137" s="30">
        <v>0</v>
      </c>
      <c r="M137" s="30">
        <v>1</v>
      </c>
    </row>
    <row r="138" spans="1:13">
      <c r="A138" s="30">
        <f ca="1" t="shared" si="2"/>
        <v>150</v>
      </c>
      <c r="B138" s="30">
        <f ca="1" t="array" ref="B138">INDEX(Data_DBD!$B:$B,$A138)</f>
        <v>61</v>
      </c>
      <c r="C138" s="30">
        <f ca="1" t="array" ref="C138">INDEX(Data_DBD!$C:$C,$A138)</f>
        <v>5</v>
      </c>
      <c r="D138" s="30">
        <f ca="1" t="array" ref="D138">INDEX(Data_DBD!$D:$D,$A138)</f>
        <v>21</v>
      </c>
      <c r="E138" s="30">
        <f ca="1" t="array" ref="E138">INDEX(Data_DBD!$E:$E,$A138)</f>
        <v>1</v>
      </c>
      <c r="F138" s="30">
        <f ca="1" t="array" ref="F138">INDEX(Data_DBD!$F:$F,$A138)</f>
        <v>3</v>
      </c>
      <c r="H138" s="30">
        <v>69</v>
      </c>
      <c r="I138" s="30">
        <v>24</v>
      </c>
      <c r="J138" s="30">
        <v>4</v>
      </c>
      <c r="K138" s="30">
        <v>10</v>
      </c>
      <c r="L138" s="30">
        <v>1</v>
      </c>
      <c r="M138" s="30">
        <v>2</v>
      </c>
    </row>
    <row r="139" spans="1:13">
      <c r="A139" s="30">
        <f ca="1" t="shared" si="2"/>
        <v>54</v>
      </c>
      <c r="B139" s="30">
        <f ca="1" t="array" ref="B139">INDEX(Data_DBD!$B:$B,$A139)</f>
        <v>7</v>
      </c>
      <c r="C139" s="30">
        <f ca="1" t="array" ref="C139">INDEX(Data_DBD!$C:$C,$A139)</f>
        <v>3</v>
      </c>
      <c r="D139" s="30">
        <f ca="1" t="array" ref="D139">INDEX(Data_DBD!$D:$D,$A139)</f>
        <v>15</v>
      </c>
      <c r="E139" s="30">
        <f ca="1" t="array" ref="E139">INDEX(Data_DBD!$E:$E,$A139)</f>
        <v>0</v>
      </c>
      <c r="F139" s="30">
        <f ca="1" t="array" ref="F139">INDEX(Data_DBD!$F:$F,$A139)</f>
        <v>2</v>
      </c>
      <c r="H139" s="30">
        <v>26</v>
      </c>
      <c r="I139" s="30">
        <v>75</v>
      </c>
      <c r="J139" s="30">
        <v>4</v>
      </c>
      <c r="K139" s="30">
        <v>14</v>
      </c>
      <c r="L139" s="30">
        <v>1</v>
      </c>
      <c r="M139" s="30">
        <v>2</v>
      </c>
    </row>
    <row r="140" spans="1:13">
      <c r="A140" s="30">
        <f ca="1" t="shared" si="2"/>
        <v>61</v>
      </c>
      <c r="B140" s="30">
        <f ca="1" t="array" ref="B140">INDEX(Data_DBD!$B:$B,$A140)</f>
        <v>29</v>
      </c>
      <c r="C140" s="30">
        <f ca="1" t="array" ref="C140">INDEX(Data_DBD!$C:$C,$A140)</f>
        <v>3</v>
      </c>
      <c r="D140" s="30">
        <f ca="1" t="array" ref="D140">INDEX(Data_DBD!$D:$D,$A140)</f>
        <v>15</v>
      </c>
      <c r="E140" s="30">
        <f ca="1" t="array" ref="E140">INDEX(Data_DBD!$E:$E,$A140)</f>
        <v>1</v>
      </c>
      <c r="F140" s="30">
        <f ca="1" t="array" ref="F140">INDEX(Data_DBD!$F:$F,$A140)</f>
        <v>2</v>
      </c>
      <c r="H140" s="30">
        <v>43</v>
      </c>
      <c r="I140" s="30">
        <v>15</v>
      </c>
      <c r="J140" s="30">
        <v>4</v>
      </c>
      <c r="K140" s="30">
        <v>13</v>
      </c>
      <c r="L140" s="30">
        <v>0</v>
      </c>
      <c r="M140" s="30">
        <v>2</v>
      </c>
    </row>
    <row r="141" spans="1:13">
      <c r="A141" s="30">
        <f ca="1" t="shared" si="2"/>
        <v>35</v>
      </c>
      <c r="B141" s="30">
        <f ca="1" t="array" ref="B141">INDEX(Data_DBD!$B:$B,$A141)</f>
        <v>40</v>
      </c>
      <c r="C141" s="30">
        <f ca="1" t="array" ref="C141">INDEX(Data_DBD!$C:$C,$A141)</f>
        <v>3</v>
      </c>
      <c r="D141" s="30">
        <f ca="1" t="array" ref="D141">INDEX(Data_DBD!$D:$D,$A141)</f>
        <v>4</v>
      </c>
      <c r="E141" s="30">
        <f ca="1" t="array" ref="E141">INDEX(Data_DBD!$E:$E,$A141)</f>
        <v>1</v>
      </c>
      <c r="F141" s="30">
        <f ca="1" t="array" ref="F141">INDEX(Data_DBD!$F:$F,$A141)</f>
        <v>1</v>
      </c>
      <c r="H141" s="30">
        <v>118</v>
      </c>
      <c r="I141" s="30">
        <v>67</v>
      </c>
      <c r="J141" s="30">
        <v>4</v>
      </c>
      <c r="K141" s="30">
        <v>33</v>
      </c>
      <c r="L141" s="30">
        <v>1</v>
      </c>
      <c r="M141" s="30">
        <v>3</v>
      </c>
    </row>
    <row r="142" spans="1:13">
      <c r="A142" s="30">
        <f ca="1" t="shared" si="2"/>
        <v>155</v>
      </c>
      <c r="B142" s="30">
        <f ca="1" t="array" ref="B142">INDEX(Data_DBD!$B:$B,$A142)</f>
        <v>19</v>
      </c>
      <c r="C142" s="30">
        <f ca="1" t="array" ref="C142">INDEX(Data_DBD!$C:$C,$A142)</f>
        <v>5</v>
      </c>
      <c r="D142" s="30">
        <f ca="1" t="array" ref="D142">INDEX(Data_DBD!$D:$D,$A142)</f>
        <v>21</v>
      </c>
      <c r="E142" s="30">
        <f ca="1" t="array" ref="E142">INDEX(Data_DBD!$E:$E,$A142)</f>
        <v>1</v>
      </c>
      <c r="F142" s="30">
        <f ca="1" t="array" ref="F142">INDEX(Data_DBD!$F:$F,$A142)</f>
        <v>3</v>
      </c>
      <c r="H142" s="30">
        <v>93</v>
      </c>
      <c r="I142" s="30">
        <v>65</v>
      </c>
      <c r="J142" s="30">
        <v>4</v>
      </c>
      <c r="K142" s="30">
        <v>18</v>
      </c>
      <c r="L142" s="30">
        <v>0</v>
      </c>
      <c r="M142" s="30">
        <v>3</v>
      </c>
    </row>
    <row r="143" spans="1:13">
      <c r="A143" s="30">
        <f ca="1" t="shared" si="2"/>
        <v>155</v>
      </c>
      <c r="B143" s="30">
        <f ca="1" t="array" ref="B143">INDEX(Data_DBD!$B:$B,$A143)</f>
        <v>19</v>
      </c>
      <c r="C143" s="30">
        <f ca="1" t="array" ref="C143">INDEX(Data_DBD!$C:$C,$A143)</f>
        <v>5</v>
      </c>
      <c r="D143" s="30">
        <f ca="1" t="array" ref="D143">INDEX(Data_DBD!$D:$D,$A143)</f>
        <v>21</v>
      </c>
      <c r="E143" s="30">
        <f ca="1" t="array" ref="E143">INDEX(Data_DBD!$E:$E,$A143)</f>
        <v>1</v>
      </c>
      <c r="F143" s="30">
        <f ca="1" t="array" ref="F143">INDEX(Data_DBD!$F:$F,$A143)</f>
        <v>3</v>
      </c>
      <c r="H143" s="30">
        <v>73</v>
      </c>
      <c r="I143" s="30">
        <v>15</v>
      </c>
      <c r="J143" s="30">
        <v>3</v>
      </c>
      <c r="K143" s="30">
        <v>10</v>
      </c>
      <c r="L143" s="30">
        <v>1</v>
      </c>
      <c r="M143" s="30">
        <v>2</v>
      </c>
    </row>
    <row r="144" spans="1:13">
      <c r="A144" s="30">
        <f ca="1" t="shared" si="2"/>
        <v>109</v>
      </c>
      <c r="B144" s="30">
        <f ca="1" t="array" ref="B144">INDEX(Data_DBD!$B:$B,$A144)</f>
        <v>40</v>
      </c>
      <c r="C144" s="30">
        <f ca="1" t="array" ref="C144">INDEX(Data_DBD!$C:$C,$A144)</f>
        <v>3</v>
      </c>
      <c r="D144" s="30">
        <f ca="1" t="array" ref="D144">INDEX(Data_DBD!$D:$D,$A144)</f>
        <v>33</v>
      </c>
      <c r="E144" s="30">
        <f ca="1" t="array" ref="E144">INDEX(Data_DBD!$E:$E,$A144)</f>
        <v>1</v>
      </c>
      <c r="F144" s="30">
        <f ca="1" t="array" ref="F144">INDEX(Data_DBD!$F:$F,$A144)</f>
        <v>3</v>
      </c>
      <c r="H144" s="30">
        <v>47</v>
      </c>
      <c r="I144" s="30">
        <v>19</v>
      </c>
      <c r="J144" s="30">
        <v>2</v>
      </c>
      <c r="K144" s="30">
        <v>13</v>
      </c>
      <c r="L144" s="30">
        <v>0</v>
      </c>
      <c r="M144" s="30">
        <v>2</v>
      </c>
    </row>
    <row r="145" spans="1:13">
      <c r="A145" s="30">
        <f ca="1" t="shared" si="2"/>
        <v>45</v>
      </c>
      <c r="B145" s="30">
        <f ca="1" t="array" ref="B145">INDEX(Data_DBD!$B:$B,$A145)</f>
        <v>75</v>
      </c>
      <c r="C145" s="30">
        <f ca="1" t="array" ref="C145">INDEX(Data_DBD!$C:$C,$A145)</f>
        <v>3</v>
      </c>
      <c r="D145" s="30">
        <f ca="1" t="array" ref="D145">INDEX(Data_DBD!$D:$D,$A145)</f>
        <v>13</v>
      </c>
      <c r="E145" s="30">
        <f ca="1" t="array" ref="E145">INDEX(Data_DBD!$E:$E,$A145)</f>
        <v>1</v>
      </c>
      <c r="F145" s="30">
        <f ca="1" t="array" ref="F145">INDEX(Data_DBD!$F:$F,$A145)</f>
        <v>2</v>
      </c>
      <c r="H145" s="30">
        <v>122</v>
      </c>
      <c r="I145" s="30">
        <v>28</v>
      </c>
      <c r="J145" s="30">
        <v>3</v>
      </c>
      <c r="K145" s="30">
        <v>33</v>
      </c>
      <c r="L145" s="30">
        <v>1</v>
      </c>
      <c r="M145" s="30">
        <v>3</v>
      </c>
    </row>
    <row r="146" spans="1:13">
      <c r="A146" s="30">
        <f ca="1" t="shared" si="2"/>
        <v>61</v>
      </c>
      <c r="B146" s="30">
        <f ca="1" t="array" ref="B146">INDEX(Data_DBD!$B:$B,$A146)</f>
        <v>29</v>
      </c>
      <c r="C146" s="30">
        <f ca="1" t="array" ref="C146">INDEX(Data_DBD!$C:$C,$A146)</f>
        <v>3</v>
      </c>
      <c r="D146" s="30">
        <f ca="1" t="array" ref="D146">INDEX(Data_DBD!$D:$D,$A146)</f>
        <v>15</v>
      </c>
      <c r="E146" s="30">
        <f ca="1" t="array" ref="E146">INDEX(Data_DBD!$E:$E,$A146)</f>
        <v>1</v>
      </c>
      <c r="F146" s="30">
        <f ca="1" t="array" ref="F146">INDEX(Data_DBD!$F:$F,$A146)</f>
        <v>2</v>
      </c>
      <c r="H146" s="30">
        <v>66</v>
      </c>
      <c r="I146" s="30">
        <v>21</v>
      </c>
      <c r="J146" s="30">
        <v>5</v>
      </c>
      <c r="K146" s="30">
        <v>15</v>
      </c>
      <c r="L146" s="30">
        <v>1</v>
      </c>
      <c r="M146" s="30">
        <v>2</v>
      </c>
    </row>
    <row r="147" spans="1:13">
      <c r="A147" s="30">
        <f ca="1" t="shared" si="2"/>
        <v>158</v>
      </c>
      <c r="B147" s="30">
        <f ca="1" t="array" ref="B147">INDEX(Data_DBD!$B:$B,$A147)</f>
        <v>5</v>
      </c>
      <c r="C147" s="30">
        <f ca="1" t="array" ref="C147">INDEX(Data_DBD!$C:$C,$A147)</f>
        <v>2</v>
      </c>
      <c r="D147" s="30">
        <f ca="1" t="array" ref="D147">INDEX(Data_DBD!$D:$D,$A147)</f>
        <v>21</v>
      </c>
      <c r="E147" s="30">
        <f ca="1" t="array" ref="E147">INDEX(Data_DBD!$E:$E,$A147)</f>
        <v>0</v>
      </c>
      <c r="F147" s="30">
        <f ca="1" t="array" ref="F147">INDEX(Data_DBD!$F:$F,$A147)</f>
        <v>3</v>
      </c>
      <c r="H147" s="30">
        <v>14</v>
      </c>
      <c r="I147" s="30">
        <v>49</v>
      </c>
      <c r="J147" s="30">
        <v>4</v>
      </c>
      <c r="K147" s="30">
        <v>7</v>
      </c>
      <c r="L147" s="30">
        <v>1</v>
      </c>
      <c r="M147" s="30">
        <v>1</v>
      </c>
    </row>
    <row r="148" spans="1:13">
      <c r="A148" s="30">
        <f ca="1" t="shared" si="2"/>
        <v>56</v>
      </c>
      <c r="B148" s="30">
        <f ca="1" t="array" ref="B148">INDEX(Data_DBD!$B:$B,$A148)</f>
        <v>4</v>
      </c>
      <c r="C148" s="30">
        <f ca="1" t="array" ref="C148">INDEX(Data_DBD!$C:$C,$A148)</f>
        <v>3</v>
      </c>
      <c r="D148" s="30">
        <f ca="1" t="array" ref="D148">INDEX(Data_DBD!$D:$D,$A148)</f>
        <v>15</v>
      </c>
      <c r="E148" s="30">
        <f ca="1" t="array" ref="E148">INDEX(Data_DBD!$E:$E,$A148)</f>
        <v>0</v>
      </c>
      <c r="F148" s="30">
        <f ca="1" t="array" ref="F148">INDEX(Data_DBD!$F:$F,$A148)</f>
        <v>2</v>
      </c>
      <c r="H148" s="30">
        <v>59</v>
      </c>
      <c r="I148" s="30">
        <v>28</v>
      </c>
      <c r="J148" s="30">
        <v>4</v>
      </c>
      <c r="K148" s="30">
        <v>15</v>
      </c>
      <c r="L148" s="30">
        <v>0</v>
      </c>
      <c r="M148" s="30">
        <v>2</v>
      </c>
    </row>
    <row r="149" spans="1:13">
      <c r="A149" s="30">
        <f ca="1" t="shared" si="2"/>
        <v>120</v>
      </c>
      <c r="B149" s="30">
        <f ca="1" t="array" ref="B149">INDEX(Data_DBD!$B:$B,$A149)</f>
        <v>26</v>
      </c>
      <c r="C149" s="30">
        <f ca="1" t="array" ref="C149">INDEX(Data_DBD!$C:$C,$A149)</f>
        <v>4</v>
      </c>
      <c r="D149" s="30">
        <f ca="1" t="array" ref="D149">INDEX(Data_DBD!$D:$D,$A149)</f>
        <v>33</v>
      </c>
      <c r="E149" s="30">
        <f ca="1" t="array" ref="E149">INDEX(Data_DBD!$E:$E,$A149)</f>
        <v>1</v>
      </c>
      <c r="F149" s="30">
        <f ca="1" t="array" ref="F149">INDEX(Data_DBD!$F:$F,$A149)</f>
        <v>3</v>
      </c>
      <c r="H149" s="30">
        <v>93</v>
      </c>
      <c r="I149" s="30">
        <v>65</v>
      </c>
      <c r="J149" s="30">
        <v>4</v>
      </c>
      <c r="K149" s="30">
        <v>18</v>
      </c>
      <c r="L149" s="30">
        <v>0</v>
      </c>
      <c r="M149" s="30">
        <v>3</v>
      </c>
    </row>
    <row r="150" spans="1:13">
      <c r="A150" s="30">
        <f ca="1" t="shared" si="2"/>
        <v>35</v>
      </c>
      <c r="B150" s="30">
        <f ca="1" t="array" ref="B150">INDEX(Data_DBD!$B:$B,$A150)</f>
        <v>40</v>
      </c>
      <c r="C150" s="30">
        <f ca="1" t="array" ref="C150">INDEX(Data_DBD!$C:$C,$A150)</f>
        <v>3</v>
      </c>
      <c r="D150" s="30">
        <f ca="1" t="array" ref="D150">INDEX(Data_DBD!$D:$D,$A150)</f>
        <v>4</v>
      </c>
      <c r="E150" s="30">
        <f ca="1" t="array" ref="E150">INDEX(Data_DBD!$E:$E,$A150)</f>
        <v>1</v>
      </c>
      <c r="F150" s="30">
        <f ca="1" t="array" ref="F150">INDEX(Data_DBD!$F:$F,$A150)</f>
        <v>1</v>
      </c>
      <c r="H150" s="30">
        <v>48</v>
      </c>
      <c r="I150" s="30">
        <v>50</v>
      </c>
      <c r="J150" s="30">
        <v>5</v>
      </c>
      <c r="K150" s="30">
        <v>13</v>
      </c>
      <c r="L150" s="30">
        <v>1</v>
      </c>
      <c r="M150" s="30">
        <v>2</v>
      </c>
    </row>
    <row r="151" spans="1:13">
      <c r="A151" s="30">
        <f ca="1" t="shared" si="2"/>
        <v>89</v>
      </c>
      <c r="B151" s="30">
        <f ca="1" t="array" ref="B151">INDEX(Data_DBD!$B:$B,$A151)</f>
        <v>32</v>
      </c>
      <c r="C151" s="30">
        <f ca="1" t="array" ref="C151">INDEX(Data_DBD!$C:$C,$A151)</f>
        <v>4</v>
      </c>
      <c r="D151" s="30">
        <f ca="1" t="array" ref="D151">INDEX(Data_DBD!$D:$D,$A151)</f>
        <v>13</v>
      </c>
      <c r="E151" s="30">
        <f ca="1" t="array" ref="E151">INDEX(Data_DBD!$E:$E,$A151)</f>
        <v>0</v>
      </c>
      <c r="F151" s="30">
        <f ca="1" t="array" ref="F151">INDEX(Data_DBD!$F:$F,$A151)</f>
        <v>2</v>
      </c>
      <c r="H151" s="30">
        <v>62</v>
      </c>
      <c r="I151" s="30">
        <v>43</v>
      </c>
      <c r="J151" s="30">
        <v>4</v>
      </c>
      <c r="K151" s="30">
        <v>15</v>
      </c>
      <c r="L151" s="30">
        <v>1</v>
      </c>
      <c r="M151" s="30">
        <v>2</v>
      </c>
    </row>
    <row r="152" spans="1:13">
      <c r="A152" s="30">
        <f ca="1" t="shared" si="2"/>
        <v>61</v>
      </c>
      <c r="B152" s="30">
        <f ca="1" t="array" ref="B152">INDEX(Data_DBD!$B:$B,$A152)</f>
        <v>29</v>
      </c>
      <c r="C152" s="30">
        <f ca="1" t="array" ref="C152">INDEX(Data_DBD!$C:$C,$A152)</f>
        <v>3</v>
      </c>
      <c r="D152" s="30">
        <f ca="1" t="array" ref="D152">INDEX(Data_DBD!$D:$D,$A152)</f>
        <v>15</v>
      </c>
      <c r="E152" s="30">
        <f ca="1" t="array" ref="E152">INDEX(Data_DBD!$E:$E,$A152)</f>
        <v>1</v>
      </c>
      <c r="F152" s="30">
        <f ca="1" t="array" ref="F152">INDEX(Data_DBD!$F:$F,$A152)</f>
        <v>2</v>
      </c>
      <c r="H152" s="30">
        <v>146</v>
      </c>
      <c r="I152" s="30">
        <v>34</v>
      </c>
      <c r="J152" s="30">
        <v>2</v>
      </c>
      <c r="K152" s="30">
        <v>21</v>
      </c>
      <c r="L152" s="30">
        <v>1</v>
      </c>
      <c r="M152" s="30">
        <v>3</v>
      </c>
    </row>
    <row r="153" spans="1:13">
      <c r="A153" s="30">
        <f ca="1" t="shared" si="2"/>
        <v>5</v>
      </c>
      <c r="B153" s="30">
        <f ca="1" t="array" ref="B153">INDEX(Data_DBD!$B:$B,$A153)</f>
        <v>18</v>
      </c>
      <c r="C153" s="30">
        <f ca="1" t="array" ref="C153">INDEX(Data_DBD!$C:$C,$A153)</f>
        <v>2</v>
      </c>
      <c r="D153" s="30">
        <f ca="1" t="array" ref="D153">INDEX(Data_DBD!$D:$D,$A153)</f>
        <v>12</v>
      </c>
      <c r="E153" s="30">
        <f ca="1" t="array" ref="E153">INDEX(Data_DBD!$E:$E,$A153)</f>
        <v>1</v>
      </c>
      <c r="F153" s="30">
        <f ca="1" t="array" ref="F153">INDEX(Data_DBD!$F:$F,$A153)</f>
        <v>2</v>
      </c>
      <c r="H153" s="30">
        <v>82</v>
      </c>
      <c r="I153" s="30">
        <v>28</v>
      </c>
      <c r="J153" s="30">
        <v>3</v>
      </c>
      <c r="K153" s="30">
        <v>13</v>
      </c>
      <c r="L153" s="30">
        <v>1</v>
      </c>
      <c r="M153" s="30">
        <v>2</v>
      </c>
    </row>
    <row r="154" spans="1:13">
      <c r="A154" s="30">
        <f ca="1" t="shared" si="2"/>
        <v>53</v>
      </c>
      <c r="B154" s="30">
        <f ca="1" t="array" ref="B154">INDEX(Data_DBD!$B:$B,$A154)</f>
        <v>35</v>
      </c>
      <c r="C154" s="30">
        <f ca="1" t="array" ref="C154">INDEX(Data_DBD!$C:$C,$A154)</f>
        <v>4</v>
      </c>
      <c r="D154" s="30">
        <f ca="1" t="array" ref="D154">INDEX(Data_DBD!$D:$D,$A154)</f>
        <v>15</v>
      </c>
      <c r="E154" s="30">
        <f ca="1" t="array" ref="E154">INDEX(Data_DBD!$E:$E,$A154)</f>
        <v>1</v>
      </c>
      <c r="F154" s="30">
        <f ca="1" t="array" ref="F154">INDEX(Data_DBD!$F:$F,$A154)</f>
        <v>2</v>
      </c>
      <c r="H154" s="30">
        <v>24</v>
      </c>
      <c r="I154" s="30">
        <v>60</v>
      </c>
      <c r="J154" s="30">
        <v>4</v>
      </c>
      <c r="K154" s="30">
        <v>14</v>
      </c>
      <c r="L154" s="30">
        <v>0</v>
      </c>
      <c r="M154" s="30">
        <v>2</v>
      </c>
    </row>
    <row r="155" spans="1:13">
      <c r="A155" s="30">
        <f ca="1" t="shared" si="2"/>
        <v>56</v>
      </c>
      <c r="B155" s="30">
        <f ca="1" t="array" ref="B155">INDEX(Data_DBD!$B:$B,$A155)</f>
        <v>4</v>
      </c>
      <c r="C155" s="30">
        <f ca="1" t="array" ref="C155">INDEX(Data_DBD!$C:$C,$A155)</f>
        <v>3</v>
      </c>
      <c r="D155" s="30">
        <f ca="1" t="array" ref="D155">INDEX(Data_DBD!$D:$D,$A155)</f>
        <v>15</v>
      </c>
      <c r="E155" s="30">
        <f ca="1" t="array" ref="E155">INDEX(Data_DBD!$E:$E,$A155)</f>
        <v>0</v>
      </c>
      <c r="F155" s="30">
        <f ca="1" t="array" ref="F155">INDEX(Data_DBD!$F:$F,$A155)</f>
        <v>2</v>
      </c>
      <c r="H155" s="30">
        <v>28</v>
      </c>
      <c r="I155" s="30">
        <v>22</v>
      </c>
      <c r="J155" s="30">
        <v>2</v>
      </c>
      <c r="K155" s="30">
        <v>14</v>
      </c>
      <c r="L155" s="30">
        <v>1</v>
      </c>
      <c r="M155" s="30">
        <v>2</v>
      </c>
    </row>
    <row r="156" spans="1:13">
      <c r="A156" s="30">
        <f ca="1" t="shared" si="2"/>
        <v>161</v>
      </c>
      <c r="B156" s="30">
        <f ca="1" t="array" ref="B156">INDEX(Data_DBD!$B:$B,$A156)</f>
        <v>12</v>
      </c>
      <c r="C156" s="30">
        <f ca="1" t="array" ref="C156">INDEX(Data_DBD!$C:$C,$A156)</f>
        <v>3</v>
      </c>
      <c r="D156" s="30">
        <f ca="1" t="array" ref="D156">INDEX(Data_DBD!$D:$D,$A156)</f>
        <v>21</v>
      </c>
      <c r="E156" s="30">
        <f ca="1" t="array" ref="E156">INDEX(Data_DBD!$E:$E,$A156)</f>
        <v>1</v>
      </c>
      <c r="F156" s="30">
        <f ca="1" t="array" ref="F156">INDEX(Data_DBD!$F:$F,$A156)</f>
        <v>3</v>
      </c>
      <c r="H156" s="30">
        <v>136</v>
      </c>
      <c r="I156" s="30">
        <v>6</v>
      </c>
      <c r="J156" s="30">
        <v>2</v>
      </c>
      <c r="K156" s="30">
        <v>33</v>
      </c>
      <c r="L156" s="30">
        <v>0</v>
      </c>
      <c r="M156" s="30">
        <v>3</v>
      </c>
    </row>
    <row r="157" spans="1:13">
      <c r="A157" s="30">
        <f ca="1" t="shared" si="2"/>
        <v>24</v>
      </c>
      <c r="B157" s="30">
        <f ca="1" t="array" ref="B157">INDEX(Data_DBD!$B:$B,$A157)</f>
        <v>60</v>
      </c>
      <c r="C157" s="30">
        <f ca="1" t="array" ref="C157">INDEX(Data_DBD!$C:$C,$A157)</f>
        <v>4</v>
      </c>
      <c r="D157" s="30">
        <f ca="1" t="array" ref="D157">INDEX(Data_DBD!$D:$D,$A157)</f>
        <v>14</v>
      </c>
      <c r="E157" s="30">
        <f ca="1" t="array" ref="E157">INDEX(Data_DBD!$E:$E,$A157)</f>
        <v>0</v>
      </c>
      <c r="F157" s="30">
        <f ca="1" t="array" ref="F157">INDEX(Data_DBD!$F:$F,$A157)</f>
        <v>2</v>
      </c>
      <c r="H157" s="30">
        <v>103</v>
      </c>
      <c r="I157" s="30">
        <v>22</v>
      </c>
      <c r="J157" s="30">
        <v>5</v>
      </c>
      <c r="K157" s="30">
        <v>18</v>
      </c>
      <c r="L157" s="30">
        <v>0</v>
      </c>
      <c r="M157" s="30">
        <v>3</v>
      </c>
    </row>
    <row r="158" ht="15.75" spans="1:13">
      <c r="A158" s="30">
        <f ca="1" t="shared" si="2"/>
        <v>145</v>
      </c>
      <c r="B158" s="30">
        <f ca="1" t="array" ref="B158">INDEX(Data_DBD!$B:$B,$A158)</f>
        <v>28</v>
      </c>
      <c r="C158" s="30">
        <f ca="1" t="array" ref="C158">INDEX(Data_DBD!$C:$C,$A158)</f>
        <v>4</v>
      </c>
      <c r="D158" s="30">
        <f ca="1" t="array" ref="D158">INDEX(Data_DBD!$D:$D,$A158)</f>
        <v>21</v>
      </c>
      <c r="E158" s="30">
        <f ca="1" t="array" ref="E158">INDEX(Data_DBD!$E:$E,$A158)</f>
        <v>1</v>
      </c>
      <c r="F158" s="30">
        <f ca="1" t="array" ref="F158">INDEX(Data_DBD!$F:$F,$A158)</f>
        <v>3</v>
      </c>
      <c r="H158" s="30">
        <v>156</v>
      </c>
      <c r="I158" s="30">
        <v>5</v>
      </c>
      <c r="J158" s="30">
        <v>2</v>
      </c>
      <c r="K158" s="30">
        <v>21</v>
      </c>
      <c r="L158" s="38">
        <v>0</v>
      </c>
      <c r="M158" s="30">
        <v>3</v>
      </c>
    </row>
    <row r="159" ht="15.75" spans="1:13">
      <c r="A159" s="30">
        <f ca="1" t="shared" si="2"/>
        <v>100</v>
      </c>
      <c r="B159" s="30">
        <f ca="1" t="array" ref="B159">INDEX(Data_DBD!$B:$B,$A159)</f>
        <v>19</v>
      </c>
      <c r="C159" s="30">
        <f ca="1" t="array" ref="C159">INDEX(Data_DBD!$C:$C,$A159)</f>
        <v>6</v>
      </c>
      <c r="D159" s="30">
        <f ca="1" t="array" ref="D159">INDEX(Data_DBD!$D:$D,$A159)</f>
        <v>18</v>
      </c>
      <c r="E159" s="30">
        <f ca="1" t="array" ref="E159">INDEX(Data_DBD!$E:$E,$A159)</f>
        <v>0</v>
      </c>
      <c r="F159" s="30">
        <f ca="1" t="array" ref="F159">INDEX(Data_DBD!$F:$F,$A159)</f>
        <v>3</v>
      </c>
      <c r="H159" s="30">
        <v>122</v>
      </c>
      <c r="I159" s="30">
        <v>28</v>
      </c>
      <c r="J159" s="30">
        <v>3</v>
      </c>
      <c r="K159" s="30">
        <v>33</v>
      </c>
      <c r="L159" s="39">
        <v>1</v>
      </c>
      <c r="M159" s="30">
        <v>3</v>
      </c>
    </row>
    <row r="160" ht="15.75" spans="1:13">
      <c r="A160" s="30">
        <f ca="1" t="shared" si="2"/>
        <v>55</v>
      </c>
      <c r="B160" s="30">
        <f ca="1" t="array" ref="B160">INDEX(Data_DBD!$B:$B,$A160)</f>
        <v>7</v>
      </c>
      <c r="C160" s="30">
        <f ca="1" t="array" ref="C160">INDEX(Data_DBD!$C:$C,$A160)</f>
        <v>4</v>
      </c>
      <c r="D160" s="30">
        <f ca="1" t="array" ref="D160">INDEX(Data_DBD!$D:$D,$A160)</f>
        <v>15</v>
      </c>
      <c r="E160" s="30">
        <f ca="1" t="array" ref="E160">INDEX(Data_DBD!$E:$E,$A160)</f>
        <v>1</v>
      </c>
      <c r="F160" s="30">
        <f ca="1" t="array" ref="F160">INDEX(Data_DBD!$F:$F,$A160)</f>
        <v>2</v>
      </c>
      <c r="H160" s="30">
        <v>10</v>
      </c>
      <c r="I160" s="30">
        <v>18</v>
      </c>
      <c r="J160" s="30">
        <v>5</v>
      </c>
      <c r="K160" s="30">
        <v>12</v>
      </c>
      <c r="L160" s="40">
        <v>0</v>
      </c>
      <c r="M160" s="30">
        <v>2</v>
      </c>
    </row>
    <row r="161" ht="15.75" spans="1:13">
      <c r="A161" s="30">
        <f ca="1" t="shared" si="2"/>
        <v>156</v>
      </c>
      <c r="B161" s="30">
        <f ca="1" t="array" ref="B161">INDEX(Data_DBD!$B:$B,$A161)</f>
        <v>5</v>
      </c>
      <c r="C161" s="30">
        <f ca="1" t="array" ref="C161">INDEX(Data_DBD!$C:$C,$A161)</f>
        <v>2</v>
      </c>
      <c r="D161" s="30">
        <f ca="1" t="array" ref="D161">INDEX(Data_DBD!$D:$D,$A161)</f>
        <v>21</v>
      </c>
      <c r="E161" s="30">
        <f ca="1" t="array" ref="E161">INDEX(Data_DBD!$E:$E,$A161)</f>
        <v>0</v>
      </c>
      <c r="F161" s="30">
        <f ca="1" t="array" ref="F161">INDEX(Data_DBD!$F:$F,$A161)</f>
        <v>3</v>
      </c>
      <c r="H161" s="30">
        <v>91</v>
      </c>
      <c r="I161" s="30">
        <v>35</v>
      </c>
      <c r="J161" s="30">
        <v>1</v>
      </c>
      <c r="K161" s="30">
        <v>18</v>
      </c>
      <c r="L161" s="40">
        <v>1</v>
      </c>
      <c r="M161" s="30">
        <v>3</v>
      </c>
    </row>
    <row r="162" ht="15.75" spans="1:13">
      <c r="A162" s="30">
        <f ca="1" t="shared" si="2"/>
        <v>55</v>
      </c>
      <c r="B162" s="30">
        <f ca="1" t="array" ref="B162">INDEX(Data_DBD!$B:$B,$A162)</f>
        <v>7</v>
      </c>
      <c r="C162" s="30">
        <f ca="1" t="array" ref="C162">INDEX(Data_DBD!$C:$C,$A162)</f>
        <v>4</v>
      </c>
      <c r="D162" s="30">
        <f ca="1" t="array" ref="D162">INDEX(Data_DBD!$D:$D,$A162)</f>
        <v>15</v>
      </c>
      <c r="E162" s="30">
        <f ca="1" t="array" ref="E162">INDEX(Data_DBD!$E:$E,$A162)</f>
        <v>1</v>
      </c>
      <c r="F162" s="30">
        <f ca="1" t="array" ref="F162">INDEX(Data_DBD!$F:$F,$A162)</f>
        <v>2</v>
      </c>
      <c r="H162" s="30">
        <v>15</v>
      </c>
      <c r="I162" s="30">
        <v>21</v>
      </c>
      <c r="J162" s="30">
        <v>2</v>
      </c>
      <c r="K162" s="30">
        <v>7</v>
      </c>
      <c r="L162" s="39">
        <v>0</v>
      </c>
      <c r="M162" s="30">
        <v>1</v>
      </c>
    </row>
    <row r="163" ht="15.75" spans="1:13">
      <c r="A163" s="30">
        <f ca="1" t="shared" si="2"/>
        <v>54</v>
      </c>
      <c r="B163" s="30">
        <f ca="1" t="array" ref="B163">INDEX(Data_DBD!$B:$B,$A163)</f>
        <v>7</v>
      </c>
      <c r="C163" s="30">
        <f ca="1" t="array" ref="C163">INDEX(Data_DBD!$C:$C,$A163)</f>
        <v>3</v>
      </c>
      <c r="D163" s="30">
        <f ca="1" t="array" ref="D163">INDEX(Data_DBD!$D:$D,$A163)</f>
        <v>15</v>
      </c>
      <c r="E163" s="30">
        <f ca="1" t="array" ref="E163">INDEX(Data_DBD!$E:$E,$A163)</f>
        <v>0</v>
      </c>
      <c r="F163" s="30">
        <f ca="1" t="array" ref="F163">INDEX(Data_DBD!$F:$F,$A163)</f>
        <v>2</v>
      </c>
      <c r="H163" s="30">
        <v>132</v>
      </c>
      <c r="I163" s="30">
        <v>10</v>
      </c>
      <c r="J163" s="30">
        <v>3</v>
      </c>
      <c r="K163" s="30">
        <v>33</v>
      </c>
      <c r="L163" s="40">
        <v>1</v>
      </c>
      <c r="M163" s="30">
        <v>3</v>
      </c>
    </row>
    <row r="164" spans="1:13">
      <c r="A164" s="30">
        <f ca="1" t="shared" si="2"/>
        <v>15</v>
      </c>
      <c r="B164" s="30">
        <f ca="1" t="array" ref="B164">INDEX(Data_DBD!$B:$B,$A164)</f>
        <v>21</v>
      </c>
      <c r="C164" s="30">
        <f ca="1" t="array" ref="C164">INDEX(Data_DBD!$C:$C,$A164)</f>
        <v>2</v>
      </c>
      <c r="D164" s="30">
        <f ca="1" t="array" ref="D164">INDEX(Data_DBD!$D:$D,$A164)</f>
        <v>7</v>
      </c>
      <c r="E164" s="30">
        <f ca="1" t="array" ref="E164">INDEX(Data_DBD!$E:$E,$A164)</f>
        <v>0</v>
      </c>
      <c r="F164" s="30">
        <f ca="1" t="array" ref="F164">INDEX(Data_DBD!$F:$F,$A164)</f>
        <v>1</v>
      </c>
      <c r="H164" s="30">
        <v>132</v>
      </c>
      <c r="I164" s="30">
        <v>10</v>
      </c>
      <c r="J164" s="30">
        <v>3</v>
      </c>
      <c r="K164" s="30">
        <v>33</v>
      </c>
      <c r="L164" s="30">
        <v>1</v>
      </c>
      <c r="M164" s="30">
        <v>3</v>
      </c>
    </row>
    <row r="165" spans="9:12">
      <c r="I165">
        <f>AVERAGE(I2:I164)</f>
        <v>30.6543209876543</v>
      </c>
      <c r="J165">
        <f>AVERAGE(J2:J164)</f>
        <v>3.61349693251534</v>
      </c>
      <c r="K165">
        <f>AVERAGE(K2:K164)</f>
        <v>17.8711656441718</v>
      </c>
      <c r="L165">
        <f>AVERAGE(L2:L164)</f>
        <v>0.496932515337423</v>
      </c>
    </row>
    <row r="166" spans="2:2">
      <c r="B166">
        <v>90</v>
      </c>
    </row>
    <row r="168" spans="5:20">
      <c r="E168" s="35" t="s">
        <v>183</v>
      </c>
      <c r="J168" s="35" t="s">
        <v>184</v>
      </c>
      <c r="O168" s="35" t="s">
        <v>185</v>
      </c>
      <c r="T168" s="35" t="s">
        <v>186</v>
      </c>
    </row>
    <row r="169" spans="5:22">
      <c r="E169" s="30" t="s">
        <v>1</v>
      </c>
      <c r="F169" s="30">
        <f>AVERAGEIF($I$2:$I$164,"&lt;="&amp;$I$165)</f>
        <v>17.5588235294118</v>
      </c>
      <c r="G169" s="30">
        <f>AVERAGEIF($I$2:$I$164,"&gt;"&amp;$I$165)</f>
        <v>52.9166666666667</v>
      </c>
      <c r="J169" s="30" t="s">
        <v>187</v>
      </c>
      <c r="K169" s="30">
        <f>AVERAGEIF($J$2:$J$164,"&lt;="&amp;$J$165)</f>
        <v>2.41558441558442</v>
      </c>
      <c r="L169" s="30">
        <f>AVERAGEIF($J$2:$J$164,"&gt;"&amp;$J$165)</f>
        <v>4.68604651162791</v>
      </c>
      <c r="O169" s="30" t="s">
        <v>188</v>
      </c>
      <c r="P169" s="30">
        <f>AVERAGEIF($K$2:$K$164,"&lt;="&amp;$K$165)</f>
        <v>11.3928571428571</v>
      </c>
      <c r="Q169" s="30">
        <f>AVERAGEIF($K$2:$K$164,"&gt;"&amp;$K$165)</f>
        <v>24.7594936708861</v>
      </c>
      <c r="T169" s="30" t="s">
        <v>189</v>
      </c>
      <c r="U169" s="30">
        <f>AVERAGEIF($L$2:$L$164,"&lt;="&amp;$L$165)</f>
        <v>0</v>
      </c>
      <c r="V169" s="30">
        <f>AVERAGEIF($L$2:$L$164,"&gt;"&amp;$L$165)</f>
        <v>1</v>
      </c>
    </row>
    <row r="170" spans="5:22">
      <c r="E170" s="30" t="str">
        <f t="array" ref="E170:E332">IF($I$2:$I$164&lt;$F$169,"kiri",IF($I$2:$I$164&lt;$G$169,"tengah","kanan"))</f>
        <v>tengah</v>
      </c>
      <c r="F170" s="36" t="s">
        <v>207</v>
      </c>
      <c r="G170" s="30"/>
      <c r="J170" s="30" t="str">
        <f t="array" ref="J170:J332">IF($J$2:$J$164&lt;$K$169,"kiri",IF($J$2:$J$164&lt;$L$169,"tengah","kanan"))</f>
        <v>kanan</v>
      </c>
      <c r="K170" s="36" t="s">
        <v>208</v>
      </c>
      <c r="L170" s="30"/>
      <c r="O170" s="30" t="str">
        <f t="array" ref="O170:O332">IF($K$2:$K$164&lt;$P$169,"kiri",IF($K$2:$K$164&lt;$Q$169,"tengah","kanan"))</f>
        <v>tengah</v>
      </c>
      <c r="P170" s="36" t="s">
        <v>214</v>
      </c>
      <c r="Q170" s="30"/>
      <c r="T170" s="30" t="str">
        <f t="array" ref="T170:T332">IF($L$2:$L$164&lt;$U$169,"kiri",IF($L$2:$L$164&lt;$V$169,"tengah","kanan"))</f>
        <v>tengah</v>
      </c>
      <c r="U170" s="30" t="s">
        <v>193</v>
      </c>
      <c r="V170" s="30"/>
    </row>
    <row r="171" spans="5:22">
      <c r="E171" s="30" t="str">
        <v>tengah</v>
      </c>
      <c r="F171" s="30">
        <f>COUNTIFS($E$170:$E$332,"Kanan",$M$2:$M$164,"1")</f>
        <v>0</v>
      </c>
      <c r="G171" s="30">
        <f>F171/29</f>
        <v>0</v>
      </c>
      <c r="J171" s="30" t="str">
        <v>kiri</v>
      </c>
      <c r="K171" s="30">
        <f t="array" ref="K171">SUMPRODUCT((J170:J332="Kanan")*(M2:M164=1))</f>
        <v>3</v>
      </c>
      <c r="L171" s="30">
        <f>K171/44</f>
        <v>0.0681818181818182</v>
      </c>
      <c r="O171" s="30" t="str">
        <v>tengah</v>
      </c>
      <c r="P171" s="30">
        <f>COUNTIFS($O$170:$O$332,"Kanan",$M$2:$M$164,"1")</f>
        <v>0</v>
      </c>
      <c r="Q171" s="30">
        <f>P171/30</f>
        <v>0</v>
      </c>
      <c r="T171" s="30" t="str">
        <v>tengah</v>
      </c>
      <c r="U171" s="30">
        <f>COUNTIFS($T$170:$T$332,"Kanan",$M$2:$M$164,"1")</f>
        <v>8</v>
      </c>
      <c r="V171" s="30">
        <f>U171/81</f>
        <v>0.0987654320987654</v>
      </c>
    </row>
    <row r="172" spans="5:22">
      <c r="E172" s="30" t="str">
        <v>kiri</v>
      </c>
      <c r="F172" s="30">
        <f>COUNTIFS($E$170:$E$332,"Kanan",$M$2:$M$164,"2")</f>
        <v>15</v>
      </c>
      <c r="G172" s="30">
        <f t="shared" ref="G172:G173" si="3">F172/29</f>
        <v>0.517241379310345</v>
      </c>
      <c r="J172" s="30" t="str">
        <v>kiri</v>
      </c>
      <c r="K172" s="30">
        <f>COUNTIFS($J$170:$J$332,"Kanan",$M$2:$M$164,"2")</f>
        <v>16</v>
      </c>
      <c r="L172" s="30">
        <f t="shared" ref="L172:L173" si="4">K172/44</f>
        <v>0.363636363636364</v>
      </c>
      <c r="O172" s="30" t="str">
        <v>kiri</v>
      </c>
      <c r="P172" s="30">
        <f>COUNTIFS($O$170:$O$332,"Kanan",$M$2:$M$164,"2")</f>
        <v>0</v>
      </c>
      <c r="Q172" s="30">
        <f t="shared" ref="Q172:Q173" si="5">P172/30</f>
        <v>0</v>
      </c>
      <c r="T172" s="30" t="str">
        <v>kanan</v>
      </c>
      <c r="U172" s="30">
        <f>COUNTIFS($T$170:$T$332,"Kanan",$M$2:$M$164,"2")</f>
        <v>33</v>
      </c>
      <c r="V172" s="30">
        <f t="shared" ref="V172:V173" si="6">U172/81</f>
        <v>0.407407407407407</v>
      </c>
    </row>
    <row r="173" spans="5:22">
      <c r="E173" s="30" t="str">
        <v>tengah</v>
      </c>
      <c r="F173" s="30">
        <f t="array" ref="F173">SUMPRODUCT((E170:E332="KANAN")*(M2:M164=3))</f>
        <v>14</v>
      </c>
      <c r="G173" s="30">
        <f t="shared" si="3"/>
        <v>0.482758620689655</v>
      </c>
      <c r="J173" s="30" t="str">
        <v>kanan</v>
      </c>
      <c r="K173" s="30">
        <f>COUNTIFS($J$170:$J$332,"Kanan",$M$2:$M$164,"3")</f>
        <v>25</v>
      </c>
      <c r="L173" s="30">
        <f t="shared" si="4"/>
        <v>0.568181818181818</v>
      </c>
      <c r="O173" s="30" t="str">
        <v>tengah</v>
      </c>
      <c r="P173" s="30">
        <f>COUNTIFS($O$170:$O$332,"Kanan",$M$2:$M$164,"3")</f>
        <v>30</v>
      </c>
      <c r="Q173" s="30">
        <f t="shared" si="5"/>
        <v>1</v>
      </c>
      <c r="T173" s="30" t="str">
        <v>kanan</v>
      </c>
      <c r="U173" s="30">
        <f>COUNTIFS($T$170:$T$332,"Kanan",$M$2:$M$164,"3")</f>
        <v>40</v>
      </c>
      <c r="V173" s="30">
        <f t="shared" si="6"/>
        <v>0.493827160493827</v>
      </c>
    </row>
    <row r="174" spans="5:22">
      <c r="E174" s="30" t="str">
        <v>tengah</v>
      </c>
      <c r="F174" s="30" t="s">
        <v>194</v>
      </c>
      <c r="G174" s="30">
        <f>-(IFERROR(G171*LOG(G171,2),0)+IFERROR(G172*LOG(G172,2),0)+IFERROR(G173*LOG(G173,2),0))</f>
        <v>0.999142103991909</v>
      </c>
      <c r="J174" s="30" t="str">
        <v>kiri</v>
      </c>
      <c r="K174" s="30" t="s">
        <v>194</v>
      </c>
      <c r="L174" s="30">
        <f>-(IFERROR(L171*LOG(L171,2),0)+IFERROR(L172*LOG(L172,2),0)+IFERROR(L173*LOG(L173,2),0))</f>
        <v>1.25826588576158</v>
      </c>
      <c r="O174" s="30" t="str">
        <v>tengah</v>
      </c>
      <c r="P174" s="30" t="s">
        <v>194</v>
      </c>
      <c r="Q174" s="30">
        <f>-(IFERROR(Q171*LOG(Q171,2),0)+IFERROR(Q172*LOG(Q172,2),0)+IFERROR(Q173*LOG(Q173,2),0))</f>
        <v>0</v>
      </c>
      <c r="T174" s="30" t="str">
        <v>tengah</v>
      </c>
      <c r="U174" s="30" t="s">
        <v>194</v>
      </c>
      <c r="V174" s="30">
        <f>-(IFERROR(V171*LOG(V171,2),0)+IFERROR(V172*LOG(V172,2),0)+IFERROR(V173*LOG(V173,2),0))</f>
        <v>1.36031753702878</v>
      </c>
    </row>
    <row r="175" spans="5:22">
      <c r="E175" s="30" t="str">
        <v>tengah</v>
      </c>
      <c r="F175" s="30"/>
      <c r="G175" s="30">
        <f>SUM(F171:F173)/163</f>
        <v>0.177914110429448</v>
      </c>
      <c r="J175" s="30" t="str">
        <v>tengah</v>
      </c>
      <c r="K175" s="30"/>
      <c r="L175" s="30">
        <f>SUM(K171:K173)/163</f>
        <v>0.269938650306748</v>
      </c>
      <c r="O175" s="30" t="str">
        <v>tengah</v>
      </c>
      <c r="P175" s="30"/>
      <c r="Q175" s="30">
        <f>SUM(P171:P173)/163</f>
        <v>0.184049079754601</v>
      </c>
      <c r="T175" s="30" t="str">
        <v>tengah</v>
      </c>
      <c r="U175" s="30"/>
      <c r="V175" s="30">
        <f>SUM(U171:U173)/163</f>
        <v>0.496932515337423</v>
      </c>
    </row>
    <row r="176" spans="5:22">
      <c r="E176" s="30" t="str">
        <v>kiri</v>
      </c>
      <c r="F176" s="30"/>
      <c r="G176" s="37">
        <f>G174*G175</f>
        <v>0.177761478624327</v>
      </c>
      <c r="J176" s="30" t="str">
        <v>tengah</v>
      </c>
      <c r="K176" s="30"/>
      <c r="L176" s="37">
        <f>L174*L175</f>
        <v>0.339654594929506</v>
      </c>
      <c r="O176" s="30" t="str">
        <v>tengah</v>
      </c>
      <c r="P176" s="30"/>
      <c r="Q176" s="37">
        <f>Q174*Q175</f>
        <v>0</v>
      </c>
      <c r="T176" s="30" t="str">
        <v>tengah</v>
      </c>
      <c r="U176" s="30"/>
      <c r="V176" s="37">
        <f>V174*V175</f>
        <v>0.67598601533332</v>
      </c>
    </row>
    <row r="177" spans="5:22">
      <c r="E177" s="30" t="str">
        <v>kanan</v>
      </c>
      <c r="F177" s="30"/>
      <c r="G177" s="30"/>
      <c r="J177" s="30" t="str">
        <v>tengah</v>
      </c>
      <c r="K177" s="30"/>
      <c r="L177" s="30"/>
      <c r="O177" s="30" t="str">
        <v>tengah</v>
      </c>
      <c r="P177" s="30"/>
      <c r="Q177" s="30"/>
      <c r="T177" s="30" t="str">
        <v>kanan</v>
      </c>
      <c r="U177" s="30"/>
      <c r="V177" s="30"/>
    </row>
    <row r="178" spans="5:22">
      <c r="E178" s="30" t="str">
        <v>tengah</v>
      </c>
      <c r="F178" s="30"/>
      <c r="G178" s="30"/>
      <c r="J178" s="30" t="str">
        <v>kanan</v>
      </c>
      <c r="K178" s="30"/>
      <c r="L178" s="30"/>
      <c r="O178" s="30" t="str">
        <v>tengah</v>
      </c>
      <c r="P178" s="30"/>
      <c r="Q178" s="30"/>
      <c r="T178" s="30" t="str">
        <v>kanan</v>
      </c>
      <c r="U178" s="30"/>
      <c r="V178" s="30"/>
    </row>
    <row r="179" spans="5:22">
      <c r="E179" s="30" t="str">
        <v>kanan</v>
      </c>
      <c r="F179" s="36" t="s">
        <v>210</v>
      </c>
      <c r="G179" s="30"/>
      <c r="J179" s="30" t="str">
        <v>kanan</v>
      </c>
      <c r="K179" s="36" t="s">
        <v>211</v>
      </c>
      <c r="L179" s="30"/>
      <c r="O179" s="30" t="str">
        <v>tengah</v>
      </c>
      <c r="P179" s="36" t="s">
        <v>215</v>
      </c>
      <c r="Q179" s="30"/>
      <c r="T179" s="30" t="str">
        <v>tengah</v>
      </c>
      <c r="U179" s="30" t="s">
        <v>198</v>
      </c>
      <c r="V179" s="30"/>
    </row>
    <row r="180" spans="5:22">
      <c r="E180" s="30" t="str">
        <v>tengah</v>
      </c>
      <c r="F180" s="30">
        <f t="array" ref="F180">SUMPRODUCT((E170:E332="kiri")*(M2:M164=1))</f>
        <v>5</v>
      </c>
      <c r="G180" s="30">
        <f>F180/42</f>
        <v>0.119047619047619</v>
      </c>
      <c r="J180" s="30" t="str">
        <v>kiri</v>
      </c>
      <c r="K180" s="30">
        <f>COUNTIFS($J$170:$J$332,"Kiri",$M$2:$M$164,"1")</f>
        <v>4</v>
      </c>
      <c r="L180" s="30">
        <f>K180/36</f>
        <v>0.111111111111111</v>
      </c>
      <c r="O180" s="30" t="str">
        <v>tengah</v>
      </c>
      <c r="P180" s="30">
        <f>COUNTIFS($O$170:$O$332,"Kiri",$M$2:$M$164,"1")</f>
        <v>16</v>
      </c>
      <c r="Q180" s="30">
        <f>P180/29</f>
        <v>0.551724137931034</v>
      </c>
      <c r="T180" s="30" t="str">
        <v>tengah</v>
      </c>
      <c r="U180" s="30">
        <f>COUNTIFS($T$170:$T$332,"Kiri",$M$2:$M$164,"1")</f>
        <v>0</v>
      </c>
      <c r="V180" s="30">
        <f>U180/57</f>
        <v>0</v>
      </c>
    </row>
    <row r="181" spans="5:22">
      <c r="E181" s="30" t="str">
        <v>tengah</v>
      </c>
      <c r="F181" s="30">
        <f t="array" ref="F181">SUMPRODUCT((E170:E332="kiri")*(M2:M164=2))</f>
        <v>14</v>
      </c>
      <c r="G181" s="30">
        <f t="shared" ref="G181:G182" si="7">F181/42</f>
        <v>0.333333333333333</v>
      </c>
      <c r="J181" s="30" t="str">
        <v>tengah</v>
      </c>
      <c r="K181" s="30">
        <f>COUNTIFS($J$170:$J$332,"Kiri",$M$2:$M$164,"2")</f>
        <v>15</v>
      </c>
      <c r="L181" s="30">
        <f t="shared" ref="L181:L182" si="8">K181/36</f>
        <v>0.416666666666667</v>
      </c>
      <c r="O181" s="30" t="str">
        <v>kanan</v>
      </c>
      <c r="P181" s="30">
        <f>COUNTIFS($O$170:$O$332,"Kiri",$M$2:$M$164,"2")</f>
        <v>13</v>
      </c>
      <c r="Q181" s="30">
        <f t="shared" ref="Q181:Q182" si="9">P181/29</f>
        <v>0.448275862068966</v>
      </c>
      <c r="T181" s="30" t="str">
        <v>tengah</v>
      </c>
      <c r="U181" s="30">
        <f>COUNTIFS($T$170:$T$332,"Kiri",$M$2:$M$164,"2")</f>
        <v>0</v>
      </c>
      <c r="V181" s="30">
        <f>U181/57</f>
        <v>0</v>
      </c>
    </row>
    <row r="182" spans="5:22">
      <c r="E182" s="30" t="str">
        <v>kanan</v>
      </c>
      <c r="F182" s="30">
        <f t="array" ref="F182">SUMPRODUCT((E170:E332="kiri")*(M2:M164=3))</f>
        <v>23</v>
      </c>
      <c r="G182" s="30">
        <f t="shared" si="7"/>
        <v>0.547619047619048</v>
      </c>
      <c r="J182" s="30" t="str">
        <v>tengah</v>
      </c>
      <c r="K182" s="30">
        <f>COUNTIFS($J$170:$J$332,"Kiri",$M$2:$M$164,"3")</f>
        <v>17</v>
      </c>
      <c r="L182" s="30">
        <f t="shared" si="8"/>
        <v>0.472222222222222</v>
      </c>
      <c r="O182" s="30" t="str">
        <v>tengah</v>
      </c>
      <c r="P182" s="30">
        <f>COUNTIFS($O$170:$O$332,"Kiri",$M$2:$M$164,"3")</f>
        <v>0</v>
      </c>
      <c r="Q182" s="30">
        <f t="shared" si="9"/>
        <v>0</v>
      </c>
      <c r="T182" s="30" t="str">
        <v>kanan</v>
      </c>
      <c r="U182" s="30">
        <f>COUNTIFS($T$170:$T$332,"Kiri",$M$2:$M$164,"3")</f>
        <v>0</v>
      </c>
      <c r="V182" s="30">
        <f>U182/57</f>
        <v>0</v>
      </c>
    </row>
    <row r="183" spans="5:22">
      <c r="E183" s="30" t="str">
        <v>tengah</v>
      </c>
      <c r="F183" s="30" t="s">
        <v>194</v>
      </c>
      <c r="G183" s="30">
        <f>-(IFERROR(G180*LOG(G180,2),0)+IFERROR(G181*LOG(G181,2),0)+IFERROR(G182*LOG(G182,2),0))</f>
        <v>1.36959041390841</v>
      </c>
      <c r="J183" s="30" t="str">
        <v>kanan</v>
      </c>
      <c r="K183" s="30" t="s">
        <v>194</v>
      </c>
      <c r="L183" s="30">
        <f>-(IFERROR(L180*LOG(L180,2),0)+IFERROR(L181*LOG(L181,2),0)+IFERROR(L182*LOG(L182,2),0))</f>
        <v>1.38964091157055</v>
      </c>
      <c r="O183" s="30" t="str">
        <v>tengah</v>
      </c>
      <c r="P183" s="30" t="s">
        <v>194</v>
      </c>
      <c r="Q183" s="30">
        <f>-(IFERROR(Q180*LOG(Q180,2),0)+IFERROR(Q181*LOG(Q181,2),0)+IFERROR(Q182*LOG(Q182,2),0))</f>
        <v>0.992266638719496</v>
      </c>
      <c r="T183" s="30" t="str">
        <v>kanan</v>
      </c>
      <c r="U183" s="30" t="s">
        <v>194</v>
      </c>
      <c r="V183" s="30">
        <f>-(IFERROR(V180*LOG(V180,2),0)+IFERROR(V181*LOG(V181,2),0)+IFERROR(V182*LOG(V182,2),0))</f>
        <v>0</v>
      </c>
    </row>
    <row r="184" spans="5:22">
      <c r="E184" s="30" t="str">
        <v>tengah</v>
      </c>
      <c r="F184" s="30"/>
      <c r="G184" s="30">
        <f>SUM(F180:F182)/163</f>
        <v>0.257668711656442</v>
      </c>
      <c r="J184" s="30" t="str">
        <v>tengah</v>
      </c>
      <c r="K184" s="30"/>
      <c r="L184" s="30">
        <f>SUM(K180:K182)/163</f>
        <v>0.220858895705521</v>
      </c>
      <c r="O184" s="30" t="str">
        <v>kanan</v>
      </c>
      <c r="P184" s="30"/>
      <c r="Q184" s="30">
        <f>SUM(P180:P182)/163</f>
        <v>0.177914110429448</v>
      </c>
      <c r="T184" s="30" t="str">
        <v>tengah</v>
      </c>
      <c r="U184" s="30"/>
      <c r="V184" s="30">
        <f>SUM(U180:U182)/163</f>
        <v>0</v>
      </c>
    </row>
    <row r="185" spans="5:22">
      <c r="E185" s="30" t="str">
        <v>tengah</v>
      </c>
      <c r="F185" s="30"/>
      <c r="G185" s="37">
        <f>G183*G184</f>
        <v>0.352900597448794</v>
      </c>
      <c r="J185" s="30" t="str">
        <v>kanan</v>
      </c>
      <c r="K185" s="30"/>
      <c r="L185" s="37">
        <f>L183*L184</f>
        <v>0.306914557156685</v>
      </c>
      <c r="O185" s="30" t="str">
        <v>tengah</v>
      </c>
      <c r="P185" s="30"/>
      <c r="Q185" s="37">
        <f>Q183*Q184</f>
        <v>0.176538236336597</v>
      </c>
      <c r="T185" s="30" t="str">
        <v>tengah</v>
      </c>
      <c r="U185" s="30"/>
      <c r="V185" s="37">
        <f>V183*V184</f>
        <v>0</v>
      </c>
    </row>
    <row r="186" spans="5:22">
      <c r="E186" s="30" t="str">
        <v>tengah</v>
      </c>
      <c r="F186" s="30"/>
      <c r="G186" s="30"/>
      <c r="J186" s="30" t="str">
        <v>tengah</v>
      </c>
      <c r="K186" s="30"/>
      <c r="L186" s="30"/>
      <c r="O186" s="30" t="str">
        <v>kiri</v>
      </c>
      <c r="P186" s="30"/>
      <c r="Q186" s="30"/>
      <c r="T186" s="30" t="str">
        <v>kanan</v>
      </c>
      <c r="U186" s="30"/>
      <c r="V186" s="30"/>
    </row>
    <row r="187" spans="5:22">
      <c r="E187" s="30" t="str">
        <v>tengah</v>
      </c>
      <c r="F187" s="30"/>
      <c r="G187" s="30"/>
      <c r="J187" s="30" t="str">
        <v>kiri</v>
      </c>
      <c r="K187" s="30"/>
      <c r="L187" s="30"/>
      <c r="O187" s="30" t="str">
        <v>kanan</v>
      </c>
      <c r="P187" s="30"/>
      <c r="Q187" s="30"/>
      <c r="T187" s="30" t="str">
        <v>tengah</v>
      </c>
      <c r="U187" s="30"/>
      <c r="V187" s="30"/>
    </row>
    <row r="188" spans="5:22">
      <c r="E188" s="30" t="str">
        <v>tengah</v>
      </c>
      <c r="F188" s="30" t="s">
        <v>199</v>
      </c>
      <c r="G188" s="30"/>
      <c r="J188" s="30" t="str">
        <v>kiri</v>
      </c>
      <c r="K188" s="30" t="s">
        <v>199</v>
      </c>
      <c r="L188" s="30"/>
      <c r="O188" s="30" t="str">
        <v>kanan</v>
      </c>
      <c r="P188" s="30" t="s">
        <v>199</v>
      </c>
      <c r="Q188" s="30"/>
      <c r="T188" s="30" t="str">
        <v>tengah</v>
      </c>
      <c r="U188" s="30" t="s">
        <v>199</v>
      </c>
      <c r="V188" s="30"/>
    </row>
    <row r="189" spans="5:22">
      <c r="E189" s="30" t="str">
        <v>tengah</v>
      </c>
      <c r="F189" s="30">
        <f t="array" ref="F189">SUMPRODUCT((E170:E332="tengah")*(M2:M164=1))</f>
        <v>11</v>
      </c>
      <c r="G189" s="30">
        <f>F189/92</f>
        <v>0.119565217391304</v>
      </c>
      <c r="J189" s="30" t="str">
        <v>tengah</v>
      </c>
      <c r="K189" s="30">
        <f>COUNTIFS($J$170:$J$332,"Tengah",$M$2:$M$164,"1")</f>
        <v>9</v>
      </c>
      <c r="L189" s="30">
        <f>K189/83</f>
        <v>0.108433734939759</v>
      </c>
      <c r="O189" s="30" t="str">
        <v>tengah</v>
      </c>
      <c r="P189" s="30">
        <f>COUNTIFS($O$170:$O$332,"Tengah",$M$2:$M$164,"1")</f>
        <v>0</v>
      </c>
      <c r="Q189" s="30">
        <f>P189/104</f>
        <v>0</v>
      </c>
      <c r="T189" s="30" t="str">
        <v>kanan</v>
      </c>
      <c r="U189" s="30">
        <f>COUNTIFS($T$170:$T$332,"Tengah",$M$2:$M$164,"1")</f>
        <v>8</v>
      </c>
      <c r="V189" s="30">
        <f>U189/82</f>
        <v>0.0975609756097561</v>
      </c>
    </row>
    <row r="190" spans="5:22">
      <c r="E190" s="30" t="str">
        <v>kiri</v>
      </c>
      <c r="F190" s="30">
        <f t="array" ref="F190">SUMPRODUCT((E170:E332="tengah")*(M2:M164=2))</f>
        <v>39</v>
      </c>
      <c r="G190" s="30">
        <f t="shared" ref="G190:G191" si="10">F190/92</f>
        <v>0.423913043478261</v>
      </c>
      <c r="J190" s="30" t="str">
        <v>kiri</v>
      </c>
      <c r="K190" s="30">
        <f>COUNTIFS($J$170:$J$332,"Tengah",$M$2:$M$164,"2")</f>
        <v>37</v>
      </c>
      <c r="L190" s="30">
        <f t="shared" ref="L190:L191" si="11">K190/97</f>
        <v>0.381443298969072</v>
      </c>
      <c r="O190" s="30" t="str">
        <v>tengah</v>
      </c>
      <c r="P190" s="30">
        <f>COUNTIFS($O$170:$O$332,"Tengah",$M$2:$M$164,"2")</f>
        <v>55</v>
      </c>
      <c r="Q190" s="30">
        <f t="shared" ref="Q190:Q191" si="12">P190/104</f>
        <v>0.528846153846154</v>
      </c>
      <c r="T190" s="30" t="str">
        <v>tengah</v>
      </c>
      <c r="U190" s="30">
        <f>COUNTIFS($T$170:$T$332,"Tengah",$M$2:$M$164,"2")</f>
        <v>35</v>
      </c>
      <c r="V190" s="30">
        <f t="shared" ref="V190:V191" si="13">U190/82</f>
        <v>0.426829268292683</v>
      </c>
    </row>
    <row r="191" spans="5:22">
      <c r="E191" s="30" t="str">
        <v>kiri</v>
      </c>
      <c r="F191" s="30">
        <f t="array" ref="F191">SUMPRODUCT((E170:E332="tengah")*(M2:M164=3))</f>
        <v>42</v>
      </c>
      <c r="G191" s="30">
        <f t="shared" si="10"/>
        <v>0.456521739130435</v>
      </c>
      <c r="J191" s="30" t="str">
        <v>tengah</v>
      </c>
      <c r="K191" s="30">
        <f>COUNTIFS($J$170:$J$332,"Tengah",$M$2:$M$164,"3")</f>
        <v>37</v>
      </c>
      <c r="L191" s="30">
        <f t="shared" si="11"/>
        <v>0.381443298969072</v>
      </c>
      <c r="O191" s="30" t="str">
        <v>tengah</v>
      </c>
      <c r="P191" s="30">
        <f>COUNTIFS($O$170:$O$332,"Tengah",$M$2:$M$164,"3")</f>
        <v>49</v>
      </c>
      <c r="Q191" s="30">
        <f t="shared" si="12"/>
        <v>0.471153846153846</v>
      </c>
      <c r="T191" s="30" t="str">
        <v>tengah</v>
      </c>
      <c r="U191" s="30">
        <f>COUNTIFS($T$170:$T$332,"Tengah",$M$2:$M$164,"3")</f>
        <v>39</v>
      </c>
      <c r="V191" s="30">
        <f t="shared" si="13"/>
        <v>0.475609756097561</v>
      </c>
    </row>
    <row r="192" spans="5:22">
      <c r="E192" s="30" t="str">
        <v>kiri</v>
      </c>
      <c r="F192" s="30" t="s">
        <v>194</v>
      </c>
      <c r="G192" s="30">
        <f>-(IFERROR(G189*LOG(G189,2),0)+IFERROR(G190*LOG(G190,2),0)+IFERROR(G191*LOG(G191,2),0))</f>
        <v>1.40767319412934</v>
      </c>
      <c r="J192" s="30" t="str">
        <v>tengah</v>
      </c>
      <c r="K192" s="30" t="s">
        <v>194</v>
      </c>
      <c r="L192" s="30">
        <f>-(IFERROR(L189*LOG(L189,2),0)+IFERROR(L190*LOG(L190,2),0)+IFERROR(L191*LOG(L191,2),0))</f>
        <v>1.4083054281862</v>
      </c>
      <c r="O192" s="30" t="str">
        <v>tengah</v>
      </c>
      <c r="P192" s="30" t="s">
        <v>194</v>
      </c>
      <c r="Q192" s="30">
        <f>-(IFERROR(Q189*LOG(Q189,2),0)+IFERROR(Q190*LOG(Q190,2),0)+IFERROR(Q191*LOG(Q191,2),0))</f>
        <v>0.997597731549732</v>
      </c>
      <c r="T192" s="30" t="str">
        <v>kanan</v>
      </c>
      <c r="U192" s="30" t="s">
        <v>194</v>
      </c>
      <c r="V192" s="30">
        <f>-(IFERROR(V189*LOG(V189,2),0)+IFERROR(V190*LOG(V190,2),0)+IFERROR(V191*LOG(V191,2),0))</f>
        <v>1.36175210060953</v>
      </c>
    </row>
    <row r="193" spans="5:22">
      <c r="E193" s="30" t="str">
        <v>tengah</v>
      </c>
      <c r="F193" s="30"/>
      <c r="G193" s="30">
        <f>SUM(F189:F191)/163</f>
        <v>0.56441717791411</v>
      </c>
      <c r="J193" s="30" t="str">
        <v>kanan</v>
      </c>
      <c r="K193" s="30"/>
      <c r="L193" s="30">
        <f>SUM(K189:K191)/163</f>
        <v>0.50920245398773</v>
      </c>
      <c r="O193" s="30" t="str">
        <v>tengah</v>
      </c>
      <c r="P193" s="30"/>
      <c r="Q193" s="30">
        <f>SUM(P189:P191)/163</f>
        <v>0.638036809815951</v>
      </c>
      <c r="T193" s="30" t="str">
        <v>tengah</v>
      </c>
      <c r="U193" s="30"/>
      <c r="V193" s="30">
        <f>SUM(U189:U191)/163</f>
        <v>0.503067484662577</v>
      </c>
    </row>
    <row r="194" spans="5:22">
      <c r="E194" s="30" t="str">
        <v>kanan</v>
      </c>
      <c r="F194" s="30"/>
      <c r="G194" s="37">
        <f>G192*G193</f>
        <v>0.794514931655824</v>
      </c>
      <c r="J194" s="30" t="str">
        <v>kanan</v>
      </c>
      <c r="K194" s="30"/>
      <c r="L194" s="37">
        <f>L192*L193</f>
        <v>0.717112579996652</v>
      </c>
      <c r="O194" s="30" t="str">
        <v>tengah</v>
      </c>
      <c r="P194" s="30"/>
      <c r="Q194" s="37">
        <f>Q192*Q193</f>
        <v>0.63650407411762</v>
      </c>
      <c r="T194" s="30" t="str">
        <v>tengah</v>
      </c>
      <c r="U194" s="30"/>
      <c r="V194" s="37">
        <f>V192*V193</f>
        <v>0.685053203987616</v>
      </c>
    </row>
    <row r="195" spans="5:22">
      <c r="E195" s="30" t="str">
        <v>tengah</v>
      </c>
      <c r="F195" s="30"/>
      <c r="G195" s="30"/>
      <c r="J195" s="30" t="str">
        <v>tengah</v>
      </c>
      <c r="K195" s="30"/>
      <c r="L195" s="30"/>
      <c r="O195" s="30" t="str">
        <v>kiri</v>
      </c>
      <c r="P195" s="30"/>
      <c r="Q195" s="30"/>
      <c r="T195" s="30" t="str">
        <v>kanan</v>
      </c>
      <c r="U195" s="30"/>
      <c r="V195" s="30"/>
    </row>
    <row r="196" spans="5:22">
      <c r="E196" s="30" t="str">
        <v>tengah</v>
      </c>
      <c r="F196" s="30" t="s">
        <v>200</v>
      </c>
      <c r="G196" s="36" t="s">
        <v>194</v>
      </c>
      <c r="J196" s="30" t="str">
        <v>kanan</v>
      </c>
      <c r="K196" s="30" t="s">
        <v>200</v>
      </c>
      <c r="L196" s="36" t="s">
        <v>194</v>
      </c>
      <c r="O196" s="30" t="str">
        <v>tengah</v>
      </c>
      <c r="P196" s="30" t="s">
        <v>200</v>
      </c>
      <c r="Q196" s="36" t="s">
        <v>194</v>
      </c>
      <c r="T196" s="30" t="str">
        <v>tengah</v>
      </c>
      <c r="U196" s="30" t="s">
        <v>200</v>
      </c>
      <c r="V196" s="36" t="s">
        <v>194</v>
      </c>
    </row>
    <row r="197" spans="5:22">
      <c r="E197" s="30" t="str">
        <v>kanan</v>
      </c>
      <c r="F197" s="41">
        <f>P5-(G176+G185+G194)</f>
        <v>0.0361514390725977</v>
      </c>
      <c r="G197" s="37">
        <f>(G176+G185+G194)</f>
        <v>1.32517700772895</v>
      </c>
      <c r="J197" s="30" t="str">
        <v>tengah</v>
      </c>
      <c r="K197" s="41">
        <f>P5-(L176+L185+L194)</f>
        <v>-0.00235328528130019</v>
      </c>
      <c r="L197" s="37">
        <f>(L176+L185+L194)</f>
        <v>1.36368173208284</v>
      </c>
      <c r="O197" s="30" t="str">
        <v>tengah</v>
      </c>
      <c r="P197" s="41">
        <f>P5-(Q176+Q185+Q194)</f>
        <v>0.548286136347325</v>
      </c>
      <c r="Q197" s="37">
        <f>(Q176+Q185+Q194)</f>
        <v>0.813042310454218</v>
      </c>
      <c r="T197" s="30" t="str">
        <v>kanan</v>
      </c>
      <c r="U197" s="41">
        <f>P5-(V176+V185+V194)</f>
        <v>0.000289227480607002</v>
      </c>
      <c r="V197" s="37">
        <f>(V176+V185+V194)</f>
        <v>1.36103921932094</v>
      </c>
    </row>
    <row r="198" spans="5:22">
      <c r="E198" s="30" t="str">
        <v>tengah</v>
      </c>
      <c r="F198" s="30"/>
      <c r="G198" s="30"/>
      <c r="J198" s="30" t="str">
        <v>kanan</v>
      </c>
      <c r="K198" s="30"/>
      <c r="L198" s="30"/>
      <c r="O198" s="30" t="str">
        <v>tengah</v>
      </c>
      <c r="P198" s="30"/>
      <c r="Q198" s="30"/>
      <c r="T198" s="30" t="str">
        <v>kanan</v>
      </c>
      <c r="U198" s="30"/>
      <c r="V198" s="30"/>
    </row>
    <row r="199" spans="5:22">
      <c r="E199" s="30" t="str">
        <v>kanan</v>
      </c>
      <c r="F199" s="30"/>
      <c r="G199" s="30"/>
      <c r="J199" s="30" t="str">
        <v>kanan</v>
      </c>
      <c r="K199" s="30"/>
      <c r="L199" s="30"/>
      <c r="O199" s="30" t="str">
        <v>tengah</v>
      </c>
      <c r="P199" s="30"/>
      <c r="Q199" s="30"/>
      <c r="T199" s="30" t="str">
        <v>tengah</v>
      </c>
      <c r="U199" s="30"/>
      <c r="V199" s="30"/>
    </row>
    <row r="200" spans="5:22">
      <c r="E200" s="30" t="str">
        <v>tengah</v>
      </c>
      <c r="F200" s="30"/>
      <c r="G200" s="30"/>
      <c r="J200" s="30" t="str">
        <v>tengah</v>
      </c>
      <c r="K200" s="30"/>
      <c r="L200" s="30"/>
      <c r="O200" s="30" t="str">
        <v>tengah</v>
      </c>
      <c r="P200" s="30"/>
      <c r="Q200" s="30"/>
      <c r="T200" s="30" t="str">
        <v>kanan</v>
      </c>
      <c r="U200" s="30"/>
      <c r="V200" s="30"/>
    </row>
    <row r="201" spans="5:22">
      <c r="E201" s="30" t="str">
        <v>kiri</v>
      </c>
      <c r="F201" s="30"/>
      <c r="G201" s="30"/>
      <c r="J201" s="30" t="str">
        <v>tengah</v>
      </c>
      <c r="K201" s="30"/>
      <c r="L201" s="30"/>
      <c r="O201" s="30" t="str">
        <v>kiri</v>
      </c>
      <c r="P201" s="30"/>
      <c r="Q201" s="30"/>
      <c r="T201" s="30" t="str">
        <v>tengah</v>
      </c>
      <c r="U201" s="30"/>
      <c r="V201" s="30"/>
    </row>
    <row r="202" spans="5:22">
      <c r="E202" s="30" t="str">
        <v>tengah</v>
      </c>
      <c r="F202" s="30"/>
      <c r="G202" s="30"/>
      <c r="J202" s="30" t="str">
        <v>tengah</v>
      </c>
      <c r="K202" s="30"/>
      <c r="L202" s="30"/>
      <c r="O202" s="30" t="str">
        <v>tengah</v>
      </c>
      <c r="P202" s="30"/>
      <c r="Q202" s="30"/>
      <c r="T202" s="30" t="str">
        <v>tengah</v>
      </c>
      <c r="U202" s="30"/>
      <c r="V202" s="30"/>
    </row>
    <row r="203" spans="5:22">
      <c r="E203" s="30" t="str">
        <v>tengah</v>
      </c>
      <c r="F203" s="30"/>
      <c r="G203" s="30"/>
      <c r="J203" s="30" t="str">
        <v>tengah</v>
      </c>
      <c r="K203" s="30"/>
      <c r="L203" s="30"/>
      <c r="O203" s="30" t="str">
        <v>kanan</v>
      </c>
      <c r="P203" s="30"/>
      <c r="Q203" s="30"/>
      <c r="T203" s="30" t="str">
        <v>kanan</v>
      </c>
      <c r="U203" s="30"/>
      <c r="V203" s="30"/>
    </row>
    <row r="204" spans="5:22">
      <c r="E204" s="30" t="str">
        <v>tengah</v>
      </c>
      <c r="F204" s="30"/>
      <c r="G204" s="30"/>
      <c r="J204" s="30" t="str">
        <v>kiri</v>
      </c>
      <c r="K204" s="30"/>
      <c r="L204" s="30"/>
      <c r="O204" s="30" t="str">
        <v>kiri</v>
      </c>
      <c r="P204" s="30"/>
      <c r="Q204" s="30"/>
      <c r="T204" s="30" t="str">
        <v>kanan</v>
      </c>
      <c r="U204" s="30"/>
      <c r="V204" s="30"/>
    </row>
    <row r="205" spans="5:22">
      <c r="E205" s="30" t="str">
        <v>kanan</v>
      </c>
      <c r="F205" s="30"/>
      <c r="G205" s="30"/>
      <c r="J205" s="30" t="str">
        <v>kanan</v>
      </c>
      <c r="K205" s="30"/>
      <c r="L205" s="30"/>
      <c r="O205" s="30" t="str">
        <v>tengah</v>
      </c>
      <c r="P205" s="30"/>
      <c r="Q205" s="30"/>
      <c r="T205" s="30" t="str">
        <v>tengah</v>
      </c>
      <c r="U205" s="30"/>
      <c r="V205" s="30"/>
    </row>
    <row r="206" spans="5:22">
      <c r="E206" s="30" t="str">
        <v>kiri</v>
      </c>
      <c r="F206" s="30"/>
      <c r="G206" s="30"/>
      <c r="J206" s="30" t="str">
        <v>kiri</v>
      </c>
      <c r="K206" s="30"/>
      <c r="L206" s="30"/>
      <c r="O206" s="30" t="str">
        <v>tengah</v>
      </c>
      <c r="P206" s="30"/>
      <c r="Q206" s="30"/>
      <c r="T206" s="30" t="str">
        <v>kanan</v>
      </c>
      <c r="U206" s="30"/>
      <c r="V206" s="30"/>
    </row>
    <row r="207" spans="5:22">
      <c r="E207" s="30" t="str">
        <v>kanan</v>
      </c>
      <c r="F207" s="30"/>
      <c r="G207" s="30"/>
      <c r="J207" s="30" t="str">
        <v>tengah</v>
      </c>
      <c r="K207" s="30"/>
      <c r="L207" s="30"/>
      <c r="O207" s="30" t="str">
        <v>tengah</v>
      </c>
      <c r="P207" s="30"/>
      <c r="Q207" s="30"/>
      <c r="T207" s="30" t="str">
        <v>tengah</v>
      </c>
      <c r="U207" s="30"/>
      <c r="V207" s="30"/>
    </row>
    <row r="208" spans="5:22">
      <c r="E208" s="30" t="str">
        <v>kiri</v>
      </c>
      <c r="F208" s="30"/>
      <c r="G208" s="30"/>
      <c r="J208" s="30" t="str">
        <v>kanan</v>
      </c>
      <c r="K208" s="30"/>
      <c r="L208" s="30"/>
      <c r="O208" s="30" t="str">
        <v>tengah</v>
      </c>
      <c r="P208" s="30"/>
      <c r="Q208" s="30"/>
      <c r="T208" s="30" t="str">
        <v>kanan</v>
      </c>
      <c r="U208" s="30"/>
      <c r="V208" s="30"/>
    </row>
    <row r="209" spans="5:22">
      <c r="E209" s="30" t="str">
        <v>kiri</v>
      </c>
      <c r="F209" s="30"/>
      <c r="G209" s="30"/>
      <c r="J209" s="30" t="str">
        <v>tengah</v>
      </c>
      <c r="K209" s="30"/>
      <c r="L209" s="30"/>
      <c r="O209" s="30" t="str">
        <v>tengah</v>
      </c>
      <c r="P209" s="30"/>
      <c r="Q209" s="30"/>
      <c r="T209" s="30" t="str">
        <v>tengah</v>
      </c>
      <c r="U209" s="30"/>
      <c r="V209" s="30"/>
    </row>
    <row r="210" spans="5:22">
      <c r="E210" s="30" t="str">
        <v>kiri</v>
      </c>
      <c r="F210" s="30"/>
      <c r="G210" s="30"/>
      <c r="J210" s="30" t="str">
        <v>kanan</v>
      </c>
      <c r="K210" s="30"/>
      <c r="L210" s="30"/>
      <c r="O210" s="30" t="str">
        <v>kiri</v>
      </c>
      <c r="P210" s="30"/>
      <c r="Q210" s="30"/>
      <c r="T210" s="30" t="str">
        <v>kanan</v>
      </c>
      <c r="U210" s="30"/>
      <c r="V210" s="30"/>
    </row>
    <row r="211" spans="5:22">
      <c r="E211" s="30" t="str">
        <v>tengah</v>
      </c>
      <c r="F211" s="30"/>
      <c r="G211" s="30"/>
      <c r="J211" s="30" t="str">
        <v>tengah</v>
      </c>
      <c r="K211" s="30"/>
      <c r="L211" s="30"/>
      <c r="O211" s="30" t="str">
        <v>kanan</v>
      </c>
      <c r="P211" s="30"/>
      <c r="Q211" s="30"/>
      <c r="T211" s="30" t="str">
        <v>tengah</v>
      </c>
      <c r="U211" s="30"/>
      <c r="V211" s="30"/>
    </row>
    <row r="212" spans="5:22">
      <c r="E212" s="30" t="str">
        <v>kanan</v>
      </c>
      <c r="F212" s="30"/>
      <c r="G212" s="30"/>
      <c r="J212" s="30" t="str">
        <v>kiri</v>
      </c>
      <c r="K212" s="30"/>
      <c r="L212" s="30"/>
      <c r="O212" s="30" t="str">
        <v>tengah</v>
      </c>
      <c r="P212" s="30"/>
      <c r="Q212" s="30"/>
      <c r="T212" s="30" t="str">
        <v>tengah</v>
      </c>
      <c r="U212" s="30"/>
      <c r="V212" s="30"/>
    </row>
    <row r="213" spans="5:22">
      <c r="E213" s="30" t="str">
        <v>tengah</v>
      </c>
      <c r="F213" s="30"/>
      <c r="G213" s="30"/>
      <c r="J213" s="30" t="str">
        <v>tengah</v>
      </c>
      <c r="K213" s="30"/>
      <c r="L213" s="30"/>
      <c r="O213" s="30" t="str">
        <v>kiri</v>
      </c>
      <c r="P213" s="30"/>
      <c r="Q213" s="30"/>
      <c r="T213" s="30" t="str">
        <v>kanan</v>
      </c>
      <c r="U213" s="30"/>
      <c r="V213" s="30"/>
    </row>
    <row r="214" spans="5:22">
      <c r="E214" s="30" t="str">
        <v>tengah</v>
      </c>
      <c r="F214" s="30"/>
      <c r="G214" s="30"/>
      <c r="J214" s="30" t="str">
        <v>tengah</v>
      </c>
      <c r="K214" s="30"/>
      <c r="L214" s="30"/>
      <c r="O214" s="30" t="str">
        <v>kiri</v>
      </c>
      <c r="P214" s="30"/>
      <c r="Q214" s="30"/>
      <c r="T214" s="30" t="str">
        <v>kanan</v>
      </c>
      <c r="U214" s="30"/>
      <c r="V214" s="30"/>
    </row>
    <row r="215" spans="5:22">
      <c r="E215" s="30" t="str">
        <v>kanan</v>
      </c>
      <c r="F215" s="30"/>
      <c r="G215" s="30"/>
      <c r="J215" s="30" t="str">
        <v>tengah</v>
      </c>
      <c r="K215" s="30"/>
      <c r="L215" s="30"/>
      <c r="O215" s="30" t="str">
        <v>kiri</v>
      </c>
      <c r="P215" s="30"/>
      <c r="Q215" s="30"/>
      <c r="T215" s="30" t="str">
        <v>tengah</v>
      </c>
      <c r="U215" s="30"/>
      <c r="V215" s="30"/>
    </row>
    <row r="216" spans="5:22">
      <c r="E216" s="30" t="str">
        <v>kanan</v>
      </c>
      <c r="F216" s="30"/>
      <c r="G216" s="30"/>
      <c r="J216" s="30" t="str">
        <v>kanan</v>
      </c>
      <c r="K216" s="30"/>
      <c r="L216" s="30"/>
      <c r="O216" s="30" t="str">
        <v>tengah</v>
      </c>
      <c r="P216" s="30"/>
      <c r="Q216" s="30"/>
      <c r="T216" s="30" t="str">
        <v>kanan</v>
      </c>
      <c r="U216" s="30"/>
      <c r="V216" s="30"/>
    </row>
    <row r="217" spans="5:22">
      <c r="E217" s="30" t="str">
        <v>kanan</v>
      </c>
      <c r="F217" s="30"/>
      <c r="G217" s="30"/>
      <c r="J217" s="30" t="str">
        <v>tengah</v>
      </c>
      <c r="K217" s="30"/>
      <c r="L217" s="30"/>
      <c r="O217" s="30" t="str">
        <v>tengah</v>
      </c>
      <c r="P217" s="30"/>
      <c r="Q217" s="30"/>
      <c r="T217" s="30" t="str">
        <v>kanan</v>
      </c>
      <c r="U217" s="30"/>
      <c r="V217" s="30"/>
    </row>
    <row r="218" spans="5:22">
      <c r="E218" s="30" t="str">
        <v>kanan</v>
      </c>
      <c r="F218" s="30"/>
      <c r="G218" s="30"/>
      <c r="J218" s="30" t="str">
        <v>kiri</v>
      </c>
      <c r="K218" s="30"/>
      <c r="L218" s="30"/>
      <c r="O218" s="30" t="str">
        <v>tengah</v>
      </c>
      <c r="P218" s="30"/>
      <c r="Q218" s="30"/>
      <c r="T218" s="30" t="str">
        <v>kanan</v>
      </c>
      <c r="U218" s="30"/>
      <c r="V218" s="30"/>
    </row>
    <row r="219" spans="5:22">
      <c r="E219" s="30" t="str">
        <v>tengah</v>
      </c>
      <c r="F219" s="30"/>
      <c r="G219" s="30"/>
      <c r="J219" s="30" t="str">
        <v>tengah</v>
      </c>
      <c r="K219" s="30"/>
      <c r="L219" s="30"/>
      <c r="O219" s="30" t="str">
        <v>kiri</v>
      </c>
      <c r="P219" s="30"/>
      <c r="Q219" s="30"/>
      <c r="T219" s="30" t="str">
        <v>kanan</v>
      </c>
      <c r="U219" s="30"/>
      <c r="V219" s="30"/>
    </row>
    <row r="220" spans="5:22">
      <c r="E220" s="30" t="str">
        <v>tengah</v>
      </c>
      <c r="F220" s="30"/>
      <c r="G220" s="30"/>
      <c r="J220" s="30" t="str">
        <v>kanan</v>
      </c>
      <c r="K220" s="30"/>
      <c r="L220" s="30"/>
      <c r="O220" s="30" t="str">
        <v>tengah</v>
      </c>
      <c r="P220" s="30"/>
      <c r="Q220" s="30"/>
      <c r="T220" s="30" t="str">
        <v>kanan</v>
      </c>
      <c r="U220" s="30"/>
      <c r="V220" s="30"/>
    </row>
    <row r="221" spans="5:22">
      <c r="E221" s="30" t="str">
        <v>tengah</v>
      </c>
      <c r="F221" s="30"/>
      <c r="G221" s="30"/>
      <c r="J221" s="30" t="str">
        <v>kiri</v>
      </c>
      <c r="K221" s="30"/>
      <c r="L221" s="30"/>
      <c r="O221" s="30" t="str">
        <v>tengah</v>
      </c>
      <c r="P221" s="30"/>
      <c r="Q221" s="30"/>
      <c r="T221" s="30" t="str">
        <v>kanan</v>
      </c>
      <c r="U221" s="30"/>
      <c r="V221" s="30"/>
    </row>
    <row r="222" spans="5:22">
      <c r="E222" s="30" t="str">
        <v>tengah</v>
      </c>
      <c r="F222" s="30"/>
      <c r="G222" s="30"/>
      <c r="J222" s="30" t="str">
        <v>kanan</v>
      </c>
      <c r="K222" s="30"/>
      <c r="L222" s="30"/>
      <c r="O222" s="30" t="str">
        <v>tengah</v>
      </c>
      <c r="P222" s="30"/>
      <c r="Q222" s="30"/>
      <c r="T222" s="30" t="str">
        <v>tengah</v>
      </c>
      <c r="U222" s="30"/>
      <c r="V222" s="30"/>
    </row>
    <row r="223" spans="5:22">
      <c r="E223" s="30" t="str">
        <v>tengah</v>
      </c>
      <c r="F223" s="30"/>
      <c r="G223" s="30"/>
      <c r="J223" s="30" t="str">
        <v>tengah</v>
      </c>
      <c r="K223" s="30"/>
      <c r="L223" s="30"/>
      <c r="O223" s="30" t="str">
        <v>kiri</v>
      </c>
      <c r="P223" s="30"/>
      <c r="Q223" s="30"/>
      <c r="T223" s="30" t="str">
        <v>kanan</v>
      </c>
      <c r="U223" s="30"/>
      <c r="V223" s="30"/>
    </row>
    <row r="224" spans="5:22">
      <c r="E224" s="30" t="str">
        <v>kiri</v>
      </c>
      <c r="F224" s="30"/>
      <c r="G224" s="30"/>
      <c r="J224" s="30" t="str">
        <v>kanan</v>
      </c>
      <c r="K224" s="30"/>
      <c r="L224" s="30"/>
      <c r="O224" s="30" t="str">
        <v>kiri</v>
      </c>
      <c r="P224" s="30"/>
      <c r="Q224" s="30"/>
      <c r="T224" s="30" t="str">
        <v>kanan</v>
      </c>
      <c r="U224" s="30"/>
      <c r="V224" s="30"/>
    </row>
    <row r="225" spans="5:22">
      <c r="E225" s="30" t="str">
        <v>kanan</v>
      </c>
      <c r="F225" s="30"/>
      <c r="G225" s="30"/>
      <c r="J225" s="30" t="str">
        <v>kanan</v>
      </c>
      <c r="K225" s="30"/>
      <c r="L225" s="30"/>
      <c r="O225" s="30" t="str">
        <v>tengah</v>
      </c>
      <c r="P225" s="30"/>
      <c r="Q225" s="30"/>
      <c r="T225" s="30" t="str">
        <v>kanan</v>
      </c>
      <c r="U225" s="30"/>
      <c r="V225" s="30"/>
    </row>
    <row r="226" spans="5:22">
      <c r="E226" s="30" t="str">
        <v>kiri</v>
      </c>
      <c r="F226" s="30"/>
      <c r="G226" s="30"/>
      <c r="J226" s="30" t="str">
        <v>tengah</v>
      </c>
      <c r="K226" s="30"/>
      <c r="L226" s="30"/>
      <c r="O226" s="30" t="str">
        <v>tengah</v>
      </c>
      <c r="P226" s="30"/>
      <c r="Q226" s="30"/>
      <c r="T226" s="30" t="str">
        <v>tengah</v>
      </c>
      <c r="U226" s="30"/>
      <c r="V226" s="30"/>
    </row>
    <row r="227" spans="5:22">
      <c r="E227" s="30" t="str">
        <v>kanan</v>
      </c>
      <c r="F227" s="30"/>
      <c r="G227" s="30"/>
      <c r="J227" s="30" t="str">
        <v>kiri</v>
      </c>
      <c r="K227" s="30"/>
      <c r="L227" s="30"/>
      <c r="O227" s="30" t="str">
        <v>kiri</v>
      </c>
      <c r="P227" s="30"/>
      <c r="Q227" s="30"/>
      <c r="T227" s="30" t="str">
        <v>tengah</v>
      </c>
      <c r="U227" s="30"/>
      <c r="V227" s="30"/>
    </row>
    <row r="228" spans="5:22">
      <c r="E228" s="30" t="str">
        <v>tengah</v>
      </c>
      <c r="F228" s="30"/>
      <c r="G228" s="30"/>
      <c r="J228" s="30" t="str">
        <v>tengah</v>
      </c>
      <c r="K228" s="30"/>
      <c r="L228" s="30"/>
      <c r="O228" s="30" t="str">
        <v>tengah</v>
      </c>
      <c r="P228" s="30"/>
      <c r="Q228" s="30"/>
      <c r="T228" s="30" t="str">
        <v>tengah</v>
      </c>
      <c r="U228" s="30"/>
      <c r="V228" s="30"/>
    </row>
    <row r="229" spans="5:22">
      <c r="E229" s="30" t="str">
        <v>kiri</v>
      </c>
      <c r="F229" s="30"/>
      <c r="G229" s="30"/>
      <c r="J229" s="30" t="str">
        <v>kanan</v>
      </c>
      <c r="K229" s="30"/>
      <c r="L229" s="30"/>
      <c r="O229" s="30" t="str">
        <v>kiri</v>
      </c>
      <c r="P229" s="30"/>
      <c r="Q229" s="30"/>
      <c r="T229" s="30" t="str">
        <v>tengah</v>
      </c>
      <c r="U229" s="30"/>
      <c r="V229" s="30"/>
    </row>
    <row r="230" spans="5:22">
      <c r="E230" s="30" t="str">
        <v>kiri</v>
      </c>
      <c r="F230" s="30"/>
      <c r="G230" s="30"/>
      <c r="J230" s="30" t="str">
        <v>tengah</v>
      </c>
      <c r="K230" s="30"/>
      <c r="L230" s="30"/>
      <c r="O230" s="30" t="str">
        <v>tengah</v>
      </c>
      <c r="P230" s="30"/>
      <c r="Q230" s="30"/>
      <c r="T230" s="30" t="str">
        <v>tengah</v>
      </c>
      <c r="U230" s="30"/>
      <c r="V230" s="30"/>
    </row>
    <row r="231" spans="5:22">
      <c r="E231" s="30" t="str">
        <v>tengah</v>
      </c>
      <c r="F231" s="30"/>
      <c r="G231" s="30"/>
      <c r="J231" s="30" t="str">
        <v>tengah</v>
      </c>
      <c r="K231" s="30"/>
      <c r="L231" s="30"/>
      <c r="O231" s="30" t="str">
        <v>tengah</v>
      </c>
      <c r="P231" s="30"/>
      <c r="Q231" s="30"/>
      <c r="T231" s="30" t="str">
        <v>kanan</v>
      </c>
      <c r="U231" s="30"/>
      <c r="V231" s="30"/>
    </row>
    <row r="232" spans="5:22">
      <c r="E232" s="30" t="str">
        <v>kiri</v>
      </c>
      <c r="F232" s="30"/>
      <c r="G232" s="30"/>
      <c r="J232" s="30" t="str">
        <v>kanan</v>
      </c>
      <c r="K232" s="30"/>
      <c r="L232" s="30"/>
      <c r="O232" s="30" t="str">
        <v>kiri</v>
      </c>
      <c r="P232" s="30"/>
      <c r="Q232" s="30"/>
      <c r="T232" s="30" t="str">
        <v>tengah</v>
      </c>
      <c r="U232" s="30"/>
      <c r="V232" s="30"/>
    </row>
    <row r="233" spans="5:22">
      <c r="E233" s="30" t="str">
        <v>tengah</v>
      </c>
      <c r="F233" s="30"/>
      <c r="G233" s="30"/>
      <c r="J233" s="30" t="str">
        <v>tengah</v>
      </c>
      <c r="K233" s="30"/>
      <c r="L233" s="30"/>
      <c r="O233" s="30" t="str">
        <v>tengah</v>
      </c>
      <c r="P233" s="30"/>
      <c r="Q233" s="30"/>
      <c r="T233" s="30" t="str">
        <v>kanan</v>
      </c>
      <c r="U233" s="30"/>
      <c r="V233" s="30"/>
    </row>
    <row r="234" spans="5:22">
      <c r="E234" s="30" t="str">
        <v>tengah</v>
      </c>
      <c r="F234" s="30"/>
      <c r="G234" s="30"/>
      <c r="J234" s="30" t="str">
        <v>tengah</v>
      </c>
      <c r="K234" s="30"/>
      <c r="L234" s="30"/>
      <c r="O234" s="30" t="str">
        <v>kanan</v>
      </c>
      <c r="P234" s="30"/>
      <c r="Q234" s="30"/>
      <c r="T234" s="30" t="str">
        <v>kanan</v>
      </c>
      <c r="U234" s="30"/>
      <c r="V234" s="30"/>
    </row>
    <row r="235" spans="5:22">
      <c r="E235" s="30" t="str">
        <v>tengah</v>
      </c>
      <c r="F235" s="30"/>
      <c r="G235" s="30"/>
      <c r="J235" s="30" t="str">
        <v>kanan</v>
      </c>
      <c r="K235" s="30"/>
      <c r="L235" s="30"/>
      <c r="O235" s="30" t="str">
        <v>tengah</v>
      </c>
      <c r="P235" s="30"/>
      <c r="Q235" s="30"/>
      <c r="T235" s="30" t="str">
        <v>kanan</v>
      </c>
      <c r="U235" s="30"/>
      <c r="V235" s="30"/>
    </row>
    <row r="236" spans="5:22">
      <c r="E236" s="30" t="str">
        <v>kiri</v>
      </c>
      <c r="F236" s="30"/>
      <c r="G236" s="30"/>
      <c r="J236" s="30" t="str">
        <v>kiri</v>
      </c>
      <c r="K236" s="30"/>
      <c r="L236" s="30"/>
      <c r="O236" s="30" t="str">
        <v>tengah</v>
      </c>
      <c r="P236" s="30"/>
      <c r="Q236" s="30"/>
      <c r="T236" s="30" t="str">
        <v>tengah</v>
      </c>
      <c r="U236" s="30"/>
      <c r="V236" s="30"/>
    </row>
    <row r="237" spans="5:22">
      <c r="E237" s="30" t="str">
        <v>kiri</v>
      </c>
      <c r="F237" s="30"/>
      <c r="G237" s="30"/>
      <c r="J237" s="30" t="str">
        <v>tengah</v>
      </c>
      <c r="K237" s="30"/>
      <c r="L237" s="30"/>
      <c r="O237" s="30" t="str">
        <v>kiri</v>
      </c>
      <c r="P237" s="30"/>
      <c r="Q237" s="30"/>
      <c r="T237" s="30" t="str">
        <v>tengah</v>
      </c>
      <c r="U237" s="30"/>
      <c r="V237" s="30"/>
    </row>
    <row r="238" spans="5:22">
      <c r="E238" s="30" t="str">
        <v>tengah</v>
      </c>
      <c r="F238" s="30"/>
      <c r="G238" s="30"/>
      <c r="J238" s="30" t="str">
        <v>tengah</v>
      </c>
      <c r="K238" s="30"/>
      <c r="L238" s="30"/>
      <c r="O238" s="30" t="str">
        <v>tengah</v>
      </c>
      <c r="P238" s="30"/>
      <c r="Q238" s="30"/>
      <c r="T238" s="30" t="str">
        <v>tengah</v>
      </c>
      <c r="U238" s="30"/>
      <c r="V238" s="30"/>
    </row>
    <row r="239" spans="5:22">
      <c r="E239" s="30" t="str">
        <v>kiri</v>
      </c>
      <c r="F239" s="30"/>
      <c r="G239" s="30"/>
      <c r="J239" s="30" t="str">
        <v>kiri</v>
      </c>
      <c r="K239" s="30"/>
      <c r="L239" s="30"/>
      <c r="O239" s="30" t="str">
        <v>tengah</v>
      </c>
      <c r="P239" s="30"/>
      <c r="Q239" s="30"/>
      <c r="T239" s="30" t="str">
        <v>kanan</v>
      </c>
      <c r="U239" s="30"/>
      <c r="V239" s="30"/>
    </row>
    <row r="240" spans="5:22">
      <c r="E240" s="30" t="str">
        <v>tengah</v>
      </c>
      <c r="F240" s="30"/>
      <c r="G240" s="30"/>
      <c r="J240" s="30" t="str">
        <v>kiri</v>
      </c>
      <c r="K240" s="30"/>
      <c r="L240" s="30"/>
      <c r="O240" s="30" t="str">
        <v>kiri</v>
      </c>
      <c r="P240" s="30"/>
      <c r="Q240" s="30"/>
      <c r="T240" s="30" t="str">
        <v>tengah</v>
      </c>
      <c r="U240" s="30"/>
      <c r="V240" s="30"/>
    </row>
    <row r="241" spans="5:22">
      <c r="E241" s="30" t="str">
        <v>kiri</v>
      </c>
      <c r="F241" s="30"/>
      <c r="G241" s="30"/>
      <c r="J241" s="30" t="str">
        <v>tengah</v>
      </c>
      <c r="K241" s="30"/>
      <c r="L241" s="30"/>
      <c r="O241" s="30" t="str">
        <v>tengah</v>
      </c>
      <c r="P241" s="30"/>
      <c r="Q241" s="30"/>
      <c r="T241" s="30" t="str">
        <v>kanan</v>
      </c>
      <c r="U241" s="30"/>
      <c r="V241" s="30"/>
    </row>
    <row r="242" spans="5:22">
      <c r="E242" s="30" t="str">
        <v>tengah</v>
      </c>
      <c r="F242" s="30"/>
      <c r="G242" s="30"/>
      <c r="J242" s="30" t="str">
        <v>tengah</v>
      </c>
      <c r="K242" s="30"/>
      <c r="L242" s="30"/>
      <c r="O242" s="30" t="str">
        <v>tengah</v>
      </c>
      <c r="P242" s="30"/>
      <c r="Q242" s="30"/>
      <c r="T242" s="30" t="str">
        <v>kanan</v>
      </c>
      <c r="U242" s="30"/>
      <c r="V242" s="30"/>
    </row>
    <row r="243" spans="5:22">
      <c r="E243" s="30" t="str">
        <v>kanan</v>
      </c>
      <c r="F243" s="30"/>
      <c r="G243" s="30"/>
      <c r="J243" s="30" t="str">
        <v>tengah</v>
      </c>
      <c r="K243" s="30"/>
      <c r="L243" s="30"/>
      <c r="O243" s="30" t="str">
        <v>tengah</v>
      </c>
      <c r="P243" s="30"/>
      <c r="Q243" s="30"/>
      <c r="T243" s="30" t="str">
        <v>tengah</v>
      </c>
      <c r="U243" s="30"/>
      <c r="V243" s="30"/>
    </row>
    <row r="244" spans="5:22">
      <c r="E244" s="30" t="str">
        <v>tengah</v>
      </c>
      <c r="F244" s="30"/>
      <c r="G244" s="30"/>
      <c r="J244" s="30" t="str">
        <v>kanan</v>
      </c>
      <c r="K244" s="30"/>
      <c r="L244" s="30"/>
      <c r="O244" s="30" t="str">
        <v>kanan</v>
      </c>
      <c r="P244" s="30"/>
      <c r="Q244" s="30"/>
      <c r="T244" s="30" t="str">
        <v>tengah</v>
      </c>
      <c r="U244" s="30"/>
      <c r="V244" s="30"/>
    </row>
    <row r="245" spans="5:22">
      <c r="E245" s="30" t="str">
        <v>tengah</v>
      </c>
      <c r="F245" s="30"/>
      <c r="G245" s="30"/>
      <c r="J245" s="30" t="str">
        <v>kanan</v>
      </c>
      <c r="K245" s="30"/>
      <c r="L245" s="30"/>
      <c r="O245" s="30" t="str">
        <v>tengah</v>
      </c>
      <c r="P245" s="30"/>
      <c r="Q245" s="30"/>
      <c r="T245" s="30" t="str">
        <v>kanan</v>
      </c>
      <c r="U245" s="30"/>
      <c r="V245" s="30"/>
    </row>
    <row r="246" spans="5:22">
      <c r="E246" s="30" t="str">
        <v>tengah</v>
      </c>
      <c r="F246" s="30"/>
      <c r="G246" s="30"/>
      <c r="J246" s="30" t="str">
        <v>kanan</v>
      </c>
      <c r="K246" s="30"/>
      <c r="L246" s="30"/>
      <c r="O246" s="30" t="str">
        <v>tengah</v>
      </c>
      <c r="P246" s="30"/>
      <c r="Q246" s="30"/>
      <c r="T246" s="30" t="str">
        <v>tengah</v>
      </c>
      <c r="U246" s="30"/>
      <c r="V246" s="30"/>
    </row>
    <row r="247" spans="5:22">
      <c r="E247" s="30" t="str">
        <v>tengah</v>
      </c>
      <c r="F247" s="30"/>
      <c r="G247" s="30"/>
      <c r="J247" s="30" t="str">
        <v>kanan</v>
      </c>
      <c r="K247" s="30"/>
      <c r="L247" s="30"/>
      <c r="O247" s="30" t="str">
        <v>tengah</v>
      </c>
      <c r="P247" s="30"/>
      <c r="Q247" s="30"/>
      <c r="T247" s="30" t="str">
        <v>kanan</v>
      </c>
      <c r="U247" s="30"/>
      <c r="V247" s="30"/>
    </row>
    <row r="248" spans="5:22">
      <c r="E248" s="30" t="str">
        <v>kiri</v>
      </c>
      <c r="F248" s="30"/>
      <c r="G248" s="30"/>
      <c r="J248" s="30" t="str">
        <v>tengah</v>
      </c>
      <c r="K248" s="30"/>
      <c r="L248" s="30"/>
      <c r="O248" s="30" t="str">
        <v>tengah</v>
      </c>
      <c r="P248" s="30"/>
      <c r="Q248" s="30"/>
      <c r="T248" s="30" t="str">
        <v>tengah</v>
      </c>
      <c r="U248" s="30"/>
      <c r="V248" s="30"/>
    </row>
    <row r="249" spans="5:22">
      <c r="E249" s="30" t="str">
        <v>kiri</v>
      </c>
      <c r="F249" s="30"/>
      <c r="G249" s="30"/>
      <c r="J249" s="30" t="str">
        <v>kiri</v>
      </c>
      <c r="K249" s="30"/>
      <c r="L249" s="30"/>
      <c r="O249" s="30" t="str">
        <v>tengah</v>
      </c>
      <c r="P249" s="30"/>
      <c r="Q249" s="30"/>
      <c r="T249" s="30" t="str">
        <v>tengah</v>
      </c>
      <c r="U249" s="30"/>
      <c r="V249" s="30"/>
    </row>
    <row r="250" spans="5:22">
      <c r="E250" s="30" t="str">
        <v>tengah</v>
      </c>
      <c r="F250" s="30"/>
      <c r="G250" s="30"/>
      <c r="J250" s="30" t="str">
        <v>tengah</v>
      </c>
      <c r="K250" s="30"/>
      <c r="L250" s="30"/>
      <c r="O250" s="30" t="str">
        <v>tengah</v>
      </c>
      <c r="P250" s="30"/>
      <c r="Q250" s="30"/>
      <c r="T250" s="30" t="str">
        <v>kanan</v>
      </c>
      <c r="U250" s="30"/>
      <c r="V250" s="30"/>
    </row>
    <row r="251" spans="5:22">
      <c r="E251" s="30" t="str">
        <v>tengah</v>
      </c>
      <c r="F251" s="30"/>
      <c r="G251" s="30"/>
      <c r="J251" s="30" t="str">
        <v>tengah</v>
      </c>
      <c r="K251" s="30"/>
      <c r="L251" s="30"/>
      <c r="O251" s="30" t="str">
        <v>tengah</v>
      </c>
      <c r="P251" s="30"/>
      <c r="Q251" s="30"/>
      <c r="T251" s="30" t="str">
        <v>tengah</v>
      </c>
      <c r="U251" s="30"/>
      <c r="V251" s="30"/>
    </row>
    <row r="252" spans="5:22">
      <c r="E252" s="30" t="str">
        <v>kiri</v>
      </c>
      <c r="F252" s="30"/>
      <c r="G252" s="30"/>
      <c r="J252" s="30" t="str">
        <v>tengah</v>
      </c>
      <c r="K252" s="30"/>
      <c r="L252" s="30"/>
      <c r="O252" s="30" t="str">
        <v>tengah</v>
      </c>
      <c r="P252" s="30"/>
      <c r="Q252" s="30"/>
      <c r="T252" s="30" t="str">
        <v>kanan</v>
      </c>
      <c r="U252" s="30"/>
      <c r="V252" s="30"/>
    </row>
    <row r="253" spans="5:22">
      <c r="E253" s="30" t="str">
        <v>kiri</v>
      </c>
      <c r="F253" s="30"/>
      <c r="G253" s="30"/>
      <c r="J253" s="30" t="str">
        <v>tengah</v>
      </c>
      <c r="K253" s="30"/>
      <c r="L253" s="30"/>
      <c r="O253" s="30" t="str">
        <v>kanan</v>
      </c>
      <c r="P253" s="30"/>
      <c r="Q253" s="30"/>
      <c r="T253" s="30" t="str">
        <v>kanan</v>
      </c>
      <c r="U253" s="30"/>
      <c r="V253" s="30"/>
    </row>
    <row r="254" spans="5:22">
      <c r="E254" s="30" t="str">
        <v>kiri</v>
      </c>
      <c r="F254" s="30"/>
      <c r="G254" s="30"/>
      <c r="J254" s="30" t="str">
        <v>tengah</v>
      </c>
      <c r="K254" s="30"/>
      <c r="L254" s="30"/>
      <c r="O254" s="30" t="str">
        <v>tengah</v>
      </c>
      <c r="P254" s="30"/>
      <c r="Q254" s="30"/>
      <c r="T254" s="30" t="str">
        <v>tengah</v>
      </c>
      <c r="U254" s="30"/>
      <c r="V254" s="30"/>
    </row>
    <row r="255" spans="5:22">
      <c r="E255" s="30" t="str">
        <v>tengah</v>
      </c>
      <c r="F255" s="30"/>
      <c r="G255" s="30"/>
      <c r="J255" s="30" t="str">
        <v>tengah</v>
      </c>
      <c r="K255" s="30"/>
      <c r="L255" s="30"/>
      <c r="O255" s="30" t="str">
        <v>kanan</v>
      </c>
      <c r="P255" s="30"/>
      <c r="Q255" s="30"/>
      <c r="T255" s="30" t="str">
        <v>tengah</v>
      </c>
      <c r="U255" s="30"/>
      <c r="V255" s="30"/>
    </row>
    <row r="256" spans="5:22">
      <c r="E256" s="30" t="str">
        <v>tengah</v>
      </c>
      <c r="F256" s="30"/>
      <c r="G256" s="30"/>
      <c r="J256" s="30" t="str">
        <v>kiri</v>
      </c>
      <c r="K256" s="30"/>
      <c r="L256" s="30"/>
      <c r="O256" s="30" t="str">
        <v>tengah</v>
      </c>
      <c r="P256" s="30"/>
      <c r="Q256" s="30"/>
      <c r="T256" s="30" t="str">
        <v>kanan</v>
      </c>
      <c r="U256" s="30"/>
      <c r="V256" s="30"/>
    </row>
    <row r="257" spans="5:22">
      <c r="E257" s="30" t="str">
        <v>kanan</v>
      </c>
      <c r="F257" s="30"/>
      <c r="G257" s="30"/>
      <c r="J257" s="30" t="str">
        <v>kanan</v>
      </c>
      <c r="K257" s="30"/>
      <c r="L257" s="30"/>
      <c r="O257" s="30" t="str">
        <v>tengah</v>
      </c>
      <c r="P257" s="30"/>
      <c r="Q257" s="30"/>
      <c r="T257" s="30" t="str">
        <v>kanan</v>
      </c>
      <c r="U257" s="30"/>
      <c r="V257" s="30"/>
    </row>
    <row r="258" spans="5:22">
      <c r="E258" s="30" t="str">
        <v>tengah</v>
      </c>
      <c r="F258" s="30"/>
      <c r="G258" s="30"/>
      <c r="J258" s="30" t="str">
        <v>kanan</v>
      </c>
      <c r="K258" s="30"/>
      <c r="L258" s="30"/>
      <c r="O258" s="30" t="str">
        <v>kiri</v>
      </c>
      <c r="P258" s="30"/>
      <c r="Q258" s="30"/>
      <c r="T258" s="30" t="str">
        <v>tengah</v>
      </c>
      <c r="U258" s="30"/>
      <c r="V258" s="30"/>
    </row>
    <row r="259" spans="5:22">
      <c r="E259" s="30" t="str">
        <v>kiri</v>
      </c>
      <c r="F259" s="30"/>
      <c r="G259" s="30"/>
      <c r="J259" s="30" t="str">
        <v>kiri</v>
      </c>
      <c r="K259" s="30"/>
      <c r="L259" s="30"/>
      <c r="O259" s="30" t="str">
        <v>kanan</v>
      </c>
      <c r="P259" s="30"/>
      <c r="Q259" s="30"/>
      <c r="T259" s="30" t="str">
        <v>tengah</v>
      </c>
      <c r="U259" s="30"/>
      <c r="V259" s="30"/>
    </row>
    <row r="260" spans="5:22">
      <c r="E260" s="30" t="str">
        <v>tengah</v>
      </c>
      <c r="F260" s="30"/>
      <c r="G260" s="30"/>
      <c r="J260" s="30" t="str">
        <v>tengah</v>
      </c>
      <c r="K260" s="30"/>
      <c r="L260" s="30"/>
      <c r="O260" s="30" t="str">
        <v>kiri</v>
      </c>
      <c r="P260" s="30"/>
      <c r="Q260" s="30"/>
      <c r="T260" s="30" t="str">
        <v>kanan</v>
      </c>
      <c r="U260" s="30"/>
      <c r="V260" s="30"/>
    </row>
    <row r="261" spans="5:22">
      <c r="E261" s="30" t="str">
        <v>kanan</v>
      </c>
      <c r="F261" s="30"/>
      <c r="G261" s="30"/>
      <c r="J261" s="30" t="str">
        <v>kiri</v>
      </c>
      <c r="K261" s="30"/>
      <c r="L261" s="30"/>
      <c r="O261" s="30" t="str">
        <v>kanan</v>
      </c>
      <c r="P261" s="30"/>
      <c r="Q261" s="30"/>
      <c r="T261" s="30" t="str">
        <v>kanan</v>
      </c>
      <c r="U261" s="30"/>
      <c r="V261" s="30"/>
    </row>
    <row r="262" spans="5:22">
      <c r="E262" s="30" t="str">
        <v>tengah</v>
      </c>
      <c r="F262" s="30"/>
      <c r="G262" s="30"/>
      <c r="J262" s="30" t="str">
        <v>tengah</v>
      </c>
      <c r="K262" s="30"/>
      <c r="L262" s="30"/>
      <c r="O262" s="30" t="str">
        <v>tengah</v>
      </c>
      <c r="P262" s="30"/>
      <c r="Q262" s="30"/>
      <c r="T262" s="30" t="str">
        <v>tengah</v>
      </c>
      <c r="U262" s="30"/>
      <c r="V262" s="30"/>
    </row>
    <row r="263" spans="5:22">
      <c r="E263" s="30" t="str">
        <v>tengah</v>
      </c>
      <c r="F263" s="30"/>
      <c r="G263" s="30"/>
      <c r="J263" s="30" t="str">
        <v>kanan</v>
      </c>
      <c r="K263" s="30"/>
      <c r="L263" s="30"/>
      <c r="O263" s="30" t="str">
        <v>tengah</v>
      </c>
      <c r="P263" s="30"/>
      <c r="Q263" s="30"/>
      <c r="T263" s="30" t="str">
        <v>kanan</v>
      </c>
      <c r="U263" s="30"/>
      <c r="V263" s="30"/>
    </row>
    <row r="264" spans="5:22">
      <c r="E264" s="30" t="str">
        <v>tengah</v>
      </c>
      <c r="F264" s="30"/>
      <c r="G264" s="30"/>
      <c r="J264" s="30" t="str">
        <v>tengah</v>
      </c>
      <c r="K264" s="30"/>
      <c r="L264" s="30"/>
      <c r="O264" s="30" t="str">
        <v>kiri</v>
      </c>
      <c r="P264" s="30"/>
      <c r="Q264" s="30"/>
      <c r="T264" s="30" t="str">
        <v>kanan</v>
      </c>
      <c r="U264" s="30"/>
      <c r="V264" s="30"/>
    </row>
    <row r="265" spans="5:22">
      <c r="E265" s="30" t="str">
        <v>tengah</v>
      </c>
      <c r="F265" s="30"/>
      <c r="G265" s="30"/>
      <c r="J265" s="30" t="str">
        <v>kanan</v>
      </c>
      <c r="K265" s="30"/>
      <c r="L265" s="30"/>
      <c r="O265" s="30" t="str">
        <v>tengah</v>
      </c>
      <c r="P265" s="30"/>
      <c r="Q265" s="30"/>
      <c r="T265" s="30" t="str">
        <v>kanan</v>
      </c>
      <c r="U265" s="30"/>
      <c r="V265" s="30"/>
    </row>
    <row r="266" spans="5:22">
      <c r="E266" s="30" t="str">
        <v>tengah</v>
      </c>
      <c r="F266" s="30"/>
      <c r="G266" s="30"/>
      <c r="J266" s="30" t="str">
        <v>kanan</v>
      </c>
      <c r="K266" s="30"/>
      <c r="L266" s="30"/>
      <c r="O266" s="30" t="str">
        <v>tengah</v>
      </c>
      <c r="P266" s="30"/>
      <c r="Q266" s="30"/>
      <c r="T266" s="30" t="str">
        <v>tengah</v>
      </c>
      <c r="U266" s="30"/>
      <c r="V266" s="30"/>
    </row>
    <row r="267" spans="5:22">
      <c r="E267" s="30" t="str">
        <v>tengah</v>
      </c>
      <c r="F267" s="30"/>
      <c r="G267" s="30"/>
      <c r="J267" s="30" t="str">
        <v>tengah</v>
      </c>
      <c r="K267" s="30"/>
      <c r="L267" s="30"/>
      <c r="O267" s="30" t="str">
        <v>kanan</v>
      </c>
      <c r="P267" s="30"/>
      <c r="Q267" s="30"/>
      <c r="T267" s="30" t="str">
        <v>tengah</v>
      </c>
      <c r="U267" s="30"/>
      <c r="V267" s="30"/>
    </row>
    <row r="268" spans="5:22">
      <c r="E268" s="30" t="str">
        <v>kiri</v>
      </c>
      <c r="F268" s="30"/>
      <c r="G268" s="30"/>
      <c r="J268" s="30" t="str">
        <v>kiri</v>
      </c>
      <c r="K268" s="30"/>
      <c r="L268" s="30"/>
      <c r="O268" s="30" t="str">
        <v>kanan</v>
      </c>
      <c r="P268" s="30"/>
      <c r="Q268" s="30"/>
      <c r="T268" s="30" t="str">
        <v>kanan</v>
      </c>
      <c r="U268" s="30"/>
      <c r="V268" s="30"/>
    </row>
    <row r="269" spans="5:22">
      <c r="E269" s="30" t="str">
        <v>tengah</v>
      </c>
      <c r="F269" s="30"/>
      <c r="G269" s="30"/>
      <c r="J269" s="30" t="str">
        <v>tengah</v>
      </c>
      <c r="K269" s="30"/>
      <c r="L269" s="30"/>
      <c r="O269" s="30" t="str">
        <v>tengah</v>
      </c>
      <c r="P269" s="30"/>
      <c r="Q269" s="30"/>
      <c r="T269" s="30" t="str">
        <v>tengah</v>
      </c>
      <c r="U269" s="30"/>
      <c r="V269" s="30"/>
    </row>
    <row r="270" spans="5:22">
      <c r="E270" s="30" t="str">
        <v>kiri</v>
      </c>
      <c r="F270" s="30"/>
      <c r="G270" s="30"/>
      <c r="J270" s="30" t="str">
        <v>tengah</v>
      </c>
      <c r="K270" s="30"/>
      <c r="L270" s="30"/>
      <c r="O270" s="30" t="str">
        <v>tengah</v>
      </c>
      <c r="P270" s="30"/>
      <c r="Q270" s="30"/>
      <c r="T270" s="30" t="str">
        <v>tengah</v>
      </c>
      <c r="U270" s="30"/>
      <c r="V270" s="30"/>
    </row>
    <row r="271" spans="5:22">
      <c r="E271" s="30" t="str">
        <v>tengah</v>
      </c>
      <c r="F271" s="30"/>
      <c r="G271" s="30"/>
      <c r="J271" s="30" t="str">
        <v>tengah</v>
      </c>
      <c r="K271" s="30"/>
      <c r="L271" s="30"/>
      <c r="O271" s="30" t="str">
        <v>tengah</v>
      </c>
      <c r="P271" s="30"/>
      <c r="Q271" s="30"/>
      <c r="T271" s="30" t="str">
        <v>kanan</v>
      </c>
      <c r="U271" s="30"/>
      <c r="V271" s="30"/>
    </row>
    <row r="272" spans="5:22">
      <c r="E272" s="30" t="str">
        <v>tengah</v>
      </c>
      <c r="F272" s="30"/>
      <c r="G272" s="30"/>
      <c r="J272" s="30" t="str">
        <v>tengah</v>
      </c>
      <c r="K272" s="30"/>
      <c r="L272" s="30"/>
      <c r="O272" s="30" t="str">
        <v>kanan</v>
      </c>
      <c r="P272" s="30"/>
      <c r="Q272" s="30"/>
      <c r="T272" s="30" t="str">
        <v>kanan</v>
      </c>
      <c r="U272" s="30"/>
      <c r="V272" s="30"/>
    </row>
    <row r="273" spans="5:22">
      <c r="E273" s="30" t="str">
        <v>tengah</v>
      </c>
      <c r="F273" s="30"/>
      <c r="G273" s="30"/>
      <c r="J273" s="30" t="str">
        <v>tengah</v>
      </c>
      <c r="K273" s="30"/>
      <c r="L273" s="30"/>
      <c r="O273" s="30" t="str">
        <v>tengah</v>
      </c>
      <c r="P273" s="30"/>
      <c r="Q273" s="30"/>
      <c r="T273" s="30" t="str">
        <v>tengah</v>
      </c>
      <c r="U273" s="30"/>
      <c r="V273" s="30"/>
    </row>
    <row r="274" spans="5:22">
      <c r="E274" s="30" t="str">
        <v>kiri</v>
      </c>
      <c r="F274" s="30"/>
      <c r="G274" s="30"/>
      <c r="J274" s="30" t="str">
        <v>tengah</v>
      </c>
      <c r="K274" s="30"/>
      <c r="L274" s="30"/>
      <c r="O274" s="30" t="str">
        <v>kanan</v>
      </c>
      <c r="P274" s="30"/>
      <c r="Q274" s="30"/>
      <c r="T274" s="30" t="str">
        <v>kanan</v>
      </c>
      <c r="U274" s="30"/>
      <c r="V274" s="30"/>
    </row>
    <row r="275" spans="5:22">
      <c r="E275" s="30" t="str">
        <v>tengah</v>
      </c>
      <c r="F275" s="30"/>
      <c r="G275" s="30"/>
      <c r="J275" s="30" t="str">
        <v>kanan</v>
      </c>
      <c r="K275" s="30"/>
      <c r="L275" s="30"/>
      <c r="O275" s="30" t="str">
        <v>tengah</v>
      </c>
      <c r="P275" s="30"/>
      <c r="Q275" s="30"/>
      <c r="T275" s="30" t="str">
        <v>tengah</v>
      </c>
      <c r="U275" s="30"/>
      <c r="V275" s="30"/>
    </row>
    <row r="276" spans="5:22">
      <c r="E276" s="30" t="str">
        <v>kiri</v>
      </c>
      <c r="F276" s="30"/>
      <c r="G276" s="30"/>
      <c r="J276" s="30" t="str">
        <v>kiri</v>
      </c>
      <c r="K276" s="30"/>
      <c r="L276" s="30"/>
      <c r="O276" s="30" t="str">
        <v>tengah</v>
      </c>
      <c r="P276" s="30"/>
      <c r="Q276" s="30"/>
      <c r="T276" s="30" t="str">
        <v>kanan</v>
      </c>
      <c r="U276" s="30"/>
      <c r="V276" s="30"/>
    </row>
    <row r="277" spans="5:22">
      <c r="E277" s="30" t="str">
        <v>tengah</v>
      </c>
      <c r="F277" s="30"/>
      <c r="G277" s="30"/>
      <c r="J277" s="30" t="str">
        <v>kanan</v>
      </c>
      <c r="K277" s="30"/>
      <c r="L277" s="30"/>
      <c r="O277" s="30" t="str">
        <v>tengah</v>
      </c>
      <c r="P277" s="30"/>
      <c r="Q277" s="30"/>
      <c r="T277" s="30" t="str">
        <v>tengah</v>
      </c>
      <c r="U277" s="30"/>
      <c r="V277" s="30"/>
    </row>
    <row r="278" spans="5:22">
      <c r="E278" s="30" t="str">
        <v>kanan</v>
      </c>
      <c r="F278" s="30"/>
      <c r="G278" s="30"/>
      <c r="J278" s="30" t="str">
        <v>kanan</v>
      </c>
      <c r="K278" s="30"/>
      <c r="L278" s="30"/>
      <c r="O278" s="30" t="str">
        <v>kanan</v>
      </c>
      <c r="P278" s="30"/>
      <c r="Q278" s="30"/>
      <c r="T278" s="30" t="str">
        <v>kanan</v>
      </c>
      <c r="U278" s="30"/>
      <c r="V278" s="30"/>
    </row>
    <row r="279" spans="5:22">
      <c r="E279" s="30" t="str">
        <v>tengah</v>
      </c>
      <c r="F279" s="30"/>
      <c r="G279" s="30"/>
      <c r="J279" s="30" t="str">
        <v>kanan</v>
      </c>
      <c r="K279" s="30"/>
      <c r="L279" s="30"/>
      <c r="O279" s="30" t="str">
        <v>tengah</v>
      </c>
      <c r="P279" s="30"/>
      <c r="Q279" s="30"/>
      <c r="T279" s="30" t="str">
        <v>tengah</v>
      </c>
      <c r="U279" s="30"/>
      <c r="V279" s="30"/>
    </row>
    <row r="280" spans="5:22">
      <c r="E280" s="30" t="str">
        <v>tengah</v>
      </c>
      <c r="F280" s="30"/>
      <c r="G280" s="30"/>
      <c r="J280" s="30" t="str">
        <v>tengah</v>
      </c>
      <c r="K280" s="30"/>
      <c r="L280" s="30"/>
      <c r="O280" s="30" t="str">
        <v>tengah</v>
      </c>
      <c r="P280" s="30"/>
      <c r="Q280" s="30"/>
      <c r="T280" s="30" t="str">
        <v>kanan</v>
      </c>
      <c r="U280" s="30"/>
      <c r="V280" s="30"/>
    </row>
    <row r="281" spans="5:22">
      <c r="E281" s="30" t="str">
        <v>tengah</v>
      </c>
      <c r="F281" s="30"/>
      <c r="G281" s="30"/>
      <c r="J281" s="30" t="str">
        <v>tengah</v>
      </c>
      <c r="K281" s="30"/>
      <c r="L281" s="30"/>
      <c r="O281" s="30" t="str">
        <v>kanan</v>
      </c>
      <c r="P281" s="30"/>
      <c r="Q281" s="30"/>
      <c r="T281" s="30" t="str">
        <v>kanan</v>
      </c>
      <c r="U281" s="30"/>
      <c r="V281" s="30"/>
    </row>
    <row r="282" spans="5:22">
      <c r="E282" s="30" t="str">
        <v>tengah</v>
      </c>
      <c r="F282" s="30"/>
      <c r="G282" s="30"/>
      <c r="J282" s="30" t="str">
        <v>tengah</v>
      </c>
      <c r="K282" s="30"/>
      <c r="L282" s="30"/>
      <c r="O282" s="30" t="str">
        <v>tengah</v>
      </c>
      <c r="P282" s="30"/>
      <c r="Q282" s="30"/>
      <c r="T282" s="30" t="str">
        <v>tengah</v>
      </c>
      <c r="U282" s="30"/>
      <c r="V282" s="30"/>
    </row>
    <row r="283" spans="5:22">
      <c r="E283" s="30" t="str">
        <v>tengah</v>
      </c>
      <c r="F283" s="30"/>
      <c r="G283" s="30"/>
      <c r="J283" s="30" t="str">
        <v>kiri</v>
      </c>
      <c r="K283" s="30"/>
      <c r="L283" s="30"/>
      <c r="O283" s="30" t="str">
        <v>tengah</v>
      </c>
      <c r="P283" s="30"/>
      <c r="Q283" s="30"/>
      <c r="T283" s="30" t="str">
        <v>tengah</v>
      </c>
      <c r="U283" s="30"/>
      <c r="V283" s="30"/>
    </row>
    <row r="284" spans="5:22">
      <c r="E284" s="30" t="str">
        <v>kanan</v>
      </c>
      <c r="F284" s="30"/>
      <c r="G284" s="30"/>
      <c r="J284" s="30" t="str">
        <v>tengah</v>
      </c>
      <c r="K284" s="30"/>
      <c r="L284" s="30"/>
      <c r="O284" s="30" t="str">
        <v>tengah</v>
      </c>
      <c r="P284" s="30"/>
      <c r="Q284" s="30"/>
      <c r="T284" s="30" t="str">
        <v>tengah</v>
      </c>
      <c r="U284" s="30"/>
      <c r="V284" s="30"/>
    </row>
    <row r="285" spans="5:22">
      <c r="E285" s="30" t="str">
        <v>tengah</v>
      </c>
      <c r="F285" s="30"/>
      <c r="G285" s="30"/>
      <c r="J285" s="30" t="str">
        <v>kanan</v>
      </c>
      <c r="K285" s="30"/>
      <c r="L285" s="30"/>
      <c r="O285" s="30" t="str">
        <v>tengah</v>
      </c>
      <c r="P285" s="30"/>
      <c r="Q285" s="30"/>
      <c r="T285" s="30" t="str">
        <v>tengah</v>
      </c>
      <c r="U285" s="30"/>
      <c r="V285" s="30"/>
    </row>
    <row r="286" spans="5:22">
      <c r="E286" s="30" t="str">
        <v>tengah</v>
      </c>
      <c r="F286" s="30"/>
      <c r="G286" s="30"/>
      <c r="J286" s="30" t="str">
        <v>kiri</v>
      </c>
      <c r="K286" s="30"/>
      <c r="L286" s="30"/>
      <c r="O286" s="30" t="str">
        <v>tengah</v>
      </c>
      <c r="P286" s="30"/>
      <c r="Q286" s="30"/>
      <c r="T286" s="30" t="str">
        <v>tengah</v>
      </c>
      <c r="U286" s="30"/>
      <c r="V286" s="30"/>
    </row>
    <row r="287" spans="5:22">
      <c r="E287" s="30" t="str">
        <v>kanan</v>
      </c>
      <c r="F287" s="30"/>
      <c r="G287" s="30"/>
      <c r="J287" s="30" t="str">
        <v>tengah</v>
      </c>
      <c r="K287" s="30"/>
      <c r="L287" s="30"/>
      <c r="O287" s="30" t="str">
        <v>tengah</v>
      </c>
      <c r="P287" s="30"/>
      <c r="Q287" s="30"/>
      <c r="T287" s="30" t="str">
        <v>tengah</v>
      </c>
      <c r="U287" s="30"/>
      <c r="V287" s="30"/>
    </row>
    <row r="288" spans="5:22">
      <c r="E288" s="30" t="str">
        <v>tengah</v>
      </c>
      <c r="F288" s="30"/>
      <c r="G288" s="30"/>
      <c r="J288" s="30" t="str">
        <v>kanan</v>
      </c>
      <c r="K288" s="30"/>
      <c r="L288" s="30"/>
      <c r="O288" s="30" t="str">
        <v>tengah</v>
      </c>
      <c r="P288" s="30"/>
      <c r="Q288" s="30"/>
      <c r="T288" s="30" t="str">
        <v>kanan</v>
      </c>
      <c r="U288" s="30"/>
      <c r="V288" s="30"/>
    </row>
    <row r="289" spans="5:22">
      <c r="E289" s="30" t="str">
        <v>kanan</v>
      </c>
      <c r="F289" s="30"/>
      <c r="G289" s="30"/>
      <c r="J289" s="30" t="str">
        <v>kanan</v>
      </c>
      <c r="K289" s="30"/>
      <c r="L289" s="30"/>
      <c r="O289" s="30" t="str">
        <v>tengah</v>
      </c>
      <c r="P289" s="30"/>
      <c r="Q289" s="30"/>
      <c r="T289" s="30" t="str">
        <v>tengah</v>
      </c>
      <c r="U289" s="30"/>
      <c r="V289" s="30"/>
    </row>
    <row r="290" spans="5:22">
      <c r="E290" s="30" t="str">
        <v>tengah</v>
      </c>
      <c r="F290" s="30"/>
      <c r="G290" s="30"/>
      <c r="J290" s="30" t="str">
        <v>tengah</v>
      </c>
      <c r="K290" s="30"/>
      <c r="L290" s="30"/>
      <c r="O290" s="30" t="str">
        <v>kanan</v>
      </c>
      <c r="P290" s="30"/>
      <c r="Q290" s="30"/>
      <c r="T290" s="30" t="str">
        <v>kanan</v>
      </c>
      <c r="U290" s="30"/>
      <c r="V290" s="30"/>
    </row>
    <row r="291" spans="5:22">
      <c r="E291" s="30" t="str">
        <v>tengah</v>
      </c>
      <c r="F291" s="30"/>
      <c r="G291" s="30"/>
      <c r="J291" s="30" t="str">
        <v>kanan</v>
      </c>
      <c r="K291" s="30"/>
      <c r="L291" s="30"/>
      <c r="O291" s="30" t="str">
        <v>tengah</v>
      </c>
      <c r="P291" s="30"/>
      <c r="Q291" s="30"/>
      <c r="T291" s="30" t="str">
        <v>kanan</v>
      </c>
      <c r="U291" s="30"/>
      <c r="V291" s="30"/>
    </row>
    <row r="292" spans="5:22">
      <c r="E292" s="30" t="str">
        <v>kiri</v>
      </c>
      <c r="F292" s="30"/>
      <c r="G292" s="30"/>
      <c r="J292" s="30" t="str">
        <v>kiri</v>
      </c>
      <c r="K292" s="30"/>
      <c r="L292" s="30"/>
      <c r="O292" s="30" t="str">
        <v>kanan</v>
      </c>
      <c r="P292" s="30"/>
      <c r="Q292" s="30"/>
      <c r="T292" s="30" t="str">
        <v>kanan</v>
      </c>
      <c r="U292" s="30"/>
      <c r="V292" s="30"/>
    </row>
    <row r="293" spans="5:22">
      <c r="E293" s="30" t="str">
        <v>kiri</v>
      </c>
      <c r="F293" s="30"/>
      <c r="G293" s="30"/>
      <c r="J293" s="30" t="str">
        <v>kiri</v>
      </c>
      <c r="K293" s="30"/>
      <c r="L293" s="30"/>
      <c r="O293" s="30" t="str">
        <v>tengah</v>
      </c>
      <c r="P293" s="30"/>
      <c r="Q293" s="30"/>
      <c r="T293" s="30" t="str">
        <v>tengah</v>
      </c>
      <c r="U293" s="30"/>
      <c r="V293" s="30"/>
    </row>
    <row r="294" spans="5:22">
      <c r="E294" s="30" t="str">
        <v>kiri</v>
      </c>
      <c r="F294" s="30"/>
      <c r="G294" s="30"/>
      <c r="J294" s="30" t="str">
        <v>kanan</v>
      </c>
      <c r="K294" s="30"/>
      <c r="L294" s="30"/>
      <c r="O294" s="30" t="str">
        <v>kiri</v>
      </c>
      <c r="P294" s="30"/>
      <c r="Q294" s="30"/>
      <c r="T294" s="30" t="str">
        <v>tengah</v>
      </c>
      <c r="U294" s="30"/>
      <c r="V294" s="30"/>
    </row>
    <row r="295" spans="5:22">
      <c r="E295" s="30" t="str">
        <v>tengah</v>
      </c>
      <c r="F295" s="30"/>
      <c r="G295" s="30"/>
      <c r="J295" s="30" t="str">
        <v>tengah</v>
      </c>
      <c r="K295" s="30"/>
      <c r="L295" s="30"/>
      <c r="O295" s="30" t="str">
        <v>kiri</v>
      </c>
      <c r="P295" s="30"/>
      <c r="Q295" s="30"/>
      <c r="T295" s="30" t="str">
        <v>kanan</v>
      </c>
      <c r="U295" s="30"/>
      <c r="V295" s="30"/>
    </row>
    <row r="296" spans="5:22">
      <c r="E296" s="30" t="str">
        <v>kanan</v>
      </c>
      <c r="F296" s="30"/>
      <c r="G296" s="30"/>
      <c r="J296" s="30" t="str">
        <v>tengah</v>
      </c>
      <c r="K296" s="30"/>
      <c r="L296" s="30"/>
      <c r="O296" s="30" t="str">
        <v>tengah</v>
      </c>
      <c r="P296" s="30"/>
      <c r="Q296" s="30"/>
      <c r="T296" s="30" t="str">
        <v>kanan</v>
      </c>
      <c r="U296" s="30"/>
      <c r="V296" s="30"/>
    </row>
    <row r="297" spans="5:22">
      <c r="E297" s="30" t="str">
        <v>kanan</v>
      </c>
      <c r="F297" s="30"/>
      <c r="G297" s="30"/>
      <c r="J297" s="30" t="str">
        <v>tengah</v>
      </c>
      <c r="K297" s="30"/>
      <c r="L297" s="30"/>
      <c r="O297" s="30" t="str">
        <v>tengah</v>
      </c>
      <c r="P297" s="30"/>
      <c r="Q297" s="30"/>
      <c r="T297" s="30" t="str">
        <v>kanan</v>
      </c>
      <c r="U297" s="30"/>
      <c r="V297" s="30"/>
    </row>
    <row r="298" spans="5:22">
      <c r="E298" s="30" t="str">
        <v>tengah</v>
      </c>
      <c r="F298" s="30"/>
      <c r="G298" s="30"/>
      <c r="J298" s="30" t="str">
        <v>tengah</v>
      </c>
      <c r="K298" s="30"/>
      <c r="L298" s="30"/>
      <c r="O298" s="30" t="str">
        <v>kiri</v>
      </c>
      <c r="P298" s="30"/>
      <c r="Q298" s="30"/>
      <c r="T298" s="30" t="str">
        <v>kanan</v>
      </c>
      <c r="U298" s="30"/>
      <c r="V298" s="30"/>
    </row>
    <row r="299" spans="5:22">
      <c r="E299" s="30" t="str">
        <v>kiri</v>
      </c>
      <c r="F299" s="30"/>
      <c r="G299" s="30"/>
      <c r="J299" s="30" t="str">
        <v>kiri</v>
      </c>
      <c r="K299" s="30"/>
      <c r="L299" s="30"/>
      <c r="O299" s="30" t="str">
        <v>kanan</v>
      </c>
      <c r="P299" s="30"/>
      <c r="Q299" s="30"/>
      <c r="T299" s="30" t="str">
        <v>tengah</v>
      </c>
      <c r="U299" s="30"/>
      <c r="V299" s="30"/>
    </row>
    <row r="300" spans="5:22">
      <c r="E300" s="30" t="str">
        <v>tengah</v>
      </c>
      <c r="F300" s="30"/>
      <c r="G300" s="30"/>
      <c r="J300" s="30" t="str">
        <v>tengah</v>
      </c>
      <c r="K300" s="30"/>
      <c r="L300" s="30"/>
      <c r="O300" s="30" t="str">
        <v>kiri</v>
      </c>
      <c r="P300" s="30"/>
      <c r="Q300" s="30"/>
      <c r="T300" s="30" t="str">
        <v>kanan</v>
      </c>
      <c r="U300" s="30"/>
      <c r="V300" s="30"/>
    </row>
    <row r="301" spans="5:22">
      <c r="E301" s="30" t="str">
        <v>kiri</v>
      </c>
      <c r="F301" s="30"/>
      <c r="G301" s="30"/>
      <c r="J301" s="30" t="str">
        <v>tengah</v>
      </c>
      <c r="K301" s="30"/>
      <c r="L301" s="30"/>
      <c r="O301" s="30" t="str">
        <v>kanan</v>
      </c>
      <c r="P301" s="30"/>
      <c r="Q301" s="30"/>
      <c r="T301" s="30" t="str">
        <v>tengah</v>
      </c>
      <c r="U301" s="30"/>
      <c r="V301" s="30"/>
    </row>
    <row r="302" spans="5:22">
      <c r="E302" s="30" t="str">
        <v>kiri</v>
      </c>
      <c r="F302" s="30"/>
      <c r="G302" s="30"/>
      <c r="J302" s="30" t="str">
        <v>kiri</v>
      </c>
      <c r="K302" s="30"/>
      <c r="L302" s="30"/>
      <c r="O302" s="30" t="str">
        <v>kanan</v>
      </c>
      <c r="P302" s="30"/>
      <c r="Q302" s="30"/>
      <c r="T302" s="30" t="str">
        <v>tengah</v>
      </c>
      <c r="U302" s="30"/>
      <c r="V302" s="30"/>
    </row>
    <row r="303" spans="5:22">
      <c r="E303" s="30" t="str">
        <v>tengah</v>
      </c>
      <c r="F303" s="30"/>
      <c r="G303" s="30"/>
      <c r="J303" s="30" t="str">
        <v>tengah</v>
      </c>
      <c r="K303" s="30"/>
      <c r="L303" s="30"/>
      <c r="O303" s="30" t="str">
        <v>tengah</v>
      </c>
      <c r="P303" s="30"/>
      <c r="Q303" s="30"/>
      <c r="T303" s="30" t="str">
        <v>tengah</v>
      </c>
      <c r="U303" s="30"/>
      <c r="V303" s="30"/>
    </row>
    <row r="304" spans="5:22">
      <c r="E304" s="30" t="str">
        <v>kiri</v>
      </c>
      <c r="F304" s="30"/>
      <c r="G304" s="30"/>
      <c r="J304" s="30" t="str">
        <v>tengah</v>
      </c>
      <c r="K304" s="30"/>
      <c r="L304" s="30"/>
      <c r="O304" s="30" t="str">
        <v>kanan</v>
      </c>
      <c r="P304" s="30"/>
      <c r="Q304" s="30"/>
      <c r="T304" s="30" t="str">
        <v>tengah</v>
      </c>
      <c r="U304" s="30"/>
      <c r="V304" s="30"/>
    </row>
    <row r="305" spans="5:22">
      <c r="E305" s="30" t="str">
        <v>tengah</v>
      </c>
      <c r="F305" s="30"/>
      <c r="G305" s="30"/>
      <c r="J305" s="30" t="str">
        <v>kiri</v>
      </c>
      <c r="K305" s="30"/>
      <c r="L305" s="30"/>
      <c r="O305" s="30" t="str">
        <v>kiri</v>
      </c>
      <c r="P305" s="30"/>
      <c r="Q305" s="30"/>
      <c r="T305" s="30" t="str">
        <v>tengah</v>
      </c>
      <c r="U305" s="30"/>
      <c r="V305" s="30"/>
    </row>
    <row r="306" spans="5:22">
      <c r="E306" s="30" t="str">
        <v>tengah</v>
      </c>
      <c r="F306" s="30"/>
      <c r="G306" s="30"/>
      <c r="J306" s="30" t="str">
        <v>tengah</v>
      </c>
      <c r="K306" s="30"/>
      <c r="L306" s="30"/>
      <c r="O306" s="30" t="str">
        <v>kiri</v>
      </c>
      <c r="P306" s="30"/>
      <c r="Q306" s="30"/>
      <c r="T306" s="30" t="str">
        <v>kanan</v>
      </c>
      <c r="U306" s="30"/>
      <c r="V306" s="30"/>
    </row>
    <row r="307" spans="5:22">
      <c r="E307" s="30" t="str">
        <v>kanan</v>
      </c>
      <c r="F307" s="30"/>
      <c r="G307" s="30"/>
      <c r="J307" s="30" t="str">
        <v>tengah</v>
      </c>
      <c r="K307" s="30"/>
      <c r="L307" s="30"/>
      <c r="O307" s="30" t="str">
        <v>tengah</v>
      </c>
      <c r="P307" s="30"/>
      <c r="Q307" s="30"/>
      <c r="T307" s="30" t="str">
        <v>kanan</v>
      </c>
      <c r="U307" s="30"/>
      <c r="V307" s="30"/>
    </row>
    <row r="308" spans="5:22">
      <c r="E308" s="30" t="str">
        <v>kiri</v>
      </c>
      <c r="F308" s="30"/>
      <c r="G308" s="30"/>
      <c r="J308" s="30" t="str">
        <v>tengah</v>
      </c>
      <c r="K308" s="30"/>
      <c r="L308" s="30"/>
      <c r="O308" s="30" t="str">
        <v>tengah</v>
      </c>
      <c r="P308" s="30"/>
      <c r="Q308" s="30"/>
      <c r="T308" s="30" t="str">
        <v>tengah</v>
      </c>
      <c r="U308" s="30"/>
      <c r="V308" s="30"/>
    </row>
    <row r="309" spans="5:22">
      <c r="E309" s="30" t="str">
        <v>kanan</v>
      </c>
      <c r="F309" s="30"/>
      <c r="G309" s="30"/>
      <c r="J309" s="30" t="str">
        <v>tengah</v>
      </c>
      <c r="K309" s="30"/>
      <c r="L309" s="30"/>
      <c r="O309" s="30" t="str">
        <v>kanan</v>
      </c>
      <c r="P309" s="30"/>
      <c r="Q309" s="30"/>
      <c r="T309" s="30" t="str">
        <v>kanan</v>
      </c>
      <c r="U309" s="30"/>
      <c r="V309" s="30"/>
    </row>
    <row r="310" spans="5:22">
      <c r="E310" s="30" t="str">
        <v>kanan</v>
      </c>
      <c r="F310" s="30"/>
      <c r="G310" s="30"/>
      <c r="J310" s="30" t="str">
        <v>tengah</v>
      </c>
      <c r="K310" s="30"/>
      <c r="L310" s="30"/>
      <c r="O310" s="30" t="str">
        <v>tengah</v>
      </c>
      <c r="P310" s="30"/>
      <c r="Q310" s="30"/>
      <c r="T310" s="30" t="str">
        <v>tengah</v>
      </c>
      <c r="U310" s="30"/>
      <c r="V310" s="30"/>
    </row>
    <row r="311" spans="5:22">
      <c r="E311" s="30" t="str">
        <v>kiri</v>
      </c>
      <c r="F311" s="30"/>
      <c r="G311" s="30"/>
      <c r="J311" s="30" t="str">
        <v>tengah</v>
      </c>
      <c r="K311" s="30"/>
      <c r="L311" s="30"/>
      <c r="O311" s="30" t="str">
        <v>kiri</v>
      </c>
      <c r="P311" s="30"/>
      <c r="Q311" s="30"/>
      <c r="T311" s="30" t="str">
        <v>kanan</v>
      </c>
      <c r="U311" s="30"/>
      <c r="V311" s="30"/>
    </row>
    <row r="312" spans="5:22">
      <c r="E312" s="30" t="str">
        <v>tengah</v>
      </c>
      <c r="F312" s="30"/>
      <c r="G312" s="30"/>
      <c r="J312" s="30" t="str">
        <v>kiri</v>
      </c>
      <c r="K312" s="30"/>
      <c r="L312" s="30"/>
      <c r="O312" s="30" t="str">
        <v>tengah</v>
      </c>
      <c r="P312" s="30"/>
      <c r="Q312" s="30"/>
      <c r="T312" s="30" t="str">
        <v>tengah</v>
      </c>
      <c r="U312" s="30"/>
      <c r="V312" s="30"/>
    </row>
    <row r="313" spans="5:22">
      <c r="E313" s="30" t="str">
        <v>tengah</v>
      </c>
      <c r="F313" s="30"/>
      <c r="G313" s="30"/>
      <c r="J313" s="30" t="str">
        <v>tengah</v>
      </c>
      <c r="K313" s="30"/>
      <c r="L313" s="30"/>
      <c r="O313" s="30" t="str">
        <v>kanan</v>
      </c>
      <c r="P313" s="30"/>
      <c r="Q313" s="30"/>
      <c r="T313" s="30" t="str">
        <v>kanan</v>
      </c>
      <c r="U313" s="30"/>
      <c r="V313" s="30"/>
    </row>
    <row r="314" spans="5:22">
      <c r="E314" s="30" t="str">
        <v>tengah</v>
      </c>
      <c r="F314" s="30"/>
      <c r="G314" s="30"/>
      <c r="J314" s="30" t="str">
        <v>kanan</v>
      </c>
      <c r="K314" s="30"/>
      <c r="L314" s="30"/>
      <c r="O314" s="30" t="str">
        <v>tengah</v>
      </c>
      <c r="P314" s="30"/>
      <c r="Q314" s="30"/>
      <c r="T314" s="30" t="str">
        <v>kanan</v>
      </c>
      <c r="U314" s="30"/>
      <c r="V314" s="30"/>
    </row>
    <row r="315" spans="5:22">
      <c r="E315" s="30" t="str">
        <v>tengah</v>
      </c>
      <c r="F315" s="30"/>
      <c r="G315" s="30"/>
      <c r="J315" s="30" t="str">
        <v>tengah</v>
      </c>
      <c r="K315" s="30"/>
      <c r="L315" s="30"/>
      <c r="O315" s="30" t="str">
        <v>kiri</v>
      </c>
      <c r="P315" s="30"/>
      <c r="Q315" s="30"/>
      <c r="T315" s="30" t="str">
        <v>kanan</v>
      </c>
      <c r="U315" s="30"/>
      <c r="V315" s="30"/>
    </row>
    <row r="316" spans="5:22">
      <c r="E316" s="30" t="str">
        <v>tengah</v>
      </c>
      <c r="F316" s="30"/>
      <c r="G316" s="30"/>
      <c r="J316" s="30" t="str">
        <v>tengah</v>
      </c>
      <c r="K316" s="30"/>
      <c r="L316" s="30"/>
      <c r="O316" s="30" t="str">
        <v>tengah</v>
      </c>
      <c r="P316" s="30"/>
      <c r="Q316" s="30"/>
      <c r="T316" s="30" t="str">
        <v>tengah</v>
      </c>
      <c r="U316" s="30"/>
      <c r="V316" s="30"/>
    </row>
    <row r="317" spans="5:22">
      <c r="E317" s="30" t="str">
        <v>kanan</v>
      </c>
      <c r="F317" s="30"/>
      <c r="G317" s="30"/>
      <c r="J317" s="30" t="str">
        <v>tengah</v>
      </c>
      <c r="K317" s="30"/>
      <c r="L317" s="30"/>
      <c r="O317" s="30" t="str">
        <v>tengah</v>
      </c>
      <c r="P317" s="30"/>
      <c r="Q317" s="30"/>
      <c r="T317" s="30" t="str">
        <v>tengah</v>
      </c>
      <c r="U317" s="30"/>
      <c r="V317" s="30"/>
    </row>
    <row r="318" spans="5:22">
      <c r="E318" s="30" t="str">
        <v>tengah</v>
      </c>
      <c r="F318" s="30"/>
      <c r="G318" s="30"/>
      <c r="J318" s="30" t="str">
        <v>kanan</v>
      </c>
      <c r="K318" s="30"/>
      <c r="L318" s="30"/>
      <c r="O318" s="30" t="str">
        <v>tengah</v>
      </c>
      <c r="P318" s="30"/>
      <c r="Q318" s="30"/>
      <c r="T318" s="30" t="str">
        <v>kanan</v>
      </c>
      <c r="U318" s="30"/>
      <c r="V318" s="30"/>
    </row>
    <row r="319" spans="5:22">
      <c r="E319" s="30" t="str">
        <v>tengah</v>
      </c>
      <c r="F319" s="30"/>
      <c r="G319" s="30"/>
      <c r="J319" s="30" t="str">
        <v>tengah</v>
      </c>
      <c r="K319" s="30"/>
      <c r="L319" s="30"/>
      <c r="O319" s="30" t="str">
        <v>tengah</v>
      </c>
      <c r="P319" s="30"/>
      <c r="Q319" s="30"/>
      <c r="T319" s="30" t="str">
        <v>kanan</v>
      </c>
      <c r="U319" s="30"/>
      <c r="V319" s="30"/>
    </row>
    <row r="320" spans="5:22">
      <c r="E320" s="30" t="str">
        <v>tengah</v>
      </c>
      <c r="F320" s="30"/>
      <c r="G320" s="30"/>
      <c r="J320" s="30" t="str">
        <v>kiri</v>
      </c>
      <c r="K320" s="30"/>
      <c r="L320" s="30"/>
      <c r="O320" s="30" t="str">
        <v>tengah</v>
      </c>
      <c r="P320" s="30"/>
      <c r="Q320" s="30"/>
      <c r="T320" s="30" t="str">
        <v>kanan</v>
      </c>
      <c r="U320" s="30"/>
      <c r="V320" s="30"/>
    </row>
    <row r="321" spans="5:22">
      <c r="E321" s="30" t="str">
        <v>tengah</v>
      </c>
      <c r="F321" s="30"/>
      <c r="G321" s="30"/>
      <c r="J321" s="30" t="str">
        <v>tengah</v>
      </c>
      <c r="K321" s="30"/>
      <c r="L321" s="30"/>
      <c r="O321" s="30" t="str">
        <v>tengah</v>
      </c>
      <c r="P321" s="30"/>
      <c r="Q321" s="30"/>
      <c r="T321" s="30" t="str">
        <v>kanan</v>
      </c>
      <c r="U321" s="30"/>
      <c r="V321" s="30"/>
    </row>
    <row r="322" spans="5:22">
      <c r="E322" s="30" t="str">
        <v>kanan</v>
      </c>
      <c r="F322" s="30"/>
      <c r="G322" s="30"/>
      <c r="J322" s="30" t="str">
        <v>tengah</v>
      </c>
      <c r="K322" s="30"/>
      <c r="L322" s="30"/>
      <c r="O322" s="30" t="str">
        <v>tengah</v>
      </c>
      <c r="P322" s="30"/>
      <c r="Q322" s="30"/>
      <c r="T322" s="30" t="str">
        <v>tengah</v>
      </c>
      <c r="U322" s="30"/>
      <c r="V322" s="30"/>
    </row>
    <row r="323" spans="5:22">
      <c r="E323" s="30" t="str">
        <v>tengah</v>
      </c>
      <c r="F323" s="30"/>
      <c r="G323" s="30"/>
      <c r="J323" s="30" t="str">
        <v>kiri</v>
      </c>
      <c r="K323" s="30"/>
      <c r="L323" s="30"/>
      <c r="O323" s="30" t="str">
        <v>tengah</v>
      </c>
      <c r="P323" s="30"/>
      <c r="Q323" s="30"/>
      <c r="T323" s="30" t="str">
        <v>kanan</v>
      </c>
      <c r="U323" s="30"/>
      <c r="V323" s="30"/>
    </row>
    <row r="324" spans="5:22">
      <c r="E324" s="30" t="str">
        <v>kiri</v>
      </c>
      <c r="F324" s="30"/>
      <c r="G324" s="30"/>
      <c r="J324" s="30" t="str">
        <v>kiri</v>
      </c>
      <c r="K324" s="30"/>
      <c r="L324" s="30"/>
      <c r="O324" s="30" t="str">
        <v>kanan</v>
      </c>
      <c r="P324" s="30"/>
      <c r="Q324" s="30"/>
      <c r="T324" s="30" t="str">
        <v>tengah</v>
      </c>
      <c r="U324" s="30"/>
      <c r="V324" s="30"/>
    </row>
    <row r="325" spans="5:22">
      <c r="E325" s="30" t="str">
        <v>tengah</v>
      </c>
      <c r="F325" s="30"/>
      <c r="G325" s="30"/>
      <c r="J325" s="30" t="str">
        <v>kanan</v>
      </c>
      <c r="K325" s="30"/>
      <c r="L325" s="30"/>
      <c r="O325" s="30" t="str">
        <v>tengah</v>
      </c>
      <c r="P325" s="30"/>
      <c r="Q325" s="30"/>
      <c r="T325" s="30" t="str">
        <v>tengah</v>
      </c>
      <c r="U325" s="30"/>
      <c r="V325" s="30"/>
    </row>
    <row r="326" spans="5:22">
      <c r="E326" s="30" t="str">
        <v>kiri</v>
      </c>
      <c r="F326" s="30"/>
      <c r="G326" s="30"/>
      <c r="J326" s="30" t="str">
        <v>kiri</v>
      </c>
      <c r="K326" s="30"/>
      <c r="L326" s="30"/>
      <c r="O326" s="30" t="str">
        <v>tengah</v>
      </c>
      <c r="P326" s="30"/>
      <c r="Q326" s="30"/>
      <c r="T326" s="30" t="str">
        <v>tengah</v>
      </c>
      <c r="U326" s="30"/>
      <c r="V326" s="30"/>
    </row>
    <row r="327" spans="5:22">
      <c r="E327" s="30" t="str">
        <v>tengah</v>
      </c>
      <c r="F327" s="30"/>
      <c r="G327" s="30"/>
      <c r="J327" s="30" t="str">
        <v>tengah</v>
      </c>
      <c r="K327" s="30"/>
      <c r="L327" s="30"/>
      <c r="O327" s="30" t="str">
        <v>kanan</v>
      </c>
      <c r="P327" s="30"/>
      <c r="Q327" s="30"/>
      <c r="T327" s="30" t="str">
        <v>kanan</v>
      </c>
      <c r="U327" s="30"/>
      <c r="V327" s="30"/>
    </row>
    <row r="328" spans="5:22">
      <c r="E328" s="30" t="str">
        <v>tengah</v>
      </c>
      <c r="F328" s="30"/>
      <c r="G328" s="30"/>
      <c r="J328" s="30" t="str">
        <v>kanan</v>
      </c>
      <c r="K328" s="30"/>
      <c r="L328" s="30"/>
      <c r="O328" s="30" t="str">
        <v>tengah</v>
      </c>
      <c r="P328" s="30"/>
      <c r="Q328" s="30"/>
      <c r="T328" s="30" t="str">
        <v>tengah</v>
      </c>
      <c r="U328" s="30"/>
      <c r="V328" s="30"/>
    </row>
    <row r="329" spans="5:22">
      <c r="E329" s="30" t="str">
        <v>tengah</v>
      </c>
      <c r="F329" s="30"/>
      <c r="G329" s="30"/>
      <c r="J329" s="30" t="str">
        <v>kiri</v>
      </c>
      <c r="K329" s="30"/>
      <c r="L329" s="30"/>
      <c r="O329" s="30" t="str">
        <v>tengah</v>
      </c>
      <c r="P329" s="30"/>
      <c r="Q329" s="30"/>
      <c r="T329" s="30" t="str">
        <v>kanan</v>
      </c>
      <c r="U329" s="30"/>
      <c r="V329" s="30"/>
    </row>
    <row r="330" spans="5:22">
      <c r="E330" s="30" t="str">
        <v>tengah</v>
      </c>
      <c r="F330" s="30"/>
      <c r="G330" s="30"/>
      <c r="J330" s="30" t="str">
        <v>kiri</v>
      </c>
      <c r="K330" s="30"/>
      <c r="L330" s="30"/>
      <c r="O330" s="30" t="str">
        <v>kiri</v>
      </c>
      <c r="P330" s="30"/>
      <c r="Q330" s="30"/>
      <c r="T330" s="30" t="str">
        <v>tengah</v>
      </c>
      <c r="U330" s="30"/>
      <c r="V330" s="30"/>
    </row>
    <row r="331" spans="5:22">
      <c r="E331" s="30" t="str">
        <v>kiri</v>
      </c>
      <c r="F331" s="30"/>
      <c r="G331" s="30"/>
      <c r="J331" s="30" t="str">
        <v>tengah</v>
      </c>
      <c r="K331" s="30"/>
      <c r="L331" s="30"/>
      <c r="O331" s="30" t="str">
        <v>kanan</v>
      </c>
      <c r="P331" s="30"/>
      <c r="Q331" s="30"/>
      <c r="T331" s="30" t="str">
        <v>kanan</v>
      </c>
      <c r="U331" s="30"/>
      <c r="V331" s="30"/>
    </row>
    <row r="332" spans="5:22">
      <c r="E332" s="30" t="str">
        <v>kiri</v>
      </c>
      <c r="F332" s="30"/>
      <c r="G332" s="30"/>
      <c r="J332" s="30" t="str">
        <v>tengah</v>
      </c>
      <c r="K332" s="30"/>
      <c r="L332" s="30"/>
      <c r="O332" s="30" t="str">
        <v>kanan</v>
      </c>
      <c r="P332" s="30"/>
      <c r="Q332" s="30"/>
      <c r="T332" s="30" t="str">
        <v>kanan</v>
      </c>
      <c r="U332" s="30"/>
      <c r="V332" s="30"/>
    </row>
  </sheetData>
  <pageMargins left="0.7" right="0.7" top="0.75" bottom="0.75" header="0.3" footer="0.3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32"/>
  <sheetViews>
    <sheetView zoomScale="98" zoomScaleNormal="98" topLeftCell="N154" workbookViewId="0">
      <selection activeCell="X165" sqref="X165"/>
    </sheetView>
  </sheetViews>
  <sheetFormatPr defaultColWidth="9" defaultRowHeight="15"/>
  <cols>
    <col min="2" max="2" width="15.8518518518519" customWidth="1"/>
    <col min="3" max="3" width="16.7111111111111" customWidth="1"/>
    <col min="4" max="4" width="13.8518518518519" customWidth="1"/>
    <col min="6" max="6" width="14.4222222222222" customWidth="1"/>
    <col min="8" max="8" width="14.2814814814815" customWidth="1"/>
    <col min="9" max="9" width="13.2814814814815" customWidth="1"/>
    <col min="10" max="10" width="13.8518518518519" customWidth="1"/>
    <col min="11" max="11" width="22" customWidth="1"/>
    <col min="13" max="13" width="14.4222222222222" customWidth="1"/>
    <col min="15" max="15" width="25.2814814814815" customWidth="1"/>
    <col min="16" max="16" width="12.8518518518519" customWidth="1"/>
    <col min="17" max="17" width="11.7111111111111" customWidth="1"/>
    <col min="20" max="20" width="14.4222222222222" customWidth="1"/>
  </cols>
  <sheetData>
    <row r="1" spans="1:17">
      <c r="A1" s="29" t="s">
        <v>175</v>
      </c>
      <c r="B1" s="29" t="s">
        <v>1</v>
      </c>
      <c r="C1" s="29" t="s">
        <v>2</v>
      </c>
      <c r="D1" s="29" t="s">
        <v>171</v>
      </c>
      <c r="E1" s="29" t="s">
        <v>4</v>
      </c>
      <c r="F1" s="29" t="s">
        <v>6</v>
      </c>
      <c r="H1" s="31" t="s">
        <v>175</v>
      </c>
      <c r="I1" s="31" t="s">
        <v>1</v>
      </c>
      <c r="J1" s="31" t="s">
        <v>2</v>
      </c>
      <c r="K1" s="31" t="s">
        <v>171</v>
      </c>
      <c r="L1" s="31" t="s">
        <v>4</v>
      </c>
      <c r="M1" s="31" t="s">
        <v>6</v>
      </c>
      <c r="O1" s="29" t="s">
        <v>176</v>
      </c>
      <c r="P1" s="32"/>
      <c r="Q1" s="32"/>
    </row>
    <row r="2" spans="1:17">
      <c r="A2" s="30">
        <f ca="1">RANDBETWEEN(2,164)</f>
        <v>14</v>
      </c>
      <c r="B2" s="30">
        <f ca="1" t="array" ref="B2">INDEX(Data_DBD!$B:$B,$A2)</f>
        <v>49</v>
      </c>
      <c r="C2" s="30">
        <f ca="1" t="array" ref="C2">INDEX(Data_DBD!$C:$C,$A2)</f>
        <v>4</v>
      </c>
      <c r="D2" s="30">
        <f ca="1" t="array" ref="D2">INDEX(Data_DBD!$D:$D,$A2)</f>
        <v>7</v>
      </c>
      <c r="E2" s="30">
        <f ca="1" t="array" ref="E2">INDEX(Data_DBD!$E:$E,$A2)</f>
        <v>1</v>
      </c>
      <c r="F2" s="30">
        <f ca="1" t="array" ref="F2">INDEX(Data_DBD!$F:$F,$A2)</f>
        <v>1</v>
      </c>
      <c r="H2" s="30">
        <v>147</v>
      </c>
      <c r="I2" s="30">
        <v>66</v>
      </c>
      <c r="J2" s="30">
        <v>10</v>
      </c>
      <c r="K2" s="30">
        <v>21</v>
      </c>
      <c r="L2" s="30">
        <v>1</v>
      </c>
      <c r="M2" s="30">
        <v>3</v>
      </c>
      <c r="O2" s="33">
        <v>1</v>
      </c>
      <c r="P2" s="32">
        <f>COUNTIF(M2:M164,"1")</f>
        <v>17</v>
      </c>
      <c r="Q2" s="32">
        <f>P2/163</f>
        <v>0.104294478527607</v>
      </c>
    </row>
    <row r="3" spans="1:17">
      <c r="A3" s="30">
        <f ca="1" t="shared" ref="A3:A66" si="0">RANDBETWEEN(2,164)</f>
        <v>156</v>
      </c>
      <c r="B3" s="30">
        <f ca="1" t="array" ref="B3">INDEX(Data_DBD!$B:$B,$A3)</f>
        <v>5</v>
      </c>
      <c r="C3" s="30">
        <f ca="1" t="array" ref="C3">INDEX(Data_DBD!$C:$C,$A3)</f>
        <v>2</v>
      </c>
      <c r="D3" s="30">
        <f ca="1" t="array" ref="D3">INDEX(Data_DBD!$D:$D,$A3)</f>
        <v>21</v>
      </c>
      <c r="E3" s="30">
        <f ca="1" t="array" ref="E3">INDEX(Data_DBD!$E:$E,$A3)</f>
        <v>0</v>
      </c>
      <c r="F3" s="30">
        <f ca="1" t="array" ref="F3">INDEX(Data_DBD!$F:$F,$A3)</f>
        <v>3</v>
      </c>
      <c r="H3" s="30">
        <v>34</v>
      </c>
      <c r="I3" s="30">
        <v>55</v>
      </c>
      <c r="J3" s="30">
        <v>3</v>
      </c>
      <c r="K3" s="30">
        <v>14</v>
      </c>
      <c r="L3" s="30">
        <v>0</v>
      </c>
      <c r="M3" s="30">
        <v>2</v>
      </c>
      <c r="O3" s="32">
        <v>2</v>
      </c>
      <c r="P3" s="32">
        <f>COUNTIF(M2:M164,"2")</f>
        <v>77</v>
      </c>
      <c r="Q3" s="32">
        <f>P3/163</f>
        <v>0.47239263803681</v>
      </c>
    </row>
    <row r="4" spans="1:17">
      <c r="A4" s="30">
        <f ca="1" t="shared" si="0"/>
        <v>10</v>
      </c>
      <c r="B4" s="30">
        <f ca="1" t="array" ref="B4">INDEX(Data_DBD!$B:$B,$A4)</f>
        <v>18</v>
      </c>
      <c r="C4" s="30">
        <f ca="1" t="array" ref="C4">INDEX(Data_DBD!$C:$C,$A4)</f>
        <v>5</v>
      </c>
      <c r="D4" s="30">
        <f ca="1" t="array" ref="D4">INDEX(Data_DBD!$D:$D,$A4)</f>
        <v>12</v>
      </c>
      <c r="E4" s="30">
        <f ca="1" t="array" ref="E4">INDEX(Data_DBD!$E:$E,$A4)</f>
        <v>0</v>
      </c>
      <c r="F4" s="30">
        <f ca="1" t="array" ref="F4">INDEX(Data_DBD!$F:$F,$A4)</f>
        <v>2</v>
      </c>
      <c r="H4" s="30">
        <v>23</v>
      </c>
      <c r="I4" s="30">
        <v>28</v>
      </c>
      <c r="J4" s="30">
        <v>4</v>
      </c>
      <c r="K4" s="30">
        <v>14</v>
      </c>
      <c r="L4" s="30">
        <v>1</v>
      </c>
      <c r="M4" s="30">
        <v>2</v>
      </c>
      <c r="O4" s="32">
        <v>3</v>
      </c>
      <c r="P4" s="32">
        <f>COUNTIF(M2:M164,"3")</f>
        <v>69</v>
      </c>
      <c r="Q4" s="32">
        <f>P4/163</f>
        <v>0.423312883435583</v>
      </c>
    </row>
    <row r="5" spans="1:16">
      <c r="A5" s="30">
        <f ca="1" t="shared" si="0"/>
        <v>127</v>
      </c>
      <c r="B5" s="30">
        <f ca="1" t="array" ref="B5">INDEX(Data_DBD!$B:$B,$A5)</f>
        <v>21</v>
      </c>
      <c r="C5" s="30">
        <f ca="1" t="array" ref="C5">INDEX(Data_DBD!$C:$C,$A5)</f>
        <v>2</v>
      </c>
      <c r="D5" s="30">
        <f ca="1" t="array" ref="D5">INDEX(Data_DBD!$D:$D,$A5)</f>
        <v>33</v>
      </c>
      <c r="E5" s="30">
        <f ca="1" t="array" ref="E5">INDEX(Data_DBD!$E:$E,$A5)</f>
        <v>0</v>
      </c>
      <c r="F5" s="30">
        <f ca="1" t="array" ref="F5">INDEX(Data_DBD!$F:$F,$A5)</f>
        <v>3</v>
      </c>
      <c r="H5" s="30">
        <v>160</v>
      </c>
      <c r="I5" s="30">
        <v>16</v>
      </c>
      <c r="J5" s="30">
        <v>3</v>
      </c>
      <c r="K5" s="30">
        <v>21</v>
      </c>
      <c r="L5" s="30">
        <v>0</v>
      </c>
      <c r="M5" s="30">
        <v>3</v>
      </c>
      <c r="O5" s="34" t="s">
        <v>181</v>
      </c>
      <c r="P5">
        <f>-(IFERROR(Q2*LOG(Q2,2),0)+IFERROR(Q3*LOG(Q3,2),0)+IFERROR(Q4*LOG(Q4,2),0))</f>
        <v>1.37622742139392</v>
      </c>
    </row>
    <row r="6" spans="1:13">
      <c r="A6" s="30">
        <f ca="1" t="shared" si="0"/>
        <v>106</v>
      </c>
      <c r="B6" s="30">
        <f ca="1" t="array" ref="B6">INDEX(Data_DBD!$B:$B,$A6)</f>
        <v>23</v>
      </c>
      <c r="C6" s="30">
        <f ca="1" t="array" ref="C6">INDEX(Data_DBD!$C:$C,$A6)</f>
        <v>3</v>
      </c>
      <c r="D6" s="30">
        <f ca="1" t="array" ref="D6">INDEX(Data_DBD!$D:$D,$A6)</f>
        <v>18</v>
      </c>
      <c r="E6" s="30">
        <f ca="1" t="array" ref="E6">INDEX(Data_DBD!$E:$E,$A6)</f>
        <v>1</v>
      </c>
      <c r="F6" s="30">
        <f ca="1" t="array" ref="F6">INDEX(Data_DBD!$F:$F,$A6)</f>
        <v>3</v>
      </c>
      <c r="H6" s="30">
        <v>138</v>
      </c>
      <c r="I6" s="30">
        <v>13</v>
      </c>
      <c r="J6" s="30">
        <v>3</v>
      </c>
      <c r="K6" s="30">
        <v>33</v>
      </c>
      <c r="L6" s="30">
        <v>1</v>
      </c>
      <c r="M6" s="30">
        <v>3</v>
      </c>
    </row>
    <row r="7" spans="1:13">
      <c r="A7" s="30">
        <f ca="1" t="shared" si="0"/>
        <v>14</v>
      </c>
      <c r="B7" s="30">
        <f ca="1" t="array" ref="B7">INDEX(Data_DBD!$B:$B,$A7)</f>
        <v>49</v>
      </c>
      <c r="C7" s="30">
        <f ca="1" t="array" ref="C7">INDEX(Data_DBD!$C:$C,$A7)</f>
        <v>4</v>
      </c>
      <c r="D7" s="30">
        <f ca="1" t="array" ref="D7">INDEX(Data_DBD!$D:$D,$A7)</f>
        <v>7</v>
      </c>
      <c r="E7" s="30">
        <f ca="1" t="array" ref="E7">INDEX(Data_DBD!$E:$E,$A7)</f>
        <v>1</v>
      </c>
      <c r="F7" s="30">
        <f ca="1" t="array" ref="F7">INDEX(Data_DBD!$F:$F,$A7)</f>
        <v>1</v>
      </c>
      <c r="H7" s="30">
        <v>41</v>
      </c>
      <c r="I7" s="30">
        <v>8</v>
      </c>
      <c r="J7" s="30">
        <v>4</v>
      </c>
      <c r="K7" s="30">
        <v>13</v>
      </c>
      <c r="L7" s="30">
        <v>0</v>
      </c>
      <c r="M7" s="30">
        <v>2</v>
      </c>
    </row>
    <row r="8" spans="1:13">
      <c r="A8" s="30">
        <f ca="1" t="shared" si="0"/>
        <v>123</v>
      </c>
      <c r="B8" s="30">
        <f ca="1" t="array" ref="B8">INDEX(Data_DBD!$B:$B,$A8)</f>
        <v>22</v>
      </c>
      <c r="C8" s="30">
        <f ca="1" t="array" ref="C8">INDEX(Data_DBD!$C:$C,$A8)</f>
        <v>4</v>
      </c>
      <c r="D8" s="30">
        <f ca="1" t="array" ref="D8">INDEX(Data_DBD!$D:$D,$A8)</f>
        <v>33</v>
      </c>
      <c r="E8" s="30">
        <f ca="1" t="array" ref="E8">INDEX(Data_DBD!$E:$E,$A8)</f>
        <v>0</v>
      </c>
      <c r="F8" s="30">
        <f ca="1" t="array" ref="F8">INDEX(Data_DBD!$F:$F,$A8)</f>
        <v>3</v>
      </c>
      <c r="H8" s="30">
        <v>18</v>
      </c>
      <c r="I8" s="30">
        <v>49</v>
      </c>
      <c r="J8" s="30">
        <v>4</v>
      </c>
      <c r="K8" s="30">
        <v>7</v>
      </c>
      <c r="L8" s="30">
        <v>1</v>
      </c>
      <c r="M8" s="30">
        <v>1</v>
      </c>
    </row>
    <row r="9" spans="1:13">
      <c r="A9" s="30">
        <f ca="1" t="shared" si="0"/>
        <v>25</v>
      </c>
      <c r="B9" s="30">
        <f ca="1" t="array" ref="B9">INDEX(Data_DBD!$B:$B,$A9)</f>
        <v>81</v>
      </c>
      <c r="C9" s="30">
        <f ca="1" t="array" ref="C9">INDEX(Data_DBD!$C:$C,$A9)</f>
        <v>5</v>
      </c>
      <c r="D9" s="30">
        <f ca="1" t="array" ref="D9">INDEX(Data_DBD!$D:$D,$A9)</f>
        <v>14</v>
      </c>
      <c r="E9" s="30">
        <f ca="1" t="array" ref="E9">INDEX(Data_DBD!$E:$E,$A9)</f>
        <v>0</v>
      </c>
      <c r="F9" s="30">
        <f ca="1" t="array" ref="F9">INDEX(Data_DBD!$F:$F,$A9)</f>
        <v>2</v>
      </c>
      <c r="H9" s="30">
        <v>125</v>
      </c>
      <c r="I9" s="30">
        <v>39</v>
      </c>
      <c r="J9" s="30">
        <v>4</v>
      </c>
      <c r="K9" s="30">
        <v>33</v>
      </c>
      <c r="L9" s="30">
        <v>0</v>
      </c>
      <c r="M9" s="30">
        <v>3</v>
      </c>
    </row>
    <row r="10" spans="1:13">
      <c r="A10" s="30">
        <f ca="1" t="shared" si="0"/>
        <v>161</v>
      </c>
      <c r="B10" s="30">
        <f ca="1" t="array" ref="B10">INDEX(Data_DBD!$B:$B,$A10)</f>
        <v>12</v>
      </c>
      <c r="C10" s="30">
        <f ca="1" t="array" ref="C10">INDEX(Data_DBD!$C:$C,$A10)</f>
        <v>3</v>
      </c>
      <c r="D10" s="30">
        <f ca="1" t="array" ref="D10">INDEX(Data_DBD!$D:$D,$A10)</f>
        <v>21</v>
      </c>
      <c r="E10" s="30">
        <f ca="1" t="array" ref="E10">INDEX(Data_DBD!$E:$E,$A10)</f>
        <v>1</v>
      </c>
      <c r="F10" s="30">
        <f ca="1" t="array" ref="F10">INDEX(Data_DBD!$F:$F,$A10)</f>
        <v>3</v>
      </c>
      <c r="H10" s="30">
        <v>56</v>
      </c>
      <c r="I10" s="30">
        <v>4</v>
      </c>
      <c r="J10" s="30">
        <v>3</v>
      </c>
      <c r="K10" s="30">
        <v>15</v>
      </c>
      <c r="L10" s="30">
        <v>0</v>
      </c>
      <c r="M10" s="30">
        <v>2</v>
      </c>
    </row>
    <row r="11" spans="1:13">
      <c r="A11" s="30">
        <f ca="1" t="shared" si="0"/>
        <v>147</v>
      </c>
      <c r="B11" s="30">
        <f ca="1" t="array" ref="B11">INDEX(Data_DBD!$B:$B,$A11)</f>
        <v>66</v>
      </c>
      <c r="C11" s="30">
        <f ca="1" t="array" ref="C11">INDEX(Data_DBD!$C:$C,$A11)</f>
        <v>10</v>
      </c>
      <c r="D11" s="30">
        <f ca="1" t="array" ref="D11">INDEX(Data_DBD!$D:$D,$A11)</f>
        <v>21</v>
      </c>
      <c r="E11" s="30">
        <f ca="1" t="array" ref="E11">INDEX(Data_DBD!$E:$E,$A11)</f>
        <v>1</v>
      </c>
      <c r="F11" s="30">
        <f ca="1" t="array" ref="F11">INDEX(Data_DBD!$F:$F,$A11)</f>
        <v>3</v>
      </c>
      <c r="H11" s="30">
        <v>37</v>
      </c>
      <c r="I11" s="30">
        <v>28</v>
      </c>
      <c r="J11" s="30">
        <v>4</v>
      </c>
      <c r="K11" s="30">
        <v>4</v>
      </c>
      <c r="L11" s="30">
        <v>1</v>
      </c>
      <c r="M11" s="30">
        <v>1</v>
      </c>
    </row>
    <row r="12" spans="1:13">
      <c r="A12" s="30">
        <f ca="1" t="shared" si="0"/>
        <v>130</v>
      </c>
      <c r="B12" s="30">
        <f ca="1" t="array" ref="B12">INDEX(Data_DBD!$B:$B,$A12)</f>
        <v>12</v>
      </c>
      <c r="C12" s="30">
        <f ca="1" t="array" ref="C12">INDEX(Data_DBD!$C:$C,$A12)</f>
        <v>4</v>
      </c>
      <c r="D12" s="30">
        <f ca="1" t="array" ref="D12">INDEX(Data_DBD!$D:$D,$A12)</f>
        <v>33</v>
      </c>
      <c r="E12" s="30">
        <f ca="1" t="array" ref="E12">INDEX(Data_DBD!$E:$E,$A12)</f>
        <v>0</v>
      </c>
      <c r="F12" s="30">
        <f ca="1" t="array" ref="F12">INDEX(Data_DBD!$F:$F,$A12)</f>
        <v>3</v>
      </c>
      <c r="H12" s="30">
        <v>90</v>
      </c>
      <c r="I12" s="30">
        <v>47</v>
      </c>
      <c r="J12" s="30">
        <v>3</v>
      </c>
      <c r="K12" s="30">
        <v>18</v>
      </c>
      <c r="L12" s="30">
        <v>0</v>
      </c>
      <c r="M12" s="30">
        <v>3</v>
      </c>
    </row>
    <row r="13" spans="1:13">
      <c r="A13" s="30">
        <f ca="1" t="shared" si="0"/>
        <v>152</v>
      </c>
      <c r="B13" s="30">
        <f ca="1" t="array" ref="B13">INDEX(Data_DBD!$B:$B,$A13)</f>
        <v>47</v>
      </c>
      <c r="C13" s="30">
        <f ca="1" t="array" ref="C13">INDEX(Data_DBD!$C:$C,$A13)</f>
        <v>3</v>
      </c>
      <c r="D13" s="30">
        <f ca="1" t="array" ref="D13">INDEX(Data_DBD!$D:$D,$A13)</f>
        <v>21</v>
      </c>
      <c r="E13" s="30">
        <f ca="1" t="array" ref="E13">INDEX(Data_DBD!$E:$E,$A13)</f>
        <v>1</v>
      </c>
      <c r="F13" s="30">
        <f ca="1" t="array" ref="F13">INDEX(Data_DBD!$F:$F,$A13)</f>
        <v>3</v>
      </c>
      <c r="H13" s="30">
        <v>47</v>
      </c>
      <c r="I13" s="30">
        <v>19</v>
      </c>
      <c r="J13" s="30">
        <v>2</v>
      </c>
      <c r="K13" s="30">
        <v>13</v>
      </c>
      <c r="L13" s="30">
        <v>0</v>
      </c>
      <c r="M13" s="30">
        <v>2</v>
      </c>
    </row>
    <row r="14" spans="1:13">
      <c r="A14" s="30">
        <f ca="1" t="shared" si="0"/>
        <v>20</v>
      </c>
      <c r="B14" s="30">
        <f ca="1" t="array" ref="B14">INDEX(Data_DBD!$B:$B,$A14)</f>
        <v>15</v>
      </c>
      <c r="C14" s="30">
        <f ca="1" t="array" ref="C14">INDEX(Data_DBD!$C:$C,$A14)</f>
        <v>5</v>
      </c>
      <c r="D14" s="30">
        <f ca="1" t="array" ref="D14">INDEX(Data_DBD!$D:$D,$A14)</f>
        <v>7</v>
      </c>
      <c r="E14" s="30">
        <f ca="1" t="array" ref="E14">INDEX(Data_DBD!$E:$E,$A14)</f>
        <v>0</v>
      </c>
      <c r="F14" s="30">
        <f ca="1" t="array" ref="F14">INDEX(Data_DBD!$F:$F,$A14)</f>
        <v>1</v>
      </c>
      <c r="H14" s="30">
        <v>123</v>
      </c>
      <c r="I14" s="30">
        <v>22</v>
      </c>
      <c r="J14" s="30">
        <v>4</v>
      </c>
      <c r="K14" s="30">
        <v>33</v>
      </c>
      <c r="L14" s="30">
        <v>0</v>
      </c>
      <c r="M14" s="30">
        <v>3</v>
      </c>
    </row>
    <row r="15" spans="1:13">
      <c r="A15" s="30">
        <f ca="1" t="shared" si="0"/>
        <v>21</v>
      </c>
      <c r="B15" s="30">
        <f ca="1" t="array" ref="B15">INDEX(Data_DBD!$B:$B,$A15)</f>
        <v>10</v>
      </c>
      <c r="C15" s="30">
        <f ca="1" t="array" ref="C15">INDEX(Data_DBD!$C:$C,$A15)</f>
        <v>5</v>
      </c>
      <c r="D15" s="30">
        <f ca="1" t="array" ref="D15">INDEX(Data_DBD!$D:$D,$A15)</f>
        <v>14</v>
      </c>
      <c r="E15" s="30">
        <f ca="1" t="array" ref="E15">INDEX(Data_DBD!$E:$E,$A15)</f>
        <v>1</v>
      </c>
      <c r="F15" s="30">
        <f ca="1" t="array" ref="F15">INDEX(Data_DBD!$F:$F,$A15)</f>
        <v>2</v>
      </c>
      <c r="H15" s="30">
        <v>63</v>
      </c>
      <c r="I15" s="30">
        <v>25</v>
      </c>
      <c r="J15" s="30">
        <v>3</v>
      </c>
      <c r="K15" s="30">
        <v>15</v>
      </c>
      <c r="L15" s="30">
        <v>0</v>
      </c>
      <c r="M15" s="30">
        <v>2</v>
      </c>
    </row>
    <row r="16" spans="1:13">
      <c r="A16" s="30">
        <f ca="1" t="shared" si="0"/>
        <v>128</v>
      </c>
      <c r="B16" s="30">
        <f ca="1" t="array" ref="B16">INDEX(Data_DBD!$B:$B,$A16)</f>
        <v>38</v>
      </c>
      <c r="C16" s="30">
        <f ca="1" t="array" ref="C16">INDEX(Data_DBD!$C:$C,$A16)</f>
        <v>2</v>
      </c>
      <c r="D16" s="30">
        <f ca="1" t="array" ref="D16">INDEX(Data_DBD!$D:$D,$A16)</f>
        <v>33</v>
      </c>
      <c r="E16" s="30">
        <f ca="1" t="array" ref="E16">INDEX(Data_DBD!$E:$E,$A16)</f>
        <v>0</v>
      </c>
      <c r="F16" s="30">
        <f ca="1" t="array" ref="F16">INDEX(Data_DBD!$F:$F,$A16)</f>
        <v>3</v>
      </c>
      <c r="H16" s="30">
        <v>49</v>
      </c>
      <c r="I16" s="30">
        <v>64</v>
      </c>
      <c r="J16" s="30">
        <v>5</v>
      </c>
      <c r="K16" s="30">
        <v>13</v>
      </c>
      <c r="L16" s="30">
        <v>0</v>
      </c>
      <c r="M16" s="30">
        <v>2</v>
      </c>
    </row>
    <row r="17" spans="1:13">
      <c r="A17" s="30">
        <f ca="1" t="shared" si="0"/>
        <v>135</v>
      </c>
      <c r="B17" s="30">
        <f ca="1" t="array" ref="B17">INDEX(Data_DBD!$B:$B,$A17)</f>
        <v>10</v>
      </c>
      <c r="C17" s="30">
        <f ca="1" t="array" ref="C17">INDEX(Data_DBD!$C:$C,$A17)</f>
        <v>2</v>
      </c>
      <c r="D17" s="30">
        <f ca="1" t="array" ref="D17">INDEX(Data_DBD!$D:$D,$A17)</f>
        <v>33</v>
      </c>
      <c r="E17" s="30">
        <f ca="1" t="array" ref="E17">INDEX(Data_DBD!$E:$E,$A17)</f>
        <v>0</v>
      </c>
      <c r="F17" s="30">
        <f ca="1" t="array" ref="F17">INDEX(Data_DBD!$F:$F,$A17)</f>
        <v>3</v>
      </c>
      <c r="H17" s="30">
        <v>147</v>
      </c>
      <c r="I17" s="30">
        <v>66</v>
      </c>
      <c r="J17" s="30">
        <v>10</v>
      </c>
      <c r="K17" s="30">
        <v>21</v>
      </c>
      <c r="L17" s="30">
        <v>1</v>
      </c>
      <c r="M17" s="30">
        <v>3</v>
      </c>
    </row>
    <row r="18" spans="1:13">
      <c r="A18" s="30">
        <f ca="1" t="shared" si="0"/>
        <v>15</v>
      </c>
      <c r="B18" s="30">
        <f ca="1" t="array" ref="B18">INDEX(Data_DBD!$B:$B,$A18)</f>
        <v>21</v>
      </c>
      <c r="C18" s="30">
        <f ca="1" t="array" ref="C18">INDEX(Data_DBD!$C:$C,$A18)</f>
        <v>2</v>
      </c>
      <c r="D18" s="30">
        <f ca="1" t="array" ref="D18">INDEX(Data_DBD!$D:$D,$A18)</f>
        <v>7</v>
      </c>
      <c r="E18" s="30">
        <f ca="1" t="array" ref="E18">INDEX(Data_DBD!$E:$E,$A18)</f>
        <v>0</v>
      </c>
      <c r="F18" s="30">
        <f ca="1" t="array" ref="F18">INDEX(Data_DBD!$F:$F,$A18)</f>
        <v>1</v>
      </c>
      <c r="H18" s="30">
        <v>151</v>
      </c>
      <c r="I18" s="30">
        <v>24</v>
      </c>
      <c r="J18" s="30">
        <v>3</v>
      </c>
      <c r="K18" s="30">
        <v>21</v>
      </c>
      <c r="L18" s="30">
        <v>0</v>
      </c>
      <c r="M18" s="30">
        <v>3</v>
      </c>
    </row>
    <row r="19" spans="1:13">
      <c r="A19" s="30">
        <f ca="1" t="shared" si="0"/>
        <v>158</v>
      </c>
      <c r="B19" s="30">
        <f ca="1" t="array" ref="B19">INDEX(Data_DBD!$B:$B,$A19)</f>
        <v>5</v>
      </c>
      <c r="C19" s="30">
        <f ca="1" t="array" ref="C19">INDEX(Data_DBD!$C:$C,$A19)</f>
        <v>2</v>
      </c>
      <c r="D19" s="30">
        <f ca="1" t="array" ref="D19">INDEX(Data_DBD!$D:$D,$A19)</f>
        <v>21</v>
      </c>
      <c r="E19" s="30">
        <f ca="1" t="array" ref="E19">INDEX(Data_DBD!$E:$E,$A19)</f>
        <v>0</v>
      </c>
      <c r="F19" s="30">
        <f ca="1" t="array" ref="F19">INDEX(Data_DBD!$F:$F,$A19)</f>
        <v>3</v>
      </c>
      <c r="H19" s="30">
        <v>37</v>
      </c>
      <c r="I19" s="30">
        <v>28</v>
      </c>
      <c r="J19" s="30">
        <v>4</v>
      </c>
      <c r="K19" s="30">
        <v>4</v>
      </c>
      <c r="L19" s="30">
        <v>1</v>
      </c>
      <c r="M19" s="30">
        <v>1</v>
      </c>
    </row>
    <row r="20" spans="1:13">
      <c r="A20" s="30">
        <f ca="1" t="shared" si="0"/>
        <v>59</v>
      </c>
      <c r="B20" s="30">
        <f ca="1" t="array" ref="B20">INDEX(Data_DBD!$B:$B,$A20)</f>
        <v>28</v>
      </c>
      <c r="C20" s="30">
        <f ca="1" t="array" ref="C20">INDEX(Data_DBD!$C:$C,$A20)</f>
        <v>4</v>
      </c>
      <c r="D20" s="30">
        <f ca="1" t="array" ref="D20">INDEX(Data_DBD!$D:$D,$A20)</f>
        <v>15</v>
      </c>
      <c r="E20" s="30">
        <f ca="1" t="array" ref="E20">INDEX(Data_DBD!$E:$E,$A20)</f>
        <v>0</v>
      </c>
      <c r="F20" s="30">
        <f ca="1" t="array" ref="F20">INDEX(Data_DBD!$F:$F,$A20)</f>
        <v>2</v>
      </c>
      <c r="H20" s="30">
        <v>82</v>
      </c>
      <c r="I20" s="30">
        <v>28</v>
      </c>
      <c r="J20" s="30">
        <v>3</v>
      </c>
      <c r="K20" s="30">
        <v>13</v>
      </c>
      <c r="L20" s="30">
        <v>1</v>
      </c>
      <c r="M20" s="30">
        <v>2</v>
      </c>
    </row>
    <row r="21" spans="1:13">
      <c r="A21" s="30">
        <f ca="1" t="shared" si="0"/>
        <v>145</v>
      </c>
      <c r="B21" s="30">
        <f ca="1" t="array" ref="B21">INDEX(Data_DBD!$B:$B,$A21)</f>
        <v>28</v>
      </c>
      <c r="C21" s="30">
        <f ca="1" t="array" ref="C21">INDEX(Data_DBD!$C:$C,$A21)</f>
        <v>4</v>
      </c>
      <c r="D21" s="30">
        <f ca="1" t="array" ref="D21">INDEX(Data_DBD!$D:$D,$A21)</f>
        <v>21</v>
      </c>
      <c r="E21" s="30">
        <f ca="1" t="array" ref="E21">INDEX(Data_DBD!$E:$E,$A21)</f>
        <v>1</v>
      </c>
      <c r="F21" s="30">
        <f ca="1" t="array" ref="F21">INDEX(Data_DBD!$F:$F,$A21)</f>
        <v>3</v>
      </c>
      <c r="H21" s="30">
        <v>69</v>
      </c>
      <c r="I21" s="30">
        <v>24</v>
      </c>
      <c r="J21" s="30">
        <v>4</v>
      </c>
      <c r="K21" s="30">
        <v>10</v>
      </c>
      <c r="L21" s="30">
        <v>1</v>
      </c>
      <c r="M21" s="30">
        <v>2</v>
      </c>
    </row>
    <row r="22" spans="1:13">
      <c r="A22" s="30">
        <f ca="1" t="shared" si="0"/>
        <v>14</v>
      </c>
      <c r="B22" s="30">
        <f ca="1" t="array" ref="B22">INDEX(Data_DBD!$B:$B,$A22)</f>
        <v>49</v>
      </c>
      <c r="C22" s="30">
        <f ca="1" t="array" ref="C22">INDEX(Data_DBD!$C:$C,$A22)</f>
        <v>4</v>
      </c>
      <c r="D22" s="30">
        <f ca="1" t="array" ref="D22">INDEX(Data_DBD!$D:$D,$A22)</f>
        <v>7</v>
      </c>
      <c r="E22" s="30">
        <f ca="1" t="array" ref="E22">INDEX(Data_DBD!$E:$E,$A22)</f>
        <v>1</v>
      </c>
      <c r="F22" s="30">
        <f ca="1" t="array" ref="F22">INDEX(Data_DBD!$F:$F,$A22)</f>
        <v>1</v>
      </c>
      <c r="H22" s="30">
        <v>76</v>
      </c>
      <c r="I22" s="30">
        <v>70</v>
      </c>
      <c r="J22" s="30">
        <v>2</v>
      </c>
      <c r="K22" s="30">
        <v>10</v>
      </c>
      <c r="L22" s="30">
        <v>0</v>
      </c>
      <c r="M22" s="30">
        <v>2</v>
      </c>
    </row>
    <row r="23" spans="1:13">
      <c r="A23" s="30">
        <f ca="1" t="shared" si="0"/>
        <v>43</v>
      </c>
      <c r="B23" s="30">
        <f ca="1" t="array" ref="B23">INDEX(Data_DBD!$B:$B,$A23)</f>
        <v>15</v>
      </c>
      <c r="C23" s="30">
        <f ca="1" t="array" ref="C23">INDEX(Data_DBD!$C:$C,$A23)</f>
        <v>4</v>
      </c>
      <c r="D23" s="30">
        <f ca="1" t="array" ref="D23">INDEX(Data_DBD!$D:$D,$A23)</f>
        <v>13</v>
      </c>
      <c r="E23" s="30">
        <f ca="1" t="array" ref="E23">INDEX(Data_DBD!$E:$E,$A23)</f>
        <v>0</v>
      </c>
      <c r="F23" s="30">
        <f ca="1" t="array" ref="F23">INDEX(Data_DBD!$F:$F,$A23)</f>
        <v>2</v>
      </c>
      <c r="H23" s="30">
        <v>155</v>
      </c>
      <c r="I23" s="30">
        <v>19</v>
      </c>
      <c r="J23" s="30">
        <v>5</v>
      </c>
      <c r="K23" s="30">
        <v>21</v>
      </c>
      <c r="L23" s="30">
        <v>1</v>
      </c>
      <c r="M23" s="30">
        <v>3</v>
      </c>
    </row>
    <row r="24" spans="1:13">
      <c r="A24" s="30">
        <f ca="1" t="shared" si="0"/>
        <v>111</v>
      </c>
      <c r="B24" s="30">
        <f ca="1" t="array" ref="B24">INDEX(Data_DBD!$B:$B,$A24)</f>
        <v>25</v>
      </c>
      <c r="C24" s="30">
        <f ca="1" t="array" ref="C24">INDEX(Data_DBD!$C:$C,$A24)</f>
        <v>4</v>
      </c>
      <c r="D24" s="30">
        <f ca="1" t="array" ref="D24">INDEX(Data_DBD!$D:$D,$A24)</f>
        <v>33</v>
      </c>
      <c r="E24" s="30">
        <f ca="1" t="array" ref="E24">INDEX(Data_DBD!$E:$E,$A24)</f>
        <v>0</v>
      </c>
      <c r="F24" s="30">
        <f ca="1" t="array" ref="F24">INDEX(Data_DBD!$F:$F,$A24)</f>
        <v>3</v>
      </c>
      <c r="H24" s="30">
        <v>138</v>
      </c>
      <c r="I24" s="30">
        <v>13</v>
      </c>
      <c r="J24" s="30">
        <v>3</v>
      </c>
      <c r="K24" s="30">
        <v>33</v>
      </c>
      <c r="L24" s="30">
        <v>1</v>
      </c>
      <c r="M24" s="30">
        <v>3</v>
      </c>
    </row>
    <row r="25" spans="1:13">
      <c r="A25" s="30">
        <f ca="1" t="shared" si="0"/>
        <v>56</v>
      </c>
      <c r="B25" s="30">
        <f ca="1" t="array" ref="B25">INDEX(Data_DBD!$B:$B,$A25)</f>
        <v>4</v>
      </c>
      <c r="C25" s="30">
        <f ca="1" t="array" ref="C25">INDEX(Data_DBD!$C:$C,$A25)</f>
        <v>3</v>
      </c>
      <c r="D25" s="30">
        <f ca="1" t="array" ref="D25">INDEX(Data_DBD!$D:$D,$A25)</f>
        <v>15</v>
      </c>
      <c r="E25" s="30">
        <f ca="1" t="array" ref="E25">INDEX(Data_DBD!$E:$E,$A25)</f>
        <v>0</v>
      </c>
      <c r="F25" s="30">
        <f ca="1" t="array" ref="F25">INDEX(Data_DBD!$F:$F,$A25)</f>
        <v>2</v>
      </c>
      <c r="H25" s="30">
        <v>72</v>
      </c>
      <c r="I25" s="30">
        <v>3</v>
      </c>
      <c r="J25" s="30">
        <v>5</v>
      </c>
      <c r="K25" s="30">
        <v>10</v>
      </c>
      <c r="L25" s="30">
        <v>1</v>
      </c>
      <c r="M25" s="30">
        <v>2</v>
      </c>
    </row>
    <row r="26" spans="1:13">
      <c r="A26" s="30">
        <f ca="1" t="shared" si="0"/>
        <v>73</v>
      </c>
      <c r="B26" s="30">
        <f ca="1" t="array" ref="B26">INDEX(Data_DBD!$B:$B,$A26)</f>
        <v>15</v>
      </c>
      <c r="C26" s="30">
        <f ca="1" t="array" ref="C26">INDEX(Data_DBD!$C:$C,$A26)</f>
        <v>3</v>
      </c>
      <c r="D26" s="30">
        <f ca="1" t="array" ref="D26">INDEX(Data_DBD!$D:$D,$A26)</f>
        <v>10</v>
      </c>
      <c r="E26" s="30">
        <f ca="1" t="array" ref="E26">INDEX(Data_DBD!$E:$E,$A26)</f>
        <v>1</v>
      </c>
      <c r="F26" s="30">
        <f ca="1" t="array" ref="F26">INDEX(Data_DBD!$F:$F,$A26)</f>
        <v>2</v>
      </c>
      <c r="H26" s="30">
        <v>14</v>
      </c>
      <c r="I26" s="30">
        <v>49</v>
      </c>
      <c r="J26" s="30">
        <v>4</v>
      </c>
      <c r="K26" s="30">
        <v>7</v>
      </c>
      <c r="L26" s="30">
        <v>1</v>
      </c>
      <c r="M26" s="30">
        <v>1</v>
      </c>
    </row>
    <row r="27" spans="1:13">
      <c r="A27" s="30">
        <f ca="1" t="shared" si="0"/>
        <v>161</v>
      </c>
      <c r="B27" s="30">
        <f ca="1" t="array" ref="B27">INDEX(Data_DBD!$B:$B,$A27)</f>
        <v>12</v>
      </c>
      <c r="C27" s="30">
        <f ca="1" t="array" ref="C27">INDEX(Data_DBD!$C:$C,$A27)</f>
        <v>3</v>
      </c>
      <c r="D27" s="30">
        <f ca="1" t="array" ref="D27">INDEX(Data_DBD!$D:$D,$A27)</f>
        <v>21</v>
      </c>
      <c r="E27" s="30">
        <f ca="1" t="array" ref="E27">INDEX(Data_DBD!$E:$E,$A27)</f>
        <v>1</v>
      </c>
      <c r="F27" s="30">
        <f ca="1" t="array" ref="F27">INDEX(Data_DBD!$F:$F,$A27)</f>
        <v>3</v>
      </c>
      <c r="H27" s="30">
        <v>86</v>
      </c>
      <c r="I27" s="30">
        <v>23</v>
      </c>
      <c r="J27" s="30">
        <v>3</v>
      </c>
      <c r="K27" s="30">
        <v>13</v>
      </c>
      <c r="L27" s="30">
        <v>0</v>
      </c>
      <c r="M27" s="30">
        <v>2</v>
      </c>
    </row>
    <row r="28" spans="1:13">
      <c r="A28" s="30">
        <f ca="1" t="shared" si="0"/>
        <v>66</v>
      </c>
      <c r="B28" s="30">
        <f ca="1" t="array" ref="B28">INDEX(Data_DBD!$B:$B,$A28)</f>
        <v>21</v>
      </c>
      <c r="C28" s="30">
        <f ca="1" t="array" ref="C28">INDEX(Data_DBD!$C:$C,$A28)</f>
        <v>5</v>
      </c>
      <c r="D28" s="30">
        <f ca="1" t="array" ref="D28">INDEX(Data_DBD!$D:$D,$A28)</f>
        <v>15</v>
      </c>
      <c r="E28" s="30">
        <f ca="1" t="array" ref="E28">INDEX(Data_DBD!$E:$E,$A28)</f>
        <v>1</v>
      </c>
      <c r="F28" s="30">
        <f ca="1" t="array" ref="F28">INDEX(Data_DBD!$F:$F,$A28)</f>
        <v>2</v>
      </c>
      <c r="H28" s="30">
        <v>54</v>
      </c>
      <c r="I28" s="30">
        <v>7</v>
      </c>
      <c r="J28" s="30">
        <v>3</v>
      </c>
      <c r="K28" s="30">
        <v>15</v>
      </c>
      <c r="L28" s="30">
        <v>0</v>
      </c>
      <c r="M28" s="30">
        <v>2</v>
      </c>
    </row>
    <row r="29" spans="1:13">
      <c r="A29" s="30">
        <f ca="1" t="shared" si="0"/>
        <v>39</v>
      </c>
      <c r="B29" s="30">
        <f ca="1" t="array" ref="B29">INDEX(Data_DBD!$B:$B,$A29)</f>
        <v>12</v>
      </c>
      <c r="C29" s="30">
        <f ca="1" t="array" ref="C29">INDEX(Data_DBD!$C:$C,$A29)</f>
        <v>5</v>
      </c>
      <c r="D29" s="30">
        <f ca="1" t="array" ref="D29">INDEX(Data_DBD!$D:$D,$A29)</f>
        <v>13</v>
      </c>
      <c r="E29" s="30">
        <f ca="1" t="array" ref="E29">INDEX(Data_DBD!$E:$E,$A29)</f>
        <v>1</v>
      </c>
      <c r="F29" s="30">
        <f ca="1" t="array" ref="F29">INDEX(Data_DBD!$F:$F,$A29)</f>
        <v>2</v>
      </c>
      <c r="H29" s="30">
        <v>48</v>
      </c>
      <c r="I29" s="30">
        <v>50</v>
      </c>
      <c r="J29" s="30">
        <v>5</v>
      </c>
      <c r="K29" s="30">
        <v>13</v>
      </c>
      <c r="L29" s="30">
        <v>1</v>
      </c>
      <c r="M29" s="30">
        <v>2</v>
      </c>
    </row>
    <row r="30" spans="1:13">
      <c r="A30" s="30">
        <f ca="1" t="shared" si="0"/>
        <v>39</v>
      </c>
      <c r="B30" s="30">
        <f ca="1" t="array" ref="B30">INDEX(Data_DBD!$B:$B,$A30)</f>
        <v>12</v>
      </c>
      <c r="C30" s="30">
        <f ca="1" t="array" ref="C30">INDEX(Data_DBD!$C:$C,$A30)</f>
        <v>5</v>
      </c>
      <c r="D30" s="30">
        <f ca="1" t="array" ref="D30">INDEX(Data_DBD!$D:$D,$A30)</f>
        <v>13</v>
      </c>
      <c r="E30" s="30">
        <f ca="1" t="array" ref="E30">INDEX(Data_DBD!$E:$E,$A30)</f>
        <v>1</v>
      </c>
      <c r="F30" s="30">
        <f ca="1" t="array" ref="F30">INDEX(Data_DBD!$F:$F,$A30)</f>
        <v>2</v>
      </c>
      <c r="H30" s="30">
        <v>9</v>
      </c>
      <c r="I30" s="30">
        <v>16</v>
      </c>
      <c r="J30" s="30">
        <v>6</v>
      </c>
      <c r="K30" s="30">
        <v>12</v>
      </c>
      <c r="L30" s="30">
        <v>1</v>
      </c>
      <c r="M30" s="30">
        <v>2</v>
      </c>
    </row>
    <row r="31" spans="1:13">
      <c r="A31" s="30">
        <f ca="1" t="shared" si="0"/>
        <v>127</v>
      </c>
      <c r="B31" s="30">
        <f ca="1" t="array" ref="B31">INDEX(Data_DBD!$B:$B,$A31)</f>
        <v>21</v>
      </c>
      <c r="C31" s="30">
        <f ca="1" t="array" ref="C31">INDEX(Data_DBD!$C:$C,$A31)</f>
        <v>2</v>
      </c>
      <c r="D31" s="30">
        <f ca="1" t="array" ref="D31">INDEX(Data_DBD!$D:$D,$A31)</f>
        <v>33</v>
      </c>
      <c r="E31" s="30">
        <f ca="1" t="array" ref="E31">INDEX(Data_DBD!$E:$E,$A31)</f>
        <v>0</v>
      </c>
      <c r="F31" s="30">
        <f ca="1" t="array" ref="F31">INDEX(Data_DBD!$F:$F,$A31)</f>
        <v>3</v>
      </c>
      <c r="H31" s="30">
        <v>41</v>
      </c>
      <c r="I31" s="30">
        <v>8</v>
      </c>
      <c r="J31" s="30">
        <v>4</v>
      </c>
      <c r="K31" s="30">
        <v>13</v>
      </c>
      <c r="L31" s="30">
        <v>0</v>
      </c>
      <c r="M31" s="30">
        <v>2</v>
      </c>
    </row>
    <row r="32" spans="1:13">
      <c r="A32" s="30">
        <f ca="1" t="shared" si="0"/>
        <v>12</v>
      </c>
      <c r="B32" s="30">
        <f ca="1" t="array" ref="B32">INDEX(Data_DBD!$B:$B,$A32)</f>
        <v>23</v>
      </c>
      <c r="C32" s="30">
        <f ca="1" t="array" ref="C32">INDEX(Data_DBD!$C:$C,$A32)</f>
        <v>3</v>
      </c>
      <c r="D32" s="30">
        <f ca="1" t="array" ref="D32">INDEX(Data_DBD!$D:$D,$A32)</f>
        <v>12</v>
      </c>
      <c r="E32" s="30">
        <f ca="1" t="array" ref="E32">INDEX(Data_DBD!$E:$E,$A32)</f>
        <v>0</v>
      </c>
      <c r="F32" s="30">
        <f ca="1" t="array" ref="F32">INDEX(Data_DBD!$F:$F,$A32)</f>
        <v>2</v>
      </c>
      <c r="H32" s="30">
        <v>41</v>
      </c>
      <c r="I32" s="30">
        <v>8</v>
      </c>
      <c r="J32" s="30">
        <v>4</v>
      </c>
      <c r="K32" s="30">
        <v>13</v>
      </c>
      <c r="L32" s="30">
        <v>0</v>
      </c>
      <c r="M32" s="30">
        <v>2</v>
      </c>
    </row>
    <row r="33" spans="1:13">
      <c r="A33" s="30">
        <f ca="1" t="shared" si="0"/>
        <v>107</v>
      </c>
      <c r="B33" s="30">
        <f ca="1" t="array" ref="B33">INDEX(Data_DBD!$B:$B,$A33)</f>
        <v>48</v>
      </c>
      <c r="C33" s="30">
        <f ca="1" t="array" ref="C33">INDEX(Data_DBD!$C:$C,$A33)</f>
        <v>5</v>
      </c>
      <c r="D33" s="30">
        <f ca="1" t="array" ref="D33">INDEX(Data_DBD!$D:$D,$A33)</f>
        <v>18</v>
      </c>
      <c r="E33" s="30">
        <f ca="1" t="array" ref="E33">INDEX(Data_DBD!$E:$E,$A33)</f>
        <v>0</v>
      </c>
      <c r="F33" s="30">
        <f ca="1" t="array" ref="F33">INDEX(Data_DBD!$F:$F,$A33)</f>
        <v>3</v>
      </c>
      <c r="H33" s="30">
        <v>5</v>
      </c>
      <c r="I33" s="30">
        <v>18</v>
      </c>
      <c r="J33" s="30">
        <v>2</v>
      </c>
      <c r="K33" s="30">
        <v>12</v>
      </c>
      <c r="L33" s="30">
        <v>1</v>
      </c>
      <c r="M33" s="30">
        <v>2</v>
      </c>
    </row>
    <row r="34" spans="1:13">
      <c r="A34" s="30">
        <f ca="1" t="shared" si="0"/>
        <v>89</v>
      </c>
      <c r="B34" s="30">
        <f ca="1" t="array" ref="B34">INDEX(Data_DBD!$B:$B,$A34)</f>
        <v>32</v>
      </c>
      <c r="C34" s="30">
        <f ca="1" t="array" ref="C34">INDEX(Data_DBD!$C:$C,$A34)</f>
        <v>4</v>
      </c>
      <c r="D34" s="30">
        <f ca="1" t="array" ref="D34">INDEX(Data_DBD!$D:$D,$A34)</f>
        <v>13</v>
      </c>
      <c r="E34" s="30">
        <f ca="1" t="array" ref="E34">INDEX(Data_DBD!$E:$E,$A34)</f>
        <v>0</v>
      </c>
      <c r="F34" s="30">
        <f ca="1" t="array" ref="F34">INDEX(Data_DBD!$F:$F,$A34)</f>
        <v>2</v>
      </c>
      <c r="H34" s="30">
        <v>43</v>
      </c>
      <c r="I34" s="30">
        <v>15</v>
      </c>
      <c r="J34" s="30">
        <v>4</v>
      </c>
      <c r="K34" s="30">
        <v>13</v>
      </c>
      <c r="L34" s="30">
        <v>0</v>
      </c>
      <c r="M34" s="30">
        <v>2</v>
      </c>
    </row>
    <row r="35" spans="1:13">
      <c r="A35" s="30">
        <f ca="1" t="shared" si="0"/>
        <v>25</v>
      </c>
      <c r="B35" s="30">
        <f ca="1" t="array" ref="B35">INDEX(Data_DBD!$B:$B,$A35)</f>
        <v>81</v>
      </c>
      <c r="C35" s="30">
        <f ca="1" t="array" ref="C35">INDEX(Data_DBD!$C:$C,$A35)</f>
        <v>5</v>
      </c>
      <c r="D35" s="30">
        <f ca="1" t="array" ref="D35">INDEX(Data_DBD!$D:$D,$A35)</f>
        <v>14</v>
      </c>
      <c r="E35" s="30">
        <f ca="1" t="array" ref="E35">INDEX(Data_DBD!$E:$E,$A35)</f>
        <v>0</v>
      </c>
      <c r="F35" s="30">
        <f ca="1" t="array" ref="F35">INDEX(Data_DBD!$F:$F,$A35)</f>
        <v>2</v>
      </c>
      <c r="H35" s="30">
        <v>25</v>
      </c>
      <c r="I35" s="30">
        <v>81</v>
      </c>
      <c r="J35" s="30">
        <v>5</v>
      </c>
      <c r="K35" s="30">
        <v>14</v>
      </c>
      <c r="L35" s="30">
        <v>0</v>
      </c>
      <c r="M35" s="30">
        <v>2</v>
      </c>
    </row>
    <row r="36" spans="1:13">
      <c r="A36" s="30">
        <f ca="1" t="shared" si="0"/>
        <v>130</v>
      </c>
      <c r="B36" s="30">
        <f ca="1" t="array" ref="B36">INDEX(Data_DBD!$B:$B,$A36)</f>
        <v>12</v>
      </c>
      <c r="C36" s="30">
        <f ca="1" t="array" ref="C36">INDEX(Data_DBD!$C:$C,$A36)</f>
        <v>4</v>
      </c>
      <c r="D36" s="30">
        <f ca="1" t="array" ref="D36">INDEX(Data_DBD!$D:$D,$A36)</f>
        <v>33</v>
      </c>
      <c r="E36" s="30">
        <f ca="1" t="array" ref="E36">INDEX(Data_DBD!$E:$E,$A36)</f>
        <v>0</v>
      </c>
      <c r="F36" s="30">
        <f ca="1" t="array" ref="F36">INDEX(Data_DBD!$F:$F,$A36)</f>
        <v>3</v>
      </c>
      <c r="H36" s="30">
        <v>146</v>
      </c>
      <c r="I36" s="30">
        <v>34</v>
      </c>
      <c r="J36" s="30">
        <v>2</v>
      </c>
      <c r="K36" s="30">
        <v>21</v>
      </c>
      <c r="L36" s="30">
        <v>1</v>
      </c>
      <c r="M36" s="30">
        <v>3</v>
      </c>
    </row>
    <row r="37" spans="1:13">
      <c r="A37" s="30">
        <f ca="1" t="shared" si="0"/>
        <v>66</v>
      </c>
      <c r="B37" s="30">
        <f ca="1" t="array" ref="B37">INDEX(Data_DBD!$B:$B,$A37)</f>
        <v>21</v>
      </c>
      <c r="C37" s="30">
        <f ca="1" t="array" ref="C37">INDEX(Data_DBD!$C:$C,$A37)</f>
        <v>5</v>
      </c>
      <c r="D37" s="30">
        <f ca="1" t="array" ref="D37">INDEX(Data_DBD!$D:$D,$A37)</f>
        <v>15</v>
      </c>
      <c r="E37" s="30">
        <f ca="1" t="array" ref="E37">INDEX(Data_DBD!$E:$E,$A37)</f>
        <v>1</v>
      </c>
      <c r="F37" s="30">
        <f ca="1" t="array" ref="F37">INDEX(Data_DBD!$F:$F,$A37)</f>
        <v>2</v>
      </c>
      <c r="H37" s="30">
        <v>2</v>
      </c>
      <c r="I37" s="30">
        <v>34</v>
      </c>
      <c r="J37" s="30">
        <v>3</v>
      </c>
      <c r="K37" s="30">
        <v>12</v>
      </c>
      <c r="L37" s="30">
        <v>0</v>
      </c>
      <c r="M37" s="30">
        <v>2</v>
      </c>
    </row>
    <row r="38" spans="1:13">
      <c r="A38" s="30">
        <f ca="1" t="shared" si="0"/>
        <v>5</v>
      </c>
      <c r="B38" s="30">
        <f ca="1" t="array" ref="B38">INDEX(Data_DBD!$B:$B,$A38)</f>
        <v>18</v>
      </c>
      <c r="C38" s="30">
        <f ca="1" t="array" ref="C38">INDEX(Data_DBD!$C:$C,$A38)</f>
        <v>2</v>
      </c>
      <c r="D38" s="30">
        <f ca="1" t="array" ref="D38">INDEX(Data_DBD!$D:$D,$A38)</f>
        <v>12</v>
      </c>
      <c r="E38" s="30">
        <f ca="1" t="array" ref="E38">INDEX(Data_DBD!$E:$E,$A38)</f>
        <v>1</v>
      </c>
      <c r="F38" s="30">
        <f ca="1" t="array" ref="F38">INDEX(Data_DBD!$F:$F,$A38)</f>
        <v>2</v>
      </c>
      <c r="H38" s="30">
        <v>23</v>
      </c>
      <c r="I38" s="30">
        <v>28</v>
      </c>
      <c r="J38" s="30">
        <v>4</v>
      </c>
      <c r="K38" s="30">
        <v>14</v>
      </c>
      <c r="L38" s="30">
        <v>1</v>
      </c>
      <c r="M38" s="30">
        <v>2</v>
      </c>
    </row>
    <row r="39" spans="1:13">
      <c r="A39" s="30">
        <f ca="1" t="shared" si="0"/>
        <v>112</v>
      </c>
      <c r="B39" s="30">
        <f ca="1" t="array" ref="B39">INDEX(Data_DBD!$B:$B,$A39)</f>
        <v>61</v>
      </c>
      <c r="C39" s="30">
        <f ca="1" t="array" ref="C39">INDEX(Data_DBD!$C:$C,$A39)</f>
        <v>3</v>
      </c>
      <c r="D39" s="30">
        <f ca="1" t="array" ref="D39">INDEX(Data_DBD!$D:$D,$A39)</f>
        <v>33</v>
      </c>
      <c r="E39" s="30">
        <f ca="1" t="array" ref="E39">INDEX(Data_DBD!$E:$E,$A39)</f>
        <v>1</v>
      </c>
      <c r="F39" s="30">
        <f ca="1" t="array" ref="F39">INDEX(Data_DBD!$F:$F,$A39)</f>
        <v>3</v>
      </c>
      <c r="H39" s="30">
        <v>20</v>
      </c>
      <c r="I39" s="30">
        <v>15</v>
      </c>
      <c r="J39" s="30">
        <v>5</v>
      </c>
      <c r="K39" s="30">
        <v>7</v>
      </c>
      <c r="L39" s="30">
        <v>0</v>
      </c>
      <c r="M39" s="30">
        <v>1</v>
      </c>
    </row>
    <row r="40" spans="1:13">
      <c r="A40" s="30">
        <f ca="1" t="shared" si="0"/>
        <v>91</v>
      </c>
      <c r="B40" s="30">
        <f ca="1" t="array" ref="B40">INDEX(Data_DBD!$B:$B,$A40)</f>
        <v>35</v>
      </c>
      <c r="C40" s="30">
        <f ca="1" t="array" ref="C40">INDEX(Data_DBD!$C:$C,$A40)</f>
        <v>1</v>
      </c>
      <c r="D40" s="30">
        <f ca="1" t="array" ref="D40">INDEX(Data_DBD!$D:$D,$A40)</f>
        <v>18</v>
      </c>
      <c r="E40" s="30">
        <f ca="1" t="array" ref="E40">INDEX(Data_DBD!$E:$E,$A40)</f>
        <v>1</v>
      </c>
      <c r="F40" s="30">
        <f ca="1" t="array" ref="F40">INDEX(Data_DBD!$F:$F,$A40)</f>
        <v>3</v>
      </c>
      <c r="H40" s="30">
        <v>44</v>
      </c>
      <c r="I40" s="30">
        <v>28</v>
      </c>
      <c r="J40" s="30">
        <v>5</v>
      </c>
      <c r="K40" s="30">
        <v>13</v>
      </c>
      <c r="L40" s="30">
        <v>1</v>
      </c>
      <c r="M40" s="30">
        <v>2</v>
      </c>
    </row>
    <row r="41" spans="1:13">
      <c r="A41" s="30">
        <f ca="1" t="shared" si="0"/>
        <v>28</v>
      </c>
      <c r="B41" s="30">
        <f ca="1" t="array" ref="B41">INDEX(Data_DBD!$B:$B,$A41)</f>
        <v>22</v>
      </c>
      <c r="C41" s="30">
        <f ca="1" t="array" ref="C41">INDEX(Data_DBD!$C:$C,$A41)</f>
        <v>2</v>
      </c>
      <c r="D41" s="30">
        <f ca="1" t="array" ref="D41">INDEX(Data_DBD!$D:$D,$A41)</f>
        <v>14</v>
      </c>
      <c r="E41" s="30">
        <f ca="1" t="array" ref="E41">INDEX(Data_DBD!$E:$E,$A41)</f>
        <v>1</v>
      </c>
      <c r="F41" s="30">
        <f ca="1" t="array" ref="F41">INDEX(Data_DBD!$F:$F,$A41)</f>
        <v>2</v>
      </c>
      <c r="H41" s="30">
        <v>15</v>
      </c>
      <c r="I41" s="30">
        <v>21</v>
      </c>
      <c r="J41" s="30">
        <v>2</v>
      </c>
      <c r="K41" s="30">
        <v>7</v>
      </c>
      <c r="L41" s="30">
        <v>0</v>
      </c>
      <c r="M41" s="30">
        <v>1</v>
      </c>
    </row>
    <row r="42" spans="1:13">
      <c r="A42" s="30">
        <f ca="1" t="shared" si="0"/>
        <v>127</v>
      </c>
      <c r="B42" s="30">
        <f ca="1" t="array" ref="B42">INDEX(Data_DBD!$B:$B,$A42)</f>
        <v>21</v>
      </c>
      <c r="C42" s="30">
        <f ca="1" t="array" ref="C42">INDEX(Data_DBD!$C:$C,$A42)</f>
        <v>2</v>
      </c>
      <c r="D42" s="30">
        <f ca="1" t="array" ref="D42">INDEX(Data_DBD!$D:$D,$A42)</f>
        <v>33</v>
      </c>
      <c r="E42" s="30">
        <f ca="1" t="array" ref="E42">INDEX(Data_DBD!$E:$E,$A42)</f>
        <v>0</v>
      </c>
      <c r="F42" s="30">
        <f ca="1" t="array" ref="F42">INDEX(Data_DBD!$F:$F,$A42)</f>
        <v>3</v>
      </c>
      <c r="H42" s="30">
        <v>21</v>
      </c>
      <c r="I42" s="30">
        <v>10</v>
      </c>
      <c r="J42" s="30">
        <v>5</v>
      </c>
      <c r="K42" s="30">
        <v>14</v>
      </c>
      <c r="L42" s="30">
        <v>1</v>
      </c>
      <c r="M42" s="30">
        <v>2</v>
      </c>
    </row>
    <row r="43" spans="1:13">
      <c r="A43" s="30">
        <f ca="1" t="shared" si="0"/>
        <v>38</v>
      </c>
      <c r="B43" s="30">
        <f ca="1" t="array" ref="B43">INDEX(Data_DBD!$B:$B,$A43)</f>
        <v>52</v>
      </c>
      <c r="C43" s="30">
        <f ca="1" t="array" ref="C43">INDEX(Data_DBD!$C:$C,$A43)</f>
        <v>3</v>
      </c>
      <c r="D43" s="30">
        <f ca="1" t="array" ref="D43">INDEX(Data_DBD!$D:$D,$A43)</f>
        <v>4</v>
      </c>
      <c r="E43" s="30">
        <f ca="1" t="array" ref="E43">INDEX(Data_DBD!$E:$E,$A43)</f>
        <v>1</v>
      </c>
      <c r="F43" s="30">
        <f ca="1" t="array" ref="F43">INDEX(Data_DBD!$F:$F,$A43)</f>
        <v>1</v>
      </c>
      <c r="H43" s="30">
        <v>76</v>
      </c>
      <c r="I43" s="30">
        <v>70</v>
      </c>
      <c r="J43" s="30">
        <v>2</v>
      </c>
      <c r="K43" s="30">
        <v>10</v>
      </c>
      <c r="L43" s="30">
        <v>0</v>
      </c>
      <c r="M43" s="30">
        <v>2</v>
      </c>
    </row>
    <row r="44" spans="1:13">
      <c r="A44" s="30">
        <f ca="1" t="shared" si="0"/>
        <v>40</v>
      </c>
      <c r="B44" s="30">
        <f ca="1" t="array" ref="B44">INDEX(Data_DBD!$B:$B,$A44)</f>
        <v>65</v>
      </c>
      <c r="C44" s="30">
        <f ca="1" t="array" ref="C44">INDEX(Data_DBD!$C:$C,$A44)</f>
        <v>3</v>
      </c>
      <c r="D44" s="30">
        <f ca="1" t="array" ref="D44">INDEX(Data_DBD!$D:$D,$A44)</f>
        <v>13</v>
      </c>
      <c r="E44" s="30">
        <f ca="1" t="array" ref="E44">INDEX(Data_DBD!$E:$E,$A44)</f>
        <v>1</v>
      </c>
      <c r="F44" s="30">
        <f ca="1" t="array" ref="F44">INDEX(Data_DBD!$F:$F,$A44)</f>
        <v>2</v>
      </c>
      <c r="H44" s="30">
        <v>40</v>
      </c>
      <c r="I44" s="30">
        <v>65</v>
      </c>
      <c r="J44" s="30">
        <v>3</v>
      </c>
      <c r="K44" s="30">
        <v>13</v>
      </c>
      <c r="L44" s="30">
        <v>1</v>
      </c>
      <c r="M44" s="30">
        <v>2</v>
      </c>
    </row>
    <row r="45" spans="1:13">
      <c r="A45" s="30">
        <f ca="1" t="shared" si="0"/>
        <v>113</v>
      </c>
      <c r="B45" s="30">
        <f ca="1" t="array" ref="B45">INDEX(Data_DBD!$B:$B,$A45)</f>
        <v>69</v>
      </c>
      <c r="C45" s="30">
        <f ca="1" t="array" ref="C45">INDEX(Data_DBD!$C:$C,$A45)</f>
        <v>1</v>
      </c>
      <c r="D45" s="30">
        <f ca="1" t="array" ref="D45">INDEX(Data_DBD!$D:$D,$A45)</f>
        <v>33</v>
      </c>
      <c r="E45" s="30">
        <f ca="1" t="array" ref="E45">INDEX(Data_DBD!$E:$E,$A45)</f>
        <v>1</v>
      </c>
      <c r="F45" s="30">
        <f ca="1" t="array" ref="F45">INDEX(Data_DBD!$F:$F,$A45)</f>
        <v>3</v>
      </c>
      <c r="H45" s="30">
        <v>79</v>
      </c>
      <c r="I45" s="30">
        <v>29</v>
      </c>
      <c r="J45" s="30">
        <v>3</v>
      </c>
      <c r="K45" s="30">
        <v>13</v>
      </c>
      <c r="L45" s="30">
        <v>0</v>
      </c>
      <c r="M45" s="30">
        <v>2</v>
      </c>
    </row>
    <row r="46" spans="1:13">
      <c r="A46" s="30">
        <f ca="1" t="shared" si="0"/>
        <v>148</v>
      </c>
      <c r="B46" s="30">
        <f ca="1" t="array" ref="B46">INDEX(Data_DBD!$B:$B,$A46)</f>
        <v>55</v>
      </c>
      <c r="C46" s="30">
        <f ca="1" t="array" ref="C46">INDEX(Data_DBD!$C:$C,$A46)</f>
        <v>3</v>
      </c>
      <c r="D46" s="30">
        <f ca="1" t="array" ref="D46">INDEX(Data_DBD!$D:$D,$A46)</f>
        <v>21</v>
      </c>
      <c r="E46" s="30">
        <f ca="1" t="array" ref="E46">INDEX(Data_DBD!$E:$E,$A46)</f>
        <v>1</v>
      </c>
      <c r="F46" s="30">
        <f ca="1" t="array" ref="F46">INDEX(Data_DBD!$F:$F,$A46)</f>
        <v>3</v>
      </c>
      <c r="H46" s="30">
        <v>6</v>
      </c>
      <c r="I46" s="30">
        <v>14</v>
      </c>
      <c r="J46" s="30">
        <v>4</v>
      </c>
      <c r="K46" s="30">
        <v>12</v>
      </c>
      <c r="L46" s="30">
        <v>0</v>
      </c>
      <c r="M46" s="30">
        <v>2</v>
      </c>
    </row>
    <row r="47" spans="1:13">
      <c r="A47" s="30">
        <f ca="1" t="shared" si="0"/>
        <v>21</v>
      </c>
      <c r="B47" s="30">
        <f ca="1" t="array" ref="B47">INDEX(Data_DBD!$B:$B,$A47)</f>
        <v>10</v>
      </c>
      <c r="C47" s="30">
        <f ca="1" t="array" ref="C47">INDEX(Data_DBD!$C:$C,$A47)</f>
        <v>5</v>
      </c>
      <c r="D47" s="30">
        <f ca="1" t="array" ref="D47">INDEX(Data_DBD!$D:$D,$A47)</f>
        <v>14</v>
      </c>
      <c r="E47" s="30">
        <f ca="1" t="array" ref="E47">INDEX(Data_DBD!$E:$E,$A47)</f>
        <v>1</v>
      </c>
      <c r="F47" s="30">
        <f ca="1" t="array" ref="F47">INDEX(Data_DBD!$F:$F,$A47)</f>
        <v>2</v>
      </c>
      <c r="H47" s="30">
        <v>24</v>
      </c>
      <c r="I47" s="30">
        <v>60</v>
      </c>
      <c r="J47" s="30">
        <v>4</v>
      </c>
      <c r="K47" s="30">
        <v>14</v>
      </c>
      <c r="L47" s="30">
        <v>0</v>
      </c>
      <c r="M47" s="30">
        <v>2</v>
      </c>
    </row>
    <row r="48" spans="1:13">
      <c r="A48" s="30">
        <f ca="1" t="shared" si="0"/>
        <v>89</v>
      </c>
      <c r="B48" s="30">
        <f ca="1" t="array" ref="B48">INDEX(Data_DBD!$B:$B,$A48)</f>
        <v>32</v>
      </c>
      <c r="C48" s="30">
        <f ca="1" t="array" ref="C48">INDEX(Data_DBD!$C:$C,$A48)</f>
        <v>4</v>
      </c>
      <c r="D48" s="30">
        <f ca="1" t="array" ref="D48">INDEX(Data_DBD!$D:$D,$A48)</f>
        <v>13</v>
      </c>
      <c r="E48" s="30">
        <f ca="1" t="array" ref="E48">INDEX(Data_DBD!$E:$E,$A48)</f>
        <v>0</v>
      </c>
      <c r="F48" s="30">
        <f ca="1" t="array" ref="F48">INDEX(Data_DBD!$F:$F,$A48)</f>
        <v>2</v>
      </c>
      <c r="H48" s="30">
        <v>21</v>
      </c>
      <c r="I48" s="30">
        <v>10</v>
      </c>
      <c r="J48" s="30">
        <v>5</v>
      </c>
      <c r="K48" s="30">
        <v>14</v>
      </c>
      <c r="L48" s="30">
        <v>1</v>
      </c>
      <c r="M48" s="30">
        <v>2</v>
      </c>
    </row>
    <row r="49" spans="1:13">
      <c r="A49" s="30">
        <f ca="1" t="shared" si="0"/>
        <v>2</v>
      </c>
      <c r="B49" s="30">
        <f ca="1" t="array" ref="B49">INDEX(Data_DBD!$B:$B,$A49)</f>
        <v>34</v>
      </c>
      <c r="C49" s="30">
        <f ca="1" t="array" ref="C49">INDEX(Data_DBD!$C:$C,$A49)</f>
        <v>3</v>
      </c>
      <c r="D49" s="30">
        <f ca="1" t="array" ref="D49">INDEX(Data_DBD!$D:$D,$A49)</f>
        <v>12</v>
      </c>
      <c r="E49" s="30">
        <f ca="1" t="array" ref="E49">INDEX(Data_DBD!$E:$E,$A49)</f>
        <v>0</v>
      </c>
      <c r="F49" s="30">
        <f ca="1" t="array" ref="F49">INDEX(Data_DBD!$F:$F,$A49)</f>
        <v>2</v>
      </c>
      <c r="H49" s="30">
        <v>132</v>
      </c>
      <c r="I49" s="30">
        <v>10</v>
      </c>
      <c r="J49" s="30">
        <v>3</v>
      </c>
      <c r="K49" s="30">
        <v>33</v>
      </c>
      <c r="L49" s="30">
        <v>1</v>
      </c>
      <c r="M49" s="30">
        <v>3</v>
      </c>
    </row>
    <row r="50" spans="1:13">
      <c r="A50" s="30">
        <f ca="1" t="shared" si="0"/>
        <v>45</v>
      </c>
      <c r="B50" s="30">
        <f ca="1" t="array" ref="B50">INDEX(Data_DBD!$B:$B,$A50)</f>
        <v>75</v>
      </c>
      <c r="C50" s="30">
        <f ca="1" t="array" ref="C50">INDEX(Data_DBD!$C:$C,$A50)</f>
        <v>3</v>
      </c>
      <c r="D50" s="30">
        <f ca="1" t="array" ref="D50">INDEX(Data_DBD!$D:$D,$A50)</f>
        <v>13</v>
      </c>
      <c r="E50" s="30">
        <f ca="1" t="array" ref="E50">INDEX(Data_DBD!$E:$E,$A50)</f>
        <v>1</v>
      </c>
      <c r="F50" s="30">
        <f ca="1" t="array" ref="F50">INDEX(Data_DBD!$F:$F,$A50)</f>
        <v>2</v>
      </c>
      <c r="H50" s="30">
        <v>52</v>
      </c>
      <c r="I50" s="30">
        <v>59</v>
      </c>
      <c r="J50" s="30">
        <v>4</v>
      </c>
      <c r="K50" s="30">
        <v>15</v>
      </c>
      <c r="L50" s="30">
        <v>1</v>
      </c>
      <c r="M50" s="30">
        <v>2</v>
      </c>
    </row>
    <row r="51" spans="1:13">
      <c r="A51" s="30">
        <f ca="1" t="shared" si="0"/>
        <v>150</v>
      </c>
      <c r="B51" s="30">
        <f ca="1" t="array" ref="B51">INDEX(Data_DBD!$B:$B,$A51)</f>
        <v>61</v>
      </c>
      <c r="C51" s="30">
        <f ca="1" t="array" ref="C51">INDEX(Data_DBD!$C:$C,$A51)</f>
        <v>5</v>
      </c>
      <c r="D51" s="30">
        <f ca="1" t="array" ref="D51">INDEX(Data_DBD!$D:$D,$A51)</f>
        <v>21</v>
      </c>
      <c r="E51" s="30">
        <f ca="1" t="array" ref="E51">INDEX(Data_DBD!$E:$E,$A51)</f>
        <v>1</v>
      </c>
      <c r="F51" s="30">
        <f ca="1" t="array" ref="F51">INDEX(Data_DBD!$F:$F,$A51)</f>
        <v>3</v>
      </c>
      <c r="H51" s="30">
        <v>46</v>
      </c>
      <c r="I51" s="30">
        <v>62</v>
      </c>
      <c r="J51" s="30">
        <v>2</v>
      </c>
      <c r="K51" s="30">
        <v>13</v>
      </c>
      <c r="L51" s="30">
        <v>0</v>
      </c>
      <c r="M51" s="30">
        <v>2</v>
      </c>
    </row>
    <row r="52" spans="1:13">
      <c r="A52" s="30">
        <f ca="1" t="shared" si="0"/>
        <v>14</v>
      </c>
      <c r="B52" s="30">
        <f ca="1" t="array" ref="B52">INDEX(Data_DBD!$B:$B,$A52)</f>
        <v>49</v>
      </c>
      <c r="C52" s="30">
        <f ca="1" t="array" ref="C52">INDEX(Data_DBD!$C:$C,$A52)</f>
        <v>4</v>
      </c>
      <c r="D52" s="30">
        <f ca="1" t="array" ref="D52">INDEX(Data_DBD!$D:$D,$A52)</f>
        <v>7</v>
      </c>
      <c r="E52" s="30">
        <f ca="1" t="array" ref="E52">INDEX(Data_DBD!$E:$E,$A52)</f>
        <v>1</v>
      </c>
      <c r="F52" s="30">
        <f ca="1" t="array" ref="F52">INDEX(Data_DBD!$F:$F,$A52)</f>
        <v>1</v>
      </c>
      <c r="H52" s="30">
        <v>64</v>
      </c>
      <c r="I52" s="30">
        <v>35</v>
      </c>
      <c r="J52" s="30">
        <v>1</v>
      </c>
      <c r="K52" s="30">
        <v>15</v>
      </c>
      <c r="L52" s="30">
        <v>0</v>
      </c>
      <c r="M52" s="30">
        <v>2</v>
      </c>
    </row>
    <row r="53" spans="1:13">
      <c r="A53" s="30">
        <f ca="1" t="shared" si="0"/>
        <v>14</v>
      </c>
      <c r="B53" s="30">
        <f ca="1" t="array" ref="B53">INDEX(Data_DBD!$B:$B,$A53)</f>
        <v>49</v>
      </c>
      <c r="C53" s="30">
        <f ca="1" t="array" ref="C53">INDEX(Data_DBD!$C:$C,$A53)</f>
        <v>4</v>
      </c>
      <c r="D53" s="30">
        <f ca="1" t="array" ref="D53">INDEX(Data_DBD!$D:$D,$A53)</f>
        <v>7</v>
      </c>
      <c r="E53" s="30">
        <f ca="1" t="array" ref="E53">INDEX(Data_DBD!$E:$E,$A53)</f>
        <v>1</v>
      </c>
      <c r="F53" s="30">
        <f ca="1" t="array" ref="F53">INDEX(Data_DBD!$F:$F,$A53)</f>
        <v>1</v>
      </c>
      <c r="H53" s="30">
        <v>35</v>
      </c>
      <c r="I53" s="30">
        <v>40</v>
      </c>
      <c r="J53" s="30">
        <v>3</v>
      </c>
      <c r="K53" s="30">
        <v>4</v>
      </c>
      <c r="L53" s="30">
        <v>1</v>
      </c>
      <c r="M53" s="30">
        <v>1</v>
      </c>
    </row>
    <row r="54" spans="1:13">
      <c r="A54" s="30">
        <f ca="1" t="shared" si="0"/>
        <v>148</v>
      </c>
      <c r="B54" s="30">
        <f ca="1" t="array" ref="B54">INDEX(Data_DBD!$B:$B,$A54)</f>
        <v>55</v>
      </c>
      <c r="C54" s="30">
        <f ca="1" t="array" ref="C54">INDEX(Data_DBD!$C:$C,$A54)</f>
        <v>3</v>
      </c>
      <c r="D54" s="30">
        <f ca="1" t="array" ref="D54">INDEX(Data_DBD!$D:$D,$A54)</f>
        <v>21</v>
      </c>
      <c r="E54" s="30">
        <f ca="1" t="array" ref="E54">INDEX(Data_DBD!$E:$E,$A54)</f>
        <v>1</v>
      </c>
      <c r="F54" s="30">
        <f ca="1" t="array" ref="F54">INDEX(Data_DBD!$F:$F,$A54)</f>
        <v>3</v>
      </c>
      <c r="H54" s="30">
        <v>102</v>
      </c>
      <c r="I54" s="30">
        <v>41</v>
      </c>
      <c r="J54" s="30">
        <v>4</v>
      </c>
      <c r="K54" s="30">
        <v>18</v>
      </c>
      <c r="L54" s="30">
        <v>0</v>
      </c>
      <c r="M54" s="30">
        <v>3</v>
      </c>
    </row>
    <row r="55" spans="1:13">
      <c r="A55" s="30">
        <f ca="1" t="shared" si="0"/>
        <v>44</v>
      </c>
      <c r="B55" s="30">
        <f ca="1" t="array" ref="B55">INDEX(Data_DBD!$B:$B,$A55)</f>
        <v>28</v>
      </c>
      <c r="C55" s="30">
        <f ca="1" t="array" ref="C55">INDEX(Data_DBD!$C:$C,$A55)</f>
        <v>5</v>
      </c>
      <c r="D55" s="30">
        <f ca="1" t="array" ref="D55">INDEX(Data_DBD!$D:$D,$A55)</f>
        <v>13</v>
      </c>
      <c r="E55" s="30">
        <f ca="1" t="array" ref="E55">INDEX(Data_DBD!$E:$E,$A55)</f>
        <v>1</v>
      </c>
      <c r="F55" s="30">
        <f ca="1" t="array" ref="F55">INDEX(Data_DBD!$F:$F,$A55)</f>
        <v>2</v>
      </c>
      <c r="H55" s="30">
        <v>155</v>
      </c>
      <c r="I55" s="30">
        <v>19</v>
      </c>
      <c r="J55" s="30">
        <v>5</v>
      </c>
      <c r="K55" s="30">
        <v>21</v>
      </c>
      <c r="L55" s="30">
        <v>1</v>
      </c>
      <c r="M55" s="30">
        <v>3</v>
      </c>
    </row>
    <row r="56" spans="1:13">
      <c r="A56" s="30">
        <f ca="1" t="shared" si="0"/>
        <v>39</v>
      </c>
      <c r="B56" s="30">
        <f ca="1" t="array" ref="B56">INDEX(Data_DBD!$B:$B,$A56)</f>
        <v>12</v>
      </c>
      <c r="C56" s="30">
        <f ca="1" t="array" ref="C56">INDEX(Data_DBD!$C:$C,$A56)</f>
        <v>5</v>
      </c>
      <c r="D56" s="30">
        <f ca="1" t="array" ref="D56">INDEX(Data_DBD!$D:$D,$A56)</f>
        <v>13</v>
      </c>
      <c r="E56" s="30">
        <f ca="1" t="array" ref="E56">INDEX(Data_DBD!$E:$E,$A56)</f>
        <v>1</v>
      </c>
      <c r="F56" s="30">
        <f ca="1" t="array" ref="F56">INDEX(Data_DBD!$F:$F,$A56)</f>
        <v>2</v>
      </c>
      <c r="H56" s="30">
        <v>24</v>
      </c>
      <c r="I56" s="30">
        <v>60</v>
      </c>
      <c r="J56" s="30">
        <v>4</v>
      </c>
      <c r="K56" s="30">
        <v>14</v>
      </c>
      <c r="L56" s="30">
        <v>0</v>
      </c>
      <c r="M56" s="30">
        <v>2</v>
      </c>
    </row>
    <row r="57" spans="1:13">
      <c r="A57" s="30">
        <f ca="1" t="shared" si="0"/>
        <v>57</v>
      </c>
      <c r="B57" s="30">
        <f ca="1" t="array" ref="B57">INDEX(Data_DBD!$B:$B,$A57)</f>
        <v>2</v>
      </c>
      <c r="C57" s="30">
        <f ca="1" t="array" ref="C57">INDEX(Data_DBD!$C:$C,$A57)</f>
        <v>2</v>
      </c>
      <c r="D57" s="30">
        <f ca="1" t="array" ref="D57">INDEX(Data_DBD!$D:$D,$A57)</f>
        <v>15</v>
      </c>
      <c r="E57" s="30">
        <f ca="1" t="array" ref="E57">INDEX(Data_DBD!$E:$E,$A57)</f>
        <v>1</v>
      </c>
      <c r="F57" s="30">
        <f ca="1" t="array" ref="F57">INDEX(Data_DBD!$F:$F,$A57)</f>
        <v>2</v>
      </c>
      <c r="H57" s="30">
        <v>38</v>
      </c>
      <c r="I57" s="30">
        <v>52</v>
      </c>
      <c r="J57" s="30">
        <v>3</v>
      </c>
      <c r="K57" s="30">
        <v>4</v>
      </c>
      <c r="L57" s="30">
        <v>1</v>
      </c>
      <c r="M57" s="30">
        <v>1</v>
      </c>
    </row>
    <row r="58" spans="1:13">
      <c r="A58" s="30">
        <f ca="1" t="shared" si="0"/>
        <v>5</v>
      </c>
      <c r="B58" s="30">
        <f ca="1" t="array" ref="B58">INDEX(Data_DBD!$B:$B,$A58)</f>
        <v>18</v>
      </c>
      <c r="C58" s="30">
        <f ca="1" t="array" ref="C58">INDEX(Data_DBD!$C:$C,$A58)</f>
        <v>2</v>
      </c>
      <c r="D58" s="30">
        <f ca="1" t="array" ref="D58">INDEX(Data_DBD!$D:$D,$A58)</f>
        <v>12</v>
      </c>
      <c r="E58" s="30">
        <f ca="1" t="array" ref="E58">INDEX(Data_DBD!$E:$E,$A58)</f>
        <v>1</v>
      </c>
      <c r="F58" s="30">
        <f ca="1" t="array" ref="F58">INDEX(Data_DBD!$F:$F,$A58)</f>
        <v>2</v>
      </c>
      <c r="H58" s="30">
        <v>51</v>
      </c>
      <c r="I58" s="30">
        <v>48</v>
      </c>
      <c r="J58" s="30">
        <v>4</v>
      </c>
      <c r="K58" s="30">
        <v>13</v>
      </c>
      <c r="L58" s="30">
        <v>0</v>
      </c>
      <c r="M58" s="30">
        <v>2</v>
      </c>
    </row>
    <row r="59" spans="1:13">
      <c r="A59" s="30">
        <f ca="1" t="shared" si="0"/>
        <v>159</v>
      </c>
      <c r="B59" s="30">
        <f ca="1" t="array" ref="B59">INDEX(Data_DBD!$B:$B,$A59)</f>
        <v>17</v>
      </c>
      <c r="C59" s="30">
        <f ca="1" t="array" ref="C59">INDEX(Data_DBD!$C:$C,$A59)</f>
        <v>2</v>
      </c>
      <c r="D59" s="30">
        <f ca="1" t="array" ref="D59">INDEX(Data_DBD!$D:$D,$A59)</f>
        <v>21</v>
      </c>
      <c r="E59" s="30">
        <f ca="1" t="array" ref="E59">INDEX(Data_DBD!$E:$E,$A59)</f>
        <v>0</v>
      </c>
      <c r="F59" s="30">
        <f ca="1" t="array" ref="F59">INDEX(Data_DBD!$F:$F,$A59)</f>
        <v>3</v>
      </c>
      <c r="H59" s="30">
        <v>69</v>
      </c>
      <c r="I59" s="30">
        <v>24</v>
      </c>
      <c r="J59" s="30">
        <v>4</v>
      </c>
      <c r="K59" s="30">
        <v>10</v>
      </c>
      <c r="L59" s="30">
        <v>1</v>
      </c>
      <c r="M59" s="30">
        <v>2</v>
      </c>
    </row>
    <row r="60" spans="1:13">
      <c r="A60" s="30">
        <f ca="1" t="shared" si="0"/>
        <v>53</v>
      </c>
      <c r="B60" s="30">
        <f ca="1" t="array" ref="B60">INDEX(Data_DBD!$B:$B,$A60)</f>
        <v>35</v>
      </c>
      <c r="C60" s="30">
        <f ca="1" t="array" ref="C60">INDEX(Data_DBD!$C:$C,$A60)</f>
        <v>4</v>
      </c>
      <c r="D60" s="30">
        <f ca="1" t="array" ref="D60">INDEX(Data_DBD!$D:$D,$A60)</f>
        <v>15</v>
      </c>
      <c r="E60" s="30">
        <f ca="1" t="array" ref="E60">INDEX(Data_DBD!$E:$E,$A60)</f>
        <v>1</v>
      </c>
      <c r="F60" s="30">
        <f ca="1" t="array" ref="F60">INDEX(Data_DBD!$F:$F,$A60)</f>
        <v>2</v>
      </c>
      <c r="H60" s="30">
        <v>97</v>
      </c>
      <c r="I60" s="30">
        <v>16</v>
      </c>
      <c r="J60" s="30">
        <v>2</v>
      </c>
      <c r="K60" s="30">
        <v>18</v>
      </c>
      <c r="L60" s="30">
        <v>1</v>
      </c>
      <c r="M60" s="30">
        <v>3</v>
      </c>
    </row>
    <row r="61" spans="1:13">
      <c r="A61" s="30">
        <f ca="1" t="shared" si="0"/>
        <v>26</v>
      </c>
      <c r="B61" s="30">
        <f ca="1" t="array" ref="B61">INDEX(Data_DBD!$B:$B,$A61)</f>
        <v>75</v>
      </c>
      <c r="C61" s="30">
        <f ca="1" t="array" ref="C61">INDEX(Data_DBD!$C:$C,$A61)</f>
        <v>4</v>
      </c>
      <c r="D61" s="30">
        <f ca="1" t="array" ref="D61">INDEX(Data_DBD!$D:$D,$A61)</f>
        <v>14</v>
      </c>
      <c r="E61" s="30">
        <f ca="1" t="array" ref="E61">INDEX(Data_DBD!$E:$E,$A61)</f>
        <v>1</v>
      </c>
      <c r="F61" s="30">
        <f ca="1" t="array" ref="F61">INDEX(Data_DBD!$F:$F,$A61)</f>
        <v>2</v>
      </c>
      <c r="H61" s="30">
        <v>143</v>
      </c>
      <c r="I61" s="30">
        <v>20</v>
      </c>
      <c r="J61" s="30">
        <v>4</v>
      </c>
      <c r="K61" s="30">
        <v>21</v>
      </c>
      <c r="L61" s="30">
        <v>1</v>
      </c>
      <c r="M61" s="30">
        <v>3</v>
      </c>
    </row>
    <row r="62" spans="1:13">
      <c r="A62" s="30">
        <f ca="1" t="shared" si="0"/>
        <v>158</v>
      </c>
      <c r="B62" s="30">
        <f ca="1" t="array" ref="B62">INDEX(Data_DBD!$B:$B,$A62)</f>
        <v>5</v>
      </c>
      <c r="C62" s="30">
        <f ca="1" t="array" ref="C62">INDEX(Data_DBD!$C:$C,$A62)</f>
        <v>2</v>
      </c>
      <c r="D62" s="30">
        <f ca="1" t="array" ref="D62">INDEX(Data_DBD!$D:$D,$A62)</f>
        <v>21</v>
      </c>
      <c r="E62" s="30">
        <f ca="1" t="array" ref="E62">INDEX(Data_DBD!$E:$E,$A62)</f>
        <v>0</v>
      </c>
      <c r="F62" s="30">
        <f ca="1" t="array" ref="F62">INDEX(Data_DBD!$F:$F,$A62)</f>
        <v>3</v>
      </c>
      <c r="H62" s="30">
        <v>153</v>
      </c>
      <c r="I62" s="30">
        <v>73</v>
      </c>
      <c r="J62" s="30">
        <v>7</v>
      </c>
      <c r="K62" s="30">
        <v>21</v>
      </c>
      <c r="L62" s="30">
        <v>1</v>
      </c>
      <c r="M62" s="30">
        <v>3</v>
      </c>
    </row>
    <row r="63" spans="1:13">
      <c r="A63" s="30">
        <f ca="1" t="shared" si="0"/>
        <v>12</v>
      </c>
      <c r="B63" s="30">
        <f ca="1" t="array" ref="B63">INDEX(Data_DBD!$B:$B,$A63)</f>
        <v>23</v>
      </c>
      <c r="C63" s="30">
        <f ca="1" t="array" ref="C63">INDEX(Data_DBD!$C:$C,$A63)</f>
        <v>3</v>
      </c>
      <c r="D63" s="30">
        <f ca="1" t="array" ref="D63">INDEX(Data_DBD!$D:$D,$A63)</f>
        <v>12</v>
      </c>
      <c r="E63" s="30">
        <f ca="1" t="array" ref="E63">INDEX(Data_DBD!$E:$E,$A63)</f>
        <v>0</v>
      </c>
      <c r="F63" s="30">
        <f ca="1" t="array" ref="F63">INDEX(Data_DBD!$F:$F,$A63)</f>
        <v>2</v>
      </c>
      <c r="H63" s="30">
        <v>114</v>
      </c>
      <c r="I63" s="30">
        <v>14</v>
      </c>
      <c r="J63" s="30">
        <v>2</v>
      </c>
      <c r="K63" s="30">
        <v>33</v>
      </c>
      <c r="L63" s="30">
        <v>1</v>
      </c>
      <c r="M63" s="30">
        <v>3</v>
      </c>
    </row>
    <row r="64" spans="1:13">
      <c r="A64" s="30">
        <f ca="1" t="shared" si="0"/>
        <v>115</v>
      </c>
      <c r="B64" s="30">
        <f ca="1" t="array" ref="B64">INDEX(Data_DBD!$B:$B,$A64)</f>
        <v>52</v>
      </c>
      <c r="C64" s="30">
        <f ca="1" t="array" ref="C64">INDEX(Data_DBD!$C:$C,$A64)</f>
        <v>3</v>
      </c>
      <c r="D64" s="30">
        <f ca="1" t="array" ref="D64">INDEX(Data_DBD!$D:$D,$A64)</f>
        <v>33</v>
      </c>
      <c r="E64" s="30">
        <f ca="1" t="array" ref="E64">INDEX(Data_DBD!$E:$E,$A64)</f>
        <v>1</v>
      </c>
      <c r="F64" s="30">
        <f ca="1" t="array" ref="F64">INDEX(Data_DBD!$F:$F,$A64)</f>
        <v>3</v>
      </c>
      <c r="H64" s="30">
        <v>20</v>
      </c>
      <c r="I64" s="30">
        <v>15</v>
      </c>
      <c r="J64" s="30">
        <v>5</v>
      </c>
      <c r="K64" s="30">
        <v>7</v>
      </c>
      <c r="L64" s="30">
        <v>0</v>
      </c>
      <c r="M64" s="30">
        <v>1</v>
      </c>
    </row>
    <row r="65" spans="1:13">
      <c r="A65" s="30">
        <f ca="1" t="shared" si="0"/>
        <v>72</v>
      </c>
      <c r="B65" s="30">
        <f ca="1" t="array" ref="B65">INDEX(Data_DBD!$B:$B,$A65)</f>
        <v>3</v>
      </c>
      <c r="C65" s="30">
        <f ca="1" t="array" ref="C65">INDEX(Data_DBD!$C:$C,$A65)</f>
        <v>5</v>
      </c>
      <c r="D65" s="30">
        <f ca="1" t="array" ref="D65">INDEX(Data_DBD!$D:$D,$A65)</f>
        <v>10</v>
      </c>
      <c r="E65" s="30">
        <f ca="1" t="array" ref="E65">INDEX(Data_DBD!$E:$E,$A65)</f>
        <v>1</v>
      </c>
      <c r="F65" s="30">
        <f ca="1" t="array" ref="F65">INDEX(Data_DBD!$F:$F,$A65)</f>
        <v>2</v>
      </c>
      <c r="H65" s="30">
        <v>112</v>
      </c>
      <c r="I65" s="30">
        <v>61</v>
      </c>
      <c r="J65" s="30">
        <v>3</v>
      </c>
      <c r="K65" s="30">
        <v>33</v>
      </c>
      <c r="L65" s="30">
        <v>1</v>
      </c>
      <c r="M65" s="30">
        <v>3</v>
      </c>
    </row>
    <row r="66" spans="1:13">
      <c r="A66" s="30">
        <f ca="1" t="shared" si="0"/>
        <v>44</v>
      </c>
      <c r="B66" s="30">
        <f ca="1" t="array" ref="B66">INDEX(Data_DBD!$B:$B,$A66)</f>
        <v>28</v>
      </c>
      <c r="C66" s="30">
        <f ca="1" t="array" ref="C66">INDEX(Data_DBD!$C:$C,$A66)</f>
        <v>5</v>
      </c>
      <c r="D66" s="30">
        <f ca="1" t="array" ref="D66">INDEX(Data_DBD!$D:$D,$A66)</f>
        <v>13</v>
      </c>
      <c r="E66" s="30">
        <f ca="1" t="array" ref="E66">INDEX(Data_DBD!$E:$E,$A66)</f>
        <v>1</v>
      </c>
      <c r="F66" s="30">
        <f ca="1" t="array" ref="F66">INDEX(Data_DBD!$F:$F,$A66)</f>
        <v>2</v>
      </c>
      <c r="H66" s="30">
        <v>58</v>
      </c>
      <c r="I66" s="30">
        <v>17</v>
      </c>
      <c r="J66" s="30">
        <v>3</v>
      </c>
      <c r="K66" s="30">
        <v>15</v>
      </c>
      <c r="L66" s="30">
        <v>0</v>
      </c>
      <c r="M66" s="30">
        <v>2</v>
      </c>
    </row>
    <row r="67" spans="1:13">
      <c r="A67" s="30">
        <f ca="1" t="shared" ref="A67:A130" si="1">RANDBETWEEN(2,164)</f>
        <v>26</v>
      </c>
      <c r="B67" s="30">
        <f ca="1" t="array" ref="B67">INDEX(Data_DBD!$B:$B,$A67)</f>
        <v>75</v>
      </c>
      <c r="C67" s="30">
        <f ca="1" t="array" ref="C67">INDEX(Data_DBD!$C:$C,$A67)</f>
        <v>4</v>
      </c>
      <c r="D67" s="30">
        <f ca="1" t="array" ref="D67">INDEX(Data_DBD!$D:$D,$A67)</f>
        <v>14</v>
      </c>
      <c r="E67" s="30">
        <f ca="1" t="array" ref="E67">INDEX(Data_DBD!$E:$E,$A67)</f>
        <v>1</v>
      </c>
      <c r="F67" s="30">
        <f ca="1" t="array" ref="F67">INDEX(Data_DBD!$F:$F,$A67)</f>
        <v>2</v>
      </c>
      <c r="H67" s="30">
        <v>82</v>
      </c>
      <c r="I67" s="30">
        <v>28</v>
      </c>
      <c r="J67" s="30">
        <v>3</v>
      </c>
      <c r="K67" s="30">
        <v>13</v>
      </c>
      <c r="L67" s="30">
        <v>1</v>
      </c>
      <c r="M67" s="30">
        <v>2</v>
      </c>
    </row>
    <row r="68" spans="1:13">
      <c r="A68" s="30">
        <f ca="1" t="shared" si="1"/>
        <v>40</v>
      </c>
      <c r="B68" s="30">
        <f ca="1" t="array" ref="B68">INDEX(Data_DBD!$B:$B,$A68)</f>
        <v>65</v>
      </c>
      <c r="C68" s="30">
        <f ca="1" t="array" ref="C68">INDEX(Data_DBD!$C:$C,$A68)</f>
        <v>3</v>
      </c>
      <c r="D68" s="30">
        <f ca="1" t="array" ref="D68">INDEX(Data_DBD!$D:$D,$A68)</f>
        <v>13</v>
      </c>
      <c r="E68" s="30">
        <f ca="1" t="array" ref="E68">INDEX(Data_DBD!$E:$E,$A68)</f>
        <v>1</v>
      </c>
      <c r="F68" s="30">
        <f ca="1" t="array" ref="F68">INDEX(Data_DBD!$F:$F,$A68)</f>
        <v>2</v>
      </c>
      <c r="H68" s="30">
        <v>155</v>
      </c>
      <c r="I68" s="30">
        <v>19</v>
      </c>
      <c r="J68" s="30">
        <v>5</v>
      </c>
      <c r="K68" s="30">
        <v>21</v>
      </c>
      <c r="L68" s="30">
        <v>1</v>
      </c>
      <c r="M68" s="30">
        <v>3</v>
      </c>
    </row>
    <row r="69" spans="1:13">
      <c r="A69" s="30">
        <f ca="1" t="shared" si="1"/>
        <v>130</v>
      </c>
      <c r="B69" s="30">
        <f ca="1" t="array" ref="B69">INDEX(Data_DBD!$B:$B,$A69)</f>
        <v>12</v>
      </c>
      <c r="C69" s="30">
        <f ca="1" t="array" ref="C69">INDEX(Data_DBD!$C:$C,$A69)</f>
        <v>4</v>
      </c>
      <c r="D69" s="30">
        <f ca="1" t="array" ref="D69">INDEX(Data_DBD!$D:$D,$A69)</f>
        <v>33</v>
      </c>
      <c r="E69" s="30">
        <f ca="1" t="array" ref="E69">INDEX(Data_DBD!$E:$E,$A69)</f>
        <v>0</v>
      </c>
      <c r="F69" s="30">
        <f ca="1" t="array" ref="F69">INDEX(Data_DBD!$F:$F,$A69)</f>
        <v>3</v>
      </c>
      <c r="H69" s="30">
        <v>3</v>
      </c>
      <c r="I69" s="30">
        <v>43</v>
      </c>
      <c r="J69" s="30">
        <v>3</v>
      </c>
      <c r="K69" s="30">
        <v>12</v>
      </c>
      <c r="L69" s="30">
        <v>1</v>
      </c>
      <c r="M69" s="30">
        <v>2</v>
      </c>
    </row>
    <row r="70" spans="1:13">
      <c r="A70" s="30">
        <f ca="1" t="shared" si="1"/>
        <v>115</v>
      </c>
      <c r="B70" s="30">
        <f ca="1" t="array" ref="B70">INDEX(Data_DBD!$B:$B,$A70)</f>
        <v>52</v>
      </c>
      <c r="C70" s="30">
        <f ca="1" t="array" ref="C70">INDEX(Data_DBD!$C:$C,$A70)</f>
        <v>3</v>
      </c>
      <c r="D70" s="30">
        <f ca="1" t="array" ref="D70">INDEX(Data_DBD!$D:$D,$A70)</f>
        <v>33</v>
      </c>
      <c r="E70" s="30">
        <f ca="1" t="array" ref="E70">INDEX(Data_DBD!$E:$E,$A70)</f>
        <v>1</v>
      </c>
      <c r="F70" s="30">
        <f ca="1" t="array" ref="F70">INDEX(Data_DBD!$F:$F,$A70)</f>
        <v>3</v>
      </c>
      <c r="H70" s="30">
        <v>53</v>
      </c>
      <c r="I70" s="30">
        <v>35</v>
      </c>
      <c r="J70" s="30">
        <v>4</v>
      </c>
      <c r="K70" s="30">
        <v>15</v>
      </c>
      <c r="L70" s="30">
        <v>1</v>
      </c>
      <c r="M70" s="30">
        <v>2</v>
      </c>
    </row>
    <row r="71" spans="1:13">
      <c r="A71" s="30">
        <f ca="1" t="shared" si="1"/>
        <v>150</v>
      </c>
      <c r="B71" s="30">
        <f ca="1" t="array" ref="B71">INDEX(Data_DBD!$B:$B,$A71)</f>
        <v>61</v>
      </c>
      <c r="C71" s="30">
        <f ca="1" t="array" ref="C71">INDEX(Data_DBD!$C:$C,$A71)</f>
        <v>5</v>
      </c>
      <c r="D71" s="30">
        <f ca="1" t="array" ref="D71">INDEX(Data_DBD!$D:$D,$A71)</f>
        <v>21</v>
      </c>
      <c r="E71" s="30">
        <f ca="1" t="array" ref="E71">INDEX(Data_DBD!$E:$E,$A71)</f>
        <v>1</v>
      </c>
      <c r="F71" s="30">
        <f ca="1" t="array" ref="F71">INDEX(Data_DBD!$F:$F,$A71)</f>
        <v>3</v>
      </c>
      <c r="H71" s="30">
        <v>112</v>
      </c>
      <c r="I71" s="30">
        <v>61</v>
      </c>
      <c r="J71" s="30">
        <v>3</v>
      </c>
      <c r="K71" s="30">
        <v>33</v>
      </c>
      <c r="L71" s="30">
        <v>1</v>
      </c>
      <c r="M71" s="30">
        <v>3</v>
      </c>
    </row>
    <row r="72" spans="1:13">
      <c r="A72" s="30">
        <f ca="1" t="shared" si="1"/>
        <v>56</v>
      </c>
      <c r="B72" s="30">
        <f ca="1" t="array" ref="B72">INDEX(Data_DBD!$B:$B,$A72)</f>
        <v>4</v>
      </c>
      <c r="C72" s="30">
        <f ca="1" t="array" ref="C72">INDEX(Data_DBD!$C:$C,$A72)</f>
        <v>3</v>
      </c>
      <c r="D72" s="30">
        <f ca="1" t="array" ref="D72">INDEX(Data_DBD!$D:$D,$A72)</f>
        <v>15</v>
      </c>
      <c r="E72" s="30">
        <f ca="1" t="array" ref="E72">INDEX(Data_DBD!$E:$E,$A72)</f>
        <v>0</v>
      </c>
      <c r="F72" s="30">
        <f ca="1" t="array" ref="F72">INDEX(Data_DBD!$F:$F,$A72)</f>
        <v>2</v>
      </c>
      <c r="H72" s="30">
        <v>62</v>
      </c>
      <c r="I72" s="30">
        <v>43</v>
      </c>
      <c r="J72" s="30">
        <v>4</v>
      </c>
      <c r="K72" s="30">
        <v>15</v>
      </c>
      <c r="L72" s="30">
        <v>1</v>
      </c>
      <c r="M72" s="30">
        <v>2</v>
      </c>
    </row>
    <row r="73" spans="1:13">
      <c r="A73" s="30">
        <f ca="1" t="shared" si="1"/>
        <v>124</v>
      </c>
      <c r="B73" s="30">
        <f ca="1" t="array" ref="B73">INDEX(Data_DBD!$B:$B,$A73)</f>
        <v>24</v>
      </c>
      <c r="C73" s="30">
        <f ca="1" t="array" ref="C73">INDEX(Data_DBD!$C:$C,$A73)</f>
        <v>3</v>
      </c>
      <c r="D73" s="30">
        <f ca="1" t="array" ref="D73">INDEX(Data_DBD!$D:$D,$A73)</f>
        <v>33</v>
      </c>
      <c r="E73" s="30">
        <f ca="1" t="array" ref="E73">INDEX(Data_DBD!$E:$E,$A73)</f>
        <v>1</v>
      </c>
      <c r="F73" s="30">
        <f ca="1" t="array" ref="F73">INDEX(Data_DBD!$F:$F,$A73)</f>
        <v>3</v>
      </c>
      <c r="H73" s="30">
        <v>62</v>
      </c>
      <c r="I73" s="30">
        <v>43</v>
      </c>
      <c r="J73" s="30">
        <v>4</v>
      </c>
      <c r="K73" s="30">
        <v>15</v>
      </c>
      <c r="L73" s="30">
        <v>1</v>
      </c>
      <c r="M73" s="30">
        <v>2</v>
      </c>
    </row>
    <row r="74" spans="1:13">
      <c r="A74" s="30">
        <f ca="1" t="shared" si="1"/>
        <v>38</v>
      </c>
      <c r="B74" s="30">
        <f ca="1" t="array" ref="B74">INDEX(Data_DBD!$B:$B,$A74)</f>
        <v>52</v>
      </c>
      <c r="C74" s="30">
        <f ca="1" t="array" ref="C74">INDEX(Data_DBD!$C:$C,$A74)</f>
        <v>3</v>
      </c>
      <c r="D74" s="30">
        <f ca="1" t="array" ref="D74">INDEX(Data_DBD!$D:$D,$A74)</f>
        <v>4</v>
      </c>
      <c r="E74" s="30">
        <f ca="1" t="array" ref="E74">INDEX(Data_DBD!$E:$E,$A74)</f>
        <v>1</v>
      </c>
      <c r="F74" s="30">
        <f ca="1" t="array" ref="F74">INDEX(Data_DBD!$F:$F,$A74)</f>
        <v>1</v>
      </c>
      <c r="H74" s="30">
        <v>42</v>
      </c>
      <c r="I74" s="30">
        <v>21</v>
      </c>
      <c r="J74" s="30">
        <v>5</v>
      </c>
      <c r="K74" s="30">
        <v>13</v>
      </c>
      <c r="L74" s="30">
        <v>1</v>
      </c>
      <c r="M74" s="30">
        <v>2</v>
      </c>
    </row>
    <row r="75" spans="1:13">
      <c r="A75" s="30">
        <f ca="1" t="shared" si="1"/>
        <v>139</v>
      </c>
      <c r="B75" s="30">
        <f ca="1" t="array" ref="B75">INDEX(Data_DBD!$B:$B,$A75)</f>
        <v>52</v>
      </c>
      <c r="C75" s="30">
        <f ca="1" t="array" ref="C75">INDEX(Data_DBD!$C:$C,$A75)</f>
        <v>7</v>
      </c>
      <c r="D75" s="30">
        <f ca="1" t="array" ref="D75">INDEX(Data_DBD!$D:$D,$A75)</f>
        <v>21</v>
      </c>
      <c r="E75" s="30">
        <f ca="1" t="array" ref="E75">INDEX(Data_DBD!$E:$E,$A75)</f>
        <v>0</v>
      </c>
      <c r="F75" s="30">
        <f ca="1" t="array" ref="F75">INDEX(Data_DBD!$F:$F,$A75)</f>
        <v>3</v>
      </c>
      <c r="H75" s="30">
        <v>159</v>
      </c>
      <c r="I75" s="30">
        <v>17</v>
      </c>
      <c r="J75" s="30">
        <v>2</v>
      </c>
      <c r="K75" s="30">
        <v>21</v>
      </c>
      <c r="L75" s="30">
        <v>0</v>
      </c>
      <c r="M75" s="30">
        <v>3</v>
      </c>
    </row>
    <row r="76" spans="1:13">
      <c r="A76" s="30">
        <f ca="1" t="shared" si="1"/>
        <v>158</v>
      </c>
      <c r="B76" s="30">
        <f ca="1" t="array" ref="B76">INDEX(Data_DBD!$B:$B,$A76)</f>
        <v>5</v>
      </c>
      <c r="C76" s="30">
        <f ca="1" t="array" ref="C76">INDEX(Data_DBD!$C:$C,$A76)</f>
        <v>2</v>
      </c>
      <c r="D76" s="30">
        <f ca="1" t="array" ref="D76">INDEX(Data_DBD!$D:$D,$A76)</f>
        <v>21</v>
      </c>
      <c r="E76" s="30">
        <f ca="1" t="array" ref="E76">INDEX(Data_DBD!$E:$E,$A76)</f>
        <v>0</v>
      </c>
      <c r="F76" s="30">
        <f ca="1" t="array" ref="F76">INDEX(Data_DBD!$F:$F,$A76)</f>
        <v>3</v>
      </c>
      <c r="H76" s="30">
        <v>82</v>
      </c>
      <c r="I76" s="30">
        <v>28</v>
      </c>
      <c r="J76" s="30">
        <v>3</v>
      </c>
      <c r="K76" s="30">
        <v>13</v>
      </c>
      <c r="L76" s="30">
        <v>1</v>
      </c>
      <c r="M76" s="30">
        <v>2</v>
      </c>
    </row>
    <row r="77" spans="1:13">
      <c r="A77" s="30">
        <f ca="1" t="shared" si="1"/>
        <v>155</v>
      </c>
      <c r="B77" s="30">
        <f ca="1" t="array" ref="B77">INDEX(Data_DBD!$B:$B,$A77)</f>
        <v>19</v>
      </c>
      <c r="C77" s="30">
        <f ca="1" t="array" ref="C77">INDEX(Data_DBD!$C:$C,$A77)</f>
        <v>5</v>
      </c>
      <c r="D77" s="30">
        <f ca="1" t="array" ref="D77">INDEX(Data_DBD!$D:$D,$A77)</f>
        <v>21</v>
      </c>
      <c r="E77" s="30">
        <f ca="1" t="array" ref="E77">INDEX(Data_DBD!$E:$E,$A77)</f>
        <v>1</v>
      </c>
      <c r="F77" s="30">
        <f ca="1" t="array" ref="F77">INDEX(Data_DBD!$F:$F,$A77)</f>
        <v>3</v>
      </c>
      <c r="H77" s="30">
        <v>156</v>
      </c>
      <c r="I77" s="30">
        <v>5</v>
      </c>
      <c r="J77" s="30">
        <v>2</v>
      </c>
      <c r="K77" s="30">
        <v>21</v>
      </c>
      <c r="L77" s="30">
        <v>0</v>
      </c>
      <c r="M77" s="30">
        <v>3</v>
      </c>
    </row>
    <row r="78" spans="1:13">
      <c r="A78" s="30">
        <f ca="1" t="shared" si="1"/>
        <v>95</v>
      </c>
      <c r="B78" s="30">
        <f ca="1" t="array" ref="B78">INDEX(Data_DBD!$B:$B,$A78)</f>
        <v>11</v>
      </c>
      <c r="C78" s="30">
        <f ca="1" t="array" ref="C78">INDEX(Data_DBD!$C:$C,$A78)</f>
        <v>3</v>
      </c>
      <c r="D78" s="30">
        <f ca="1" t="array" ref="D78">INDEX(Data_DBD!$D:$D,$A78)</f>
        <v>18</v>
      </c>
      <c r="E78" s="30">
        <f ca="1" t="array" ref="E78">INDEX(Data_DBD!$E:$E,$A78)</f>
        <v>1</v>
      </c>
      <c r="F78" s="30">
        <f ca="1" t="array" ref="F78">INDEX(Data_DBD!$F:$F,$A78)</f>
        <v>3</v>
      </c>
      <c r="H78" s="30">
        <v>159</v>
      </c>
      <c r="I78" s="30">
        <v>17</v>
      </c>
      <c r="J78" s="30">
        <v>2</v>
      </c>
      <c r="K78" s="30">
        <v>21</v>
      </c>
      <c r="L78" s="30">
        <v>0</v>
      </c>
      <c r="M78" s="30">
        <v>3</v>
      </c>
    </row>
    <row r="79" spans="1:13">
      <c r="A79" s="30">
        <f ca="1" t="shared" si="1"/>
        <v>30</v>
      </c>
      <c r="B79" s="30" t="str">
        <f ca="1" t="array" ref="B79">INDEX(Data_DBD!$B:$B,$A79)</f>
        <v>2,8</v>
      </c>
      <c r="C79" s="30">
        <f ca="1" t="array" ref="C79">INDEX(Data_DBD!$C:$C,$A79)</f>
        <v>2</v>
      </c>
      <c r="D79" s="30">
        <f ca="1" t="array" ref="D79">INDEX(Data_DBD!$D:$D,$A79)</f>
        <v>14</v>
      </c>
      <c r="E79" s="30">
        <f ca="1" t="array" ref="E79">INDEX(Data_DBD!$E:$E,$A79)</f>
        <v>1</v>
      </c>
      <c r="F79" s="30">
        <f ca="1" t="array" ref="F79">INDEX(Data_DBD!$F:$F,$A79)</f>
        <v>2</v>
      </c>
      <c r="H79" s="30">
        <v>92</v>
      </c>
      <c r="I79" s="30">
        <v>55</v>
      </c>
      <c r="J79" s="30">
        <v>7</v>
      </c>
      <c r="K79" s="30">
        <v>18</v>
      </c>
      <c r="L79" s="30">
        <v>0</v>
      </c>
      <c r="M79" s="30">
        <v>3</v>
      </c>
    </row>
    <row r="80" spans="1:13">
      <c r="A80" s="30">
        <f ca="1" t="shared" si="1"/>
        <v>44</v>
      </c>
      <c r="B80" s="30">
        <f ca="1" t="array" ref="B80">INDEX(Data_DBD!$B:$B,$A80)</f>
        <v>28</v>
      </c>
      <c r="C80" s="30">
        <f ca="1" t="array" ref="C80">INDEX(Data_DBD!$C:$C,$A80)</f>
        <v>5</v>
      </c>
      <c r="D80" s="30">
        <f ca="1" t="array" ref="D80">INDEX(Data_DBD!$D:$D,$A80)</f>
        <v>13</v>
      </c>
      <c r="E80" s="30">
        <f ca="1" t="array" ref="E80">INDEX(Data_DBD!$E:$E,$A80)</f>
        <v>1</v>
      </c>
      <c r="F80" s="30">
        <f ca="1" t="array" ref="F80">INDEX(Data_DBD!$F:$F,$A80)</f>
        <v>2</v>
      </c>
      <c r="H80" s="30">
        <v>164</v>
      </c>
      <c r="I80" s="30">
        <v>10</v>
      </c>
      <c r="J80" s="30">
        <v>6</v>
      </c>
      <c r="K80" s="30">
        <v>3</v>
      </c>
      <c r="L80" s="30">
        <v>0</v>
      </c>
      <c r="M80" s="30">
        <v>1</v>
      </c>
    </row>
    <row r="81" spans="1:13">
      <c r="A81" s="30">
        <f ca="1" t="shared" si="1"/>
        <v>11</v>
      </c>
      <c r="B81" s="30">
        <f ca="1" t="array" ref="B81">INDEX(Data_DBD!$B:$B,$A81)</f>
        <v>24</v>
      </c>
      <c r="C81" s="30">
        <f ca="1" t="array" ref="C81">INDEX(Data_DBD!$C:$C,$A81)</f>
        <v>5</v>
      </c>
      <c r="D81" s="30">
        <f ca="1" t="array" ref="D81">INDEX(Data_DBD!$D:$D,$A81)</f>
        <v>12</v>
      </c>
      <c r="E81" s="30">
        <f ca="1" t="array" ref="E81">INDEX(Data_DBD!$E:$E,$A81)</f>
        <v>1</v>
      </c>
      <c r="F81" s="30">
        <f ca="1" t="array" ref="F81">INDEX(Data_DBD!$F:$F,$A81)</f>
        <v>2</v>
      </c>
      <c r="H81" s="30">
        <v>87</v>
      </c>
      <c r="I81" s="30">
        <v>21</v>
      </c>
      <c r="J81" s="30">
        <v>3</v>
      </c>
      <c r="K81" s="30">
        <v>13</v>
      </c>
      <c r="L81" s="30">
        <v>0</v>
      </c>
      <c r="M81" s="30">
        <v>2</v>
      </c>
    </row>
    <row r="82" spans="1:13">
      <c r="A82" s="30">
        <f ca="1" t="shared" si="1"/>
        <v>100</v>
      </c>
      <c r="B82" s="30">
        <f ca="1" t="array" ref="B82">INDEX(Data_DBD!$B:$B,$A82)</f>
        <v>19</v>
      </c>
      <c r="C82" s="30">
        <f ca="1" t="array" ref="C82">INDEX(Data_DBD!$C:$C,$A82)</f>
        <v>6</v>
      </c>
      <c r="D82" s="30">
        <f ca="1" t="array" ref="D82">INDEX(Data_DBD!$D:$D,$A82)</f>
        <v>18</v>
      </c>
      <c r="E82" s="30">
        <f ca="1" t="array" ref="E82">INDEX(Data_DBD!$E:$E,$A82)</f>
        <v>0</v>
      </c>
      <c r="F82" s="30">
        <f ca="1" t="array" ref="F82">INDEX(Data_DBD!$F:$F,$A82)</f>
        <v>3</v>
      </c>
      <c r="H82" s="30">
        <v>160</v>
      </c>
      <c r="I82" s="30">
        <v>16</v>
      </c>
      <c r="J82" s="30">
        <v>3</v>
      </c>
      <c r="K82" s="30">
        <v>21</v>
      </c>
      <c r="L82" s="30">
        <v>0</v>
      </c>
      <c r="M82" s="30">
        <v>3</v>
      </c>
    </row>
    <row r="83" spans="1:13">
      <c r="A83" s="30">
        <f ca="1" t="shared" si="1"/>
        <v>5</v>
      </c>
      <c r="B83" s="30">
        <f ca="1" t="array" ref="B83">INDEX(Data_DBD!$B:$B,$A83)</f>
        <v>18</v>
      </c>
      <c r="C83" s="30">
        <f ca="1" t="array" ref="C83">INDEX(Data_DBD!$C:$C,$A83)</f>
        <v>2</v>
      </c>
      <c r="D83" s="30">
        <f ca="1" t="array" ref="D83">INDEX(Data_DBD!$D:$D,$A83)</f>
        <v>12</v>
      </c>
      <c r="E83" s="30">
        <f ca="1" t="array" ref="E83">INDEX(Data_DBD!$E:$E,$A83)</f>
        <v>1</v>
      </c>
      <c r="F83" s="30">
        <f ca="1" t="array" ref="F83">INDEX(Data_DBD!$F:$F,$A83)</f>
        <v>2</v>
      </c>
      <c r="H83" s="30">
        <v>128</v>
      </c>
      <c r="I83" s="30">
        <v>38</v>
      </c>
      <c r="J83" s="30">
        <v>2</v>
      </c>
      <c r="K83" s="30">
        <v>33</v>
      </c>
      <c r="L83" s="30">
        <v>0</v>
      </c>
      <c r="M83" s="30">
        <v>3</v>
      </c>
    </row>
    <row r="84" spans="1:13">
      <c r="A84" s="30">
        <f ca="1" t="shared" si="1"/>
        <v>82</v>
      </c>
      <c r="B84" s="30">
        <f ca="1" t="array" ref="B84">INDEX(Data_DBD!$B:$B,$A84)</f>
        <v>28</v>
      </c>
      <c r="C84" s="30">
        <f ca="1" t="array" ref="C84">INDEX(Data_DBD!$C:$C,$A84)</f>
        <v>3</v>
      </c>
      <c r="D84" s="30">
        <f ca="1" t="array" ref="D84">INDEX(Data_DBD!$D:$D,$A84)</f>
        <v>13</v>
      </c>
      <c r="E84" s="30">
        <f ca="1" t="array" ref="E84">INDEX(Data_DBD!$E:$E,$A84)</f>
        <v>1</v>
      </c>
      <c r="F84" s="30">
        <f ca="1" t="array" ref="F84">INDEX(Data_DBD!$F:$F,$A84)</f>
        <v>2</v>
      </c>
      <c r="H84" s="30">
        <v>55</v>
      </c>
      <c r="I84" s="30">
        <v>7</v>
      </c>
      <c r="J84" s="30">
        <v>4</v>
      </c>
      <c r="K84" s="30">
        <v>15</v>
      </c>
      <c r="L84" s="30">
        <v>1</v>
      </c>
      <c r="M84" s="30">
        <v>2</v>
      </c>
    </row>
    <row r="85" spans="1:13">
      <c r="A85" s="30">
        <f ca="1" t="shared" si="1"/>
        <v>113</v>
      </c>
      <c r="B85" s="30">
        <f ca="1" t="array" ref="B85">INDEX(Data_DBD!$B:$B,$A85)</f>
        <v>69</v>
      </c>
      <c r="C85" s="30">
        <f ca="1" t="array" ref="C85">INDEX(Data_DBD!$C:$C,$A85)</f>
        <v>1</v>
      </c>
      <c r="D85" s="30">
        <f ca="1" t="array" ref="D85">INDEX(Data_DBD!$D:$D,$A85)</f>
        <v>33</v>
      </c>
      <c r="E85" s="30">
        <f ca="1" t="array" ref="E85">INDEX(Data_DBD!$E:$E,$A85)</f>
        <v>1</v>
      </c>
      <c r="F85" s="30">
        <f ca="1" t="array" ref="F85">INDEX(Data_DBD!$F:$F,$A85)</f>
        <v>3</v>
      </c>
      <c r="H85" s="30">
        <v>132</v>
      </c>
      <c r="I85" s="30">
        <v>10</v>
      </c>
      <c r="J85" s="30">
        <v>3</v>
      </c>
      <c r="K85" s="30">
        <v>33</v>
      </c>
      <c r="L85" s="30">
        <v>1</v>
      </c>
      <c r="M85" s="30">
        <v>3</v>
      </c>
    </row>
    <row r="86" spans="1:13">
      <c r="A86" s="30">
        <f ca="1" t="shared" si="1"/>
        <v>72</v>
      </c>
      <c r="B86" s="30">
        <f ca="1" t="array" ref="B86">INDEX(Data_DBD!$B:$B,$A86)</f>
        <v>3</v>
      </c>
      <c r="C86" s="30">
        <f ca="1" t="array" ref="C86">INDEX(Data_DBD!$C:$C,$A86)</f>
        <v>5</v>
      </c>
      <c r="D86" s="30">
        <f ca="1" t="array" ref="D86">INDEX(Data_DBD!$D:$D,$A86)</f>
        <v>10</v>
      </c>
      <c r="E86" s="30">
        <f ca="1" t="array" ref="E86">INDEX(Data_DBD!$E:$E,$A86)</f>
        <v>1</v>
      </c>
      <c r="F86" s="30">
        <f ca="1" t="array" ref="F86">INDEX(Data_DBD!$F:$F,$A86)</f>
        <v>2</v>
      </c>
      <c r="H86" s="30">
        <v>70</v>
      </c>
      <c r="I86" s="30">
        <v>26</v>
      </c>
      <c r="J86" s="30">
        <v>3</v>
      </c>
      <c r="K86" s="30">
        <v>10</v>
      </c>
      <c r="L86" s="30">
        <v>1</v>
      </c>
      <c r="M86" s="30">
        <v>2</v>
      </c>
    </row>
    <row r="87" spans="1:13">
      <c r="A87" s="30">
        <f ca="1" t="shared" si="1"/>
        <v>58</v>
      </c>
      <c r="B87" s="30">
        <f ca="1" t="array" ref="B87">INDEX(Data_DBD!$B:$B,$A87)</f>
        <v>17</v>
      </c>
      <c r="C87" s="30">
        <f ca="1" t="array" ref="C87">INDEX(Data_DBD!$C:$C,$A87)</f>
        <v>3</v>
      </c>
      <c r="D87" s="30">
        <f ca="1" t="array" ref="D87">INDEX(Data_DBD!$D:$D,$A87)</f>
        <v>15</v>
      </c>
      <c r="E87" s="30">
        <f ca="1" t="array" ref="E87">INDEX(Data_DBD!$E:$E,$A87)</f>
        <v>0</v>
      </c>
      <c r="F87" s="30">
        <f ca="1" t="array" ref="F87">INDEX(Data_DBD!$F:$F,$A87)</f>
        <v>2</v>
      </c>
      <c r="H87" s="30">
        <v>141</v>
      </c>
      <c r="I87" s="30">
        <v>36</v>
      </c>
      <c r="J87" s="30">
        <v>2</v>
      </c>
      <c r="K87" s="30">
        <v>21</v>
      </c>
      <c r="L87" s="30">
        <v>0</v>
      </c>
      <c r="M87" s="30">
        <v>3</v>
      </c>
    </row>
    <row r="88" spans="1:13">
      <c r="A88" s="30">
        <f ca="1" t="shared" si="1"/>
        <v>155</v>
      </c>
      <c r="B88" s="30">
        <f ca="1" t="array" ref="B88">INDEX(Data_DBD!$B:$B,$A88)</f>
        <v>19</v>
      </c>
      <c r="C88" s="30">
        <f ca="1" t="array" ref="C88">INDEX(Data_DBD!$C:$C,$A88)</f>
        <v>5</v>
      </c>
      <c r="D88" s="30">
        <f ca="1" t="array" ref="D88">INDEX(Data_DBD!$D:$D,$A88)</f>
        <v>21</v>
      </c>
      <c r="E88" s="30">
        <f ca="1" t="array" ref="E88">INDEX(Data_DBD!$E:$E,$A88)</f>
        <v>1</v>
      </c>
      <c r="F88" s="30">
        <f ca="1" t="array" ref="F88">INDEX(Data_DBD!$F:$F,$A88)</f>
        <v>3</v>
      </c>
      <c r="H88" s="30">
        <v>55</v>
      </c>
      <c r="I88" s="30">
        <v>7</v>
      </c>
      <c r="J88" s="30">
        <v>4</v>
      </c>
      <c r="K88" s="30">
        <v>15</v>
      </c>
      <c r="L88" s="30">
        <v>1</v>
      </c>
      <c r="M88" s="30">
        <v>2</v>
      </c>
    </row>
    <row r="89" spans="1:13">
      <c r="A89" s="30">
        <f ca="1" t="shared" si="1"/>
        <v>133</v>
      </c>
      <c r="B89" s="30">
        <f ca="1" t="array" ref="B89">INDEX(Data_DBD!$B:$B,$A89)</f>
        <v>6</v>
      </c>
      <c r="C89" s="30">
        <f ca="1" t="array" ref="C89">INDEX(Data_DBD!$C:$C,$A89)</f>
        <v>4</v>
      </c>
      <c r="D89" s="30">
        <f ca="1" t="array" ref="D89">INDEX(Data_DBD!$D:$D,$A89)</f>
        <v>33</v>
      </c>
      <c r="E89" s="30">
        <f ca="1" t="array" ref="E89">INDEX(Data_DBD!$E:$E,$A89)</f>
        <v>0</v>
      </c>
      <c r="F89" s="30">
        <f ca="1" t="array" ref="F89">INDEX(Data_DBD!$F:$F,$A89)</f>
        <v>3</v>
      </c>
      <c r="H89" s="30">
        <v>7</v>
      </c>
      <c r="I89" s="30">
        <v>12</v>
      </c>
      <c r="J89" s="30">
        <v>1</v>
      </c>
      <c r="K89" s="30">
        <v>12</v>
      </c>
      <c r="L89" s="30">
        <v>1</v>
      </c>
      <c r="M89" s="30">
        <v>2</v>
      </c>
    </row>
    <row r="90" spans="1:13">
      <c r="A90" s="30">
        <f ca="1" t="shared" si="1"/>
        <v>36</v>
      </c>
      <c r="B90" s="30">
        <f ca="1" t="array" ref="B90">INDEX(Data_DBD!$B:$B,$A90)</f>
        <v>27</v>
      </c>
      <c r="C90" s="30">
        <f ca="1" t="array" ref="C90">INDEX(Data_DBD!$C:$C,$A90)</f>
        <v>1</v>
      </c>
      <c r="D90" s="30">
        <f ca="1" t="array" ref="D90">INDEX(Data_DBD!$D:$D,$A90)</f>
        <v>4</v>
      </c>
      <c r="E90" s="30">
        <f ca="1" t="array" ref="E90">INDEX(Data_DBD!$E:$E,$A90)</f>
        <v>1</v>
      </c>
      <c r="F90" s="30">
        <f ca="1" t="array" ref="F90">INDEX(Data_DBD!$F:$F,$A90)</f>
        <v>1</v>
      </c>
      <c r="H90" s="30">
        <v>138</v>
      </c>
      <c r="I90" s="30">
        <v>13</v>
      </c>
      <c r="J90" s="30">
        <v>3</v>
      </c>
      <c r="K90" s="30">
        <v>33</v>
      </c>
      <c r="L90" s="30">
        <v>1</v>
      </c>
      <c r="M90" s="30">
        <v>3</v>
      </c>
    </row>
    <row r="91" spans="1:13">
      <c r="A91" s="30">
        <f ca="1" t="shared" si="1"/>
        <v>44</v>
      </c>
      <c r="B91" s="30">
        <f ca="1" t="array" ref="B91">INDEX(Data_DBD!$B:$B,$A91)</f>
        <v>28</v>
      </c>
      <c r="C91" s="30">
        <f ca="1" t="array" ref="C91">INDEX(Data_DBD!$C:$C,$A91)</f>
        <v>5</v>
      </c>
      <c r="D91" s="30">
        <f ca="1" t="array" ref="D91">INDEX(Data_DBD!$D:$D,$A91)</f>
        <v>13</v>
      </c>
      <c r="E91" s="30">
        <f ca="1" t="array" ref="E91">INDEX(Data_DBD!$E:$E,$A91)</f>
        <v>1</v>
      </c>
      <c r="F91" s="30">
        <f ca="1" t="array" ref="F91">INDEX(Data_DBD!$F:$F,$A91)</f>
        <v>2</v>
      </c>
      <c r="H91" s="30">
        <v>39</v>
      </c>
      <c r="I91" s="30">
        <v>12</v>
      </c>
      <c r="J91" s="30">
        <v>5</v>
      </c>
      <c r="K91" s="30">
        <v>13</v>
      </c>
      <c r="L91" s="30">
        <v>1</v>
      </c>
      <c r="M91" s="30">
        <v>2</v>
      </c>
    </row>
    <row r="92" spans="1:13">
      <c r="A92" s="30">
        <f ca="1" t="shared" si="1"/>
        <v>71</v>
      </c>
      <c r="B92" s="30">
        <f ca="1" t="array" ref="B92">INDEX(Data_DBD!$B:$B,$A92)</f>
        <v>84</v>
      </c>
      <c r="C92" s="30">
        <f ca="1" t="array" ref="C92">INDEX(Data_DBD!$C:$C,$A92)</f>
        <v>3</v>
      </c>
      <c r="D92" s="30">
        <f ca="1" t="array" ref="D92">INDEX(Data_DBD!$D:$D,$A92)</f>
        <v>10</v>
      </c>
      <c r="E92" s="30">
        <f ca="1" t="array" ref="E92">INDEX(Data_DBD!$E:$E,$A92)</f>
        <v>0</v>
      </c>
      <c r="F92" s="30">
        <f ca="1" t="array" ref="F92">INDEX(Data_DBD!$F:$F,$A92)</f>
        <v>2</v>
      </c>
      <c r="H92" s="30">
        <v>100</v>
      </c>
      <c r="I92" s="30">
        <v>19</v>
      </c>
      <c r="J92" s="30">
        <v>6</v>
      </c>
      <c r="K92" s="30">
        <v>18</v>
      </c>
      <c r="L92" s="30">
        <v>0</v>
      </c>
      <c r="M92" s="30">
        <v>3</v>
      </c>
    </row>
    <row r="93" spans="1:13">
      <c r="A93" s="30">
        <f ca="1" t="shared" si="1"/>
        <v>93</v>
      </c>
      <c r="B93" s="30">
        <f ca="1" t="array" ref="B93">INDEX(Data_DBD!$B:$B,$A93)</f>
        <v>65</v>
      </c>
      <c r="C93" s="30">
        <f ca="1" t="array" ref="C93">INDEX(Data_DBD!$C:$C,$A93)</f>
        <v>4</v>
      </c>
      <c r="D93" s="30">
        <f ca="1" t="array" ref="D93">INDEX(Data_DBD!$D:$D,$A93)</f>
        <v>18</v>
      </c>
      <c r="E93" s="30">
        <f ca="1" t="array" ref="E93">INDEX(Data_DBD!$E:$E,$A93)</f>
        <v>0</v>
      </c>
      <c r="F93" s="30">
        <f ca="1" t="array" ref="F93">INDEX(Data_DBD!$F:$F,$A93)</f>
        <v>3</v>
      </c>
      <c r="H93" s="30">
        <v>156</v>
      </c>
      <c r="I93" s="30">
        <v>5</v>
      </c>
      <c r="J93" s="30">
        <v>2</v>
      </c>
      <c r="K93" s="30">
        <v>21</v>
      </c>
      <c r="L93" s="30">
        <v>0</v>
      </c>
      <c r="M93" s="30">
        <v>3</v>
      </c>
    </row>
    <row r="94" spans="1:13">
      <c r="A94" s="30">
        <f ca="1" t="shared" si="1"/>
        <v>133</v>
      </c>
      <c r="B94" s="30">
        <f ca="1" t="array" ref="B94">INDEX(Data_DBD!$B:$B,$A94)</f>
        <v>6</v>
      </c>
      <c r="C94" s="30">
        <f ca="1" t="array" ref="C94">INDEX(Data_DBD!$C:$C,$A94)</f>
        <v>4</v>
      </c>
      <c r="D94" s="30">
        <f ca="1" t="array" ref="D94">INDEX(Data_DBD!$D:$D,$A94)</f>
        <v>33</v>
      </c>
      <c r="E94" s="30">
        <f ca="1" t="array" ref="E94">INDEX(Data_DBD!$E:$E,$A94)</f>
        <v>0</v>
      </c>
      <c r="F94" s="30">
        <f ca="1" t="array" ref="F94">INDEX(Data_DBD!$F:$F,$A94)</f>
        <v>3</v>
      </c>
      <c r="H94" s="30">
        <v>159</v>
      </c>
      <c r="I94" s="30">
        <v>17</v>
      </c>
      <c r="J94" s="30">
        <v>2</v>
      </c>
      <c r="K94" s="30">
        <v>21</v>
      </c>
      <c r="L94" s="30">
        <v>0</v>
      </c>
      <c r="M94" s="30">
        <v>3</v>
      </c>
    </row>
    <row r="95" spans="1:13">
      <c r="A95" s="30">
        <f ca="1" t="shared" si="1"/>
        <v>36</v>
      </c>
      <c r="B95" s="30">
        <f ca="1" t="array" ref="B95">INDEX(Data_DBD!$B:$B,$A95)</f>
        <v>27</v>
      </c>
      <c r="C95" s="30">
        <f ca="1" t="array" ref="C95">INDEX(Data_DBD!$C:$C,$A95)</f>
        <v>1</v>
      </c>
      <c r="D95" s="30">
        <f ca="1" t="array" ref="D95">INDEX(Data_DBD!$D:$D,$A95)</f>
        <v>4</v>
      </c>
      <c r="E95" s="30">
        <f ca="1" t="array" ref="E95">INDEX(Data_DBD!$E:$E,$A95)</f>
        <v>1</v>
      </c>
      <c r="F95" s="30">
        <f ca="1" t="array" ref="F95">INDEX(Data_DBD!$F:$F,$A95)</f>
        <v>1</v>
      </c>
      <c r="H95" s="30">
        <v>164</v>
      </c>
      <c r="I95" s="30">
        <v>10</v>
      </c>
      <c r="J95" s="30">
        <v>6</v>
      </c>
      <c r="K95" s="30">
        <v>3</v>
      </c>
      <c r="L95" s="30">
        <v>0</v>
      </c>
      <c r="M95" s="30">
        <v>1</v>
      </c>
    </row>
    <row r="96" spans="1:13">
      <c r="A96" s="30">
        <f ca="1" t="shared" si="1"/>
        <v>44</v>
      </c>
      <c r="B96" s="30">
        <f ca="1" t="array" ref="B96">INDEX(Data_DBD!$B:$B,$A96)</f>
        <v>28</v>
      </c>
      <c r="C96" s="30">
        <f ca="1" t="array" ref="C96">INDEX(Data_DBD!$C:$C,$A96)</f>
        <v>5</v>
      </c>
      <c r="D96" s="30">
        <f ca="1" t="array" ref="D96">INDEX(Data_DBD!$D:$D,$A96)</f>
        <v>13</v>
      </c>
      <c r="E96" s="30">
        <f ca="1" t="array" ref="E96">INDEX(Data_DBD!$E:$E,$A96)</f>
        <v>1</v>
      </c>
      <c r="F96" s="30">
        <f ca="1" t="array" ref="F96">INDEX(Data_DBD!$F:$F,$A96)</f>
        <v>2</v>
      </c>
      <c r="H96" s="30">
        <v>33</v>
      </c>
      <c r="I96" s="30">
        <v>19</v>
      </c>
      <c r="J96" s="30">
        <v>4</v>
      </c>
      <c r="K96" s="30">
        <v>14</v>
      </c>
      <c r="L96" s="30">
        <v>1</v>
      </c>
      <c r="M96" s="30">
        <v>2</v>
      </c>
    </row>
    <row r="97" spans="1:13">
      <c r="A97" s="30">
        <f ca="1" t="shared" si="1"/>
        <v>64</v>
      </c>
      <c r="B97" s="30">
        <f ca="1" t="array" ref="B97">INDEX(Data_DBD!$B:$B,$A97)</f>
        <v>35</v>
      </c>
      <c r="C97" s="30">
        <f ca="1" t="array" ref="C97">INDEX(Data_DBD!$C:$C,$A97)</f>
        <v>1</v>
      </c>
      <c r="D97" s="30">
        <f ca="1" t="array" ref="D97">INDEX(Data_DBD!$D:$D,$A97)</f>
        <v>15</v>
      </c>
      <c r="E97" s="30">
        <f ca="1" t="array" ref="E97">INDEX(Data_DBD!$E:$E,$A97)</f>
        <v>0</v>
      </c>
      <c r="F97" s="30">
        <f ca="1" t="array" ref="F97">INDEX(Data_DBD!$F:$F,$A97)</f>
        <v>2</v>
      </c>
      <c r="H97" s="30">
        <v>41</v>
      </c>
      <c r="I97" s="30">
        <v>8</v>
      </c>
      <c r="J97" s="30">
        <v>4</v>
      </c>
      <c r="K97" s="30">
        <v>13</v>
      </c>
      <c r="L97" s="30">
        <v>0</v>
      </c>
      <c r="M97" s="30">
        <v>2</v>
      </c>
    </row>
    <row r="98" spans="1:13">
      <c r="A98" s="30">
        <f ca="1" t="shared" si="1"/>
        <v>30</v>
      </c>
      <c r="B98" s="30" t="str">
        <f ca="1" t="array" ref="B98">INDEX(Data_DBD!$B:$B,$A98)</f>
        <v>2,8</v>
      </c>
      <c r="C98" s="30">
        <f ca="1" t="array" ref="C98">INDEX(Data_DBD!$C:$C,$A98)</f>
        <v>2</v>
      </c>
      <c r="D98" s="30">
        <f ca="1" t="array" ref="D98">INDEX(Data_DBD!$D:$D,$A98)</f>
        <v>14</v>
      </c>
      <c r="E98" s="30">
        <f ca="1" t="array" ref="E98">INDEX(Data_DBD!$E:$E,$A98)</f>
        <v>1</v>
      </c>
      <c r="F98" s="30">
        <f ca="1" t="array" ref="F98">INDEX(Data_DBD!$F:$F,$A98)</f>
        <v>2</v>
      </c>
      <c r="H98" s="30">
        <v>50</v>
      </c>
      <c r="I98" s="30">
        <v>19</v>
      </c>
      <c r="J98" s="30">
        <v>5</v>
      </c>
      <c r="K98" s="30">
        <v>13</v>
      </c>
      <c r="L98" s="30">
        <v>0</v>
      </c>
      <c r="M98" s="30">
        <v>2</v>
      </c>
    </row>
    <row r="99" spans="1:13">
      <c r="A99" s="30">
        <f ca="1" t="shared" si="1"/>
        <v>57</v>
      </c>
      <c r="B99" s="30">
        <f ca="1" t="array" ref="B99">INDEX(Data_DBD!$B:$B,$A99)</f>
        <v>2</v>
      </c>
      <c r="C99" s="30">
        <f ca="1" t="array" ref="C99">INDEX(Data_DBD!$C:$C,$A99)</f>
        <v>2</v>
      </c>
      <c r="D99" s="30">
        <f ca="1" t="array" ref="D99">INDEX(Data_DBD!$D:$D,$A99)</f>
        <v>15</v>
      </c>
      <c r="E99" s="30">
        <f ca="1" t="array" ref="E99">INDEX(Data_DBD!$E:$E,$A99)</f>
        <v>1</v>
      </c>
      <c r="F99" s="30">
        <f ca="1" t="array" ref="F99">INDEX(Data_DBD!$F:$F,$A99)</f>
        <v>2</v>
      </c>
      <c r="H99" s="30">
        <v>74</v>
      </c>
      <c r="I99" s="30">
        <v>9</v>
      </c>
      <c r="J99" s="30">
        <v>4</v>
      </c>
      <c r="K99" s="30">
        <v>10</v>
      </c>
      <c r="L99" s="30">
        <v>0</v>
      </c>
      <c r="M99" s="30">
        <v>2</v>
      </c>
    </row>
    <row r="100" spans="1:13">
      <c r="A100" s="30">
        <f ca="1" t="shared" si="1"/>
        <v>30</v>
      </c>
      <c r="B100" s="30" t="str">
        <f ca="1" t="array" ref="B100">INDEX(Data_DBD!$B:$B,$A100)</f>
        <v>2,8</v>
      </c>
      <c r="C100" s="30">
        <f ca="1" t="array" ref="C100">INDEX(Data_DBD!$C:$C,$A100)</f>
        <v>2</v>
      </c>
      <c r="D100" s="30">
        <f ca="1" t="array" ref="D100">INDEX(Data_DBD!$D:$D,$A100)</f>
        <v>14</v>
      </c>
      <c r="E100" s="30">
        <f ca="1" t="array" ref="E100">INDEX(Data_DBD!$E:$E,$A100)</f>
        <v>1</v>
      </c>
      <c r="F100" s="30">
        <f ca="1" t="array" ref="F100">INDEX(Data_DBD!$F:$F,$A100)</f>
        <v>2</v>
      </c>
      <c r="H100" s="30">
        <v>35</v>
      </c>
      <c r="I100" s="30">
        <v>40</v>
      </c>
      <c r="J100" s="30">
        <v>3</v>
      </c>
      <c r="K100" s="30">
        <v>4</v>
      </c>
      <c r="L100" s="30">
        <v>1</v>
      </c>
      <c r="M100" s="30">
        <v>1</v>
      </c>
    </row>
    <row r="101" spans="1:13">
      <c r="A101" s="30">
        <f ca="1" t="shared" si="1"/>
        <v>30</v>
      </c>
      <c r="B101" s="30" t="str">
        <f ca="1" t="array" ref="B101">INDEX(Data_DBD!$B:$B,$A101)</f>
        <v>2,8</v>
      </c>
      <c r="C101" s="30">
        <f ca="1" t="array" ref="C101">INDEX(Data_DBD!$C:$C,$A101)</f>
        <v>2</v>
      </c>
      <c r="D101" s="30">
        <f ca="1" t="array" ref="D101">INDEX(Data_DBD!$D:$D,$A101)</f>
        <v>14</v>
      </c>
      <c r="E101" s="30">
        <f ca="1" t="array" ref="E101">INDEX(Data_DBD!$E:$E,$A101)</f>
        <v>1</v>
      </c>
      <c r="F101" s="30">
        <f ca="1" t="array" ref="F101">INDEX(Data_DBD!$F:$F,$A101)</f>
        <v>2</v>
      </c>
      <c r="H101" s="30">
        <v>42</v>
      </c>
      <c r="I101" s="30">
        <v>21</v>
      </c>
      <c r="J101" s="30">
        <v>5</v>
      </c>
      <c r="K101" s="30">
        <v>13</v>
      </c>
      <c r="L101" s="30">
        <v>1</v>
      </c>
      <c r="M101" s="30">
        <v>2</v>
      </c>
    </row>
    <row r="102" spans="1:13">
      <c r="A102" s="30">
        <f ca="1" t="shared" si="1"/>
        <v>92</v>
      </c>
      <c r="B102" s="30">
        <f ca="1" t="array" ref="B102">INDEX(Data_DBD!$B:$B,$A102)</f>
        <v>55</v>
      </c>
      <c r="C102" s="30">
        <f ca="1" t="array" ref="C102">INDEX(Data_DBD!$C:$C,$A102)</f>
        <v>7</v>
      </c>
      <c r="D102" s="30">
        <f ca="1" t="array" ref="D102">INDEX(Data_DBD!$D:$D,$A102)</f>
        <v>18</v>
      </c>
      <c r="E102" s="30">
        <f ca="1" t="array" ref="E102">INDEX(Data_DBD!$E:$E,$A102)</f>
        <v>0</v>
      </c>
      <c r="F102" s="30">
        <f ca="1" t="array" ref="F102">INDEX(Data_DBD!$F:$F,$A102)</f>
        <v>3</v>
      </c>
      <c r="H102" s="30">
        <v>133</v>
      </c>
      <c r="I102" s="30">
        <v>6</v>
      </c>
      <c r="J102" s="30">
        <v>4</v>
      </c>
      <c r="K102" s="30">
        <v>33</v>
      </c>
      <c r="L102" s="30">
        <v>0</v>
      </c>
      <c r="M102" s="30">
        <v>3</v>
      </c>
    </row>
    <row r="103" spans="1:13">
      <c r="A103" s="30">
        <f ca="1" t="shared" si="1"/>
        <v>27</v>
      </c>
      <c r="B103" s="30">
        <f ca="1" t="array" ref="B103">INDEX(Data_DBD!$B:$B,$A103)</f>
        <v>37</v>
      </c>
      <c r="C103" s="30">
        <f ca="1" t="array" ref="C103">INDEX(Data_DBD!$C:$C,$A103)</f>
        <v>4</v>
      </c>
      <c r="D103" s="30">
        <f ca="1" t="array" ref="D103">INDEX(Data_DBD!$D:$D,$A103)</f>
        <v>14</v>
      </c>
      <c r="E103" s="30">
        <f ca="1" t="array" ref="E103">INDEX(Data_DBD!$E:$E,$A103)</f>
        <v>1</v>
      </c>
      <c r="F103" s="30">
        <f ca="1" t="array" ref="F103">INDEX(Data_DBD!$F:$F,$A103)</f>
        <v>2</v>
      </c>
      <c r="H103" s="30">
        <v>153</v>
      </c>
      <c r="I103" s="30">
        <v>73</v>
      </c>
      <c r="J103" s="30">
        <v>7</v>
      </c>
      <c r="K103" s="30">
        <v>21</v>
      </c>
      <c r="L103" s="30">
        <v>1</v>
      </c>
      <c r="M103" s="30">
        <v>3</v>
      </c>
    </row>
    <row r="104" spans="1:13">
      <c r="A104" s="30">
        <f ca="1" t="shared" si="1"/>
        <v>96</v>
      </c>
      <c r="B104" s="30">
        <f ca="1" t="array" ref="B104">INDEX(Data_DBD!$B:$B,$A104)</f>
        <v>56</v>
      </c>
      <c r="C104" s="30">
        <f ca="1" t="array" ref="C104">INDEX(Data_DBD!$C:$C,$A104)</f>
        <v>4</v>
      </c>
      <c r="D104" s="30">
        <f ca="1" t="array" ref="D104">INDEX(Data_DBD!$D:$D,$A104)</f>
        <v>18</v>
      </c>
      <c r="E104" s="30">
        <f ca="1" t="array" ref="E104">INDEX(Data_DBD!$E:$E,$A104)</f>
        <v>0</v>
      </c>
      <c r="F104" s="30">
        <f ca="1" t="array" ref="F104">INDEX(Data_DBD!$F:$F,$A104)</f>
        <v>3</v>
      </c>
      <c r="H104" s="30">
        <v>108</v>
      </c>
      <c r="I104" s="30">
        <v>69</v>
      </c>
      <c r="J104" s="30">
        <v>7</v>
      </c>
      <c r="K104" s="30">
        <v>33</v>
      </c>
      <c r="L104" s="30">
        <v>1</v>
      </c>
      <c r="M104" s="30">
        <v>3</v>
      </c>
    </row>
    <row r="105" spans="1:13">
      <c r="A105" s="30">
        <f ca="1" t="shared" si="1"/>
        <v>36</v>
      </c>
      <c r="B105" s="30">
        <f ca="1" t="array" ref="B105">INDEX(Data_DBD!$B:$B,$A105)</f>
        <v>27</v>
      </c>
      <c r="C105" s="30">
        <f ca="1" t="array" ref="C105">INDEX(Data_DBD!$C:$C,$A105)</f>
        <v>1</v>
      </c>
      <c r="D105" s="30">
        <f ca="1" t="array" ref="D105">INDEX(Data_DBD!$D:$D,$A105)</f>
        <v>4</v>
      </c>
      <c r="E105" s="30">
        <f ca="1" t="array" ref="E105">INDEX(Data_DBD!$E:$E,$A105)</f>
        <v>1</v>
      </c>
      <c r="F105" s="30">
        <f ca="1" t="array" ref="F105">INDEX(Data_DBD!$F:$F,$A105)</f>
        <v>1</v>
      </c>
      <c r="H105" s="30">
        <v>24</v>
      </c>
      <c r="I105" s="30">
        <v>60</v>
      </c>
      <c r="J105" s="30">
        <v>4</v>
      </c>
      <c r="K105" s="30">
        <v>14</v>
      </c>
      <c r="L105" s="30">
        <v>0</v>
      </c>
      <c r="M105" s="30">
        <v>2</v>
      </c>
    </row>
    <row r="106" spans="1:13">
      <c r="A106" s="30">
        <f ca="1" t="shared" si="1"/>
        <v>89</v>
      </c>
      <c r="B106" s="30">
        <f ca="1" t="array" ref="B106">INDEX(Data_DBD!$B:$B,$A106)</f>
        <v>32</v>
      </c>
      <c r="C106" s="30">
        <f ca="1" t="array" ref="C106">INDEX(Data_DBD!$C:$C,$A106)</f>
        <v>4</v>
      </c>
      <c r="D106" s="30">
        <f ca="1" t="array" ref="D106">INDEX(Data_DBD!$D:$D,$A106)</f>
        <v>13</v>
      </c>
      <c r="E106" s="30">
        <f ca="1" t="array" ref="E106">INDEX(Data_DBD!$E:$E,$A106)</f>
        <v>0</v>
      </c>
      <c r="F106" s="30">
        <f ca="1" t="array" ref="F106">INDEX(Data_DBD!$F:$F,$A106)</f>
        <v>2</v>
      </c>
      <c r="H106" s="30">
        <v>49</v>
      </c>
      <c r="I106" s="30">
        <v>64</v>
      </c>
      <c r="J106" s="30">
        <v>5</v>
      </c>
      <c r="K106" s="30">
        <v>13</v>
      </c>
      <c r="L106" s="30">
        <v>0</v>
      </c>
      <c r="M106" s="30">
        <v>2</v>
      </c>
    </row>
    <row r="107" spans="1:13">
      <c r="A107" s="30">
        <f ca="1" t="shared" si="1"/>
        <v>130</v>
      </c>
      <c r="B107" s="30">
        <f ca="1" t="array" ref="B107">INDEX(Data_DBD!$B:$B,$A107)</f>
        <v>12</v>
      </c>
      <c r="C107" s="30">
        <f ca="1" t="array" ref="C107">INDEX(Data_DBD!$C:$C,$A107)</f>
        <v>4</v>
      </c>
      <c r="D107" s="30">
        <f ca="1" t="array" ref="D107">INDEX(Data_DBD!$D:$D,$A107)</f>
        <v>33</v>
      </c>
      <c r="E107" s="30">
        <f ca="1" t="array" ref="E107">INDEX(Data_DBD!$E:$E,$A107)</f>
        <v>0</v>
      </c>
      <c r="F107" s="30">
        <f ca="1" t="array" ref="F107">INDEX(Data_DBD!$F:$F,$A107)</f>
        <v>3</v>
      </c>
      <c r="H107" s="30">
        <v>37</v>
      </c>
      <c r="I107" s="30">
        <v>28</v>
      </c>
      <c r="J107" s="30">
        <v>4</v>
      </c>
      <c r="K107" s="30">
        <v>4</v>
      </c>
      <c r="L107" s="30">
        <v>1</v>
      </c>
      <c r="M107" s="30">
        <v>1</v>
      </c>
    </row>
    <row r="108" spans="1:13">
      <c r="A108" s="30">
        <f ca="1" t="shared" si="1"/>
        <v>130</v>
      </c>
      <c r="B108" s="30">
        <f ca="1" t="array" ref="B108">INDEX(Data_DBD!$B:$B,$A108)</f>
        <v>12</v>
      </c>
      <c r="C108" s="30">
        <f ca="1" t="array" ref="C108">INDEX(Data_DBD!$C:$C,$A108)</f>
        <v>4</v>
      </c>
      <c r="D108" s="30">
        <f ca="1" t="array" ref="D108">INDEX(Data_DBD!$D:$D,$A108)</f>
        <v>33</v>
      </c>
      <c r="E108" s="30">
        <f ca="1" t="array" ref="E108">INDEX(Data_DBD!$E:$E,$A108)</f>
        <v>0</v>
      </c>
      <c r="F108" s="30">
        <f ca="1" t="array" ref="F108">INDEX(Data_DBD!$F:$F,$A108)</f>
        <v>3</v>
      </c>
      <c r="H108" s="30">
        <v>135</v>
      </c>
      <c r="I108" s="30">
        <v>10</v>
      </c>
      <c r="J108" s="30">
        <v>2</v>
      </c>
      <c r="K108" s="30">
        <v>33</v>
      </c>
      <c r="L108" s="30">
        <v>0</v>
      </c>
      <c r="M108" s="30">
        <v>3</v>
      </c>
    </row>
    <row r="109" spans="1:13">
      <c r="A109" s="30">
        <f ca="1" t="shared" si="1"/>
        <v>38</v>
      </c>
      <c r="B109" s="30">
        <f ca="1" t="array" ref="B109">INDEX(Data_DBD!$B:$B,$A109)</f>
        <v>52</v>
      </c>
      <c r="C109" s="30">
        <f ca="1" t="array" ref="C109">INDEX(Data_DBD!$C:$C,$A109)</f>
        <v>3</v>
      </c>
      <c r="D109" s="30">
        <f ca="1" t="array" ref="D109">INDEX(Data_DBD!$D:$D,$A109)</f>
        <v>4</v>
      </c>
      <c r="E109" s="30">
        <f ca="1" t="array" ref="E109">INDEX(Data_DBD!$E:$E,$A109)</f>
        <v>1</v>
      </c>
      <c r="F109" s="30">
        <f ca="1" t="array" ref="F109">INDEX(Data_DBD!$F:$F,$A109)</f>
        <v>1</v>
      </c>
      <c r="H109" s="30">
        <v>119</v>
      </c>
      <c r="I109" s="30">
        <v>30</v>
      </c>
      <c r="J109" s="30">
        <v>7</v>
      </c>
      <c r="K109" s="30">
        <v>33</v>
      </c>
      <c r="L109" s="30">
        <v>0</v>
      </c>
      <c r="M109" s="30">
        <v>3</v>
      </c>
    </row>
    <row r="110" spans="1:13">
      <c r="A110" s="30">
        <f ca="1" t="shared" si="1"/>
        <v>150</v>
      </c>
      <c r="B110" s="30">
        <f ca="1" t="array" ref="B110">INDEX(Data_DBD!$B:$B,$A110)</f>
        <v>61</v>
      </c>
      <c r="C110" s="30">
        <f ca="1" t="array" ref="C110">INDEX(Data_DBD!$C:$C,$A110)</f>
        <v>5</v>
      </c>
      <c r="D110" s="30">
        <f ca="1" t="array" ref="D110">INDEX(Data_DBD!$D:$D,$A110)</f>
        <v>21</v>
      </c>
      <c r="E110" s="30">
        <f ca="1" t="array" ref="E110">INDEX(Data_DBD!$E:$E,$A110)</f>
        <v>1</v>
      </c>
      <c r="F110" s="30">
        <f ca="1" t="array" ref="F110">INDEX(Data_DBD!$F:$F,$A110)</f>
        <v>3</v>
      </c>
      <c r="H110" s="30">
        <v>99</v>
      </c>
      <c r="I110" s="30">
        <v>4</v>
      </c>
      <c r="J110" s="30">
        <v>2</v>
      </c>
      <c r="K110" s="30">
        <v>18</v>
      </c>
      <c r="L110" s="30">
        <v>1</v>
      </c>
      <c r="M110" s="30">
        <v>3</v>
      </c>
    </row>
    <row r="111" spans="1:13">
      <c r="A111" s="30">
        <f ca="1" t="shared" si="1"/>
        <v>104</v>
      </c>
      <c r="B111" s="30">
        <f ca="1" t="array" ref="B111">INDEX(Data_DBD!$B:$B,$A111)</f>
        <v>37</v>
      </c>
      <c r="C111" s="30">
        <f ca="1" t="array" ref="C111">INDEX(Data_DBD!$C:$C,$A111)</f>
        <v>4</v>
      </c>
      <c r="D111" s="30">
        <f ca="1" t="array" ref="D111">INDEX(Data_DBD!$D:$D,$A111)</f>
        <v>18</v>
      </c>
      <c r="E111" s="30">
        <f ca="1" t="array" ref="E111">INDEX(Data_DBD!$E:$E,$A111)</f>
        <v>1</v>
      </c>
      <c r="F111" s="30">
        <f ca="1" t="array" ref="F111">INDEX(Data_DBD!$F:$F,$A111)</f>
        <v>3</v>
      </c>
      <c r="H111" s="30">
        <v>94</v>
      </c>
      <c r="I111" s="30">
        <v>12</v>
      </c>
      <c r="J111" s="30">
        <v>4</v>
      </c>
      <c r="K111" s="30">
        <v>18</v>
      </c>
      <c r="L111" s="30">
        <v>0</v>
      </c>
      <c r="M111" s="30">
        <v>3</v>
      </c>
    </row>
    <row r="112" spans="1:13">
      <c r="A112" s="30">
        <f ca="1" t="shared" si="1"/>
        <v>67</v>
      </c>
      <c r="B112" s="30">
        <f ca="1" t="array" ref="B112">INDEX(Data_DBD!$B:$B,$A112)</f>
        <v>21</v>
      </c>
      <c r="C112" s="30">
        <f ca="1" t="array" ref="C112">INDEX(Data_DBD!$C:$C,$A112)</f>
        <v>3</v>
      </c>
      <c r="D112" s="30">
        <f ca="1" t="array" ref="D112">INDEX(Data_DBD!$D:$D,$A112)</f>
        <v>10</v>
      </c>
      <c r="E112" s="30">
        <f ca="1" t="array" ref="E112">INDEX(Data_DBD!$E:$E,$A112)</f>
        <v>1</v>
      </c>
      <c r="F112" s="30">
        <f ca="1" t="array" ref="F112">INDEX(Data_DBD!$F:$F,$A112)</f>
        <v>2</v>
      </c>
      <c r="H112" s="30">
        <v>109</v>
      </c>
      <c r="I112" s="30">
        <v>40</v>
      </c>
      <c r="J112" s="30">
        <v>3</v>
      </c>
      <c r="K112" s="30">
        <v>33</v>
      </c>
      <c r="L112" s="30">
        <v>1</v>
      </c>
      <c r="M112" s="30">
        <v>3</v>
      </c>
    </row>
    <row r="113" spans="1:13">
      <c r="A113" s="30">
        <f ca="1" t="shared" si="1"/>
        <v>45</v>
      </c>
      <c r="B113" s="30">
        <f ca="1" t="array" ref="B113">INDEX(Data_DBD!$B:$B,$A113)</f>
        <v>75</v>
      </c>
      <c r="C113" s="30">
        <f ca="1" t="array" ref="C113">INDEX(Data_DBD!$C:$C,$A113)</f>
        <v>3</v>
      </c>
      <c r="D113" s="30">
        <f ca="1" t="array" ref="D113">INDEX(Data_DBD!$D:$D,$A113)</f>
        <v>13</v>
      </c>
      <c r="E113" s="30">
        <f ca="1" t="array" ref="E113">INDEX(Data_DBD!$E:$E,$A113)</f>
        <v>1</v>
      </c>
      <c r="F113" s="30">
        <f ca="1" t="array" ref="F113">INDEX(Data_DBD!$F:$F,$A113)</f>
        <v>2</v>
      </c>
      <c r="H113" s="30">
        <v>162</v>
      </c>
      <c r="I113" s="30">
        <v>22</v>
      </c>
      <c r="J113" s="30">
        <v>3</v>
      </c>
      <c r="K113" s="30">
        <v>3</v>
      </c>
      <c r="L113" s="30">
        <v>1</v>
      </c>
      <c r="M113" s="30">
        <v>1</v>
      </c>
    </row>
    <row r="114" spans="1:13">
      <c r="A114" s="30">
        <f ca="1" t="shared" si="1"/>
        <v>64</v>
      </c>
      <c r="B114" s="30">
        <f ca="1" t="array" ref="B114">INDEX(Data_DBD!$B:$B,$A114)</f>
        <v>35</v>
      </c>
      <c r="C114" s="30">
        <f ca="1" t="array" ref="C114">INDEX(Data_DBD!$C:$C,$A114)</f>
        <v>1</v>
      </c>
      <c r="D114" s="30">
        <f ca="1" t="array" ref="D114">INDEX(Data_DBD!$D:$D,$A114)</f>
        <v>15</v>
      </c>
      <c r="E114" s="30">
        <f ca="1" t="array" ref="E114">INDEX(Data_DBD!$E:$E,$A114)</f>
        <v>0</v>
      </c>
      <c r="F114" s="30">
        <f ca="1" t="array" ref="F114">INDEX(Data_DBD!$F:$F,$A114)</f>
        <v>2</v>
      </c>
      <c r="H114" s="30">
        <v>36</v>
      </c>
      <c r="I114" s="30">
        <v>27</v>
      </c>
      <c r="J114" s="30">
        <v>1</v>
      </c>
      <c r="K114" s="30">
        <v>4</v>
      </c>
      <c r="L114" s="30">
        <v>1</v>
      </c>
      <c r="M114" s="30">
        <v>1</v>
      </c>
    </row>
    <row r="115" spans="1:13">
      <c r="A115" s="30">
        <f ca="1" t="shared" si="1"/>
        <v>92</v>
      </c>
      <c r="B115" s="30">
        <f ca="1" t="array" ref="B115">INDEX(Data_DBD!$B:$B,$A115)</f>
        <v>55</v>
      </c>
      <c r="C115" s="30">
        <f ca="1" t="array" ref="C115">INDEX(Data_DBD!$C:$C,$A115)</f>
        <v>7</v>
      </c>
      <c r="D115" s="30">
        <f ca="1" t="array" ref="D115">INDEX(Data_DBD!$D:$D,$A115)</f>
        <v>18</v>
      </c>
      <c r="E115" s="30">
        <f ca="1" t="array" ref="E115">INDEX(Data_DBD!$E:$E,$A115)</f>
        <v>0</v>
      </c>
      <c r="F115" s="30">
        <f ca="1" t="array" ref="F115">INDEX(Data_DBD!$F:$F,$A115)</f>
        <v>3</v>
      </c>
      <c r="H115" s="30">
        <v>85</v>
      </c>
      <c r="I115" s="30">
        <v>27</v>
      </c>
      <c r="J115" s="30">
        <v>9</v>
      </c>
      <c r="K115" s="30">
        <v>13</v>
      </c>
      <c r="L115" s="30">
        <v>0</v>
      </c>
      <c r="M115" s="30">
        <v>2</v>
      </c>
    </row>
    <row r="116" spans="1:13">
      <c r="A116" s="30">
        <f ca="1" t="shared" si="1"/>
        <v>41</v>
      </c>
      <c r="B116" s="30">
        <f ca="1" t="array" ref="B116">INDEX(Data_DBD!$B:$B,$A116)</f>
        <v>8</v>
      </c>
      <c r="C116" s="30">
        <f ca="1" t="array" ref="C116">INDEX(Data_DBD!$C:$C,$A116)</f>
        <v>4</v>
      </c>
      <c r="D116" s="30">
        <f ca="1" t="array" ref="D116">INDEX(Data_DBD!$D:$D,$A116)</f>
        <v>13</v>
      </c>
      <c r="E116" s="30">
        <f ca="1" t="array" ref="E116">INDEX(Data_DBD!$E:$E,$A116)</f>
        <v>0</v>
      </c>
      <c r="F116" s="30">
        <f ca="1" t="array" ref="F116">INDEX(Data_DBD!$F:$F,$A116)</f>
        <v>2</v>
      </c>
      <c r="H116" s="30">
        <v>138</v>
      </c>
      <c r="I116" s="30">
        <v>13</v>
      </c>
      <c r="J116" s="30">
        <v>3</v>
      </c>
      <c r="K116" s="30">
        <v>33</v>
      </c>
      <c r="L116" s="30">
        <v>1</v>
      </c>
      <c r="M116" s="30">
        <v>3</v>
      </c>
    </row>
    <row r="117" spans="1:13">
      <c r="A117" s="30">
        <f ca="1" t="shared" si="1"/>
        <v>130</v>
      </c>
      <c r="B117" s="30">
        <f ca="1" t="array" ref="B117">INDEX(Data_DBD!$B:$B,$A117)</f>
        <v>12</v>
      </c>
      <c r="C117" s="30">
        <f ca="1" t="array" ref="C117">INDEX(Data_DBD!$C:$C,$A117)</f>
        <v>4</v>
      </c>
      <c r="D117" s="30">
        <f ca="1" t="array" ref="D117">INDEX(Data_DBD!$D:$D,$A117)</f>
        <v>33</v>
      </c>
      <c r="E117" s="30">
        <f ca="1" t="array" ref="E117">INDEX(Data_DBD!$E:$E,$A117)</f>
        <v>0</v>
      </c>
      <c r="F117" s="30">
        <f ca="1" t="array" ref="F117">INDEX(Data_DBD!$F:$F,$A117)</f>
        <v>3</v>
      </c>
      <c r="H117" s="30">
        <v>148</v>
      </c>
      <c r="I117" s="30">
        <v>55</v>
      </c>
      <c r="J117" s="30">
        <v>3</v>
      </c>
      <c r="K117" s="30">
        <v>21</v>
      </c>
      <c r="L117" s="30">
        <v>1</v>
      </c>
      <c r="M117" s="30">
        <v>3</v>
      </c>
    </row>
    <row r="118" spans="1:13">
      <c r="A118" s="30">
        <f ca="1" t="shared" si="1"/>
        <v>92</v>
      </c>
      <c r="B118" s="30">
        <f ca="1" t="array" ref="B118">INDEX(Data_DBD!$B:$B,$A118)</f>
        <v>55</v>
      </c>
      <c r="C118" s="30">
        <f ca="1" t="array" ref="C118">INDEX(Data_DBD!$C:$C,$A118)</f>
        <v>7</v>
      </c>
      <c r="D118" s="30">
        <f ca="1" t="array" ref="D118">INDEX(Data_DBD!$D:$D,$A118)</f>
        <v>18</v>
      </c>
      <c r="E118" s="30">
        <f ca="1" t="array" ref="E118">INDEX(Data_DBD!$E:$E,$A118)</f>
        <v>0</v>
      </c>
      <c r="F118" s="30">
        <f ca="1" t="array" ref="F118">INDEX(Data_DBD!$F:$F,$A118)</f>
        <v>3</v>
      </c>
      <c r="H118" s="30">
        <v>112</v>
      </c>
      <c r="I118" s="30">
        <v>61</v>
      </c>
      <c r="J118" s="30">
        <v>3</v>
      </c>
      <c r="K118" s="30">
        <v>33</v>
      </c>
      <c r="L118" s="30">
        <v>1</v>
      </c>
      <c r="M118" s="30">
        <v>3</v>
      </c>
    </row>
    <row r="119" spans="1:13">
      <c r="A119" s="30">
        <f ca="1" t="shared" si="1"/>
        <v>146</v>
      </c>
      <c r="B119" s="30">
        <f ca="1" t="array" ref="B119">INDEX(Data_DBD!$B:$B,$A119)</f>
        <v>34</v>
      </c>
      <c r="C119" s="30">
        <f ca="1" t="array" ref="C119">INDEX(Data_DBD!$C:$C,$A119)</f>
        <v>2</v>
      </c>
      <c r="D119" s="30">
        <f ca="1" t="array" ref="D119">INDEX(Data_DBD!$D:$D,$A119)</f>
        <v>21</v>
      </c>
      <c r="E119" s="30">
        <f ca="1" t="array" ref="E119">INDEX(Data_DBD!$E:$E,$A119)</f>
        <v>1</v>
      </c>
      <c r="F119" s="30">
        <f ca="1" t="array" ref="F119">INDEX(Data_DBD!$F:$F,$A119)</f>
        <v>3</v>
      </c>
      <c r="H119" s="30">
        <v>141</v>
      </c>
      <c r="I119" s="30">
        <v>36</v>
      </c>
      <c r="J119" s="30">
        <v>2</v>
      </c>
      <c r="K119" s="30">
        <v>21</v>
      </c>
      <c r="L119" s="30">
        <v>0</v>
      </c>
      <c r="M119" s="30">
        <v>3</v>
      </c>
    </row>
    <row r="120" spans="1:13">
      <c r="A120" s="30">
        <f ca="1" t="shared" si="1"/>
        <v>55</v>
      </c>
      <c r="B120" s="30">
        <f ca="1" t="array" ref="B120">INDEX(Data_DBD!$B:$B,$A120)</f>
        <v>7</v>
      </c>
      <c r="C120" s="30">
        <f ca="1" t="array" ref="C120">INDEX(Data_DBD!$C:$C,$A120)</f>
        <v>4</v>
      </c>
      <c r="D120" s="30">
        <f ca="1" t="array" ref="D120">INDEX(Data_DBD!$D:$D,$A120)</f>
        <v>15</v>
      </c>
      <c r="E120" s="30">
        <f ca="1" t="array" ref="E120">INDEX(Data_DBD!$E:$E,$A120)</f>
        <v>1</v>
      </c>
      <c r="F120" s="30">
        <f ca="1" t="array" ref="F120">INDEX(Data_DBD!$F:$F,$A120)</f>
        <v>2</v>
      </c>
      <c r="H120" s="30">
        <v>128</v>
      </c>
      <c r="I120" s="30">
        <v>38</v>
      </c>
      <c r="J120" s="30">
        <v>2</v>
      </c>
      <c r="K120" s="30">
        <v>33</v>
      </c>
      <c r="L120" s="30">
        <v>0</v>
      </c>
      <c r="M120" s="30">
        <v>3</v>
      </c>
    </row>
    <row r="121" spans="1:13">
      <c r="A121" s="30">
        <f ca="1" t="shared" si="1"/>
        <v>130</v>
      </c>
      <c r="B121" s="30">
        <f ca="1" t="array" ref="B121">INDEX(Data_DBD!$B:$B,$A121)</f>
        <v>12</v>
      </c>
      <c r="C121" s="30">
        <f ca="1" t="array" ref="C121">INDEX(Data_DBD!$C:$C,$A121)</f>
        <v>4</v>
      </c>
      <c r="D121" s="30">
        <f ca="1" t="array" ref="D121">INDEX(Data_DBD!$D:$D,$A121)</f>
        <v>33</v>
      </c>
      <c r="E121" s="30">
        <f ca="1" t="array" ref="E121">INDEX(Data_DBD!$E:$E,$A121)</f>
        <v>0</v>
      </c>
      <c r="F121" s="30">
        <f ca="1" t="array" ref="F121">INDEX(Data_DBD!$F:$F,$A121)</f>
        <v>3</v>
      </c>
      <c r="H121" s="30">
        <v>67</v>
      </c>
      <c r="I121" s="30">
        <v>21</v>
      </c>
      <c r="J121" s="30">
        <v>3</v>
      </c>
      <c r="K121" s="30">
        <v>10</v>
      </c>
      <c r="L121" s="30">
        <v>1</v>
      </c>
      <c r="M121" s="30">
        <v>2</v>
      </c>
    </row>
    <row r="122" spans="1:13">
      <c r="A122" s="30">
        <f ca="1" t="shared" si="1"/>
        <v>90</v>
      </c>
      <c r="B122" s="30">
        <f ca="1" t="array" ref="B122">INDEX(Data_DBD!$B:$B,$A122)</f>
        <v>47</v>
      </c>
      <c r="C122" s="30">
        <f ca="1" t="array" ref="C122">INDEX(Data_DBD!$C:$C,$A122)</f>
        <v>3</v>
      </c>
      <c r="D122" s="30">
        <f ca="1" t="array" ref="D122">INDEX(Data_DBD!$D:$D,$A122)</f>
        <v>18</v>
      </c>
      <c r="E122" s="30">
        <f ca="1" t="array" ref="E122">INDEX(Data_DBD!$E:$E,$A122)</f>
        <v>0</v>
      </c>
      <c r="F122" s="30">
        <f ca="1" t="array" ref="F122">INDEX(Data_DBD!$F:$F,$A122)</f>
        <v>3</v>
      </c>
      <c r="H122" s="30">
        <v>146</v>
      </c>
      <c r="I122" s="30">
        <v>34</v>
      </c>
      <c r="J122" s="30">
        <v>2</v>
      </c>
      <c r="K122" s="30">
        <v>21</v>
      </c>
      <c r="L122" s="30">
        <v>1</v>
      </c>
      <c r="M122" s="30">
        <v>3</v>
      </c>
    </row>
    <row r="123" spans="1:13">
      <c r="A123" s="30">
        <f ca="1" t="shared" si="1"/>
        <v>30</v>
      </c>
      <c r="B123" s="30" t="str">
        <f ca="1" t="array" ref="B123">INDEX(Data_DBD!$B:$B,$A123)</f>
        <v>2,8</v>
      </c>
      <c r="C123" s="30">
        <f ca="1" t="array" ref="C123">INDEX(Data_DBD!$C:$C,$A123)</f>
        <v>2</v>
      </c>
      <c r="D123" s="30">
        <f ca="1" t="array" ref="D123">INDEX(Data_DBD!$D:$D,$A123)</f>
        <v>14</v>
      </c>
      <c r="E123" s="30">
        <f ca="1" t="array" ref="E123">INDEX(Data_DBD!$E:$E,$A123)</f>
        <v>1</v>
      </c>
      <c r="F123" s="30">
        <f ca="1" t="array" ref="F123">INDEX(Data_DBD!$F:$F,$A123)</f>
        <v>2</v>
      </c>
      <c r="H123" s="30">
        <v>157</v>
      </c>
      <c r="I123" s="30">
        <v>15</v>
      </c>
      <c r="J123" s="30">
        <v>4</v>
      </c>
      <c r="K123" s="30">
        <v>21</v>
      </c>
      <c r="L123" s="30">
        <v>1</v>
      </c>
      <c r="M123" s="30">
        <v>3</v>
      </c>
    </row>
    <row r="124" spans="1:13">
      <c r="A124" s="30">
        <f ca="1" t="shared" si="1"/>
        <v>69</v>
      </c>
      <c r="B124" s="30">
        <f ca="1" t="array" ref="B124">INDEX(Data_DBD!$B:$B,$A124)</f>
        <v>24</v>
      </c>
      <c r="C124" s="30">
        <f ca="1" t="array" ref="C124">INDEX(Data_DBD!$C:$C,$A124)</f>
        <v>4</v>
      </c>
      <c r="D124" s="30">
        <f ca="1" t="array" ref="D124">INDEX(Data_DBD!$D:$D,$A124)</f>
        <v>10</v>
      </c>
      <c r="E124" s="30">
        <f ca="1" t="array" ref="E124">INDEX(Data_DBD!$E:$E,$A124)</f>
        <v>1</v>
      </c>
      <c r="F124" s="30">
        <f ca="1" t="array" ref="F124">INDEX(Data_DBD!$F:$F,$A124)</f>
        <v>2</v>
      </c>
      <c r="H124" s="30">
        <v>148</v>
      </c>
      <c r="I124" s="30">
        <v>55</v>
      </c>
      <c r="J124" s="30">
        <v>3</v>
      </c>
      <c r="K124" s="30">
        <v>21</v>
      </c>
      <c r="L124" s="30">
        <v>1</v>
      </c>
      <c r="M124" s="30">
        <v>3</v>
      </c>
    </row>
    <row r="125" spans="1:13">
      <c r="A125" s="30">
        <f ca="1" t="shared" si="1"/>
        <v>113</v>
      </c>
      <c r="B125" s="30">
        <f ca="1" t="array" ref="B125">INDEX(Data_DBD!$B:$B,$A125)</f>
        <v>69</v>
      </c>
      <c r="C125" s="30">
        <f ca="1" t="array" ref="C125">INDEX(Data_DBD!$C:$C,$A125)</f>
        <v>1</v>
      </c>
      <c r="D125" s="30">
        <f ca="1" t="array" ref="D125">INDEX(Data_DBD!$D:$D,$A125)</f>
        <v>33</v>
      </c>
      <c r="E125" s="30">
        <f ca="1" t="array" ref="E125">INDEX(Data_DBD!$E:$E,$A125)</f>
        <v>1</v>
      </c>
      <c r="F125" s="30">
        <f ca="1" t="array" ref="F125">INDEX(Data_DBD!$F:$F,$A125)</f>
        <v>3</v>
      </c>
      <c r="H125" s="30">
        <v>159</v>
      </c>
      <c r="I125" s="30">
        <v>17</v>
      </c>
      <c r="J125" s="30">
        <v>2</v>
      </c>
      <c r="K125" s="30">
        <v>21</v>
      </c>
      <c r="L125" s="30">
        <v>0</v>
      </c>
      <c r="M125" s="30">
        <v>3</v>
      </c>
    </row>
    <row r="126" spans="1:13">
      <c r="A126" s="30">
        <f ca="1" t="shared" si="1"/>
        <v>55</v>
      </c>
      <c r="B126" s="30">
        <f ca="1" t="array" ref="B126">INDEX(Data_DBD!$B:$B,$A126)</f>
        <v>7</v>
      </c>
      <c r="C126" s="30">
        <f ca="1" t="array" ref="C126">INDEX(Data_DBD!$C:$C,$A126)</f>
        <v>4</v>
      </c>
      <c r="D126" s="30">
        <f ca="1" t="array" ref="D126">INDEX(Data_DBD!$D:$D,$A126)</f>
        <v>15</v>
      </c>
      <c r="E126" s="30">
        <f ca="1" t="array" ref="E126">INDEX(Data_DBD!$E:$E,$A126)</f>
        <v>1</v>
      </c>
      <c r="F126" s="30">
        <f ca="1" t="array" ref="F126">INDEX(Data_DBD!$F:$F,$A126)</f>
        <v>2</v>
      </c>
      <c r="H126" s="30">
        <v>64</v>
      </c>
      <c r="I126" s="30">
        <v>35</v>
      </c>
      <c r="J126" s="30">
        <v>1</v>
      </c>
      <c r="K126" s="30">
        <v>15</v>
      </c>
      <c r="L126" s="30">
        <v>0</v>
      </c>
      <c r="M126" s="30">
        <v>2</v>
      </c>
    </row>
    <row r="127" spans="1:13">
      <c r="A127" s="30">
        <f ca="1" t="shared" si="1"/>
        <v>61</v>
      </c>
      <c r="B127" s="30">
        <f ca="1" t="array" ref="B127">INDEX(Data_DBD!$B:$B,$A127)</f>
        <v>29</v>
      </c>
      <c r="C127" s="30">
        <f ca="1" t="array" ref="C127">INDEX(Data_DBD!$C:$C,$A127)</f>
        <v>3</v>
      </c>
      <c r="D127" s="30">
        <f ca="1" t="array" ref="D127">INDEX(Data_DBD!$D:$D,$A127)</f>
        <v>15</v>
      </c>
      <c r="E127" s="30">
        <f ca="1" t="array" ref="E127">INDEX(Data_DBD!$E:$E,$A127)</f>
        <v>1</v>
      </c>
      <c r="F127" s="30">
        <f ca="1" t="array" ref="F127">INDEX(Data_DBD!$F:$F,$A127)</f>
        <v>2</v>
      </c>
      <c r="H127" s="30">
        <v>143</v>
      </c>
      <c r="I127" s="30">
        <v>20</v>
      </c>
      <c r="J127" s="30">
        <v>4</v>
      </c>
      <c r="K127" s="30">
        <v>21</v>
      </c>
      <c r="L127" s="30">
        <v>1</v>
      </c>
      <c r="M127" s="30">
        <v>3</v>
      </c>
    </row>
    <row r="128" spans="1:13">
      <c r="A128" s="30">
        <f ca="1" t="shared" si="1"/>
        <v>127</v>
      </c>
      <c r="B128" s="30">
        <f ca="1" t="array" ref="B128">INDEX(Data_DBD!$B:$B,$A128)</f>
        <v>21</v>
      </c>
      <c r="C128" s="30">
        <f ca="1" t="array" ref="C128">INDEX(Data_DBD!$C:$C,$A128)</f>
        <v>2</v>
      </c>
      <c r="D128" s="30">
        <f ca="1" t="array" ref="D128">INDEX(Data_DBD!$D:$D,$A128)</f>
        <v>33</v>
      </c>
      <c r="E128" s="30">
        <f ca="1" t="array" ref="E128">INDEX(Data_DBD!$E:$E,$A128)</f>
        <v>0</v>
      </c>
      <c r="F128" s="30">
        <f ca="1" t="array" ref="F128">INDEX(Data_DBD!$F:$F,$A128)</f>
        <v>3</v>
      </c>
      <c r="H128" s="30">
        <v>71</v>
      </c>
      <c r="I128" s="30">
        <v>84</v>
      </c>
      <c r="J128" s="30">
        <v>3</v>
      </c>
      <c r="K128" s="30">
        <v>10</v>
      </c>
      <c r="L128" s="30">
        <v>0</v>
      </c>
      <c r="M128" s="30">
        <v>2</v>
      </c>
    </row>
    <row r="129" spans="1:13">
      <c r="A129" s="30">
        <f ca="1" t="shared" si="1"/>
        <v>142</v>
      </c>
      <c r="B129" s="30">
        <f ca="1" t="array" ref="B129">INDEX(Data_DBD!$B:$B,$A129)</f>
        <v>39</v>
      </c>
      <c r="C129" s="30">
        <f ca="1" t="array" ref="C129">INDEX(Data_DBD!$C:$C,$A129)</f>
        <v>2</v>
      </c>
      <c r="D129" s="30">
        <f ca="1" t="array" ref="D129">INDEX(Data_DBD!$D:$D,$A129)</f>
        <v>21</v>
      </c>
      <c r="E129" s="30">
        <f ca="1" t="array" ref="E129">INDEX(Data_DBD!$E:$E,$A129)</f>
        <v>1</v>
      </c>
      <c r="F129" s="30">
        <f ca="1" t="array" ref="F129">INDEX(Data_DBD!$F:$F,$A129)</f>
        <v>3</v>
      </c>
      <c r="H129" s="30">
        <v>65</v>
      </c>
      <c r="I129" s="30">
        <v>49</v>
      </c>
      <c r="J129" s="30">
        <v>3</v>
      </c>
      <c r="K129" s="30">
        <v>15</v>
      </c>
      <c r="L129" s="30">
        <v>0</v>
      </c>
      <c r="M129" s="30">
        <v>2</v>
      </c>
    </row>
    <row r="130" spans="1:13">
      <c r="A130" s="30">
        <f ca="1" t="shared" si="1"/>
        <v>24</v>
      </c>
      <c r="B130" s="30">
        <f ca="1" t="array" ref="B130">INDEX(Data_DBD!$B:$B,$A130)</f>
        <v>60</v>
      </c>
      <c r="C130" s="30">
        <f ca="1" t="array" ref="C130">INDEX(Data_DBD!$C:$C,$A130)</f>
        <v>4</v>
      </c>
      <c r="D130" s="30">
        <f ca="1" t="array" ref="D130">INDEX(Data_DBD!$D:$D,$A130)</f>
        <v>14</v>
      </c>
      <c r="E130" s="30">
        <f ca="1" t="array" ref="E130">INDEX(Data_DBD!$E:$E,$A130)</f>
        <v>0</v>
      </c>
      <c r="F130" s="30">
        <f ca="1" t="array" ref="F130">INDEX(Data_DBD!$F:$F,$A130)</f>
        <v>2</v>
      </c>
      <c r="H130" s="30">
        <v>145</v>
      </c>
      <c r="I130" s="30">
        <v>28</v>
      </c>
      <c r="J130" s="30">
        <v>4</v>
      </c>
      <c r="K130" s="30">
        <v>21</v>
      </c>
      <c r="L130" s="30">
        <v>1</v>
      </c>
      <c r="M130" s="30">
        <v>3</v>
      </c>
    </row>
    <row r="131" spans="1:13">
      <c r="A131" s="30">
        <f ca="1" t="shared" ref="A131:A164" si="2">RANDBETWEEN(2,164)</f>
        <v>26</v>
      </c>
      <c r="B131" s="30">
        <f ca="1" t="array" ref="B131">INDEX(Data_DBD!$B:$B,$A131)</f>
        <v>75</v>
      </c>
      <c r="C131" s="30">
        <f ca="1" t="array" ref="C131">INDEX(Data_DBD!$C:$C,$A131)</f>
        <v>4</v>
      </c>
      <c r="D131" s="30">
        <f ca="1" t="array" ref="D131">INDEX(Data_DBD!$D:$D,$A131)</f>
        <v>14</v>
      </c>
      <c r="E131" s="30">
        <f ca="1" t="array" ref="E131">INDEX(Data_DBD!$E:$E,$A131)</f>
        <v>1</v>
      </c>
      <c r="F131" s="30">
        <f ca="1" t="array" ref="F131">INDEX(Data_DBD!$F:$F,$A131)</f>
        <v>2</v>
      </c>
      <c r="H131" s="30">
        <v>36</v>
      </c>
      <c r="I131" s="30">
        <v>27</v>
      </c>
      <c r="J131" s="30">
        <v>1</v>
      </c>
      <c r="K131" s="30">
        <v>4</v>
      </c>
      <c r="L131" s="30">
        <v>1</v>
      </c>
      <c r="M131" s="30">
        <v>1</v>
      </c>
    </row>
    <row r="132" spans="1:13">
      <c r="A132" s="30">
        <f ca="1" t="shared" si="2"/>
        <v>45</v>
      </c>
      <c r="B132" s="30">
        <f ca="1" t="array" ref="B132">INDEX(Data_DBD!$B:$B,$A132)</f>
        <v>75</v>
      </c>
      <c r="C132" s="30">
        <f ca="1" t="array" ref="C132">INDEX(Data_DBD!$C:$C,$A132)</f>
        <v>3</v>
      </c>
      <c r="D132" s="30">
        <f ca="1" t="array" ref="D132">INDEX(Data_DBD!$D:$D,$A132)</f>
        <v>13</v>
      </c>
      <c r="E132" s="30">
        <f ca="1" t="array" ref="E132">INDEX(Data_DBD!$E:$E,$A132)</f>
        <v>1</v>
      </c>
      <c r="F132" s="30">
        <f ca="1" t="array" ref="F132">INDEX(Data_DBD!$F:$F,$A132)</f>
        <v>2</v>
      </c>
      <c r="H132" s="30">
        <v>90</v>
      </c>
      <c r="I132" s="30">
        <v>47</v>
      </c>
      <c r="J132" s="30">
        <v>3</v>
      </c>
      <c r="K132" s="30">
        <v>18</v>
      </c>
      <c r="L132" s="30">
        <v>0</v>
      </c>
      <c r="M132" s="30">
        <v>3</v>
      </c>
    </row>
    <row r="133" spans="1:13">
      <c r="A133" s="30">
        <f ca="1" t="shared" si="2"/>
        <v>36</v>
      </c>
      <c r="B133" s="30">
        <f ca="1" t="array" ref="B133">INDEX(Data_DBD!$B:$B,$A133)</f>
        <v>27</v>
      </c>
      <c r="C133" s="30">
        <f ca="1" t="array" ref="C133">INDEX(Data_DBD!$C:$C,$A133)</f>
        <v>1</v>
      </c>
      <c r="D133" s="30">
        <f ca="1" t="array" ref="D133">INDEX(Data_DBD!$D:$D,$A133)</f>
        <v>4</v>
      </c>
      <c r="E133" s="30">
        <f ca="1" t="array" ref="E133">INDEX(Data_DBD!$E:$E,$A133)</f>
        <v>1</v>
      </c>
      <c r="F133" s="30">
        <f ca="1" t="array" ref="F133">INDEX(Data_DBD!$F:$F,$A133)</f>
        <v>1</v>
      </c>
      <c r="H133" s="30">
        <v>81</v>
      </c>
      <c r="I133" s="30">
        <v>23</v>
      </c>
      <c r="J133" s="30">
        <v>5</v>
      </c>
      <c r="K133" s="30">
        <v>13</v>
      </c>
      <c r="L133" s="30">
        <v>1</v>
      </c>
      <c r="M133" s="30">
        <v>2</v>
      </c>
    </row>
    <row r="134" spans="1:13">
      <c r="A134" s="30">
        <f ca="1" t="shared" si="2"/>
        <v>38</v>
      </c>
      <c r="B134" s="30">
        <f ca="1" t="array" ref="B134">INDEX(Data_DBD!$B:$B,$A134)</f>
        <v>52</v>
      </c>
      <c r="C134" s="30">
        <f ca="1" t="array" ref="C134">INDEX(Data_DBD!$C:$C,$A134)</f>
        <v>3</v>
      </c>
      <c r="D134" s="30">
        <f ca="1" t="array" ref="D134">INDEX(Data_DBD!$D:$D,$A134)</f>
        <v>4</v>
      </c>
      <c r="E134" s="30">
        <f ca="1" t="array" ref="E134">INDEX(Data_DBD!$E:$E,$A134)</f>
        <v>1</v>
      </c>
      <c r="F134" s="30">
        <f ca="1" t="array" ref="F134">INDEX(Data_DBD!$F:$F,$A134)</f>
        <v>1</v>
      </c>
      <c r="H134" s="30">
        <v>25</v>
      </c>
      <c r="I134" s="30">
        <v>81</v>
      </c>
      <c r="J134" s="30">
        <v>5</v>
      </c>
      <c r="K134" s="30">
        <v>14</v>
      </c>
      <c r="L134" s="30">
        <v>0</v>
      </c>
      <c r="M134" s="30">
        <v>2</v>
      </c>
    </row>
    <row r="135" spans="1:13">
      <c r="A135" s="30">
        <f ca="1" t="shared" si="2"/>
        <v>99</v>
      </c>
      <c r="B135" s="30">
        <f ca="1" t="array" ref="B135">INDEX(Data_DBD!$B:$B,$A135)</f>
        <v>4</v>
      </c>
      <c r="C135" s="30">
        <f ca="1" t="array" ref="C135">INDEX(Data_DBD!$C:$C,$A135)</f>
        <v>2</v>
      </c>
      <c r="D135" s="30">
        <f ca="1" t="array" ref="D135">INDEX(Data_DBD!$D:$D,$A135)</f>
        <v>18</v>
      </c>
      <c r="E135" s="30">
        <f ca="1" t="array" ref="E135">INDEX(Data_DBD!$E:$E,$A135)</f>
        <v>1</v>
      </c>
      <c r="F135" s="30">
        <f ca="1" t="array" ref="F135">INDEX(Data_DBD!$F:$F,$A135)</f>
        <v>3</v>
      </c>
      <c r="H135" s="30">
        <v>139</v>
      </c>
      <c r="I135" s="30">
        <v>52</v>
      </c>
      <c r="J135" s="30">
        <v>7</v>
      </c>
      <c r="K135" s="30">
        <v>21</v>
      </c>
      <c r="L135" s="30">
        <v>0</v>
      </c>
      <c r="M135" s="30">
        <v>3</v>
      </c>
    </row>
    <row r="136" spans="1:13">
      <c r="A136" s="30">
        <f ca="1" t="shared" si="2"/>
        <v>98</v>
      </c>
      <c r="B136" s="30">
        <f ca="1" t="array" ref="B136">INDEX(Data_DBD!$B:$B,$A136)</f>
        <v>16</v>
      </c>
      <c r="C136" s="30">
        <f ca="1" t="array" ref="C136">INDEX(Data_DBD!$C:$C,$A136)</f>
        <v>2</v>
      </c>
      <c r="D136" s="30">
        <f ca="1" t="array" ref="D136">INDEX(Data_DBD!$D:$D,$A136)</f>
        <v>18</v>
      </c>
      <c r="E136" s="30">
        <f ca="1" t="array" ref="E136">INDEX(Data_DBD!$E:$E,$A136)</f>
        <v>1</v>
      </c>
      <c r="F136" s="30">
        <f ca="1" t="array" ref="F136">INDEX(Data_DBD!$F:$F,$A136)</f>
        <v>3</v>
      </c>
      <c r="H136" s="30">
        <v>108</v>
      </c>
      <c r="I136" s="30">
        <v>69</v>
      </c>
      <c r="J136" s="30">
        <v>7</v>
      </c>
      <c r="K136" s="30">
        <v>33</v>
      </c>
      <c r="L136" s="30">
        <v>1</v>
      </c>
      <c r="M136" s="30">
        <v>3</v>
      </c>
    </row>
    <row r="137" spans="1:13">
      <c r="A137" s="30">
        <f ca="1" t="shared" si="2"/>
        <v>69</v>
      </c>
      <c r="B137" s="30">
        <f ca="1" t="array" ref="B137">INDEX(Data_DBD!$B:$B,$A137)</f>
        <v>24</v>
      </c>
      <c r="C137" s="30">
        <f ca="1" t="array" ref="C137">INDEX(Data_DBD!$C:$C,$A137)</f>
        <v>4</v>
      </c>
      <c r="D137" s="30">
        <f ca="1" t="array" ref="D137">INDEX(Data_DBD!$D:$D,$A137)</f>
        <v>10</v>
      </c>
      <c r="E137" s="30">
        <f ca="1" t="array" ref="E137">INDEX(Data_DBD!$E:$E,$A137)</f>
        <v>1</v>
      </c>
      <c r="F137" s="30">
        <f ca="1" t="array" ref="F137">INDEX(Data_DBD!$F:$F,$A137)</f>
        <v>2</v>
      </c>
      <c r="H137" s="30">
        <v>52</v>
      </c>
      <c r="I137" s="30">
        <v>59</v>
      </c>
      <c r="J137" s="30">
        <v>4</v>
      </c>
      <c r="K137" s="30">
        <v>15</v>
      </c>
      <c r="L137" s="30">
        <v>1</v>
      </c>
      <c r="M137" s="30">
        <v>2</v>
      </c>
    </row>
    <row r="138" spans="1:13">
      <c r="A138" s="30">
        <f ca="1" t="shared" si="2"/>
        <v>139</v>
      </c>
      <c r="B138" s="30">
        <f ca="1" t="array" ref="B138">INDEX(Data_DBD!$B:$B,$A138)</f>
        <v>52</v>
      </c>
      <c r="C138" s="30">
        <f ca="1" t="array" ref="C138">INDEX(Data_DBD!$C:$C,$A138)</f>
        <v>7</v>
      </c>
      <c r="D138" s="30">
        <f ca="1" t="array" ref="D138">INDEX(Data_DBD!$D:$D,$A138)</f>
        <v>21</v>
      </c>
      <c r="E138" s="30">
        <f ca="1" t="array" ref="E138">INDEX(Data_DBD!$E:$E,$A138)</f>
        <v>0</v>
      </c>
      <c r="F138" s="30">
        <f ca="1" t="array" ref="F138">INDEX(Data_DBD!$F:$F,$A138)</f>
        <v>3</v>
      </c>
      <c r="H138" s="30">
        <v>111</v>
      </c>
      <c r="I138" s="30">
        <v>25</v>
      </c>
      <c r="J138" s="30">
        <v>4</v>
      </c>
      <c r="K138" s="30">
        <v>33</v>
      </c>
      <c r="L138" s="30">
        <v>0</v>
      </c>
      <c r="M138" s="30">
        <v>3</v>
      </c>
    </row>
    <row r="139" spans="1:13">
      <c r="A139" s="30">
        <f ca="1" t="shared" si="2"/>
        <v>41</v>
      </c>
      <c r="B139" s="30">
        <f ca="1" t="array" ref="B139">INDEX(Data_DBD!$B:$B,$A139)</f>
        <v>8</v>
      </c>
      <c r="C139" s="30">
        <f ca="1" t="array" ref="C139">INDEX(Data_DBD!$C:$C,$A139)</f>
        <v>4</v>
      </c>
      <c r="D139" s="30">
        <f ca="1" t="array" ref="D139">INDEX(Data_DBD!$D:$D,$A139)</f>
        <v>13</v>
      </c>
      <c r="E139" s="30">
        <f ca="1" t="array" ref="E139">INDEX(Data_DBD!$E:$E,$A139)</f>
        <v>0</v>
      </c>
      <c r="F139" s="30">
        <f ca="1" t="array" ref="F139">INDEX(Data_DBD!$F:$F,$A139)</f>
        <v>2</v>
      </c>
      <c r="H139" s="30">
        <v>139</v>
      </c>
      <c r="I139" s="30">
        <v>52</v>
      </c>
      <c r="J139" s="30">
        <v>7</v>
      </c>
      <c r="K139" s="30">
        <v>21</v>
      </c>
      <c r="L139" s="30">
        <v>0</v>
      </c>
      <c r="M139" s="30">
        <v>3</v>
      </c>
    </row>
    <row r="140" spans="1:13">
      <c r="A140" s="30">
        <f ca="1" t="shared" si="2"/>
        <v>55</v>
      </c>
      <c r="B140" s="30">
        <f ca="1" t="array" ref="B140">INDEX(Data_DBD!$B:$B,$A140)</f>
        <v>7</v>
      </c>
      <c r="C140" s="30">
        <f ca="1" t="array" ref="C140">INDEX(Data_DBD!$C:$C,$A140)</f>
        <v>4</v>
      </c>
      <c r="D140" s="30">
        <f ca="1" t="array" ref="D140">INDEX(Data_DBD!$D:$D,$A140)</f>
        <v>15</v>
      </c>
      <c r="E140" s="30">
        <f ca="1" t="array" ref="E140">INDEX(Data_DBD!$E:$E,$A140)</f>
        <v>1</v>
      </c>
      <c r="F140" s="30">
        <f ca="1" t="array" ref="F140">INDEX(Data_DBD!$F:$F,$A140)</f>
        <v>2</v>
      </c>
      <c r="H140" s="30">
        <v>94</v>
      </c>
      <c r="I140" s="30">
        <v>12</v>
      </c>
      <c r="J140" s="30">
        <v>4</v>
      </c>
      <c r="K140" s="30">
        <v>18</v>
      </c>
      <c r="L140" s="30">
        <v>0</v>
      </c>
      <c r="M140" s="30">
        <v>3</v>
      </c>
    </row>
    <row r="141" spans="1:13">
      <c r="A141" s="30">
        <f ca="1" t="shared" si="2"/>
        <v>21</v>
      </c>
      <c r="B141" s="30">
        <f ca="1" t="array" ref="B141">INDEX(Data_DBD!$B:$B,$A141)</f>
        <v>10</v>
      </c>
      <c r="C141" s="30">
        <f ca="1" t="array" ref="C141">INDEX(Data_DBD!$C:$C,$A141)</f>
        <v>5</v>
      </c>
      <c r="D141" s="30">
        <f ca="1" t="array" ref="D141">INDEX(Data_DBD!$D:$D,$A141)</f>
        <v>14</v>
      </c>
      <c r="E141" s="30">
        <f ca="1" t="array" ref="E141">INDEX(Data_DBD!$E:$E,$A141)</f>
        <v>1</v>
      </c>
      <c r="F141" s="30">
        <f ca="1" t="array" ref="F141">INDEX(Data_DBD!$F:$F,$A141)</f>
        <v>2</v>
      </c>
      <c r="H141" s="30">
        <v>87</v>
      </c>
      <c r="I141" s="30">
        <v>21</v>
      </c>
      <c r="J141" s="30">
        <v>3</v>
      </c>
      <c r="K141" s="30">
        <v>13</v>
      </c>
      <c r="L141" s="30">
        <v>0</v>
      </c>
      <c r="M141" s="30">
        <v>2</v>
      </c>
    </row>
    <row r="142" spans="1:13">
      <c r="A142" s="30">
        <f ca="1" t="shared" si="2"/>
        <v>131</v>
      </c>
      <c r="B142" s="30">
        <f ca="1" t="array" ref="B142">INDEX(Data_DBD!$B:$B,$A142)</f>
        <v>10</v>
      </c>
      <c r="C142" s="30">
        <f ca="1" t="array" ref="C142">INDEX(Data_DBD!$C:$C,$A142)</f>
        <v>2</v>
      </c>
      <c r="D142" s="30">
        <f ca="1" t="array" ref="D142">INDEX(Data_DBD!$D:$D,$A142)</f>
        <v>33</v>
      </c>
      <c r="E142" s="30">
        <f ca="1" t="array" ref="E142">INDEX(Data_DBD!$E:$E,$A142)</f>
        <v>0</v>
      </c>
      <c r="F142" s="30">
        <f ca="1" t="array" ref="F142">INDEX(Data_DBD!$F:$F,$A142)</f>
        <v>3</v>
      </c>
      <c r="H142" s="30">
        <v>39</v>
      </c>
      <c r="I142" s="30">
        <v>12</v>
      </c>
      <c r="J142" s="30">
        <v>5</v>
      </c>
      <c r="K142" s="30">
        <v>13</v>
      </c>
      <c r="L142" s="30">
        <v>1</v>
      </c>
      <c r="M142" s="30">
        <v>2</v>
      </c>
    </row>
    <row r="143" spans="1:13">
      <c r="A143" s="30">
        <f ca="1" t="shared" si="2"/>
        <v>164</v>
      </c>
      <c r="B143" s="30">
        <f ca="1" t="array" ref="B143">INDEX(Data_DBD!$B:$B,$A143)</f>
        <v>10</v>
      </c>
      <c r="C143" s="30">
        <f ca="1" t="array" ref="C143">INDEX(Data_DBD!$C:$C,$A143)</f>
        <v>6</v>
      </c>
      <c r="D143" s="30">
        <f ca="1" t="array" ref="D143">INDEX(Data_DBD!$D:$D,$A143)</f>
        <v>3</v>
      </c>
      <c r="E143" s="30">
        <f ca="1" t="array" ref="E143">INDEX(Data_DBD!$E:$E,$A143)</f>
        <v>0</v>
      </c>
      <c r="F143" s="30">
        <f ca="1" t="array" ref="F143">INDEX(Data_DBD!$F:$F,$A143)</f>
        <v>1</v>
      </c>
      <c r="H143" s="30">
        <v>130</v>
      </c>
      <c r="I143" s="30">
        <v>12</v>
      </c>
      <c r="J143" s="30">
        <v>4</v>
      </c>
      <c r="K143" s="30">
        <v>33</v>
      </c>
      <c r="L143" s="30">
        <v>0</v>
      </c>
      <c r="M143" s="30">
        <v>3</v>
      </c>
    </row>
    <row r="144" spans="1:13">
      <c r="A144" s="30">
        <f ca="1" t="shared" si="2"/>
        <v>108</v>
      </c>
      <c r="B144" s="30">
        <f ca="1" t="array" ref="B144">INDEX(Data_DBD!$B:$B,$A144)</f>
        <v>69</v>
      </c>
      <c r="C144" s="30">
        <f ca="1" t="array" ref="C144">INDEX(Data_DBD!$C:$C,$A144)</f>
        <v>7</v>
      </c>
      <c r="D144" s="30">
        <f ca="1" t="array" ref="D144">INDEX(Data_DBD!$D:$D,$A144)</f>
        <v>33</v>
      </c>
      <c r="E144" s="30">
        <f ca="1" t="array" ref="E144">INDEX(Data_DBD!$E:$E,$A144)</f>
        <v>1</v>
      </c>
      <c r="F144" s="30">
        <f ca="1" t="array" ref="F144">INDEX(Data_DBD!$F:$F,$A144)</f>
        <v>3</v>
      </c>
      <c r="H144" s="30">
        <v>114</v>
      </c>
      <c r="I144" s="30">
        <v>14</v>
      </c>
      <c r="J144" s="30">
        <v>2</v>
      </c>
      <c r="K144" s="30">
        <v>33</v>
      </c>
      <c r="L144" s="30">
        <v>1</v>
      </c>
      <c r="M144" s="30">
        <v>3</v>
      </c>
    </row>
    <row r="145" spans="1:13">
      <c r="A145" s="30">
        <f ca="1" t="shared" si="2"/>
        <v>61</v>
      </c>
      <c r="B145" s="30">
        <f ca="1" t="array" ref="B145">INDEX(Data_DBD!$B:$B,$A145)</f>
        <v>29</v>
      </c>
      <c r="C145" s="30">
        <f ca="1" t="array" ref="C145">INDEX(Data_DBD!$C:$C,$A145)</f>
        <v>3</v>
      </c>
      <c r="D145" s="30">
        <f ca="1" t="array" ref="D145">INDEX(Data_DBD!$D:$D,$A145)</f>
        <v>15</v>
      </c>
      <c r="E145" s="30">
        <f ca="1" t="array" ref="E145">INDEX(Data_DBD!$E:$E,$A145)</f>
        <v>1</v>
      </c>
      <c r="F145" s="30">
        <f ca="1" t="array" ref="F145">INDEX(Data_DBD!$F:$F,$A145)</f>
        <v>2</v>
      </c>
      <c r="H145" s="30">
        <v>71</v>
      </c>
      <c r="I145" s="30">
        <v>84</v>
      </c>
      <c r="J145" s="30">
        <v>3</v>
      </c>
      <c r="K145" s="30">
        <v>10</v>
      </c>
      <c r="L145" s="30">
        <v>0</v>
      </c>
      <c r="M145" s="30">
        <v>2</v>
      </c>
    </row>
    <row r="146" spans="1:13">
      <c r="A146" s="30">
        <f ca="1" t="shared" si="2"/>
        <v>41</v>
      </c>
      <c r="B146" s="30">
        <f ca="1" t="array" ref="B146">INDEX(Data_DBD!$B:$B,$A146)</f>
        <v>8</v>
      </c>
      <c r="C146" s="30">
        <f ca="1" t="array" ref="C146">INDEX(Data_DBD!$C:$C,$A146)</f>
        <v>4</v>
      </c>
      <c r="D146" s="30">
        <f ca="1" t="array" ref="D146">INDEX(Data_DBD!$D:$D,$A146)</f>
        <v>13</v>
      </c>
      <c r="E146" s="30">
        <f ca="1" t="array" ref="E146">INDEX(Data_DBD!$E:$E,$A146)</f>
        <v>0</v>
      </c>
      <c r="F146" s="30">
        <f ca="1" t="array" ref="F146">INDEX(Data_DBD!$F:$F,$A146)</f>
        <v>2</v>
      </c>
      <c r="H146" s="30">
        <v>29</v>
      </c>
      <c r="I146" s="30">
        <v>19</v>
      </c>
      <c r="J146" s="30">
        <v>2</v>
      </c>
      <c r="K146" s="30">
        <v>14</v>
      </c>
      <c r="L146" s="30">
        <v>1</v>
      </c>
      <c r="M146" s="30">
        <v>2</v>
      </c>
    </row>
    <row r="147" spans="1:13">
      <c r="A147" s="30">
        <f ca="1" t="shared" si="2"/>
        <v>63</v>
      </c>
      <c r="B147" s="30">
        <f ca="1" t="array" ref="B147">INDEX(Data_DBD!$B:$B,$A147)</f>
        <v>25</v>
      </c>
      <c r="C147" s="30">
        <f ca="1" t="array" ref="C147">INDEX(Data_DBD!$C:$C,$A147)</f>
        <v>3</v>
      </c>
      <c r="D147" s="30">
        <f ca="1" t="array" ref="D147">INDEX(Data_DBD!$D:$D,$A147)</f>
        <v>15</v>
      </c>
      <c r="E147" s="30">
        <f ca="1" t="array" ref="E147">INDEX(Data_DBD!$E:$E,$A147)</f>
        <v>0</v>
      </c>
      <c r="F147" s="30">
        <f ca="1" t="array" ref="F147">INDEX(Data_DBD!$F:$F,$A147)</f>
        <v>2</v>
      </c>
      <c r="H147" s="30">
        <v>68</v>
      </c>
      <c r="I147" s="30">
        <v>44</v>
      </c>
      <c r="J147" s="30">
        <v>5</v>
      </c>
      <c r="K147" s="30">
        <v>10</v>
      </c>
      <c r="L147" s="30">
        <v>0</v>
      </c>
      <c r="M147" s="30">
        <v>2</v>
      </c>
    </row>
    <row r="148" spans="1:13">
      <c r="A148" s="30">
        <f ca="1" t="shared" si="2"/>
        <v>131</v>
      </c>
      <c r="B148" s="30">
        <f ca="1" t="array" ref="B148">INDEX(Data_DBD!$B:$B,$A148)</f>
        <v>10</v>
      </c>
      <c r="C148" s="30">
        <f ca="1" t="array" ref="C148">INDEX(Data_DBD!$C:$C,$A148)</f>
        <v>2</v>
      </c>
      <c r="D148" s="30">
        <f ca="1" t="array" ref="D148">INDEX(Data_DBD!$D:$D,$A148)</f>
        <v>33</v>
      </c>
      <c r="E148" s="30">
        <f ca="1" t="array" ref="E148">INDEX(Data_DBD!$E:$E,$A148)</f>
        <v>0</v>
      </c>
      <c r="F148" s="30">
        <f ca="1" t="array" ref="F148">INDEX(Data_DBD!$F:$F,$A148)</f>
        <v>3</v>
      </c>
      <c r="H148" s="30">
        <v>13</v>
      </c>
      <c r="I148" s="30">
        <v>47</v>
      </c>
      <c r="J148" s="30">
        <v>2</v>
      </c>
      <c r="K148" s="30">
        <v>12</v>
      </c>
      <c r="L148" s="30">
        <v>0</v>
      </c>
      <c r="M148" s="30">
        <v>2</v>
      </c>
    </row>
    <row r="149" spans="1:13">
      <c r="A149" s="30">
        <f ca="1" t="shared" si="2"/>
        <v>39</v>
      </c>
      <c r="B149" s="30">
        <f ca="1" t="array" ref="B149">INDEX(Data_DBD!$B:$B,$A149)</f>
        <v>12</v>
      </c>
      <c r="C149" s="30">
        <f ca="1" t="array" ref="C149">INDEX(Data_DBD!$C:$C,$A149)</f>
        <v>5</v>
      </c>
      <c r="D149" s="30">
        <f ca="1" t="array" ref="D149">INDEX(Data_DBD!$D:$D,$A149)</f>
        <v>13</v>
      </c>
      <c r="E149" s="30">
        <f ca="1" t="array" ref="E149">INDEX(Data_DBD!$E:$E,$A149)</f>
        <v>1</v>
      </c>
      <c r="F149" s="30">
        <f ca="1" t="array" ref="F149">INDEX(Data_DBD!$F:$F,$A149)</f>
        <v>2</v>
      </c>
      <c r="H149" s="30">
        <v>63</v>
      </c>
      <c r="I149" s="30">
        <v>25</v>
      </c>
      <c r="J149" s="30">
        <v>3</v>
      </c>
      <c r="K149" s="30">
        <v>15</v>
      </c>
      <c r="L149" s="30">
        <v>0</v>
      </c>
      <c r="M149" s="30">
        <v>2</v>
      </c>
    </row>
    <row r="150" spans="1:13">
      <c r="A150" s="30">
        <f ca="1" t="shared" si="2"/>
        <v>88</v>
      </c>
      <c r="B150" s="30">
        <f ca="1" t="array" ref="B150">INDEX(Data_DBD!$B:$B,$A150)</f>
        <v>20</v>
      </c>
      <c r="C150" s="30">
        <f ca="1" t="array" ref="C150">INDEX(Data_DBD!$C:$C,$A150)</f>
        <v>4</v>
      </c>
      <c r="D150" s="30">
        <f ca="1" t="array" ref="D150">INDEX(Data_DBD!$D:$D,$A150)</f>
        <v>13</v>
      </c>
      <c r="E150" s="30">
        <f ca="1" t="array" ref="E150">INDEX(Data_DBD!$E:$E,$A150)</f>
        <v>1</v>
      </c>
      <c r="F150" s="30">
        <f ca="1" t="array" ref="F150">INDEX(Data_DBD!$F:$F,$A150)</f>
        <v>2</v>
      </c>
      <c r="H150" s="30">
        <v>156</v>
      </c>
      <c r="I150" s="30">
        <v>5</v>
      </c>
      <c r="J150" s="30">
        <v>2</v>
      </c>
      <c r="K150" s="30">
        <v>21</v>
      </c>
      <c r="L150" s="30">
        <v>0</v>
      </c>
      <c r="M150" s="30">
        <v>3</v>
      </c>
    </row>
    <row r="151" spans="1:13">
      <c r="A151" s="30">
        <f ca="1" t="shared" si="2"/>
        <v>26</v>
      </c>
      <c r="B151" s="30">
        <f ca="1" t="array" ref="B151">INDEX(Data_DBD!$B:$B,$A151)</f>
        <v>75</v>
      </c>
      <c r="C151" s="30">
        <f ca="1" t="array" ref="C151">INDEX(Data_DBD!$C:$C,$A151)</f>
        <v>4</v>
      </c>
      <c r="D151" s="30">
        <f ca="1" t="array" ref="D151">INDEX(Data_DBD!$D:$D,$A151)</f>
        <v>14</v>
      </c>
      <c r="E151" s="30">
        <f ca="1" t="array" ref="E151">INDEX(Data_DBD!$E:$E,$A151)</f>
        <v>1</v>
      </c>
      <c r="F151" s="30">
        <f ca="1" t="array" ref="F151">INDEX(Data_DBD!$F:$F,$A151)</f>
        <v>2</v>
      </c>
      <c r="H151" s="30">
        <v>129</v>
      </c>
      <c r="I151" s="30">
        <v>4.5</v>
      </c>
      <c r="J151" s="30">
        <v>3</v>
      </c>
      <c r="K151" s="30">
        <v>33</v>
      </c>
      <c r="L151" s="30">
        <v>0</v>
      </c>
      <c r="M151" s="30">
        <v>3</v>
      </c>
    </row>
    <row r="152" spans="1:13">
      <c r="A152" s="30">
        <f ca="1" t="shared" si="2"/>
        <v>39</v>
      </c>
      <c r="B152" s="30">
        <f ca="1" t="array" ref="B152">INDEX(Data_DBD!$B:$B,$A152)</f>
        <v>12</v>
      </c>
      <c r="C152" s="30">
        <f ca="1" t="array" ref="C152">INDEX(Data_DBD!$C:$C,$A152)</f>
        <v>5</v>
      </c>
      <c r="D152" s="30">
        <f ca="1" t="array" ref="D152">INDEX(Data_DBD!$D:$D,$A152)</f>
        <v>13</v>
      </c>
      <c r="E152" s="30">
        <f ca="1" t="array" ref="E152">INDEX(Data_DBD!$E:$E,$A152)</f>
        <v>1</v>
      </c>
      <c r="F152" s="30">
        <f ca="1" t="array" ref="F152">INDEX(Data_DBD!$F:$F,$A152)</f>
        <v>2</v>
      </c>
      <c r="H152" s="30">
        <v>139</v>
      </c>
      <c r="I152" s="30">
        <v>52</v>
      </c>
      <c r="J152" s="30">
        <v>7</v>
      </c>
      <c r="K152" s="30">
        <v>21</v>
      </c>
      <c r="L152" s="30">
        <v>0</v>
      </c>
      <c r="M152" s="30">
        <v>3</v>
      </c>
    </row>
    <row r="153" spans="1:13">
      <c r="A153" s="30">
        <f ca="1" t="shared" si="2"/>
        <v>31</v>
      </c>
      <c r="B153" s="30">
        <f ca="1" t="array" ref="B153">INDEX(Data_DBD!$B:$B,$A153)</f>
        <v>64</v>
      </c>
      <c r="C153" s="30">
        <f ca="1" t="array" ref="C153">INDEX(Data_DBD!$C:$C,$A153)</f>
        <v>4</v>
      </c>
      <c r="D153" s="30">
        <f ca="1" t="array" ref="D153">INDEX(Data_DBD!$D:$D,$A153)</f>
        <v>14</v>
      </c>
      <c r="E153" s="30">
        <f ca="1" t="array" ref="E153">INDEX(Data_DBD!$E:$E,$A153)</f>
        <v>1</v>
      </c>
      <c r="F153" s="30">
        <f ca="1" t="array" ref="F153">INDEX(Data_DBD!$F:$F,$A153)</f>
        <v>2</v>
      </c>
      <c r="H153" s="30">
        <v>129</v>
      </c>
      <c r="I153" s="30">
        <v>4.5</v>
      </c>
      <c r="J153" s="30">
        <v>3</v>
      </c>
      <c r="K153" s="30">
        <v>33</v>
      </c>
      <c r="L153" s="30">
        <v>0</v>
      </c>
      <c r="M153" s="30">
        <v>3</v>
      </c>
    </row>
    <row r="154" spans="1:13">
      <c r="A154" s="30">
        <f ca="1" t="shared" si="2"/>
        <v>17</v>
      </c>
      <c r="B154" s="30">
        <f ca="1" t="array" ref="B154">INDEX(Data_DBD!$B:$B,$A154)</f>
        <v>2</v>
      </c>
      <c r="C154" s="30">
        <f ca="1" t="array" ref="C154">INDEX(Data_DBD!$C:$C,$A154)</f>
        <v>3</v>
      </c>
      <c r="D154" s="30">
        <f ca="1" t="array" ref="D154">INDEX(Data_DBD!$D:$D,$A154)</f>
        <v>7</v>
      </c>
      <c r="E154" s="30">
        <f ca="1" t="array" ref="E154">INDEX(Data_DBD!$E:$E,$A154)</f>
        <v>0</v>
      </c>
      <c r="F154" s="30">
        <f ca="1" t="array" ref="F154">INDEX(Data_DBD!$F:$F,$A154)</f>
        <v>1</v>
      </c>
      <c r="H154" s="30">
        <v>93</v>
      </c>
      <c r="I154" s="30">
        <v>65</v>
      </c>
      <c r="J154" s="30">
        <v>4</v>
      </c>
      <c r="K154" s="30">
        <v>18</v>
      </c>
      <c r="L154" s="30">
        <v>0</v>
      </c>
      <c r="M154" s="30">
        <v>3</v>
      </c>
    </row>
    <row r="155" spans="1:13">
      <c r="A155" s="30">
        <f ca="1" t="shared" si="2"/>
        <v>14</v>
      </c>
      <c r="B155" s="30">
        <f ca="1" t="array" ref="B155">INDEX(Data_DBD!$B:$B,$A155)</f>
        <v>49</v>
      </c>
      <c r="C155" s="30">
        <f ca="1" t="array" ref="C155">INDEX(Data_DBD!$C:$C,$A155)</f>
        <v>4</v>
      </c>
      <c r="D155" s="30">
        <f ca="1" t="array" ref="D155">INDEX(Data_DBD!$D:$D,$A155)</f>
        <v>7</v>
      </c>
      <c r="E155" s="30">
        <f ca="1" t="array" ref="E155">INDEX(Data_DBD!$E:$E,$A155)</f>
        <v>1</v>
      </c>
      <c r="F155" s="30">
        <f ca="1" t="array" ref="F155">INDEX(Data_DBD!$F:$F,$A155)</f>
        <v>1</v>
      </c>
      <c r="H155" s="30">
        <v>111</v>
      </c>
      <c r="I155" s="30">
        <v>25</v>
      </c>
      <c r="J155" s="30">
        <v>4</v>
      </c>
      <c r="K155" s="30">
        <v>33</v>
      </c>
      <c r="L155" s="30">
        <v>0</v>
      </c>
      <c r="M155" s="30">
        <v>3</v>
      </c>
    </row>
    <row r="156" spans="1:13">
      <c r="A156" s="30">
        <f ca="1" t="shared" si="2"/>
        <v>56</v>
      </c>
      <c r="B156" s="30">
        <f ca="1" t="array" ref="B156">INDEX(Data_DBD!$B:$B,$A156)</f>
        <v>4</v>
      </c>
      <c r="C156" s="30">
        <f ca="1" t="array" ref="C156">INDEX(Data_DBD!$C:$C,$A156)</f>
        <v>3</v>
      </c>
      <c r="D156" s="30">
        <f ca="1" t="array" ref="D156">INDEX(Data_DBD!$D:$D,$A156)</f>
        <v>15</v>
      </c>
      <c r="E156" s="30">
        <f ca="1" t="array" ref="E156">INDEX(Data_DBD!$E:$E,$A156)</f>
        <v>0</v>
      </c>
      <c r="F156" s="30">
        <f ca="1" t="array" ref="F156">INDEX(Data_DBD!$F:$F,$A156)</f>
        <v>2</v>
      </c>
      <c r="H156" s="30">
        <v>23</v>
      </c>
      <c r="I156" s="30">
        <v>28</v>
      </c>
      <c r="J156" s="30">
        <v>4</v>
      </c>
      <c r="K156" s="30">
        <v>14</v>
      </c>
      <c r="L156" s="30">
        <v>1</v>
      </c>
      <c r="M156" s="30">
        <v>2</v>
      </c>
    </row>
    <row r="157" spans="1:13">
      <c r="A157" s="30">
        <f ca="1" t="shared" si="2"/>
        <v>155</v>
      </c>
      <c r="B157" s="30">
        <f ca="1" t="array" ref="B157">INDEX(Data_DBD!$B:$B,$A157)</f>
        <v>19</v>
      </c>
      <c r="C157" s="30">
        <f ca="1" t="array" ref="C157">INDEX(Data_DBD!$C:$C,$A157)</f>
        <v>5</v>
      </c>
      <c r="D157" s="30">
        <f ca="1" t="array" ref="D157">INDEX(Data_DBD!$D:$D,$A157)</f>
        <v>21</v>
      </c>
      <c r="E157" s="30">
        <f ca="1" t="array" ref="E157">INDEX(Data_DBD!$E:$E,$A157)</f>
        <v>1</v>
      </c>
      <c r="F157" s="30">
        <f ca="1" t="array" ref="F157">INDEX(Data_DBD!$F:$F,$A157)</f>
        <v>3</v>
      </c>
      <c r="H157" s="30">
        <v>18</v>
      </c>
      <c r="I157" s="30">
        <v>49</v>
      </c>
      <c r="J157" s="30">
        <v>4</v>
      </c>
      <c r="K157" s="30">
        <v>7</v>
      </c>
      <c r="L157" s="30">
        <v>1</v>
      </c>
      <c r="M157" s="30">
        <v>1</v>
      </c>
    </row>
    <row r="158" ht="15.75" spans="1:13">
      <c r="A158" s="30">
        <f ca="1" t="shared" si="2"/>
        <v>56</v>
      </c>
      <c r="B158" s="30">
        <f ca="1" t="array" ref="B158">INDEX(Data_DBD!$B:$B,$A158)</f>
        <v>4</v>
      </c>
      <c r="C158" s="30">
        <f ca="1" t="array" ref="C158">INDEX(Data_DBD!$C:$C,$A158)</f>
        <v>3</v>
      </c>
      <c r="D158" s="30">
        <f ca="1" t="array" ref="D158">INDEX(Data_DBD!$D:$D,$A158)</f>
        <v>15</v>
      </c>
      <c r="E158" s="30">
        <f ca="1" t="array" ref="E158">INDEX(Data_DBD!$E:$E,$A158)</f>
        <v>0</v>
      </c>
      <c r="F158" s="30">
        <f ca="1" t="array" ref="F158">INDEX(Data_DBD!$F:$F,$A158)</f>
        <v>2</v>
      </c>
      <c r="H158" s="30">
        <v>72</v>
      </c>
      <c r="I158" s="30">
        <v>3</v>
      </c>
      <c r="J158" s="30">
        <v>5</v>
      </c>
      <c r="K158" s="30">
        <v>10</v>
      </c>
      <c r="L158" s="38">
        <v>1</v>
      </c>
      <c r="M158" s="30">
        <v>2</v>
      </c>
    </row>
    <row r="159" ht="15.75" spans="1:13">
      <c r="A159" s="30">
        <f ca="1" t="shared" si="2"/>
        <v>38</v>
      </c>
      <c r="B159" s="30">
        <f ca="1" t="array" ref="B159">INDEX(Data_DBD!$B:$B,$A159)</f>
        <v>52</v>
      </c>
      <c r="C159" s="30">
        <f ca="1" t="array" ref="C159">INDEX(Data_DBD!$C:$C,$A159)</f>
        <v>3</v>
      </c>
      <c r="D159" s="30">
        <f ca="1" t="array" ref="D159">INDEX(Data_DBD!$D:$D,$A159)</f>
        <v>4</v>
      </c>
      <c r="E159" s="30">
        <f ca="1" t="array" ref="E159">INDEX(Data_DBD!$E:$E,$A159)</f>
        <v>1</v>
      </c>
      <c r="F159" s="30">
        <f ca="1" t="array" ref="F159">INDEX(Data_DBD!$F:$F,$A159)</f>
        <v>1</v>
      </c>
      <c r="H159" s="30">
        <v>55</v>
      </c>
      <c r="I159" s="30">
        <v>7</v>
      </c>
      <c r="J159" s="30">
        <v>4</v>
      </c>
      <c r="K159" s="30">
        <v>15</v>
      </c>
      <c r="L159" s="39">
        <v>1</v>
      </c>
      <c r="M159" s="30">
        <v>2</v>
      </c>
    </row>
    <row r="160" ht="15.75" spans="1:13">
      <c r="A160" s="30">
        <f ca="1" t="shared" si="2"/>
        <v>86</v>
      </c>
      <c r="B160" s="30">
        <f ca="1" t="array" ref="B160">INDEX(Data_DBD!$B:$B,$A160)</f>
        <v>23</v>
      </c>
      <c r="C160" s="30">
        <f ca="1" t="array" ref="C160">INDEX(Data_DBD!$C:$C,$A160)</f>
        <v>3</v>
      </c>
      <c r="D160" s="30">
        <f ca="1" t="array" ref="D160">INDEX(Data_DBD!$D:$D,$A160)</f>
        <v>13</v>
      </c>
      <c r="E160" s="30">
        <f ca="1" t="array" ref="E160">INDEX(Data_DBD!$E:$E,$A160)</f>
        <v>0</v>
      </c>
      <c r="F160" s="30">
        <f ca="1" t="array" ref="F160">INDEX(Data_DBD!$F:$F,$A160)</f>
        <v>2</v>
      </c>
      <c r="H160" s="30">
        <v>106</v>
      </c>
      <c r="I160" s="30">
        <v>23</v>
      </c>
      <c r="J160" s="30">
        <v>3</v>
      </c>
      <c r="K160" s="30">
        <v>18</v>
      </c>
      <c r="L160" s="40">
        <v>1</v>
      </c>
      <c r="M160" s="30">
        <v>3</v>
      </c>
    </row>
    <row r="161" ht="15.75" spans="1:13">
      <c r="A161" s="30">
        <f ca="1" t="shared" si="2"/>
        <v>111</v>
      </c>
      <c r="B161" s="30">
        <f ca="1" t="array" ref="B161">INDEX(Data_DBD!$B:$B,$A161)</f>
        <v>25</v>
      </c>
      <c r="C161" s="30">
        <f ca="1" t="array" ref="C161">INDEX(Data_DBD!$C:$C,$A161)</f>
        <v>4</v>
      </c>
      <c r="D161" s="30">
        <f ca="1" t="array" ref="D161">INDEX(Data_DBD!$D:$D,$A161)</f>
        <v>33</v>
      </c>
      <c r="E161" s="30">
        <f ca="1" t="array" ref="E161">INDEX(Data_DBD!$E:$E,$A161)</f>
        <v>0</v>
      </c>
      <c r="F161" s="30">
        <f ca="1" t="array" ref="F161">INDEX(Data_DBD!$F:$F,$A161)</f>
        <v>3</v>
      </c>
      <c r="H161" s="30">
        <v>78</v>
      </c>
      <c r="I161" s="30">
        <v>6</v>
      </c>
      <c r="J161" s="30">
        <v>3</v>
      </c>
      <c r="K161" s="30">
        <v>13</v>
      </c>
      <c r="L161" s="40">
        <v>0</v>
      </c>
      <c r="M161" s="30">
        <v>2</v>
      </c>
    </row>
    <row r="162" ht="15.75" spans="1:13">
      <c r="A162" s="30">
        <f ca="1" t="shared" si="2"/>
        <v>125</v>
      </c>
      <c r="B162" s="30">
        <f ca="1" t="array" ref="B162">INDEX(Data_DBD!$B:$B,$A162)</f>
        <v>39</v>
      </c>
      <c r="C162" s="30">
        <f ca="1" t="array" ref="C162">INDEX(Data_DBD!$C:$C,$A162)</f>
        <v>4</v>
      </c>
      <c r="D162" s="30">
        <f ca="1" t="array" ref="D162">INDEX(Data_DBD!$D:$D,$A162)</f>
        <v>33</v>
      </c>
      <c r="E162" s="30">
        <f ca="1" t="array" ref="E162">INDEX(Data_DBD!$E:$E,$A162)</f>
        <v>0</v>
      </c>
      <c r="F162" s="30">
        <f ca="1" t="array" ref="F162">INDEX(Data_DBD!$F:$F,$A162)</f>
        <v>3</v>
      </c>
      <c r="H162" s="30">
        <v>42</v>
      </c>
      <c r="I162" s="30">
        <v>21</v>
      </c>
      <c r="J162" s="30">
        <v>5</v>
      </c>
      <c r="K162" s="30">
        <v>13</v>
      </c>
      <c r="L162" s="39">
        <v>1</v>
      </c>
      <c r="M162" s="30">
        <v>2</v>
      </c>
    </row>
    <row r="163" ht="15.75" spans="1:13">
      <c r="A163" s="30">
        <f ca="1" t="shared" si="2"/>
        <v>111</v>
      </c>
      <c r="B163" s="30">
        <f ca="1" t="array" ref="B163">INDEX(Data_DBD!$B:$B,$A163)</f>
        <v>25</v>
      </c>
      <c r="C163" s="30">
        <f ca="1" t="array" ref="C163">INDEX(Data_DBD!$C:$C,$A163)</f>
        <v>4</v>
      </c>
      <c r="D163" s="30">
        <f ca="1" t="array" ref="D163">INDEX(Data_DBD!$D:$D,$A163)</f>
        <v>33</v>
      </c>
      <c r="E163" s="30">
        <f ca="1" t="array" ref="E163">INDEX(Data_DBD!$E:$E,$A163)</f>
        <v>0</v>
      </c>
      <c r="F163" s="30">
        <f ca="1" t="array" ref="F163">INDEX(Data_DBD!$F:$F,$A163)</f>
        <v>3</v>
      </c>
      <c r="H163" s="30">
        <v>157</v>
      </c>
      <c r="I163" s="30">
        <v>15</v>
      </c>
      <c r="J163" s="30">
        <v>4</v>
      </c>
      <c r="K163" s="30">
        <v>21</v>
      </c>
      <c r="L163" s="40">
        <v>1</v>
      </c>
      <c r="M163" s="30">
        <v>3</v>
      </c>
    </row>
    <row r="164" spans="1:13">
      <c r="A164" s="30">
        <f ca="1" t="shared" si="2"/>
        <v>93</v>
      </c>
      <c r="B164" s="30">
        <f ca="1" t="array" ref="B164">INDEX(Data_DBD!$B:$B,$A164)</f>
        <v>65</v>
      </c>
      <c r="C164" s="30">
        <f ca="1" t="array" ref="C164">INDEX(Data_DBD!$C:$C,$A164)</f>
        <v>4</v>
      </c>
      <c r="D164" s="30">
        <f ca="1" t="array" ref="D164">INDEX(Data_DBD!$D:$D,$A164)</f>
        <v>18</v>
      </c>
      <c r="E164" s="30">
        <f ca="1" t="array" ref="E164">INDEX(Data_DBD!$E:$E,$A164)</f>
        <v>0</v>
      </c>
      <c r="F164" s="30">
        <f ca="1" t="array" ref="F164">INDEX(Data_DBD!$F:$F,$A164)</f>
        <v>3</v>
      </c>
      <c r="H164" s="30">
        <v>115</v>
      </c>
      <c r="I164" s="30">
        <v>52</v>
      </c>
      <c r="J164" s="30">
        <v>3</v>
      </c>
      <c r="K164" s="30">
        <v>33</v>
      </c>
      <c r="L164" s="30">
        <v>1</v>
      </c>
      <c r="M164" s="30">
        <v>3</v>
      </c>
    </row>
    <row r="165" spans="9:12">
      <c r="I165">
        <f>AVERAGE(I2:I164)</f>
        <v>30.8282208588957</v>
      </c>
      <c r="J165">
        <f>AVERAGE(J2:J164)</f>
        <v>3.76073619631902</v>
      </c>
      <c r="K165">
        <f>AVERAGE(K2:K164)</f>
        <v>17.3374233128834</v>
      </c>
      <c r="L165">
        <f>AVERAGE(L2:L164)</f>
        <v>0.50920245398773</v>
      </c>
    </row>
    <row r="166" spans="2:2">
      <c r="B166">
        <v>189</v>
      </c>
    </row>
    <row r="168" spans="5:20">
      <c r="E168" s="35" t="s">
        <v>183</v>
      </c>
      <c r="J168" s="35" t="s">
        <v>184</v>
      </c>
      <c r="O168" s="35" t="s">
        <v>185</v>
      </c>
      <c r="T168" s="35" t="s">
        <v>186</v>
      </c>
    </row>
    <row r="169" spans="5:22">
      <c r="E169" s="30" t="s">
        <v>1</v>
      </c>
      <c r="F169" s="30">
        <f>AVERAGEIF($I$2:$I$164,"&lt;="&amp;$I$165)</f>
        <v>16.7821782178218</v>
      </c>
      <c r="G169" s="30">
        <f>AVERAGEIF($I$2:$I$164,"&gt;"&amp;$I$165)</f>
        <v>53.7096774193548</v>
      </c>
      <c r="J169" s="30" t="s">
        <v>187</v>
      </c>
      <c r="K169" s="30">
        <f>AVERAGEIF($J$2:$J$164,"&lt;="&amp;$J$165)</f>
        <v>2.53846153846154</v>
      </c>
      <c r="L169" s="30">
        <f>AVERAGEIF($J$2:$J$164,"&gt;"&amp;$J$165)</f>
        <v>4.88235294117647</v>
      </c>
      <c r="O169" s="30" t="s">
        <v>188</v>
      </c>
      <c r="P169" s="30">
        <f>AVERAGEIF($K$2:$K$164,"&lt;="&amp;$K$165)</f>
        <v>11.5531914893617</v>
      </c>
      <c r="Q169" s="30">
        <f>AVERAGEIF($K$2:$K$164,"&gt;"&amp;$K$165)</f>
        <v>25.2173913043478</v>
      </c>
      <c r="T169" s="30" t="s">
        <v>189</v>
      </c>
      <c r="U169" s="30">
        <f>AVERAGEIF($L$2:$L$164,"&lt;="&amp;$L$165)</f>
        <v>0</v>
      </c>
      <c r="V169" s="30">
        <f>AVERAGEIF($L$2:$L$164,"&gt;"&amp;$L$165)</f>
        <v>1</v>
      </c>
    </row>
    <row r="170" spans="5:22">
      <c r="E170" s="30" t="str">
        <f t="array" ref="E170:E332">IF($I$2:$I$164&lt;$F$169,"kiri",IF($I$2:$I$164&lt;$G$169,"tengah","kanan"))</f>
        <v>kanan</v>
      </c>
      <c r="F170" s="36" t="s">
        <v>207</v>
      </c>
      <c r="G170" s="30"/>
      <c r="J170" s="30" t="str">
        <f t="array" ref="J170:J332">IF($J$2:$J$164&lt;$K$169,"kiri",IF($J$2:$J$164&lt;$L$169,"tengah","kanan"))</f>
        <v>kanan</v>
      </c>
      <c r="K170" s="36" t="s">
        <v>208</v>
      </c>
      <c r="L170" s="30"/>
      <c r="O170" s="30" t="str">
        <f t="array" ref="O170:O332">IF($K$2:$K$164&lt;$P$169,"kiri",IF($K$2:$K$164&lt;$Q$169,"tengah","kanan"))</f>
        <v>tengah</v>
      </c>
      <c r="P170" s="36" t="s">
        <v>216</v>
      </c>
      <c r="Q170" s="30"/>
      <c r="T170" s="30" t="str">
        <f t="array" ref="T170:T332">IF($L$2:$L$164&lt;$U$169,"kiri",IF($L$2:$L$164&lt;$V$169,"tengah","kanan"))</f>
        <v>kanan</v>
      </c>
      <c r="U170" s="30" t="s">
        <v>193</v>
      </c>
      <c r="V170" s="30"/>
    </row>
    <row r="171" spans="5:22">
      <c r="E171" s="30" t="str">
        <v>kanan</v>
      </c>
      <c r="F171" s="30">
        <f>COUNTIFS($E$170:$E$332,"Kanan",$M$2:$M$164,"1")</f>
        <v>0</v>
      </c>
      <c r="G171" s="30">
        <f>F171/29</f>
        <v>0</v>
      </c>
      <c r="J171" s="30" t="str">
        <v>tengah</v>
      </c>
      <c r="K171" s="30">
        <f t="array" ref="K171">SUMPRODUCT((J170:J332="Kanan")*(M2:M164=1))</f>
        <v>4</v>
      </c>
      <c r="L171" s="30">
        <f>K171/39</f>
        <v>0.102564102564103</v>
      </c>
      <c r="O171" s="30" t="str">
        <v>tengah</v>
      </c>
      <c r="P171" s="30">
        <f>COUNTIFS($O$170:$O$332,"Kanan",$M$2:$M$164,"1")</f>
        <v>0</v>
      </c>
      <c r="Q171" s="30">
        <f>P171/27</f>
        <v>0</v>
      </c>
      <c r="T171" s="30" t="str">
        <v>tengah</v>
      </c>
      <c r="U171" s="30">
        <f>COUNTIFS($T$170:$T$332,"Kanan",$M$2:$M$164,"1")</f>
        <v>12</v>
      </c>
      <c r="V171" s="30">
        <f>U171/83</f>
        <v>0.144578313253012</v>
      </c>
    </row>
    <row r="172" spans="5:22">
      <c r="E172" s="30" t="str">
        <v>tengah</v>
      </c>
      <c r="F172" s="30">
        <f>COUNTIFS($E$170:$E$332,"Kanan",$M$2:$M$164,"2")</f>
        <v>16</v>
      </c>
      <c r="G172" s="30">
        <f>F172/29</f>
        <v>0.551724137931034</v>
      </c>
      <c r="J172" s="30" t="str">
        <v>tengah</v>
      </c>
      <c r="K172" s="30">
        <f>COUNTIFS($J$170:$J$332,"Kanan",$M$2:$M$164,"2")</f>
        <v>20</v>
      </c>
      <c r="L172" s="30">
        <f t="shared" ref="L172:L173" si="3">K172/39</f>
        <v>0.512820512820513</v>
      </c>
      <c r="O172" s="30" t="str">
        <v>tengah</v>
      </c>
      <c r="P172" s="30">
        <f>COUNTIFS($O$170:$O$332,"Kanan",$M$2:$M$164,"2")</f>
        <v>0</v>
      </c>
      <c r="Q172" s="30">
        <f t="shared" ref="Q172:Q173" si="4">P172/27</f>
        <v>0</v>
      </c>
      <c r="T172" s="30" t="str">
        <v>kanan</v>
      </c>
      <c r="U172" s="30">
        <f>COUNTIFS($T$170:$T$332,"Kanan",$M$2:$M$164,"2")</f>
        <v>37</v>
      </c>
      <c r="V172" s="30">
        <f t="shared" ref="V172:V173" si="5">U172/83</f>
        <v>0.44578313253012</v>
      </c>
    </row>
    <row r="173" spans="5:22">
      <c r="E173" s="30" t="str">
        <v>kiri</v>
      </c>
      <c r="F173" s="30">
        <f t="array" ref="F173">SUMPRODUCT((E170:E332="KANAN")*(M2:M164=3))</f>
        <v>13</v>
      </c>
      <c r="G173" s="30">
        <f t="shared" ref="G173" si="6">F173/29</f>
        <v>0.448275862068966</v>
      </c>
      <c r="J173" s="30" t="str">
        <v>tengah</v>
      </c>
      <c r="K173" s="30">
        <f>COUNTIFS($J$170:$J$332,"Kanan",$M$2:$M$164,"3")</f>
        <v>15</v>
      </c>
      <c r="L173" s="30">
        <f t="shared" si="3"/>
        <v>0.384615384615385</v>
      </c>
      <c r="O173" s="30" t="str">
        <v>tengah</v>
      </c>
      <c r="P173" s="30">
        <f>COUNTIFS($O$170:$O$332,"Kanan",$M$2:$M$164,"3")</f>
        <v>27</v>
      </c>
      <c r="Q173" s="30">
        <f t="shared" si="4"/>
        <v>1</v>
      </c>
      <c r="T173" s="30" t="str">
        <v>tengah</v>
      </c>
      <c r="U173" s="30">
        <f>COUNTIFS($T$170:$T$332,"Kanan",$M$2:$M$164,"3")</f>
        <v>34</v>
      </c>
      <c r="V173" s="30">
        <f t="shared" si="5"/>
        <v>0.409638554216867</v>
      </c>
    </row>
    <row r="174" spans="5:22">
      <c r="E174" s="30" t="str">
        <v>kiri</v>
      </c>
      <c r="F174" s="30" t="s">
        <v>194</v>
      </c>
      <c r="G174" s="30">
        <f>-(IFERROR(G171*LOG(G171,2),0)+IFERROR(G172*LOG(G172,2),0)+IFERROR(G173*LOG(G173,2),0))</f>
        <v>0.992266638719496</v>
      </c>
      <c r="J174" s="30" t="str">
        <v>tengah</v>
      </c>
      <c r="K174" s="30" t="s">
        <v>194</v>
      </c>
      <c r="L174" s="30">
        <f>-(IFERROR(L171*LOG(L171,2),0)+IFERROR(L172*LOG(L172,2),0)+IFERROR(L173*LOG(L173,2),0))</f>
        <v>1.36125040266032</v>
      </c>
      <c r="O174" s="30" t="str">
        <v>kanan</v>
      </c>
      <c r="P174" s="30" t="s">
        <v>194</v>
      </c>
      <c r="Q174" s="30">
        <f>-(IFERROR(Q171*LOG(Q171,2),0)+IFERROR(Q172*LOG(Q172,2),0)+IFERROR(Q173*LOG(Q173,2),0))</f>
        <v>0</v>
      </c>
      <c r="T174" s="30" t="str">
        <v>kanan</v>
      </c>
      <c r="U174" s="30" t="s">
        <v>194</v>
      </c>
      <c r="V174" s="30">
        <f>-(IFERROR(V171*LOG(V171,2),0)+IFERROR(V172*LOG(V172,2),0)+IFERROR(V173*LOG(V173,2),0))</f>
        <v>1.45042423689588</v>
      </c>
    </row>
    <row r="175" spans="5:22">
      <c r="E175" s="30" t="str">
        <v>kiri</v>
      </c>
      <c r="F175" s="30"/>
      <c r="G175" s="30">
        <f>SUM(F171:F173)/163</f>
        <v>0.177914110429448</v>
      </c>
      <c r="J175" s="30" t="str">
        <v>tengah</v>
      </c>
      <c r="K175" s="30"/>
      <c r="L175" s="30">
        <f>SUM(K171:K173)/163</f>
        <v>0.239263803680982</v>
      </c>
      <c r="O175" s="30" t="str">
        <v>tengah</v>
      </c>
      <c r="P175" s="30"/>
      <c r="Q175" s="30">
        <f>SUM(P171:P173)/163</f>
        <v>0.165644171779141</v>
      </c>
      <c r="T175" s="30" t="str">
        <v>tengah</v>
      </c>
      <c r="U175" s="30"/>
      <c r="V175" s="30">
        <f>SUM(U171:U173)/163</f>
        <v>0.50920245398773</v>
      </c>
    </row>
    <row r="176" spans="5:22">
      <c r="E176" s="30" t="str">
        <v>tengah</v>
      </c>
      <c r="F176" s="30"/>
      <c r="G176" s="37">
        <f>G174*G175</f>
        <v>0.176538236336597</v>
      </c>
      <c r="J176" s="30" t="str">
        <v>tengah</v>
      </c>
      <c r="K176" s="30"/>
      <c r="L176" s="37">
        <f>L174*L175</f>
        <v>0.325697949102777</v>
      </c>
      <c r="O176" s="30" t="str">
        <v>kiri</v>
      </c>
      <c r="P176" s="30"/>
      <c r="Q176" s="37">
        <f>Q174*Q175</f>
        <v>0</v>
      </c>
      <c r="T176" s="30" t="str">
        <v>kanan</v>
      </c>
      <c r="U176" s="30"/>
      <c r="V176" s="37">
        <f>V174*V175</f>
        <v>0.738559580750664</v>
      </c>
    </row>
    <row r="177" spans="5:22">
      <c r="E177" s="30" t="str">
        <v>tengah</v>
      </c>
      <c r="F177" s="30"/>
      <c r="G177" s="30"/>
      <c r="J177" s="30" t="str">
        <v>tengah</v>
      </c>
      <c r="K177" s="30"/>
      <c r="L177" s="30"/>
      <c r="O177" s="30" t="str">
        <v>kanan</v>
      </c>
      <c r="P177" s="30"/>
      <c r="Q177" s="30"/>
      <c r="T177" s="30" t="str">
        <v>tengah</v>
      </c>
      <c r="U177" s="30"/>
      <c r="V177" s="30"/>
    </row>
    <row r="178" spans="5:22">
      <c r="E178" s="30" t="str">
        <v>kiri</v>
      </c>
      <c r="F178" s="30"/>
      <c r="G178" s="30"/>
      <c r="J178" s="30" t="str">
        <v>tengah</v>
      </c>
      <c r="K178" s="30"/>
      <c r="L178" s="30"/>
      <c r="O178" s="30" t="str">
        <v>tengah</v>
      </c>
      <c r="P178" s="30"/>
      <c r="Q178" s="30"/>
      <c r="T178" s="30" t="str">
        <v>tengah</v>
      </c>
      <c r="U178" s="30"/>
      <c r="V178" s="30"/>
    </row>
    <row r="179" spans="5:22">
      <c r="E179" s="30" t="str">
        <v>tengah</v>
      </c>
      <c r="F179" s="36" t="s">
        <v>210</v>
      </c>
      <c r="G179" s="30"/>
      <c r="J179" s="30" t="str">
        <v>tengah</v>
      </c>
      <c r="K179" s="36" t="s">
        <v>211</v>
      </c>
      <c r="L179" s="30"/>
      <c r="O179" s="30" t="str">
        <v>kiri</v>
      </c>
      <c r="P179" s="36" t="s">
        <v>215</v>
      </c>
      <c r="Q179" s="30"/>
      <c r="T179" s="30" t="str">
        <v>kanan</v>
      </c>
      <c r="U179" s="30" t="s">
        <v>198</v>
      </c>
      <c r="V179" s="30"/>
    </row>
    <row r="180" spans="5:22">
      <c r="E180" s="30" t="str">
        <v>tengah</v>
      </c>
      <c r="F180" s="30">
        <f t="array" ref="F180">SUMPRODUCT((E170:E332="kiri")*(M2:M164=1))</f>
        <v>4</v>
      </c>
      <c r="G180" s="30">
        <f>F180/49</f>
        <v>0.0816326530612245</v>
      </c>
      <c r="J180" s="30" t="str">
        <v>tengah</v>
      </c>
      <c r="K180" s="30">
        <f>COUNTIFS($J$170:$J$332,"Kiri",$M$2:$M$164,"1")</f>
        <v>3</v>
      </c>
      <c r="L180" s="30">
        <f>K180/31</f>
        <v>0.0967741935483871</v>
      </c>
      <c r="O180" s="30" t="str">
        <v>tengah</v>
      </c>
      <c r="P180" s="30">
        <f>COUNTIFS($O$170:$O$332,"Kiri",$M$2:$M$164,"1")</f>
        <v>17</v>
      </c>
      <c r="Q180" s="30">
        <f>P180/29</f>
        <v>0.586206896551724</v>
      </c>
      <c r="T180" s="30" t="str">
        <v>tengah</v>
      </c>
      <c r="U180" s="30">
        <f>COUNTIFS($T$170:$T$332,"Kiri",$M$2:$M$164,"1")</f>
        <v>0</v>
      </c>
      <c r="V180" s="30">
        <f>U180/57</f>
        <v>0</v>
      </c>
    </row>
    <row r="181" spans="5:22">
      <c r="E181" s="30" t="str">
        <v>tengah</v>
      </c>
      <c r="F181" s="30">
        <f t="array" ref="F181">SUMPRODUCT((E170:E332="kiri")*(M2:M164=2))</f>
        <v>21</v>
      </c>
      <c r="G181" s="30">
        <f t="shared" ref="G181:G182" si="7">F181/49</f>
        <v>0.428571428571429</v>
      </c>
      <c r="J181" s="30" t="str">
        <v>kiri</v>
      </c>
      <c r="K181" s="30">
        <f>COUNTIFS($J$170:$J$332,"Kiri",$M$2:$M$164,"2")</f>
        <v>10</v>
      </c>
      <c r="L181" s="30">
        <f t="shared" ref="L181:L182" si="8">K181/31</f>
        <v>0.32258064516129</v>
      </c>
      <c r="O181" s="30" t="str">
        <v>tengah</v>
      </c>
      <c r="P181" s="30">
        <f>COUNTIFS($O$170:$O$332,"Kiri",$M$2:$M$164,"2")</f>
        <v>12</v>
      </c>
      <c r="Q181" s="30">
        <f t="shared" ref="Q181:Q182" si="9">P181/29</f>
        <v>0.413793103448276</v>
      </c>
      <c r="T181" s="30" t="str">
        <v>tengah</v>
      </c>
      <c r="U181" s="30">
        <f>COUNTIFS($T$170:$T$332,"Kiri",$M$2:$M$164,"2")</f>
        <v>0</v>
      </c>
      <c r="V181" s="30">
        <f>U181/57</f>
        <v>0</v>
      </c>
    </row>
    <row r="182" spans="5:22">
      <c r="E182" s="30" t="str">
        <v>tengah</v>
      </c>
      <c r="F182" s="30">
        <f t="array" ref="F182">SUMPRODUCT((E170:E332="kiri")*(M2:M164=3))</f>
        <v>24</v>
      </c>
      <c r="G182" s="30">
        <f t="shared" si="7"/>
        <v>0.489795918367347</v>
      </c>
      <c r="J182" s="30" t="str">
        <v>tengah</v>
      </c>
      <c r="K182" s="30">
        <f>COUNTIFS($J$170:$J$332,"Kiri",$M$2:$M$164,"3")</f>
        <v>18</v>
      </c>
      <c r="L182" s="30">
        <f t="shared" si="8"/>
        <v>0.580645161290323</v>
      </c>
      <c r="O182" s="30" t="str">
        <v>kanan</v>
      </c>
      <c r="P182" s="30">
        <f>COUNTIFS($O$170:$O$332,"Kiri",$M$2:$M$164,"3")</f>
        <v>0</v>
      </c>
      <c r="Q182" s="30">
        <f t="shared" si="9"/>
        <v>0</v>
      </c>
      <c r="T182" s="30" t="str">
        <v>tengah</v>
      </c>
      <c r="U182" s="30">
        <f>COUNTIFS($T$170:$T$332,"Kiri",$M$2:$M$164,"3")</f>
        <v>0</v>
      </c>
      <c r="V182" s="30">
        <f>U182/57</f>
        <v>0</v>
      </c>
    </row>
    <row r="183" spans="5:22">
      <c r="E183" s="30" t="str">
        <v>tengah</v>
      </c>
      <c r="F183" s="30" t="s">
        <v>194</v>
      </c>
      <c r="G183" s="30">
        <f>-(IFERROR(G180*LOG(G180,2),0)+IFERROR(G181*LOG(G181,2),0)+IFERROR(G182*LOG(G182,2),0))</f>
        <v>1.32332686665272</v>
      </c>
      <c r="J183" s="30" t="str">
        <v>tengah</v>
      </c>
      <c r="K183" s="30" t="s">
        <v>194</v>
      </c>
      <c r="L183" s="30">
        <f>-(IFERROR(L180*LOG(L180,2),0)+IFERROR(L181*LOG(L181,2),0)+IFERROR(L182*LOG(L182,2),0))</f>
        <v>1.30797635951595</v>
      </c>
      <c r="O183" s="30" t="str">
        <v>tengah</v>
      </c>
      <c r="P183" s="30" t="s">
        <v>194</v>
      </c>
      <c r="Q183" s="30">
        <f>-(IFERROR(Q180*LOG(Q180,2),0)+IFERROR(Q181*LOG(Q181,2),0)+IFERROR(Q182*LOG(Q182,2),0))</f>
        <v>0.978449329268619</v>
      </c>
      <c r="T183" s="30" t="str">
        <v>tengah</v>
      </c>
      <c r="U183" s="30" t="s">
        <v>194</v>
      </c>
      <c r="V183" s="30">
        <f>-(IFERROR(V180*LOG(V180,2),0)+IFERROR(V181*LOG(V181,2),0)+IFERROR(V182*LOG(V182,2),0))</f>
        <v>0</v>
      </c>
    </row>
    <row r="184" spans="5:22">
      <c r="E184" s="30" t="str">
        <v>kanan</v>
      </c>
      <c r="F184" s="30"/>
      <c r="G184" s="30">
        <f>SUM(F180:F182)/163</f>
        <v>0.300613496932515</v>
      </c>
      <c r="J184" s="30" t="str">
        <v>kanan</v>
      </c>
      <c r="K184" s="30"/>
      <c r="L184" s="30">
        <f>SUM(K180:K182)/163</f>
        <v>0.190184049079755</v>
      </c>
      <c r="O184" s="30" t="str">
        <v>tengah</v>
      </c>
      <c r="P184" s="30"/>
      <c r="Q184" s="30">
        <f>SUM(P180:P182)/163</f>
        <v>0.177914110429448</v>
      </c>
      <c r="T184" s="30" t="str">
        <v>tengah</v>
      </c>
      <c r="U184" s="30"/>
      <c r="V184" s="30">
        <f>SUM(U180:U182)/163</f>
        <v>0</v>
      </c>
    </row>
    <row r="185" spans="5:22">
      <c r="E185" s="30" t="str">
        <v>kanan</v>
      </c>
      <c r="F185" s="30"/>
      <c r="G185" s="37">
        <f>G183*G184</f>
        <v>0.397809916969224</v>
      </c>
      <c r="J185" s="30" t="str">
        <v>kanan</v>
      </c>
      <c r="K185" s="30"/>
      <c r="L185" s="37">
        <f>L183*L184</f>
        <v>0.24875624015334</v>
      </c>
      <c r="O185" s="30" t="str">
        <v>tengah</v>
      </c>
      <c r="P185" s="30"/>
      <c r="Q185" s="37">
        <f>Q183*Q184</f>
        <v>0.174079942017116</v>
      </c>
      <c r="T185" s="30" t="str">
        <v>kanan</v>
      </c>
      <c r="U185" s="30"/>
      <c r="V185" s="37">
        <f>V183*V184</f>
        <v>0</v>
      </c>
    </row>
    <row r="186" spans="5:22">
      <c r="E186" s="30" t="str">
        <v>tengah</v>
      </c>
      <c r="F186" s="30"/>
      <c r="G186" s="30"/>
      <c r="J186" s="30" t="str">
        <v>tengah</v>
      </c>
      <c r="K186" s="30"/>
      <c r="L186" s="30"/>
      <c r="O186" s="30" t="str">
        <v>tengah</v>
      </c>
      <c r="P186" s="30"/>
      <c r="Q186" s="30"/>
      <c r="T186" s="30" t="str">
        <v>tengah</v>
      </c>
      <c r="U186" s="30"/>
      <c r="V186" s="30"/>
    </row>
    <row r="187" spans="5:22">
      <c r="E187" s="30" t="str">
        <v>tengah</v>
      </c>
      <c r="F187" s="30"/>
      <c r="G187" s="30"/>
      <c r="J187" s="30" t="str">
        <v>tengah</v>
      </c>
      <c r="K187" s="30"/>
      <c r="L187" s="30"/>
      <c r="O187" s="30" t="str">
        <v>kiri</v>
      </c>
      <c r="P187" s="30"/>
      <c r="Q187" s="30"/>
      <c r="T187" s="30" t="str">
        <v>kanan</v>
      </c>
      <c r="U187" s="30"/>
      <c r="V187" s="30"/>
    </row>
    <row r="188" spans="5:22">
      <c r="E188" s="30" t="str">
        <v>tengah</v>
      </c>
      <c r="F188" s="30" t="s">
        <v>199</v>
      </c>
      <c r="G188" s="30"/>
      <c r="J188" s="30" t="str">
        <v>tengah</v>
      </c>
      <c r="K188" s="30" t="s">
        <v>199</v>
      </c>
      <c r="L188" s="30"/>
      <c r="O188" s="30" t="str">
        <v>tengah</v>
      </c>
      <c r="P188" s="30" t="s">
        <v>199</v>
      </c>
      <c r="Q188" s="30"/>
      <c r="T188" s="30" t="str">
        <v>kanan</v>
      </c>
      <c r="U188" s="30" t="s">
        <v>199</v>
      </c>
      <c r="V188" s="30"/>
    </row>
    <row r="189" spans="5:22">
      <c r="E189" s="30" t="str">
        <v>tengah</v>
      </c>
      <c r="F189" s="30">
        <f t="array" ref="F189">SUMPRODUCT((E170:E332="tengah")*(M2:M164=1))</f>
        <v>13</v>
      </c>
      <c r="G189" s="30">
        <f>F189/85</f>
        <v>0.152941176470588</v>
      </c>
      <c r="J189" s="30" t="str">
        <v>tengah</v>
      </c>
      <c r="K189" s="30">
        <f>COUNTIFS($J$170:$J$332,"Tengah",$M$2:$M$164,"1")</f>
        <v>10</v>
      </c>
      <c r="L189" s="30">
        <f>K189/93</f>
        <v>0.10752688172043</v>
      </c>
      <c r="O189" s="30" t="str">
        <v>kiri</v>
      </c>
      <c r="P189" s="30">
        <f>COUNTIFS($O$170:$O$332,"Tengah",$M$2:$M$164,"1")</f>
        <v>0</v>
      </c>
      <c r="Q189" s="30">
        <f>P189/107</f>
        <v>0</v>
      </c>
      <c r="T189" s="30" t="str">
        <v>kanan</v>
      </c>
      <c r="U189" s="30">
        <f>COUNTIFS($T$170:$T$332,"Tengah",$M$2:$M$164,"1")</f>
        <v>5</v>
      </c>
      <c r="V189" s="30">
        <f>U189/82</f>
        <v>0.0609756097560976</v>
      </c>
    </row>
    <row r="190" spans="5:22">
      <c r="E190" s="30" t="str">
        <v>kanan</v>
      </c>
      <c r="F190" s="30">
        <f t="array" ref="F190">SUMPRODUCT((E170:E332="tengah")*(M2:M164=2))</f>
        <v>40</v>
      </c>
      <c r="G190" s="30">
        <f t="shared" ref="G190:G191" si="10">F190/85</f>
        <v>0.470588235294118</v>
      </c>
      <c r="J190" s="30" t="str">
        <v>kiri</v>
      </c>
      <c r="K190" s="30">
        <f>COUNTIFS($J$170:$J$332,"Tengah",$M$2:$M$164,"2")</f>
        <v>47</v>
      </c>
      <c r="L190" s="30">
        <f t="shared" ref="L190:L191" si="11">K190/93</f>
        <v>0.505376344086022</v>
      </c>
      <c r="O190" s="30" t="str">
        <v>kiri</v>
      </c>
      <c r="P190" s="30">
        <f>COUNTIFS($O$170:$O$332,"Tengah",$M$2:$M$164,"2")</f>
        <v>65</v>
      </c>
      <c r="Q190" s="30">
        <f t="shared" ref="Q190:Q191" si="12">P190/107</f>
        <v>0.607476635514019</v>
      </c>
      <c r="T190" s="30" t="str">
        <v>tengah</v>
      </c>
      <c r="U190" s="30">
        <f>COUNTIFS($T$170:$T$332,"Tengah",$M$2:$M$164,"2")</f>
        <v>40</v>
      </c>
      <c r="V190" s="30">
        <f t="shared" ref="V190:V191" si="13">U190/82</f>
        <v>0.48780487804878</v>
      </c>
    </row>
    <row r="191" spans="5:22">
      <c r="E191" s="30" t="str">
        <v>tengah</v>
      </c>
      <c r="F191" s="30">
        <f t="array" ref="F191">SUMPRODUCT((E170:E332="tengah")*(M2:M164=3))</f>
        <v>32</v>
      </c>
      <c r="G191" s="30">
        <f t="shared" si="10"/>
        <v>0.376470588235294</v>
      </c>
      <c r="J191" s="30" t="str">
        <v>kanan</v>
      </c>
      <c r="K191" s="30">
        <f>COUNTIFS($J$170:$J$332,"Tengah",$M$2:$M$164,"3")</f>
        <v>36</v>
      </c>
      <c r="L191" s="30">
        <f t="shared" si="11"/>
        <v>0.387096774193548</v>
      </c>
      <c r="O191" s="30" t="str">
        <v>tengah</v>
      </c>
      <c r="P191" s="30">
        <f>COUNTIFS($O$170:$O$332,"Tengah",$M$2:$M$164,"3")</f>
        <v>42</v>
      </c>
      <c r="Q191" s="30">
        <f t="shared" si="12"/>
        <v>0.392523364485981</v>
      </c>
      <c r="T191" s="30" t="str">
        <v>kanan</v>
      </c>
      <c r="U191" s="30">
        <f>COUNTIFS($T$170:$T$332,"Tengah",$M$2:$M$164,"3")</f>
        <v>35</v>
      </c>
      <c r="V191" s="30">
        <f t="shared" si="13"/>
        <v>0.426829268292683</v>
      </c>
    </row>
    <row r="192" spans="5:22">
      <c r="E192" s="30" t="str">
        <v>kiri</v>
      </c>
      <c r="F192" s="30" t="s">
        <v>194</v>
      </c>
      <c r="G192" s="30">
        <f>-(IFERROR(G189*LOG(G189,2),0)+IFERROR(G190*LOG(G190,2),0)+IFERROR(G191*LOG(G191,2),0))</f>
        <v>1.45665164047501</v>
      </c>
      <c r="J192" s="30" t="str">
        <v>tengah</v>
      </c>
      <c r="K192" s="30" t="s">
        <v>194</v>
      </c>
      <c r="L192" s="30">
        <f>-(IFERROR(L189*LOG(L189,2),0)+IFERROR(L190*LOG(L190,2),0)+IFERROR(L191*LOG(L191,2),0))</f>
        <v>1.37354314412259</v>
      </c>
      <c r="O192" s="30" t="str">
        <v>kanan</v>
      </c>
      <c r="P192" s="30" t="s">
        <v>194</v>
      </c>
      <c r="Q192" s="30">
        <f>-(IFERROR(Q189*LOG(Q189,2),0)+IFERROR(Q190*LOG(Q190,2),0)+IFERROR(Q191*LOG(Q191,2),0))</f>
        <v>0.966408672349208</v>
      </c>
      <c r="T192" s="30" t="str">
        <v>kanan</v>
      </c>
      <c r="U192" s="30" t="s">
        <v>194</v>
      </c>
      <c r="V192" s="30">
        <f>-(IFERROR(V189*LOG(V189,2),0)+IFERROR(V190*LOG(V190,2),0)+IFERROR(V191*LOG(V191,2),0))</f>
        <v>1.27551817690782</v>
      </c>
    </row>
    <row r="193" spans="5:22">
      <c r="E193" s="30" t="str">
        <v>kiri</v>
      </c>
      <c r="F193" s="30"/>
      <c r="G193" s="30">
        <f>SUM(F189:F191)/163</f>
        <v>0.521472392638037</v>
      </c>
      <c r="J193" s="30" t="str">
        <v>kanan</v>
      </c>
      <c r="K193" s="30"/>
      <c r="L193" s="30">
        <f>SUM(K189:K191)/163</f>
        <v>0.570552147239264</v>
      </c>
      <c r="O193" s="30" t="str">
        <v>kiri</v>
      </c>
      <c r="P193" s="30"/>
      <c r="Q193" s="30">
        <f>SUM(P189:P191)/163</f>
        <v>0.656441717791411</v>
      </c>
      <c r="T193" s="30" t="str">
        <v>kanan</v>
      </c>
      <c r="U193" s="30"/>
      <c r="V193" s="30">
        <f>SUM(U189:U191)/163</f>
        <v>0.49079754601227</v>
      </c>
    </row>
    <row r="194" spans="5:22">
      <c r="E194" s="30" t="str">
        <v>tengah</v>
      </c>
      <c r="F194" s="30"/>
      <c r="G194" s="37">
        <f>G192*G193</f>
        <v>0.759603616198626</v>
      </c>
      <c r="J194" s="30" t="str">
        <v>tengah</v>
      </c>
      <c r="K194" s="30"/>
      <c r="L194" s="37">
        <f>L192*L193</f>
        <v>0.783677990204915</v>
      </c>
      <c r="O194" s="30" t="str">
        <v>kiri</v>
      </c>
      <c r="P194" s="30"/>
      <c r="Q194" s="37">
        <f>Q192*Q193</f>
        <v>0.634390968965431</v>
      </c>
      <c r="T194" s="30" t="str">
        <v>kanan</v>
      </c>
      <c r="U194" s="30"/>
      <c r="V194" s="37">
        <f>V192*V193</f>
        <v>0.626021191120404</v>
      </c>
    </row>
    <row r="195" spans="5:22">
      <c r="E195" s="30" t="str">
        <v>tengah</v>
      </c>
      <c r="F195" s="30"/>
      <c r="G195" s="30"/>
      <c r="J195" s="30" t="str">
        <v>tengah</v>
      </c>
      <c r="K195" s="30"/>
      <c r="L195" s="30"/>
      <c r="O195" s="30" t="str">
        <v>tengah</v>
      </c>
      <c r="P195" s="30"/>
      <c r="Q195" s="30"/>
      <c r="T195" s="30" t="str">
        <v>tengah</v>
      </c>
      <c r="U195" s="30"/>
      <c r="V195" s="30"/>
    </row>
    <row r="196" spans="5:22">
      <c r="E196" s="30" t="str">
        <v>kiri</v>
      </c>
      <c r="F196" s="30" t="s">
        <v>200</v>
      </c>
      <c r="G196" s="36" t="s">
        <v>194</v>
      </c>
      <c r="J196" s="30" t="str">
        <v>tengah</v>
      </c>
      <c r="K196" s="30" t="s">
        <v>200</v>
      </c>
      <c r="L196" s="36" t="s">
        <v>194</v>
      </c>
      <c r="O196" s="30" t="str">
        <v>tengah</v>
      </c>
      <c r="P196" s="30" t="s">
        <v>200</v>
      </c>
      <c r="Q196" s="36" t="s">
        <v>194</v>
      </c>
      <c r="T196" s="30" t="str">
        <v>tengah</v>
      </c>
      <c r="U196" s="30" t="s">
        <v>200</v>
      </c>
      <c r="V196" s="36" t="s">
        <v>194</v>
      </c>
    </row>
    <row r="197" spans="5:22">
      <c r="E197" s="30" t="str">
        <v>tengah</v>
      </c>
      <c r="F197" s="41">
        <f>P5-(G176+G185+G194)</f>
        <v>0.042275651889472</v>
      </c>
      <c r="G197" s="37">
        <f>(G176+G185+G194)</f>
        <v>1.33395176950445</v>
      </c>
      <c r="J197" s="30" t="str">
        <v>kanan</v>
      </c>
      <c r="K197" s="41">
        <f>P5-(L176+L185+L194)</f>
        <v>0.0180952419328868</v>
      </c>
      <c r="L197" s="37">
        <f>(L176+L185+L194)</f>
        <v>1.35813217946103</v>
      </c>
      <c r="O197" s="30" t="str">
        <v>tengah</v>
      </c>
      <c r="P197" s="41">
        <f>P5-(Q176+Q185+Q194)</f>
        <v>0.567756510411372</v>
      </c>
      <c r="Q197" s="37">
        <f>(Q176+Q185+Q194)</f>
        <v>0.808470910982547</v>
      </c>
      <c r="T197" s="30" t="str">
        <v>kanan</v>
      </c>
      <c r="U197" s="41">
        <f>P5-(V176+V185+V194)</f>
        <v>0.0116466495228509</v>
      </c>
      <c r="V197" s="37">
        <f>(V176+V185+V194)</f>
        <v>1.36458077187107</v>
      </c>
    </row>
    <row r="198" spans="5:22">
      <c r="E198" s="30" t="str">
        <v>kiri</v>
      </c>
      <c r="F198" s="30"/>
      <c r="G198" s="30"/>
      <c r="J198" s="30" t="str">
        <v>kanan</v>
      </c>
      <c r="K198" s="30"/>
      <c r="L198" s="30"/>
      <c r="O198" s="30" t="str">
        <v>tengah</v>
      </c>
      <c r="P198" s="30"/>
      <c r="Q198" s="30"/>
      <c r="T198" s="30" t="str">
        <v>kanan</v>
      </c>
      <c r="U198" s="30"/>
      <c r="V198" s="30"/>
    </row>
    <row r="199" spans="5:22">
      <c r="E199" s="30" t="str">
        <v>kiri</v>
      </c>
      <c r="F199" s="30"/>
      <c r="G199" s="30"/>
      <c r="J199" s="30" t="str">
        <v>tengah</v>
      </c>
      <c r="K199" s="30"/>
      <c r="L199" s="30"/>
      <c r="O199" s="30" t="str">
        <v>tengah</v>
      </c>
      <c r="P199" s="30"/>
      <c r="Q199" s="30"/>
      <c r="T199" s="30" t="str">
        <v>tengah</v>
      </c>
      <c r="U199" s="30"/>
      <c r="V199" s="30"/>
    </row>
    <row r="200" spans="5:22">
      <c r="E200" s="30" t="str">
        <v>kiri</v>
      </c>
      <c r="F200" s="30"/>
      <c r="G200" s="30"/>
      <c r="J200" s="30" t="str">
        <v>tengah</v>
      </c>
      <c r="K200" s="30"/>
      <c r="L200" s="30"/>
      <c r="O200" s="30" t="str">
        <v>tengah</v>
      </c>
      <c r="P200" s="30"/>
      <c r="Q200" s="30"/>
      <c r="T200" s="30" t="str">
        <v>tengah</v>
      </c>
      <c r="U200" s="30"/>
      <c r="V200" s="30"/>
    </row>
    <row r="201" spans="5:22">
      <c r="E201" s="30" t="str">
        <v>tengah</v>
      </c>
      <c r="F201" s="30"/>
      <c r="G201" s="30"/>
      <c r="J201" s="30" t="str">
        <v>kiri</v>
      </c>
      <c r="K201" s="30"/>
      <c r="L201" s="30"/>
      <c r="O201" s="30" t="str">
        <v>tengah</v>
      </c>
      <c r="P201" s="30"/>
      <c r="Q201" s="30"/>
      <c r="T201" s="30" t="str">
        <v>kanan</v>
      </c>
      <c r="U201" s="30"/>
      <c r="V201" s="30"/>
    </row>
    <row r="202" spans="5:22">
      <c r="E202" s="30" t="str">
        <v>kiri</v>
      </c>
      <c r="F202" s="30"/>
      <c r="G202" s="30"/>
      <c r="J202" s="30" t="str">
        <v>tengah</v>
      </c>
      <c r="K202" s="30"/>
      <c r="L202" s="30"/>
      <c r="O202" s="30" t="str">
        <v>tengah</v>
      </c>
      <c r="P202" s="30"/>
      <c r="Q202" s="30"/>
      <c r="T202" s="30" t="str">
        <v>tengah</v>
      </c>
      <c r="U202" s="30"/>
      <c r="V202" s="30"/>
    </row>
    <row r="203" spans="5:22">
      <c r="E203" s="30" t="str">
        <v>kanan</v>
      </c>
      <c r="F203" s="30"/>
      <c r="G203" s="30"/>
      <c r="J203" s="30" t="str">
        <v>kanan</v>
      </c>
      <c r="K203" s="30"/>
      <c r="L203" s="30"/>
      <c r="O203" s="30" t="str">
        <v>tengah</v>
      </c>
      <c r="P203" s="30"/>
      <c r="Q203" s="30"/>
      <c r="T203" s="30" t="str">
        <v>tengah</v>
      </c>
      <c r="U203" s="30"/>
      <c r="V203" s="30"/>
    </row>
    <row r="204" spans="5:22">
      <c r="E204" s="30" t="str">
        <v>tengah</v>
      </c>
      <c r="F204" s="30"/>
      <c r="G204" s="30"/>
      <c r="J204" s="30" t="str">
        <v>kiri</v>
      </c>
      <c r="K204" s="30"/>
      <c r="L204" s="30"/>
      <c r="O204" s="30" t="str">
        <v>tengah</v>
      </c>
      <c r="P204" s="30"/>
      <c r="Q204" s="30"/>
      <c r="T204" s="30" t="str">
        <v>kanan</v>
      </c>
      <c r="U204" s="30"/>
      <c r="V204" s="30"/>
    </row>
    <row r="205" spans="5:22">
      <c r="E205" s="30" t="str">
        <v>tengah</v>
      </c>
      <c r="F205" s="30"/>
      <c r="G205" s="30"/>
      <c r="J205" s="30" t="str">
        <v>tengah</v>
      </c>
      <c r="K205" s="30"/>
      <c r="L205" s="30"/>
      <c r="O205" s="30" t="str">
        <v>tengah</v>
      </c>
      <c r="P205" s="30"/>
      <c r="Q205" s="30"/>
      <c r="T205" s="30" t="str">
        <v>tengah</v>
      </c>
      <c r="U205" s="30"/>
      <c r="V205" s="30"/>
    </row>
    <row r="206" spans="5:22">
      <c r="E206" s="30" t="str">
        <v>tengah</v>
      </c>
      <c r="F206" s="30"/>
      <c r="G206" s="30"/>
      <c r="J206" s="30" t="str">
        <v>tengah</v>
      </c>
      <c r="K206" s="30"/>
      <c r="L206" s="30"/>
      <c r="O206" s="30" t="str">
        <v>tengah</v>
      </c>
      <c r="P206" s="30"/>
      <c r="Q206" s="30"/>
      <c r="T206" s="30" t="str">
        <v>kanan</v>
      </c>
      <c r="U206" s="30"/>
      <c r="V206" s="30"/>
    </row>
    <row r="207" spans="5:22">
      <c r="E207" s="30" t="str">
        <v>kiri</v>
      </c>
      <c r="F207" s="30"/>
      <c r="G207" s="30"/>
      <c r="J207" s="30" t="str">
        <v>kanan</v>
      </c>
      <c r="K207" s="30"/>
      <c r="L207" s="30"/>
      <c r="O207" s="30" t="str">
        <v>kiri</v>
      </c>
      <c r="P207" s="30"/>
      <c r="Q207" s="30"/>
      <c r="T207" s="30" t="str">
        <v>tengah</v>
      </c>
      <c r="U207" s="30"/>
      <c r="V207" s="30"/>
    </row>
    <row r="208" spans="5:22">
      <c r="E208" s="30" t="str">
        <v>tengah</v>
      </c>
      <c r="F208" s="30"/>
      <c r="G208" s="30"/>
      <c r="J208" s="30" t="str">
        <v>kanan</v>
      </c>
      <c r="K208" s="30"/>
      <c r="L208" s="30"/>
      <c r="O208" s="30" t="str">
        <v>tengah</v>
      </c>
      <c r="P208" s="30"/>
      <c r="Q208" s="30"/>
      <c r="T208" s="30" t="str">
        <v>kanan</v>
      </c>
      <c r="U208" s="30"/>
      <c r="V208" s="30"/>
    </row>
    <row r="209" spans="5:22">
      <c r="E209" s="30" t="str">
        <v>tengah</v>
      </c>
      <c r="F209" s="30"/>
      <c r="G209" s="30"/>
      <c r="J209" s="30" t="str">
        <v>kiri</v>
      </c>
      <c r="K209" s="30"/>
      <c r="L209" s="30"/>
      <c r="O209" s="30" t="str">
        <v>kiri</v>
      </c>
      <c r="P209" s="30"/>
      <c r="Q209" s="30"/>
      <c r="T209" s="30" t="str">
        <v>tengah</v>
      </c>
      <c r="U209" s="30"/>
      <c r="V209" s="30"/>
    </row>
    <row r="210" spans="5:22">
      <c r="E210" s="30" t="str">
        <v>kiri</v>
      </c>
      <c r="F210" s="30"/>
      <c r="G210" s="30"/>
      <c r="J210" s="30" t="str">
        <v>kanan</v>
      </c>
      <c r="K210" s="30"/>
      <c r="L210" s="30"/>
      <c r="O210" s="30" t="str">
        <v>tengah</v>
      </c>
      <c r="P210" s="30"/>
      <c r="Q210" s="30"/>
      <c r="T210" s="30" t="str">
        <v>kanan</v>
      </c>
      <c r="U210" s="30"/>
      <c r="V210" s="30"/>
    </row>
    <row r="211" spans="5:22">
      <c r="E211" s="30" t="str">
        <v>kanan</v>
      </c>
      <c r="F211" s="30"/>
      <c r="G211" s="30"/>
      <c r="J211" s="30" t="str">
        <v>kiri</v>
      </c>
      <c r="K211" s="30"/>
      <c r="L211" s="30"/>
      <c r="O211" s="30" t="str">
        <v>kiri</v>
      </c>
      <c r="P211" s="30"/>
      <c r="Q211" s="30"/>
      <c r="T211" s="30" t="str">
        <v>tengah</v>
      </c>
      <c r="U211" s="30"/>
      <c r="V211" s="30"/>
    </row>
    <row r="212" spans="5:22">
      <c r="E212" s="30" t="str">
        <v>kanan</v>
      </c>
      <c r="F212" s="30"/>
      <c r="G212" s="30"/>
      <c r="J212" s="30" t="str">
        <v>tengah</v>
      </c>
      <c r="K212" s="30"/>
      <c r="L212" s="30"/>
      <c r="O212" s="30" t="str">
        <v>tengah</v>
      </c>
      <c r="P212" s="30"/>
      <c r="Q212" s="30"/>
      <c r="T212" s="30" t="str">
        <v>kanan</v>
      </c>
      <c r="U212" s="30"/>
      <c r="V212" s="30"/>
    </row>
    <row r="213" spans="5:22">
      <c r="E213" s="30" t="str">
        <v>tengah</v>
      </c>
      <c r="F213" s="30"/>
      <c r="G213" s="30"/>
      <c r="J213" s="30" t="str">
        <v>tengah</v>
      </c>
      <c r="K213" s="30"/>
      <c r="L213" s="30"/>
      <c r="O213" s="30" t="str">
        <v>tengah</v>
      </c>
      <c r="P213" s="30"/>
      <c r="Q213" s="30"/>
      <c r="T213" s="30" t="str">
        <v>tengah</v>
      </c>
      <c r="U213" s="30"/>
      <c r="V213" s="30"/>
    </row>
    <row r="214" spans="5:22">
      <c r="E214" s="30" t="str">
        <v>kiri</v>
      </c>
      <c r="F214" s="30"/>
      <c r="G214" s="30"/>
      <c r="J214" s="30" t="str">
        <v>tengah</v>
      </c>
      <c r="K214" s="30"/>
      <c r="L214" s="30"/>
      <c r="O214" s="30" t="str">
        <v>tengah</v>
      </c>
      <c r="P214" s="30"/>
      <c r="Q214" s="30"/>
      <c r="T214" s="30" t="str">
        <v>tengah</v>
      </c>
      <c r="U214" s="30"/>
      <c r="V214" s="30"/>
    </row>
    <row r="215" spans="5:22">
      <c r="E215" s="30" t="str">
        <v>kanan</v>
      </c>
      <c r="F215" s="30"/>
      <c r="G215" s="30"/>
      <c r="J215" s="30" t="str">
        <v>tengah</v>
      </c>
      <c r="K215" s="30"/>
      <c r="L215" s="30"/>
      <c r="O215" s="30" t="str">
        <v>tengah</v>
      </c>
      <c r="P215" s="30"/>
      <c r="Q215" s="30"/>
      <c r="T215" s="30" t="str">
        <v>tengah</v>
      </c>
      <c r="U215" s="30"/>
      <c r="V215" s="30"/>
    </row>
    <row r="216" spans="5:22">
      <c r="E216" s="30" t="str">
        <v>kiri</v>
      </c>
      <c r="F216" s="30"/>
      <c r="G216" s="30"/>
      <c r="J216" s="30" t="str">
        <v>kanan</v>
      </c>
      <c r="K216" s="30"/>
      <c r="L216" s="30"/>
      <c r="O216" s="30" t="str">
        <v>tengah</v>
      </c>
      <c r="P216" s="30"/>
      <c r="Q216" s="30"/>
      <c r="T216" s="30" t="str">
        <v>kanan</v>
      </c>
      <c r="U216" s="30"/>
      <c r="V216" s="30"/>
    </row>
    <row r="217" spans="5:22">
      <c r="E217" s="30" t="str">
        <v>kiri</v>
      </c>
      <c r="F217" s="30"/>
      <c r="G217" s="30"/>
      <c r="J217" s="30" t="str">
        <v>tengah</v>
      </c>
      <c r="K217" s="30"/>
      <c r="L217" s="30"/>
      <c r="O217" s="30" t="str">
        <v>kanan</v>
      </c>
      <c r="P217" s="30"/>
      <c r="Q217" s="30"/>
      <c r="T217" s="30" t="str">
        <v>kanan</v>
      </c>
      <c r="U217" s="30"/>
      <c r="V217" s="30"/>
    </row>
    <row r="218" spans="5:22">
      <c r="E218" s="30" t="str">
        <v>kanan</v>
      </c>
      <c r="F218" s="30"/>
      <c r="G218" s="30"/>
      <c r="J218" s="30" t="str">
        <v>tengah</v>
      </c>
      <c r="K218" s="30"/>
      <c r="L218" s="30"/>
      <c r="O218" s="30" t="str">
        <v>tengah</v>
      </c>
      <c r="P218" s="30"/>
      <c r="Q218" s="30"/>
      <c r="T218" s="30" t="str">
        <v>kanan</v>
      </c>
      <c r="U218" s="30"/>
      <c r="V218" s="30"/>
    </row>
    <row r="219" spans="5:22">
      <c r="E219" s="30" t="str">
        <v>kanan</v>
      </c>
      <c r="F219" s="30"/>
      <c r="G219" s="30"/>
      <c r="J219" s="30" t="str">
        <v>kiri</v>
      </c>
      <c r="K219" s="30"/>
      <c r="L219" s="30"/>
      <c r="O219" s="30" t="str">
        <v>tengah</v>
      </c>
      <c r="P219" s="30"/>
      <c r="Q219" s="30"/>
      <c r="T219" s="30" t="str">
        <v>tengah</v>
      </c>
      <c r="U219" s="30"/>
      <c r="V219" s="30"/>
    </row>
    <row r="220" spans="5:22">
      <c r="E220" s="30" t="str">
        <v>tengah</v>
      </c>
      <c r="F220" s="30"/>
      <c r="G220" s="30"/>
      <c r="J220" s="30" t="str">
        <v>kiri</v>
      </c>
      <c r="K220" s="30"/>
      <c r="L220" s="30"/>
      <c r="O220" s="30" t="str">
        <v>tengah</v>
      </c>
      <c r="P220" s="30"/>
      <c r="Q220" s="30"/>
      <c r="T220" s="30" t="str">
        <v>tengah</v>
      </c>
      <c r="U220" s="30"/>
      <c r="V220" s="30"/>
    </row>
    <row r="221" spans="5:22">
      <c r="E221" s="30" t="str">
        <v>tengah</v>
      </c>
      <c r="F221" s="30"/>
      <c r="G221" s="30"/>
      <c r="J221" s="30" t="str">
        <v>tengah</v>
      </c>
      <c r="K221" s="30"/>
      <c r="L221" s="30"/>
      <c r="O221" s="30" t="str">
        <v>kiri</v>
      </c>
      <c r="P221" s="30"/>
      <c r="Q221" s="30"/>
      <c r="T221" s="30" t="str">
        <v>kanan</v>
      </c>
      <c r="U221" s="30"/>
      <c r="V221" s="30"/>
    </row>
    <row r="222" spans="5:22">
      <c r="E222" s="30" t="str">
        <v>tengah</v>
      </c>
      <c r="F222" s="30"/>
      <c r="G222" s="30"/>
      <c r="J222" s="30" t="str">
        <v>tengah</v>
      </c>
      <c r="K222" s="30"/>
      <c r="L222" s="30"/>
      <c r="O222" s="30" t="str">
        <v>tengah</v>
      </c>
      <c r="P222" s="30"/>
      <c r="Q222" s="30"/>
      <c r="T222" s="30" t="str">
        <v>tengah</v>
      </c>
      <c r="U222" s="30"/>
      <c r="V222" s="30"/>
    </row>
    <row r="223" spans="5:22">
      <c r="E223" s="30" t="str">
        <v>tengah</v>
      </c>
      <c r="F223" s="30"/>
      <c r="G223" s="30"/>
      <c r="J223" s="30" t="str">
        <v>kanan</v>
      </c>
      <c r="K223" s="30"/>
      <c r="L223" s="30"/>
      <c r="O223" s="30" t="str">
        <v>tengah</v>
      </c>
      <c r="P223" s="30"/>
      <c r="Q223" s="30"/>
      <c r="T223" s="30" t="str">
        <v>kanan</v>
      </c>
      <c r="U223" s="30"/>
      <c r="V223" s="30"/>
    </row>
    <row r="224" spans="5:22">
      <c r="E224" s="30" t="str">
        <v>kanan</v>
      </c>
      <c r="F224" s="30"/>
      <c r="G224" s="30"/>
      <c r="J224" s="30" t="str">
        <v>tengah</v>
      </c>
      <c r="K224" s="30"/>
      <c r="L224" s="30"/>
      <c r="O224" s="30" t="str">
        <v>tengah</v>
      </c>
      <c r="P224" s="30"/>
      <c r="Q224" s="30"/>
      <c r="T224" s="30" t="str">
        <v>tengah</v>
      </c>
      <c r="U224" s="30"/>
      <c r="V224" s="30"/>
    </row>
    <row r="225" spans="5:22">
      <c r="E225" s="30" t="str">
        <v>tengah</v>
      </c>
      <c r="F225" s="30"/>
      <c r="G225" s="30"/>
      <c r="J225" s="30" t="str">
        <v>tengah</v>
      </c>
      <c r="K225" s="30"/>
      <c r="L225" s="30"/>
      <c r="O225" s="30" t="str">
        <v>kiri</v>
      </c>
      <c r="P225" s="30"/>
      <c r="Q225" s="30"/>
      <c r="T225" s="30" t="str">
        <v>kanan</v>
      </c>
      <c r="U225" s="30"/>
      <c r="V225" s="30"/>
    </row>
    <row r="226" spans="5:22">
      <c r="E226" s="30" t="str">
        <v>tengah</v>
      </c>
      <c r="F226" s="30"/>
      <c r="G226" s="30"/>
      <c r="J226" s="30" t="str">
        <v>tengah</v>
      </c>
      <c r="K226" s="30"/>
      <c r="L226" s="30"/>
      <c r="O226" s="30" t="str">
        <v>tengah</v>
      </c>
      <c r="P226" s="30"/>
      <c r="Q226" s="30"/>
      <c r="T226" s="30" t="str">
        <v>tengah</v>
      </c>
      <c r="U226" s="30"/>
      <c r="V226" s="30"/>
    </row>
    <row r="227" spans="5:22">
      <c r="E227" s="30" t="str">
        <v>tengah</v>
      </c>
      <c r="F227" s="30"/>
      <c r="G227" s="30"/>
      <c r="J227" s="30" t="str">
        <v>tengah</v>
      </c>
      <c r="K227" s="30"/>
      <c r="L227" s="30"/>
      <c r="O227" s="30" t="str">
        <v>kiri</v>
      </c>
      <c r="P227" s="30"/>
      <c r="Q227" s="30"/>
      <c r="T227" s="30" t="str">
        <v>kanan</v>
      </c>
      <c r="U227" s="30"/>
      <c r="V227" s="30"/>
    </row>
    <row r="228" spans="5:22">
      <c r="E228" s="30" t="str">
        <v>kiri</v>
      </c>
      <c r="F228" s="30"/>
      <c r="G228" s="30"/>
      <c r="J228" s="30" t="str">
        <v>kiri</v>
      </c>
      <c r="K228" s="30"/>
      <c r="L228" s="30"/>
      <c r="O228" s="30" t="str">
        <v>tengah</v>
      </c>
      <c r="P228" s="30"/>
      <c r="Q228" s="30"/>
      <c r="T228" s="30" t="str">
        <v>kanan</v>
      </c>
      <c r="U228" s="30"/>
      <c r="V228" s="30"/>
    </row>
    <row r="229" spans="5:22">
      <c r="E229" s="30" t="str">
        <v>tengah</v>
      </c>
      <c r="F229" s="30"/>
      <c r="G229" s="30"/>
      <c r="J229" s="30" t="str">
        <v>tengah</v>
      </c>
      <c r="K229" s="30"/>
      <c r="L229" s="30"/>
      <c r="O229" s="30" t="str">
        <v>tengah</v>
      </c>
      <c r="P229" s="30"/>
      <c r="Q229" s="30"/>
      <c r="T229" s="30" t="str">
        <v>kanan</v>
      </c>
      <c r="U229" s="30"/>
      <c r="V229" s="30"/>
    </row>
    <row r="230" spans="5:22">
      <c r="E230" s="30" t="str">
        <v>kanan</v>
      </c>
      <c r="F230" s="30"/>
      <c r="G230" s="30"/>
      <c r="J230" s="30" t="str">
        <v>kanan</v>
      </c>
      <c r="K230" s="30"/>
      <c r="L230" s="30"/>
      <c r="O230" s="30" t="str">
        <v>tengah</v>
      </c>
      <c r="P230" s="30"/>
      <c r="Q230" s="30"/>
      <c r="T230" s="30" t="str">
        <v>kanan</v>
      </c>
      <c r="U230" s="30"/>
      <c r="V230" s="30"/>
    </row>
    <row r="231" spans="5:22">
      <c r="E231" s="30" t="str">
        <v>kiri</v>
      </c>
      <c r="F231" s="30"/>
      <c r="G231" s="30"/>
      <c r="J231" s="30" t="str">
        <v>kiri</v>
      </c>
      <c r="K231" s="30"/>
      <c r="L231" s="30"/>
      <c r="O231" s="30" t="str">
        <v>kanan</v>
      </c>
      <c r="P231" s="30"/>
      <c r="Q231" s="30"/>
      <c r="T231" s="30" t="str">
        <v>kanan</v>
      </c>
      <c r="U231" s="30"/>
      <c r="V231" s="30"/>
    </row>
    <row r="232" spans="5:22">
      <c r="E232" s="30" t="str">
        <v>kiri</v>
      </c>
      <c r="F232" s="30"/>
      <c r="G232" s="30"/>
      <c r="J232" s="30" t="str">
        <v>kanan</v>
      </c>
      <c r="K232" s="30"/>
      <c r="L232" s="30"/>
      <c r="O232" s="30" t="str">
        <v>kiri</v>
      </c>
      <c r="P232" s="30"/>
      <c r="Q232" s="30"/>
      <c r="T232" s="30" t="str">
        <v>tengah</v>
      </c>
      <c r="U232" s="30"/>
      <c r="V232" s="30"/>
    </row>
    <row r="233" spans="5:22">
      <c r="E233" s="30" t="str">
        <v>kanan</v>
      </c>
      <c r="F233" s="30"/>
      <c r="G233" s="30"/>
      <c r="J233" s="30" t="str">
        <v>tengah</v>
      </c>
      <c r="K233" s="30"/>
      <c r="L233" s="30"/>
      <c r="O233" s="30" t="str">
        <v>kanan</v>
      </c>
      <c r="P233" s="30"/>
      <c r="Q233" s="30"/>
      <c r="T233" s="30" t="str">
        <v>kanan</v>
      </c>
      <c r="U233" s="30"/>
      <c r="V233" s="30"/>
    </row>
    <row r="234" spans="5:22">
      <c r="E234" s="30" t="str">
        <v>tengah</v>
      </c>
      <c r="F234" s="30"/>
      <c r="G234" s="30"/>
      <c r="J234" s="30" t="str">
        <v>tengah</v>
      </c>
      <c r="K234" s="30"/>
      <c r="L234" s="30"/>
      <c r="O234" s="30" t="str">
        <v>tengah</v>
      </c>
      <c r="P234" s="30"/>
      <c r="Q234" s="30"/>
      <c r="T234" s="30" t="str">
        <v>tengah</v>
      </c>
      <c r="U234" s="30"/>
      <c r="V234" s="30"/>
    </row>
    <row r="235" spans="5:22">
      <c r="E235" s="30" t="str">
        <v>tengah</v>
      </c>
      <c r="F235" s="30"/>
      <c r="G235" s="30"/>
      <c r="J235" s="30" t="str">
        <v>tengah</v>
      </c>
      <c r="K235" s="30"/>
      <c r="L235" s="30"/>
      <c r="O235" s="30" t="str">
        <v>tengah</v>
      </c>
      <c r="P235" s="30"/>
      <c r="Q235" s="30"/>
      <c r="T235" s="30" t="str">
        <v>kanan</v>
      </c>
      <c r="U235" s="30"/>
      <c r="V235" s="30"/>
    </row>
    <row r="236" spans="5:22">
      <c r="E236" s="30" t="str">
        <v>tengah</v>
      </c>
      <c r="F236" s="30"/>
      <c r="G236" s="30"/>
      <c r="J236" s="30" t="str">
        <v>kanan</v>
      </c>
      <c r="K236" s="30"/>
      <c r="L236" s="30"/>
      <c r="O236" s="30" t="str">
        <v>tengah</v>
      </c>
      <c r="P236" s="30"/>
      <c r="Q236" s="30"/>
      <c r="T236" s="30" t="str">
        <v>kanan</v>
      </c>
      <c r="U236" s="30"/>
      <c r="V236" s="30"/>
    </row>
    <row r="237" spans="5:22">
      <c r="E237" s="30" t="str">
        <v>tengah</v>
      </c>
      <c r="F237" s="30"/>
      <c r="G237" s="30"/>
      <c r="J237" s="30" t="str">
        <v>tengah</v>
      </c>
      <c r="K237" s="30"/>
      <c r="L237" s="30"/>
      <c r="O237" s="30" t="str">
        <v>tengah</v>
      </c>
      <c r="P237" s="30"/>
      <c r="Q237" s="30"/>
      <c r="T237" s="30" t="str">
        <v>kanan</v>
      </c>
      <c r="U237" s="30"/>
      <c r="V237" s="30"/>
    </row>
    <row r="238" spans="5:22">
      <c r="E238" s="30" t="str">
        <v>tengah</v>
      </c>
      <c r="F238" s="30"/>
      <c r="G238" s="30"/>
      <c r="J238" s="30" t="str">
        <v>tengah</v>
      </c>
      <c r="K238" s="30"/>
      <c r="L238" s="30"/>
      <c r="O238" s="30" t="str">
        <v>tengah</v>
      </c>
      <c r="P238" s="30"/>
      <c r="Q238" s="30"/>
      <c r="T238" s="30" t="str">
        <v>kanan</v>
      </c>
      <c r="U238" s="30"/>
      <c r="V238" s="30"/>
    </row>
    <row r="239" spans="5:22">
      <c r="E239" s="30" t="str">
        <v>kanan</v>
      </c>
      <c r="F239" s="30"/>
      <c r="G239" s="30"/>
      <c r="J239" s="30" t="str">
        <v>tengah</v>
      </c>
      <c r="K239" s="30"/>
      <c r="L239" s="30"/>
      <c r="O239" s="30" t="str">
        <v>kanan</v>
      </c>
      <c r="P239" s="30"/>
      <c r="Q239" s="30"/>
      <c r="T239" s="30" t="str">
        <v>kanan</v>
      </c>
      <c r="U239" s="30"/>
      <c r="V239" s="30"/>
    </row>
    <row r="240" spans="5:22">
      <c r="E240" s="30" t="str">
        <v>tengah</v>
      </c>
      <c r="F240" s="30"/>
      <c r="G240" s="30"/>
      <c r="J240" s="30" t="str">
        <v>tengah</v>
      </c>
      <c r="K240" s="30"/>
      <c r="L240" s="30"/>
      <c r="O240" s="30" t="str">
        <v>tengah</v>
      </c>
      <c r="P240" s="30"/>
      <c r="Q240" s="30"/>
      <c r="T240" s="30" t="str">
        <v>kanan</v>
      </c>
      <c r="U240" s="30"/>
      <c r="V240" s="30"/>
    </row>
    <row r="241" spans="5:22">
      <c r="E241" s="30" t="str">
        <v>tengah</v>
      </c>
      <c r="F241" s="30"/>
      <c r="G241" s="30"/>
      <c r="J241" s="30" t="str">
        <v>tengah</v>
      </c>
      <c r="K241" s="30"/>
      <c r="L241" s="30"/>
      <c r="O241" s="30" t="str">
        <v>tengah</v>
      </c>
      <c r="P241" s="30"/>
      <c r="Q241" s="30"/>
      <c r="T241" s="30" t="str">
        <v>kanan</v>
      </c>
      <c r="U241" s="30"/>
      <c r="V241" s="30"/>
    </row>
    <row r="242" spans="5:22">
      <c r="E242" s="30" t="str">
        <v>tengah</v>
      </c>
      <c r="F242" s="30"/>
      <c r="G242" s="30"/>
      <c r="J242" s="30" t="str">
        <v>kanan</v>
      </c>
      <c r="K242" s="30"/>
      <c r="L242" s="30"/>
      <c r="O242" s="30" t="str">
        <v>tengah</v>
      </c>
      <c r="P242" s="30"/>
      <c r="Q242" s="30"/>
      <c r="T242" s="30" t="str">
        <v>kanan</v>
      </c>
      <c r="U242" s="30"/>
      <c r="V242" s="30"/>
    </row>
    <row r="243" spans="5:22">
      <c r="E243" s="30" t="str">
        <v>tengah</v>
      </c>
      <c r="F243" s="30"/>
      <c r="G243" s="30"/>
      <c r="J243" s="30" t="str">
        <v>kiri</v>
      </c>
      <c r="K243" s="30"/>
      <c r="L243" s="30"/>
      <c r="O243" s="30" t="str">
        <v>tengah</v>
      </c>
      <c r="P243" s="30"/>
      <c r="Q243" s="30"/>
      <c r="T243" s="30" t="str">
        <v>tengah</v>
      </c>
      <c r="U243" s="30"/>
      <c r="V243" s="30"/>
    </row>
    <row r="244" spans="5:22">
      <c r="E244" s="30" t="str">
        <v>tengah</v>
      </c>
      <c r="F244" s="30"/>
      <c r="G244" s="30"/>
      <c r="J244" s="30" t="str">
        <v>tengah</v>
      </c>
      <c r="K244" s="30"/>
      <c r="L244" s="30"/>
      <c r="O244" s="30" t="str">
        <v>tengah</v>
      </c>
      <c r="P244" s="30"/>
      <c r="Q244" s="30"/>
      <c r="T244" s="30" t="str">
        <v>kanan</v>
      </c>
      <c r="U244" s="30"/>
      <c r="V244" s="30"/>
    </row>
    <row r="245" spans="5:22">
      <c r="E245" s="30" t="str">
        <v>kiri</v>
      </c>
      <c r="F245" s="30"/>
      <c r="G245" s="30"/>
      <c r="J245" s="30" t="str">
        <v>kiri</v>
      </c>
      <c r="K245" s="30"/>
      <c r="L245" s="30"/>
      <c r="O245" s="30" t="str">
        <v>tengah</v>
      </c>
      <c r="P245" s="30"/>
      <c r="Q245" s="30"/>
      <c r="T245" s="30" t="str">
        <v>tengah</v>
      </c>
      <c r="U245" s="30"/>
      <c r="V245" s="30"/>
    </row>
    <row r="246" spans="5:22">
      <c r="E246" s="30" t="str">
        <v>tengah</v>
      </c>
      <c r="F246" s="30"/>
      <c r="G246" s="30"/>
      <c r="J246" s="30" t="str">
        <v>kiri</v>
      </c>
      <c r="K246" s="30"/>
      <c r="L246" s="30"/>
      <c r="O246" s="30" t="str">
        <v>tengah</v>
      </c>
      <c r="P246" s="30"/>
      <c r="Q246" s="30"/>
      <c r="T246" s="30" t="str">
        <v>tengah</v>
      </c>
      <c r="U246" s="30"/>
      <c r="V246" s="30"/>
    </row>
    <row r="247" spans="5:22">
      <c r="E247" s="30" t="str">
        <v>kanan</v>
      </c>
      <c r="F247" s="30"/>
      <c r="G247" s="30"/>
      <c r="J247" s="30" t="str">
        <v>kanan</v>
      </c>
      <c r="K247" s="30"/>
      <c r="L247" s="30"/>
      <c r="O247" s="30" t="str">
        <v>tengah</v>
      </c>
      <c r="P247" s="30"/>
      <c r="Q247" s="30"/>
      <c r="T247" s="30" t="str">
        <v>tengah</v>
      </c>
      <c r="U247" s="30"/>
      <c r="V247" s="30"/>
    </row>
    <row r="248" spans="5:22">
      <c r="E248" s="30" t="str">
        <v>kiri</v>
      </c>
      <c r="F248" s="30"/>
      <c r="G248" s="30"/>
      <c r="J248" s="30" t="str">
        <v>kanan</v>
      </c>
      <c r="K248" s="30"/>
      <c r="L248" s="30"/>
      <c r="O248" s="30" t="str">
        <v>kiri</v>
      </c>
      <c r="P248" s="30"/>
      <c r="Q248" s="30"/>
      <c r="T248" s="30" t="str">
        <v>tengah</v>
      </c>
      <c r="U248" s="30"/>
      <c r="V248" s="30"/>
    </row>
    <row r="249" spans="5:22">
      <c r="E249" s="30" t="str">
        <v>tengah</v>
      </c>
      <c r="F249" s="30"/>
      <c r="G249" s="30"/>
      <c r="J249" s="30" t="str">
        <v>tengah</v>
      </c>
      <c r="K249" s="30"/>
      <c r="L249" s="30"/>
      <c r="O249" s="30" t="str">
        <v>tengah</v>
      </c>
      <c r="P249" s="30"/>
      <c r="Q249" s="30"/>
      <c r="T249" s="30" t="str">
        <v>tengah</v>
      </c>
      <c r="U249" s="30"/>
      <c r="V249" s="30"/>
    </row>
    <row r="250" spans="5:22">
      <c r="E250" s="30" t="str">
        <v>kiri</v>
      </c>
      <c r="F250" s="30"/>
      <c r="G250" s="30"/>
      <c r="J250" s="30" t="str">
        <v>tengah</v>
      </c>
      <c r="K250" s="30"/>
      <c r="L250" s="30"/>
      <c r="O250" s="30" t="str">
        <v>tengah</v>
      </c>
      <c r="P250" s="30"/>
      <c r="Q250" s="30"/>
      <c r="T250" s="30" t="str">
        <v>tengah</v>
      </c>
      <c r="U250" s="30"/>
      <c r="V250" s="30"/>
    </row>
    <row r="251" spans="5:22">
      <c r="E251" s="30" t="str">
        <v>tengah</v>
      </c>
      <c r="F251" s="30"/>
      <c r="G251" s="30"/>
      <c r="J251" s="30" t="str">
        <v>kiri</v>
      </c>
      <c r="K251" s="30"/>
      <c r="L251" s="30"/>
      <c r="O251" s="30" t="str">
        <v>kanan</v>
      </c>
      <c r="P251" s="30"/>
      <c r="Q251" s="30"/>
      <c r="T251" s="30" t="str">
        <v>tengah</v>
      </c>
      <c r="U251" s="30"/>
      <c r="V251" s="30"/>
    </row>
    <row r="252" spans="5:22">
      <c r="E252" s="30" t="str">
        <v>kiri</v>
      </c>
      <c r="F252" s="30"/>
      <c r="G252" s="30"/>
      <c r="J252" s="30" t="str">
        <v>tengah</v>
      </c>
      <c r="K252" s="30"/>
      <c r="L252" s="30"/>
      <c r="O252" s="30" t="str">
        <v>tengah</v>
      </c>
      <c r="P252" s="30"/>
      <c r="Q252" s="30"/>
      <c r="T252" s="30" t="str">
        <v>kanan</v>
      </c>
      <c r="U252" s="30"/>
      <c r="V252" s="30"/>
    </row>
    <row r="253" spans="5:22">
      <c r="E253" s="30" t="str">
        <v>kiri</v>
      </c>
      <c r="F253" s="30"/>
      <c r="G253" s="30"/>
      <c r="J253" s="30" t="str">
        <v>tengah</v>
      </c>
      <c r="K253" s="30"/>
      <c r="L253" s="30"/>
      <c r="O253" s="30" t="str">
        <v>kanan</v>
      </c>
      <c r="P253" s="30"/>
      <c r="Q253" s="30"/>
      <c r="T253" s="30" t="str">
        <v>kanan</v>
      </c>
      <c r="U253" s="30"/>
      <c r="V253" s="30"/>
    </row>
    <row r="254" spans="5:22">
      <c r="E254" s="30" t="str">
        <v>tengah</v>
      </c>
      <c r="F254" s="30"/>
      <c r="G254" s="30"/>
      <c r="J254" s="30" t="str">
        <v>tengah</v>
      </c>
      <c r="K254" s="30"/>
      <c r="L254" s="30"/>
      <c r="O254" s="30" t="str">
        <v>kiri</v>
      </c>
      <c r="P254" s="30"/>
      <c r="Q254" s="30"/>
      <c r="T254" s="30" t="str">
        <v>kanan</v>
      </c>
      <c r="U254" s="30"/>
      <c r="V254" s="30"/>
    </row>
    <row r="255" spans="5:22">
      <c r="E255" s="30" t="str">
        <v>tengah</v>
      </c>
      <c r="F255" s="30"/>
      <c r="G255" s="30"/>
      <c r="J255" s="30" t="str">
        <v>kiri</v>
      </c>
      <c r="K255" s="30"/>
      <c r="L255" s="30"/>
      <c r="O255" s="30" t="str">
        <v>tengah</v>
      </c>
      <c r="P255" s="30"/>
      <c r="Q255" s="30"/>
      <c r="T255" s="30" t="str">
        <v>tengah</v>
      </c>
      <c r="U255" s="30"/>
      <c r="V255" s="30"/>
    </row>
    <row r="256" spans="5:22">
      <c r="E256" s="30" t="str">
        <v>kiri</v>
      </c>
      <c r="F256" s="30"/>
      <c r="G256" s="30"/>
      <c r="J256" s="30" t="str">
        <v>tengah</v>
      </c>
      <c r="K256" s="30"/>
      <c r="L256" s="30"/>
      <c r="O256" s="30" t="str">
        <v>tengah</v>
      </c>
      <c r="P256" s="30"/>
      <c r="Q256" s="30"/>
      <c r="T256" s="30" t="str">
        <v>kanan</v>
      </c>
      <c r="U256" s="30"/>
      <c r="V256" s="30"/>
    </row>
    <row r="257" spans="5:22">
      <c r="E257" s="30" t="str">
        <v>kiri</v>
      </c>
      <c r="F257" s="30"/>
      <c r="G257" s="30"/>
      <c r="J257" s="30" t="str">
        <v>kiri</v>
      </c>
      <c r="K257" s="30"/>
      <c r="L257" s="30"/>
      <c r="O257" s="30" t="str">
        <v>tengah</v>
      </c>
      <c r="P257" s="30"/>
      <c r="Q257" s="30"/>
      <c r="T257" s="30" t="str">
        <v>kanan</v>
      </c>
      <c r="U257" s="30"/>
      <c r="V257" s="30"/>
    </row>
    <row r="258" spans="5:22">
      <c r="E258" s="30" t="str">
        <v>kiri</v>
      </c>
      <c r="F258" s="30"/>
      <c r="G258" s="30"/>
      <c r="J258" s="30" t="str">
        <v>tengah</v>
      </c>
      <c r="K258" s="30"/>
      <c r="L258" s="30"/>
      <c r="O258" s="30" t="str">
        <v>kanan</v>
      </c>
      <c r="P258" s="30"/>
      <c r="Q258" s="30"/>
      <c r="T258" s="30" t="str">
        <v>kanan</v>
      </c>
      <c r="U258" s="30"/>
      <c r="V258" s="30"/>
    </row>
    <row r="259" spans="5:22">
      <c r="E259" s="30" t="str">
        <v>kiri</v>
      </c>
      <c r="F259" s="30"/>
      <c r="G259" s="30"/>
      <c r="J259" s="30" t="str">
        <v>kanan</v>
      </c>
      <c r="K259" s="30"/>
      <c r="L259" s="30"/>
      <c r="O259" s="30" t="str">
        <v>tengah</v>
      </c>
      <c r="P259" s="30"/>
      <c r="Q259" s="30"/>
      <c r="T259" s="30" t="str">
        <v>kanan</v>
      </c>
      <c r="U259" s="30"/>
      <c r="V259" s="30"/>
    </row>
    <row r="260" spans="5:22">
      <c r="E260" s="30" t="str">
        <v>tengah</v>
      </c>
      <c r="F260" s="30"/>
      <c r="G260" s="30"/>
      <c r="J260" s="30" t="str">
        <v>kanan</v>
      </c>
      <c r="K260" s="30"/>
      <c r="L260" s="30"/>
      <c r="O260" s="30" t="str">
        <v>tengah</v>
      </c>
      <c r="P260" s="30"/>
      <c r="Q260" s="30"/>
      <c r="T260" s="30" t="str">
        <v>tengah</v>
      </c>
      <c r="U260" s="30"/>
      <c r="V260" s="30"/>
    </row>
    <row r="261" spans="5:22">
      <c r="E261" s="30" t="str">
        <v>kiri</v>
      </c>
      <c r="F261" s="30"/>
      <c r="G261" s="30"/>
      <c r="J261" s="30" t="str">
        <v>kiri</v>
      </c>
      <c r="K261" s="30"/>
      <c r="L261" s="30"/>
      <c r="O261" s="30" t="str">
        <v>tengah</v>
      </c>
      <c r="P261" s="30"/>
      <c r="Q261" s="30"/>
      <c r="T261" s="30" t="str">
        <v>tengah</v>
      </c>
      <c r="U261" s="30"/>
      <c r="V261" s="30"/>
    </row>
    <row r="262" spans="5:22">
      <c r="E262" s="30" t="str">
        <v>tengah</v>
      </c>
      <c r="F262" s="30"/>
      <c r="G262" s="30"/>
      <c r="J262" s="30" t="str">
        <v>kiri</v>
      </c>
      <c r="K262" s="30"/>
      <c r="L262" s="30"/>
      <c r="O262" s="30" t="str">
        <v>tengah</v>
      </c>
      <c r="P262" s="30"/>
      <c r="Q262" s="30"/>
      <c r="T262" s="30" t="str">
        <v>tengah</v>
      </c>
      <c r="U262" s="30"/>
      <c r="V262" s="30"/>
    </row>
    <row r="263" spans="5:22">
      <c r="E263" s="30" t="str">
        <v>kiri</v>
      </c>
      <c r="F263" s="30"/>
      <c r="G263" s="30"/>
      <c r="J263" s="30" t="str">
        <v>kanan</v>
      </c>
      <c r="K263" s="30"/>
      <c r="L263" s="30"/>
      <c r="O263" s="30" t="str">
        <v>kiri</v>
      </c>
      <c r="P263" s="30"/>
      <c r="Q263" s="30"/>
      <c r="T263" s="30" t="str">
        <v>tengah</v>
      </c>
      <c r="U263" s="30"/>
      <c r="V263" s="30"/>
    </row>
    <row r="264" spans="5:22">
      <c r="E264" s="30" t="str">
        <v>tengah</v>
      </c>
      <c r="F264" s="30"/>
      <c r="G264" s="30"/>
      <c r="J264" s="30" t="str">
        <v>tengah</v>
      </c>
      <c r="K264" s="30"/>
      <c r="L264" s="30"/>
      <c r="O264" s="30" t="str">
        <v>tengah</v>
      </c>
      <c r="P264" s="30"/>
      <c r="Q264" s="30"/>
      <c r="T264" s="30" t="str">
        <v>kanan</v>
      </c>
      <c r="U264" s="30"/>
      <c r="V264" s="30"/>
    </row>
    <row r="265" spans="5:22">
      <c r="E265" s="30" t="str">
        <v>kiri</v>
      </c>
      <c r="F265" s="30"/>
      <c r="G265" s="30"/>
      <c r="J265" s="30" t="str">
        <v>tengah</v>
      </c>
      <c r="K265" s="30"/>
      <c r="L265" s="30"/>
      <c r="O265" s="30" t="str">
        <v>tengah</v>
      </c>
      <c r="P265" s="30"/>
      <c r="Q265" s="30"/>
      <c r="T265" s="30" t="str">
        <v>tengah</v>
      </c>
      <c r="U265" s="30"/>
      <c r="V265" s="30"/>
    </row>
    <row r="266" spans="5:22">
      <c r="E266" s="30" t="str">
        <v>tengah</v>
      </c>
      <c r="F266" s="30"/>
      <c r="G266" s="30"/>
      <c r="J266" s="30" t="str">
        <v>kanan</v>
      </c>
      <c r="K266" s="30"/>
      <c r="L266" s="30"/>
      <c r="O266" s="30" t="str">
        <v>tengah</v>
      </c>
      <c r="P266" s="30"/>
      <c r="Q266" s="30"/>
      <c r="T266" s="30" t="str">
        <v>tengah</v>
      </c>
      <c r="U266" s="30"/>
      <c r="V266" s="30"/>
    </row>
    <row r="267" spans="5:22">
      <c r="E267" s="30" t="str">
        <v>kiri</v>
      </c>
      <c r="F267" s="30"/>
      <c r="G267" s="30"/>
      <c r="J267" s="30" t="str">
        <v>tengah</v>
      </c>
      <c r="K267" s="30"/>
      <c r="L267" s="30"/>
      <c r="O267" s="30" t="str">
        <v>kiri</v>
      </c>
      <c r="P267" s="30"/>
      <c r="Q267" s="30"/>
      <c r="T267" s="30" t="str">
        <v>tengah</v>
      </c>
      <c r="U267" s="30"/>
      <c r="V267" s="30"/>
    </row>
    <row r="268" spans="5:22">
      <c r="E268" s="30" t="str">
        <v>tengah</v>
      </c>
      <c r="F268" s="30"/>
      <c r="G268" s="30"/>
      <c r="J268" s="30" t="str">
        <v>tengah</v>
      </c>
      <c r="K268" s="30"/>
      <c r="L268" s="30"/>
      <c r="O268" s="30" t="str">
        <v>kiri</v>
      </c>
      <c r="P268" s="30"/>
      <c r="Q268" s="30"/>
      <c r="T268" s="30" t="str">
        <v>kanan</v>
      </c>
      <c r="U268" s="30"/>
      <c r="V268" s="30"/>
    </row>
    <row r="269" spans="5:22">
      <c r="E269" s="30" t="str">
        <v>tengah</v>
      </c>
      <c r="F269" s="30"/>
      <c r="G269" s="30"/>
      <c r="J269" s="30" t="str">
        <v>kanan</v>
      </c>
      <c r="K269" s="30"/>
      <c r="L269" s="30"/>
      <c r="O269" s="30" t="str">
        <v>tengah</v>
      </c>
      <c r="P269" s="30"/>
      <c r="Q269" s="30"/>
      <c r="T269" s="30" t="str">
        <v>kanan</v>
      </c>
      <c r="U269" s="30"/>
      <c r="V269" s="30"/>
    </row>
    <row r="270" spans="5:22">
      <c r="E270" s="30" t="str">
        <v>kiri</v>
      </c>
      <c r="F270" s="30"/>
      <c r="G270" s="30"/>
      <c r="J270" s="30" t="str">
        <v>tengah</v>
      </c>
      <c r="K270" s="30"/>
      <c r="L270" s="30"/>
      <c r="O270" s="30" t="str">
        <v>kanan</v>
      </c>
      <c r="P270" s="30"/>
      <c r="Q270" s="30"/>
      <c r="T270" s="30" t="str">
        <v>tengah</v>
      </c>
      <c r="U270" s="30"/>
      <c r="V270" s="30"/>
    </row>
    <row r="271" spans="5:22">
      <c r="E271" s="30" t="str">
        <v>kanan</v>
      </c>
      <c r="F271" s="30"/>
      <c r="G271" s="30"/>
      <c r="J271" s="30" t="str">
        <v>kanan</v>
      </c>
      <c r="K271" s="30"/>
      <c r="L271" s="30"/>
      <c r="O271" s="30" t="str">
        <v>tengah</v>
      </c>
      <c r="P271" s="30"/>
      <c r="Q271" s="30"/>
      <c r="T271" s="30" t="str">
        <v>kanan</v>
      </c>
      <c r="U271" s="30"/>
      <c r="V271" s="30"/>
    </row>
    <row r="272" spans="5:22">
      <c r="E272" s="30" t="str">
        <v>kanan</v>
      </c>
      <c r="F272" s="30"/>
      <c r="G272" s="30"/>
      <c r="J272" s="30" t="str">
        <v>kanan</v>
      </c>
      <c r="K272" s="30"/>
      <c r="L272" s="30"/>
      <c r="O272" s="30" t="str">
        <v>kanan</v>
      </c>
      <c r="P272" s="30"/>
      <c r="Q272" s="30"/>
      <c r="T272" s="30" t="str">
        <v>kanan</v>
      </c>
      <c r="U272" s="30"/>
      <c r="V272" s="30"/>
    </row>
    <row r="273" spans="5:22">
      <c r="E273" s="30" t="str">
        <v>kanan</v>
      </c>
      <c r="F273" s="30"/>
      <c r="G273" s="30"/>
      <c r="J273" s="30" t="str">
        <v>tengah</v>
      </c>
      <c r="K273" s="30"/>
      <c r="L273" s="30"/>
      <c r="O273" s="30" t="str">
        <v>tengah</v>
      </c>
      <c r="P273" s="30"/>
      <c r="Q273" s="30"/>
      <c r="T273" s="30" t="str">
        <v>tengah</v>
      </c>
      <c r="U273" s="30"/>
      <c r="V273" s="30"/>
    </row>
    <row r="274" spans="5:22">
      <c r="E274" s="30" t="str">
        <v>kanan</v>
      </c>
      <c r="F274" s="30"/>
      <c r="G274" s="30"/>
      <c r="J274" s="30" t="str">
        <v>kanan</v>
      </c>
      <c r="K274" s="30"/>
      <c r="L274" s="30"/>
      <c r="O274" s="30" t="str">
        <v>tengah</v>
      </c>
      <c r="P274" s="30"/>
      <c r="Q274" s="30"/>
      <c r="T274" s="30" t="str">
        <v>tengah</v>
      </c>
      <c r="U274" s="30"/>
      <c r="V274" s="30"/>
    </row>
    <row r="275" spans="5:22">
      <c r="E275" s="30" t="str">
        <v>tengah</v>
      </c>
      <c r="F275" s="30"/>
      <c r="G275" s="30"/>
      <c r="J275" s="30" t="str">
        <v>tengah</v>
      </c>
      <c r="K275" s="30"/>
      <c r="L275" s="30"/>
      <c r="O275" s="30" t="str">
        <v>kiri</v>
      </c>
      <c r="P275" s="30"/>
      <c r="Q275" s="30"/>
      <c r="T275" s="30" t="str">
        <v>kanan</v>
      </c>
      <c r="U275" s="30"/>
      <c r="V275" s="30"/>
    </row>
    <row r="276" spans="5:22">
      <c r="E276" s="30" t="str">
        <v>kiri</v>
      </c>
      <c r="F276" s="30"/>
      <c r="G276" s="30"/>
      <c r="J276" s="30" t="str">
        <v>kiri</v>
      </c>
      <c r="K276" s="30"/>
      <c r="L276" s="30"/>
      <c r="O276" s="30" t="str">
        <v>kanan</v>
      </c>
      <c r="P276" s="30"/>
      <c r="Q276" s="30"/>
      <c r="T276" s="30" t="str">
        <v>tengah</v>
      </c>
      <c r="U276" s="30"/>
      <c r="V276" s="30"/>
    </row>
    <row r="277" spans="5:22">
      <c r="E277" s="30" t="str">
        <v>tengah</v>
      </c>
      <c r="F277" s="30"/>
      <c r="G277" s="30"/>
      <c r="J277" s="30" t="str">
        <v>kanan</v>
      </c>
      <c r="K277" s="30"/>
      <c r="L277" s="30"/>
      <c r="O277" s="30" t="str">
        <v>kanan</v>
      </c>
      <c r="P277" s="30"/>
      <c r="Q277" s="30"/>
      <c r="T277" s="30" t="str">
        <v>tengah</v>
      </c>
      <c r="U277" s="30"/>
      <c r="V277" s="30"/>
    </row>
    <row r="278" spans="5:22">
      <c r="E278" s="30" t="str">
        <v>kiri</v>
      </c>
      <c r="F278" s="30"/>
      <c r="G278" s="30"/>
      <c r="J278" s="30" t="str">
        <v>kiri</v>
      </c>
      <c r="K278" s="30"/>
      <c r="L278" s="30"/>
      <c r="O278" s="30" t="str">
        <v>tengah</v>
      </c>
      <c r="P278" s="30"/>
      <c r="Q278" s="30"/>
      <c r="T278" s="30" t="str">
        <v>kanan</v>
      </c>
      <c r="U278" s="30"/>
      <c r="V278" s="30"/>
    </row>
    <row r="279" spans="5:22">
      <c r="E279" s="30" t="str">
        <v>kiri</v>
      </c>
      <c r="F279" s="30"/>
      <c r="G279" s="30"/>
      <c r="J279" s="30" t="str">
        <v>tengah</v>
      </c>
      <c r="K279" s="30"/>
      <c r="L279" s="30"/>
      <c r="O279" s="30" t="str">
        <v>tengah</v>
      </c>
      <c r="P279" s="30"/>
      <c r="Q279" s="30"/>
      <c r="T279" s="30" t="str">
        <v>tengah</v>
      </c>
      <c r="U279" s="30"/>
      <c r="V279" s="30"/>
    </row>
    <row r="280" spans="5:22">
      <c r="E280" s="30" t="str">
        <v>tengah</v>
      </c>
      <c r="F280" s="30"/>
      <c r="G280" s="30"/>
      <c r="J280" s="30" t="str">
        <v>tengah</v>
      </c>
      <c r="K280" s="30"/>
      <c r="L280" s="30"/>
      <c r="O280" s="30" t="str">
        <v>kanan</v>
      </c>
      <c r="P280" s="30"/>
      <c r="Q280" s="30"/>
      <c r="T280" s="30" t="str">
        <v>kanan</v>
      </c>
      <c r="U280" s="30"/>
      <c r="V280" s="30"/>
    </row>
    <row r="281" spans="5:22">
      <c r="E281" s="30" t="str">
        <v>tengah</v>
      </c>
      <c r="F281" s="30"/>
      <c r="G281" s="30"/>
      <c r="J281" s="30" t="str">
        <v>tengah</v>
      </c>
      <c r="K281" s="30"/>
      <c r="L281" s="30"/>
      <c r="O281" s="30" t="str">
        <v>kiri</v>
      </c>
      <c r="P281" s="30"/>
      <c r="Q281" s="30"/>
      <c r="T281" s="30" t="str">
        <v>kanan</v>
      </c>
      <c r="U281" s="30"/>
      <c r="V281" s="30"/>
    </row>
    <row r="282" spans="5:22">
      <c r="E282" s="30" t="str">
        <v>tengah</v>
      </c>
      <c r="F282" s="30"/>
      <c r="G282" s="30"/>
      <c r="J282" s="30" t="str">
        <v>kiri</v>
      </c>
      <c r="K282" s="30"/>
      <c r="L282" s="30"/>
      <c r="O282" s="30" t="str">
        <v>kiri</v>
      </c>
      <c r="P282" s="30"/>
      <c r="Q282" s="30"/>
      <c r="T282" s="30" t="str">
        <v>kanan</v>
      </c>
      <c r="U282" s="30"/>
      <c r="V282" s="30"/>
    </row>
    <row r="283" spans="5:22">
      <c r="E283" s="30" t="str">
        <v>tengah</v>
      </c>
      <c r="F283" s="30"/>
      <c r="G283" s="30"/>
      <c r="J283" s="30" t="str">
        <v>kanan</v>
      </c>
      <c r="K283" s="30"/>
      <c r="L283" s="30"/>
      <c r="O283" s="30" t="str">
        <v>tengah</v>
      </c>
      <c r="P283" s="30"/>
      <c r="Q283" s="30"/>
      <c r="T283" s="30" t="str">
        <v>tengah</v>
      </c>
      <c r="U283" s="30"/>
      <c r="V283" s="30"/>
    </row>
    <row r="284" spans="5:22">
      <c r="E284" s="30" t="str">
        <v>kiri</v>
      </c>
      <c r="F284" s="30"/>
      <c r="G284" s="30"/>
      <c r="J284" s="30" t="str">
        <v>tengah</v>
      </c>
      <c r="K284" s="30"/>
      <c r="L284" s="30"/>
      <c r="O284" s="30" t="str">
        <v>kanan</v>
      </c>
      <c r="P284" s="30"/>
      <c r="Q284" s="30"/>
      <c r="T284" s="30" t="str">
        <v>kanan</v>
      </c>
      <c r="U284" s="30"/>
      <c r="V284" s="30"/>
    </row>
    <row r="285" spans="5:22">
      <c r="E285" s="30" t="str">
        <v>kanan</v>
      </c>
      <c r="F285" s="30"/>
      <c r="G285" s="30"/>
      <c r="J285" s="30" t="str">
        <v>tengah</v>
      </c>
      <c r="K285" s="30"/>
      <c r="L285" s="30"/>
      <c r="O285" s="30" t="str">
        <v>tengah</v>
      </c>
      <c r="P285" s="30"/>
      <c r="Q285" s="30"/>
      <c r="T285" s="30" t="str">
        <v>kanan</v>
      </c>
      <c r="U285" s="30"/>
      <c r="V285" s="30"/>
    </row>
    <row r="286" spans="5:22">
      <c r="E286" s="30" t="str">
        <v>kanan</v>
      </c>
      <c r="F286" s="30"/>
      <c r="G286" s="30"/>
      <c r="J286" s="30" t="str">
        <v>tengah</v>
      </c>
      <c r="K286" s="30"/>
      <c r="L286" s="30"/>
      <c r="O286" s="30" t="str">
        <v>kanan</v>
      </c>
      <c r="P286" s="30"/>
      <c r="Q286" s="30"/>
      <c r="T286" s="30" t="str">
        <v>kanan</v>
      </c>
      <c r="U286" s="30"/>
      <c r="V286" s="30"/>
    </row>
    <row r="287" spans="5:22">
      <c r="E287" s="30" t="str">
        <v>tengah</v>
      </c>
      <c r="F287" s="30"/>
      <c r="G287" s="30"/>
      <c r="J287" s="30" t="str">
        <v>kiri</v>
      </c>
      <c r="K287" s="30"/>
      <c r="L287" s="30"/>
      <c r="O287" s="30" t="str">
        <v>tengah</v>
      </c>
      <c r="P287" s="30"/>
      <c r="Q287" s="30"/>
      <c r="T287" s="30" t="str">
        <v>tengah</v>
      </c>
      <c r="U287" s="30"/>
      <c r="V287" s="30"/>
    </row>
    <row r="288" spans="5:22">
      <c r="E288" s="30" t="str">
        <v>tengah</v>
      </c>
      <c r="F288" s="30"/>
      <c r="G288" s="30"/>
      <c r="J288" s="30" t="str">
        <v>kiri</v>
      </c>
      <c r="K288" s="30"/>
      <c r="L288" s="30"/>
      <c r="O288" s="30" t="str">
        <v>kanan</v>
      </c>
      <c r="P288" s="30"/>
      <c r="Q288" s="30"/>
      <c r="T288" s="30" t="str">
        <v>tengah</v>
      </c>
      <c r="U288" s="30"/>
      <c r="V288" s="30"/>
    </row>
    <row r="289" spans="5:22">
      <c r="E289" s="30" t="str">
        <v>tengah</v>
      </c>
      <c r="F289" s="30"/>
      <c r="G289" s="30"/>
      <c r="J289" s="30" t="str">
        <v>tengah</v>
      </c>
      <c r="K289" s="30"/>
      <c r="L289" s="30"/>
      <c r="O289" s="30" t="str">
        <v>kiri</v>
      </c>
      <c r="P289" s="30"/>
      <c r="Q289" s="30"/>
      <c r="T289" s="30" t="str">
        <v>kanan</v>
      </c>
      <c r="U289" s="30"/>
      <c r="V289" s="30"/>
    </row>
    <row r="290" spans="5:22">
      <c r="E290" s="30" t="str">
        <v>tengah</v>
      </c>
      <c r="F290" s="30"/>
      <c r="G290" s="30"/>
      <c r="J290" s="30" t="str">
        <v>kiri</v>
      </c>
      <c r="K290" s="30"/>
      <c r="L290" s="30"/>
      <c r="O290" s="30" t="str">
        <v>tengah</v>
      </c>
      <c r="P290" s="30"/>
      <c r="Q290" s="30"/>
      <c r="T290" s="30" t="str">
        <v>kanan</v>
      </c>
      <c r="U290" s="30"/>
      <c r="V290" s="30"/>
    </row>
    <row r="291" spans="5:22">
      <c r="E291" s="30" t="str">
        <v>kiri</v>
      </c>
      <c r="F291" s="30"/>
      <c r="G291" s="30"/>
      <c r="J291" s="30" t="str">
        <v>tengah</v>
      </c>
      <c r="K291" s="30"/>
      <c r="L291" s="30"/>
      <c r="O291" s="30" t="str">
        <v>tengah</v>
      </c>
      <c r="P291" s="30"/>
      <c r="Q291" s="30"/>
      <c r="T291" s="30" t="str">
        <v>kanan</v>
      </c>
      <c r="U291" s="30"/>
      <c r="V291" s="30"/>
    </row>
    <row r="292" spans="5:22">
      <c r="E292" s="30" t="str">
        <v>kanan</v>
      </c>
      <c r="F292" s="30"/>
      <c r="G292" s="30"/>
      <c r="J292" s="30" t="str">
        <v>tengah</v>
      </c>
      <c r="K292" s="30"/>
      <c r="L292" s="30"/>
      <c r="O292" s="30" t="str">
        <v>tengah</v>
      </c>
      <c r="P292" s="30"/>
      <c r="Q292" s="30"/>
      <c r="T292" s="30" t="str">
        <v>kanan</v>
      </c>
      <c r="U292" s="30"/>
      <c r="V292" s="30"/>
    </row>
    <row r="293" spans="5:22">
      <c r="E293" s="30" t="str">
        <v>tengah</v>
      </c>
      <c r="F293" s="30"/>
      <c r="G293" s="30"/>
      <c r="J293" s="30" t="str">
        <v>kiri</v>
      </c>
      <c r="K293" s="30"/>
      <c r="L293" s="30"/>
      <c r="O293" s="30" t="str">
        <v>tengah</v>
      </c>
      <c r="P293" s="30"/>
      <c r="Q293" s="30"/>
      <c r="T293" s="30" t="str">
        <v>tengah</v>
      </c>
      <c r="U293" s="30"/>
      <c r="V293" s="30"/>
    </row>
    <row r="294" spans="5:22">
      <c r="E294" s="30" t="str">
        <v>tengah</v>
      </c>
      <c r="F294" s="30"/>
      <c r="G294" s="30"/>
      <c r="J294" s="30" t="str">
        <v>kiri</v>
      </c>
      <c r="K294" s="30"/>
      <c r="L294" s="30"/>
      <c r="O294" s="30" t="str">
        <v>tengah</v>
      </c>
      <c r="P294" s="30"/>
      <c r="Q294" s="30"/>
      <c r="T294" s="30" t="str">
        <v>tengah</v>
      </c>
      <c r="U294" s="30"/>
      <c r="V294" s="30"/>
    </row>
    <row r="295" spans="5:22">
      <c r="E295" s="30" t="str">
        <v>tengah</v>
      </c>
      <c r="F295" s="30"/>
      <c r="G295" s="30"/>
      <c r="J295" s="30" t="str">
        <v>tengah</v>
      </c>
      <c r="K295" s="30"/>
      <c r="L295" s="30"/>
      <c r="O295" s="30" t="str">
        <v>tengah</v>
      </c>
      <c r="P295" s="30"/>
      <c r="Q295" s="30"/>
      <c r="T295" s="30" t="str">
        <v>kanan</v>
      </c>
      <c r="U295" s="30"/>
      <c r="V295" s="30"/>
    </row>
    <row r="296" spans="5:22">
      <c r="E296" s="30" t="str">
        <v>kanan</v>
      </c>
      <c r="F296" s="30"/>
      <c r="G296" s="30"/>
      <c r="J296" s="30" t="str">
        <v>tengah</v>
      </c>
      <c r="K296" s="30"/>
      <c r="L296" s="30"/>
      <c r="O296" s="30" t="str">
        <v>kiri</v>
      </c>
      <c r="P296" s="30"/>
      <c r="Q296" s="30"/>
      <c r="T296" s="30" t="str">
        <v>tengah</v>
      </c>
      <c r="U296" s="30"/>
      <c r="V296" s="30"/>
    </row>
    <row r="297" spans="5:22">
      <c r="E297" s="30" t="str">
        <v>tengah</v>
      </c>
      <c r="F297" s="30"/>
      <c r="G297" s="30"/>
      <c r="J297" s="30" t="str">
        <v>tengah</v>
      </c>
      <c r="K297" s="30"/>
      <c r="L297" s="30"/>
      <c r="O297" s="30" t="str">
        <v>tengah</v>
      </c>
      <c r="P297" s="30"/>
      <c r="Q297" s="30"/>
      <c r="T297" s="30" t="str">
        <v>tengah</v>
      </c>
      <c r="U297" s="30"/>
      <c r="V297" s="30"/>
    </row>
    <row r="298" spans="5:22">
      <c r="E298" s="30" t="str">
        <v>tengah</v>
      </c>
      <c r="F298" s="30"/>
      <c r="G298" s="30"/>
      <c r="J298" s="30" t="str">
        <v>tengah</v>
      </c>
      <c r="K298" s="30"/>
      <c r="L298" s="30"/>
      <c r="O298" s="30" t="str">
        <v>tengah</v>
      </c>
      <c r="P298" s="30"/>
      <c r="Q298" s="30"/>
      <c r="T298" s="30" t="str">
        <v>kanan</v>
      </c>
      <c r="U298" s="30"/>
      <c r="V298" s="30"/>
    </row>
    <row r="299" spans="5:22">
      <c r="E299" s="30" t="str">
        <v>tengah</v>
      </c>
      <c r="F299" s="30"/>
      <c r="G299" s="30"/>
      <c r="J299" s="30" t="str">
        <v>kiri</v>
      </c>
      <c r="K299" s="30"/>
      <c r="L299" s="30"/>
      <c r="O299" s="30" t="str">
        <v>kiri</v>
      </c>
      <c r="P299" s="30"/>
      <c r="Q299" s="30"/>
      <c r="T299" s="30" t="str">
        <v>kanan</v>
      </c>
      <c r="U299" s="30"/>
      <c r="V299" s="30"/>
    </row>
    <row r="300" spans="5:22">
      <c r="E300" s="30" t="str">
        <v>tengah</v>
      </c>
      <c r="F300" s="30"/>
      <c r="G300" s="30"/>
      <c r="J300" s="30" t="str">
        <v>tengah</v>
      </c>
      <c r="K300" s="30"/>
      <c r="L300" s="30"/>
      <c r="O300" s="30" t="str">
        <v>tengah</v>
      </c>
      <c r="P300" s="30"/>
      <c r="Q300" s="30"/>
      <c r="T300" s="30" t="str">
        <v>tengah</v>
      </c>
      <c r="U300" s="30"/>
      <c r="V300" s="30"/>
    </row>
    <row r="301" spans="5:22">
      <c r="E301" s="30" t="str">
        <v>tengah</v>
      </c>
      <c r="F301" s="30"/>
      <c r="G301" s="30"/>
      <c r="J301" s="30" t="str">
        <v>kanan</v>
      </c>
      <c r="K301" s="30"/>
      <c r="L301" s="30"/>
      <c r="O301" s="30" t="str">
        <v>tengah</v>
      </c>
      <c r="P301" s="30"/>
      <c r="Q301" s="30"/>
      <c r="T301" s="30" t="str">
        <v>kanan</v>
      </c>
      <c r="U301" s="30"/>
      <c r="V301" s="30"/>
    </row>
    <row r="302" spans="5:22">
      <c r="E302" s="30" t="str">
        <v>kanan</v>
      </c>
      <c r="F302" s="30"/>
      <c r="G302" s="30"/>
      <c r="J302" s="30" t="str">
        <v>kanan</v>
      </c>
      <c r="K302" s="30"/>
      <c r="L302" s="30"/>
      <c r="O302" s="30" t="str">
        <v>tengah</v>
      </c>
      <c r="P302" s="30"/>
      <c r="Q302" s="30"/>
      <c r="T302" s="30" t="str">
        <v>tengah</v>
      </c>
      <c r="U302" s="30"/>
      <c r="V302" s="30"/>
    </row>
    <row r="303" spans="5:22">
      <c r="E303" s="30" t="str">
        <v>tengah</v>
      </c>
      <c r="F303" s="30"/>
      <c r="G303" s="30"/>
      <c r="J303" s="30" t="str">
        <v>kanan</v>
      </c>
      <c r="K303" s="30"/>
      <c r="L303" s="30"/>
      <c r="O303" s="30" t="str">
        <v>tengah</v>
      </c>
      <c r="P303" s="30"/>
      <c r="Q303" s="30"/>
      <c r="T303" s="30" t="str">
        <v>tengah</v>
      </c>
      <c r="U303" s="30"/>
      <c r="V303" s="30"/>
    </row>
    <row r="304" spans="5:22">
      <c r="E304" s="30" t="str">
        <v>kanan</v>
      </c>
      <c r="F304" s="30"/>
      <c r="G304" s="30"/>
      <c r="J304" s="30" t="str">
        <v>kanan</v>
      </c>
      <c r="K304" s="30"/>
      <c r="L304" s="30"/>
      <c r="O304" s="30" t="str">
        <v>kanan</v>
      </c>
      <c r="P304" s="30"/>
      <c r="Q304" s="30"/>
      <c r="T304" s="30" t="str">
        <v>kanan</v>
      </c>
      <c r="U304" s="30"/>
      <c r="V304" s="30"/>
    </row>
    <row r="305" spans="5:22">
      <c r="E305" s="30" t="str">
        <v>kanan</v>
      </c>
      <c r="F305" s="30"/>
      <c r="G305" s="30"/>
      <c r="J305" s="30" t="str">
        <v>tengah</v>
      </c>
      <c r="K305" s="30"/>
      <c r="L305" s="30"/>
      <c r="O305" s="30" t="str">
        <v>tengah</v>
      </c>
      <c r="P305" s="30"/>
      <c r="Q305" s="30"/>
      <c r="T305" s="30" t="str">
        <v>kanan</v>
      </c>
      <c r="U305" s="30"/>
      <c r="V305" s="30"/>
    </row>
    <row r="306" spans="5:22">
      <c r="E306" s="30" t="str">
        <v>tengah</v>
      </c>
      <c r="F306" s="30"/>
      <c r="G306" s="30"/>
      <c r="J306" s="30" t="str">
        <v>tengah</v>
      </c>
      <c r="K306" s="30"/>
      <c r="L306" s="30"/>
      <c r="O306" s="30" t="str">
        <v>kanan</v>
      </c>
      <c r="P306" s="30"/>
      <c r="Q306" s="30"/>
      <c r="T306" s="30" t="str">
        <v>tengah</v>
      </c>
      <c r="U306" s="30"/>
      <c r="V306" s="30"/>
    </row>
    <row r="307" spans="5:22">
      <c r="E307" s="30" t="str">
        <v>tengah</v>
      </c>
      <c r="F307" s="30"/>
      <c r="G307" s="30"/>
      <c r="J307" s="30" t="str">
        <v>kanan</v>
      </c>
      <c r="K307" s="30"/>
      <c r="L307" s="30"/>
      <c r="O307" s="30" t="str">
        <v>tengah</v>
      </c>
      <c r="P307" s="30"/>
      <c r="Q307" s="30"/>
      <c r="T307" s="30" t="str">
        <v>tengah</v>
      </c>
      <c r="U307" s="30"/>
      <c r="V307" s="30"/>
    </row>
    <row r="308" spans="5:22">
      <c r="E308" s="30" t="str">
        <v>kiri</v>
      </c>
      <c r="F308" s="30"/>
      <c r="G308" s="30"/>
      <c r="J308" s="30" t="str">
        <v>tengah</v>
      </c>
      <c r="K308" s="30"/>
      <c r="L308" s="30"/>
      <c r="O308" s="30" t="str">
        <v>tengah</v>
      </c>
      <c r="P308" s="30"/>
      <c r="Q308" s="30"/>
      <c r="T308" s="30" t="str">
        <v>tengah</v>
      </c>
      <c r="U308" s="30"/>
      <c r="V308" s="30"/>
    </row>
    <row r="309" spans="5:22">
      <c r="E309" s="30" t="str">
        <v>tengah</v>
      </c>
      <c r="F309" s="30"/>
      <c r="G309" s="30"/>
      <c r="J309" s="30" t="str">
        <v>tengah</v>
      </c>
      <c r="K309" s="30"/>
      <c r="L309" s="30"/>
      <c r="O309" s="30" t="str">
        <v>tengah</v>
      </c>
      <c r="P309" s="30"/>
      <c r="Q309" s="30"/>
      <c r="T309" s="30" t="str">
        <v>tengah</v>
      </c>
      <c r="U309" s="30"/>
      <c r="V309" s="30"/>
    </row>
    <row r="310" spans="5:22">
      <c r="E310" s="30" t="str">
        <v>kiri</v>
      </c>
      <c r="F310" s="30"/>
      <c r="G310" s="30"/>
      <c r="J310" s="30" t="str">
        <v>kanan</v>
      </c>
      <c r="K310" s="30"/>
      <c r="L310" s="30"/>
      <c r="O310" s="30" t="str">
        <v>tengah</v>
      </c>
      <c r="P310" s="30"/>
      <c r="Q310" s="30"/>
      <c r="T310" s="30" t="str">
        <v>kanan</v>
      </c>
      <c r="U310" s="30"/>
      <c r="V310" s="30"/>
    </row>
    <row r="311" spans="5:22">
      <c r="E311" s="30" t="str">
        <v>kiri</v>
      </c>
      <c r="F311" s="30"/>
      <c r="G311" s="30"/>
      <c r="J311" s="30" t="str">
        <v>tengah</v>
      </c>
      <c r="K311" s="30"/>
      <c r="L311" s="30"/>
      <c r="O311" s="30" t="str">
        <v>kanan</v>
      </c>
      <c r="P311" s="30"/>
      <c r="Q311" s="30"/>
      <c r="T311" s="30" t="str">
        <v>tengah</v>
      </c>
      <c r="U311" s="30"/>
      <c r="V311" s="30"/>
    </row>
    <row r="312" spans="5:22">
      <c r="E312" s="30" t="str">
        <v>kiri</v>
      </c>
      <c r="F312" s="30"/>
      <c r="G312" s="30"/>
      <c r="J312" s="30" t="str">
        <v>kiri</v>
      </c>
      <c r="K312" s="30"/>
      <c r="L312" s="30"/>
      <c r="O312" s="30" t="str">
        <v>kanan</v>
      </c>
      <c r="P312" s="30"/>
      <c r="Q312" s="30"/>
      <c r="T312" s="30" t="str">
        <v>kanan</v>
      </c>
      <c r="U312" s="30"/>
      <c r="V312" s="30"/>
    </row>
    <row r="313" spans="5:22">
      <c r="E313" s="30" t="str">
        <v>kanan</v>
      </c>
      <c r="F313" s="30"/>
      <c r="G313" s="30"/>
      <c r="J313" s="30" t="str">
        <v>tengah</v>
      </c>
      <c r="K313" s="30"/>
      <c r="L313" s="30"/>
      <c r="O313" s="30" t="str">
        <v>kiri</v>
      </c>
      <c r="P313" s="30"/>
      <c r="Q313" s="30"/>
      <c r="T313" s="30" t="str">
        <v>tengah</v>
      </c>
      <c r="U313" s="30"/>
      <c r="V313" s="30"/>
    </row>
    <row r="314" spans="5:22">
      <c r="E314" s="30" t="str">
        <v>tengah</v>
      </c>
      <c r="F314" s="30"/>
      <c r="G314" s="30"/>
      <c r="J314" s="30" t="str">
        <v>kiri</v>
      </c>
      <c r="K314" s="30"/>
      <c r="L314" s="30"/>
      <c r="O314" s="30" t="str">
        <v>tengah</v>
      </c>
      <c r="P314" s="30"/>
      <c r="Q314" s="30"/>
      <c r="T314" s="30" t="str">
        <v>kanan</v>
      </c>
      <c r="U314" s="30"/>
      <c r="V314" s="30"/>
    </row>
    <row r="315" spans="5:22">
      <c r="E315" s="30" t="str">
        <v>tengah</v>
      </c>
      <c r="F315" s="30"/>
      <c r="G315" s="30"/>
      <c r="J315" s="30" t="str">
        <v>kanan</v>
      </c>
      <c r="K315" s="30"/>
      <c r="L315" s="30"/>
      <c r="O315" s="30" t="str">
        <v>kiri</v>
      </c>
      <c r="P315" s="30"/>
      <c r="Q315" s="30"/>
      <c r="T315" s="30" t="str">
        <v>tengah</v>
      </c>
      <c r="U315" s="30"/>
      <c r="V315" s="30"/>
    </row>
    <row r="316" spans="5:22">
      <c r="E316" s="30" t="str">
        <v>tengah</v>
      </c>
      <c r="F316" s="30"/>
      <c r="G316" s="30"/>
      <c r="J316" s="30" t="str">
        <v>kiri</v>
      </c>
      <c r="K316" s="30"/>
      <c r="L316" s="30"/>
      <c r="O316" s="30" t="str">
        <v>tengah</v>
      </c>
      <c r="P316" s="30"/>
      <c r="Q316" s="30"/>
      <c r="T316" s="30" t="str">
        <v>tengah</v>
      </c>
      <c r="U316" s="30"/>
      <c r="V316" s="30"/>
    </row>
    <row r="317" spans="5:22">
      <c r="E317" s="30" t="str">
        <v>tengah</v>
      </c>
      <c r="F317" s="30"/>
      <c r="G317" s="30"/>
      <c r="J317" s="30" t="str">
        <v>tengah</v>
      </c>
      <c r="K317" s="30"/>
      <c r="L317" s="30"/>
      <c r="O317" s="30" t="str">
        <v>tengah</v>
      </c>
      <c r="P317" s="30"/>
      <c r="Q317" s="30"/>
      <c r="T317" s="30" t="str">
        <v>tengah</v>
      </c>
      <c r="U317" s="30"/>
      <c r="V317" s="30"/>
    </row>
    <row r="318" spans="5:22">
      <c r="E318" s="30" t="str">
        <v>kiri</v>
      </c>
      <c r="F318" s="30"/>
      <c r="G318" s="30"/>
      <c r="J318" s="30" t="str">
        <v>kiri</v>
      </c>
      <c r="K318" s="30"/>
      <c r="L318" s="30"/>
      <c r="O318" s="30" t="str">
        <v>tengah</v>
      </c>
      <c r="P318" s="30"/>
      <c r="Q318" s="30"/>
      <c r="T318" s="30" t="str">
        <v>tengah</v>
      </c>
      <c r="U318" s="30"/>
      <c r="V318" s="30"/>
    </row>
    <row r="319" spans="5:22">
      <c r="E319" s="30" t="str">
        <v>kiri</v>
      </c>
      <c r="F319" s="30"/>
      <c r="G319" s="30"/>
      <c r="J319" s="30" t="str">
        <v>tengah</v>
      </c>
      <c r="K319" s="30"/>
      <c r="L319" s="30"/>
      <c r="O319" s="30" t="str">
        <v>kanan</v>
      </c>
      <c r="P319" s="30"/>
      <c r="Q319" s="30"/>
      <c r="T319" s="30" t="str">
        <v>tengah</v>
      </c>
      <c r="U319" s="30"/>
      <c r="V319" s="30"/>
    </row>
    <row r="320" spans="5:22">
      <c r="E320" s="30" t="str">
        <v>tengah</v>
      </c>
      <c r="F320" s="30"/>
      <c r="G320" s="30"/>
      <c r="J320" s="30" t="str">
        <v>kanan</v>
      </c>
      <c r="K320" s="30"/>
      <c r="L320" s="30"/>
      <c r="O320" s="30" t="str">
        <v>tengah</v>
      </c>
      <c r="P320" s="30"/>
      <c r="Q320" s="30"/>
      <c r="T320" s="30" t="str">
        <v>tengah</v>
      </c>
      <c r="U320" s="30"/>
      <c r="V320" s="30"/>
    </row>
    <row r="321" spans="5:22">
      <c r="E321" s="30" t="str">
        <v>kiri</v>
      </c>
      <c r="F321" s="30"/>
      <c r="G321" s="30"/>
      <c r="J321" s="30" t="str">
        <v>tengah</v>
      </c>
      <c r="K321" s="30"/>
      <c r="L321" s="30"/>
      <c r="O321" s="30" t="str">
        <v>kanan</v>
      </c>
      <c r="P321" s="30"/>
      <c r="Q321" s="30"/>
      <c r="T321" s="30" t="str">
        <v>tengah</v>
      </c>
      <c r="U321" s="30"/>
      <c r="V321" s="30"/>
    </row>
    <row r="322" spans="5:22">
      <c r="E322" s="30" t="str">
        <v>kanan</v>
      </c>
      <c r="F322" s="30"/>
      <c r="G322" s="30"/>
      <c r="J322" s="30" t="str">
        <v>tengah</v>
      </c>
      <c r="K322" s="30"/>
      <c r="L322" s="30"/>
      <c r="O322" s="30" t="str">
        <v>tengah</v>
      </c>
      <c r="P322" s="30"/>
      <c r="Q322" s="30"/>
      <c r="T322" s="30" t="str">
        <v>tengah</v>
      </c>
      <c r="U322" s="30"/>
      <c r="V322" s="30"/>
    </row>
    <row r="323" spans="5:22">
      <c r="E323" s="30" t="str">
        <v>tengah</v>
      </c>
      <c r="F323" s="30"/>
      <c r="G323" s="30"/>
      <c r="J323" s="30" t="str">
        <v>tengah</v>
      </c>
      <c r="K323" s="30"/>
      <c r="L323" s="30"/>
      <c r="O323" s="30" t="str">
        <v>kanan</v>
      </c>
      <c r="P323" s="30"/>
      <c r="Q323" s="30"/>
      <c r="T323" s="30" t="str">
        <v>tengah</v>
      </c>
      <c r="U323" s="30"/>
      <c r="V323" s="30"/>
    </row>
    <row r="324" spans="5:22">
      <c r="E324" s="30" t="str">
        <v>tengah</v>
      </c>
      <c r="F324" s="30"/>
      <c r="G324" s="30"/>
      <c r="J324" s="30" t="str">
        <v>tengah</v>
      </c>
      <c r="K324" s="30"/>
      <c r="L324" s="30"/>
      <c r="O324" s="30" t="str">
        <v>tengah</v>
      </c>
      <c r="P324" s="30"/>
      <c r="Q324" s="30"/>
      <c r="T324" s="30" t="str">
        <v>kanan</v>
      </c>
      <c r="U324" s="30"/>
      <c r="V324" s="30"/>
    </row>
    <row r="325" spans="5:22">
      <c r="E325" s="30" t="str">
        <v>tengah</v>
      </c>
      <c r="F325" s="30"/>
      <c r="G325" s="30"/>
      <c r="J325" s="30" t="str">
        <v>tengah</v>
      </c>
      <c r="K325" s="30"/>
      <c r="L325" s="30"/>
      <c r="O325" s="30" t="str">
        <v>kiri</v>
      </c>
      <c r="P325" s="30"/>
      <c r="Q325" s="30"/>
      <c r="T325" s="30" t="str">
        <v>kanan</v>
      </c>
      <c r="U325" s="30"/>
      <c r="V325" s="30"/>
    </row>
    <row r="326" spans="5:22">
      <c r="E326" s="30" t="str">
        <v>kiri</v>
      </c>
      <c r="F326" s="30"/>
      <c r="G326" s="30"/>
      <c r="J326" s="30" t="str">
        <v>kanan</v>
      </c>
      <c r="K326" s="30"/>
      <c r="L326" s="30"/>
      <c r="O326" s="30" t="str">
        <v>kiri</v>
      </c>
      <c r="P326" s="30"/>
      <c r="Q326" s="30"/>
      <c r="T326" s="30" t="str">
        <v>kanan</v>
      </c>
      <c r="U326" s="30"/>
      <c r="V326" s="30"/>
    </row>
    <row r="327" spans="5:22">
      <c r="E327" s="30" t="str">
        <v>kiri</v>
      </c>
      <c r="F327" s="30"/>
      <c r="G327" s="30"/>
      <c r="J327" s="30" t="str">
        <v>tengah</v>
      </c>
      <c r="K327" s="30"/>
      <c r="L327" s="30"/>
      <c r="O327" s="30" t="str">
        <v>tengah</v>
      </c>
      <c r="P327" s="30"/>
      <c r="Q327" s="30"/>
      <c r="T327" s="30" t="str">
        <v>kanan</v>
      </c>
      <c r="U327" s="30"/>
      <c r="V327" s="30"/>
    </row>
    <row r="328" spans="5:22">
      <c r="E328" s="30" t="str">
        <v>tengah</v>
      </c>
      <c r="F328" s="30"/>
      <c r="G328" s="30"/>
      <c r="J328" s="30" t="str">
        <v>tengah</v>
      </c>
      <c r="K328" s="30"/>
      <c r="L328" s="30"/>
      <c r="O328" s="30" t="str">
        <v>tengah</v>
      </c>
      <c r="P328" s="30"/>
      <c r="Q328" s="30"/>
      <c r="T328" s="30" t="str">
        <v>kanan</v>
      </c>
      <c r="U328" s="30"/>
      <c r="V328" s="30"/>
    </row>
    <row r="329" spans="5:22">
      <c r="E329" s="30" t="str">
        <v>kiri</v>
      </c>
      <c r="F329" s="30"/>
      <c r="G329" s="30"/>
      <c r="J329" s="30" t="str">
        <v>tengah</v>
      </c>
      <c r="K329" s="30"/>
      <c r="L329" s="30"/>
      <c r="O329" s="30" t="str">
        <v>tengah</v>
      </c>
      <c r="P329" s="30"/>
      <c r="Q329" s="30"/>
      <c r="T329" s="30" t="str">
        <v>tengah</v>
      </c>
      <c r="U329" s="30"/>
      <c r="V329" s="30"/>
    </row>
    <row r="330" spans="5:22">
      <c r="E330" s="30" t="str">
        <v>tengah</v>
      </c>
      <c r="F330" s="30"/>
      <c r="G330" s="30"/>
      <c r="J330" s="30" t="str">
        <v>kanan</v>
      </c>
      <c r="K330" s="30"/>
      <c r="L330" s="30"/>
      <c r="O330" s="30" t="str">
        <v>tengah</v>
      </c>
      <c r="P330" s="30"/>
      <c r="Q330" s="30"/>
      <c r="T330" s="30" t="str">
        <v>kanan</v>
      </c>
      <c r="U330" s="30"/>
      <c r="V330" s="30"/>
    </row>
    <row r="331" spans="5:22">
      <c r="E331" s="30" t="str">
        <v>kiri</v>
      </c>
      <c r="F331" s="30"/>
      <c r="G331" s="30"/>
      <c r="J331" s="30" t="str">
        <v>tengah</v>
      </c>
      <c r="K331" s="30"/>
      <c r="L331" s="30"/>
      <c r="O331" s="30" t="str">
        <v>tengah</v>
      </c>
      <c r="P331" s="30"/>
      <c r="Q331" s="30"/>
      <c r="T331" s="30" t="str">
        <v>kanan</v>
      </c>
      <c r="U331" s="30"/>
      <c r="V331" s="30"/>
    </row>
    <row r="332" spans="5:22">
      <c r="E332" s="30" t="str">
        <v>tengah</v>
      </c>
      <c r="F332" s="30"/>
      <c r="G332" s="30"/>
      <c r="J332" s="30" t="str">
        <v>tengah</v>
      </c>
      <c r="K332" s="30"/>
      <c r="L332" s="30"/>
      <c r="O332" s="30" t="str">
        <v>kanan</v>
      </c>
      <c r="P332" s="30"/>
      <c r="Q332" s="30"/>
      <c r="T332" s="30" t="str">
        <v>kanan</v>
      </c>
      <c r="U332" s="30"/>
      <c r="V332" s="30"/>
    </row>
  </sheetData>
  <pageMargins left="0.7" right="0.7" top="0.75" bottom="0.75" header="0.3" footer="0.3"/>
  <headerFooter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32"/>
  <sheetViews>
    <sheetView zoomScale="98" zoomScaleNormal="98" topLeftCell="O154" workbookViewId="0">
      <selection activeCell="V165" sqref="V165"/>
    </sheetView>
  </sheetViews>
  <sheetFormatPr defaultColWidth="9" defaultRowHeight="15"/>
  <cols>
    <col min="2" max="2" width="15.8518518518519" customWidth="1"/>
    <col min="3" max="3" width="16.7111111111111" customWidth="1"/>
    <col min="4" max="4" width="13.8518518518519" customWidth="1"/>
    <col min="6" max="6" width="14.4222222222222" customWidth="1"/>
    <col min="8" max="8" width="14.2814814814815" customWidth="1"/>
    <col min="9" max="9" width="13.2814814814815" customWidth="1"/>
    <col min="10" max="10" width="13.8518518518519" customWidth="1"/>
    <col min="11" max="11" width="22" customWidth="1"/>
    <col min="13" max="13" width="14.4222222222222" customWidth="1"/>
    <col min="15" max="15" width="25.2814814814815" customWidth="1"/>
    <col min="16" max="16" width="12.8518518518519" customWidth="1"/>
    <col min="17" max="17" width="11.7111111111111" customWidth="1"/>
    <col min="20" max="20" width="14.4222222222222" customWidth="1"/>
  </cols>
  <sheetData>
    <row r="1" spans="1:17">
      <c r="A1" s="29" t="s">
        <v>175</v>
      </c>
      <c r="B1" s="29" t="s">
        <v>1</v>
      </c>
      <c r="C1" s="29" t="s">
        <v>2</v>
      </c>
      <c r="D1" s="29" t="s">
        <v>171</v>
      </c>
      <c r="E1" s="29" t="s">
        <v>4</v>
      </c>
      <c r="F1" s="29" t="s">
        <v>6</v>
      </c>
      <c r="H1" s="31" t="s">
        <v>175</v>
      </c>
      <c r="I1" s="31" t="s">
        <v>1</v>
      </c>
      <c r="J1" s="31" t="s">
        <v>2</v>
      </c>
      <c r="K1" s="31" t="s">
        <v>171</v>
      </c>
      <c r="L1" s="31" t="s">
        <v>4</v>
      </c>
      <c r="M1" s="31" t="s">
        <v>6</v>
      </c>
      <c r="O1" s="29" t="s">
        <v>176</v>
      </c>
      <c r="P1" s="32"/>
      <c r="Q1" s="32"/>
    </row>
    <row r="2" spans="1:17">
      <c r="A2" s="30">
        <f ca="1">RANDBETWEEN(2,164)</f>
        <v>125</v>
      </c>
      <c r="B2" s="30">
        <f ca="1" t="array" ref="B2">INDEX(Data_DBD!$B:$B,$A2)</f>
        <v>39</v>
      </c>
      <c r="C2" s="30">
        <f ca="1" t="array" ref="C2">INDEX(Data_DBD!$C:$C,$A2)</f>
        <v>4</v>
      </c>
      <c r="D2" s="30">
        <f ca="1" t="array" ref="D2">INDEX(Data_DBD!$D:$D,$A2)</f>
        <v>33</v>
      </c>
      <c r="E2" s="30">
        <f ca="1" t="array" ref="E2">INDEX(Data_DBD!$E:$E,$A2)</f>
        <v>0</v>
      </c>
      <c r="F2" s="30">
        <f ca="1" t="array" ref="F2">INDEX(Data_DBD!$F:$F,$A2)</f>
        <v>3</v>
      </c>
      <c r="H2" s="30">
        <v>86</v>
      </c>
      <c r="I2" s="30">
        <v>23</v>
      </c>
      <c r="J2" s="30">
        <v>3</v>
      </c>
      <c r="K2" s="30">
        <v>13</v>
      </c>
      <c r="L2" s="30">
        <v>0</v>
      </c>
      <c r="M2" s="30">
        <v>2</v>
      </c>
      <c r="O2" s="33">
        <v>1</v>
      </c>
      <c r="P2" s="32">
        <f>COUNTIF(M2:M164,"1")</f>
        <v>18</v>
      </c>
      <c r="Q2" s="32">
        <f>P2/163</f>
        <v>0.110429447852761</v>
      </c>
    </row>
    <row r="3" spans="1:17">
      <c r="A3" s="30">
        <f ca="1" t="shared" ref="A3:A66" si="0">RANDBETWEEN(2,164)</f>
        <v>16</v>
      </c>
      <c r="B3" s="30">
        <f ca="1" t="array" ref="B3">INDEX(Data_DBD!$B:$B,$A3)</f>
        <v>66</v>
      </c>
      <c r="C3" s="30">
        <f ca="1" t="array" ref="C3">INDEX(Data_DBD!$C:$C,$A3)</f>
        <v>5</v>
      </c>
      <c r="D3" s="30">
        <f ca="1" t="array" ref="D3">INDEX(Data_DBD!$D:$D,$A3)</f>
        <v>7</v>
      </c>
      <c r="E3" s="30">
        <f ca="1" t="array" ref="E3">INDEX(Data_DBD!$E:$E,$A3)</f>
        <v>1</v>
      </c>
      <c r="F3" s="30">
        <f ca="1" t="array" ref="F3">INDEX(Data_DBD!$F:$F,$A3)</f>
        <v>1</v>
      </c>
      <c r="H3" s="30">
        <v>136</v>
      </c>
      <c r="I3" s="30">
        <v>6</v>
      </c>
      <c r="J3" s="30">
        <v>2</v>
      </c>
      <c r="K3" s="30">
        <v>33</v>
      </c>
      <c r="L3" s="30">
        <v>0</v>
      </c>
      <c r="M3" s="30">
        <v>3</v>
      </c>
      <c r="O3" s="32">
        <v>2</v>
      </c>
      <c r="P3" s="32">
        <f>COUNTIF(M2:M164,"2")</f>
        <v>82</v>
      </c>
      <c r="Q3" s="32">
        <f>P3/163</f>
        <v>0.503067484662577</v>
      </c>
    </row>
    <row r="4" spans="1:17">
      <c r="A4" s="30">
        <f ca="1" t="shared" si="0"/>
        <v>33</v>
      </c>
      <c r="B4" s="30">
        <f ca="1" t="array" ref="B4">INDEX(Data_DBD!$B:$B,$A4)</f>
        <v>19</v>
      </c>
      <c r="C4" s="30">
        <f ca="1" t="array" ref="C4">INDEX(Data_DBD!$C:$C,$A4)</f>
        <v>4</v>
      </c>
      <c r="D4" s="30">
        <f ca="1" t="array" ref="D4">INDEX(Data_DBD!$D:$D,$A4)</f>
        <v>14</v>
      </c>
      <c r="E4" s="30">
        <f ca="1" t="array" ref="E4">INDEX(Data_DBD!$E:$E,$A4)</f>
        <v>1</v>
      </c>
      <c r="F4" s="30">
        <f ca="1" t="array" ref="F4">INDEX(Data_DBD!$F:$F,$A4)</f>
        <v>2</v>
      </c>
      <c r="H4" s="30">
        <v>140</v>
      </c>
      <c r="I4" s="30">
        <v>74</v>
      </c>
      <c r="J4" s="30">
        <v>5</v>
      </c>
      <c r="K4" s="30">
        <v>21</v>
      </c>
      <c r="L4" s="30">
        <v>1</v>
      </c>
      <c r="M4" s="30">
        <v>3</v>
      </c>
      <c r="O4" s="32">
        <v>3</v>
      </c>
      <c r="P4" s="32">
        <f>COUNTIF(M2:M164,"3")</f>
        <v>63</v>
      </c>
      <c r="Q4" s="32">
        <f>P4/163</f>
        <v>0.386503067484663</v>
      </c>
    </row>
    <row r="5" spans="1:16">
      <c r="A5" s="30">
        <f ca="1" t="shared" si="0"/>
        <v>85</v>
      </c>
      <c r="B5" s="30">
        <f ca="1" t="array" ref="B5">INDEX(Data_DBD!$B:$B,$A5)</f>
        <v>27</v>
      </c>
      <c r="C5" s="30">
        <f ca="1" t="array" ref="C5">INDEX(Data_DBD!$C:$C,$A5)</f>
        <v>9</v>
      </c>
      <c r="D5" s="30">
        <f ca="1" t="array" ref="D5">INDEX(Data_DBD!$D:$D,$A5)</f>
        <v>13</v>
      </c>
      <c r="E5" s="30">
        <f ca="1" t="array" ref="E5">INDEX(Data_DBD!$E:$E,$A5)</f>
        <v>0</v>
      </c>
      <c r="F5" s="30">
        <f ca="1" t="array" ref="F5">INDEX(Data_DBD!$F:$F,$A5)</f>
        <v>2</v>
      </c>
      <c r="H5" s="30">
        <v>90</v>
      </c>
      <c r="I5" s="30">
        <v>47</v>
      </c>
      <c r="J5" s="30">
        <v>3</v>
      </c>
      <c r="K5" s="30">
        <v>18</v>
      </c>
      <c r="L5" s="30">
        <v>0</v>
      </c>
      <c r="M5" s="30">
        <v>3</v>
      </c>
      <c r="O5" s="34" t="s">
        <v>181</v>
      </c>
      <c r="P5">
        <f>-(IFERROR(Q2*LOG(Q2,2),0)+IFERROR(Q3*LOG(Q3,2),0)+IFERROR(Q4*LOG(Q4,2),0))</f>
        <v>1.37973091751243</v>
      </c>
    </row>
    <row r="6" spans="1:13">
      <c r="A6" s="30">
        <f ca="1" t="shared" si="0"/>
        <v>153</v>
      </c>
      <c r="B6" s="30">
        <f ca="1" t="array" ref="B6">INDEX(Data_DBD!$B:$B,$A6)</f>
        <v>73</v>
      </c>
      <c r="C6" s="30">
        <f ca="1" t="array" ref="C6">INDEX(Data_DBD!$C:$C,$A6)</f>
        <v>7</v>
      </c>
      <c r="D6" s="30">
        <f ca="1" t="array" ref="D6">INDEX(Data_DBD!$D:$D,$A6)</f>
        <v>21</v>
      </c>
      <c r="E6" s="30">
        <f ca="1" t="array" ref="E6">INDEX(Data_DBD!$E:$E,$A6)</f>
        <v>1</v>
      </c>
      <c r="F6" s="30">
        <f ca="1" t="array" ref="F6">INDEX(Data_DBD!$F:$F,$A6)</f>
        <v>3</v>
      </c>
      <c r="H6" s="30">
        <v>17</v>
      </c>
      <c r="I6" s="30">
        <v>2</v>
      </c>
      <c r="J6" s="30">
        <v>3</v>
      </c>
      <c r="K6" s="30">
        <v>7</v>
      </c>
      <c r="L6" s="30">
        <v>0</v>
      </c>
      <c r="M6" s="30">
        <v>1</v>
      </c>
    </row>
    <row r="7" spans="1:13">
      <c r="A7" s="30">
        <f ca="1" t="shared" si="0"/>
        <v>104</v>
      </c>
      <c r="B7" s="30">
        <f ca="1" t="array" ref="B7">INDEX(Data_DBD!$B:$B,$A7)</f>
        <v>37</v>
      </c>
      <c r="C7" s="30">
        <f ca="1" t="array" ref="C7">INDEX(Data_DBD!$C:$C,$A7)</f>
        <v>4</v>
      </c>
      <c r="D7" s="30">
        <f ca="1" t="array" ref="D7">INDEX(Data_DBD!$D:$D,$A7)</f>
        <v>18</v>
      </c>
      <c r="E7" s="30">
        <f ca="1" t="array" ref="E7">INDEX(Data_DBD!$E:$E,$A7)</f>
        <v>1</v>
      </c>
      <c r="F7" s="30">
        <f ca="1" t="array" ref="F7">INDEX(Data_DBD!$F:$F,$A7)</f>
        <v>3</v>
      </c>
      <c r="H7" s="30">
        <v>79</v>
      </c>
      <c r="I7" s="30">
        <v>29</v>
      </c>
      <c r="J7" s="30">
        <v>3</v>
      </c>
      <c r="K7" s="30">
        <v>13</v>
      </c>
      <c r="L7" s="30">
        <v>0</v>
      </c>
      <c r="M7" s="30">
        <v>2</v>
      </c>
    </row>
    <row r="8" spans="1:13">
      <c r="A8" s="30">
        <f ca="1" t="shared" si="0"/>
        <v>161</v>
      </c>
      <c r="B8" s="30">
        <f ca="1" t="array" ref="B8">INDEX(Data_DBD!$B:$B,$A8)</f>
        <v>12</v>
      </c>
      <c r="C8" s="30">
        <f ca="1" t="array" ref="C8">INDEX(Data_DBD!$C:$C,$A8)</f>
        <v>3</v>
      </c>
      <c r="D8" s="30">
        <f ca="1" t="array" ref="D8">INDEX(Data_DBD!$D:$D,$A8)</f>
        <v>21</v>
      </c>
      <c r="E8" s="30">
        <f ca="1" t="array" ref="E8">INDEX(Data_DBD!$E:$E,$A8)</f>
        <v>1</v>
      </c>
      <c r="F8" s="30">
        <f ca="1" t="array" ref="F8">INDEX(Data_DBD!$F:$F,$A8)</f>
        <v>3</v>
      </c>
      <c r="H8" s="30">
        <v>108</v>
      </c>
      <c r="I8" s="30">
        <v>69</v>
      </c>
      <c r="J8" s="30">
        <v>7</v>
      </c>
      <c r="K8" s="30">
        <v>33</v>
      </c>
      <c r="L8" s="30">
        <v>1</v>
      </c>
      <c r="M8" s="30">
        <v>3</v>
      </c>
    </row>
    <row r="9" spans="1:13">
      <c r="A9" s="30">
        <f ca="1" t="shared" si="0"/>
        <v>128</v>
      </c>
      <c r="B9" s="30">
        <f ca="1" t="array" ref="B9">INDEX(Data_DBD!$B:$B,$A9)</f>
        <v>38</v>
      </c>
      <c r="C9" s="30">
        <f ca="1" t="array" ref="C9">INDEX(Data_DBD!$C:$C,$A9)</f>
        <v>2</v>
      </c>
      <c r="D9" s="30">
        <f ca="1" t="array" ref="D9">INDEX(Data_DBD!$D:$D,$A9)</f>
        <v>33</v>
      </c>
      <c r="E9" s="30">
        <f ca="1" t="array" ref="E9">INDEX(Data_DBD!$E:$E,$A9)</f>
        <v>0</v>
      </c>
      <c r="F9" s="30">
        <f ca="1" t="array" ref="F9">INDEX(Data_DBD!$F:$F,$A9)</f>
        <v>3</v>
      </c>
      <c r="H9" s="30">
        <v>143</v>
      </c>
      <c r="I9" s="30">
        <v>20</v>
      </c>
      <c r="J9" s="30">
        <v>4</v>
      </c>
      <c r="K9" s="30">
        <v>21</v>
      </c>
      <c r="L9" s="30">
        <v>1</v>
      </c>
      <c r="M9" s="30">
        <v>3</v>
      </c>
    </row>
    <row r="10" spans="1:13">
      <c r="A10" s="30">
        <f ca="1" t="shared" si="0"/>
        <v>38</v>
      </c>
      <c r="B10" s="30">
        <f ca="1" t="array" ref="B10">INDEX(Data_DBD!$B:$B,$A10)</f>
        <v>52</v>
      </c>
      <c r="C10" s="30">
        <f ca="1" t="array" ref="C10">INDEX(Data_DBD!$C:$C,$A10)</f>
        <v>3</v>
      </c>
      <c r="D10" s="30">
        <f ca="1" t="array" ref="D10">INDEX(Data_DBD!$D:$D,$A10)</f>
        <v>4</v>
      </c>
      <c r="E10" s="30">
        <f ca="1" t="array" ref="E10">INDEX(Data_DBD!$E:$E,$A10)</f>
        <v>1</v>
      </c>
      <c r="F10" s="30">
        <f ca="1" t="array" ref="F10">INDEX(Data_DBD!$F:$F,$A10)</f>
        <v>1</v>
      </c>
      <c r="H10" s="30">
        <v>118</v>
      </c>
      <c r="I10" s="30">
        <v>67</v>
      </c>
      <c r="J10" s="30">
        <v>4</v>
      </c>
      <c r="K10" s="30">
        <v>33</v>
      </c>
      <c r="L10" s="30">
        <v>1</v>
      </c>
      <c r="M10" s="30">
        <v>3</v>
      </c>
    </row>
    <row r="11" spans="1:13">
      <c r="A11" s="30">
        <f ca="1" t="shared" si="0"/>
        <v>152</v>
      </c>
      <c r="B11" s="30">
        <f ca="1" t="array" ref="B11">INDEX(Data_DBD!$B:$B,$A11)</f>
        <v>47</v>
      </c>
      <c r="C11" s="30">
        <f ca="1" t="array" ref="C11">INDEX(Data_DBD!$C:$C,$A11)</f>
        <v>3</v>
      </c>
      <c r="D11" s="30">
        <f ca="1" t="array" ref="D11">INDEX(Data_DBD!$D:$D,$A11)</f>
        <v>21</v>
      </c>
      <c r="E11" s="30">
        <f ca="1" t="array" ref="E11">INDEX(Data_DBD!$E:$E,$A11)</f>
        <v>1</v>
      </c>
      <c r="F11" s="30">
        <f ca="1" t="array" ref="F11">INDEX(Data_DBD!$F:$F,$A11)</f>
        <v>3</v>
      </c>
      <c r="H11" s="30">
        <v>47</v>
      </c>
      <c r="I11" s="30">
        <v>19</v>
      </c>
      <c r="J11" s="30">
        <v>2</v>
      </c>
      <c r="K11" s="30">
        <v>13</v>
      </c>
      <c r="L11" s="30">
        <v>0</v>
      </c>
      <c r="M11" s="30">
        <v>2</v>
      </c>
    </row>
    <row r="12" spans="1:13">
      <c r="A12" s="30">
        <f ca="1" t="shared" si="0"/>
        <v>14</v>
      </c>
      <c r="B12" s="30">
        <f ca="1" t="array" ref="B12">INDEX(Data_DBD!$B:$B,$A12)</f>
        <v>49</v>
      </c>
      <c r="C12" s="30">
        <f ca="1" t="array" ref="C12">INDEX(Data_DBD!$C:$C,$A12)</f>
        <v>4</v>
      </c>
      <c r="D12" s="30">
        <f ca="1" t="array" ref="D12">INDEX(Data_DBD!$D:$D,$A12)</f>
        <v>7</v>
      </c>
      <c r="E12" s="30">
        <f ca="1" t="array" ref="E12">INDEX(Data_DBD!$E:$E,$A12)</f>
        <v>1</v>
      </c>
      <c r="F12" s="30">
        <f ca="1" t="array" ref="F12">INDEX(Data_DBD!$F:$F,$A12)</f>
        <v>1</v>
      </c>
      <c r="H12" s="30">
        <v>65</v>
      </c>
      <c r="I12" s="30">
        <v>49</v>
      </c>
      <c r="J12" s="30">
        <v>3</v>
      </c>
      <c r="K12" s="30">
        <v>15</v>
      </c>
      <c r="L12" s="30">
        <v>0</v>
      </c>
      <c r="M12" s="30">
        <v>2</v>
      </c>
    </row>
    <row r="13" spans="1:13">
      <c r="A13" s="30">
        <f ca="1" t="shared" si="0"/>
        <v>35</v>
      </c>
      <c r="B13" s="30">
        <f ca="1" t="array" ref="B13">INDEX(Data_DBD!$B:$B,$A13)</f>
        <v>40</v>
      </c>
      <c r="C13" s="30">
        <f ca="1" t="array" ref="C13">INDEX(Data_DBD!$C:$C,$A13)</f>
        <v>3</v>
      </c>
      <c r="D13" s="30">
        <f ca="1" t="array" ref="D13">INDEX(Data_DBD!$D:$D,$A13)</f>
        <v>4</v>
      </c>
      <c r="E13" s="30">
        <f ca="1" t="array" ref="E13">INDEX(Data_DBD!$E:$E,$A13)</f>
        <v>1</v>
      </c>
      <c r="F13" s="30">
        <f ca="1" t="array" ref="F13">INDEX(Data_DBD!$F:$F,$A13)</f>
        <v>1</v>
      </c>
      <c r="H13" s="30">
        <v>162</v>
      </c>
      <c r="I13" s="30">
        <v>22</v>
      </c>
      <c r="J13" s="30">
        <v>3</v>
      </c>
      <c r="K13" s="30">
        <v>3</v>
      </c>
      <c r="L13" s="30">
        <v>1</v>
      </c>
      <c r="M13" s="30">
        <v>1</v>
      </c>
    </row>
    <row r="14" spans="1:13">
      <c r="A14" s="30">
        <f ca="1" t="shared" si="0"/>
        <v>55</v>
      </c>
      <c r="B14" s="30">
        <f ca="1" t="array" ref="B14">INDEX(Data_DBD!$B:$B,$A14)</f>
        <v>7</v>
      </c>
      <c r="C14" s="30">
        <f ca="1" t="array" ref="C14">INDEX(Data_DBD!$C:$C,$A14)</f>
        <v>4</v>
      </c>
      <c r="D14" s="30">
        <f ca="1" t="array" ref="D14">INDEX(Data_DBD!$D:$D,$A14)</f>
        <v>15</v>
      </c>
      <c r="E14" s="30">
        <f ca="1" t="array" ref="E14">INDEX(Data_DBD!$E:$E,$A14)</f>
        <v>1</v>
      </c>
      <c r="F14" s="30">
        <f ca="1" t="array" ref="F14">INDEX(Data_DBD!$F:$F,$A14)</f>
        <v>2</v>
      </c>
      <c r="H14" s="30">
        <v>48</v>
      </c>
      <c r="I14" s="30">
        <v>50</v>
      </c>
      <c r="J14" s="30">
        <v>5</v>
      </c>
      <c r="K14" s="30">
        <v>13</v>
      </c>
      <c r="L14" s="30">
        <v>1</v>
      </c>
      <c r="M14" s="30">
        <v>2</v>
      </c>
    </row>
    <row r="15" spans="1:13">
      <c r="A15" s="30">
        <f ca="1" t="shared" si="0"/>
        <v>24</v>
      </c>
      <c r="B15" s="30">
        <f ca="1" t="array" ref="B15">INDEX(Data_DBD!$B:$B,$A15)</f>
        <v>60</v>
      </c>
      <c r="C15" s="30">
        <f ca="1" t="array" ref="C15">INDEX(Data_DBD!$C:$C,$A15)</f>
        <v>4</v>
      </c>
      <c r="D15" s="30">
        <f ca="1" t="array" ref="D15">INDEX(Data_DBD!$D:$D,$A15)</f>
        <v>14</v>
      </c>
      <c r="E15" s="30">
        <f ca="1" t="array" ref="E15">INDEX(Data_DBD!$E:$E,$A15)</f>
        <v>0</v>
      </c>
      <c r="F15" s="30">
        <f ca="1" t="array" ref="F15">INDEX(Data_DBD!$F:$F,$A15)</f>
        <v>2</v>
      </c>
      <c r="H15" s="30">
        <v>77</v>
      </c>
      <c r="I15" s="30">
        <v>16</v>
      </c>
      <c r="J15" s="30">
        <v>4</v>
      </c>
      <c r="K15" s="30">
        <v>13</v>
      </c>
      <c r="L15" s="30">
        <v>1</v>
      </c>
      <c r="M15" s="30">
        <v>2</v>
      </c>
    </row>
    <row r="16" spans="1:13">
      <c r="A16" s="30">
        <f ca="1" t="shared" si="0"/>
        <v>149</v>
      </c>
      <c r="B16" s="30">
        <f ca="1" t="array" ref="B16">INDEX(Data_DBD!$B:$B,$A16)</f>
        <v>19</v>
      </c>
      <c r="C16" s="30">
        <f ca="1" t="array" ref="C16">INDEX(Data_DBD!$C:$C,$A16)</f>
        <v>5</v>
      </c>
      <c r="D16" s="30">
        <f ca="1" t="array" ref="D16">INDEX(Data_DBD!$D:$D,$A16)</f>
        <v>21</v>
      </c>
      <c r="E16" s="30">
        <f ca="1" t="array" ref="E16">INDEX(Data_DBD!$E:$E,$A16)</f>
        <v>0</v>
      </c>
      <c r="F16" s="30">
        <f ca="1" t="array" ref="F16">INDEX(Data_DBD!$F:$F,$A16)</f>
        <v>3</v>
      </c>
      <c r="H16" s="30">
        <v>31</v>
      </c>
      <c r="I16" s="30">
        <v>64</v>
      </c>
      <c r="J16" s="30">
        <v>4</v>
      </c>
      <c r="K16" s="30">
        <v>14</v>
      </c>
      <c r="L16" s="30">
        <v>1</v>
      </c>
      <c r="M16" s="30">
        <v>2</v>
      </c>
    </row>
    <row r="17" spans="1:13">
      <c r="A17" s="30">
        <f ca="1" t="shared" si="0"/>
        <v>156</v>
      </c>
      <c r="B17" s="30">
        <f ca="1" t="array" ref="B17">INDEX(Data_DBD!$B:$B,$A17)</f>
        <v>5</v>
      </c>
      <c r="C17" s="30">
        <f ca="1" t="array" ref="C17">INDEX(Data_DBD!$C:$C,$A17)</f>
        <v>2</v>
      </c>
      <c r="D17" s="30">
        <f ca="1" t="array" ref="D17">INDEX(Data_DBD!$D:$D,$A17)</f>
        <v>21</v>
      </c>
      <c r="E17" s="30">
        <f ca="1" t="array" ref="E17">INDEX(Data_DBD!$E:$E,$A17)</f>
        <v>0</v>
      </c>
      <c r="F17" s="30">
        <f ca="1" t="array" ref="F17">INDEX(Data_DBD!$F:$F,$A17)</f>
        <v>3</v>
      </c>
      <c r="H17" s="30">
        <v>7</v>
      </c>
      <c r="I17" s="30">
        <v>12</v>
      </c>
      <c r="J17" s="30">
        <v>1</v>
      </c>
      <c r="K17" s="30">
        <v>12</v>
      </c>
      <c r="L17" s="30">
        <v>1</v>
      </c>
      <c r="M17" s="30">
        <v>2</v>
      </c>
    </row>
    <row r="18" spans="1:13">
      <c r="A18" s="30">
        <f ca="1" t="shared" si="0"/>
        <v>48</v>
      </c>
      <c r="B18" s="30">
        <f ca="1" t="array" ref="B18">INDEX(Data_DBD!$B:$B,$A18)</f>
        <v>50</v>
      </c>
      <c r="C18" s="30">
        <f ca="1" t="array" ref="C18">INDEX(Data_DBD!$C:$C,$A18)</f>
        <v>5</v>
      </c>
      <c r="D18" s="30">
        <f ca="1" t="array" ref="D18">INDEX(Data_DBD!$D:$D,$A18)</f>
        <v>13</v>
      </c>
      <c r="E18" s="30">
        <f ca="1" t="array" ref="E18">INDEX(Data_DBD!$E:$E,$A18)</f>
        <v>1</v>
      </c>
      <c r="F18" s="30">
        <f ca="1" t="array" ref="F18">INDEX(Data_DBD!$F:$F,$A18)</f>
        <v>2</v>
      </c>
      <c r="H18" s="30">
        <v>129</v>
      </c>
      <c r="I18" s="30">
        <v>4.5</v>
      </c>
      <c r="J18" s="30">
        <v>3</v>
      </c>
      <c r="K18" s="30">
        <v>33</v>
      </c>
      <c r="L18" s="30">
        <v>0</v>
      </c>
      <c r="M18" s="30">
        <v>3</v>
      </c>
    </row>
    <row r="19" spans="1:13">
      <c r="A19" s="30">
        <f ca="1" t="shared" si="0"/>
        <v>28</v>
      </c>
      <c r="B19" s="30">
        <f ca="1" t="array" ref="B19">INDEX(Data_DBD!$B:$B,$A19)</f>
        <v>22</v>
      </c>
      <c r="C19" s="30">
        <f ca="1" t="array" ref="C19">INDEX(Data_DBD!$C:$C,$A19)</f>
        <v>2</v>
      </c>
      <c r="D19" s="30">
        <f ca="1" t="array" ref="D19">INDEX(Data_DBD!$D:$D,$A19)</f>
        <v>14</v>
      </c>
      <c r="E19" s="30">
        <f ca="1" t="array" ref="E19">INDEX(Data_DBD!$E:$E,$A19)</f>
        <v>1</v>
      </c>
      <c r="F19" s="30">
        <f ca="1" t="array" ref="F19">INDEX(Data_DBD!$F:$F,$A19)</f>
        <v>2</v>
      </c>
      <c r="H19" s="30">
        <v>112</v>
      </c>
      <c r="I19" s="30">
        <v>61</v>
      </c>
      <c r="J19" s="30">
        <v>3</v>
      </c>
      <c r="K19" s="30">
        <v>33</v>
      </c>
      <c r="L19" s="30">
        <v>1</v>
      </c>
      <c r="M19" s="30">
        <v>3</v>
      </c>
    </row>
    <row r="20" spans="1:13">
      <c r="A20" s="30">
        <f ca="1" t="shared" si="0"/>
        <v>160</v>
      </c>
      <c r="B20" s="30">
        <f ca="1" t="array" ref="B20">INDEX(Data_DBD!$B:$B,$A20)</f>
        <v>16</v>
      </c>
      <c r="C20" s="30">
        <f ca="1" t="array" ref="C20">INDEX(Data_DBD!$C:$C,$A20)</f>
        <v>3</v>
      </c>
      <c r="D20" s="30">
        <f ca="1" t="array" ref="D20">INDEX(Data_DBD!$D:$D,$A20)</f>
        <v>21</v>
      </c>
      <c r="E20" s="30">
        <f ca="1" t="array" ref="E20">INDEX(Data_DBD!$E:$E,$A20)</f>
        <v>0</v>
      </c>
      <c r="F20" s="30">
        <f ca="1" t="array" ref="F20">INDEX(Data_DBD!$F:$F,$A20)</f>
        <v>3</v>
      </c>
      <c r="H20" s="30">
        <v>49</v>
      </c>
      <c r="I20" s="30">
        <v>64</v>
      </c>
      <c r="J20" s="30">
        <v>5</v>
      </c>
      <c r="K20" s="30">
        <v>13</v>
      </c>
      <c r="L20" s="30">
        <v>0</v>
      </c>
      <c r="M20" s="30">
        <v>2</v>
      </c>
    </row>
    <row r="21" spans="1:13">
      <c r="A21" s="30">
        <f ca="1" t="shared" si="0"/>
        <v>100</v>
      </c>
      <c r="B21" s="30">
        <f ca="1" t="array" ref="B21">INDEX(Data_DBD!$B:$B,$A21)</f>
        <v>19</v>
      </c>
      <c r="C21" s="30">
        <f ca="1" t="array" ref="C21">INDEX(Data_DBD!$C:$C,$A21)</f>
        <v>6</v>
      </c>
      <c r="D21" s="30">
        <f ca="1" t="array" ref="D21">INDEX(Data_DBD!$D:$D,$A21)</f>
        <v>18</v>
      </c>
      <c r="E21" s="30">
        <f ca="1" t="array" ref="E21">INDEX(Data_DBD!$E:$E,$A21)</f>
        <v>0</v>
      </c>
      <c r="F21" s="30">
        <f ca="1" t="array" ref="F21">INDEX(Data_DBD!$F:$F,$A21)</f>
        <v>3</v>
      </c>
      <c r="H21" s="30">
        <v>5</v>
      </c>
      <c r="I21" s="30">
        <v>18</v>
      </c>
      <c r="J21" s="30">
        <v>2</v>
      </c>
      <c r="K21" s="30">
        <v>12</v>
      </c>
      <c r="L21" s="30">
        <v>1</v>
      </c>
      <c r="M21" s="30">
        <v>2</v>
      </c>
    </row>
    <row r="22" spans="1:13">
      <c r="A22" s="30">
        <f ca="1" t="shared" si="0"/>
        <v>143</v>
      </c>
      <c r="B22" s="30">
        <f ca="1" t="array" ref="B22">INDEX(Data_DBD!$B:$B,$A22)</f>
        <v>20</v>
      </c>
      <c r="C22" s="30">
        <f ca="1" t="array" ref="C22">INDEX(Data_DBD!$C:$C,$A22)</f>
        <v>4</v>
      </c>
      <c r="D22" s="30">
        <f ca="1" t="array" ref="D22">INDEX(Data_DBD!$D:$D,$A22)</f>
        <v>21</v>
      </c>
      <c r="E22" s="30">
        <f ca="1" t="array" ref="E22">INDEX(Data_DBD!$E:$E,$A22)</f>
        <v>1</v>
      </c>
      <c r="F22" s="30">
        <f ca="1" t="array" ref="F22">INDEX(Data_DBD!$F:$F,$A22)</f>
        <v>3</v>
      </c>
      <c r="H22" s="30">
        <v>51</v>
      </c>
      <c r="I22" s="30">
        <v>48</v>
      </c>
      <c r="J22" s="30">
        <v>4</v>
      </c>
      <c r="K22" s="30">
        <v>13</v>
      </c>
      <c r="L22" s="30">
        <v>0</v>
      </c>
      <c r="M22" s="30">
        <v>2</v>
      </c>
    </row>
    <row r="23" spans="1:13">
      <c r="A23" s="30">
        <f ca="1" t="shared" si="0"/>
        <v>134</v>
      </c>
      <c r="B23" s="30">
        <f ca="1" t="array" ref="B23">INDEX(Data_DBD!$B:$B,$A23)</f>
        <v>4</v>
      </c>
      <c r="C23" s="30">
        <f ca="1" t="array" ref="C23">INDEX(Data_DBD!$C:$C,$A23)</f>
        <v>2</v>
      </c>
      <c r="D23" s="30">
        <f ca="1" t="array" ref="D23">INDEX(Data_DBD!$D:$D,$A23)</f>
        <v>33</v>
      </c>
      <c r="E23" s="30">
        <f ca="1" t="array" ref="E23">INDEX(Data_DBD!$E:$E,$A23)</f>
        <v>1</v>
      </c>
      <c r="F23" s="30">
        <f ca="1" t="array" ref="F23">INDEX(Data_DBD!$F:$F,$A23)</f>
        <v>3</v>
      </c>
      <c r="H23" s="30">
        <v>58</v>
      </c>
      <c r="I23" s="30">
        <v>17</v>
      </c>
      <c r="J23" s="30">
        <v>3</v>
      </c>
      <c r="K23" s="30">
        <v>15</v>
      </c>
      <c r="L23" s="30">
        <v>0</v>
      </c>
      <c r="M23" s="30">
        <v>2</v>
      </c>
    </row>
    <row r="24" spans="1:13">
      <c r="A24" s="30">
        <f ca="1" t="shared" si="0"/>
        <v>54</v>
      </c>
      <c r="B24" s="30">
        <f ca="1" t="array" ref="B24">INDEX(Data_DBD!$B:$B,$A24)</f>
        <v>7</v>
      </c>
      <c r="C24" s="30">
        <f ca="1" t="array" ref="C24">INDEX(Data_DBD!$C:$C,$A24)</f>
        <v>3</v>
      </c>
      <c r="D24" s="30">
        <f ca="1" t="array" ref="D24">INDEX(Data_DBD!$D:$D,$A24)</f>
        <v>15</v>
      </c>
      <c r="E24" s="30">
        <f ca="1" t="array" ref="E24">INDEX(Data_DBD!$E:$E,$A24)</f>
        <v>0</v>
      </c>
      <c r="F24" s="30">
        <f ca="1" t="array" ref="F24">INDEX(Data_DBD!$F:$F,$A24)</f>
        <v>2</v>
      </c>
      <c r="H24" s="30">
        <v>91</v>
      </c>
      <c r="I24" s="30">
        <v>35</v>
      </c>
      <c r="J24" s="30">
        <v>1</v>
      </c>
      <c r="K24" s="30">
        <v>18</v>
      </c>
      <c r="L24" s="30">
        <v>1</v>
      </c>
      <c r="M24" s="30">
        <v>3</v>
      </c>
    </row>
    <row r="25" spans="1:13">
      <c r="A25" s="30">
        <f ca="1" t="shared" si="0"/>
        <v>35</v>
      </c>
      <c r="B25" s="30">
        <f ca="1" t="array" ref="B25">INDEX(Data_DBD!$B:$B,$A25)</f>
        <v>40</v>
      </c>
      <c r="C25" s="30">
        <f ca="1" t="array" ref="C25">INDEX(Data_DBD!$C:$C,$A25)</f>
        <v>3</v>
      </c>
      <c r="D25" s="30">
        <f ca="1" t="array" ref="D25">INDEX(Data_DBD!$D:$D,$A25)</f>
        <v>4</v>
      </c>
      <c r="E25" s="30">
        <f ca="1" t="array" ref="E25">INDEX(Data_DBD!$E:$E,$A25)</f>
        <v>1</v>
      </c>
      <c r="F25" s="30">
        <f ca="1" t="array" ref="F25">INDEX(Data_DBD!$F:$F,$A25)</f>
        <v>1</v>
      </c>
      <c r="H25" s="30">
        <v>118</v>
      </c>
      <c r="I25" s="30">
        <v>67</v>
      </c>
      <c r="J25" s="30">
        <v>4</v>
      </c>
      <c r="K25" s="30">
        <v>33</v>
      </c>
      <c r="L25" s="30">
        <v>1</v>
      </c>
      <c r="M25" s="30">
        <v>3</v>
      </c>
    </row>
    <row r="26" spans="1:13">
      <c r="A26" s="30">
        <f ca="1" t="shared" si="0"/>
        <v>67</v>
      </c>
      <c r="B26" s="30">
        <f ca="1" t="array" ref="B26">INDEX(Data_DBD!$B:$B,$A26)</f>
        <v>21</v>
      </c>
      <c r="C26" s="30">
        <f ca="1" t="array" ref="C26">INDEX(Data_DBD!$C:$C,$A26)</f>
        <v>3</v>
      </c>
      <c r="D26" s="30">
        <f ca="1" t="array" ref="D26">INDEX(Data_DBD!$D:$D,$A26)</f>
        <v>10</v>
      </c>
      <c r="E26" s="30">
        <f ca="1" t="array" ref="E26">INDEX(Data_DBD!$E:$E,$A26)</f>
        <v>1</v>
      </c>
      <c r="F26" s="30">
        <f ca="1" t="array" ref="F26">INDEX(Data_DBD!$F:$F,$A26)</f>
        <v>2</v>
      </c>
      <c r="H26" s="30">
        <v>80</v>
      </c>
      <c r="I26" s="30">
        <v>27</v>
      </c>
      <c r="J26" s="30">
        <v>3</v>
      </c>
      <c r="K26" s="30">
        <v>13</v>
      </c>
      <c r="L26" s="30">
        <v>1</v>
      </c>
      <c r="M26" s="30">
        <v>2</v>
      </c>
    </row>
    <row r="27" spans="1:13">
      <c r="A27" s="30">
        <f ca="1" t="shared" si="0"/>
        <v>54</v>
      </c>
      <c r="B27" s="30">
        <f ca="1" t="array" ref="B27">INDEX(Data_DBD!$B:$B,$A27)</f>
        <v>7</v>
      </c>
      <c r="C27" s="30">
        <f ca="1" t="array" ref="C27">INDEX(Data_DBD!$C:$C,$A27)</f>
        <v>3</v>
      </c>
      <c r="D27" s="30">
        <f ca="1" t="array" ref="D27">INDEX(Data_DBD!$D:$D,$A27)</f>
        <v>15</v>
      </c>
      <c r="E27" s="30">
        <f ca="1" t="array" ref="E27">INDEX(Data_DBD!$E:$E,$A27)</f>
        <v>0</v>
      </c>
      <c r="F27" s="30">
        <f ca="1" t="array" ref="F27">INDEX(Data_DBD!$F:$F,$A27)</f>
        <v>2</v>
      </c>
      <c r="H27" s="30">
        <v>87</v>
      </c>
      <c r="I27" s="30">
        <v>21</v>
      </c>
      <c r="J27" s="30">
        <v>3</v>
      </c>
      <c r="K27" s="30">
        <v>13</v>
      </c>
      <c r="L27" s="30">
        <v>0</v>
      </c>
      <c r="M27" s="30">
        <v>2</v>
      </c>
    </row>
    <row r="28" spans="1:13">
      <c r="A28" s="30">
        <f ca="1" t="shared" si="0"/>
        <v>14</v>
      </c>
      <c r="B28" s="30">
        <f ca="1" t="array" ref="B28">INDEX(Data_DBD!$B:$B,$A28)</f>
        <v>49</v>
      </c>
      <c r="C28" s="30">
        <f ca="1" t="array" ref="C28">INDEX(Data_DBD!$C:$C,$A28)</f>
        <v>4</v>
      </c>
      <c r="D28" s="30">
        <f ca="1" t="array" ref="D28">INDEX(Data_DBD!$D:$D,$A28)</f>
        <v>7</v>
      </c>
      <c r="E28" s="30">
        <f ca="1" t="array" ref="E28">INDEX(Data_DBD!$E:$E,$A28)</f>
        <v>1</v>
      </c>
      <c r="F28" s="30">
        <f ca="1" t="array" ref="F28">INDEX(Data_DBD!$F:$F,$A28)</f>
        <v>1</v>
      </c>
      <c r="H28" s="30">
        <v>46</v>
      </c>
      <c r="I28" s="30">
        <v>62</v>
      </c>
      <c r="J28" s="30">
        <v>2</v>
      </c>
      <c r="K28" s="30">
        <v>13</v>
      </c>
      <c r="L28" s="30">
        <v>0</v>
      </c>
      <c r="M28" s="30">
        <v>2</v>
      </c>
    </row>
    <row r="29" spans="1:13">
      <c r="A29" s="30">
        <f ca="1" t="shared" si="0"/>
        <v>159</v>
      </c>
      <c r="B29" s="30">
        <f ca="1" t="array" ref="B29">INDEX(Data_DBD!$B:$B,$A29)</f>
        <v>17</v>
      </c>
      <c r="C29" s="30">
        <f ca="1" t="array" ref="C29">INDEX(Data_DBD!$C:$C,$A29)</f>
        <v>2</v>
      </c>
      <c r="D29" s="30">
        <f ca="1" t="array" ref="D29">INDEX(Data_DBD!$D:$D,$A29)</f>
        <v>21</v>
      </c>
      <c r="E29" s="30">
        <f ca="1" t="array" ref="E29">INDEX(Data_DBD!$E:$E,$A29)</f>
        <v>0</v>
      </c>
      <c r="F29" s="30">
        <f ca="1" t="array" ref="F29">INDEX(Data_DBD!$F:$F,$A29)</f>
        <v>3</v>
      </c>
      <c r="H29" s="30">
        <v>81</v>
      </c>
      <c r="I29" s="30">
        <v>23</v>
      </c>
      <c r="J29" s="30">
        <v>5</v>
      </c>
      <c r="K29" s="30">
        <v>13</v>
      </c>
      <c r="L29" s="30">
        <v>1</v>
      </c>
      <c r="M29" s="30">
        <v>2</v>
      </c>
    </row>
    <row r="30" spans="1:13">
      <c r="A30" s="30">
        <f ca="1" t="shared" si="0"/>
        <v>11</v>
      </c>
      <c r="B30" s="30">
        <f ca="1" t="array" ref="B30">INDEX(Data_DBD!$B:$B,$A30)</f>
        <v>24</v>
      </c>
      <c r="C30" s="30">
        <f ca="1" t="array" ref="C30">INDEX(Data_DBD!$C:$C,$A30)</f>
        <v>5</v>
      </c>
      <c r="D30" s="30">
        <f ca="1" t="array" ref="D30">INDEX(Data_DBD!$D:$D,$A30)</f>
        <v>12</v>
      </c>
      <c r="E30" s="30">
        <f ca="1" t="array" ref="E30">INDEX(Data_DBD!$E:$E,$A30)</f>
        <v>1</v>
      </c>
      <c r="F30" s="30">
        <f ca="1" t="array" ref="F30">INDEX(Data_DBD!$F:$F,$A30)</f>
        <v>2</v>
      </c>
      <c r="H30" s="30">
        <v>45</v>
      </c>
      <c r="I30" s="30">
        <v>75</v>
      </c>
      <c r="J30" s="30">
        <v>3</v>
      </c>
      <c r="K30" s="30">
        <v>13</v>
      </c>
      <c r="L30" s="30">
        <v>1</v>
      </c>
      <c r="M30" s="30">
        <v>2</v>
      </c>
    </row>
    <row r="31" spans="1:13">
      <c r="A31" s="30">
        <f ca="1" t="shared" si="0"/>
        <v>156</v>
      </c>
      <c r="B31" s="30">
        <f ca="1" t="array" ref="B31">INDEX(Data_DBD!$B:$B,$A31)</f>
        <v>5</v>
      </c>
      <c r="C31" s="30">
        <f ca="1" t="array" ref="C31">INDEX(Data_DBD!$C:$C,$A31)</f>
        <v>2</v>
      </c>
      <c r="D31" s="30">
        <f ca="1" t="array" ref="D31">INDEX(Data_DBD!$D:$D,$A31)</f>
        <v>21</v>
      </c>
      <c r="E31" s="30">
        <f ca="1" t="array" ref="E31">INDEX(Data_DBD!$E:$E,$A31)</f>
        <v>0</v>
      </c>
      <c r="F31" s="30">
        <f ca="1" t="array" ref="F31">INDEX(Data_DBD!$F:$F,$A31)</f>
        <v>3</v>
      </c>
      <c r="H31" s="30">
        <v>5</v>
      </c>
      <c r="I31" s="30">
        <v>18</v>
      </c>
      <c r="J31" s="30">
        <v>2</v>
      </c>
      <c r="K31" s="30">
        <v>12</v>
      </c>
      <c r="L31" s="30">
        <v>1</v>
      </c>
      <c r="M31" s="30">
        <v>2</v>
      </c>
    </row>
    <row r="32" spans="1:13">
      <c r="A32" s="30">
        <f ca="1" t="shared" si="0"/>
        <v>113</v>
      </c>
      <c r="B32" s="30">
        <f ca="1" t="array" ref="B32">INDEX(Data_DBD!$B:$B,$A32)</f>
        <v>69</v>
      </c>
      <c r="C32" s="30">
        <f ca="1" t="array" ref="C32">INDEX(Data_DBD!$C:$C,$A32)</f>
        <v>1</v>
      </c>
      <c r="D32" s="30">
        <f ca="1" t="array" ref="D32">INDEX(Data_DBD!$D:$D,$A32)</f>
        <v>33</v>
      </c>
      <c r="E32" s="30">
        <f ca="1" t="array" ref="E32">INDEX(Data_DBD!$E:$E,$A32)</f>
        <v>1</v>
      </c>
      <c r="F32" s="30">
        <f ca="1" t="array" ref="F32">INDEX(Data_DBD!$F:$F,$A32)</f>
        <v>3</v>
      </c>
      <c r="H32" s="30">
        <v>159</v>
      </c>
      <c r="I32" s="30">
        <v>17</v>
      </c>
      <c r="J32" s="30">
        <v>2</v>
      </c>
      <c r="K32" s="30">
        <v>21</v>
      </c>
      <c r="L32" s="30">
        <v>0</v>
      </c>
      <c r="M32" s="30">
        <v>3</v>
      </c>
    </row>
    <row r="33" spans="1:13">
      <c r="A33" s="30">
        <f ca="1" t="shared" si="0"/>
        <v>150</v>
      </c>
      <c r="B33" s="30">
        <f ca="1" t="array" ref="B33">INDEX(Data_DBD!$B:$B,$A33)</f>
        <v>61</v>
      </c>
      <c r="C33" s="30">
        <f ca="1" t="array" ref="C33">INDEX(Data_DBD!$C:$C,$A33)</f>
        <v>5</v>
      </c>
      <c r="D33" s="30">
        <f ca="1" t="array" ref="D33">INDEX(Data_DBD!$D:$D,$A33)</f>
        <v>21</v>
      </c>
      <c r="E33" s="30">
        <f ca="1" t="array" ref="E33">INDEX(Data_DBD!$E:$E,$A33)</f>
        <v>1</v>
      </c>
      <c r="F33" s="30">
        <f ca="1" t="array" ref="F33">INDEX(Data_DBD!$F:$F,$A33)</f>
        <v>3</v>
      </c>
      <c r="H33" s="30">
        <v>111</v>
      </c>
      <c r="I33" s="30">
        <v>25</v>
      </c>
      <c r="J33" s="30">
        <v>4</v>
      </c>
      <c r="K33" s="30">
        <v>33</v>
      </c>
      <c r="L33" s="30">
        <v>0</v>
      </c>
      <c r="M33" s="30">
        <v>3</v>
      </c>
    </row>
    <row r="34" spans="1:13">
      <c r="A34" s="30">
        <f ca="1" t="shared" si="0"/>
        <v>139</v>
      </c>
      <c r="B34" s="30">
        <f ca="1" t="array" ref="B34">INDEX(Data_DBD!$B:$B,$A34)</f>
        <v>52</v>
      </c>
      <c r="C34" s="30">
        <f ca="1" t="array" ref="C34">INDEX(Data_DBD!$C:$C,$A34)</f>
        <v>7</v>
      </c>
      <c r="D34" s="30">
        <f ca="1" t="array" ref="D34">INDEX(Data_DBD!$D:$D,$A34)</f>
        <v>21</v>
      </c>
      <c r="E34" s="30">
        <f ca="1" t="array" ref="E34">INDEX(Data_DBD!$E:$E,$A34)</f>
        <v>0</v>
      </c>
      <c r="F34" s="30">
        <f ca="1" t="array" ref="F34">INDEX(Data_DBD!$F:$F,$A34)</f>
        <v>3</v>
      </c>
      <c r="H34" s="30">
        <v>68</v>
      </c>
      <c r="I34" s="30">
        <v>44</v>
      </c>
      <c r="J34" s="30">
        <v>5</v>
      </c>
      <c r="K34" s="30">
        <v>10</v>
      </c>
      <c r="L34" s="30">
        <v>0</v>
      </c>
      <c r="M34" s="30">
        <v>2</v>
      </c>
    </row>
    <row r="35" spans="1:13">
      <c r="A35" s="30">
        <f ca="1" t="shared" si="0"/>
        <v>93</v>
      </c>
      <c r="B35" s="30">
        <f ca="1" t="array" ref="B35">INDEX(Data_DBD!$B:$B,$A35)</f>
        <v>65</v>
      </c>
      <c r="C35" s="30">
        <f ca="1" t="array" ref="C35">INDEX(Data_DBD!$C:$C,$A35)</f>
        <v>4</v>
      </c>
      <c r="D35" s="30">
        <f ca="1" t="array" ref="D35">INDEX(Data_DBD!$D:$D,$A35)</f>
        <v>18</v>
      </c>
      <c r="E35" s="30">
        <f ca="1" t="array" ref="E35">INDEX(Data_DBD!$E:$E,$A35)</f>
        <v>0</v>
      </c>
      <c r="F35" s="30">
        <f ca="1" t="array" ref="F35">INDEX(Data_DBD!$F:$F,$A35)</f>
        <v>3</v>
      </c>
      <c r="H35" s="30">
        <v>140</v>
      </c>
      <c r="I35" s="30">
        <v>74</v>
      </c>
      <c r="J35" s="30">
        <v>5</v>
      </c>
      <c r="K35" s="30">
        <v>21</v>
      </c>
      <c r="L35" s="30">
        <v>1</v>
      </c>
      <c r="M35" s="30">
        <v>3</v>
      </c>
    </row>
    <row r="36" spans="1:13">
      <c r="A36" s="30">
        <f ca="1" t="shared" si="0"/>
        <v>80</v>
      </c>
      <c r="B36" s="30">
        <f ca="1" t="array" ref="B36">INDEX(Data_DBD!$B:$B,$A36)</f>
        <v>27</v>
      </c>
      <c r="C36" s="30">
        <f ca="1" t="array" ref="C36">INDEX(Data_DBD!$C:$C,$A36)</f>
        <v>3</v>
      </c>
      <c r="D36" s="30">
        <f ca="1" t="array" ref="D36">INDEX(Data_DBD!$D:$D,$A36)</f>
        <v>13</v>
      </c>
      <c r="E36" s="30">
        <f ca="1" t="array" ref="E36">INDEX(Data_DBD!$E:$E,$A36)</f>
        <v>1</v>
      </c>
      <c r="F36" s="30">
        <f ca="1" t="array" ref="F36">INDEX(Data_DBD!$F:$F,$A36)</f>
        <v>2</v>
      </c>
      <c r="H36" s="30">
        <v>77</v>
      </c>
      <c r="I36" s="30">
        <v>16</v>
      </c>
      <c r="J36" s="30">
        <v>4</v>
      </c>
      <c r="K36" s="30">
        <v>13</v>
      </c>
      <c r="L36" s="30">
        <v>1</v>
      </c>
      <c r="M36" s="30">
        <v>2</v>
      </c>
    </row>
    <row r="37" spans="1:13">
      <c r="A37" s="30">
        <f ca="1" t="shared" si="0"/>
        <v>64</v>
      </c>
      <c r="B37" s="30">
        <f ca="1" t="array" ref="B37">INDEX(Data_DBD!$B:$B,$A37)</f>
        <v>35</v>
      </c>
      <c r="C37" s="30">
        <f ca="1" t="array" ref="C37">INDEX(Data_DBD!$C:$C,$A37)</f>
        <v>1</v>
      </c>
      <c r="D37" s="30">
        <f ca="1" t="array" ref="D37">INDEX(Data_DBD!$D:$D,$A37)</f>
        <v>15</v>
      </c>
      <c r="E37" s="30">
        <f ca="1" t="array" ref="E37">INDEX(Data_DBD!$E:$E,$A37)</f>
        <v>0</v>
      </c>
      <c r="F37" s="30">
        <f ca="1" t="array" ref="F37">INDEX(Data_DBD!$F:$F,$A37)</f>
        <v>2</v>
      </c>
      <c r="H37" s="30">
        <v>107</v>
      </c>
      <c r="I37" s="30">
        <v>48</v>
      </c>
      <c r="J37" s="30">
        <v>5</v>
      </c>
      <c r="K37" s="30">
        <v>18</v>
      </c>
      <c r="L37" s="30">
        <v>0</v>
      </c>
      <c r="M37" s="30">
        <v>3</v>
      </c>
    </row>
    <row r="38" spans="1:13">
      <c r="A38" s="30">
        <f ca="1" t="shared" si="0"/>
        <v>88</v>
      </c>
      <c r="B38" s="30">
        <f ca="1" t="array" ref="B38">INDEX(Data_DBD!$B:$B,$A38)</f>
        <v>20</v>
      </c>
      <c r="C38" s="30">
        <f ca="1" t="array" ref="C38">INDEX(Data_DBD!$C:$C,$A38)</f>
        <v>4</v>
      </c>
      <c r="D38" s="30">
        <f ca="1" t="array" ref="D38">INDEX(Data_DBD!$D:$D,$A38)</f>
        <v>13</v>
      </c>
      <c r="E38" s="30">
        <f ca="1" t="array" ref="E38">INDEX(Data_DBD!$E:$E,$A38)</f>
        <v>1</v>
      </c>
      <c r="F38" s="30">
        <f ca="1" t="array" ref="F38">INDEX(Data_DBD!$F:$F,$A38)</f>
        <v>2</v>
      </c>
      <c r="H38" s="30">
        <v>5</v>
      </c>
      <c r="I38" s="30">
        <v>18</v>
      </c>
      <c r="J38" s="30">
        <v>2</v>
      </c>
      <c r="K38" s="30">
        <v>12</v>
      </c>
      <c r="L38" s="30">
        <v>1</v>
      </c>
      <c r="M38" s="30">
        <v>2</v>
      </c>
    </row>
    <row r="39" spans="1:13">
      <c r="A39" s="30">
        <f ca="1" t="shared" si="0"/>
        <v>127</v>
      </c>
      <c r="B39" s="30">
        <f ca="1" t="array" ref="B39">INDEX(Data_DBD!$B:$B,$A39)</f>
        <v>21</v>
      </c>
      <c r="C39" s="30">
        <f ca="1" t="array" ref="C39">INDEX(Data_DBD!$C:$C,$A39)</f>
        <v>2</v>
      </c>
      <c r="D39" s="30">
        <f ca="1" t="array" ref="D39">INDEX(Data_DBD!$D:$D,$A39)</f>
        <v>33</v>
      </c>
      <c r="E39" s="30">
        <f ca="1" t="array" ref="E39">INDEX(Data_DBD!$E:$E,$A39)</f>
        <v>0</v>
      </c>
      <c r="F39" s="30">
        <f ca="1" t="array" ref="F39">INDEX(Data_DBD!$F:$F,$A39)</f>
        <v>3</v>
      </c>
      <c r="H39" s="30">
        <v>157</v>
      </c>
      <c r="I39" s="30">
        <v>15</v>
      </c>
      <c r="J39" s="30">
        <v>4</v>
      </c>
      <c r="K39" s="30">
        <v>21</v>
      </c>
      <c r="L39" s="30">
        <v>1</v>
      </c>
      <c r="M39" s="30">
        <v>3</v>
      </c>
    </row>
    <row r="40" spans="1:13">
      <c r="A40" s="30">
        <f ca="1" t="shared" si="0"/>
        <v>41</v>
      </c>
      <c r="B40" s="30">
        <f ca="1" t="array" ref="B40">INDEX(Data_DBD!$B:$B,$A40)</f>
        <v>8</v>
      </c>
      <c r="C40" s="30">
        <f ca="1" t="array" ref="C40">INDEX(Data_DBD!$C:$C,$A40)</f>
        <v>4</v>
      </c>
      <c r="D40" s="30">
        <f ca="1" t="array" ref="D40">INDEX(Data_DBD!$D:$D,$A40)</f>
        <v>13</v>
      </c>
      <c r="E40" s="30">
        <f ca="1" t="array" ref="E40">INDEX(Data_DBD!$E:$E,$A40)</f>
        <v>0</v>
      </c>
      <c r="F40" s="30">
        <f ca="1" t="array" ref="F40">INDEX(Data_DBD!$F:$F,$A40)</f>
        <v>2</v>
      </c>
      <c r="H40" s="30">
        <v>48</v>
      </c>
      <c r="I40" s="30">
        <v>50</v>
      </c>
      <c r="J40" s="30">
        <v>5</v>
      </c>
      <c r="K40" s="30">
        <v>13</v>
      </c>
      <c r="L40" s="30">
        <v>1</v>
      </c>
      <c r="M40" s="30">
        <v>2</v>
      </c>
    </row>
    <row r="41" spans="1:13">
      <c r="A41" s="30">
        <f ca="1" t="shared" si="0"/>
        <v>106</v>
      </c>
      <c r="B41" s="30">
        <f ca="1" t="array" ref="B41">INDEX(Data_DBD!$B:$B,$A41)</f>
        <v>23</v>
      </c>
      <c r="C41" s="30">
        <f ca="1" t="array" ref="C41">INDEX(Data_DBD!$C:$C,$A41)</f>
        <v>3</v>
      </c>
      <c r="D41" s="30">
        <f ca="1" t="array" ref="D41">INDEX(Data_DBD!$D:$D,$A41)</f>
        <v>18</v>
      </c>
      <c r="E41" s="30">
        <f ca="1" t="array" ref="E41">INDEX(Data_DBD!$E:$E,$A41)</f>
        <v>1</v>
      </c>
      <c r="F41" s="30">
        <f ca="1" t="array" ref="F41">INDEX(Data_DBD!$F:$F,$A41)</f>
        <v>3</v>
      </c>
      <c r="H41" s="30">
        <v>119</v>
      </c>
      <c r="I41" s="30">
        <v>30</v>
      </c>
      <c r="J41" s="30">
        <v>7</v>
      </c>
      <c r="K41" s="30">
        <v>33</v>
      </c>
      <c r="L41" s="30">
        <v>0</v>
      </c>
      <c r="M41" s="30">
        <v>3</v>
      </c>
    </row>
    <row r="42" spans="1:13">
      <c r="A42" s="30">
        <f ca="1" t="shared" si="0"/>
        <v>123</v>
      </c>
      <c r="B42" s="30">
        <f ca="1" t="array" ref="B42">INDEX(Data_DBD!$B:$B,$A42)</f>
        <v>22</v>
      </c>
      <c r="C42" s="30">
        <f ca="1" t="array" ref="C42">INDEX(Data_DBD!$C:$C,$A42)</f>
        <v>4</v>
      </c>
      <c r="D42" s="30">
        <f ca="1" t="array" ref="D42">INDEX(Data_DBD!$D:$D,$A42)</f>
        <v>33</v>
      </c>
      <c r="E42" s="30">
        <f ca="1" t="array" ref="E42">INDEX(Data_DBD!$E:$E,$A42)</f>
        <v>0</v>
      </c>
      <c r="F42" s="30">
        <f ca="1" t="array" ref="F42">INDEX(Data_DBD!$F:$F,$A42)</f>
        <v>3</v>
      </c>
      <c r="H42" s="30">
        <v>96</v>
      </c>
      <c r="I42" s="30">
        <v>56</v>
      </c>
      <c r="J42" s="30">
        <v>4</v>
      </c>
      <c r="K42" s="30">
        <v>18</v>
      </c>
      <c r="L42" s="30">
        <v>0</v>
      </c>
      <c r="M42" s="30">
        <v>3</v>
      </c>
    </row>
    <row r="43" spans="1:13">
      <c r="A43" s="30">
        <f ca="1" t="shared" si="0"/>
        <v>131</v>
      </c>
      <c r="B43" s="30">
        <f ca="1" t="array" ref="B43">INDEX(Data_DBD!$B:$B,$A43)</f>
        <v>10</v>
      </c>
      <c r="C43" s="30">
        <f ca="1" t="array" ref="C43">INDEX(Data_DBD!$C:$C,$A43)</f>
        <v>2</v>
      </c>
      <c r="D43" s="30">
        <f ca="1" t="array" ref="D43">INDEX(Data_DBD!$D:$D,$A43)</f>
        <v>33</v>
      </c>
      <c r="E43" s="30">
        <f ca="1" t="array" ref="E43">INDEX(Data_DBD!$E:$E,$A43)</f>
        <v>0</v>
      </c>
      <c r="F43" s="30">
        <f ca="1" t="array" ref="F43">INDEX(Data_DBD!$F:$F,$A43)</f>
        <v>3</v>
      </c>
      <c r="H43" s="30">
        <v>34</v>
      </c>
      <c r="I43" s="30">
        <v>55</v>
      </c>
      <c r="J43" s="30">
        <v>3</v>
      </c>
      <c r="K43" s="30">
        <v>14</v>
      </c>
      <c r="L43" s="30">
        <v>0</v>
      </c>
      <c r="M43" s="30">
        <v>2</v>
      </c>
    </row>
    <row r="44" spans="1:13">
      <c r="A44" s="30">
        <f ca="1" t="shared" si="0"/>
        <v>157</v>
      </c>
      <c r="B44" s="30">
        <f ca="1" t="array" ref="B44">INDEX(Data_DBD!$B:$B,$A44)</f>
        <v>15</v>
      </c>
      <c r="C44" s="30">
        <f ca="1" t="array" ref="C44">INDEX(Data_DBD!$C:$C,$A44)</f>
        <v>4</v>
      </c>
      <c r="D44" s="30">
        <f ca="1" t="array" ref="D44">INDEX(Data_DBD!$D:$D,$A44)</f>
        <v>21</v>
      </c>
      <c r="E44" s="30">
        <f ca="1" t="array" ref="E44">INDEX(Data_DBD!$E:$E,$A44)</f>
        <v>1</v>
      </c>
      <c r="F44" s="30">
        <f ca="1" t="array" ref="F44">INDEX(Data_DBD!$F:$F,$A44)</f>
        <v>3</v>
      </c>
      <c r="H44" s="30">
        <v>114</v>
      </c>
      <c r="I44" s="30">
        <v>14</v>
      </c>
      <c r="J44" s="30">
        <v>2</v>
      </c>
      <c r="K44" s="30">
        <v>33</v>
      </c>
      <c r="L44" s="30">
        <v>1</v>
      </c>
      <c r="M44" s="30">
        <v>3</v>
      </c>
    </row>
    <row r="45" spans="1:13">
      <c r="A45" s="30">
        <f ca="1" t="shared" si="0"/>
        <v>39</v>
      </c>
      <c r="B45" s="30">
        <f ca="1" t="array" ref="B45">INDEX(Data_DBD!$B:$B,$A45)</f>
        <v>12</v>
      </c>
      <c r="C45" s="30">
        <f ca="1" t="array" ref="C45">INDEX(Data_DBD!$C:$C,$A45)</f>
        <v>5</v>
      </c>
      <c r="D45" s="30">
        <f ca="1" t="array" ref="D45">INDEX(Data_DBD!$D:$D,$A45)</f>
        <v>13</v>
      </c>
      <c r="E45" s="30">
        <f ca="1" t="array" ref="E45">INDEX(Data_DBD!$E:$E,$A45)</f>
        <v>1</v>
      </c>
      <c r="F45" s="30">
        <f ca="1" t="array" ref="F45">INDEX(Data_DBD!$F:$F,$A45)</f>
        <v>2</v>
      </c>
      <c r="H45" s="30">
        <v>50</v>
      </c>
      <c r="I45" s="30">
        <v>19</v>
      </c>
      <c r="J45" s="30">
        <v>5</v>
      </c>
      <c r="K45" s="30">
        <v>13</v>
      </c>
      <c r="L45" s="30">
        <v>0</v>
      </c>
      <c r="M45" s="30">
        <v>2</v>
      </c>
    </row>
    <row r="46" spans="1:13">
      <c r="A46" s="30">
        <f ca="1" t="shared" si="0"/>
        <v>125</v>
      </c>
      <c r="B46" s="30">
        <f ca="1" t="array" ref="B46">INDEX(Data_DBD!$B:$B,$A46)</f>
        <v>39</v>
      </c>
      <c r="C46" s="30">
        <f ca="1" t="array" ref="C46">INDEX(Data_DBD!$C:$C,$A46)</f>
        <v>4</v>
      </c>
      <c r="D46" s="30">
        <f ca="1" t="array" ref="D46">INDEX(Data_DBD!$D:$D,$A46)</f>
        <v>33</v>
      </c>
      <c r="E46" s="30">
        <f ca="1" t="array" ref="E46">INDEX(Data_DBD!$E:$E,$A46)</f>
        <v>0</v>
      </c>
      <c r="F46" s="30">
        <f ca="1" t="array" ref="F46">INDEX(Data_DBD!$F:$F,$A46)</f>
        <v>3</v>
      </c>
      <c r="H46" s="30">
        <v>50</v>
      </c>
      <c r="I46" s="30">
        <v>19</v>
      </c>
      <c r="J46" s="30">
        <v>5</v>
      </c>
      <c r="K46" s="30">
        <v>13</v>
      </c>
      <c r="L46" s="30">
        <v>0</v>
      </c>
      <c r="M46" s="30">
        <v>2</v>
      </c>
    </row>
    <row r="47" spans="1:13">
      <c r="A47" s="30">
        <f ca="1" t="shared" si="0"/>
        <v>140</v>
      </c>
      <c r="B47" s="30">
        <f ca="1" t="array" ref="B47">INDEX(Data_DBD!$B:$B,$A47)</f>
        <v>74</v>
      </c>
      <c r="C47" s="30">
        <f ca="1" t="array" ref="C47">INDEX(Data_DBD!$C:$C,$A47)</f>
        <v>5</v>
      </c>
      <c r="D47" s="30">
        <f ca="1" t="array" ref="D47">INDEX(Data_DBD!$D:$D,$A47)</f>
        <v>21</v>
      </c>
      <c r="E47" s="30">
        <f ca="1" t="array" ref="E47">INDEX(Data_DBD!$E:$E,$A47)</f>
        <v>1</v>
      </c>
      <c r="F47" s="30">
        <f ca="1" t="array" ref="F47">INDEX(Data_DBD!$F:$F,$A47)</f>
        <v>3</v>
      </c>
      <c r="H47" s="30">
        <v>102</v>
      </c>
      <c r="I47" s="30">
        <v>41</v>
      </c>
      <c r="J47" s="30">
        <v>4</v>
      </c>
      <c r="K47" s="30">
        <v>18</v>
      </c>
      <c r="L47" s="30">
        <v>0</v>
      </c>
      <c r="M47" s="30">
        <v>3</v>
      </c>
    </row>
    <row r="48" spans="1:13">
      <c r="A48" s="30">
        <f ca="1" t="shared" si="0"/>
        <v>162</v>
      </c>
      <c r="B48" s="30">
        <f ca="1" t="array" ref="B48">INDEX(Data_DBD!$B:$B,$A48)</f>
        <v>22</v>
      </c>
      <c r="C48" s="30">
        <f ca="1" t="array" ref="C48">INDEX(Data_DBD!$C:$C,$A48)</f>
        <v>3</v>
      </c>
      <c r="D48" s="30">
        <f ca="1" t="array" ref="D48">INDEX(Data_DBD!$D:$D,$A48)</f>
        <v>3</v>
      </c>
      <c r="E48" s="30">
        <f ca="1" t="array" ref="E48">INDEX(Data_DBD!$E:$E,$A48)</f>
        <v>1</v>
      </c>
      <c r="F48" s="30">
        <f ca="1" t="array" ref="F48">INDEX(Data_DBD!$F:$F,$A48)</f>
        <v>1</v>
      </c>
      <c r="H48" s="30">
        <v>97</v>
      </c>
      <c r="I48" s="30">
        <v>16</v>
      </c>
      <c r="J48" s="30">
        <v>2</v>
      </c>
      <c r="K48" s="30">
        <v>18</v>
      </c>
      <c r="L48" s="30">
        <v>1</v>
      </c>
      <c r="M48" s="30">
        <v>3</v>
      </c>
    </row>
    <row r="49" spans="1:13">
      <c r="A49" s="30">
        <f ca="1" t="shared" si="0"/>
        <v>127</v>
      </c>
      <c r="B49" s="30">
        <f ca="1" t="array" ref="B49">INDEX(Data_DBD!$B:$B,$A49)</f>
        <v>21</v>
      </c>
      <c r="C49" s="30">
        <f ca="1" t="array" ref="C49">INDEX(Data_DBD!$C:$C,$A49)</f>
        <v>2</v>
      </c>
      <c r="D49" s="30">
        <f ca="1" t="array" ref="D49">INDEX(Data_DBD!$D:$D,$A49)</f>
        <v>33</v>
      </c>
      <c r="E49" s="30">
        <f ca="1" t="array" ref="E49">INDEX(Data_DBD!$E:$E,$A49)</f>
        <v>0</v>
      </c>
      <c r="F49" s="30">
        <f ca="1" t="array" ref="F49">INDEX(Data_DBD!$F:$F,$A49)</f>
        <v>3</v>
      </c>
      <c r="H49" s="30">
        <v>110</v>
      </c>
      <c r="I49" s="30">
        <v>42</v>
      </c>
      <c r="J49" s="30">
        <v>2</v>
      </c>
      <c r="K49" s="30">
        <v>33</v>
      </c>
      <c r="L49" s="30">
        <v>1</v>
      </c>
      <c r="M49" s="30">
        <v>3</v>
      </c>
    </row>
    <row r="50" spans="1:13">
      <c r="A50" s="30">
        <f ca="1" t="shared" si="0"/>
        <v>113</v>
      </c>
      <c r="B50" s="30">
        <f ca="1" t="array" ref="B50">INDEX(Data_DBD!$B:$B,$A50)</f>
        <v>69</v>
      </c>
      <c r="C50" s="30">
        <f ca="1" t="array" ref="C50">INDEX(Data_DBD!$C:$C,$A50)</f>
        <v>1</v>
      </c>
      <c r="D50" s="30">
        <f ca="1" t="array" ref="D50">INDEX(Data_DBD!$D:$D,$A50)</f>
        <v>33</v>
      </c>
      <c r="E50" s="30">
        <f ca="1" t="array" ref="E50">INDEX(Data_DBD!$E:$E,$A50)</f>
        <v>1</v>
      </c>
      <c r="F50" s="30">
        <f ca="1" t="array" ref="F50">INDEX(Data_DBD!$F:$F,$A50)</f>
        <v>3</v>
      </c>
      <c r="H50" s="30">
        <v>45</v>
      </c>
      <c r="I50" s="30">
        <v>75</v>
      </c>
      <c r="J50" s="30">
        <v>3</v>
      </c>
      <c r="K50" s="30">
        <v>13</v>
      </c>
      <c r="L50" s="30">
        <v>1</v>
      </c>
      <c r="M50" s="30">
        <v>2</v>
      </c>
    </row>
    <row r="51" spans="1:13">
      <c r="A51" s="30">
        <f ca="1" t="shared" si="0"/>
        <v>148</v>
      </c>
      <c r="B51" s="30">
        <f ca="1" t="array" ref="B51">INDEX(Data_DBD!$B:$B,$A51)</f>
        <v>55</v>
      </c>
      <c r="C51" s="30">
        <f ca="1" t="array" ref="C51">INDEX(Data_DBD!$C:$C,$A51)</f>
        <v>3</v>
      </c>
      <c r="D51" s="30">
        <f ca="1" t="array" ref="D51">INDEX(Data_DBD!$D:$D,$A51)</f>
        <v>21</v>
      </c>
      <c r="E51" s="30">
        <f ca="1" t="array" ref="E51">INDEX(Data_DBD!$E:$E,$A51)</f>
        <v>1</v>
      </c>
      <c r="F51" s="30">
        <f ca="1" t="array" ref="F51">INDEX(Data_DBD!$F:$F,$A51)</f>
        <v>3</v>
      </c>
      <c r="H51" s="30">
        <v>155</v>
      </c>
      <c r="I51" s="30">
        <v>19</v>
      </c>
      <c r="J51" s="30">
        <v>5</v>
      </c>
      <c r="K51" s="30">
        <v>21</v>
      </c>
      <c r="L51" s="30">
        <v>1</v>
      </c>
      <c r="M51" s="30">
        <v>3</v>
      </c>
    </row>
    <row r="52" spans="1:13">
      <c r="A52" s="30">
        <f ca="1" t="shared" si="0"/>
        <v>155</v>
      </c>
      <c r="B52" s="30">
        <f ca="1" t="array" ref="B52">INDEX(Data_DBD!$B:$B,$A52)</f>
        <v>19</v>
      </c>
      <c r="C52" s="30">
        <f ca="1" t="array" ref="C52">INDEX(Data_DBD!$C:$C,$A52)</f>
        <v>5</v>
      </c>
      <c r="D52" s="30">
        <f ca="1" t="array" ref="D52">INDEX(Data_DBD!$D:$D,$A52)</f>
        <v>21</v>
      </c>
      <c r="E52" s="30">
        <f ca="1" t="array" ref="E52">INDEX(Data_DBD!$E:$E,$A52)</f>
        <v>1</v>
      </c>
      <c r="F52" s="30">
        <f ca="1" t="array" ref="F52">INDEX(Data_DBD!$F:$F,$A52)</f>
        <v>3</v>
      </c>
      <c r="H52" s="30">
        <v>112</v>
      </c>
      <c r="I52" s="30">
        <v>61</v>
      </c>
      <c r="J52" s="30">
        <v>3</v>
      </c>
      <c r="K52" s="30">
        <v>33</v>
      </c>
      <c r="L52" s="30">
        <v>1</v>
      </c>
      <c r="M52" s="30">
        <v>3</v>
      </c>
    </row>
    <row r="53" spans="1:13">
      <c r="A53" s="30">
        <f ca="1" t="shared" si="0"/>
        <v>111</v>
      </c>
      <c r="B53" s="30">
        <f ca="1" t="array" ref="B53">INDEX(Data_DBD!$B:$B,$A53)</f>
        <v>25</v>
      </c>
      <c r="C53" s="30">
        <f ca="1" t="array" ref="C53">INDEX(Data_DBD!$C:$C,$A53)</f>
        <v>4</v>
      </c>
      <c r="D53" s="30">
        <f ca="1" t="array" ref="D53">INDEX(Data_DBD!$D:$D,$A53)</f>
        <v>33</v>
      </c>
      <c r="E53" s="30">
        <f ca="1" t="array" ref="E53">INDEX(Data_DBD!$E:$E,$A53)</f>
        <v>0</v>
      </c>
      <c r="F53" s="30">
        <f ca="1" t="array" ref="F53">INDEX(Data_DBD!$F:$F,$A53)</f>
        <v>3</v>
      </c>
      <c r="H53" s="30">
        <v>16</v>
      </c>
      <c r="I53" s="30">
        <v>66</v>
      </c>
      <c r="J53" s="30">
        <v>5</v>
      </c>
      <c r="K53" s="30">
        <v>7</v>
      </c>
      <c r="L53" s="30">
        <v>1</v>
      </c>
      <c r="M53" s="30">
        <v>1</v>
      </c>
    </row>
    <row r="54" spans="1:13">
      <c r="A54" s="30">
        <f ca="1" t="shared" si="0"/>
        <v>73</v>
      </c>
      <c r="B54" s="30">
        <f ca="1" t="array" ref="B54">INDEX(Data_DBD!$B:$B,$A54)</f>
        <v>15</v>
      </c>
      <c r="C54" s="30">
        <f ca="1" t="array" ref="C54">INDEX(Data_DBD!$C:$C,$A54)</f>
        <v>3</v>
      </c>
      <c r="D54" s="30">
        <f ca="1" t="array" ref="D54">INDEX(Data_DBD!$D:$D,$A54)</f>
        <v>10</v>
      </c>
      <c r="E54" s="30">
        <f ca="1" t="array" ref="E54">INDEX(Data_DBD!$E:$E,$A54)</f>
        <v>1</v>
      </c>
      <c r="F54" s="30">
        <f ca="1" t="array" ref="F54">INDEX(Data_DBD!$F:$F,$A54)</f>
        <v>2</v>
      </c>
      <c r="H54" s="30">
        <v>58</v>
      </c>
      <c r="I54" s="30">
        <v>17</v>
      </c>
      <c r="J54" s="30">
        <v>3</v>
      </c>
      <c r="K54" s="30">
        <v>15</v>
      </c>
      <c r="L54" s="30">
        <v>0</v>
      </c>
      <c r="M54" s="30">
        <v>2</v>
      </c>
    </row>
    <row r="55" spans="1:13">
      <c r="A55" s="30">
        <f ca="1" t="shared" si="0"/>
        <v>163</v>
      </c>
      <c r="B55" s="30">
        <f ca="1" t="array" ref="B55">INDEX(Data_DBD!$B:$B,$A55)</f>
        <v>34</v>
      </c>
      <c r="C55" s="30">
        <f ca="1" t="array" ref="C55">INDEX(Data_DBD!$C:$C,$A55)</f>
        <v>4</v>
      </c>
      <c r="D55" s="30">
        <f ca="1" t="array" ref="D55">INDEX(Data_DBD!$D:$D,$A55)</f>
        <v>3</v>
      </c>
      <c r="E55" s="30">
        <f ca="1" t="array" ref="E55">INDEX(Data_DBD!$E:$E,$A55)</f>
        <v>1</v>
      </c>
      <c r="F55" s="30">
        <f ca="1" t="array" ref="F55">INDEX(Data_DBD!$F:$F,$A55)</f>
        <v>1</v>
      </c>
      <c r="H55" s="30">
        <v>38</v>
      </c>
      <c r="I55" s="30">
        <v>52</v>
      </c>
      <c r="J55" s="30">
        <v>3</v>
      </c>
      <c r="K55" s="30">
        <v>4</v>
      </c>
      <c r="L55" s="30">
        <v>1</v>
      </c>
      <c r="M55" s="30">
        <v>1</v>
      </c>
    </row>
    <row r="56" spans="1:13">
      <c r="A56" s="30">
        <f ca="1" t="shared" si="0"/>
        <v>161</v>
      </c>
      <c r="B56" s="30">
        <f ca="1" t="array" ref="B56">INDEX(Data_DBD!$B:$B,$A56)</f>
        <v>12</v>
      </c>
      <c r="C56" s="30">
        <f ca="1" t="array" ref="C56">INDEX(Data_DBD!$C:$C,$A56)</f>
        <v>3</v>
      </c>
      <c r="D56" s="30">
        <f ca="1" t="array" ref="D56">INDEX(Data_DBD!$D:$D,$A56)</f>
        <v>21</v>
      </c>
      <c r="E56" s="30">
        <f ca="1" t="array" ref="E56">INDEX(Data_DBD!$E:$E,$A56)</f>
        <v>1</v>
      </c>
      <c r="F56" s="30">
        <f ca="1" t="array" ref="F56">INDEX(Data_DBD!$F:$F,$A56)</f>
        <v>3</v>
      </c>
      <c r="H56" s="30">
        <v>11</v>
      </c>
      <c r="I56" s="30">
        <v>24</v>
      </c>
      <c r="J56" s="30">
        <v>5</v>
      </c>
      <c r="K56" s="30">
        <v>12</v>
      </c>
      <c r="L56" s="30">
        <v>1</v>
      </c>
      <c r="M56" s="30">
        <v>2</v>
      </c>
    </row>
    <row r="57" spans="1:13">
      <c r="A57" s="30">
        <f ca="1" t="shared" si="0"/>
        <v>54</v>
      </c>
      <c r="B57" s="30">
        <f ca="1" t="array" ref="B57">INDEX(Data_DBD!$B:$B,$A57)</f>
        <v>7</v>
      </c>
      <c r="C57" s="30">
        <f ca="1" t="array" ref="C57">INDEX(Data_DBD!$C:$C,$A57)</f>
        <v>3</v>
      </c>
      <c r="D57" s="30">
        <f ca="1" t="array" ref="D57">INDEX(Data_DBD!$D:$D,$A57)</f>
        <v>15</v>
      </c>
      <c r="E57" s="30">
        <f ca="1" t="array" ref="E57">INDEX(Data_DBD!$E:$E,$A57)</f>
        <v>0</v>
      </c>
      <c r="F57" s="30">
        <f ca="1" t="array" ref="F57">INDEX(Data_DBD!$F:$F,$A57)</f>
        <v>2</v>
      </c>
      <c r="H57" s="30">
        <v>19</v>
      </c>
      <c r="I57" s="30">
        <v>8</v>
      </c>
      <c r="J57" s="30">
        <v>4</v>
      </c>
      <c r="K57" s="30">
        <v>7</v>
      </c>
      <c r="L57" s="30">
        <v>0</v>
      </c>
      <c r="M57" s="30">
        <v>1</v>
      </c>
    </row>
    <row r="58" spans="1:13">
      <c r="A58" s="30">
        <f ca="1" t="shared" si="0"/>
        <v>96</v>
      </c>
      <c r="B58" s="30">
        <f ca="1" t="array" ref="B58">INDEX(Data_DBD!$B:$B,$A58)</f>
        <v>56</v>
      </c>
      <c r="C58" s="30">
        <f ca="1" t="array" ref="C58">INDEX(Data_DBD!$C:$C,$A58)</f>
        <v>4</v>
      </c>
      <c r="D58" s="30">
        <f ca="1" t="array" ref="D58">INDEX(Data_DBD!$D:$D,$A58)</f>
        <v>18</v>
      </c>
      <c r="E58" s="30">
        <f ca="1" t="array" ref="E58">INDEX(Data_DBD!$E:$E,$A58)</f>
        <v>0</v>
      </c>
      <c r="F58" s="30">
        <f ca="1" t="array" ref="F58">INDEX(Data_DBD!$F:$F,$A58)</f>
        <v>3</v>
      </c>
      <c r="H58" s="30">
        <v>77</v>
      </c>
      <c r="I58" s="30">
        <v>16</v>
      </c>
      <c r="J58" s="30">
        <v>4</v>
      </c>
      <c r="K58" s="30">
        <v>13</v>
      </c>
      <c r="L58" s="30">
        <v>1</v>
      </c>
      <c r="M58" s="30">
        <v>2</v>
      </c>
    </row>
    <row r="59" spans="1:13">
      <c r="A59" s="30">
        <f ca="1" t="shared" si="0"/>
        <v>104</v>
      </c>
      <c r="B59" s="30">
        <f ca="1" t="array" ref="B59">INDEX(Data_DBD!$B:$B,$A59)</f>
        <v>37</v>
      </c>
      <c r="C59" s="30">
        <f ca="1" t="array" ref="C59">INDEX(Data_DBD!$C:$C,$A59)</f>
        <v>4</v>
      </c>
      <c r="D59" s="30">
        <f ca="1" t="array" ref="D59">INDEX(Data_DBD!$D:$D,$A59)</f>
        <v>18</v>
      </c>
      <c r="E59" s="30">
        <f ca="1" t="array" ref="E59">INDEX(Data_DBD!$E:$E,$A59)</f>
        <v>1</v>
      </c>
      <c r="F59" s="30">
        <f ca="1" t="array" ref="F59">INDEX(Data_DBD!$F:$F,$A59)</f>
        <v>3</v>
      </c>
      <c r="H59" s="30">
        <v>7</v>
      </c>
      <c r="I59" s="30">
        <v>12</v>
      </c>
      <c r="J59" s="30">
        <v>1</v>
      </c>
      <c r="K59" s="30">
        <v>12</v>
      </c>
      <c r="L59" s="30">
        <v>1</v>
      </c>
      <c r="M59" s="30">
        <v>2</v>
      </c>
    </row>
    <row r="60" spans="1:13">
      <c r="A60" s="30">
        <f ca="1" t="shared" si="0"/>
        <v>40</v>
      </c>
      <c r="B60" s="30">
        <f ca="1" t="array" ref="B60">INDEX(Data_DBD!$B:$B,$A60)</f>
        <v>65</v>
      </c>
      <c r="C60" s="30">
        <f ca="1" t="array" ref="C60">INDEX(Data_DBD!$C:$C,$A60)</f>
        <v>3</v>
      </c>
      <c r="D60" s="30">
        <f ca="1" t="array" ref="D60">INDEX(Data_DBD!$D:$D,$A60)</f>
        <v>13</v>
      </c>
      <c r="E60" s="30">
        <f ca="1" t="array" ref="E60">INDEX(Data_DBD!$E:$E,$A60)</f>
        <v>1</v>
      </c>
      <c r="F60" s="30">
        <f ca="1" t="array" ref="F60">INDEX(Data_DBD!$F:$F,$A60)</f>
        <v>2</v>
      </c>
      <c r="H60" s="30">
        <v>16</v>
      </c>
      <c r="I60" s="30">
        <v>66</v>
      </c>
      <c r="J60" s="30">
        <v>5</v>
      </c>
      <c r="K60" s="30">
        <v>7</v>
      </c>
      <c r="L60" s="30">
        <v>1</v>
      </c>
      <c r="M60" s="30">
        <v>1</v>
      </c>
    </row>
    <row r="61" spans="1:13">
      <c r="A61" s="30">
        <f ca="1" t="shared" si="0"/>
        <v>145</v>
      </c>
      <c r="B61" s="30">
        <f ca="1" t="array" ref="B61">INDEX(Data_DBD!$B:$B,$A61)</f>
        <v>28</v>
      </c>
      <c r="C61" s="30">
        <f ca="1" t="array" ref="C61">INDEX(Data_DBD!$C:$C,$A61)</f>
        <v>4</v>
      </c>
      <c r="D61" s="30">
        <f ca="1" t="array" ref="D61">INDEX(Data_DBD!$D:$D,$A61)</f>
        <v>21</v>
      </c>
      <c r="E61" s="30">
        <f ca="1" t="array" ref="E61">INDEX(Data_DBD!$E:$E,$A61)</f>
        <v>1</v>
      </c>
      <c r="F61" s="30">
        <f ca="1" t="array" ref="F61">INDEX(Data_DBD!$F:$F,$A61)</f>
        <v>3</v>
      </c>
      <c r="H61" s="30">
        <v>29</v>
      </c>
      <c r="I61" s="30">
        <v>19</v>
      </c>
      <c r="J61" s="30">
        <v>2</v>
      </c>
      <c r="K61" s="30">
        <v>14</v>
      </c>
      <c r="L61" s="30">
        <v>1</v>
      </c>
      <c r="M61" s="30">
        <v>2</v>
      </c>
    </row>
    <row r="62" spans="1:13">
      <c r="A62" s="30">
        <f ca="1" t="shared" si="0"/>
        <v>94</v>
      </c>
      <c r="B62" s="30">
        <f ca="1" t="array" ref="B62">INDEX(Data_DBD!$B:$B,$A62)</f>
        <v>12</v>
      </c>
      <c r="C62" s="30">
        <f ca="1" t="array" ref="C62">INDEX(Data_DBD!$C:$C,$A62)</f>
        <v>4</v>
      </c>
      <c r="D62" s="30">
        <f ca="1" t="array" ref="D62">INDEX(Data_DBD!$D:$D,$A62)</f>
        <v>18</v>
      </c>
      <c r="E62" s="30">
        <f ca="1" t="array" ref="E62">INDEX(Data_DBD!$E:$E,$A62)</f>
        <v>0</v>
      </c>
      <c r="F62" s="30">
        <f ca="1" t="array" ref="F62">INDEX(Data_DBD!$F:$F,$A62)</f>
        <v>3</v>
      </c>
      <c r="H62" s="30">
        <v>53</v>
      </c>
      <c r="I62" s="30">
        <v>35</v>
      </c>
      <c r="J62" s="30">
        <v>4</v>
      </c>
      <c r="K62" s="30">
        <v>15</v>
      </c>
      <c r="L62" s="30">
        <v>1</v>
      </c>
      <c r="M62" s="30">
        <v>2</v>
      </c>
    </row>
    <row r="63" spans="1:13">
      <c r="A63" s="30">
        <f ca="1" t="shared" si="0"/>
        <v>129</v>
      </c>
      <c r="B63" s="30">
        <f ca="1" t="array" ref="B63">INDEX(Data_DBD!$B:$B,$A63)</f>
        <v>4.5</v>
      </c>
      <c r="C63" s="30">
        <f ca="1" t="array" ref="C63">INDEX(Data_DBD!$C:$C,$A63)</f>
        <v>3</v>
      </c>
      <c r="D63" s="30">
        <f ca="1" t="array" ref="D63">INDEX(Data_DBD!$D:$D,$A63)</f>
        <v>33</v>
      </c>
      <c r="E63" s="30">
        <f ca="1" t="array" ref="E63">INDEX(Data_DBD!$E:$E,$A63)</f>
        <v>0</v>
      </c>
      <c r="F63" s="30">
        <f ca="1" t="array" ref="F63">INDEX(Data_DBD!$F:$F,$A63)</f>
        <v>3</v>
      </c>
      <c r="H63" s="30">
        <v>136</v>
      </c>
      <c r="I63" s="30">
        <v>6</v>
      </c>
      <c r="J63" s="30">
        <v>2</v>
      </c>
      <c r="K63" s="30">
        <v>33</v>
      </c>
      <c r="L63" s="30">
        <v>0</v>
      </c>
      <c r="M63" s="30">
        <v>3</v>
      </c>
    </row>
    <row r="64" spans="1:13">
      <c r="A64" s="30">
        <f ca="1" t="shared" si="0"/>
        <v>98</v>
      </c>
      <c r="B64" s="30">
        <f ca="1" t="array" ref="B64">INDEX(Data_DBD!$B:$B,$A64)</f>
        <v>16</v>
      </c>
      <c r="C64" s="30">
        <f ca="1" t="array" ref="C64">INDEX(Data_DBD!$C:$C,$A64)</f>
        <v>2</v>
      </c>
      <c r="D64" s="30">
        <f ca="1" t="array" ref="D64">INDEX(Data_DBD!$D:$D,$A64)</f>
        <v>18</v>
      </c>
      <c r="E64" s="30">
        <f ca="1" t="array" ref="E64">INDEX(Data_DBD!$E:$E,$A64)</f>
        <v>1</v>
      </c>
      <c r="F64" s="30">
        <f ca="1" t="array" ref="F64">INDEX(Data_DBD!$F:$F,$A64)</f>
        <v>3</v>
      </c>
      <c r="H64" s="30">
        <v>9</v>
      </c>
      <c r="I64" s="30">
        <v>16</v>
      </c>
      <c r="J64" s="30">
        <v>6</v>
      </c>
      <c r="K64" s="30">
        <v>12</v>
      </c>
      <c r="L64" s="30">
        <v>1</v>
      </c>
      <c r="M64" s="30">
        <v>2</v>
      </c>
    </row>
    <row r="65" spans="1:13">
      <c r="A65" s="30">
        <f ca="1" t="shared" si="0"/>
        <v>57</v>
      </c>
      <c r="B65" s="30">
        <f ca="1" t="array" ref="B65">INDEX(Data_DBD!$B:$B,$A65)</f>
        <v>2</v>
      </c>
      <c r="C65" s="30">
        <f ca="1" t="array" ref="C65">INDEX(Data_DBD!$C:$C,$A65)</f>
        <v>2</v>
      </c>
      <c r="D65" s="30">
        <f ca="1" t="array" ref="D65">INDEX(Data_DBD!$D:$D,$A65)</f>
        <v>15</v>
      </c>
      <c r="E65" s="30">
        <f ca="1" t="array" ref="E65">INDEX(Data_DBD!$E:$E,$A65)</f>
        <v>1</v>
      </c>
      <c r="F65" s="30">
        <f ca="1" t="array" ref="F65">INDEX(Data_DBD!$F:$F,$A65)</f>
        <v>2</v>
      </c>
      <c r="H65" s="30">
        <v>7</v>
      </c>
      <c r="I65" s="30">
        <v>12</v>
      </c>
      <c r="J65" s="30">
        <v>1</v>
      </c>
      <c r="K65" s="30">
        <v>12</v>
      </c>
      <c r="L65" s="30">
        <v>1</v>
      </c>
      <c r="M65" s="30">
        <v>2</v>
      </c>
    </row>
    <row r="66" spans="1:13">
      <c r="A66" s="30">
        <f ca="1" t="shared" si="0"/>
        <v>164</v>
      </c>
      <c r="B66" s="30">
        <f ca="1" t="array" ref="B66">INDEX(Data_DBD!$B:$B,$A66)</f>
        <v>10</v>
      </c>
      <c r="C66" s="30">
        <f ca="1" t="array" ref="C66">INDEX(Data_DBD!$C:$C,$A66)</f>
        <v>6</v>
      </c>
      <c r="D66" s="30">
        <f ca="1" t="array" ref="D66">INDEX(Data_DBD!$D:$D,$A66)</f>
        <v>3</v>
      </c>
      <c r="E66" s="30">
        <f ca="1" t="array" ref="E66">INDEX(Data_DBD!$E:$E,$A66)</f>
        <v>0</v>
      </c>
      <c r="F66" s="30">
        <f ca="1" t="array" ref="F66">INDEX(Data_DBD!$F:$F,$A66)</f>
        <v>1</v>
      </c>
      <c r="H66" s="30">
        <v>81</v>
      </c>
      <c r="I66" s="30">
        <v>23</v>
      </c>
      <c r="J66" s="30">
        <v>5</v>
      </c>
      <c r="K66" s="30">
        <v>13</v>
      </c>
      <c r="L66" s="30">
        <v>1</v>
      </c>
      <c r="M66" s="30">
        <v>2</v>
      </c>
    </row>
    <row r="67" spans="1:13">
      <c r="A67" s="30">
        <f ca="1" t="shared" ref="A67:A130" si="1">RANDBETWEEN(2,164)</f>
        <v>61</v>
      </c>
      <c r="B67" s="30">
        <f ca="1" t="array" ref="B67">INDEX(Data_DBD!$B:$B,$A67)</f>
        <v>29</v>
      </c>
      <c r="C67" s="30">
        <f ca="1" t="array" ref="C67">INDEX(Data_DBD!$C:$C,$A67)</f>
        <v>3</v>
      </c>
      <c r="D67" s="30">
        <f ca="1" t="array" ref="D67">INDEX(Data_DBD!$D:$D,$A67)</f>
        <v>15</v>
      </c>
      <c r="E67" s="30">
        <f ca="1" t="array" ref="E67">INDEX(Data_DBD!$E:$E,$A67)</f>
        <v>1</v>
      </c>
      <c r="F67" s="30">
        <f ca="1" t="array" ref="F67">INDEX(Data_DBD!$F:$F,$A67)</f>
        <v>2</v>
      </c>
      <c r="H67" s="30">
        <v>50</v>
      </c>
      <c r="I67" s="30">
        <v>19</v>
      </c>
      <c r="J67" s="30">
        <v>5</v>
      </c>
      <c r="K67" s="30">
        <v>13</v>
      </c>
      <c r="L67" s="30">
        <v>0</v>
      </c>
      <c r="M67" s="30">
        <v>2</v>
      </c>
    </row>
    <row r="68" spans="1:13">
      <c r="A68" s="30">
        <f ca="1" t="shared" si="1"/>
        <v>55</v>
      </c>
      <c r="B68" s="30">
        <f ca="1" t="array" ref="B68">INDEX(Data_DBD!$B:$B,$A68)</f>
        <v>7</v>
      </c>
      <c r="C68" s="30">
        <f ca="1" t="array" ref="C68">INDEX(Data_DBD!$C:$C,$A68)</f>
        <v>4</v>
      </c>
      <c r="D68" s="30">
        <f ca="1" t="array" ref="D68">INDEX(Data_DBD!$D:$D,$A68)</f>
        <v>15</v>
      </c>
      <c r="E68" s="30">
        <f ca="1" t="array" ref="E68">INDEX(Data_DBD!$E:$E,$A68)</f>
        <v>1</v>
      </c>
      <c r="F68" s="30">
        <f ca="1" t="array" ref="F68">INDEX(Data_DBD!$F:$F,$A68)</f>
        <v>2</v>
      </c>
      <c r="H68" s="30">
        <v>107</v>
      </c>
      <c r="I68" s="30">
        <v>48</v>
      </c>
      <c r="J68" s="30">
        <v>5</v>
      </c>
      <c r="K68" s="30">
        <v>18</v>
      </c>
      <c r="L68" s="30">
        <v>0</v>
      </c>
      <c r="M68" s="30">
        <v>3</v>
      </c>
    </row>
    <row r="69" spans="1:13">
      <c r="A69" s="30">
        <f ca="1" t="shared" si="1"/>
        <v>112</v>
      </c>
      <c r="B69" s="30">
        <f ca="1" t="array" ref="B69">INDEX(Data_DBD!$B:$B,$A69)</f>
        <v>61</v>
      </c>
      <c r="C69" s="30">
        <f ca="1" t="array" ref="C69">INDEX(Data_DBD!$C:$C,$A69)</f>
        <v>3</v>
      </c>
      <c r="D69" s="30">
        <f ca="1" t="array" ref="D69">INDEX(Data_DBD!$D:$D,$A69)</f>
        <v>33</v>
      </c>
      <c r="E69" s="30">
        <f ca="1" t="array" ref="E69">INDEX(Data_DBD!$E:$E,$A69)</f>
        <v>1</v>
      </c>
      <c r="F69" s="30">
        <f ca="1" t="array" ref="F69">INDEX(Data_DBD!$F:$F,$A69)</f>
        <v>3</v>
      </c>
      <c r="H69" s="30">
        <v>35</v>
      </c>
      <c r="I69" s="30">
        <v>40</v>
      </c>
      <c r="J69" s="30">
        <v>3</v>
      </c>
      <c r="K69" s="30">
        <v>4</v>
      </c>
      <c r="L69" s="30">
        <v>1</v>
      </c>
      <c r="M69" s="30">
        <v>1</v>
      </c>
    </row>
    <row r="70" spans="1:13">
      <c r="A70" s="30">
        <f ca="1" t="shared" si="1"/>
        <v>156</v>
      </c>
      <c r="B70" s="30">
        <f ca="1" t="array" ref="B70">INDEX(Data_DBD!$B:$B,$A70)</f>
        <v>5</v>
      </c>
      <c r="C70" s="30">
        <f ca="1" t="array" ref="C70">INDEX(Data_DBD!$C:$C,$A70)</f>
        <v>2</v>
      </c>
      <c r="D70" s="30">
        <f ca="1" t="array" ref="D70">INDEX(Data_DBD!$D:$D,$A70)</f>
        <v>21</v>
      </c>
      <c r="E70" s="30">
        <f ca="1" t="array" ref="E70">INDEX(Data_DBD!$E:$E,$A70)</f>
        <v>0</v>
      </c>
      <c r="F70" s="30">
        <f ca="1" t="array" ref="F70">INDEX(Data_DBD!$F:$F,$A70)</f>
        <v>3</v>
      </c>
      <c r="H70" s="30">
        <v>128</v>
      </c>
      <c r="I70" s="30">
        <v>38</v>
      </c>
      <c r="J70" s="30">
        <v>2</v>
      </c>
      <c r="K70" s="30">
        <v>33</v>
      </c>
      <c r="L70" s="30">
        <v>0</v>
      </c>
      <c r="M70" s="30">
        <v>3</v>
      </c>
    </row>
    <row r="71" spans="1:13">
      <c r="A71" s="30">
        <f ca="1" t="shared" si="1"/>
        <v>44</v>
      </c>
      <c r="B71" s="30">
        <f ca="1" t="array" ref="B71">INDEX(Data_DBD!$B:$B,$A71)</f>
        <v>28</v>
      </c>
      <c r="C71" s="30">
        <f ca="1" t="array" ref="C71">INDEX(Data_DBD!$C:$C,$A71)</f>
        <v>5</v>
      </c>
      <c r="D71" s="30">
        <f ca="1" t="array" ref="D71">INDEX(Data_DBD!$D:$D,$A71)</f>
        <v>13</v>
      </c>
      <c r="E71" s="30">
        <f ca="1" t="array" ref="E71">INDEX(Data_DBD!$E:$E,$A71)</f>
        <v>1</v>
      </c>
      <c r="F71" s="30">
        <f ca="1" t="array" ref="F71">INDEX(Data_DBD!$F:$F,$A71)</f>
        <v>2</v>
      </c>
      <c r="H71" s="30">
        <v>19</v>
      </c>
      <c r="I71" s="30">
        <v>8</v>
      </c>
      <c r="J71" s="30">
        <v>4</v>
      </c>
      <c r="K71" s="30">
        <v>7</v>
      </c>
      <c r="L71" s="30">
        <v>0</v>
      </c>
      <c r="M71" s="30">
        <v>1</v>
      </c>
    </row>
    <row r="72" spans="1:13">
      <c r="A72" s="30">
        <f ca="1" t="shared" si="1"/>
        <v>127</v>
      </c>
      <c r="B72" s="30">
        <f ca="1" t="array" ref="B72">INDEX(Data_DBD!$B:$B,$A72)</f>
        <v>21</v>
      </c>
      <c r="C72" s="30">
        <f ca="1" t="array" ref="C72">INDEX(Data_DBD!$C:$C,$A72)</f>
        <v>2</v>
      </c>
      <c r="D72" s="30">
        <f ca="1" t="array" ref="D72">INDEX(Data_DBD!$D:$D,$A72)</f>
        <v>33</v>
      </c>
      <c r="E72" s="30">
        <f ca="1" t="array" ref="E72">INDEX(Data_DBD!$E:$E,$A72)</f>
        <v>0</v>
      </c>
      <c r="F72" s="30">
        <f ca="1" t="array" ref="F72">INDEX(Data_DBD!$F:$F,$A72)</f>
        <v>3</v>
      </c>
      <c r="H72" s="30">
        <v>97</v>
      </c>
      <c r="I72" s="30">
        <v>16</v>
      </c>
      <c r="J72" s="30">
        <v>2</v>
      </c>
      <c r="K72" s="30">
        <v>18</v>
      </c>
      <c r="L72" s="30">
        <v>1</v>
      </c>
      <c r="M72" s="30">
        <v>3</v>
      </c>
    </row>
    <row r="73" spans="1:13">
      <c r="A73" s="30">
        <f ca="1" t="shared" si="1"/>
        <v>155</v>
      </c>
      <c r="B73" s="30">
        <f ca="1" t="array" ref="B73">INDEX(Data_DBD!$B:$B,$A73)</f>
        <v>19</v>
      </c>
      <c r="C73" s="30">
        <f ca="1" t="array" ref="C73">INDEX(Data_DBD!$C:$C,$A73)</f>
        <v>5</v>
      </c>
      <c r="D73" s="30">
        <f ca="1" t="array" ref="D73">INDEX(Data_DBD!$D:$D,$A73)</f>
        <v>21</v>
      </c>
      <c r="E73" s="30">
        <f ca="1" t="array" ref="E73">INDEX(Data_DBD!$E:$E,$A73)</f>
        <v>1</v>
      </c>
      <c r="F73" s="30">
        <f ca="1" t="array" ref="F73">INDEX(Data_DBD!$F:$F,$A73)</f>
        <v>3</v>
      </c>
      <c r="H73" s="30">
        <v>153</v>
      </c>
      <c r="I73" s="30">
        <v>73</v>
      </c>
      <c r="J73" s="30">
        <v>7</v>
      </c>
      <c r="K73" s="30">
        <v>21</v>
      </c>
      <c r="L73" s="30">
        <v>1</v>
      </c>
      <c r="M73" s="30">
        <v>3</v>
      </c>
    </row>
    <row r="74" spans="1:13">
      <c r="A74" s="30">
        <f ca="1" t="shared" si="1"/>
        <v>142</v>
      </c>
      <c r="B74" s="30">
        <f ca="1" t="array" ref="B74">INDEX(Data_DBD!$B:$B,$A74)</f>
        <v>39</v>
      </c>
      <c r="C74" s="30">
        <f ca="1" t="array" ref="C74">INDEX(Data_DBD!$C:$C,$A74)</f>
        <v>2</v>
      </c>
      <c r="D74" s="30">
        <f ca="1" t="array" ref="D74">INDEX(Data_DBD!$D:$D,$A74)</f>
        <v>21</v>
      </c>
      <c r="E74" s="30">
        <f ca="1" t="array" ref="E74">INDEX(Data_DBD!$E:$E,$A74)</f>
        <v>1</v>
      </c>
      <c r="F74" s="30">
        <f ca="1" t="array" ref="F74">INDEX(Data_DBD!$F:$F,$A74)</f>
        <v>3</v>
      </c>
      <c r="H74" s="30">
        <v>51</v>
      </c>
      <c r="I74" s="30">
        <v>48</v>
      </c>
      <c r="J74" s="30">
        <v>4</v>
      </c>
      <c r="K74" s="30">
        <v>13</v>
      </c>
      <c r="L74" s="30">
        <v>0</v>
      </c>
      <c r="M74" s="30">
        <v>2</v>
      </c>
    </row>
    <row r="75" spans="1:13">
      <c r="A75" s="30">
        <f ca="1" t="shared" si="1"/>
        <v>23</v>
      </c>
      <c r="B75" s="30">
        <f ca="1" t="array" ref="B75">INDEX(Data_DBD!$B:$B,$A75)</f>
        <v>28</v>
      </c>
      <c r="C75" s="30">
        <f ca="1" t="array" ref="C75">INDEX(Data_DBD!$C:$C,$A75)</f>
        <v>4</v>
      </c>
      <c r="D75" s="30">
        <f ca="1" t="array" ref="D75">INDEX(Data_DBD!$D:$D,$A75)</f>
        <v>14</v>
      </c>
      <c r="E75" s="30">
        <f ca="1" t="array" ref="E75">INDEX(Data_DBD!$E:$E,$A75)</f>
        <v>1</v>
      </c>
      <c r="F75" s="30">
        <f ca="1" t="array" ref="F75">INDEX(Data_DBD!$F:$F,$A75)</f>
        <v>2</v>
      </c>
      <c r="H75" s="30">
        <v>67</v>
      </c>
      <c r="I75" s="30">
        <v>21</v>
      </c>
      <c r="J75" s="30">
        <v>3</v>
      </c>
      <c r="K75" s="30">
        <v>10</v>
      </c>
      <c r="L75" s="30">
        <v>1</v>
      </c>
      <c r="M75" s="30">
        <v>2</v>
      </c>
    </row>
    <row r="76" spans="1:13">
      <c r="A76" s="30">
        <f ca="1" t="shared" si="1"/>
        <v>98</v>
      </c>
      <c r="B76" s="30">
        <f ca="1" t="array" ref="B76">INDEX(Data_DBD!$B:$B,$A76)</f>
        <v>16</v>
      </c>
      <c r="C76" s="30">
        <f ca="1" t="array" ref="C76">INDEX(Data_DBD!$C:$C,$A76)</f>
        <v>2</v>
      </c>
      <c r="D76" s="30">
        <f ca="1" t="array" ref="D76">INDEX(Data_DBD!$D:$D,$A76)</f>
        <v>18</v>
      </c>
      <c r="E76" s="30">
        <f ca="1" t="array" ref="E76">INDEX(Data_DBD!$E:$E,$A76)</f>
        <v>1</v>
      </c>
      <c r="F76" s="30">
        <f ca="1" t="array" ref="F76">INDEX(Data_DBD!$F:$F,$A76)</f>
        <v>3</v>
      </c>
      <c r="H76" s="30">
        <v>44</v>
      </c>
      <c r="I76" s="30">
        <v>28</v>
      </c>
      <c r="J76" s="30">
        <v>5</v>
      </c>
      <c r="K76" s="30">
        <v>13</v>
      </c>
      <c r="L76" s="30">
        <v>1</v>
      </c>
      <c r="M76" s="30">
        <v>2</v>
      </c>
    </row>
    <row r="77" spans="1:13">
      <c r="A77" s="30">
        <f ca="1" t="shared" si="1"/>
        <v>55</v>
      </c>
      <c r="B77" s="30">
        <f ca="1" t="array" ref="B77">INDEX(Data_DBD!$B:$B,$A77)</f>
        <v>7</v>
      </c>
      <c r="C77" s="30">
        <f ca="1" t="array" ref="C77">INDEX(Data_DBD!$C:$C,$A77)</f>
        <v>4</v>
      </c>
      <c r="D77" s="30">
        <f ca="1" t="array" ref="D77">INDEX(Data_DBD!$D:$D,$A77)</f>
        <v>15</v>
      </c>
      <c r="E77" s="30">
        <f ca="1" t="array" ref="E77">INDEX(Data_DBD!$E:$E,$A77)</f>
        <v>1</v>
      </c>
      <c r="F77" s="30">
        <f ca="1" t="array" ref="F77">INDEX(Data_DBD!$F:$F,$A77)</f>
        <v>2</v>
      </c>
      <c r="H77" s="30">
        <v>5</v>
      </c>
      <c r="I77" s="30">
        <v>18</v>
      </c>
      <c r="J77" s="30">
        <v>2</v>
      </c>
      <c r="K77" s="30">
        <v>12</v>
      </c>
      <c r="L77" s="30">
        <v>1</v>
      </c>
      <c r="M77" s="30">
        <v>2</v>
      </c>
    </row>
    <row r="78" spans="1:13">
      <c r="A78" s="30">
        <f ca="1" t="shared" si="1"/>
        <v>148</v>
      </c>
      <c r="B78" s="30">
        <f ca="1" t="array" ref="B78">INDEX(Data_DBD!$B:$B,$A78)</f>
        <v>55</v>
      </c>
      <c r="C78" s="30">
        <f ca="1" t="array" ref="C78">INDEX(Data_DBD!$C:$C,$A78)</f>
        <v>3</v>
      </c>
      <c r="D78" s="30">
        <f ca="1" t="array" ref="D78">INDEX(Data_DBD!$D:$D,$A78)</f>
        <v>21</v>
      </c>
      <c r="E78" s="30">
        <f ca="1" t="array" ref="E78">INDEX(Data_DBD!$E:$E,$A78)</f>
        <v>1</v>
      </c>
      <c r="F78" s="30">
        <f ca="1" t="array" ref="F78">INDEX(Data_DBD!$F:$F,$A78)</f>
        <v>3</v>
      </c>
      <c r="H78" s="30">
        <v>117</v>
      </c>
      <c r="I78" s="30">
        <v>49</v>
      </c>
      <c r="J78" s="30">
        <v>4</v>
      </c>
      <c r="K78" s="30">
        <v>33</v>
      </c>
      <c r="L78" s="30">
        <v>1</v>
      </c>
      <c r="M78" s="30">
        <v>3</v>
      </c>
    </row>
    <row r="79" spans="1:13">
      <c r="A79" s="30">
        <f ca="1" t="shared" si="1"/>
        <v>127</v>
      </c>
      <c r="B79" s="30">
        <f ca="1" t="array" ref="B79">INDEX(Data_DBD!$B:$B,$A79)</f>
        <v>21</v>
      </c>
      <c r="C79" s="30">
        <f ca="1" t="array" ref="C79">INDEX(Data_DBD!$C:$C,$A79)</f>
        <v>2</v>
      </c>
      <c r="D79" s="30">
        <f ca="1" t="array" ref="D79">INDEX(Data_DBD!$D:$D,$A79)</f>
        <v>33</v>
      </c>
      <c r="E79" s="30">
        <f ca="1" t="array" ref="E79">INDEX(Data_DBD!$E:$E,$A79)</f>
        <v>0</v>
      </c>
      <c r="F79" s="30">
        <f ca="1" t="array" ref="F79">INDEX(Data_DBD!$F:$F,$A79)</f>
        <v>3</v>
      </c>
      <c r="H79" s="30">
        <v>129</v>
      </c>
      <c r="I79" s="30">
        <v>4.5</v>
      </c>
      <c r="J79" s="30">
        <v>3</v>
      </c>
      <c r="K79" s="30">
        <v>33</v>
      </c>
      <c r="L79" s="30">
        <v>0</v>
      </c>
      <c r="M79" s="30">
        <v>3</v>
      </c>
    </row>
    <row r="80" spans="1:13">
      <c r="A80" s="30">
        <f ca="1" t="shared" si="1"/>
        <v>150</v>
      </c>
      <c r="B80" s="30">
        <f ca="1" t="array" ref="B80">INDEX(Data_DBD!$B:$B,$A80)</f>
        <v>61</v>
      </c>
      <c r="C80" s="30">
        <f ca="1" t="array" ref="C80">INDEX(Data_DBD!$C:$C,$A80)</f>
        <v>5</v>
      </c>
      <c r="D80" s="30">
        <f ca="1" t="array" ref="D80">INDEX(Data_DBD!$D:$D,$A80)</f>
        <v>21</v>
      </c>
      <c r="E80" s="30">
        <f ca="1" t="array" ref="E80">INDEX(Data_DBD!$E:$E,$A80)</f>
        <v>1</v>
      </c>
      <c r="F80" s="30">
        <f ca="1" t="array" ref="F80">INDEX(Data_DBD!$F:$F,$A80)</f>
        <v>3</v>
      </c>
      <c r="H80" s="30">
        <v>116</v>
      </c>
      <c r="I80" s="30">
        <v>32</v>
      </c>
      <c r="J80" s="30">
        <v>4</v>
      </c>
      <c r="K80" s="30">
        <v>33</v>
      </c>
      <c r="L80" s="30">
        <v>1</v>
      </c>
      <c r="M80" s="30">
        <v>3</v>
      </c>
    </row>
    <row r="81" spans="1:13">
      <c r="A81" s="30">
        <f ca="1" t="shared" si="1"/>
        <v>61</v>
      </c>
      <c r="B81" s="30">
        <f ca="1" t="array" ref="B81">INDEX(Data_DBD!$B:$B,$A81)</f>
        <v>29</v>
      </c>
      <c r="C81" s="30">
        <f ca="1" t="array" ref="C81">INDEX(Data_DBD!$C:$C,$A81)</f>
        <v>3</v>
      </c>
      <c r="D81" s="30">
        <f ca="1" t="array" ref="D81">INDEX(Data_DBD!$D:$D,$A81)</f>
        <v>15</v>
      </c>
      <c r="E81" s="30">
        <f ca="1" t="array" ref="E81">INDEX(Data_DBD!$E:$E,$A81)</f>
        <v>1</v>
      </c>
      <c r="F81" s="30">
        <f ca="1" t="array" ref="F81">INDEX(Data_DBD!$F:$F,$A81)</f>
        <v>2</v>
      </c>
      <c r="H81" s="30">
        <v>115</v>
      </c>
      <c r="I81" s="30">
        <v>52</v>
      </c>
      <c r="J81" s="30">
        <v>3</v>
      </c>
      <c r="K81" s="30">
        <v>33</v>
      </c>
      <c r="L81" s="30">
        <v>1</v>
      </c>
      <c r="M81" s="30">
        <v>3</v>
      </c>
    </row>
    <row r="82" spans="1:13">
      <c r="A82" s="30">
        <f ca="1" t="shared" si="1"/>
        <v>23</v>
      </c>
      <c r="B82" s="30">
        <f ca="1" t="array" ref="B82">INDEX(Data_DBD!$B:$B,$A82)</f>
        <v>28</v>
      </c>
      <c r="C82" s="30">
        <f ca="1" t="array" ref="C82">INDEX(Data_DBD!$C:$C,$A82)</f>
        <v>4</v>
      </c>
      <c r="D82" s="30">
        <f ca="1" t="array" ref="D82">INDEX(Data_DBD!$D:$D,$A82)</f>
        <v>14</v>
      </c>
      <c r="E82" s="30">
        <f ca="1" t="array" ref="E82">INDEX(Data_DBD!$E:$E,$A82)</f>
        <v>1</v>
      </c>
      <c r="F82" s="30">
        <f ca="1" t="array" ref="F82">INDEX(Data_DBD!$F:$F,$A82)</f>
        <v>2</v>
      </c>
      <c r="H82" s="30">
        <v>74</v>
      </c>
      <c r="I82" s="30">
        <v>9</v>
      </c>
      <c r="J82" s="30">
        <v>4</v>
      </c>
      <c r="K82" s="30">
        <v>10</v>
      </c>
      <c r="L82" s="30">
        <v>0</v>
      </c>
      <c r="M82" s="30">
        <v>2</v>
      </c>
    </row>
    <row r="83" spans="1:13">
      <c r="A83" s="30">
        <f ca="1" t="shared" si="1"/>
        <v>5</v>
      </c>
      <c r="B83" s="30">
        <f ca="1" t="array" ref="B83">INDEX(Data_DBD!$B:$B,$A83)</f>
        <v>18</v>
      </c>
      <c r="C83" s="30">
        <f ca="1" t="array" ref="C83">INDEX(Data_DBD!$C:$C,$A83)</f>
        <v>2</v>
      </c>
      <c r="D83" s="30">
        <f ca="1" t="array" ref="D83">INDEX(Data_DBD!$D:$D,$A83)</f>
        <v>12</v>
      </c>
      <c r="E83" s="30">
        <f ca="1" t="array" ref="E83">INDEX(Data_DBD!$E:$E,$A83)</f>
        <v>1</v>
      </c>
      <c r="F83" s="30">
        <f ca="1" t="array" ref="F83">INDEX(Data_DBD!$F:$F,$A83)</f>
        <v>2</v>
      </c>
      <c r="H83" s="30">
        <v>53</v>
      </c>
      <c r="I83" s="30">
        <v>35</v>
      </c>
      <c r="J83" s="30">
        <v>4</v>
      </c>
      <c r="K83" s="30">
        <v>15</v>
      </c>
      <c r="L83" s="30">
        <v>1</v>
      </c>
      <c r="M83" s="30">
        <v>2</v>
      </c>
    </row>
    <row r="84" spans="1:13">
      <c r="A84" s="30">
        <f ca="1" t="shared" si="1"/>
        <v>64</v>
      </c>
      <c r="B84" s="30">
        <f ca="1" t="array" ref="B84">INDEX(Data_DBD!$B:$B,$A84)</f>
        <v>35</v>
      </c>
      <c r="C84" s="30">
        <f ca="1" t="array" ref="C84">INDEX(Data_DBD!$C:$C,$A84)</f>
        <v>1</v>
      </c>
      <c r="D84" s="30">
        <f ca="1" t="array" ref="D84">INDEX(Data_DBD!$D:$D,$A84)</f>
        <v>15</v>
      </c>
      <c r="E84" s="30">
        <f ca="1" t="array" ref="E84">INDEX(Data_DBD!$E:$E,$A84)</f>
        <v>0</v>
      </c>
      <c r="F84" s="30">
        <f ca="1" t="array" ref="F84">INDEX(Data_DBD!$F:$F,$A84)</f>
        <v>2</v>
      </c>
      <c r="H84" s="30">
        <v>17</v>
      </c>
      <c r="I84" s="30">
        <v>2</v>
      </c>
      <c r="J84" s="30">
        <v>3</v>
      </c>
      <c r="K84" s="30">
        <v>7</v>
      </c>
      <c r="L84" s="30">
        <v>0</v>
      </c>
      <c r="M84" s="30">
        <v>1</v>
      </c>
    </row>
    <row r="85" spans="1:13">
      <c r="A85" s="30">
        <f ca="1" t="shared" si="1"/>
        <v>15</v>
      </c>
      <c r="B85" s="30">
        <f ca="1" t="array" ref="B85">INDEX(Data_DBD!$B:$B,$A85)</f>
        <v>21</v>
      </c>
      <c r="C85" s="30">
        <f ca="1" t="array" ref="C85">INDEX(Data_DBD!$C:$C,$A85)</f>
        <v>2</v>
      </c>
      <c r="D85" s="30">
        <f ca="1" t="array" ref="D85">INDEX(Data_DBD!$D:$D,$A85)</f>
        <v>7</v>
      </c>
      <c r="E85" s="30">
        <f ca="1" t="array" ref="E85">INDEX(Data_DBD!$E:$E,$A85)</f>
        <v>0</v>
      </c>
      <c r="F85" s="30">
        <f ca="1" t="array" ref="F85">INDEX(Data_DBD!$F:$F,$A85)</f>
        <v>1</v>
      </c>
      <c r="H85" s="30">
        <v>75</v>
      </c>
      <c r="I85" s="30">
        <v>2</v>
      </c>
      <c r="J85" s="30">
        <v>2</v>
      </c>
      <c r="K85" s="30">
        <v>10</v>
      </c>
      <c r="L85" s="30">
        <v>1</v>
      </c>
      <c r="M85" s="30">
        <v>2</v>
      </c>
    </row>
    <row r="86" spans="1:13">
      <c r="A86" s="30">
        <f ca="1" t="shared" si="1"/>
        <v>141</v>
      </c>
      <c r="B86" s="30">
        <f ca="1" t="array" ref="B86">INDEX(Data_DBD!$B:$B,$A86)</f>
        <v>36</v>
      </c>
      <c r="C86" s="30">
        <f ca="1" t="array" ref="C86">INDEX(Data_DBD!$C:$C,$A86)</f>
        <v>2</v>
      </c>
      <c r="D86" s="30">
        <f ca="1" t="array" ref="D86">INDEX(Data_DBD!$D:$D,$A86)</f>
        <v>21</v>
      </c>
      <c r="E86" s="30">
        <f ca="1" t="array" ref="E86">INDEX(Data_DBD!$E:$E,$A86)</f>
        <v>0</v>
      </c>
      <c r="F86" s="30">
        <f ca="1" t="array" ref="F86">INDEX(Data_DBD!$F:$F,$A86)</f>
        <v>3</v>
      </c>
      <c r="H86" s="30">
        <v>141</v>
      </c>
      <c r="I86" s="30">
        <v>36</v>
      </c>
      <c r="J86" s="30">
        <v>2</v>
      </c>
      <c r="K86" s="30">
        <v>21</v>
      </c>
      <c r="L86" s="30">
        <v>0</v>
      </c>
      <c r="M86" s="30">
        <v>3</v>
      </c>
    </row>
    <row r="87" spans="1:13">
      <c r="A87" s="30">
        <f ca="1" t="shared" si="1"/>
        <v>27</v>
      </c>
      <c r="B87" s="30">
        <f ca="1" t="array" ref="B87">INDEX(Data_DBD!$B:$B,$A87)</f>
        <v>37</v>
      </c>
      <c r="C87" s="30">
        <f ca="1" t="array" ref="C87">INDEX(Data_DBD!$C:$C,$A87)</f>
        <v>4</v>
      </c>
      <c r="D87" s="30">
        <f ca="1" t="array" ref="D87">INDEX(Data_DBD!$D:$D,$A87)</f>
        <v>14</v>
      </c>
      <c r="E87" s="30">
        <f ca="1" t="array" ref="E87">INDEX(Data_DBD!$E:$E,$A87)</f>
        <v>1</v>
      </c>
      <c r="F87" s="30">
        <f ca="1" t="array" ref="F87">INDEX(Data_DBD!$F:$F,$A87)</f>
        <v>2</v>
      </c>
      <c r="H87" s="30">
        <v>130</v>
      </c>
      <c r="I87" s="30">
        <v>12</v>
      </c>
      <c r="J87" s="30">
        <v>4</v>
      </c>
      <c r="K87" s="30">
        <v>33</v>
      </c>
      <c r="L87" s="30">
        <v>0</v>
      </c>
      <c r="M87" s="30">
        <v>3</v>
      </c>
    </row>
    <row r="88" spans="1:13">
      <c r="A88" s="30">
        <f ca="1" t="shared" si="1"/>
        <v>128</v>
      </c>
      <c r="B88" s="30">
        <f ca="1" t="array" ref="B88">INDEX(Data_DBD!$B:$B,$A88)</f>
        <v>38</v>
      </c>
      <c r="C88" s="30">
        <f ca="1" t="array" ref="C88">INDEX(Data_DBD!$C:$C,$A88)</f>
        <v>2</v>
      </c>
      <c r="D88" s="30">
        <f ca="1" t="array" ref="D88">INDEX(Data_DBD!$D:$D,$A88)</f>
        <v>33</v>
      </c>
      <c r="E88" s="30">
        <f ca="1" t="array" ref="E88">INDEX(Data_DBD!$E:$E,$A88)</f>
        <v>0</v>
      </c>
      <c r="F88" s="30">
        <f ca="1" t="array" ref="F88">INDEX(Data_DBD!$F:$F,$A88)</f>
        <v>3</v>
      </c>
      <c r="H88" s="30">
        <v>102</v>
      </c>
      <c r="I88" s="30">
        <v>41</v>
      </c>
      <c r="J88" s="30">
        <v>4</v>
      </c>
      <c r="K88" s="30">
        <v>18</v>
      </c>
      <c r="L88" s="30">
        <v>0</v>
      </c>
      <c r="M88" s="30">
        <v>3</v>
      </c>
    </row>
    <row r="89" spans="1:13">
      <c r="A89" s="30">
        <f ca="1" t="shared" si="1"/>
        <v>128</v>
      </c>
      <c r="B89" s="30">
        <f ca="1" t="array" ref="B89">INDEX(Data_DBD!$B:$B,$A89)</f>
        <v>38</v>
      </c>
      <c r="C89" s="30">
        <f ca="1" t="array" ref="C89">INDEX(Data_DBD!$C:$C,$A89)</f>
        <v>2</v>
      </c>
      <c r="D89" s="30">
        <f ca="1" t="array" ref="D89">INDEX(Data_DBD!$D:$D,$A89)</f>
        <v>33</v>
      </c>
      <c r="E89" s="30">
        <f ca="1" t="array" ref="E89">INDEX(Data_DBD!$E:$E,$A89)</f>
        <v>0</v>
      </c>
      <c r="F89" s="30">
        <f ca="1" t="array" ref="F89">INDEX(Data_DBD!$F:$F,$A89)</f>
        <v>3</v>
      </c>
      <c r="H89" s="30">
        <v>137</v>
      </c>
      <c r="I89" s="30">
        <v>3.5</v>
      </c>
      <c r="J89" s="30">
        <v>1</v>
      </c>
      <c r="K89" s="30">
        <v>33</v>
      </c>
      <c r="L89" s="30">
        <v>1</v>
      </c>
      <c r="M89" s="30">
        <v>3</v>
      </c>
    </row>
    <row r="90" spans="1:13">
      <c r="A90" s="30">
        <f ca="1" t="shared" si="1"/>
        <v>114</v>
      </c>
      <c r="B90" s="30">
        <f ca="1" t="array" ref="B90">INDEX(Data_DBD!$B:$B,$A90)</f>
        <v>14</v>
      </c>
      <c r="C90" s="30">
        <f ca="1" t="array" ref="C90">INDEX(Data_DBD!$C:$C,$A90)</f>
        <v>2</v>
      </c>
      <c r="D90" s="30">
        <f ca="1" t="array" ref="D90">INDEX(Data_DBD!$D:$D,$A90)</f>
        <v>33</v>
      </c>
      <c r="E90" s="30">
        <f ca="1" t="array" ref="E90">INDEX(Data_DBD!$E:$E,$A90)</f>
        <v>1</v>
      </c>
      <c r="F90" s="30">
        <f ca="1" t="array" ref="F90">INDEX(Data_DBD!$F:$F,$A90)</f>
        <v>3</v>
      </c>
      <c r="H90" s="30">
        <v>162</v>
      </c>
      <c r="I90" s="30">
        <v>22</v>
      </c>
      <c r="J90" s="30">
        <v>3</v>
      </c>
      <c r="K90" s="30">
        <v>3</v>
      </c>
      <c r="L90" s="30">
        <v>1</v>
      </c>
      <c r="M90" s="30">
        <v>1</v>
      </c>
    </row>
    <row r="91" spans="1:13">
      <c r="A91" s="30">
        <f ca="1" t="shared" si="1"/>
        <v>61</v>
      </c>
      <c r="B91" s="30">
        <f ca="1" t="array" ref="B91">INDEX(Data_DBD!$B:$B,$A91)</f>
        <v>29</v>
      </c>
      <c r="C91" s="30">
        <f ca="1" t="array" ref="C91">INDEX(Data_DBD!$C:$C,$A91)</f>
        <v>3</v>
      </c>
      <c r="D91" s="30">
        <f ca="1" t="array" ref="D91">INDEX(Data_DBD!$D:$D,$A91)</f>
        <v>15</v>
      </c>
      <c r="E91" s="30">
        <f ca="1" t="array" ref="E91">INDEX(Data_DBD!$E:$E,$A91)</f>
        <v>1</v>
      </c>
      <c r="F91" s="30">
        <f ca="1" t="array" ref="F91">INDEX(Data_DBD!$F:$F,$A91)</f>
        <v>2</v>
      </c>
      <c r="H91" s="30">
        <v>2</v>
      </c>
      <c r="I91" s="30">
        <v>34</v>
      </c>
      <c r="J91" s="30">
        <v>3</v>
      </c>
      <c r="K91" s="30">
        <v>12</v>
      </c>
      <c r="L91" s="30">
        <v>0</v>
      </c>
      <c r="M91" s="30">
        <v>2</v>
      </c>
    </row>
    <row r="92" spans="1:13">
      <c r="A92" s="30">
        <f ca="1" t="shared" si="1"/>
        <v>56</v>
      </c>
      <c r="B92" s="30">
        <f ca="1" t="array" ref="B92">INDEX(Data_DBD!$B:$B,$A92)</f>
        <v>4</v>
      </c>
      <c r="C92" s="30">
        <f ca="1" t="array" ref="C92">INDEX(Data_DBD!$C:$C,$A92)</f>
        <v>3</v>
      </c>
      <c r="D92" s="30">
        <f ca="1" t="array" ref="D92">INDEX(Data_DBD!$D:$D,$A92)</f>
        <v>15</v>
      </c>
      <c r="E92" s="30">
        <f ca="1" t="array" ref="E92">INDEX(Data_DBD!$E:$E,$A92)</f>
        <v>0</v>
      </c>
      <c r="F92" s="30">
        <f ca="1" t="array" ref="F92">INDEX(Data_DBD!$F:$F,$A92)</f>
        <v>2</v>
      </c>
      <c r="H92" s="30">
        <v>74</v>
      </c>
      <c r="I92" s="30">
        <v>9</v>
      </c>
      <c r="J92" s="30">
        <v>4</v>
      </c>
      <c r="K92" s="30">
        <v>10</v>
      </c>
      <c r="L92" s="30">
        <v>0</v>
      </c>
      <c r="M92" s="30">
        <v>2</v>
      </c>
    </row>
    <row r="93" spans="1:13">
      <c r="A93" s="30">
        <f ca="1" t="shared" si="1"/>
        <v>161</v>
      </c>
      <c r="B93" s="30">
        <f ca="1" t="array" ref="B93">INDEX(Data_DBD!$B:$B,$A93)</f>
        <v>12</v>
      </c>
      <c r="C93" s="30">
        <f ca="1" t="array" ref="C93">INDEX(Data_DBD!$C:$C,$A93)</f>
        <v>3</v>
      </c>
      <c r="D93" s="30">
        <f ca="1" t="array" ref="D93">INDEX(Data_DBD!$D:$D,$A93)</f>
        <v>21</v>
      </c>
      <c r="E93" s="30">
        <f ca="1" t="array" ref="E93">INDEX(Data_DBD!$E:$E,$A93)</f>
        <v>1</v>
      </c>
      <c r="F93" s="30">
        <f ca="1" t="array" ref="F93">INDEX(Data_DBD!$F:$F,$A93)</f>
        <v>3</v>
      </c>
      <c r="H93" s="30">
        <v>158</v>
      </c>
      <c r="I93" s="30">
        <v>5</v>
      </c>
      <c r="J93" s="30">
        <v>2</v>
      </c>
      <c r="K93" s="30">
        <v>21</v>
      </c>
      <c r="L93" s="30">
        <v>0</v>
      </c>
      <c r="M93" s="30">
        <v>3</v>
      </c>
    </row>
    <row r="94" spans="1:13">
      <c r="A94" s="30">
        <f ca="1" t="shared" si="1"/>
        <v>61</v>
      </c>
      <c r="B94" s="30">
        <f ca="1" t="array" ref="B94">INDEX(Data_DBD!$B:$B,$A94)</f>
        <v>29</v>
      </c>
      <c r="C94" s="30">
        <f ca="1" t="array" ref="C94">INDEX(Data_DBD!$C:$C,$A94)</f>
        <v>3</v>
      </c>
      <c r="D94" s="30">
        <f ca="1" t="array" ref="D94">INDEX(Data_DBD!$D:$D,$A94)</f>
        <v>15</v>
      </c>
      <c r="E94" s="30">
        <f ca="1" t="array" ref="E94">INDEX(Data_DBD!$E:$E,$A94)</f>
        <v>1</v>
      </c>
      <c r="F94" s="30">
        <f ca="1" t="array" ref="F94">INDEX(Data_DBD!$F:$F,$A94)</f>
        <v>2</v>
      </c>
      <c r="H94" s="30">
        <v>157</v>
      </c>
      <c r="I94" s="30">
        <v>15</v>
      </c>
      <c r="J94" s="30">
        <v>4</v>
      </c>
      <c r="K94" s="30">
        <v>21</v>
      </c>
      <c r="L94" s="30">
        <v>1</v>
      </c>
      <c r="M94" s="30">
        <v>3</v>
      </c>
    </row>
    <row r="95" spans="1:13">
      <c r="A95" s="30">
        <f ca="1" t="shared" si="1"/>
        <v>63</v>
      </c>
      <c r="B95" s="30">
        <f ca="1" t="array" ref="B95">INDEX(Data_DBD!$B:$B,$A95)</f>
        <v>25</v>
      </c>
      <c r="C95" s="30">
        <f ca="1" t="array" ref="C95">INDEX(Data_DBD!$C:$C,$A95)</f>
        <v>3</v>
      </c>
      <c r="D95" s="30">
        <f ca="1" t="array" ref="D95">INDEX(Data_DBD!$D:$D,$A95)</f>
        <v>15</v>
      </c>
      <c r="E95" s="30">
        <f ca="1" t="array" ref="E95">INDEX(Data_DBD!$E:$E,$A95)</f>
        <v>0</v>
      </c>
      <c r="F95" s="30">
        <f ca="1" t="array" ref="F95">INDEX(Data_DBD!$F:$F,$A95)</f>
        <v>2</v>
      </c>
      <c r="H95" s="30">
        <v>125</v>
      </c>
      <c r="I95" s="30">
        <v>39</v>
      </c>
      <c r="J95" s="30">
        <v>4</v>
      </c>
      <c r="K95" s="30">
        <v>33</v>
      </c>
      <c r="L95" s="30">
        <v>0</v>
      </c>
      <c r="M95" s="30">
        <v>3</v>
      </c>
    </row>
    <row r="96" spans="1:13">
      <c r="A96" s="30">
        <f ca="1" t="shared" si="1"/>
        <v>153</v>
      </c>
      <c r="B96" s="30">
        <f ca="1" t="array" ref="B96">INDEX(Data_DBD!$B:$B,$A96)</f>
        <v>73</v>
      </c>
      <c r="C96" s="30">
        <f ca="1" t="array" ref="C96">INDEX(Data_DBD!$C:$C,$A96)</f>
        <v>7</v>
      </c>
      <c r="D96" s="30">
        <f ca="1" t="array" ref="D96">INDEX(Data_DBD!$D:$D,$A96)</f>
        <v>21</v>
      </c>
      <c r="E96" s="30">
        <f ca="1" t="array" ref="E96">INDEX(Data_DBD!$E:$E,$A96)</f>
        <v>1</v>
      </c>
      <c r="F96" s="30">
        <f ca="1" t="array" ref="F96">INDEX(Data_DBD!$F:$F,$A96)</f>
        <v>3</v>
      </c>
      <c r="H96" s="30">
        <v>152</v>
      </c>
      <c r="I96" s="30">
        <v>47</v>
      </c>
      <c r="J96" s="30">
        <v>3</v>
      </c>
      <c r="K96" s="30">
        <v>21</v>
      </c>
      <c r="L96" s="30">
        <v>1</v>
      </c>
      <c r="M96" s="30">
        <v>3</v>
      </c>
    </row>
    <row r="97" spans="1:13">
      <c r="A97" s="30">
        <f ca="1" t="shared" si="1"/>
        <v>35</v>
      </c>
      <c r="B97" s="30">
        <f ca="1" t="array" ref="B97">INDEX(Data_DBD!$B:$B,$A97)</f>
        <v>40</v>
      </c>
      <c r="C97" s="30">
        <f ca="1" t="array" ref="C97">INDEX(Data_DBD!$C:$C,$A97)</f>
        <v>3</v>
      </c>
      <c r="D97" s="30">
        <f ca="1" t="array" ref="D97">INDEX(Data_DBD!$D:$D,$A97)</f>
        <v>4</v>
      </c>
      <c r="E97" s="30">
        <f ca="1" t="array" ref="E97">INDEX(Data_DBD!$E:$E,$A97)</f>
        <v>1</v>
      </c>
      <c r="F97" s="30">
        <f ca="1" t="array" ref="F97">INDEX(Data_DBD!$F:$F,$A97)</f>
        <v>1</v>
      </c>
      <c r="H97" s="30">
        <v>142</v>
      </c>
      <c r="I97" s="30">
        <v>39</v>
      </c>
      <c r="J97" s="30">
        <v>2</v>
      </c>
      <c r="K97" s="30">
        <v>21</v>
      </c>
      <c r="L97" s="30">
        <v>1</v>
      </c>
      <c r="M97" s="30">
        <v>3</v>
      </c>
    </row>
    <row r="98" spans="1:13">
      <c r="A98" s="30">
        <f ca="1" t="shared" si="1"/>
        <v>39</v>
      </c>
      <c r="B98" s="30">
        <f ca="1" t="array" ref="B98">INDEX(Data_DBD!$B:$B,$A98)</f>
        <v>12</v>
      </c>
      <c r="C98" s="30">
        <f ca="1" t="array" ref="C98">INDEX(Data_DBD!$C:$C,$A98)</f>
        <v>5</v>
      </c>
      <c r="D98" s="30">
        <f ca="1" t="array" ref="D98">INDEX(Data_DBD!$D:$D,$A98)</f>
        <v>13</v>
      </c>
      <c r="E98" s="30">
        <f ca="1" t="array" ref="E98">INDEX(Data_DBD!$E:$E,$A98)</f>
        <v>1</v>
      </c>
      <c r="F98" s="30">
        <f ca="1" t="array" ref="F98">INDEX(Data_DBD!$F:$F,$A98)</f>
        <v>2</v>
      </c>
      <c r="H98" s="30">
        <v>11</v>
      </c>
      <c r="I98" s="30">
        <v>24</v>
      </c>
      <c r="J98" s="30">
        <v>5</v>
      </c>
      <c r="K98" s="30">
        <v>12</v>
      </c>
      <c r="L98" s="30">
        <v>1</v>
      </c>
      <c r="M98" s="30">
        <v>2</v>
      </c>
    </row>
    <row r="99" spans="1:13">
      <c r="A99" s="30">
        <f ca="1" t="shared" si="1"/>
        <v>152</v>
      </c>
      <c r="B99" s="30">
        <f ca="1" t="array" ref="B99">INDEX(Data_DBD!$B:$B,$A99)</f>
        <v>47</v>
      </c>
      <c r="C99" s="30">
        <f ca="1" t="array" ref="C99">INDEX(Data_DBD!$C:$C,$A99)</f>
        <v>3</v>
      </c>
      <c r="D99" s="30">
        <f ca="1" t="array" ref="D99">INDEX(Data_DBD!$D:$D,$A99)</f>
        <v>21</v>
      </c>
      <c r="E99" s="30">
        <f ca="1" t="array" ref="E99">INDEX(Data_DBD!$E:$E,$A99)</f>
        <v>1</v>
      </c>
      <c r="F99" s="30">
        <f ca="1" t="array" ref="F99">INDEX(Data_DBD!$F:$F,$A99)</f>
        <v>3</v>
      </c>
      <c r="H99" s="30">
        <v>55</v>
      </c>
      <c r="I99" s="30">
        <v>7</v>
      </c>
      <c r="J99" s="30">
        <v>4</v>
      </c>
      <c r="K99" s="30">
        <v>15</v>
      </c>
      <c r="L99" s="30">
        <v>1</v>
      </c>
      <c r="M99" s="30">
        <v>2</v>
      </c>
    </row>
    <row r="100" spans="1:13">
      <c r="A100" s="30">
        <f ca="1" t="shared" si="1"/>
        <v>99</v>
      </c>
      <c r="B100" s="30">
        <f ca="1" t="array" ref="B100">INDEX(Data_DBD!$B:$B,$A100)</f>
        <v>4</v>
      </c>
      <c r="C100" s="30">
        <f ca="1" t="array" ref="C100">INDEX(Data_DBD!$C:$C,$A100)</f>
        <v>2</v>
      </c>
      <c r="D100" s="30">
        <f ca="1" t="array" ref="D100">INDEX(Data_DBD!$D:$D,$A100)</f>
        <v>18</v>
      </c>
      <c r="E100" s="30">
        <f ca="1" t="array" ref="E100">INDEX(Data_DBD!$E:$E,$A100)</f>
        <v>1</v>
      </c>
      <c r="F100" s="30">
        <f ca="1" t="array" ref="F100">INDEX(Data_DBD!$F:$F,$A100)</f>
        <v>3</v>
      </c>
      <c r="H100" s="30">
        <v>38</v>
      </c>
      <c r="I100" s="30">
        <v>52</v>
      </c>
      <c r="J100" s="30">
        <v>3</v>
      </c>
      <c r="K100" s="30">
        <v>4</v>
      </c>
      <c r="L100" s="30">
        <v>1</v>
      </c>
      <c r="M100" s="30">
        <v>1</v>
      </c>
    </row>
    <row r="101" spans="1:13">
      <c r="A101" s="30">
        <f ca="1" t="shared" si="1"/>
        <v>148</v>
      </c>
      <c r="B101" s="30">
        <f ca="1" t="array" ref="B101">INDEX(Data_DBD!$B:$B,$A101)</f>
        <v>55</v>
      </c>
      <c r="C101" s="30">
        <f ca="1" t="array" ref="C101">INDEX(Data_DBD!$C:$C,$A101)</f>
        <v>3</v>
      </c>
      <c r="D101" s="30">
        <f ca="1" t="array" ref="D101">INDEX(Data_DBD!$D:$D,$A101)</f>
        <v>21</v>
      </c>
      <c r="E101" s="30">
        <f ca="1" t="array" ref="E101">INDEX(Data_DBD!$E:$E,$A101)</f>
        <v>1</v>
      </c>
      <c r="F101" s="30">
        <f ca="1" t="array" ref="F101">INDEX(Data_DBD!$F:$F,$A101)</f>
        <v>3</v>
      </c>
      <c r="H101" s="30">
        <v>50</v>
      </c>
      <c r="I101" s="30">
        <v>19</v>
      </c>
      <c r="J101" s="30">
        <v>5</v>
      </c>
      <c r="K101" s="30">
        <v>13</v>
      </c>
      <c r="L101" s="30">
        <v>0</v>
      </c>
      <c r="M101" s="30">
        <v>2</v>
      </c>
    </row>
    <row r="102" spans="1:13">
      <c r="A102" s="30">
        <f ca="1" t="shared" si="1"/>
        <v>12</v>
      </c>
      <c r="B102" s="30">
        <f ca="1" t="array" ref="B102">INDEX(Data_DBD!$B:$B,$A102)</f>
        <v>23</v>
      </c>
      <c r="C102" s="30">
        <f ca="1" t="array" ref="C102">INDEX(Data_DBD!$C:$C,$A102)</f>
        <v>3</v>
      </c>
      <c r="D102" s="30">
        <f ca="1" t="array" ref="D102">INDEX(Data_DBD!$D:$D,$A102)</f>
        <v>12</v>
      </c>
      <c r="E102" s="30">
        <f ca="1" t="array" ref="E102">INDEX(Data_DBD!$E:$E,$A102)</f>
        <v>0</v>
      </c>
      <c r="F102" s="30">
        <f ca="1" t="array" ref="F102">INDEX(Data_DBD!$F:$F,$A102)</f>
        <v>2</v>
      </c>
      <c r="H102" s="30">
        <v>158</v>
      </c>
      <c r="I102" s="30">
        <v>5</v>
      </c>
      <c r="J102" s="30">
        <v>2</v>
      </c>
      <c r="K102" s="30">
        <v>21</v>
      </c>
      <c r="L102" s="30">
        <v>0</v>
      </c>
      <c r="M102" s="30">
        <v>3</v>
      </c>
    </row>
    <row r="103" spans="1:13">
      <c r="A103" s="30">
        <f ca="1" t="shared" si="1"/>
        <v>57</v>
      </c>
      <c r="B103" s="30">
        <f ca="1" t="array" ref="B103">INDEX(Data_DBD!$B:$B,$A103)</f>
        <v>2</v>
      </c>
      <c r="C103" s="30">
        <f ca="1" t="array" ref="C103">INDEX(Data_DBD!$C:$C,$A103)</f>
        <v>2</v>
      </c>
      <c r="D103" s="30">
        <f ca="1" t="array" ref="D103">INDEX(Data_DBD!$D:$D,$A103)</f>
        <v>15</v>
      </c>
      <c r="E103" s="30">
        <f ca="1" t="array" ref="E103">INDEX(Data_DBD!$E:$E,$A103)</f>
        <v>1</v>
      </c>
      <c r="F103" s="30">
        <f ca="1" t="array" ref="F103">INDEX(Data_DBD!$F:$F,$A103)</f>
        <v>2</v>
      </c>
      <c r="H103" s="30">
        <v>75</v>
      </c>
      <c r="I103" s="30">
        <v>2</v>
      </c>
      <c r="J103" s="30">
        <v>2</v>
      </c>
      <c r="K103" s="30">
        <v>10</v>
      </c>
      <c r="L103" s="30">
        <v>1</v>
      </c>
      <c r="M103" s="30">
        <v>2</v>
      </c>
    </row>
    <row r="104" spans="1:13">
      <c r="A104" s="30">
        <f ca="1" t="shared" si="1"/>
        <v>152</v>
      </c>
      <c r="B104" s="30">
        <f ca="1" t="array" ref="B104">INDEX(Data_DBD!$B:$B,$A104)</f>
        <v>47</v>
      </c>
      <c r="C104" s="30">
        <f ca="1" t="array" ref="C104">INDEX(Data_DBD!$C:$C,$A104)</f>
        <v>3</v>
      </c>
      <c r="D104" s="30">
        <f ca="1" t="array" ref="D104">INDEX(Data_DBD!$D:$D,$A104)</f>
        <v>21</v>
      </c>
      <c r="E104" s="30">
        <f ca="1" t="array" ref="E104">INDEX(Data_DBD!$E:$E,$A104)</f>
        <v>1</v>
      </c>
      <c r="F104" s="30">
        <f ca="1" t="array" ref="F104">INDEX(Data_DBD!$F:$F,$A104)</f>
        <v>3</v>
      </c>
      <c r="H104" s="30">
        <v>67</v>
      </c>
      <c r="I104" s="30">
        <v>21</v>
      </c>
      <c r="J104" s="30">
        <v>3</v>
      </c>
      <c r="K104" s="30">
        <v>10</v>
      </c>
      <c r="L104" s="30">
        <v>1</v>
      </c>
      <c r="M104" s="30">
        <v>2</v>
      </c>
    </row>
    <row r="105" spans="1:13">
      <c r="A105" s="30">
        <f ca="1" t="shared" si="1"/>
        <v>14</v>
      </c>
      <c r="B105" s="30">
        <f ca="1" t="array" ref="B105">INDEX(Data_DBD!$B:$B,$A105)</f>
        <v>49</v>
      </c>
      <c r="C105" s="30">
        <f ca="1" t="array" ref="C105">INDEX(Data_DBD!$C:$C,$A105)</f>
        <v>4</v>
      </c>
      <c r="D105" s="30">
        <f ca="1" t="array" ref="D105">INDEX(Data_DBD!$D:$D,$A105)</f>
        <v>7</v>
      </c>
      <c r="E105" s="30">
        <f ca="1" t="array" ref="E105">INDEX(Data_DBD!$E:$E,$A105)</f>
        <v>1</v>
      </c>
      <c r="F105" s="30">
        <f ca="1" t="array" ref="F105">INDEX(Data_DBD!$F:$F,$A105)</f>
        <v>1</v>
      </c>
      <c r="H105" s="30">
        <v>25</v>
      </c>
      <c r="I105" s="30">
        <v>81</v>
      </c>
      <c r="J105" s="30">
        <v>5</v>
      </c>
      <c r="K105" s="30">
        <v>14</v>
      </c>
      <c r="L105" s="30">
        <v>0</v>
      </c>
      <c r="M105" s="30">
        <v>2</v>
      </c>
    </row>
    <row r="106" spans="1:13">
      <c r="A106" s="30">
        <f ca="1" t="shared" si="1"/>
        <v>149</v>
      </c>
      <c r="B106" s="30">
        <f ca="1" t="array" ref="B106">INDEX(Data_DBD!$B:$B,$A106)</f>
        <v>19</v>
      </c>
      <c r="C106" s="30">
        <f ca="1" t="array" ref="C106">INDEX(Data_DBD!$C:$C,$A106)</f>
        <v>5</v>
      </c>
      <c r="D106" s="30">
        <f ca="1" t="array" ref="D106">INDEX(Data_DBD!$D:$D,$A106)</f>
        <v>21</v>
      </c>
      <c r="E106" s="30">
        <f ca="1" t="array" ref="E106">INDEX(Data_DBD!$E:$E,$A106)</f>
        <v>0</v>
      </c>
      <c r="F106" s="30">
        <f ca="1" t="array" ref="F106">INDEX(Data_DBD!$F:$F,$A106)</f>
        <v>3</v>
      </c>
      <c r="H106" s="30">
        <v>104</v>
      </c>
      <c r="I106" s="30">
        <v>37</v>
      </c>
      <c r="J106" s="30">
        <v>4</v>
      </c>
      <c r="K106" s="30">
        <v>18</v>
      </c>
      <c r="L106" s="30">
        <v>1</v>
      </c>
      <c r="M106" s="30">
        <v>3</v>
      </c>
    </row>
    <row r="107" spans="1:13">
      <c r="A107" s="30">
        <f ca="1" t="shared" si="1"/>
        <v>74</v>
      </c>
      <c r="B107" s="30">
        <f ca="1" t="array" ref="B107">INDEX(Data_DBD!$B:$B,$A107)</f>
        <v>9</v>
      </c>
      <c r="C107" s="30">
        <f ca="1" t="array" ref="C107">INDEX(Data_DBD!$C:$C,$A107)</f>
        <v>4</v>
      </c>
      <c r="D107" s="30">
        <f ca="1" t="array" ref="D107">INDEX(Data_DBD!$D:$D,$A107)</f>
        <v>10</v>
      </c>
      <c r="E107" s="30">
        <f ca="1" t="array" ref="E107">INDEX(Data_DBD!$E:$E,$A107)</f>
        <v>0</v>
      </c>
      <c r="F107" s="30">
        <f ca="1" t="array" ref="F107">INDEX(Data_DBD!$F:$F,$A107)</f>
        <v>2</v>
      </c>
      <c r="H107" s="30">
        <v>21</v>
      </c>
      <c r="I107" s="30">
        <v>10</v>
      </c>
      <c r="J107" s="30">
        <v>5</v>
      </c>
      <c r="K107" s="30">
        <v>14</v>
      </c>
      <c r="L107" s="30">
        <v>1</v>
      </c>
      <c r="M107" s="30">
        <v>2</v>
      </c>
    </row>
    <row r="108" spans="1:13">
      <c r="A108" s="30">
        <f ca="1" t="shared" si="1"/>
        <v>35</v>
      </c>
      <c r="B108" s="30">
        <f ca="1" t="array" ref="B108">INDEX(Data_DBD!$B:$B,$A108)</f>
        <v>40</v>
      </c>
      <c r="C108" s="30">
        <f ca="1" t="array" ref="C108">INDEX(Data_DBD!$C:$C,$A108)</f>
        <v>3</v>
      </c>
      <c r="D108" s="30">
        <f ca="1" t="array" ref="D108">INDEX(Data_DBD!$D:$D,$A108)</f>
        <v>4</v>
      </c>
      <c r="E108" s="30">
        <f ca="1" t="array" ref="E108">INDEX(Data_DBD!$E:$E,$A108)</f>
        <v>1</v>
      </c>
      <c r="F108" s="30">
        <f ca="1" t="array" ref="F108">INDEX(Data_DBD!$F:$F,$A108)</f>
        <v>1</v>
      </c>
      <c r="H108" s="30">
        <v>108</v>
      </c>
      <c r="I108" s="30">
        <v>69</v>
      </c>
      <c r="J108" s="30">
        <v>7</v>
      </c>
      <c r="K108" s="30">
        <v>33</v>
      </c>
      <c r="L108" s="30">
        <v>1</v>
      </c>
      <c r="M108" s="30">
        <v>3</v>
      </c>
    </row>
    <row r="109" spans="1:13">
      <c r="A109" s="30">
        <f ca="1" t="shared" si="1"/>
        <v>17</v>
      </c>
      <c r="B109" s="30">
        <f ca="1" t="array" ref="B109">INDEX(Data_DBD!$B:$B,$A109)</f>
        <v>2</v>
      </c>
      <c r="C109" s="30">
        <f ca="1" t="array" ref="C109">INDEX(Data_DBD!$C:$C,$A109)</f>
        <v>3</v>
      </c>
      <c r="D109" s="30">
        <f ca="1" t="array" ref="D109">INDEX(Data_DBD!$D:$D,$A109)</f>
        <v>7</v>
      </c>
      <c r="E109" s="30">
        <f ca="1" t="array" ref="E109">INDEX(Data_DBD!$E:$E,$A109)</f>
        <v>0</v>
      </c>
      <c r="F109" s="30">
        <f ca="1" t="array" ref="F109">INDEX(Data_DBD!$F:$F,$A109)</f>
        <v>1</v>
      </c>
      <c r="H109" s="30">
        <v>140</v>
      </c>
      <c r="I109" s="30">
        <v>74</v>
      </c>
      <c r="J109" s="30">
        <v>5</v>
      </c>
      <c r="K109" s="30">
        <v>21</v>
      </c>
      <c r="L109" s="30">
        <v>1</v>
      </c>
      <c r="M109" s="30">
        <v>3</v>
      </c>
    </row>
    <row r="110" spans="1:13">
      <c r="A110" s="30">
        <f ca="1" t="shared" si="1"/>
        <v>44</v>
      </c>
      <c r="B110" s="30">
        <f ca="1" t="array" ref="B110">INDEX(Data_DBD!$B:$B,$A110)</f>
        <v>28</v>
      </c>
      <c r="C110" s="30">
        <f ca="1" t="array" ref="C110">INDEX(Data_DBD!$C:$C,$A110)</f>
        <v>5</v>
      </c>
      <c r="D110" s="30">
        <f ca="1" t="array" ref="D110">INDEX(Data_DBD!$D:$D,$A110)</f>
        <v>13</v>
      </c>
      <c r="E110" s="30">
        <f ca="1" t="array" ref="E110">INDEX(Data_DBD!$E:$E,$A110)</f>
        <v>1</v>
      </c>
      <c r="F110" s="30">
        <f ca="1" t="array" ref="F110">INDEX(Data_DBD!$F:$F,$A110)</f>
        <v>2</v>
      </c>
      <c r="H110" s="30">
        <v>141</v>
      </c>
      <c r="I110" s="30">
        <v>36</v>
      </c>
      <c r="J110" s="30">
        <v>2</v>
      </c>
      <c r="K110" s="30">
        <v>21</v>
      </c>
      <c r="L110" s="30">
        <v>0</v>
      </c>
      <c r="M110" s="30">
        <v>3</v>
      </c>
    </row>
    <row r="111" spans="1:13">
      <c r="A111" s="30">
        <f ca="1" t="shared" si="1"/>
        <v>104</v>
      </c>
      <c r="B111" s="30">
        <f ca="1" t="array" ref="B111">INDEX(Data_DBD!$B:$B,$A111)</f>
        <v>37</v>
      </c>
      <c r="C111" s="30">
        <f ca="1" t="array" ref="C111">INDEX(Data_DBD!$C:$C,$A111)</f>
        <v>4</v>
      </c>
      <c r="D111" s="30">
        <f ca="1" t="array" ref="D111">INDEX(Data_DBD!$D:$D,$A111)</f>
        <v>18</v>
      </c>
      <c r="E111" s="30">
        <f ca="1" t="array" ref="E111">INDEX(Data_DBD!$E:$E,$A111)</f>
        <v>1</v>
      </c>
      <c r="F111" s="30">
        <f ca="1" t="array" ref="F111">INDEX(Data_DBD!$F:$F,$A111)</f>
        <v>3</v>
      </c>
      <c r="H111" s="30">
        <v>138</v>
      </c>
      <c r="I111" s="30">
        <v>13</v>
      </c>
      <c r="J111" s="30">
        <v>3</v>
      </c>
      <c r="K111" s="30">
        <v>33</v>
      </c>
      <c r="L111" s="30">
        <v>1</v>
      </c>
      <c r="M111" s="30">
        <v>3</v>
      </c>
    </row>
    <row r="112" spans="1:13">
      <c r="A112" s="30">
        <f ca="1" t="shared" si="1"/>
        <v>26</v>
      </c>
      <c r="B112" s="30">
        <f ca="1" t="array" ref="B112">INDEX(Data_DBD!$B:$B,$A112)</f>
        <v>75</v>
      </c>
      <c r="C112" s="30">
        <f ca="1" t="array" ref="C112">INDEX(Data_DBD!$C:$C,$A112)</f>
        <v>4</v>
      </c>
      <c r="D112" s="30">
        <f ca="1" t="array" ref="D112">INDEX(Data_DBD!$D:$D,$A112)</f>
        <v>14</v>
      </c>
      <c r="E112" s="30">
        <f ca="1" t="array" ref="E112">INDEX(Data_DBD!$E:$E,$A112)</f>
        <v>1</v>
      </c>
      <c r="F112" s="30">
        <f ca="1" t="array" ref="F112">INDEX(Data_DBD!$F:$F,$A112)</f>
        <v>2</v>
      </c>
      <c r="H112" s="30">
        <v>100</v>
      </c>
      <c r="I112" s="30">
        <v>19</v>
      </c>
      <c r="J112" s="30">
        <v>6</v>
      </c>
      <c r="K112" s="30">
        <v>18</v>
      </c>
      <c r="L112" s="30">
        <v>0</v>
      </c>
      <c r="M112" s="30">
        <v>3</v>
      </c>
    </row>
    <row r="113" spans="1:13">
      <c r="A113" s="30">
        <f ca="1" t="shared" si="1"/>
        <v>67</v>
      </c>
      <c r="B113" s="30">
        <f ca="1" t="array" ref="B113">INDEX(Data_DBD!$B:$B,$A113)</f>
        <v>21</v>
      </c>
      <c r="C113" s="30">
        <f ca="1" t="array" ref="C113">INDEX(Data_DBD!$C:$C,$A113)</f>
        <v>3</v>
      </c>
      <c r="D113" s="30">
        <f ca="1" t="array" ref="D113">INDEX(Data_DBD!$D:$D,$A113)</f>
        <v>10</v>
      </c>
      <c r="E113" s="30">
        <f ca="1" t="array" ref="E113">INDEX(Data_DBD!$E:$E,$A113)</f>
        <v>1</v>
      </c>
      <c r="F113" s="30">
        <f ca="1" t="array" ref="F113">INDEX(Data_DBD!$F:$F,$A113)</f>
        <v>2</v>
      </c>
      <c r="H113" s="30">
        <v>53</v>
      </c>
      <c r="I113" s="30">
        <v>35</v>
      </c>
      <c r="J113" s="30">
        <v>4</v>
      </c>
      <c r="K113" s="30">
        <v>15</v>
      </c>
      <c r="L113" s="30">
        <v>1</v>
      </c>
      <c r="M113" s="30">
        <v>2</v>
      </c>
    </row>
    <row r="114" spans="1:13">
      <c r="A114" s="30">
        <f ca="1" t="shared" si="1"/>
        <v>53</v>
      </c>
      <c r="B114" s="30">
        <f ca="1" t="array" ref="B114">INDEX(Data_DBD!$B:$B,$A114)</f>
        <v>35</v>
      </c>
      <c r="C114" s="30">
        <f ca="1" t="array" ref="C114">INDEX(Data_DBD!$C:$C,$A114)</f>
        <v>4</v>
      </c>
      <c r="D114" s="30">
        <f ca="1" t="array" ref="D114">INDEX(Data_DBD!$D:$D,$A114)</f>
        <v>15</v>
      </c>
      <c r="E114" s="30">
        <f ca="1" t="array" ref="E114">INDEX(Data_DBD!$E:$E,$A114)</f>
        <v>1</v>
      </c>
      <c r="F114" s="30">
        <f ca="1" t="array" ref="F114">INDEX(Data_DBD!$F:$F,$A114)</f>
        <v>2</v>
      </c>
      <c r="H114" s="30">
        <v>28</v>
      </c>
      <c r="I114" s="30">
        <v>22</v>
      </c>
      <c r="J114" s="30">
        <v>2</v>
      </c>
      <c r="K114" s="30">
        <v>14</v>
      </c>
      <c r="L114" s="30">
        <v>1</v>
      </c>
      <c r="M114" s="30">
        <v>2</v>
      </c>
    </row>
    <row r="115" spans="1:13">
      <c r="A115" s="30">
        <f ca="1" t="shared" si="1"/>
        <v>64</v>
      </c>
      <c r="B115" s="30">
        <f ca="1" t="array" ref="B115">INDEX(Data_DBD!$B:$B,$A115)</f>
        <v>35</v>
      </c>
      <c r="C115" s="30">
        <f ca="1" t="array" ref="C115">INDEX(Data_DBD!$C:$C,$A115)</f>
        <v>1</v>
      </c>
      <c r="D115" s="30">
        <f ca="1" t="array" ref="D115">INDEX(Data_DBD!$D:$D,$A115)</f>
        <v>15</v>
      </c>
      <c r="E115" s="30">
        <f ca="1" t="array" ref="E115">INDEX(Data_DBD!$E:$E,$A115)</f>
        <v>0</v>
      </c>
      <c r="F115" s="30">
        <f ca="1" t="array" ref="F115">INDEX(Data_DBD!$F:$F,$A115)</f>
        <v>2</v>
      </c>
      <c r="H115" s="30">
        <v>106</v>
      </c>
      <c r="I115" s="30">
        <v>23</v>
      </c>
      <c r="J115" s="30">
        <v>3</v>
      </c>
      <c r="K115" s="30">
        <v>18</v>
      </c>
      <c r="L115" s="30">
        <v>1</v>
      </c>
      <c r="M115" s="30">
        <v>3</v>
      </c>
    </row>
    <row r="116" spans="1:13">
      <c r="A116" s="30">
        <f ca="1" t="shared" si="1"/>
        <v>91</v>
      </c>
      <c r="B116" s="30">
        <f ca="1" t="array" ref="B116">INDEX(Data_DBD!$B:$B,$A116)</f>
        <v>35</v>
      </c>
      <c r="C116" s="30">
        <f ca="1" t="array" ref="C116">INDEX(Data_DBD!$C:$C,$A116)</f>
        <v>1</v>
      </c>
      <c r="D116" s="30">
        <f ca="1" t="array" ref="D116">INDEX(Data_DBD!$D:$D,$A116)</f>
        <v>18</v>
      </c>
      <c r="E116" s="30">
        <f ca="1" t="array" ref="E116">INDEX(Data_DBD!$E:$E,$A116)</f>
        <v>1</v>
      </c>
      <c r="F116" s="30">
        <f ca="1" t="array" ref="F116">INDEX(Data_DBD!$F:$F,$A116)</f>
        <v>3</v>
      </c>
      <c r="H116" s="30">
        <v>73</v>
      </c>
      <c r="I116" s="30">
        <v>15</v>
      </c>
      <c r="J116" s="30">
        <v>3</v>
      </c>
      <c r="K116" s="30">
        <v>10</v>
      </c>
      <c r="L116" s="30">
        <v>1</v>
      </c>
      <c r="M116" s="30">
        <v>2</v>
      </c>
    </row>
    <row r="117" spans="1:13">
      <c r="A117" s="30">
        <f ca="1" t="shared" si="1"/>
        <v>113</v>
      </c>
      <c r="B117" s="30">
        <f ca="1" t="array" ref="B117">INDEX(Data_DBD!$B:$B,$A117)</f>
        <v>69</v>
      </c>
      <c r="C117" s="30">
        <f ca="1" t="array" ref="C117">INDEX(Data_DBD!$C:$C,$A117)</f>
        <v>1</v>
      </c>
      <c r="D117" s="30">
        <f ca="1" t="array" ref="D117">INDEX(Data_DBD!$D:$D,$A117)</f>
        <v>33</v>
      </c>
      <c r="E117" s="30">
        <f ca="1" t="array" ref="E117">INDEX(Data_DBD!$E:$E,$A117)</f>
        <v>1</v>
      </c>
      <c r="F117" s="30">
        <f ca="1" t="array" ref="F117">INDEX(Data_DBD!$F:$F,$A117)</f>
        <v>3</v>
      </c>
      <c r="H117" s="30">
        <v>67</v>
      </c>
      <c r="I117" s="30">
        <v>21</v>
      </c>
      <c r="J117" s="30">
        <v>3</v>
      </c>
      <c r="K117" s="30">
        <v>10</v>
      </c>
      <c r="L117" s="30">
        <v>1</v>
      </c>
      <c r="M117" s="30">
        <v>2</v>
      </c>
    </row>
    <row r="118" spans="1:13">
      <c r="A118" s="30">
        <f ca="1" t="shared" si="1"/>
        <v>31</v>
      </c>
      <c r="B118" s="30">
        <f ca="1" t="array" ref="B118">INDEX(Data_DBD!$B:$B,$A118)</f>
        <v>64</v>
      </c>
      <c r="C118" s="30">
        <f ca="1" t="array" ref="C118">INDEX(Data_DBD!$C:$C,$A118)</f>
        <v>4</v>
      </c>
      <c r="D118" s="30">
        <f ca="1" t="array" ref="D118">INDEX(Data_DBD!$D:$D,$A118)</f>
        <v>14</v>
      </c>
      <c r="E118" s="30">
        <f ca="1" t="array" ref="E118">INDEX(Data_DBD!$E:$E,$A118)</f>
        <v>1</v>
      </c>
      <c r="F118" s="30">
        <f ca="1" t="array" ref="F118">INDEX(Data_DBD!$F:$F,$A118)</f>
        <v>2</v>
      </c>
      <c r="H118" s="30">
        <v>57</v>
      </c>
      <c r="I118" s="30">
        <v>2</v>
      </c>
      <c r="J118" s="30">
        <v>2</v>
      </c>
      <c r="K118" s="30">
        <v>15</v>
      </c>
      <c r="L118" s="30">
        <v>1</v>
      </c>
      <c r="M118" s="30">
        <v>2</v>
      </c>
    </row>
    <row r="119" spans="1:13">
      <c r="A119" s="30">
        <f ca="1" t="shared" si="1"/>
        <v>104</v>
      </c>
      <c r="B119" s="30">
        <f ca="1" t="array" ref="B119">INDEX(Data_DBD!$B:$B,$A119)</f>
        <v>37</v>
      </c>
      <c r="C119" s="30">
        <f ca="1" t="array" ref="C119">INDEX(Data_DBD!$C:$C,$A119)</f>
        <v>4</v>
      </c>
      <c r="D119" s="30">
        <f ca="1" t="array" ref="D119">INDEX(Data_DBD!$D:$D,$A119)</f>
        <v>18</v>
      </c>
      <c r="E119" s="30">
        <f ca="1" t="array" ref="E119">INDEX(Data_DBD!$E:$E,$A119)</f>
        <v>1</v>
      </c>
      <c r="F119" s="30">
        <f ca="1" t="array" ref="F119">INDEX(Data_DBD!$F:$F,$A119)</f>
        <v>3</v>
      </c>
      <c r="H119" s="30">
        <v>139</v>
      </c>
      <c r="I119" s="30">
        <v>52</v>
      </c>
      <c r="J119" s="30">
        <v>7</v>
      </c>
      <c r="K119" s="30">
        <v>21</v>
      </c>
      <c r="L119" s="30">
        <v>0</v>
      </c>
      <c r="M119" s="30">
        <v>3</v>
      </c>
    </row>
    <row r="120" spans="1:13">
      <c r="A120" s="30">
        <f ca="1" t="shared" si="1"/>
        <v>146</v>
      </c>
      <c r="B120" s="30">
        <f ca="1" t="array" ref="B120">INDEX(Data_DBD!$B:$B,$A120)</f>
        <v>34</v>
      </c>
      <c r="C120" s="30">
        <f ca="1" t="array" ref="C120">INDEX(Data_DBD!$C:$C,$A120)</f>
        <v>2</v>
      </c>
      <c r="D120" s="30">
        <f ca="1" t="array" ref="D120">INDEX(Data_DBD!$D:$D,$A120)</f>
        <v>21</v>
      </c>
      <c r="E120" s="30">
        <f ca="1" t="array" ref="E120">INDEX(Data_DBD!$E:$E,$A120)</f>
        <v>1</v>
      </c>
      <c r="F120" s="30">
        <f ca="1" t="array" ref="F120">INDEX(Data_DBD!$F:$F,$A120)</f>
        <v>3</v>
      </c>
      <c r="H120" s="30">
        <v>156</v>
      </c>
      <c r="I120" s="30">
        <v>5</v>
      </c>
      <c r="J120" s="30">
        <v>2</v>
      </c>
      <c r="K120" s="30">
        <v>21</v>
      </c>
      <c r="L120" s="30">
        <v>0</v>
      </c>
      <c r="M120" s="30">
        <v>3</v>
      </c>
    </row>
    <row r="121" spans="1:13">
      <c r="A121" s="30">
        <f ca="1" t="shared" si="1"/>
        <v>55</v>
      </c>
      <c r="B121" s="30">
        <f ca="1" t="array" ref="B121">INDEX(Data_DBD!$B:$B,$A121)</f>
        <v>7</v>
      </c>
      <c r="C121" s="30">
        <f ca="1" t="array" ref="C121">INDEX(Data_DBD!$C:$C,$A121)</f>
        <v>4</v>
      </c>
      <c r="D121" s="30">
        <f ca="1" t="array" ref="D121">INDEX(Data_DBD!$D:$D,$A121)</f>
        <v>15</v>
      </c>
      <c r="E121" s="30">
        <f ca="1" t="array" ref="E121">INDEX(Data_DBD!$E:$E,$A121)</f>
        <v>1</v>
      </c>
      <c r="F121" s="30">
        <f ca="1" t="array" ref="F121">INDEX(Data_DBD!$F:$F,$A121)</f>
        <v>2</v>
      </c>
      <c r="H121" s="30">
        <v>66</v>
      </c>
      <c r="I121" s="30">
        <v>21</v>
      </c>
      <c r="J121" s="30">
        <v>5</v>
      </c>
      <c r="K121" s="30">
        <v>15</v>
      </c>
      <c r="L121" s="30">
        <v>1</v>
      </c>
      <c r="M121" s="30">
        <v>2</v>
      </c>
    </row>
    <row r="122" spans="1:13">
      <c r="A122" s="30">
        <f ca="1" t="shared" si="1"/>
        <v>61</v>
      </c>
      <c r="B122" s="30">
        <f ca="1" t="array" ref="B122">INDEX(Data_DBD!$B:$B,$A122)</f>
        <v>29</v>
      </c>
      <c r="C122" s="30">
        <f ca="1" t="array" ref="C122">INDEX(Data_DBD!$C:$C,$A122)</f>
        <v>3</v>
      </c>
      <c r="D122" s="30">
        <f ca="1" t="array" ref="D122">INDEX(Data_DBD!$D:$D,$A122)</f>
        <v>15</v>
      </c>
      <c r="E122" s="30">
        <f ca="1" t="array" ref="E122">INDEX(Data_DBD!$E:$E,$A122)</f>
        <v>1</v>
      </c>
      <c r="F122" s="30">
        <f ca="1" t="array" ref="F122">INDEX(Data_DBD!$F:$F,$A122)</f>
        <v>2</v>
      </c>
      <c r="H122" s="30">
        <v>13</v>
      </c>
      <c r="I122" s="30">
        <v>47</v>
      </c>
      <c r="J122" s="30">
        <v>2</v>
      </c>
      <c r="K122" s="30">
        <v>12</v>
      </c>
      <c r="L122" s="30">
        <v>0</v>
      </c>
      <c r="M122" s="30">
        <v>2</v>
      </c>
    </row>
    <row r="123" spans="1:13">
      <c r="A123" s="30">
        <f ca="1" t="shared" si="1"/>
        <v>56</v>
      </c>
      <c r="B123" s="30">
        <f ca="1" t="array" ref="B123">INDEX(Data_DBD!$B:$B,$A123)</f>
        <v>4</v>
      </c>
      <c r="C123" s="30">
        <f ca="1" t="array" ref="C123">INDEX(Data_DBD!$C:$C,$A123)</f>
        <v>3</v>
      </c>
      <c r="D123" s="30">
        <f ca="1" t="array" ref="D123">INDEX(Data_DBD!$D:$D,$A123)</f>
        <v>15</v>
      </c>
      <c r="E123" s="30">
        <f ca="1" t="array" ref="E123">INDEX(Data_DBD!$E:$E,$A123)</f>
        <v>0</v>
      </c>
      <c r="F123" s="30">
        <f ca="1" t="array" ref="F123">INDEX(Data_DBD!$F:$F,$A123)</f>
        <v>2</v>
      </c>
      <c r="H123" s="30">
        <v>74</v>
      </c>
      <c r="I123" s="30">
        <v>9</v>
      </c>
      <c r="J123" s="30">
        <v>4</v>
      </c>
      <c r="K123" s="30">
        <v>10</v>
      </c>
      <c r="L123" s="30">
        <v>0</v>
      </c>
      <c r="M123" s="30">
        <v>2</v>
      </c>
    </row>
    <row r="124" spans="1:13">
      <c r="A124" s="30">
        <f ca="1" t="shared" si="1"/>
        <v>57</v>
      </c>
      <c r="B124" s="30">
        <f ca="1" t="array" ref="B124">INDEX(Data_DBD!$B:$B,$A124)</f>
        <v>2</v>
      </c>
      <c r="C124" s="30">
        <f ca="1" t="array" ref="C124">INDEX(Data_DBD!$C:$C,$A124)</f>
        <v>2</v>
      </c>
      <c r="D124" s="30">
        <f ca="1" t="array" ref="D124">INDEX(Data_DBD!$D:$D,$A124)</f>
        <v>15</v>
      </c>
      <c r="E124" s="30">
        <f ca="1" t="array" ref="E124">INDEX(Data_DBD!$E:$E,$A124)</f>
        <v>1</v>
      </c>
      <c r="F124" s="30">
        <f ca="1" t="array" ref="F124">INDEX(Data_DBD!$F:$F,$A124)</f>
        <v>2</v>
      </c>
      <c r="H124" s="30">
        <v>56</v>
      </c>
      <c r="I124" s="30">
        <v>4</v>
      </c>
      <c r="J124" s="30">
        <v>3</v>
      </c>
      <c r="K124" s="30">
        <v>15</v>
      </c>
      <c r="L124" s="30">
        <v>0</v>
      </c>
      <c r="M124" s="30">
        <v>2</v>
      </c>
    </row>
    <row r="125" spans="1:13">
      <c r="A125" s="30">
        <f ca="1" t="shared" si="1"/>
        <v>161</v>
      </c>
      <c r="B125" s="30">
        <f ca="1" t="array" ref="B125">INDEX(Data_DBD!$B:$B,$A125)</f>
        <v>12</v>
      </c>
      <c r="C125" s="30">
        <f ca="1" t="array" ref="C125">INDEX(Data_DBD!$C:$C,$A125)</f>
        <v>3</v>
      </c>
      <c r="D125" s="30">
        <f ca="1" t="array" ref="D125">INDEX(Data_DBD!$D:$D,$A125)</f>
        <v>21</v>
      </c>
      <c r="E125" s="30">
        <f ca="1" t="array" ref="E125">INDEX(Data_DBD!$E:$E,$A125)</f>
        <v>1</v>
      </c>
      <c r="F125" s="30">
        <f ca="1" t="array" ref="F125">INDEX(Data_DBD!$F:$F,$A125)</f>
        <v>3</v>
      </c>
      <c r="H125" s="30">
        <v>134</v>
      </c>
      <c r="I125" s="30">
        <v>4</v>
      </c>
      <c r="J125" s="30">
        <v>2</v>
      </c>
      <c r="K125" s="30">
        <v>33</v>
      </c>
      <c r="L125" s="30">
        <v>1</v>
      </c>
      <c r="M125" s="30">
        <v>3</v>
      </c>
    </row>
    <row r="126" spans="1:13">
      <c r="A126" s="30">
        <f ca="1" t="shared" si="1"/>
        <v>85</v>
      </c>
      <c r="B126" s="30">
        <f ca="1" t="array" ref="B126">INDEX(Data_DBD!$B:$B,$A126)</f>
        <v>27</v>
      </c>
      <c r="C126" s="30">
        <f ca="1" t="array" ref="C126">INDEX(Data_DBD!$C:$C,$A126)</f>
        <v>9</v>
      </c>
      <c r="D126" s="30">
        <f ca="1" t="array" ref="D126">INDEX(Data_DBD!$D:$D,$A126)</f>
        <v>13</v>
      </c>
      <c r="E126" s="30">
        <f ca="1" t="array" ref="E126">INDEX(Data_DBD!$E:$E,$A126)</f>
        <v>0</v>
      </c>
      <c r="F126" s="30">
        <f ca="1" t="array" ref="F126">INDEX(Data_DBD!$F:$F,$A126)</f>
        <v>2</v>
      </c>
      <c r="H126" s="30">
        <v>111</v>
      </c>
      <c r="I126" s="30">
        <v>25</v>
      </c>
      <c r="J126" s="30">
        <v>4</v>
      </c>
      <c r="K126" s="30">
        <v>33</v>
      </c>
      <c r="L126" s="30">
        <v>0</v>
      </c>
      <c r="M126" s="30">
        <v>3</v>
      </c>
    </row>
    <row r="127" spans="1:13">
      <c r="A127" s="30">
        <f ca="1" t="shared" si="1"/>
        <v>48</v>
      </c>
      <c r="B127" s="30">
        <f ca="1" t="array" ref="B127">INDEX(Data_DBD!$B:$B,$A127)</f>
        <v>50</v>
      </c>
      <c r="C127" s="30">
        <f ca="1" t="array" ref="C127">INDEX(Data_DBD!$C:$C,$A127)</f>
        <v>5</v>
      </c>
      <c r="D127" s="30">
        <f ca="1" t="array" ref="D127">INDEX(Data_DBD!$D:$D,$A127)</f>
        <v>13</v>
      </c>
      <c r="E127" s="30">
        <f ca="1" t="array" ref="E127">INDEX(Data_DBD!$E:$E,$A127)</f>
        <v>1</v>
      </c>
      <c r="F127" s="30">
        <f ca="1" t="array" ref="F127">INDEX(Data_DBD!$F:$F,$A127)</f>
        <v>2</v>
      </c>
      <c r="H127" s="30">
        <v>71</v>
      </c>
      <c r="I127" s="30">
        <v>84</v>
      </c>
      <c r="J127" s="30">
        <v>3</v>
      </c>
      <c r="K127" s="30">
        <v>10</v>
      </c>
      <c r="L127" s="30">
        <v>0</v>
      </c>
      <c r="M127" s="30">
        <v>2</v>
      </c>
    </row>
    <row r="128" spans="1:13">
      <c r="A128" s="30">
        <f ca="1" t="shared" si="1"/>
        <v>54</v>
      </c>
      <c r="B128" s="30">
        <f ca="1" t="array" ref="B128">INDEX(Data_DBD!$B:$B,$A128)</f>
        <v>7</v>
      </c>
      <c r="C128" s="30">
        <f ca="1" t="array" ref="C128">INDEX(Data_DBD!$C:$C,$A128)</f>
        <v>3</v>
      </c>
      <c r="D128" s="30">
        <f ca="1" t="array" ref="D128">INDEX(Data_DBD!$D:$D,$A128)</f>
        <v>15</v>
      </c>
      <c r="E128" s="30">
        <f ca="1" t="array" ref="E128">INDEX(Data_DBD!$E:$E,$A128)</f>
        <v>0</v>
      </c>
      <c r="F128" s="30">
        <f ca="1" t="array" ref="F128">INDEX(Data_DBD!$F:$F,$A128)</f>
        <v>2</v>
      </c>
      <c r="H128" s="30">
        <v>35</v>
      </c>
      <c r="I128" s="30">
        <v>40</v>
      </c>
      <c r="J128" s="30">
        <v>3</v>
      </c>
      <c r="K128" s="30">
        <v>4</v>
      </c>
      <c r="L128" s="30">
        <v>1</v>
      </c>
      <c r="M128" s="30">
        <v>1</v>
      </c>
    </row>
    <row r="129" spans="1:13">
      <c r="A129" s="30">
        <f ca="1" t="shared" si="1"/>
        <v>42</v>
      </c>
      <c r="B129" s="30">
        <f ca="1" t="array" ref="B129">INDEX(Data_DBD!$B:$B,$A129)</f>
        <v>21</v>
      </c>
      <c r="C129" s="30">
        <f ca="1" t="array" ref="C129">INDEX(Data_DBD!$C:$C,$A129)</f>
        <v>5</v>
      </c>
      <c r="D129" s="30">
        <f ca="1" t="array" ref="D129">INDEX(Data_DBD!$D:$D,$A129)</f>
        <v>13</v>
      </c>
      <c r="E129" s="30">
        <f ca="1" t="array" ref="E129">INDEX(Data_DBD!$E:$E,$A129)</f>
        <v>1</v>
      </c>
      <c r="F129" s="30">
        <f ca="1" t="array" ref="F129">INDEX(Data_DBD!$F:$F,$A129)</f>
        <v>2</v>
      </c>
      <c r="H129" s="30">
        <v>4</v>
      </c>
      <c r="I129" s="30">
        <v>23</v>
      </c>
      <c r="J129" s="30">
        <v>5</v>
      </c>
      <c r="K129" s="30">
        <v>12</v>
      </c>
      <c r="L129" s="30">
        <v>0</v>
      </c>
      <c r="M129" s="30">
        <v>2</v>
      </c>
    </row>
    <row r="130" spans="1:13">
      <c r="A130" s="30">
        <f ca="1" t="shared" si="1"/>
        <v>54</v>
      </c>
      <c r="B130" s="30">
        <f ca="1" t="array" ref="B130">INDEX(Data_DBD!$B:$B,$A130)</f>
        <v>7</v>
      </c>
      <c r="C130" s="30">
        <f ca="1" t="array" ref="C130">INDEX(Data_DBD!$C:$C,$A130)</f>
        <v>3</v>
      </c>
      <c r="D130" s="30">
        <f ca="1" t="array" ref="D130">INDEX(Data_DBD!$D:$D,$A130)</f>
        <v>15</v>
      </c>
      <c r="E130" s="30">
        <f ca="1" t="array" ref="E130">INDEX(Data_DBD!$E:$E,$A130)</f>
        <v>0</v>
      </c>
      <c r="F130" s="30">
        <f ca="1" t="array" ref="F130">INDEX(Data_DBD!$F:$F,$A130)</f>
        <v>2</v>
      </c>
      <c r="H130" s="30">
        <v>45</v>
      </c>
      <c r="I130" s="30">
        <v>75</v>
      </c>
      <c r="J130" s="30">
        <v>3</v>
      </c>
      <c r="K130" s="30">
        <v>13</v>
      </c>
      <c r="L130" s="30">
        <v>1</v>
      </c>
      <c r="M130" s="30">
        <v>2</v>
      </c>
    </row>
    <row r="131" spans="1:13">
      <c r="A131" s="30">
        <f ca="1" t="shared" ref="A131:A164" si="2">RANDBETWEEN(2,164)</f>
        <v>5</v>
      </c>
      <c r="B131" s="30">
        <f ca="1" t="array" ref="B131">INDEX(Data_DBD!$B:$B,$A131)</f>
        <v>18</v>
      </c>
      <c r="C131" s="30">
        <f ca="1" t="array" ref="C131">INDEX(Data_DBD!$C:$C,$A131)</f>
        <v>2</v>
      </c>
      <c r="D131" s="30">
        <f ca="1" t="array" ref="D131">INDEX(Data_DBD!$D:$D,$A131)</f>
        <v>12</v>
      </c>
      <c r="E131" s="30">
        <f ca="1" t="array" ref="E131">INDEX(Data_DBD!$E:$E,$A131)</f>
        <v>1</v>
      </c>
      <c r="F131" s="30">
        <f ca="1" t="array" ref="F131">INDEX(Data_DBD!$F:$F,$A131)</f>
        <v>2</v>
      </c>
      <c r="H131" s="30">
        <v>38</v>
      </c>
      <c r="I131" s="30">
        <v>52</v>
      </c>
      <c r="J131" s="30">
        <v>3</v>
      </c>
      <c r="K131" s="30">
        <v>4</v>
      </c>
      <c r="L131" s="30">
        <v>1</v>
      </c>
      <c r="M131" s="30">
        <v>1</v>
      </c>
    </row>
    <row r="132" spans="1:13">
      <c r="A132" s="30">
        <f ca="1" t="shared" si="2"/>
        <v>42</v>
      </c>
      <c r="B132" s="30">
        <f ca="1" t="array" ref="B132">INDEX(Data_DBD!$B:$B,$A132)</f>
        <v>21</v>
      </c>
      <c r="C132" s="30">
        <f ca="1" t="array" ref="C132">INDEX(Data_DBD!$C:$C,$A132)</f>
        <v>5</v>
      </c>
      <c r="D132" s="30">
        <f ca="1" t="array" ref="D132">INDEX(Data_DBD!$D:$D,$A132)</f>
        <v>13</v>
      </c>
      <c r="E132" s="30">
        <f ca="1" t="array" ref="E132">INDEX(Data_DBD!$E:$E,$A132)</f>
        <v>1</v>
      </c>
      <c r="F132" s="30">
        <f ca="1" t="array" ref="F132">INDEX(Data_DBD!$F:$F,$A132)</f>
        <v>2</v>
      </c>
      <c r="H132" s="30">
        <v>8</v>
      </c>
      <c r="I132" s="30">
        <v>4</v>
      </c>
      <c r="J132" s="30">
        <v>2</v>
      </c>
      <c r="K132" s="30">
        <v>12</v>
      </c>
      <c r="L132" s="30">
        <v>0</v>
      </c>
      <c r="M132" s="30">
        <v>2</v>
      </c>
    </row>
    <row r="133" spans="1:13">
      <c r="A133" s="30">
        <f ca="1" t="shared" si="2"/>
        <v>48</v>
      </c>
      <c r="B133" s="30">
        <f ca="1" t="array" ref="B133">INDEX(Data_DBD!$B:$B,$A133)</f>
        <v>50</v>
      </c>
      <c r="C133" s="30">
        <f ca="1" t="array" ref="C133">INDEX(Data_DBD!$C:$C,$A133)</f>
        <v>5</v>
      </c>
      <c r="D133" s="30">
        <f ca="1" t="array" ref="D133">INDEX(Data_DBD!$D:$D,$A133)</f>
        <v>13</v>
      </c>
      <c r="E133" s="30">
        <f ca="1" t="array" ref="E133">INDEX(Data_DBD!$E:$E,$A133)</f>
        <v>1</v>
      </c>
      <c r="F133" s="30">
        <f ca="1" t="array" ref="F133">INDEX(Data_DBD!$F:$F,$A133)</f>
        <v>2</v>
      </c>
      <c r="H133" s="30">
        <v>144</v>
      </c>
      <c r="I133" s="30">
        <v>61</v>
      </c>
      <c r="J133" s="30">
        <v>4</v>
      </c>
      <c r="K133" s="30">
        <v>21</v>
      </c>
      <c r="L133" s="30">
        <v>1</v>
      </c>
      <c r="M133" s="30">
        <v>3</v>
      </c>
    </row>
    <row r="134" spans="1:13">
      <c r="A134" s="30">
        <f ca="1" t="shared" si="2"/>
        <v>115</v>
      </c>
      <c r="B134" s="30">
        <f ca="1" t="array" ref="B134">INDEX(Data_DBD!$B:$B,$A134)</f>
        <v>52</v>
      </c>
      <c r="C134" s="30">
        <f ca="1" t="array" ref="C134">INDEX(Data_DBD!$C:$C,$A134)</f>
        <v>3</v>
      </c>
      <c r="D134" s="30">
        <f ca="1" t="array" ref="D134">INDEX(Data_DBD!$D:$D,$A134)</f>
        <v>33</v>
      </c>
      <c r="E134" s="30">
        <f ca="1" t="array" ref="E134">INDEX(Data_DBD!$E:$E,$A134)</f>
        <v>1</v>
      </c>
      <c r="F134" s="30">
        <f ca="1" t="array" ref="F134">INDEX(Data_DBD!$F:$F,$A134)</f>
        <v>3</v>
      </c>
      <c r="H134" s="30">
        <v>118</v>
      </c>
      <c r="I134" s="30">
        <v>67</v>
      </c>
      <c r="J134" s="30">
        <v>4</v>
      </c>
      <c r="K134" s="30">
        <v>33</v>
      </c>
      <c r="L134" s="30">
        <v>1</v>
      </c>
      <c r="M134" s="30">
        <v>3</v>
      </c>
    </row>
    <row r="135" spans="1:13">
      <c r="A135" s="30">
        <f ca="1" t="shared" si="2"/>
        <v>162</v>
      </c>
      <c r="B135" s="30">
        <f ca="1" t="array" ref="B135">INDEX(Data_DBD!$B:$B,$A135)</f>
        <v>22</v>
      </c>
      <c r="C135" s="30">
        <f ca="1" t="array" ref="C135">INDEX(Data_DBD!$C:$C,$A135)</f>
        <v>3</v>
      </c>
      <c r="D135" s="30">
        <f ca="1" t="array" ref="D135">INDEX(Data_DBD!$D:$D,$A135)</f>
        <v>3</v>
      </c>
      <c r="E135" s="30">
        <f ca="1" t="array" ref="E135">INDEX(Data_DBD!$E:$E,$A135)</f>
        <v>1</v>
      </c>
      <c r="F135" s="30">
        <f ca="1" t="array" ref="F135">INDEX(Data_DBD!$F:$F,$A135)</f>
        <v>1</v>
      </c>
      <c r="H135" s="30">
        <v>122</v>
      </c>
      <c r="I135" s="30">
        <v>28</v>
      </c>
      <c r="J135" s="30">
        <v>3</v>
      </c>
      <c r="K135" s="30">
        <v>33</v>
      </c>
      <c r="L135" s="30">
        <v>1</v>
      </c>
      <c r="M135" s="30">
        <v>3</v>
      </c>
    </row>
    <row r="136" spans="1:13">
      <c r="A136" s="30">
        <f ca="1" t="shared" si="2"/>
        <v>106</v>
      </c>
      <c r="B136" s="30">
        <f ca="1" t="array" ref="B136">INDEX(Data_DBD!$B:$B,$A136)</f>
        <v>23</v>
      </c>
      <c r="C136" s="30">
        <f ca="1" t="array" ref="C136">INDEX(Data_DBD!$C:$C,$A136)</f>
        <v>3</v>
      </c>
      <c r="D136" s="30">
        <f ca="1" t="array" ref="D136">INDEX(Data_DBD!$D:$D,$A136)</f>
        <v>18</v>
      </c>
      <c r="E136" s="30">
        <f ca="1" t="array" ref="E136">INDEX(Data_DBD!$E:$E,$A136)</f>
        <v>1</v>
      </c>
      <c r="F136" s="30">
        <f ca="1" t="array" ref="F136">INDEX(Data_DBD!$F:$F,$A136)</f>
        <v>3</v>
      </c>
      <c r="H136" s="30">
        <v>87</v>
      </c>
      <c r="I136" s="30">
        <v>21</v>
      </c>
      <c r="J136" s="30">
        <v>3</v>
      </c>
      <c r="K136" s="30">
        <v>13</v>
      </c>
      <c r="L136" s="30">
        <v>0</v>
      </c>
      <c r="M136" s="30">
        <v>2</v>
      </c>
    </row>
    <row r="137" spans="1:13">
      <c r="A137" s="30">
        <f ca="1" t="shared" si="2"/>
        <v>27</v>
      </c>
      <c r="B137" s="30">
        <f ca="1" t="array" ref="B137">INDEX(Data_DBD!$B:$B,$A137)</f>
        <v>37</v>
      </c>
      <c r="C137" s="30">
        <f ca="1" t="array" ref="C137">INDEX(Data_DBD!$C:$C,$A137)</f>
        <v>4</v>
      </c>
      <c r="D137" s="30">
        <f ca="1" t="array" ref="D137">INDEX(Data_DBD!$D:$D,$A137)</f>
        <v>14</v>
      </c>
      <c r="E137" s="30">
        <f ca="1" t="array" ref="E137">INDEX(Data_DBD!$E:$E,$A137)</f>
        <v>1</v>
      </c>
      <c r="F137" s="30">
        <f ca="1" t="array" ref="F137">INDEX(Data_DBD!$F:$F,$A137)</f>
        <v>2</v>
      </c>
      <c r="H137" s="30">
        <v>77</v>
      </c>
      <c r="I137" s="30">
        <v>16</v>
      </c>
      <c r="J137" s="30">
        <v>4</v>
      </c>
      <c r="K137" s="30">
        <v>13</v>
      </c>
      <c r="L137" s="30">
        <v>1</v>
      </c>
      <c r="M137" s="30">
        <v>2</v>
      </c>
    </row>
    <row r="138" spans="1:13">
      <c r="A138" s="30">
        <f ca="1" t="shared" si="2"/>
        <v>135</v>
      </c>
      <c r="B138" s="30">
        <f ca="1" t="array" ref="B138">INDEX(Data_DBD!$B:$B,$A138)</f>
        <v>10</v>
      </c>
      <c r="C138" s="30">
        <f ca="1" t="array" ref="C138">INDEX(Data_DBD!$C:$C,$A138)</f>
        <v>2</v>
      </c>
      <c r="D138" s="30">
        <f ca="1" t="array" ref="D138">INDEX(Data_DBD!$D:$D,$A138)</f>
        <v>33</v>
      </c>
      <c r="E138" s="30">
        <f ca="1" t="array" ref="E138">INDEX(Data_DBD!$E:$E,$A138)</f>
        <v>0</v>
      </c>
      <c r="F138" s="30">
        <f ca="1" t="array" ref="F138">INDEX(Data_DBD!$F:$F,$A138)</f>
        <v>3</v>
      </c>
      <c r="H138" s="30">
        <v>74</v>
      </c>
      <c r="I138" s="30">
        <v>9</v>
      </c>
      <c r="J138" s="30">
        <v>4</v>
      </c>
      <c r="K138" s="30">
        <v>10</v>
      </c>
      <c r="L138" s="30">
        <v>0</v>
      </c>
      <c r="M138" s="30">
        <v>2</v>
      </c>
    </row>
    <row r="139" spans="1:13">
      <c r="A139" s="30">
        <f ca="1" t="shared" si="2"/>
        <v>35</v>
      </c>
      <c r="B139" s="30">
        <f ca="1" t="array" ref="B139">INDEX(Data_DBD!$B:$B,$A139)</f>
        <v>40</v>
      </c>
      <c r="C139" s="30">
        <f ca="1" t="array" ref="C139">INDEX(Data_DBD!$C:$C,$A139)</f>
        <v>3</v>
      </c>
      <c r="D139" s="30">
        <f ca="1" t="array" ref="D139">INDEX(Data_DBD!$D:$D,$A139)</f>
        <v>4</v>
      </c>
      <c r="E139" s="30">
        <f ca="1" t="array" ref="E139">INDEX(Data_DBD!$E:$E,$A139)</f>
        <v>1</v>
      </c>
      <c r="F139" s="30">
        <f ca="1" t="array" ref="F139">INDEX(Data_DBD!$F:$F,$A139)</f>
        <v>1</v>
      </c>
      <c r="H139" s="30">
        <v>111</v>
      </c>
      <c r="I139" s="30">
        <v>25</v>
      </c>
      <c r="J139" s="30">
        <v>4</v>
      </c>
      <c r="K139" s="30">
        <v>33</v>
      </c>
      <c r="L139" s="30">
        <v>0</v>
      </c>
      <c r="M139" s="30">
        <v>3</v>
      </c>
    </row>
    <row r="140" spans="1:13">
      <c r="A140" s="30">
        <f ca="1" t="shared" si="2"/>
        <v>145</v>
      </c>
      <c r="B140" s="30">
        <f ca="1" t="array" ref="B140">INDEX(Data_DBD!$B:$B,$A140)</f>
        <v>28</v>
      </c>
      <c r="C140" s="30">
        <f ca="1" t="array" ref="C140">INDEX(Data_DBD!$C:$C,$A140)</f>
        <v>4</v>
      </c>
      <c r="D140" s="30">
        <f ca="1" t="array" ref="D140">INDEX(Data_DBD!$D:$D,$A140)</f>
        <v>21</v>
      </c>
      <c r="E140" s="30">
        <f ca="1" t="array" ref="E140">INDEX(Data_DBD!$E:$E,$A140)</f>
        <v>1</v>
      </c>
      <c r="F140" s="30">
        <f ca="1" t="array" ref="F140">INDEX(Data_DBD!$F:$F,$A140)</f>
        <v>3</v>
      </c>
      <c r="H140" s="30">
        <v>25</v>
      </c>
      <c r="I140" s="30">
        <v>81</v>
      </c>
      <c r="J140" s="30">
        <v>5</v>
      </c>
      <c r="K140" s="30">
        <v>14</v>
      </c>
      <c r="L140" s="30">
        <v>0</v>
      </c>
      <c r="M140" s="30">
        <v>2</v>
      </c>
    </row>
    <row r="141" spans="1:13">
      <c r="A141" s="30">
        <f ca="1" t="shared" si="2"/>
        <v>24</v>
      </c>
      <c r="B141" s="30">
        <f ca="1" t="array" ref="B141">INDEX(Data_DBD!$B:$B,$A141)</f>
        <v>60</v>
      </c>
      <c r="C141" s="30">
        <f ca="1" t="array" ref="C141">INDEX(Data_DBD!$C:$C,$A141)</f>
        <v>4</v>
      </c>
      <c r="D141" s="30">
        <f ca="1" t="array" ref="D141">INDEX(Data_DBD!$D:$D,$A141)</f>
        <v>14</v>
      </c>
      <c r="E141" s="30">
        <f ca="1" t="array" ref="E141">INDEX(Data_DBD!$E:$E,$A141)</f>
        <v>0</v>
      </c>
      <c r="F141" s="30">
        <f ca="1" t="array" ref="F141">INDEX(Data_DBD!$F:$F,$A141)</f>
        <v>2</v>
      </c>
      <c r="H141" s="30">
        <v>151</v>
      </c>
      <c r="I141" s="30">
        <v>24</v>
      </c>
      <c r="J141" s="30">
        <v>3</v>
      </c>
      <c r="K141" s="30">
        <v>21</v>
      </c>
      <c r="L141" s="30">
        <v>0</v>
      </c>
      <c r="M141" s="30">
        <v>3</v>
      </c>
    </row>
    <row r="142" spans="1:13">
      <c r="A142" s="30">
        <f ca="1" t="shared" si="2"/>
        <v>160</v>
      </c>
      <c r="B142" s="30">
        <f ca="1" t="array" ref="B142">INDEX(Data_DBD!$B:$B,$A142)</f>
        <v>16</v>
      </c>
      <c r="C142" s="30">
        <f ca="1" t="array" ref="C142">INDEX(Data_DBD!$C:$C,$A142)</f>
        <v>3</v>
      </c>
      <c r="D142" s="30">
        <f ca="1" t="array" ref="D142">INDEX(Data_DBD!$D:$D,$A142)</f>
        <v>21</v>
      </c>
      <c r="E142" s="30">
        <f ca="1" t="array" ref="E142">INDEX(Data_DBD!$E:$E,$A142)</f>
        <v>0</v>
      </c>
      <c r="F142" s="30">
        <f ca="1" t="array" ref="F142">INDEX(Data_DBD!$F:$F,$A142)</f>
        <v>3</v>
      </c>
      <c r="H142" s="30">
        <v>17</v>
      </c>
      <c r="I142" s="30">
        <v>2</v>
      </c>
      <c r="J142" s="30">
        <v>3</v>
      </c>
      <c r="K142" s="30">
        <v>7</v>
      </c>
      <c r="L142" s="30">
        <v>0</v>
      </c>
      <c r="M142" s="30">
        <v>1</v>
      </c>
    </row>
    <row r="143" spans="1:13">
      <c r="A143" s="30">
        <f ca="1" t="shared" si="2"/>
        <v>67</v>
      </c>
      <c r="B143" s="30">
        <f ca="1" t="array" ref="B143">INDEX(Data_DBD!$B:$B,$A143)</f>
        <v>21</v>
      </c>
      <c r="C143" s="30">
        <f ca="1" t="array" ref="C143">INDEX(Data_DBD!$C:$C,$A143)</f>
        <v>3</v>
      </c>
      <c r="D143" s="30">
        <f ca="1" t="array" ref="D143">INDEX(Data_DBD!$D:$D,$A143)</f>
        <v>10</v>
      </c>
      <c r="E143" s="30">
        <f ca="1" t="array" ref="E143">INDEX(Data_DBD!$E:$E,$A143)</f>
        <v>1</v>
      </c>
      <c r="F143" s="30">
        <f ca="1" t="array" ref="F143">INDEX(Data_DBD!$F:$F,$A143)</f>
        <v>2</v>
      </c>
      <c r="H143" s="30">
        <v>164</v>
      </c>
      <c r="I143" s="30">
        <v>10</v>
      </c>
      <c r="J143" s="30">
        <v>6</v>
      </c>
      <c r="K143" s="30">
        <v>3</v>
      </c>
      <c r="L143" s="30">
        <v>0</v>
      </c>
      <c r="M143" s="30">
        <v>1</v>
      </c>
    </row>
    <row r="144" spans="1:13">
      <c r="A144" s="30">
        <f ca="1" t="shared" si="2"/>
        <v>145</v>
      </c>
      <c r="B144" s="30">
        <f ca="1" t="array" ref="B144">INDEX(Data_DBD!$B:$B,$A144)</f>
        <v>28</v>
      </c>
      <c r="C144" s="30">
        <f ca="1" t="array" ref="C144">INDEX(Data_DBD!$C:$C,$A144)</f>
        <v>4</v>
      </c>
      <c r="D144" s="30">
        <f ca="1" t="array" ref="D144">INDEX(Data_DBD!$D:$D,$A144)</f>
        <v>21</v>
      </c>
      <c r="E144" s="30">
        <f ca="1" t="array" ref="E144">INDEX(Data_DBD!$E:$E,$A144)</f>
        <v>1</v>
      </c>
      <c r="F144" s="30">
        <f ca="1" t="array" ref="F144">INDEX(Data_DBD!$F:$F,$A144)</f>
        <v>3</v>
      </c>
      <c r="H144" s="30">
        <v>137</v>
      </c>
      <c r="I144" s="30">
        <v>3.5</v>
      </c>
      <c r="J144" s="30">
        <v>1</v>
      </c>
      <c r="K144" s="30">
        <v>33</v>
      </c>
      <c r="L144" s="30">
        <v>1</v>
      </c>
      <c r="M144" s="30">
        <v>3</v>
      </c>
    </row>
    <row r="145" spans="1:13">
      <c r="A145" s="30">
        <f ca="1" t="shared" si="2"/>
        <v>24</v>
      </c>
      <c r="B145" s="30">
        <f ca="1" t="array" ref="B145">INDEX(Data_DBD!$B:$B,$A145)</f>
        <v>60</v>
      </c>
      <c r="C145" s="30">
        <f ca="1" t="array" ref="C145">INDEX(Data_DBD!$C:$C,$A145)</f>
        <v>4</v>
      </c>
      <c r="D145" s="30">
        <f ca="1" t="array" ref="D145">INDEX(Data_DBD!$D:$D,$A145)</f>
        <v>14</v>
      </c>
      <c r="E145" s="30">
        <f ca="1" t="array" ref="E145">INDEX(Data_DBD!$E:$E,$A145)</f>
        <v>0</v>
      </c>
      <c r="F145" s="30">
        <f ca="1" t="array" ref="F145">INDEX(Data_DBD!$F:$F,$A145)</f>
        <v>2</v>
      </c>
      <c r="H145" s="30">
        <v>120</v>
      </c>
      <c r="I145" s="30">
        <v>26</v>
      </c>
      <c r="J145" s="30">
        <v>4</v>
      </c>
      <c r="K145" s="30">
        <v>33</v>
      </c>
      <c r="L145" s="30">
        <v>1</v>
      </c>
      <c r="M145" s="30">
        <v>3</v>
      </c>
    </row>
    <row r="146" spans="1:13">
      <c r="A146" s="30">
        <f ca="1" t="shared" si="2"/>
        <v>12</v>
      </c>
      <c r="B146" s="30">
        <f ca="1" t="array" ref="B146">INDEX(Data_DBD!$B:$B,$A146)</f>
        <v>23</v>
      </c>
      <c r="C146" s="30">
        <f ca="1" t="array" ref="C146">INDEX(Data_DBD!$C:$C,$A146)</f>
        <v>3</v>
      </c>
      <c r="D146" s="30">
        <f ca="1" t="array" ref="D146">INDEX(Data_DBD!$D:$D,$A146)</f>
        <v>12</v>
      </c>
      <c r="E146" s="30">
        <f ca="1" t="array" ref="E146">INDEX(Data_DBD!$E:$E,$A146)</f>
        <v>0</v>
      </c>
      <c r="F146" s="30">
        <f ca="1" t="array" ref="F146">INDEX(Data_DBD!$F:$F,$A146)</f>
        <v>2</v>
      </c>
      <c r="H146" s="30">
        <v>24</v>
      </c>
      <c r="I146" s="30">
        <v>60</v>
      </c>
      <c r="J146" s="30">
        <v>4</v>
      </c>
      <c r="K146" s="30">
        <v>14</v>
      </c>
      <c r="L146" s="30">
        <v>0</v>
      </c>
      <c r="M146" s="30">
        <v>2</v>
      </c>
    </row>
    <row r="147" spans="1:13">
      <c r="A147" s="30">
        <f ca="1" t="shared" si="2"/>
        <v>64</v>
      </c>
      <c r="B147" s="30">
        <f ca="1" t="array" ref="B147">INDEX(Data_DBD!$B:$B,$A147)</f>
        <v>35</v>
      </c>
      <c r="C147" s="30">
        <f ca="1" t="array" ref="C147">INDEX(Data_DBD!$C:$C,$A147)</f>
        <v>1</v>
      </c>
      <c r="D147" s="30">
        <f ca="1" t="array" ref="D147">INDEX(Data_DBD!$D:$D,$A147)</f>
        <v>15</v>
      </c>
      <c r="E147" s="30">
        <f ca="1" t="array" ref="E147">INDEX(Data_DBD!$E:$E,$A147)</f>
        <v>0</v>
      </c>
      <c r="F147" s="30">
        <f ca="1" t="array" ref="F147">INDEX(Data_DBD!$F:$F,$A147)</f>
        <v>2</v>
      </c>
      <c r="H147" s="30">
        <v>71</v>
      </c>
      <c r="I147" s="30">
        <v>84</v>
      </c>
      <c r="J147" s="30">
        <v>3</v>
      </c>
      <c r="K147" s="30">
        <v>10</v>
      </c>
      <c r="L147" s="30">
        <v>0</v>
      </c>
      <c r="M147" s="30">
        <v>2</v>
      </c>
    </row>
    <row r="148" spans="1:13">
      <c r="A148" s="30">
        <f ca="1" t="shared" si="2"/>
        <v>67</v>
      </c>
      <c r="B148" s="30">
        <f ca="1" t="array" ref="B148">INDEX(Data_DBD!$B:$B,$A148)</f>
        <v>21</v>
      </c>
      <c r="C148" s="30">
        <f ca="1" t="array" ref="C148">INDEX(Data_DBD!$C:$C,$A148)</f>
        <v>3</v>
      </c>
      <c r="D148" s="30">
        <f ca="1" t="array" ref="D148">INDEX(Data_DBD!$D:$D,$A148)</f>
        <v>10</v>
      </c>
      <c r="E148" s="30">
        <f ca="1" t="array" ref="E148">INDEX(Data_DBD!$E:$E,$A148)</f>
        <v>1</v>
      </c>
      <c r="F148" s="30">
        <f ca="1" t="array" ref="F148">INDEX(Data_DBD!$F:$F,$A148)</f>
        <v>2</v>
      </c>
      <c r="H148" s="30">
        <v>56</v>
      </c>
      <c r="I148" s="30">
        <v>4</v>
      </c>
      <c r="J148" s="30">
        <v>3</v>
      </c>
      <c r="K148" s="30">
        <v>15</v>
      </c>
      <c r="L148" s="30">
        <v>0</v>
      </c>
      <c r="M148" s="30">
        <v>2</v>
      </c>
    </row>
    <row r="149" spans="1:13">
      <c r="A149" s="30">
        <f ca="1" t="shared" si="2"/>
        <v>109</v>
      </c>
      <c r="B149" s="30">
        <f ca="1" t="array" ref="B149">INDEX(Data_DBD!$B:$B,$A149)</f>
        <v>40</v>
      </c>
      <c r="C149" s="30">
        <f ca="1" t="array" ref="C149">INDEX(Data_DBD!$C:$C,$A149)</f>
        <v>3</v>
      </c>
      <c r="D149" s="30">
        <f ca="1" t="array" ref="D149">INDEX(Data_DBD!$D:$D,$A149)</f>
        <v>33</v>
      </c>
      <c r="E149" s="30">
        <f ca="1" t="array" ref="E149">INDEX(Data_DBD!$E:$E,$A149)</f>
        <v>1</v>
      </c>
      <c r="F149" s="30">
        <f ca="1" t="array" ref="F149">INDEX(Data_DBD!$F:$F,$A149)</f>
        <v>3</v>
      </c>
      <c r="H149" s="30">
        <v>45</v>
      </c>
      <c r="I149" s="30">
        <v>75</v>
      </c>
      <c r="J149" s="30">
        <v>3</v>
      </c>
      <c r="K149" s="30">
        <v>13</v>
      </c>
      <c r="L149" s="30">
        <v>1</v>
      </c>
      <c r="M149" s="30">
        <v>2</v>
      </c>
    </row>
    <row r="150" spans="1:13">
      <c r="A150" s="30">
        <f ca="1" t="shared" si="2"/>
        <v>104</v>
      </c>
      <c r="B150" s="30">
        <f ca="1" t="array" ref="B150">INDEX(Data_DBD!$B:$B,$A150)</f>
        <v>37</v>
      </c>
      <c r="C150" s="30">
        <f ca="1" t="array" ref="C150">INDEX(Data_DBD!$C:$C,$A150)</f>
        <v>4</v>
      </c>
      <c r="D150" s="30">
        <f ca="1" t="array" ref="D150">INDEX(Data_DBD!$D:$D,$A150)</f>
        <v>18</v>
      </c>
      <c r="E150" s="30">
        <f ca="1" t="array" ref="E150">INDEX(Data_DBD!$E:$E,$A150)</f>
        <v>1</v>
      </c>
      <c r="F150" s="30">
        <f ca="1" t="array" ref="F150">INDEX(Data_DBD!$F:$F,$A150)</f>
        <v>3</v>
      </c>
      <c r="H150" s="30">
        <v>46</v>
      </c>
      <c r="I150" s="30">
        <v>62</v>
      </c>
      <c r="J150" s="30">
        <v>2</v>
      </c>
      <c r="K150" s="30">
        <v>13</v>
      </c>
      <c r="L150" s="30">
        <v>0</v>
      </c>
      <c r="M150" s="30">
        <v>2</v>
      </c>
    </row>
    <row r="151" spans="1:13">
      <c r="A151" s="30">
        <f ca="1" t="shared" si="2"/>
        <v>39</v>
      </c>
      <c r="B151" s="30">
        <f ca="1" t="array" ref="B151">INDEX(Data_DBD!$B:$B,$A151)</f>
        <v>12</v>
      </c>
      <c r="C151" s="30">
        <f ca="1" t="array" ref="C151">INDEX(Data_DBD!$C:$C,$A151)</f>
        <v>5</v>
      </c>
      <c r="D151" s="30">
        <f ca="1" t="array" ref="D151">INDEX(Data_DBD!$D:$D,$A151)</f>
        <v>13</v>
      </c>
      <c r="E151" s="30">
        <f ca="1" t="array" ref="E151">INDEX(Data_DBD!$E:$E,$A151)</f>
        <v>1</v>
      </c>
      <c r="F151" s="30">
        <f ca="1" t="array" ref="F151">INDEX(Data_DBD!$F:$F,$A151)</f>
        <v>2</v>
      </c>
      <c r="H151" s="30">
        <v>66</v>
      </c>
      <c r="I151" s="30">
        <v>21</v>
      </c>
      <c r="J151" s="30">
        <v>5</v>
      </c>
      <c r="K151" s="30">
        <v>15</v>
      </c>
      <c r="L151" s="30">
        <v>1</v>
      </c>
      <c r="M151" s="30">
        <v>2</v>
      </c>
    </row>
    <row r="152" spans="1:13">
      <c r="A152" s="30">
        <f ca="1" t="shared" si="2"/>
        <v>30</v>
      </c>
      <c r="B152" s="30" t="str">
        <f ca="1" t="array" ref="B152">INDEX(Data_DBD!$B:$B,$A152)</f>
        <v>2,8</v>
      </c>
      <c r="C152" s="30">
        <f ca="1" t="array" ref="C152">INDEX(Data_DBD!$C:$C,$A152)</f>
        <v>2</v>
      </c>
      <c r="D152" s="30">
        <f ca="1" t="array" ref="D152">INDEX(Data_DBD!$D:$D,$A152)</f>
        <v>14</v>
      </c>
      <c r="E152" s="30">
        <f ca="1" t="array" ref="E152">INDEX(Data_DBD!$E:$E,$A152)</f>
        <v>1</v>
      </c>
      <c r="F152" s="30">
        <f ca="1" t="array" ref="F152">INDEX(Data_DBD!$F:$F,$A152)</f>
        <v>2</v>
      </c>
      <c r="H152" s="30">
        <v>163</v>
      </c>
      <c r="I152" s="30">
        <v>34</v>
      </c>
      <c r="J152" s="30">
        <v>4</v>
      </c>
      <c r="K152" s="30">
        <v>3</v>
      </c>
      <c r="L152" s="30">
        <v>1</v>
      </c>
      <c r="M152" s="30">
        <v>1</v>
      </c>
    </row>
    <row r="153" spans="1:13">
      <c r="A153" s="30">
        <f ca="1" t="shared" si="2"/>
        <v>5</v>
      </c>
      <c r="B153" s="30">
        <f ca="1" t="array" ref="B153">INDEX(Data_DBD!$B:$B,$A153)</f>
        <v>18</v>
      </c>
      <c r="C153" s="30">
        <f ca="1" t="array" ref="C153">INDEX(Data_DBD!$C:$C,$A153)</f>
        <v>2</v>
      </c>
      <c r="D153" s="30">
        <f ca="1" t="array" ref="D153">INDEX(Data_DBD!$D:$D,$A153)</f>
        <v>12</v>
      </c>
      <c r="E153" s="30">
        <f ca="1" t="array" ref="E153">INDEX(Data_DBD!$E:$E,$A153)</f>
        <v>1</v>
      </c>
      <c r="F153" s="30">
        <f ca="1" t="array" ref="F153">INDEX(Data_DBD!$F:$F,$A153)</f>
        <v>2</v>
      </c>
      <c r="H153" s="30">
        <v>131</v>
      </c>
      <c r="I153" s="30">
        <v>10</v>
      </c>
      <c r="J153" s="30">
        <v>2</v>
      </c>
      <c r="K153" s="30">
        <v>33</v>
      </c>
      <c r="L153" s="30">
        <v>0</v>
      </c>
      <c r="M153" s="30">
        <v>3</v>
      </c>
    </row>
    <row r="154" spans="1:13">
      <c r="A154" s="30">
        <f ca="1" t="shared" si="2"/>
        <v>15</v>
      </c>
      <c r="B154" s="30">
        <f ca="1" t="array" ref="B154">INDEX(Data_DBD!$B:$B,$A154)</f>
        <v>21</v>
      </c>
      <c r="C154" s="30">
        <f ca="1" t="array" ref="C154">INDEX(Data_DBD!$C:$C,$A154)</f>
        <v>2</v>
      </c>
      <c r="D154" s="30">
        <f ca="1" t="array" ref="D154">INDEX(Data_DBD!$D:$D,$A154)</f>
        <v>7</v>
      </c>
      <c r="E154" s="30">
        <f ca="1" t="array" ref="E154">INDEX(Data_DBD!$E:$E,$A154)</f>
        <v>0</v>
      </c>
      <c r="F154" s="30">
        <f ca="1" t="array" ref="F154">INDEX(Data_DBD!$F:$F,$A154)</f>
        <v>1</v>
      </c>
      <c r="H154" s="30">
        <v>89</v>
      </c>
      <c r="I154" s="30">
        <v>32</v>
      </c>
      <c r="J154" s="30">
        <v>4</v>
      </c>
      <c r="K154" s="30">
        <v>13</v>
      </c>
      <c r="L154" s="30">
        <v>0</v>
      </c>
      <c r="M154" s="30">
        <v>2</v>
      </c>
    </row>
    <row r="155" spans="1:13">
      <c r="A155" s="30">
        <f ca="1" t="shared" si="2"/>
        <v>133</v>
      </c>
      <c r="B155" s="30">
        <f ca="1" t="array" ref="B155">INDEX(Data_DBD!$B:$B,$A155)</f>
        <v>6</v>
      </c>
      <c r="C155" s="30">
        <f ca="1" t="array" ref="C155">INDEX(Data_DBD!$C:$C,$A155)</f>
        <v>4</v>
      </c>
      <c r="D155" s="30">
        <f ca="1" t="array" ref="D155">INDEX(Data_DBD!$D:$D,$A155)</f>
        <v>33</v>
      </c>
      <c r="E155" s="30">
        <f ca="1" t="array" ref="E155">INDEX(Data_DBD!$E:$E,$A155)</f>
        <v>0</v>
      </c>
      <c r="F155" s="30">
        <f ca="1" t="array" ref="F155">INDEX(Data_DBD!$F:$F,$A155)</f>
        <v>3</v>
      </c>
      <c r="H155" s="30">
        <v>37</v>
      </c>
      <c r="I155" s="30">
        <v>28</v>
      </c>
      <c r="J155" s="30">
        <v>4</v>
      </c>
      <c r="K155" s="30">
        <v>4</v>
      </c>
      <c r="L155" s="30">
        <v>1</v>
      </c>
      <c r="M155" s="30">
        <v>1</v>
      </c>
    </row>
    <row r="156" spans="1:13">
      <c r="A156" s="30">
        <f ca="1" t="shared" si="2"/>
        <v>33</v>
      </c>
      <c r="B156" s="30">
        <f ca="1" t="array" ref="B156">INDEX(Data_DBD!$B:$B,$A156)</f>
        <v>19</v>
      </c>
      <c r="C156" s="30">
        <f ca="1" t="array" ref="C156">INDEX(Data_DBD!$C:$C,$A156)</f>
        <v>4</v>
      </c>
      <c r="D156" s="30">
        <f ca="1" t="array" ref="D156">INDEX(Data_DBD!$D:$D,$A156)</f>
        <v>14</v>
      </c>
      <c r="E156" s="30">
        <f ca="1" t="array" ref="E156">INDEX(Data_DBD!$E:$E,$A156)</f>
        <v>1</v>
      </c>
      <c r="F156" s="30">
        <f ca="1" t="array" ref="F156">INDEX(Data_DBD!$F:$F,$A156)</f>
        <v>2</v>
      </c>
      <c r="H156" s="30">
        <v>31</v>
      </c>
      <c r="I156" s="30">
        <v>64</v>
      </c>
      <c r="J156" s="30">
        <v>4</v>
      </c>
      <c r="K156" s="30">
        <v>14</v>
      </c>
      <c r="L156" s="30">
        <v>1</v>
      </c>
      <c r="M156" s="30">
        <v>2</v>
      </c>
    </row>
    <row r="157" spans="1:13">
      <c r="A157" s="30">
        <f ca="1" t="shared" si="2"/>
        <v>30</v>
      </c>
      <c r="B157" s="30" t="str">
        <f ca="1" t="array" ref="B157">INDEX(Data_DBD!$B:$B,$A157)</f>
        <v>2,8</v>
      </c>
      <c r="C157" s="30">
        <f ca="1" t="array" ref="C157">INDEX(Data_DBD!$C:$C,$A157)</f>
        <v>2</v>
      </c>
      <c r="D157" s="30">
        <f ca="1" t="array" ref="D157">INDEX(Data_DBD!$D:$D,$A157)</f>
        <v>14</v>
      </c>
      <c r="E157" s="30">
        <f ca="1" t="array" ref="E157">INDEX(Data_DBD!$E:$E,$A157)</f>
        <v>1</v>
      </c>
      <c r="F157" s="30">
        <f ca="1" t="array" ref="F157">INDEX(Data_DBD!$F:$F,$A157)</f>
        <v>2</v>
      </c>
      <c r="H157" s="30">
        <v>89</v>
      </c>
      <c r="I157" s="30">
        <v>32</v>
      </c>
      <c r="J157" s="30">
        <v>4</v>
      </c>
      <c r="K157" s="30">
        <v>13</v>
      </c>
      <c r="L157" s="30">
        <v>0</v>
      </c>
      <c r="M157" s="30">
        <v>2</v>
      </c>
    </row>
    <row r="158" ht="15.75" spans="1:13">
      <c r="A158" s="30">
        <f ca="1" t="shared" si="2"/>
        <v>66</v>
      </c>
      <c r="B158" s="30">
        <f ca="1" t="array" ref="B158">INDEX(Data_DBD!$B:$B,$A158)</f>
        <v>21</v>
      </c>
      <c r="C158" s="30">
        <f ca="1" t="array" ref="C158">INDEX(Data_DBD!$C:$C,$A158)</f>
        <v>5</v>
      </c>
      <c r="D158" s="30">
        <f ca="1" t="array" ref="D158">INDEX(Data_DBD!$D:$D,$A158)</f>
        <v>15</v>
      </c>
      <c r="E158" s="30">
        <f ca="1" t="array" ref="E158">INDEX(Data_DBD!$E:$E,$A158)</f>
        <v>1</v>
      </c>
      <c r="F158" s="30">
        <f ca="1" t="array" ref="F158">INDEX(Data_DBD!$F:$F,$A158)</f>
        <v>2</v>
      </c>
      <c r="H158" s="30">
        <v>132</v>
      </c>
      <c r="I158" s="30">
        <v>10</v>
      </c>
      <c r="J158" s="30">
        <v>3</v>
      </c>
      <c r="K158" s="30">
        <v>33</v>
      </c>
      <c r="L158" s="38">
        <v>1</v>
      </c>
      <c r="M158" s="30">
        <v>3</v>
      </c>
    </row>
    <row r="159" ht="15.75" spans="1:13">
      <c r="A159" s="30">
        <f ca="1" t="shared" si="2"/>
        <v>100</v>
      </c>
      <c r="B159" s="30">
        <f ca="1" t="array" ref="B159">INDEX(Data_DBD!$B:$B,$A159)</f>
        <v>19</v>
      </c>
      <c r="C159" s="30">
        <f ca="1" t="array" ref="C159">INDEX(Data_DBD!$C:$C,$A159)</f>
        <v>6</v>
      </c>
      <c r="D159" s="30">
        <f ca="1" t="array" ref="D159">INDEX(Data_DBD!$D:$D,$A159)</f>
        <v>18</v>
      </c>
      <c r="E159" s="30">
        <f ca="1" t="array" ref="E159">INDEX(Data_DBD!$E:$E,$A159)</f>
        <v>0</v>
      </c>
      <c r="F159" s="30">
        <f ca="1" t="array" ref="F159">INDEX(Data_DBD!$F:$F,$A159)</f>
        <v>3</v>
      </c>
      <c r="H159" s="30">
        <v>44</v>
      </c>
      <c r="I159" s="30">
        <v>28</v>
      </c>
      <c r="J159" s="30">
        <v>5</v>
      </c>
      <c r="K159" s="30">
        <v>13</v>
      </c>
      <c r="L159" s="39">
        <v>1</v>
      </c>
      <c r="M159" s="30">
        <v>2</v>
      </c>
    </row>
    <row r="160" ht="15.75" spans="1:13">
      <c r="A160" s="30">
        <f ca="1" t="shared" si="2"/>
        <v>92</v>
      </c>
      <c r="B160" s="30">
        <f ca="1" t="array" ref="B160">INDEX(Data_DBD!$B:$B,$A160)</f>
        <v>55</v>
      </c>
      <c r="C160" s="30">
        <f ca="1" t="array" ref="C160">INDEX(Data_DBD!$C:$C,$A160)</f>
        <v>7</v>
      </c>
      <c r="D160" s="30">
        <f ca="1" t="array" ref="D160">INDEX(Data_DBD!$D:$D,$A160)</f>
        <v>18</v>
      </c>
      <c r="E160" s="30">
        <f ca="1" t="array" ref="E160">INDEX(Data_DBD!$E:$E,$A160)</f>
        <v>0</v>
      </c>
      <c r="F160" s="30">
        <f ca="1" t="array" ref="F160">INDEX(Data_DBD!$F:$F,$A160)</f>
        <v>3</v>
      </c>
      <c r="H160" s="30">
        <v>76</v>
      </c>
      <c r="I160" s="30">
        <v>70</v>
      </c>
      <c r="J160" s="30">
        <v>2</v>
      </c>
      <c r="K160" s="30">
        <v>10</v>
      </c>
      <c r="L160" s="40">
        <v>0</v>
      </c>
      <c r="M160" s="30">
        <v>2</v>
      </c>
    </row>
    <row r="161" ht="15.75" spans="1:13">
      <c r="A161" s="30">
        <f ca="1" t="shared" si="2"/>
        <v>9</v>
      </c>
      <c r="B161" s="30">
        <f ca="1" t="array" ref="B161">INDEX(Data_DBD!$B:$B,$A161)</f>
        <v>16</v>
      </c>
      <c r="C161" s="30">
        <f ca="1" t="array" ref="C161">INDEX(Data_DBD!$C:$C,$A161)</f>
        <v>6</v>
      </c>
      <c r="D161" s="30">
        <f ca="1" t="array" ref="D161">INDEX(Data_DBD!$D:$D,$A161)</f>
        <v>12</v>
      </c>
      <c r="E161" s="30">
        <f ca="1" t="array" ref="E161">INDEX(Data_DBD!$E:$E,$A161)</f>
        <v>1</v>
      </c>
      <c r="F161" s="30">
        <f ca="1" t="array" ref="F161">INDEX(Data_DBD!$F:$F,$A161)</f>
        <v>2</v>
      </c>
      <c r="H161" s="30">
        <v>116</v>
      </c>
      <c r="I161" s="30">
        <v>32</v>
      </c>
      <c r="J161" s="30">
        <v>4</v>
      </c>
      <c r="K161" s="30">
        <v>33</v>
      </c>
      <c r="L161" s="40">
        <v>1</v>
      </c>
      <c r="M161" s="30">
        <v>3</v>
      </c>
    </row>
    <row r="162" ht="15.75" spans="1:13">
      <c r="A162" s="30">
        <f ca="1" t="shared" si="2"/>
        <v>126</v>
      </c>
      <c r="B162" s="30">
        <f ca="1" t="array" ref="B162">INDEX(Data_DBD!$B:$B,$A162)</f>
        <v>51</v>
      </c>
      <c r="C162" s="30">
        <f ca="1" t="array" ref="C162">INDEX(Data_DBD!$C:$C,$A162)</f>
        <v>3</v>
      </c>
      <c r="D162" s="30">
        <f ca="1" t="array" ref="D162">INDEX(Data_DBD!$D:$D,$A162)</f>
        <v>33</v>
      </c>
      <c r="E162" s="30">
        <f ca="1" t="array" ref="E162">INDEX(Data_DBD!$E:$E,$A162)</f>
        <v>1</v>
      </c>
      <c r="F162" s="30">
        <f ca="1" t="array" ref="F162">INDEX(Data_DBD!$F:$F,$A162)</f>
        <v>3</v>
      </c>
      <c r="H162" s="30">
        <v>162</v>
      </c>
      <c r="I162" s="30">
        <v>22</v>
      </c>
      <c r="J162" s="30">
        <v>3</v>
      </c>
      <c r="K162" s="30">
        <v>3</v>
      </c>
      <c r="L162" s="39">
        <v>1</v>
      </c>
      <c r="M162" s="30">
        <v>1</v>
      </c>
    </row>
    <row r="163" ht="15.75" spans="1:13">
      <c r="A163" s="30">
        <f ca="1" t="shared" si="2"/>
        <v>39</v>
      </c>
      <c r="B163" s="30">
        <f ca="1" t="array" ref="B163">INDEX(Data_DBD!$B:$B,$A163)</f>
        <v>12</v>
      </c>
      <c r="C163" s="30">
        <f ca="1" t="array" ref="C163">INDEX(Data_DBD!$C:$C,$A163)</f>
        <v>5</v>
      </c>
      <c r="D163" s="30">
        <f ca="1" t="array" ref="D163">INDEX(Data_DBD!$D:$D,$A163)</f>
        <v>13</v>
      </c>
      <c r="E163" s="30">
        <f ca="1" t="array" ref="E163">INDEX(Data_DBD!$E:$E,$A163)</f>
        <v>1</v>
      </c>
      <c r="F163" s="30">
        <f ca="1" t="array" ref="F163">INDEX(Data_DBD!$F:$F,$A163)</f>
        <v>2</v>
      </c>
      <c r="H163" s="30">
        <v>40</v>
      </c>
      <c r="I163" s="30">
        <v>65</v>
      </c>
      <c r="J163" s="30">
        <v>3</v>
      </c>
      <c r="K163" s="30">
        <v>13</v>
      </c>
      <c r="L163" s="40">
        <v>1</v>
      </c>
      <c r="M163" s="30">
        <v>2</v>
      </c>
    </row>
    <row r="164" spans="1:13">
      <c r="A164" s="30">
        <f ca="1" t="shared" si="2"/>
        <v>2</v>
      </c>
      <c r="B164" s="30">
        <f ca="1" t="array" ref="B164">INDEX(Data_DBD!$B:$B,$A164)</f>
        <v>34</v>
      </c>
      <c r="C164" s="30">
        <f ca="1" t="array" ref="C164">INDEX(Data_DBD!$C:$C,$A164)</f>
        <v>3</v>
      </c>
      <c r="D164" s="30">
        <f ca="1" t="array" ref="D164">INDEX(Data_DBD!$D:$D,$A164)</f>
        <v>12</v>
      </c>
      <c r="E164" s="30">
        <f ca="1" t="array" ref="E164">INDEX(Data_DBD!$E:$E,$A164)</f>
        <v>0</v>
      </c>
      <c r="F164" s="30">
        <f ca="1" t="array" ref="F164">INDEX(Data_DBD!$F:$F,$A164)</f>
        <v>2</v>
      </c>
      <c r="H164" s="30">
        <v>77</v>
      </c>
      <c r="I164" s="30">
        <v>16</v>
      </c>
      <c r="J164" s="30">
        <v>4</v>
      </c>
      <c r="K164" s="30">
        <v>13</v>
      </c>
      <c r="L164" s="30">
        <v>1</v>
      </c>
      <c r="M164" s="30">
        <v>2</v>
      </c>
    </row>
    <row r="165" spans="9:12">
      <c r="I165">
        <f>AVERAGE(I2:I164)</f>
        <v>32.1165644171779</v>
      </c>
      <c r="J165">
        <f>AVERAGE(J2:J164)</f>
        <v>3.52760736196319</v>
      </c>
      <c r="K165">
        <f>AVERAGE(K2:K164)</f>
        <v>17.1901840490798</v>
      </c>
      <c r="L165">
        <f>AVERAGE(L2:L164)</f>
        <v>0.570552147239264</v>
      </c>
    </row>
    <row r="166" spans="2:2">
      <c r="B166">
        <v>93</v>
      </c>
    </row>
    <row r="168" spans="5:20">
      <c r="E168" s="35" t="s">
        <v>183</v>
      </c>
      <c r="J168" s="35" t="s">
        <v>184</v>
      </c>
      <c r="O168" s="35" t="s">
        <v>185</v>
      </c>
      <c r="T168" s="35" t="s">
        <v>186</v>
      </c>
    </row>
    <row r="169" spans="5:22">
      <c r="E169" s="30" t="s">
        <v>1</v>
      </c>
      <c r="F169" s="30">
        <f>AVERAGEIF($I$2:$I$164,"&lt;="&amp;$I$165)</f>
        <v>16.1030927835052</v>
      </c>
      <c r="G169" s="30">
        <f>AVERAGEIF($I$2:$I$164,"&gt;"&amp;$I$165)</f>
        <v>55.6515151515151</v>
      </c>
      <c r="J169" s="30" t="s">
        <v>187</v>
      </c>
      <c r="K169" s="30">
        <f>AVERAGEIF($J$2:$J$164,"&lt;="&amp;$J$165)</f>
        <v>2.48192771084337</v>
      </c>
      <c r="L169" s="30">
        <f>AVERAGEIF($J$2:$J$164,"&gt;"&amp;$J$165)</f>
        <v>4.6125</v>
      </c>
      <c r="O169" s="30" t="s">
        <v>188</v>
      </c>
      <c r="P169" s="30">
        <f>AVERAGEIF($K$2:$K$164,"&lt;="&amp;$K$165)</f>
        <v>11.31</v>
      </c>
      <c r="Q169" s="30">
        <f>AVERAGEIF($K$2:$K$164,"&gt;"&amp;$K$165)</f>
        <v>26.5238095238095</v>
      </c>
      <c r="T169" s="30" t="s">
        <v>189</v>
      </c>
      <c r="U169" s="30">
        <f>AVERAGEIF($L$2:$L$164,"&lt;="&amp;$L$165)</f>
        <v>0</v>
      </c>
      <c r="V169" s="30">
        <f>AVERAGEIF($L$2:$L$164,"&gt;"&amp;$L$165)</f>
        <v>1</v>
      </c>
    </row>
    <row r="170" spans="5:22">
      <c r="E170" s="30" t="str">
        <f t="array" ref="E170:E332">IF($I$2:$I$164&lt;$F$169,"kiri",IF($I$2:$I$164&lt;$G$169,"tengah","kanan"))</f>
        <v>tengah</v>
      </c>
      <c r="F170" s="36" t="s">
        <v>207</v>
      </c>
      <c r="G170" s="30"/>
      <c r="J170" s="30" t="str">
        <f t="array" ref="J170:J332">IF($J$2:$J$164&lt;$K$169,"kiri",IF($J$2:$J$164&lt;$L$169,"tengah","kanan"))</f>
        <v>tengah</v>
      </c>
      <c r="K170" s="36" t="s">
        <v>208</v>
      </c>
      <c r="L170" s="30"/>
      <c r="O170" s="30" t="str">
        <f t="array" ref="O170:O332">IF($K$2:$K$164&lt;$P$169,"kiri",IF($K$2:$K$164&lt;$Q$169,"tengah","kanan"))</f>
        <v>tengah</v>
      </c>
      <c r="P170" s="36" t="s">
        <v>217</v>
      </c>
      <c r="Q170" s="30"/>
      <c r="T170" s="30" t="str">
        <f t="array" ref="T170:T332">IF($L$2:$L$164&lt;$U$169,"kiri",IF($L$2:$L$164&lt;$V$169,"tengah","kanan"))</f>
        <v>tengah</v>
      </c>
      <c r="U170" s="30" t="s">
        <v>193</v>
      </c>
      <c r="V170" s="30"/>
    </row>
    <row r="171" spans="5:22">
      <c r="E171" s="30" t="str">
        <v>kiri</v>
      </c>
      <c r="F171" s="30">
        <f>COUNTIFS($E$170:$E$332,"Kanan",$M$2:$M$164,"1")</f>
        <v>2</v>
      </c>
      <c r="G171" s="30">
        <f>F171/31</f>
        <v>0.0645161290322581</v>
      </c>
      <c r="J171" s="30" t="str">
        <v>kiri</v>
      </c>
      <c r="K171" s="30">
        <f t="array" ref="K171">SUMPRODUCT((J170:J332="Kanan")*(M2:M164=1))</f>
        <v>3</v>
      </c>
      <c r="L171" s="30">
        <f>K171/36</f>
        <v>0.0833333333333333</v>
      </c>
      <c r="O171" s="30" t="str">
        <v>kanan</v>
      </c>
      <c r="P171" s="30">
        <f>COUNTIFS($O$170:$O$332,"Kanan",$M$2:$M$164,"1")</f>
        <v>0</v>
      </c>
      <c r="Q171" s="30">
        <f>P171/32</f>
        <v>0</v>
      </c>
      <c r="T171" s="30" t="str">
        <v>tengah</v>
      </c>
      <c r="U171" s="30">
        <f>COUNTIFS($T$170:$T$332,"Kanan",$M$2:$M$164,"1")</f>
        <v>12</v>
      </c>
      <c r="V171" s="30">
        <f>U171/83</f>
        <v>0.144578313253012</v>
      </c>
    </row>
    <row r="172" spans="5:22">
      <c r="E172" s="30" t="str">
        <v>kanan</v>
      </c>
      <c r="F172" s="30">
        <f>COUNTIFS($E$170:$E$332,"Kanan",$M$2:$M$164,"2")</f>
        <v>16</v>
      </c>
      <c r="G172" s="30">
        <f t="shared" ref="G172:G173" si="3">F172/31</f>
        <v>0.516129032258065</v>
      </c>
      <c r="J172" s="30" t="str">
        <v>kanan</v>
      </c>
      <c r="K172" s="30">
        <f>COUNTIFS($J$170:$J$332,"Kanan",$M$2:$M$164,"2")</f>
        <v>21</v>
      </c>
      <c r="L172" s="30">
        <f t="shared" ref="L172:L173" si="4">K172/36</f>
        <v>0.583333333333333</v>
      </c>
      <c r="O172" s="30" t="str">
        <v>tengah</v>
      </c>
      <c r="P172" s="30">
        <f>COUNTIFS($O$170:$O$332,"Kanan",$M$2:$M$164,"2")</f>
        <v>0</v>
      </c>
      <c r="Q172" s="30">
        <f t="shared" ref="Q172:Q173" si="5">P172/32</f>
        <v>0</v>
      </c>
      <c r="T172" s="30" t="str">
        <v>kanan</v>
      </c>
      <c r="U172" s="30">
        <f>COUNTIFS($T$170:$T$332,"Kanan",$M$2:$M$164,"2")</f>
        <v>45</v>
      </c>
      <c r="V172" s="30">
        <f t="shared" ref="V172:V173" si="6">U172/83</f>
        <v>0.542168674698795</v>
      </c>
    </row>
    <row r="173" spans="5:22">
      <c r="E173" s="30" t="str">
        <v>tengah</v>
      </c>
      <c r="F173" s="30">
        <f t="array" ref="F173">SUMPRODUCT((E170:E332="KANAN")*(M2:M164=3))</f>
        <v>13</v>
      </c>
      <c r="G173" s="30">
        <f t="shared" si="3"/>
        <v>0.419354838709677</v>
      </c>
      <c r="J173" s="30" t="str">
        <v>tengah</v>
      </c>
      <c r="K173" s="30">
        <f>COUNTIFS($J$170:$J$332,"Kanan",$M$2:$M$164,"3")</f>
        <v>12</v>
      </c>
      <c r="L173" s="30">
        <f t="shared" si="4"/>
        <v>0.333333333333333</v>
      </c>
      <c r="O173" s="30" t="str">
        <v>tengah</v>
      </c>
      <c r="P173" s="30">
        <f>COUNTIFS($O$170:$O$332,"Kanan",$M$2:$M$164,"3")</f>
        <v>32</v>
      </c>
      <c r="Q173" s="30">
        <f t="shared" si="5"/>
        <v>1</v>
      </c>
      <c r="T173" s="30" t="str">
        <v>tengah</v>
      </c>
      <c r="U173" s="30">
        <f>COUNTIFS($T$170:$T$332,"Kanan",$M$2:$M$164,"3")</f>
        <v>36</v>
      </c>
      <c r="V173" s="30">
        <f t="shared" si="6"/>
        <v>0.433734939759036</v>
      </c>
    </row>
    <row r="174" spans="5:22">
      <c r="E174" s="30" t="str">
        <v>kiri</v>
      </c>
      <c r="F174" s="30" t="s">
        <v>194</v>
      </c>
      <c r="G174" s="30">
        <f>-(IFERROR(G171*LOG(G171,2),0)+IFERROR(G172*LOG(G172,2),0)+IFERROR(G173*LOG(G173,2),0))</f>
        <v>1.27336675116642</v>
      </c>
      <c r="J174" s="30" t="str">
        <v>tengah</v>
      </c>
      <c r="K174" s="30" t="s">
        <v>194</v>
      </c>
      <c r="L174" s="30">
        <f>-(IFERROR(L171*LOG(L171,2),0)+IFERROR(L172*LOG(L172,2),0)+IFERROR(L173*LOG(L173,2),0))</f>
        <v>1.28067212952089</v>
      </c>
      <c r="O174" s="30" t="str">
        <v>kiri</v>
      </c>
      <c r="P174" s="30" t="s">
        <v>194</v>
      </c>
      <c r="Q174" s="30">
        <f>-(IFERROR(Q171*LOG(Q171,2),0)+IFERROR(Q172*LOG(Q172,2),0)+IFERROR(Q173*LOG(Q173,2),0))</f>
        <v>0</v>
      </c>
      <c r="T174" s="30" t="str">
        <v>tengah</v>
      </c>
      <c r="U174" s="30" t="s">
        <v>194</v>
      </c>
      <c r="V174" s="30">
        <f>-(IFERROR(V171*LOG(V171,2),0)+IFERROR(V172*LOG(V172,2),0)+IFERROR(V173*LOG(V173,2),0))</f>
        <v>1.40492081590183</v>
      </c>
    </row>
    <row r="175" spans="5:22">
      <c r="E175" s="30" t="str">
        <v>tengah</v>
      </c>
      <c r="F175" s="30"/>
      <c r="G175" s="30">
        <f>SUM(F171:F173)/163</f>
        <v>0.190184049079755</v>
      </c>
      <c r="J175" s="30" t="str">
        <v>tengah</v>
      </c>
      <c r="K175" s="30"/>
      <c r="L175" s="30">
        <f>SUM(K171:K173)/163</f>
        <v>0.220858895705521</v>
      </c>
      <c r="O175" s="30" t="str">
        <v>tengah</v>
      </c>
      <c r="P175" s="30"/>
      <c r="Q175" s="30">
        <f>SUM(P171:P173)/163</f>
        <v>0.196319018404908</v>
      </c>
      <c r="T175" s="30" t="str">
        <v>tengah</v>
      </c>
      <c r="U175" s="30"/>
      <c r="V175" s="30">
        <f>SUM(U171:U173)/163</f>
        <v>0.570552147239264</v>
      </c>
    </row>
    <row r="176" spans="5:22">
      <c r="E176" s="30" t="str">
        <v>kanan</v>
      </c>
      <c r="F176" s="30"/>
      <c r="G176" s="37">
        <f>G174*G175</f>
        <v>0.242174044700362</v>
      </c>
      <c r="J176" s="30" t="str">
        <v>kanan</v>
      </c>
      <c r="K176" s="30"/>
      <c r="L176" s="37">
        <f>L174*L175</f>
        <v>0.282847832286822</v>
      </c>
      <c r="O176" s="30" t="str">
        <v>kanan</v>
      </c>
      <c r="P176" s="30"/>
      <c r="Q176" s="37">
        <f>Q174*Q175</f>
        <v>0</v>
      </c>
      <c r="T176" s="30" t="str">
        <v>kanan</v>
      </c>
      <c r="U176" s="30"/>
      <c r="V176" s="37">
        <f>V174*V175</f>
        <v>0.801580588213925</v>
      </c>
    </row>
    <row r="177" spans="5:22">
      <c r="E177" s="30" t="str">
        <v>tengah</v>
      </c>
      <c r="F177" s="30"/>
      <c r="G177" s="30"/>
      <c r="J177" s="30" t="str">
        <v>tengah</v>
      </c>
      <c r="K177" s="30"/>
      <c r="L177" s="30"/>
      <c r="O177" s="30" t="str">
        <v>tengah</v>
      </c>
      <c r="P177" s="30"/>
      <c r="Q177" s="30"/>
      <c r="T177" s="30" t="str">
        <v>kanan</v>
      </c>
      <c r="U177" s="30"/>
      <c r="V177" s="30"/>
    </row>
    <row r="178" spans="5:22">
      <c r="E178" s="30" t="str">
        <v>kanan</v>
      </c>
      <c r="F178" s="30"/>
      <c r="G178" s="30"/>
      <c r="J178" s="30" t="str">
        <v>tengah</v>
      </c>
      <c r="K178" s="30"/>
      <c r="L178" s="30"/>
      <c r="O178" s="30" t="str">
        <v>kanan</v>
      </c>
      <c r="P178" s="30"/>
      <c r="Q178" s="30"/>
      <c r="T178" s="30" t="str">
        <v>kanan</v>
      </c>
      <c r="U178" s="30"/>
      <c r="V178" s="30"/>
    </row>
    <row r="179" spans="5:22">
      <c r="E179" s="30" t="str">
        <v>tengah</v>
      </c>
      <c r="F179" s="36" t="s">
        <v>210</v>
      </c>
      <c r="G179" s="30"/>
      <c r="J179" s="30" t="str">
        <v>kiri</v>
      </c>
      <c r="K179" s="36" t="s">
        <v>211</v>
      </c>
      <c r="L179" s="30"/>
      <c r="O179" s="30" t="str">
        <v>tengah</v>
      </c>
      <c r="P179" s="36" t="s">
        <v>215</v>
      </c>
      <c r="Q179" s="30"/>
      <c r="T179" s="30" t="str">
        <v>tengah</v>
      </c>
      <c r="U179" s="30" t="s">
        <v>198</v>
      </c>
      <c r="V179" s="30"/>
    </row>
    <row r="180" spans="5:22">
      <c r="E180" s="30" t="str">
        <v>tengah</v>
      </c>
      <c r="F180" s="30">
        <f t="array" ref="F180">SUMPRODUCT((E170:E332="kiri")*(M2:M164=1))</f>
        <v>6</v>
      </c>
      <c r="G180" s="30">
        <f>F180/47</f>
        <v>0.127659574468085</v>
      </c>
      <c r="J180" s="30" t="str">
        <v>tengah</v>
      </c>
      <c r="K180" s="30">
        <f>COUNTIFS($J$170:$J$332,"Kiri",$M$2:$M$164,"1")</f>
        <v>0</v>
      </c>
      <c r="L180" s="30">
        <f>K180/37</f>
        <v>0</v>
      </c>
      <c r="O180" s="30" t="str">
        <v>tengah</v>
      </c>
      <c r="P180" s="30">
        <f>COUNTIFS($O$170:$O$332,"Kiri",$M$2:$M$164,"1")</f>
        <v>18</v>
      </c>
      <c r="Q180" s="30">
        <f>P180/32</f>
        <v>0.5625</v>
      </c>
      <c r="T180" s="30" t="str">
        <v>tengah</v>
      </c>
      <c r="U180" s="30">
        <f>COUNTIFS($T$170:$T$332,"Kiri",$M$2:$M$164,"1")</f>
        <v>0</v>
      </c>
      <c r="V180" s="30">
        <f>U180/57</f>
        <v>0</v>
      </c>
    </row>
    <row r="181" spans="5:22">
      <c r="E181" s="30" t="str">
        <v>tengah</v>
      </c>
      <c r="F181" s="30">
        <f t="array" ref="F181">SUMPRODUCT((E170:E332="kiri")*(M2:M164=2))</f>
        <v>22</v>
      </c>
      <c r="G181" s="30">
        <f t="shared" ref="G181:G182" si="7">F181/47</f>
        <v>0.468085106382979</v>
      </c>
      <c r="J181" s="30" t="str">
        <v>tengah</v>
      </c>
      <c r="K181" s="30">
        <f>COUNTIFS($J$170:$J$332,"Kiri",$M$2:$M$164,"2")</f>
        <v>18</v>
      </c>
      <c r="L181" s="30">
        <f t="shared" ref="L181:L182" si="8">K181/37</f>
        <v>0.486486486486487</v>
      </c>
      <c r="O181" s="30" t="str">
        <v>kiri</v>
      </c>
      <c r="P181" s="30">
        <f>COUNTIFS($O$170:$O$332,"Kiri",$M$2:$M$164,"2")</f>
        <v>14</v>
      </c>
      <c r="Q181" s="30">
        <f t="shared" ref="Q181:Q182" si="9">P181/32</f>
        <v>0.4375</v>
      </c>
      <c r="T181" s="30" t="str">
        <v>kanan</v>
      </c>
      <c r="U181" s="30">
        <f>COUNTIFS($T$170:$T$332,"Kiri",$M$2:$M$164,"2")</f>
        <v>0</v>
      </c>
      <c r="V181" s="30">
        <f>U181/57</f>
        <v>0</v>
      </c>
    </row>
    <row r="182" spans="5:22">
      <c r="E182" s="30" t="str">
        <v>tengah</v>
      </c>
      <c r="F182" s="30">
        <f t="array" ref="F182">SUMPRODUCT((E170:E332="kiri")*(M2:M164=3))</f>
        <v>19</v>
      </c>
      <c r="G182" s="30">
        <f t="shared" si="7"/>
        <v>0.404255319148936</v>
      </c>
      <c r="J182" s="30" t="str">
        <v>kanan</v>
      </c>
      <c r="K182" s="30">
        <f>COUNTIFS($J$170:$J$332,"Kiri",$M$2:$M$164,"3")</f>
        <v>19</v>
      </c>
      <c r="L182" s="30">
        <f t="shared" si="8"/>
        <v>0.513513513513513</v>
      </c>
      <c r="O182" s="30" t="str">
        <v>tengah</v>
      </c>
      <c r="P182" s="30">
        <f>COUNTIFS($O$170:$O$332,"Kiri",$M$2:$M$164,"3")</f>
        <v>0</v>
      </c>
      <c r="Q182" s="30">
        <f t="shared" si="9"/>
        <v>0</v>
      </c>
      <c r="T182" s="30" t="str">
        <v>kanan</v>
      </c>
      <c r="U182" s="30">
        <f>COUNTIFS($T$170:$T$332,"Kiri",$M$2:$M$164,"3")</f>
        <v>0</v>
      </c>
      <c r="V182" s="30">
        <f>U182/57</f>
        <v>0</v>
      </c>
    </row>
    <row r="183" spans="5:22">
      <c r="E183" s="30" t="str">
        <v>kiri</v>
      </c>
      <c r="F183" s="30" t="s">
        <v>194</v>
      </c>
      <c r="G183" s="30">
        <f>-(IFERROR(G180*LOG(G180,2),0)+IFERROR(G181*LOG(G181,2),0)+IFERROR(G182*LOG(G182,2),0))</f>
        <v>1.41995282253348</v>
      </c>
      <c r="J183" s="30" t="str">
        <v>tengah</v>
      </c>
      <c r="K183" s="30" t="s">
        <v>194</v>
      </c>
      <c r="L183" s="30">
        <f>-(IFERROR(L180*LOG(L180,2),0)+IFERROR(L181*LOG(L181,2),0)+IFERROR(L182*LOG(L182,2),0))</f>
        <v>0.999473020185984</v>
      </c>
      <c r="O183" s="30" t="str">
        <v>tengah</v>
      </c>
      <c r="P183" s="30" t="s">
        <v>194</v>
      </c>
      <c r="Q183" s="30">
        <f>-(IFERROR(Q180*LOG(Q180,2),0)+IFERROR(Q181*LOG(Q181,2),0)+IFERROR(Q182*LOG(Q182,2),0))</f>
        <v>0.988699408288497</v>
      </c>
      <c r="T183" s="30" t="str">
        <v>kanan</v>
      </c>
      <c r="U183" s="30" t="s">
        <v>194</v>
      </c>
      <c r="V183" s="30">
        <f>-(IFERROR(V180*LOG(V180,2),0)+IFERROR(V181*LOG(V181,2),0)+IFERROR(V182*LOG(V182,2),0))</f>
        <v>0</v>
      </c>
    </row>
    <row r="184" spans="5:22">
      <c r="E184" s="30" t="str">
        <v>kanan</v>
      </c>
      <c r="F184" s="30"/>
      <c r="G184" s="30">
        <f>SUM(F180:F182)/163</f>
        <v>0.288343558282209</v>
      </c>
      <c r="J184" s="30" t="str">
        <v>tengah</v>
      </c>
      <c r="K184" s="30"/>
      <c r="L184" s="30">
        <f>SUM(K180:K182)/163</f>
        <v>0.226993865030675</v>
      </c>
      <c r="O184" s="30" t="str">
        <v>tengah</v>
      </c>
      <c r="P184" s="30"/>
      <c r="Q184" s="30">
        <f>SUM(P180:P182)/163</f>
        <v>0.196319018404908</v>
      </c>
      <c r="T184" s="30" t="str">
        <v>kanan</v>
      </c>
      <c r="U184" s="30"/>
      <c r="V184" s="30">
        <f>SUM(U180:U182)/163</f>
        <v>0</v>
      </c>
    </row>
    <row r="185" spans="5:22">
      <c r="E185" s="30" t="str">
        <v>kiri</v>
      </c>
      <c r="F185" s="30"/>
      <c r="G185" s="37">
        <f>G183*G184</f>
        <v>0.409434249442168</v>
      </c>
      <c r="J185" s="30" t="str">
        <v>kiri</v>
      </c>
      <c r="K185" s="30"/>
      <c r="L185" s="37">
        <f>L183*L184</f>
        <v>0.226874243845898</v>
      </c>
      <c r="O185" s="30" t="str">
        <v>tengah</v>
      </c>
      <c r="P185" s="30"/>
      <c r="Q185" s="37">
        <f>Q183*Q184</f>
        <v>0.194100497332711</v>
      </c>
      <c r="T185" s="30" t="str">
        <v>kanan</v>
      </c>
      <c r="U185" s="30"/>
      <c r="V185" s="37">
        <f>V183*V184</f>
        <v>0</v>
      </c>
    </row>
    <row r="186" spans="5:22">
      <c r="E186" s="30" t="str">
        <v>kiri</v>
      </c>
      <c r="F186" s="30"/>
      <c r="G186" s="30"/>
      <c r="J186" s="30" t="str">
        <v>tengah</v>
      </c>
      <c r="K186" s="30"/>
      <c r="L186" s="30"/>
      <c r="O186" s="30" t="str">
        <v>kanan</v>
      </c>
      <c r="P186" s="30"/>
      <c r="Q186" s="30"/>
      <c r="T186" s="30" t="str">
        <v>tengah</v>
      </c>
      <c r="U186" s="30"/>
      <c r="V186" s="30"/>
    </row>
    <row r="187" spans="5:22">
      <c r="E187" s="30" t="str">
        <v>kanan</v>
      </c>
      <c r="F187" s="30"/>
      <c r="G187" s="30"/>
      <c r="J187" s="30" t="str">
        <v>tengah</v>
      </c>
      <c r="K187" s="30"/>
      <c r="L187" s="30"/>
      <c r="O187" s="30" t="str">
        <v>kanan</v>
      </c>
      <c r="P187" s="30"/>
      <c r="Q187" s="30"/>
      <c r="T187" s="30" t="str">
        <v>kanan</v>
      </c>
      <c r="U187" s="30"/>
      <c r="V187" s="30"/>
    </row>
    <row r="188" spans="5:22">
      <c r="E188" s="30" t="str">
        <v>kanan</v>
      </c>
      <c r="F188" s="30" t="s">
        <v>199</v>
      </c>
      <c r="G188" s="30"/>
      <c r="J188" s="30" t="str">
        <v>kanan</v>
      </c>
      <c r="K188" s="30" t="s">
        <v>199</v>
      </c>
      <c r="L188" s="30"/>
      <c r="O188" s="30" t="str">
        <v>tengah</v>
      </c>
      <c r="P188" s="30" t="s">
        <v>199</v>
      </c>
      <c r="Q188" s="30"/>
      <c r="T188" s="30" t="str">
        <v>tengah</v>
      </c>
      <c r="U188" s="30" t="s">
        <v>199</v>
      </c>
      <c r="V188" s="30"/>
    </row>
    <row r="189" spans="5:22">
      <c r="E189" s="30" t="str">
        <v>tengah</v>
      </c>
      <c r="F189" s="30">
        <f t="array" ref="F189">SUMPRODUCT((E170:E332="tengah")*(M2:M164=1))</f>
        <v>10</v>
      </c>
      <c r="G189" s="30">
        <f>F189/85</f>
        <v>0.117647058823529</v>
      </c>
      <c r="J189" s="30" t="str">
        <v>kiri</v>
      </c>
      <c r="K189" s="30">
        <f>COUNTIFS($J$170:$J$332,"Tengah",$M$2:$M$164,"1")</f>
        <v>15</v>
      </c>
      <c r="L189" s="30">
        <f>K189/90</f>
        <v>0.166666666666667</v>
      </c>
      <c r="O189" s="30" t="str">
        <v>tengah</v>
      </c>
      <c r="P189" s="30">
        <f>COUNTIFS($O$170:$O$332,"Tengah",$M$2:$M$164,"1")</f>
        <v>0</v>
      </c>
      <c r="Q189" s="30">
        <f>P189/99</f>
        <v>0</v>
      </c>
      <c r="T189" s="30" t="str">
        <v>kanan</v>
      </c>
      <c r="U189" s="30">
        <f>COUNTIFS($T$170:$T$332,"Tengah",$M$2:$M$164,"1")</f>
        <v>6</v>
      </c>
      <c r="V189" s="30">
        <f>U189/82</f>
        <v>0.0731707317073171</v>
      </c>
    </row>
    <row r="190" spans="5:22">
      <c r="E190" s="30" t="str">
        <v>tengah</v>
      </c>
      <c r="F190" s="30">
        <f t="array" ref="F190">SUMPRODUCT((E170:E332="tengah")*(M2:M164=2))</f>
        <v>44</v>
      </c>
      <c r="G190" s="30">
        <f t="shared" ref="G190:G191" si="10">F190/85</f>
        <v>0.517647058823529</v>
      </c>
      <c r="J190" s="30" t="str">
        <v>tengah</v>
      </c>
      <c r="K190" s="30">
        <f>COUNTIFS($J$170:$J$332,"Tengah",$M$2:$M$164,"2")</f>
        <v>43</v>
      </c>
      <c r="L190" s="30">
        <f t="shared" ref="L190:L191" si="11">K190/90</f>
        <v>0.477777777777778</v>
      </c>
      <c r="O190" s="30" t="str">
        <v>tengah</v>
      </c>
      <c r="P190" s="30">
        <f>COUNTIFS($O$170:$O$332,"Tengah",$M$2:$M$164,"2")</f>
        <v>68</v>
      </c>
      <c r="Q190" s="30">
        <f t="shared" ref="Q190:Q191" si="12">P190/99</f>
        <v>0.686868686868687</v>
      </c>
      <c r="T190" s="30" t="str">
        <v>tengah</v>
      </c>
      <c r="U190" s="30">
        <f>COUNTIFS($T$170:$T$332,"Tengah",$M$2:$M$164,"2")</f>
        <v>37</v>
      </c>
      <c r="V190" s="30">
        <f t="shared" ref="V190:V191" si="13">U190/82</f>
        <v>0.451219512195122</v>
      </c>
    </row>
    <row r="191" spans="5:22">
      <c r="E191" s="30" t="str">
        <v>tengah</v>
      </c>
      <c r="F191" s="30">
        <f t="array" ref="F191">SUMPRODUCT((E170:E332="tengah")*(M2:M164=3))</f>
        <v>31</v>
      </c>
      <c r="G191" s="30">
        <f t="shared" si="10"/>
        <v>0.364705882352941</v>
      </c>
      <c r="J191" s="30" t="str">
        <v>tengah</v>
      </c>
      <c r="K191" s="30">
        <f>COUNTIFS($J$170:$J$332,"Tengah",$M$2:$M$164,"3")</f>
        <v>32</v>
      </c>
      <c r="L191" s="30">
        <f t="shared" si="11"/>
        <v>0.355555555555556</v>
      </c>
      <c r="O191" s="30" t="str">
        <v>tengah</v>
      </c>
      <c r="P191" s="30">
        <f>COUNTIFS($O$170:$O$332,"Tengah",$M$2:$M$164,"3")</f>
        <v>31</v>
      </c>
      <c r="Q191" s="30">
        <f t="shared" si="12"/>
        <v>0.313131313131313</v>
      </c>
      <c r="T191" s="30" t="str">
        <v>tengah</v>
      </c>
      <c r="U191" s="30">
        <f>COUNTIFS($T$170:$T$332,"Tengah",$M$2:$M$164,"3")</f>
        <v>27</v>
      </c>
      <c r="V191" s="30">
        <f t="shared" si="13"/>
        <v>0.329268292682927</v>
      </c>
    </row>
    <row r="192" spans="5:22">
      <c r="E192" s="30" t="str">
        <v>tengah</v>
      </c>
      <c r="F192" s="30" t="s">
        <v>194</v>
      </c>
      <c r="G192" s="30">
        <f>-(IFERROR(G189*LOG(G189,2),0)+IFERROR(G190*LOG(G190,2),0)+IFERROR(G191*LOG(G191,2),0))</f>
        <v>1.38569260918585</v>
      </c>
      <c r="J192" s="30" t="str">
        <v>kiri</v>
      </c>
      <c r="K192" s="30" t="s">
        <v>194</v>
      </c>
      <c r="L192" s="30">
        <f>-(IFERROR(L189*LOG(L189,2),0)+IFERROR(L190*LOG(L190,2),0)+IFERROR(L191*LOG(L191,2),0))</f>
        <v>1.47037816981503</v>
      </c>
      <c r="O192" s="30" t="str">
        <v>tengah</v>
      </c>
      <c r="P192" s="30" t="s">
        <v>194</v>
      </c>
      <c r="Q192" s="30">
        <f>-(IFERROR(Q189*LOG(Q189,2),0)+IFERROR(Q190*LOG(Q190,2),0)+IFERROR(Q191*LOG(Q191,2),0))</f>
        <v>0.896755015766315</v>
      </c>
      <c r="T192" s="30" t="str">
        <v>kanan</v>
      </c>
      <c r="U192" s="30" t="s">
        <v>194</v>
      </c>
      <c r="V192" s="30">
        <f>-(IFERROR(V189*LOG(V189,2),0)+IFERROR(V190*LOG(V190,2),0)+IFERROR(V191*LOG(V191,2),0))</f>
        <v>1.32179424673481</v>
      </c>
    </row>
    <row r="193" spans="5:22">
      <c r="E193" s="30" t="str">
        <v>kanan</v>
      </c>
      <c r="F193" s="30"/>
      <c r="G193" s="30">
        <f>SUM(F189:F191)/163</f>
        <v>0.521472392638037</v>
      </c>
      <c r="J193" s="30" t="str">
        <v>tengah</v>
      </c>
      <c r="K193" s="30"/>
      <c r="L193" s="30">
        <f>SUM(K189:K191)/163</f>
        <v>0.552147239263804</v>
      </c>
      <c r="O193" s="30" t="str">
        <v>kanan</v>
      </c>
      <c r="P193" s="30"/>
      <c r="Q193" s="30">
        <f>SUM(P189:P191)/163</f>
        <v>0.607361963190184</v>
      </c>
      <c r="T193" s="30" t="str">
        <v>kanan</v>
      </c>
      <c r="U193" s="30"/>
      <c r="V193" s="30">
        <f>SUM(U189:U191)/163</f>
        <v>0.429447852760736</v>
      </c>
    </row>
    <row r="194" spans="5:22">
      <c r="E194" s="30" t="str">
        <v>tengah</v>
      </c>
      <c r="F194" s="30"/>
      <c r="G194" s="37">
        <f>G192*G193</f>
        <v>0.722600440372987</v>
      </c>
      <c r="J194" s="30" t="str">
        <v>tengah</v>
      </c>
      <c r="K194" s="30"/>
      <c r="L194" s="37">
        <f>L192*L193</f>
        <v>0.811865247137134</v>
      </c>
      <c r="O194" s="30" t="str">
        <v>tengah</v>
      </c>
      <c r="P194" s="30"/>
      <c r="Q194" s="37">
        <f>Q192*Q193</f>
        <v>0.544654886876473</v>
      </c>
      <c r="T194" s="30" t="str">
        <v>kanan</v>
      </c>
      <c r="U194" s="30"/>
      <c r="V194" s="37">
        <f>V192*V193</f>
        <v>0.567641701051757</v>
      </c>
    </row>
    <row r="195" spans="5:22">
      <c r="E195" s="30" t="str">
        <v>tengah</v>
      </c>
      <c r="F195" s="30"/>
      <c r="G195" s="30"/>
      <c r="J195" s="30" t="str">
        <v>tengah</v>
      </c>
      <c r="K195" s="30"/>
      <c r="L195" s="30"/>
      <c r="O195" s="30" t="str">
        <v>tengah</v>
      </c>
      <c r="P195" s="30"/>
      <c r="Q195" s="30"/>
      <c r="T195" s="30" t="str">
        <v>tengah</v>
      </c>
      <c r="U195" s="30"/>
      <c r="V195" s="30"/>
    </row>
    <row r="196" spans="5:22">
      <c r="E196" s="30" t="str">
        <v>kanan</v>
      </c>
      <c r="F196" s="30" t="s">
        <v>200</v>
      </c>
      <c r="G196" s="36" t="s">
        <v>194</v>
      </c>
      <c r="J196" s="30" t="str">
        <v>kiri</v>
      </c>
      <c r="K196" s="30" t="s">
        <v>200</v>
      </c>
      <c r="L196" s="36" t="s">
        <v>194</v>
      </c>
      <c r="O196" s="30" t="str">
        <v>tengah</v>
      </c>
      <c r="P196" s="30" t="s">
        <v>200</v>
      </c>
      <c r="Q196" s="36" t="s">
        <v>194</v>
      </c>
      <c r="T196" s="30" t="str">
        <v>tengah</v>
      </c>
      <c r="U196" s="30" t="s">
        <v>200</v>
      </c>
      <c r="V196" s="36" t="s">
        <v>194</v>
      </c>
    </row>
    <row r="197" spans="5:22">
      <c r="E197" s="30" t="str">
        <v>tengah</v>
      </c>
      <c r="F197" s="41">
        <f>P5-(G176+G185+G194)</f>
        <v>0.00552218299691609</v>
      </c>
      <c r="G197" s="37">
        <f>(G176+G185+G194)</f>
        <v>1.37420873451552</v>
      </c>
      <c r="J197" s="30" t="str">
        <v>kanan</v>
      </c>
      <c r="K197" s="41">
        <f>P5-(L176+L185+L194)</f>
        <v>0.058143594242579</v>
      </c>
      <c r="L197" s="37">
        <f>(L176+L185+L194)</f>
        <v>1.32158732326985</v>
      </c>
      <c r="O197" s="30" t="str">
        <v>tengah</v>
      </c>
      <c r="P197" s="41">
        <f>P5-(Q176+Q185+Q194)</f>
        <v>0.640975533303248</v>
      </c>
      <c r="Q197" s="37">
        <f>(Q176+Q185+Q194)</f>
        <v>0.738755384209185</v>
      </c>
      <c r="T197" s="30" t="str">
        <v>kanan</v>
      </c>
      <c r="U197" s="41">
        <f>P5-(V176+V185+V194)</f>
        <v>0.0105086282467499</v>
      </c>
      <c r="V197" s="37">
        <f>(V176+V185+V194)</f>
        <v>1.36922228926568</v>
      </c>
    </row>
    <row r="198" spans="5:22">
      <c r="E198" s="30" t="str">
        <v>kanan</v>
      </c>
      <c r="F198" s="30"/>
      <c r="G198" s="30"/>
      <c r="J198" s="30" t="str">
        <v>tengah</v>
      </c>
      <c r="K198" s="30"/>
      <c r="L198" s="30"/>
      <c r="O198" s="30" t="str">
        <v>tengah</v>
      </c>
      <c r="P198" s="30"/>
      <c r="Q198" s="30"/>
      <c r="T198" s="30" t="str">
        <v>kanan</v>
      </c>
      <c r="U198" s="30"/>
      <c r="V198" s="30"/>
    </row>
    <row r="199" spans="5:22">
      <c r="E199" s="30" t="str">
        <v>tengah</v>
      </c>
      <c r="F199" s="30"/>
      <c r="G199" s="30"/>
      <c r="J199" s="30" t="str">
        <v>kiri</v>
      </c>
      <c r="K199" s="30"/>
      <c r="L199" s="30"/>
      <c r="O199" s="30" t="str">
        <v>tengah</v>
      </c>
      <c r="P199" s="30"/>
      <c r="Q199" s="30"/>
      <c r="T199" s="30" t="str">
        <v>kanan</v>
      </c>
      <c r="U199" s="30"/>
      <c r="V199" s="30"/>
    </row>
    <row r="200" spans="5:22">
      <c r="E200" s="30" t="str">
        <v>tengah</v>
      </c>
      <c r="F200" s="30"/>
      <c r="G200" s="30"/>
      <c r="J200" s="30" t="str">
        <v>kiri</v>
      </c>
      <c r="K200" s="30"/>
      <c r="L200" s="30"/>
      <c r="O200" s="30" t="str">
        <v>tengah</v>
      </c>
      <c r="P200" s="30"/>
      <c r="Q200" s="30"/>
      <c r="T200" s="30" t="str">
        <v>tengah</v>
      </c>
      <c r="U200" s="30"/>
      <c r="V200" s="30"/>
    </row>
    <row r="201" spans="5:22">
      <c r="E201" s="30" t="str">
        <v>tengah</v>
      </c>
      <c r="F201" s="30"/>
      <c r="G201" s="30"/>
      <c r="J201" s="30" t="str">
        <v>tengah</v>
      </c>
      <c r="K201" s="30"/>
      <c r="L201" s="30"/>
      <c r="O201" s="30" t="str">
        <v>kanan</v>
      </c>
      <c r="P201" s="30"/>
      <c r="Q201" s="30"/>
      <c r="T201" s="30" t="str">
        <v>tengah</v>
      </c>
      <c r="U201" s="30"/>
      <c r="V201" s="30"/>
    </row>
    <row r="202" spans="5:22">
      <c r="E202" s="30" t="str">
        <v>tengah</v>
      </c>
      <c r="F202" s="30"/>
      <c r="G202" s="30"/>
      <c r="J202" s="30" t="str">
        <v>kanan</v>
      </c>
      <c r="K202" s="30"/>
      <c r="L202" s="30"/>
      <c r="O202" s="30" t="str">
        <v>kiri</v>
      </c>
      <c r="P202" s="30"/>
      <c r="Q202" s="30"/>
      <c r="T202" s="30" t="str">
        <v>tengah</v>
      </c>
      <c r="U202" s="30"/>
      <c r="V202" s="30"/>
    </row>
    <row r="203" spans="5:22">
      <c r="E203" s="30" t="str">
        <v>kanan</v>
      </c>
      <c r="F203" s="30"/>
      <c r="G203" s="30"/>
      <c r="J203" s="30" t="str">
        <v>kanan</v>
      </c>
      <c r="K203" s="30"/>
      <c r="L203" s="30"/>
      <c r="O203" s="30" t="str">
        <v>tengah</v>
      </c>
      <c r="P203" s="30"/>
      <c r="Q203" s="30"/>
      <c r="T203" s="30" t="str">
        <v>kanan</v>
      </c>
      <c r="U203" s="30"/>
      <c r="V203" s="30"/>
    </row>
    <row r="204" spans="5:22">
      <c r="E204" s="30" t="str">
        <v>kiri</v>
      </c>
      <c r="F204" s="30"/>
      <c r="G204" s="30"/>
      <c r="J204" s="30" t="str">
        <v>tengah</v>
      </c>
      <c r="K204" s="30"/>
      <c r="L204" s="30"/>
      <c r="O204" s="30" t="str">
        <v>tengah</v>
      </c>
      <c r="P204" s="30"/>
      <c r="Q204" s="30"/>
      <c r="T204" s="30" t="str">
        <v>kanan</v>
      </c>
      <c r="U204" s="30"/>
      <c r="V204" s="30"/>
    </row>
    <row r="205" spans="5:22">
      <c r="E205" s="30" t="str">
        <v>tengah</v>
      </c>
      <c r="F205" s="30"/>
      <c r="G205" s="30"/>
      <c r="J205" s="30" t="str">
        <v>kanan</v>
      </c>
      <c r="K205" s="30"/>
      <c r="L205" s="30"/>
      <c r="O205" s="30" t="str">
        <v>tengah</v>
      </c>
      <c r="P205" s="30"/>
      <c r="Q205" s="30"/>
      <c r="T205" s="30" t="str">
        <v>tengah</v>
      </c>
      <c r="U205" s="30"/>
      <c r="V205" s="30"/>
    </row>
    <row r="206" spans="5:22">
      <c r="E206" s="30" t="str">
        <v>tengah</v>
      </c>
      <c r="F206" s="30"/>
      <c r="G206" s="30"/>
      <c r="J206" s="30" t="str">
        <v>kiri</v>
      </c>
      <c r="K206" s="30"/>
      <c r="L206" s="30"/>
      <c r="O206" s="30" t="str">
        <v>tengah</v>
      </c>
      <c r="P206" s="30"/>
      <c r="Q206" s="30"/>
      <c r="T206" s="30" t="str">
        <v>kanan</v>
      </c>
      <c r="U206" s="30"/>
      <c r="V206" s="30"/>
    </row>
    <row r="207" spans="5:22">
      <c r="E207" s="30" t="str">
        <v>kiri</v>
      </c>
      <c r="F207" s="30"/>
      <c r="G207" s="30"/>
      <c r="J207" s="30" t="str">
        <v>tengah</v>
      </c>
      <c r="K207" s="30"/>
      <c r="L207" s="30"/>
      <c r="O207" s="30" t="str">
        <v>tengah</v>
      </c>
      <c r="P207" s="30"/>
      <c r="Q207" s="30"/>
      <c r="T207" s="30" t="str">
        <v>kanan</v>
      </c>
      <c r="U207" s="30"/>
      <c r="V207" s="30"/>
    </row>
    <row r="208" spans="5:22">
      <c r="E208" s="30" t="str">
        <v>tengah</v>
      </c>
      <c r="F208" s="30"/>
      <c r="G208" s="30"/>
      <c r="J208" s="30" t="str">
        <v>kanan</v>
      </c>
      <c r="K208" s="30"/>
      <c r="L208" s="30"/>
      <c r="O208" s="30" t="str">
        <v>tengah</v>
      </c>
      <c r="P208" s="30"/>
      <c r="Q208" s="30"/>
      <c r="T208" s="30" t="str">
        <v>kanan</v>
      </c>
      <c r="U208" s="30"/>
      <c r="V208" s="30"/>
    </row>
    <row r="209" spans="5:22">
      <c r="E209" s="30" t="str">
        <v>tengah</v>
      </c>
      <c r="F209" s="30"/>
      <c r="G209" s="30"/>
      <c r="J209" s="30" t="str">
        <v>kanan</v>
      </c>
      <c r="K209" s="30"/>
      <c r="L209" s="30"/>
      <c r="O209" s="30" t="str">
        <v>kanan</v>
      </c>
      <c r="P209" s="30"/>
      <c r="Q209" s="30"/>
      <c r="T209" s="30" t="str">
        <v>tengah</v>
      </c>
      <c r="U209" s="30"/>
      <c r="V209" s="30"/>
    </row>
    <row r="210" spans="5:22">
      <c r="E210" s="30" t="str">
        <v>kanan</v>
      </c>
      <c r="F210" s="30"/>
      <c r="G210" s="30"/>
      <c r="J210" s="30" t="str">
        <v>tengah</v>
      </c>
      <c r="K210" s="30"/>
      <c r="L210" s="30"/>
      <c r="O210" s="30" t="str">
        <v>tengah</v>
      </c>
      <c r="P210" s="30"/>
      <c r="Q210" s="30"/>
      <c r="T210" s="30" t="str">
        <v>tengah</v>
      </c>
      <c r="U210" s="30"/>
      <c r="V210" s="30"/>
    </row>
    <row r="211" spans="5:22">
      <c r="E211" s="30" t="str">
        <v>tengah</v>
      </c>
      <c r="F211" s="30"/>
      <c r="G211" s="30"/>
      <c r="J211" s="30" t="str">
        <v>tengah</v>
      </c>
      <c r="K211" s="30"/>
      <c r="L211" s="30"/>
      <c r="O211" s="30" t="str">
        <v>tengah</v>
      </c>
      <c r="P211" s="30"/>
      <c r="Q211" s="30"/>
      <c r="T211" s="30" t="str">
        <v>tengah</v>
      </c>
      <c r="U211" s="30"/>
      <c r="V211" s="30"/>
    </row>
    <row r="212" spans="5:22">
      <c r="E212" s="30" t="str">
        <v>kiri</v>
      </c>
      <c r="F212" s="30"/>
      <c r="G212" s="30"/>
      <c r="J212" s="30" t="str">
        <v>kiri</v>
      </c>
      <c r="K212" s="30"/>
      <c r="L212" s="30"/>
      <c r="O212" s="30" t="str">
        <v>kanan</v>
      </c>
      <c r="P212" s="30"/>
      <c r="Q212" s="30"/>
      <c r="T212" s="30" t="str">
        <v>kanan</v>
      </c>
      <c r="U212" s="30"/>
      <c r="V212" s="30"/>
    </row>
    <row r="213" spans="5:22">
      <c r="E213" s="30" t="str">
        <v>tengah</v>
      </c>
      <c r="F213" s="30"/>
      <c r="G213" s="30"/>
      <c r="J213" s="30" t="str">
        <v>kanan</v>
      </c>
      <c r="K213" s="30"/>
      <c r="L213" s="30"/>
      <c r="O213" s="30" t="str">
        <v>tengah</v>
      </c>
      <c r="P213" s="30"/>
      <c r="Q213" s="30"/>
      <c r="T213" s="30" t="str">
        <v>tengah</v>
      </c>
      <c r="U213" s="30"/>
      <c r="V213" s="30"/>
    </row>
    <row r="214" spans="5:22">
      <c r="E214" s="30" t="str">
        <v>tengah</v>
      </c>
      <c r="F214" s="30"/>
      <c r="G214" s="30"/>
      <c r="J214" s="30" t="str">
        <v>kanan</v>
      </c>
      <c r="K214" s="30"/>
      <c r="L214" s="30"/>
      <c r="O214" s="30" t="str">
        <v>tengah</v>
      </c>
      <c r="P214" s="30"/>
      <c r="Q214" s="30"/>
      <c r="T214" s="30" t="str">
        <v>tengah</v>
      </c>
      <c r="U214" s="30"/>
      <c r="V214" s="30"/>
    </row>
    <row r="215" spans="5:22">
      <c r="E215" s="30" t="str">
        <v>tengah</v>
      </c>
      <c r="F215" s="30"/>
      <c r="G215" s="30"/>
      <c r="J215" s="30" t="str">
        <v>tengah</v>
      </c>
      <c r="K215" s="30"/>
      <c r="L215" s="30"/>
      <c r="O215" s="30" t="str">
        <v>tengah</v>
      </c>
      <c r="P215" s="30"/>
      <c r="Q215" s="30"/>
      <c r="T215" s="30" t="str">
        <v>tengah</v>
      </c>
      <c r="U215" s="30"/>
      <c r="V215" s="30"/>
    </row>
    <row r="216" spans="5:22">
      <c r="E216" s="30" t="str">
        <v>kiri</v>
      </c>
      <c r="F216" s="30"/>
      <c r="G216" s="30"/>
      <c r="J216" s="30" t="str">
        <v>kiri</v>
      </c>
      <c r="K216" s="30"/>
      <c r="L216" s="30"/>
      <c r="O216" s="30" t="str">
        <v>tengah</v>
      </c>
      <c r="P216" s="30"/>
      <c r="Q216" s="30"/>
      <c r="T216" s="30" t="str">
        <v>kanan</v>
      </c>
      <c r="U216" s="30"/>
      <c r="V216" s="30"/>
    </row>
    <row r="217" spans="5:22">
      <c r="E217" s="30" t="str">
        <v>tengah</v>
      </c>
      <c r="F217" s="30"/>
      <c r="G217" s="30"/>
      <c r="J217" s="30" t="str">
        <v>kiri</v>
      </c>
      <c r="K217" s="30"/>
      <c r="L217" s="30"/>
      <c r="O217" s="30" t="str">
        <v>kanan</v>
      </c>
      <c r="P217" s="30"/>
      <c r="Q217" s="30"/>
      <c r="T217" s="30" t="str">
        <v>kanan</v>
      </c>
      <c r="U217" s="30"/>
      <c r="V217" s="30"/>
    </row>
    <row r="218" spans="5:22">
      <c r="E218" s="30" t="str">
        <v>kanan</v>
      </c>
      <c r="F218" s="30"/>
      <c r="G218" s="30"/>
      <c r="J218" s="30" t="str">
        <v>tengah</v>
      </c>
      <c r="K218" s="30"/>
      <c r="L218" s="30"/>
      <c r="O218" s="30" t="str">
        <v>tengah</v>
      </c>
      <c r="P218" s="30"/>
      <c r="Q218" s="30"/>
      <c r="T218" s="30" t="str">
        <v>kanan</v>
      </c>
      <c r="U218" s="30"/>
      <c r="V218" s="30"/>
    </row>
    <row r="219" spans="5:22">
      <c r="E219" s="30" t="str">
        <v>tengah</v>
      </c>
      <c r="F219" s="30"/>
      <c r="G219" s="30"/>
      <c r="J219" s="30" t="str">
        <v>kanan</v>
      </c>
      <c r="K219" s="30"/>
      <c r="L219" s="30"/>
      <c r="O219" s="30" t="str">
        <v>tengah</v>
      </c>
      <c r="P219" s="30"/>
      <c r="Q219" s="30"/>
      <c r="T219" s="30" t="str">
        <v>kanan</v>
      </c>
      <c r="U219" s="30"/>
      <c r="V219" s="30"/>
    </row>
    <row r="220" spans="5:22">
      <c r="E220" s="30" t="str">
        <v>kanan</v>
      </c>
      <c r="F220" s="30"/>
      <c r="G220" s="30"/>
      <c r="J220" s="30" t="str">
        <v>tengah</v>
      </c>
      <c r="K220" s="30"/>
      <c r="L220" s="30"/>
      <c r="O220" s="30" t="str">
        <v>kanan</v>
      </c>
      <c r="P220" s="30"/>
      <c r="Q220" s="30"/>
      <c r="T220" s="30" t="str">
        <v>kanan</v>
      </c>
      <c r="U220" s="30"/>
      <c r="V220" s="30"/>
    </row>
    <row r="221" spans="5:22">
      <c r="E221" s="30" t="str">
        <v>kanan</v>
      </c>
      <c r="F221" s="30"/>
      <c r="G221" s="30"/>
      <c r="J221" s="30" t="str">
        <v>kanan</v>
      </c>
      <c r="K221" s="30"/>
      <c r="L221" s="30"/>
      <c r="O221" s="30" t="str">
        <v>kiri</v>
      </c>
      <c r="P221" s="30"/>
      <c r="Q221" s="30"/>
      <c r="T221" s="30" t="str">
        <v>kanan</v>
      </c>
      <c r="U221" s="30"/>
      <c r="V221" s="30"/>
    </row>
    <row r="222" spans="5:22">
      <c r="E222" s="30" t="str">
        <v>tengah</v>
      </c>
      <c r="F222" s="30"/>
      <c r="G222" s="30"/>
      <c r="J222" s="30" t="str">
        <v>tengah</v>
      </c>
      <c r="K222" s="30"/>
      <c r="L222" s="30"/>
      <c r="O222" s="30" t="str">
        <v>tengah</v>
      </c>
      <c r="P222" s="30"/>
      <c r="Q222" s="30"/>
      <c r="T222" s="30" t="str">
        <v>tengah</v>
      </c>
      <c r="U222" s="30"/>
      <c r="V222" s="30"/>
    </row>
    <row r="223" spans="5:22">
      <c r="E223" s="30" t="str">
        <v>tengah</v>
      </c>
      <c r="F223" s="30"/>
      <c r="G223" s="30"/>
      <c r="J223" s="30" t="str">
        <v>tengah</v>
      </c>
      <c r="K223" s="30"/>
      <c r="L223" s="30"/>
      <c r="O223" s="30" t="str">
        <v>kiri</v>
      </c>
      <c r="P223" s="30"/>
      <c r="Q223" s="30"/>
      <c r="T223" s="30" t="str">
        <v>kanan</v>
      </c>
      <c r="U223" s="30"/>
      <c r="V223" s="30"/>
    </row>
    <row r="224" spans="5:22">
      <c r="E224" s="30" t="str">
        <v>tengah</v>
      </c>
      <c r="F224" s="30"/>
      <c r="G224" s="30"/>
      <c r="J224" s="30" t="str">
        <v>kanan</v>
      </c>
      <c r="K224" s="30"/>
      <c r="L224" s="30"/>
      <c r="O224" s="30" t="str">
        <v>tengah</v>
      </c>
      <c r="P224" s="30"/>
      <c r="Q224" s="30"/>
      <c r="T224" s="30" t="str">
        <v>kanan</v>
      </c>
      <c r="U224" s="30"/>
      <c r="V224" s="30"/>
    </row>
    <row r="225" spans="5:22">
      <c r="E225" s="30" t="str">
        <v>kiri</v>
      </c>
      <c r="F225" s="30"/>
      <c r="G225" s="30"/>
      <c r="J225" s="30" t="str">
        <v>tengah</v>
      </c>
      <c r="K225" s="30"/>
      <c r="L225" s="30"/>
      <c r="O225" s="30" t="str">
        <v>kiri</v>
      </c>
      <c r="P225" s="30"/>
      <c r="Q225" s="30"/>
      <c r="T225" s="30" t="str">
        <v>tengah</v>
      </c>
      <c r="U225" s="30"/>
      <c r="V225" s="30"/>
    </row>
    <row r="226" spans="5:22">
      <c r="E226" s="30" t="str">
        <v>kiri</v>
      </c>
      <c r="F226" s="30"/>
      <c r="G226" s="30"/>
      <c r="J226" s="30" t="str">
        <v>tengah</v>
      </c>
      <c r="K226" s="30"/>
      <c r="L226" s="30"/>
      <c r="O226" s="30" t="str">
        <v>tengah</v>
      </c>
      <c r="P226" s="30"/>
      <c r="Q226" s="30"/>
      <c r="T226" s="30" t="str">
        <v>kanan</v>
      </c>
      <c r="U226" s="30"/>
      <c r="V226" s="30"/>
    </row>
    <row r="227" spans="5:22">
      <c r="E227" s="30" t="str">
        <v>kiri</v>
      </c>
      <c r="F227" s="30"/>
      <c r="G227" s="30"/>
      <c r="J227" s="30" t="str">
        <v>kiri</v>
      </c>
      <c r="K227" s="30"/>
      <c r="L227" s="30"/>
      <c r="O227" s="30" t="str">
        <v>tengah</v>
      </c>
      <c r="P227" s="30"/>
      <c r="Q227" s="30"/>
      <c r="T227" s="30" t="str">
        <v>kanan</v>
      </c>
      <c r="U227" s="30"/>
      <c r="V227" s="30"/>
    </row>
    <row r="228" spans="5:22">
      <c r="E228" s="30" t="str">
        <v>kanan</v>
      </c>
      <c r="F228" s="30"/>
      <c r="G228" s="30"/>
      <c r="J228" s="30" t="str">
        <v>kanan</v>
      </c>
      <c r="K228" s="30"/>
      <c r="L228" s="30"/>
      <c r="O228" s="30" t="str">
        <v>kiri</v>
      </c>
      <c r="P228" s="30"/>
      <c r="Q228" s="30"/>
      <c r="T228" s="30" t="str">
        <v>kanan</v>
      </c>
      <c r="U228" s="30"/>
      <c r="V228" s="30"/>
    </row>
    <row r="229" spans="5:22">
      <c r="E229" s="30" t="str">
        <v>tengah</v>
      </c>
      <c r="F229" s="30"/>
      <c r="G229" s="30"/>
      <c r="J229" s="30" t="str">
        <v>kiri</v>
      </c>
      <c r="K229" s="30"/>
      <c r="L229" s="30"/>
      <c r="O229" s="30" t="str">
        <v>tengah</v>
      </c>
      <c r="P229" s="30"/>
      <c r="Q229" s="30"/>
      <c r="T229" s="30" t="str">
        <v>kanan</v>
      </c>
      <c r="U229" s="30"/>
      <c r="V229" s="30"/>
    </row>
    <row r="230" spans="5:22">
      <c r="E230" s="30" t="str">
        <v>tengah</v>
      </c>
      <c r="F230" s="30"/>
      <c r="G230" s="30"/>
      <c r="J230" s="30" t="str">
        <v>tengah</v>
      </c>
      <c r="K230" s="30"/>
      <c r="L230" s="30"/>
      <c r="O230" s="30" t="str">
        <v>tengah</v>
      </c>
      <c r="P230" s="30"/>
      <c r="Q230" s="30"/>
      <c r="T230" s="30" t="str">
        <v>kanan</v>
      </c>
      <c r="U230" s="30"/>
      <c r="V230" s="30"/>
    </row>
    <row r="231" spans="5:22">
      <c r="E231" s="30" t="str">
        <v>kiri</v>
      </c>
      <c r="F231" s="30"/>
      <c r="G231" s="30"/>
      <c r="J231" s="30" t="str">
        <v>kiri</v>
      </c>
      <c r="K231" s="30"/>
      <c r="L231" s="30"/>
      <c r="O231" s="30" t="str">
        <v>kanan</v>
      </c>
      <c r="P231" s="30"/>
      <c r="Q231" s="30"/>
      <c r="T231" s="30" t="str">
        <v>tengah</v>
      </c>
      <c r="U231" s="30"/>
      <c r="V231" s="30"/>
    </row>
    <row r="232" spans="5:22">
      <c r="E232" s="30" t="str">
        <v>kiri</v>
      </c>
      <c r="F232" s="30"/>
      <c r="G232" s="30"/>
      <c r="J232" s="30" t="str">
        <v>kanan</v>
      </c>
      <c r="K232" s="30"/>
      <c r="L232" s="30"/>
      <c r="O232" s="30" t="str">
        <v>tengah</v>
      </c>
      <c r="P232" s="30"/>
      <c r="Q232" s="30"/>
      <c r="T232" s="30" t="str">
        <v>kanan</v>
      </c>
      <c r="U232" s="30"/>
      <c r="V232" s="30"/>
    </row>
    <row r="233" spans="5:22">
      <c r="E233" s="30" t="str">
        <v>kiri</v>
      </c>
      <c r="F233" s="30"/>
      <c r="G233" s="30"/>
      <c r="J233" s="30" t="str">
        <v>kiri</v>
      </c>
      <c r="K233" s="30"/>
      <c r="L233" s="30"/>
      <c r="O233" s="30" t="str">
        <v>tengah</v>
      </c>
      <c r="P233" s="30"/>
      <c r="Q233" s="30"/>
      <c r="T233" s="30" t="str">
        <v>kanan</v>
      </c>
      <c r="U233" s="30"/>
      <c r="V233" s="30"/>
    </row>
    <row r="234" spans="5:22">
      <c r="E234" s="30" t="str">
        <v>tengah</v>
      </c>
      <c r="F234" s="30"/>
      <c r="G234" s="30"/>
      <c r="J234" s="30" t="str">
        <v>kanan</v>
      </c>
      <c r="K234" s="30"/>
      <c r="L234" s="30"/>
      <c r="O234" s="30" t="str">
        <v>tengah</v>
      </c>
      <c r="P234" s="30"/>
      <c r="Q234" s="30"/>
      <c r="T234" s="30" t="str">
        <v>kanan</v>
      </c>
      <c r="U234" s="30"/>
      <c r="V234" s="30"/>
    </row>
    <row r="235" spans="5:22">
      <c r="E235" s="30" t="str">
        <v>tengah</v>
      </c>
      <c r="F235" s="30"/>
      <c r="G235" s="30"/>
      <c r="J235" s="30" t="str">
        <v>kanan</v>
      </c>
      <c r="K235" s="30"/>
      <c r="L235" s="30"/>
      <c r="O235" s="30" t="str">
        <v>tengah</v>
      </c>
      <c r="P235" s="30"/>
      <c r="Q235" s="30"/>
      <c r="T235" s="30" t="str">
        <v>tengah</v>
      </c>
      <c r="U235" s="30"/>
      <c r="V235" s="30"/>
    </row>
    <row r="236" spans="5:22">
      <c r="E236" s="30" t="str">
        <v>tengah</v>
      </c>
      <c r="F236" s="30"/>
      <c r="G236" s="30"/>
      <c r="J236" s="30" t="str">
        <v>kanan</v>
      </c>
      <c r="K236" s="30"/>
      <c r="L236" s="30"/>
      <c r="O236" s="30" t="str">
        <v>tengah</v>
      </c>
      <c r="P236" s="30"/>
      <c r="Q236" s="30"/>
      <c r="T236" s="30" t="str">
        <v>tengah</v>
      </c>
      <c r="U236" s="30"/>
      <c r="V236" s="30"/>
    </row>
    <row r="237" spans="5:22">
      <c r="E237" s="30" t="str">
        <v>tengah</v>
      </c>
      <c r="F237" s="30"/>
      <c r="G237" s="30"/>
      <c r="J237" s="30" t="str">
        <v>tengah</v>
      </c>
      <c r="K237" s="30"/>
      <c r="L237" s="30"/>
      <c r="O237" s="30" t="str">
        <v>kiri</v>
      </c>
      <c r="P237" s="30"/>
      <c r="Q237" s="30"/>
      <c r="T237" s="30" t="str">
        <v>kanan</v>
      </c>
      <c r="U237" s="30"/>
      <c r="V237" s="30"/>
    </row>
    <row r="238" spans="5:22">
      <c r="E238" s="30" t="str">
        <v>tengah</v>
      </c>
      <c r="F238" s="30"/>
      <c r="G238" s="30"/>
      <c r="J238" s="30" t="str">
        <v>kiri</v>
      </c>
      <c r="K238" s="30"/>
      <c r="L238" s="30"/>
      <c r="O238" s="30" t="str">
        <v>kanan</v>
      </c>
      <c r="P238" s="30"/>
      <c r="Q238" s="30"/>
      <c r="T238" s="30" t="str">
        <v>tengah</v>
      </c>
      <c r="U238" s="30"/>
      <c r="V238" s="30"/>
    </row>
    <row r="239" spans="5:22">
      <c r="E239" s="30" t="str">
        <v>kiri</v>
      </c>
      <c r="F239" s="30"/>
      <c r="G239" s="30"/>
      <c r="J239" s="30" t="str">
        <v>tengah</v>
      </c>
      <c r="K239" s="30"/>
      <c r="L239" s="30"/>
      <c r="O239" s="30" t="str">
        <v>kiri</v>
      </c>
      <c r="P239" s="30"/>
      <c r="Q239" s="30"/>
      <c r="T239" s="30" t="str">
        <v>tengah</v>
      </c>
      <c r="U239" s="30"/>
      <c r="V239" s="30"/>
    </row>
    <row r="240" spans="5:22">
      <c r="E240" s="30" t="str">
        <v>kiri</v>
      </c>
      <c r="F240" s="30"/>
      <c r="G240" s="30"/>
      <c r="J240" s="30" t="str">
        <v>kiri</v>
      </c>
      <c r="K240" s="30"/>
      <c r="L240" s="30"/>
      <c r="O240" s="30" t="str">
        <v>tengah</v>
      </c>
      <c r="P240" s="30"/>
      <c r="Q240" s="30"/>
      <c r="T240" s="30" t="str">
        <v>kanan</v>
      </c>
      <c r="U240" s="30"/>
      <c r="V240" s="30"/>
    </row>
    <row r="241" spans="5:22">
      <c r="E241" s="30" t="str">
        <v>kanan</v>
      </c>
      <c r="F241" s="30"/>
      <c r="G241" s="30"/>
      <c r="J241" s="30" t="str">
        <v>kanan</v>
      </c>
      <c r="K241" s="30"/>
      <c r="L241" s="30"/>
      <c r="O241" s="30" t="str">
        <v>tengah</v>
      </c>
      <c r="P241" s="30"/>
      <c r="Q241" s="30"/>
      <c r="T241" s="30" t="str">
        <v>kanan</v>
      </c>
      <c r="U241" s="30"/>
      <c r="V241" s="30"/>
    </row>
    <row r="242" spans="5:22">
      <c r="E242" s="30" t="str">
        <v>tengah</v>
      </c>
      <c r="F242" s="30"/>
      <c r="G242" s="30"/>
      <c r="J242" s="30" t="str">
        <v>tengah</v>
      </c>
      <c r="K242" s="30"/>
      <c r="L242" s="30"/>
      <c r="O242" s="30" t="str">
        <v>tengah</v>
      </c>
      <c r="P242" s="30"/>
      <c r="Q242" s="30"/>
      <c r="T242" s="30" t="str">
        <v>tengah</v>
      </c>
      <c r="U242" s="30"/>
      <c r="V242" s="30"/>
    </row>
    <row r="243" spans="5:22">
      <c r="E243" s="30" t="str">
        <v>tengah</v>
      </c>
      <c r="F243" s="30"/>
      <c r="G243" s="30"/>
      <c r="J243" s="30" t="str">
        <v>tengah</v>
      </c>
      <c r="K243" s="30"/>
      <c r="L243" s="30"/>
      <c r="O243" s="30" t="str">
        <v>kiri</v>
      </c>
      <c r="P243" s="30"/>
      <c r="Q243" s="30"/>
      <c r="T243" s="30" t="str">
        <v>kanan</v>
      </c>
      <c r="U243" s="30"/>
      <c r="V243" s="30"/>
    </row>
    <row r="244" spans="5:22">
      <c r="E244" s="30" t="str">
        <v>tengah</v>
      </c>
      <c r="F244" s="30"/>
      <c r="G244" s="30"/>
      <c r="J244" s="30" t="str">
        <v>kanan</v>
      </c>
      <c r="K244" s="30"/>
      <c r="L244" s="30"/>
      <c r="O244" s="30" t="str">
        <v>tengah</v>
      </c>
      <c r="P244" s="30"/>
      <c r="Q244" s="30"/>
      <c r="T244" s="30" t="str">
        <v>kanan</v>
      </c>
      <c r="U244" s="30"/>
      <c r="V244" s="30"/>
    </row>
    <row r="245" spans="5:22">
      <c r="E245" s="30" t="str">
        <v>tengah</v>
      </c>
      <c r="F245" s="30"/>
      <c r="G245" s="30"/>
      <c r="J245" s="30" t="str">
        <v>kiri</v>
      </c>
      <c r="K245" s="30"/>
      <c r="L245" s="30"/>
      <c r="O245" s="30" t="str">
        <v>tengah</v>
      </c>
      <c r="P245" s="30"/>
      <c r="Q245" s="30"/>
      <c r="T245" s="30" t="str">
        <v>kanan</v>
      </c>
      <c r="U245" s="30"/>
      <c r="V245" s="30"/>
    </row>
    <row r="246" spans="5:22">
      <c r="E246" s="30" t="str">
        <v>tengah</v>
      </c>
      <c r="F246" s="30"/>
      <c r="G246" s="30"/>
      <c r="J246" s="30" t="str">
        <v>tengah</v>
      </c>
      <c r="K246" s="30"/>
      <c r="L246" s="30"/>
      <c r="O246" s="30" t="str">
        <v>kanan</v>
      </c>
      <c r="P246" s="30"/>
      <c r="Q246" s="30"/>
      <c r="T246" s="30" t="str">
        <v>kanan</v>
      </c>
      <c r="U246" s="30"/>
      <c r="V246" s="30"/>
    </row>
    <row r="247" spans="5:22">
      <c r="E247" s="30" t="str">
        <v>kiri</v>
      </c>
      <c r="F247" s="30"/>
      <c r="G247" s="30"/>
      <c r="J247" s="30" t="str">
        <v>tengah</v>
      </c>
      <c r="K247" s="30"/>
      <c r="L247" s="30"/>
      <c r="O247" s="30" t="str">
        <v>kanan</v>
      </c>
      <c r="P247" s="30"/>
      <c r="Q247" s="30"/>
      <c r="T247" s="30" t="str">
        <v>tengah</v>
      </c>
      <c r="U247" s="30"/>
      <c r="V247" s="30"/>
    </row>
    <row r="248" spans="5:22">
      <c r="E248" s="30" t="str">
        <v>tengah</v>
      </c>
      <c r="F248" s="30"/>
      <c r="G248" s="30"/>
      <c r="J248" s="30" t="str">
        <v>tengah</v>
      </c>
      <c r="K248" s="30"/>
      <c r="L248" s="30"/>
      <c r="O248" s="30" t="str">
        <v>kanan</v>
      </c>
      <c r="P248" s="30"/>
      <c r="Q248" s="30"/>
      <c r="T248" s="30" t="str">
        <v>kanan</v>
      </c>
      <c r="U248" s="30"/>
      <c r="V248" s="30"/>
    </row>
    <row r="249" spans="5:22">
      <c r="E249" s="30" t="str">
        <v>tengah</v>
      </c>
      <c r="F249" s="30"/>
      <c r="G249" s="30"/>
      <c r="J249" s="30" t="str">
        <v>tengah</v>
      </c>
      <c r="K249" s="30"/>
      <c r="L249" s="30"/>
      <c r="O249" s="30" t="str">
        <v>kanan</v>
      </c>
      <c r="P249" s="30"/>
      <c r="Q249" s="30"/>
      <c r="T249" s="30" t="str">
        <v>kanan</v>
      </c>
      <c r="U249" s="30"/>
      <c r="V249" s="30"/>
    </row>
    <row r="250" spans="5:22">
      <c r="E250" s="30" t="str">
        <v>kiri</v>
      </c>
      <c r="F250" s="30"/>
      <c r="G250" s="30"/>
      <c r="J250" s="30" t="str">
        <v>tengah</v>
      </c>
      <c r="K250" s="30"/>
      <c r="L250" s="30"/>
      <c r="O250" s="30" t="str">
        <v>kiri</v>
      </c>
      <c r="P250" s="30"/>
      <c r="Q250" s="30"/>
      <c r="T250" s="30" t="str">
        <v>tengah</v>
      </c>
      <c r="U250" s="30"/>
      <c r="V250" s="30"/>
    </row>
    <row r="251" spans="5:22">
      <c r="E251" s="30" t="str">
        <v>tengah</v>
      </c>
      <c r="F251" s="30"/>
      <c r="G251" s="30"/>
      <c r="J251" s="30" t="str">
        <v>tengah</v>
      </c>
      <c r="K251" s="30"/>
      <c r="L251" s="30"/>
      <c r="O251" s="30" t="str">
        <v>tengah</v>
      </c>
      <c r="P251" s="30"/>
      <c r="Q251" s="30"/>
      <c r="T251" s="30" t="str">
        <v>kanan</v>
      </c>
      <c r="U251" s="30"/>
      <c r="V251" s="30"/>
    </row>
    <row r="252" spans="5:22">
      <c r="E252" s="30" t="str">
        <v>kiri</v>
      </c>
      <c r="F252" s="30"/>
      <c r="G252" s="30"/>
      <c r="J252" s="30" t="str">
        <v>tengah</v>
      </c>
      <c r="K252" s="30"/>
      <c r="L252" s="30"/>
      <c r="O252" s="30" t="str">
        <v>kiri</v>
      </c>
      <c r="P252" s="30"/>
      <c r="Q252" s="30"/>
      <c r="T252" s="30" t="str">
        <v>tengah</v>
      </c>
      <c r="U252" s="30"/>
      <c r="V252" s="30"/>
    </row>
    <row r="253" spans="5:22">
      <c r="E253" s="30" t="str">
        <v>kiri</v>
      </c>
      <c r="F253" s="30"/>
      <c r="G253" s="30"/>
      <c r="J253" s="30" t="str">
        <v>kiri</v>
      </c>
      <c r="K253" s="30"/>
      <c r="L253" s="30"/>
      <c r="O253" s="30" t="str">
        <v>kiri</v>
      </c>
      <c r="P253" s="30"/>
      <c r="Q253" s="30"/>
      <c r="T253" s="30" t="str">
        <v>kanan</v>
      </c>
      <c r="U253" s="30"/>
      <c r="V253" s="30"/>
    </row>
    <row r="254" spans="5:22">
      <c r="E254" s="30" t="str">
        <v>tengah</v>
      </c>
      <c r="F254" s="30"/>
      <c r="G254" s="30"/>
      <c r="J254" s="30" t="str">
        <v>kiri</v>
      </c>
      <c r="K254" s="30"/>
      <c r="L254" s="30"/>
      <c r="O254" s="30" t="str">
        <v>tengah</v>
      </c>
      <c r="P254" s="30"/>
      <c r="Q254" s="30"/>
      <c r="T254" s="30" t="str">
        <v>tengah</v>
      </c>
      <c r="U254" s="30"/>
      <c r="V254" s="30"/>
    </row>
    <row r="255" spans="5:22">
      <c r="E255" s="30" t="str">
        <v>kiri</v>
      </c>
      <c r="F255" s="30"/>
      <c r="G255" s="30"/>
      <c r="J255" s="30" t="str">
        <v>tengah</v>
      </c>
      <c r="K255" s="30"/>
      <c r="L255" s="30"/>
      <c r="O255" s="30" t="str">
        <v>kanan</v>
      </c>
      <c r="P255" s="30"/>
      <c r="Q255" s="30"/>
      <c r="T255" s="30" t="str">
        <v>tengah</v>
      </c>
      <c r="U255" s="30"/>
      <c r="V255" s="30"/>
    </row>
    <row r="256" spans="5:22">
      <c r="E256" s="30" t="str">
        <v>tengah</v>
      </c>
      <c r="F256" s="30"/>
      <c r="G256" s="30"/>
      <c r="J256" s="30" t="str">
        <v>tengah</v>
      </c>
      <c r="K256" s="30"/>
      <c r="L256" s="30"/>
      <c r="O256" s="30" t="str">
        <v>tengah</v>
      </c>
      <c r="P256" s="30"/>
      <c r="Q256" s="30"/>
      <c r="T256" s="30" t="str">
        <v>tengah</v>
      </c>
      <c r="U256" s="30"/>
      <c r="V256" s="30"/>
    </row>
    <row r="257" spans="5:22">
      <c r="E257" s="30" t="str">
        <v>kiri</v>
      </c>
      <c r="F257" s="30"/>
      <c r="G257" s="30"/>
      <c r="J257" s="30" t="str">
        <v>kiri</v>
      </c>
      <c r="K257" s="30"/>
      <c r="L257" s="30"/>
      <c r="O257" s="30" t="str">
        <v>kanan</v>
      </c>
      <c r="P257" s="30"/>
      <c r="Q257" s="30"/>
      <c r="T257" s="30" t="str">
        <v>kanan</v>
      </c>
      <c r="U257" s="30"/>
      <c r="V257" s="30"/>
    </row>
    <row r="258" spans="5:22">
      <c r="E258" s="30" t="str">
        <v>tengah</v>
      </c>
      <c r="F258" s="30"/>
      <c r="G258" s="30"/>
      <c r="J258" s="30" t="str">
        <v>tengah</v>
      </c>
      <c r="K258" s="30"/>
      <c r="L258" s="30"/>
      <c r="O258" s="30" t="str">
        <v>kiri</v>
      </c>
      <c r="P258" s="30"/>
      <c r="Q258" s="30"/>
      <c r="T258" s="30" t="str">
        <v>kanan</v>
      </c>
      <c r="U258" s="30"/>
      <c r="V258" s="30"/>
    </row>
    <row r="259" spans="5:22">
      <c r="E259" s="30" t="str">
        <v>tengah</v>
      </c>
      <c r="F259" s="30"/>
      <c r="G259" s="30"/>
      <c r="J259" s="30" t="str">
        <v>tengah</v>
      </c>
      <c r="K259" s="30"/>
      <c r="L259" s="30"/>
      <c r="O259" s="30" t="str">
        <v>tengah</v>
      </c>
      <c r="P259" s="30"/>
      <c r="Q259" s="30"/>
      <c r="T259" s="30" t="str">
        <v>tengah</v>
      </c>
      <c r="U259" s="30"/>
      <c r="V259" s="30"/>
    </row>
    <row r="260" spans="5:22">
      <c r="E260" s="30" t="str">
        <v>kiri</v>
      </c>
      <c r="F260" s="30"/>
      <c r="G260" s="30"/>
      <c r="J260" s="30" t="str">
        <v>tengah</v>
      </c>
      <c r="K260" s="30"/>
      <c r="L260" s="30"/>
      <c r="O260" s="30" t="str">
        <v>kiri</v>
      </c>
      <c r="P260" s="30"/>
      <c r="Q260" s="30"/>
      <c r="T260" s="30" t="str">
        <v>tengah</v>
      </c>
      <c r="U260" s="30"/>
      <c r="V260" s="30"/>
    </row>
    <row r="261" spans="5:22">
      <c r="E261" s="30" t="str">
        <v>kiri</v>
      </c>
      <c r="F261" s="30"/>
      <c r="G261" s="30"/>
      <c r="J261" s="30" t="str">
        <v>kiri</v>
      </c>
      <c r="K261" s="30"/>
      <c r="L261" s="30"/>
      <c r="O261" s="30" t="str">
        <v>tengah</v>
      </c>
      <c r="P261" s="30"/>
      <c r="Q261" s="30"/>
      <c r="T261" s="30" t="str">
        <v>tengah</v>
      </c>
      <c r="U261" s="30"/>
      <c r="V261" s="30"/>
    </row>
    <row r="262" spans="5:22">
      <c r="E262" s="30" t="str">
        <v>kiri</v>
      </c>
      <c r="F262" s="30"/>
      <c r="G262" s="30"/>
      <c r="J262" s="30" t="str">
        <v>tengah</v>
      </c>
      <c r="K262" s="30"/>
      <c r="L262" s="30"/>
      <c r="O262" s="30" t="str">
        <v>tengah</v>
      </c>
      <c r="P262" s="30"/>
      <c r="Q262" s="30"/>
      <c r="T262" s="30" t="str">
        <v>kanan</v>
      </c>
      <c r="U262" s="30"/>
      <c r="V262" s="30"/>
    </row>
    <row r="263" spans="5:22">
      <c r="E263" s="30" t="str">
        <v>tengah</v>
      </c>
      <c r="F263" s="30"/>
      <c r="G263" s="30"/>
      <c r="J263" s="30" t="str">
        <v>tengah</v>
      </c>
      <c r="K263" s="30"/>
      <c r="L263" s="30"/>
      <c r="O263" s="30" t="str">
        <v>kanan</v>
      </c>
      <c r="P263" s="30"/>
      <c r="Q263" s="30"/>
      <c r="T263" s="30" t="str">
        <v>tengah</v>
      </c>
      <c r="U263" s="30"/>
      <c r="V263" s="30"/>
    </row>
    <row r="264" spans="5:22">
      <c r="E264" s="30" t="str">
        <v>tengah</v>
      </c>
      <c r="F264" s="30"/>
      <c r="G264" s="30"/>
      <c r="J264" s="30" t="str">
        <v>tengah</v>
      </c>
      <c r="K264" s="30"/>
      <c r="L264" s="30"/>
      <c r="O264" s="30" t="str">
        <v>tengah</v>
      </c>
      <c r="P264" s="30"/>
      <c r="Q264" s="30"/>
      <c r="T264" s="30" t="str">
        <v>kanan</v>
      </c>
      <c r="U264" s="30"/>
      <c r="V264" s="30"/>
    </row>
    <row r="265" spans="5:22">
      <c r="E265" s="30" t="str">
        <v>tengah</v>
      </c>
      <c r="F265" s="30"/>
      <c r="G265" s="30"/>
      <c r="J265" s="30" t="str">
        <v>kiri</v>
      </c>
      <c r="K265" s="30"/>
      <c r="L265" s="30"/>
      <c r="O265" s="30" t="str">
        <v>tengah</v>
      </c>
      <c r="P265" s="30"/>
      <c r="Q265" s="30"/>
      <c r="T265" s="30" t="str">
        <v>kanan</v>
      </c>
      <c r="U265" s="30"/>
      <c r="V265" s="30"/>
    </row>
    <row r="266" spans="5:22">
      <c r="E266" s="30" t="str">
        <v>tengah</v>
      </c>
      <c r="F266" s="30"/>
      <c r="G266" s="30"/>
      <c r="J266" s="30" t="str">
        <v>kanan</v>
      </c>
      <c r="K266" s="30"/>
      <c r="L266" s="30"/>
      <c r="O266" s="30" t="str">
        <v>tengah</v>
      </c>
      <c r="P266" s="30"/>
      <c r="Q266" s="30"/>
      <c r="T266" s="30" t="str">
        <v>kanan</v>
      </c>
      <c r="U266" s="30"/>
      <c r="V266" s="30"/>
    </row>
    <row r="267" spans="5:22">
      <c r="E267" s="30" t="str">
        <v>kiri</v>
      </c>
      <c r="F267" s="30"/>
      <c r="G267" s="30"/>
      <c r="J267" s="30" t="str">
        <v>tengah</v>
      </c>
      <c r="K267" s="30"/>
      <c r="L267" s="30"/>
      <c r="O267" s="30" t="str">
        <v>tengah</v>
      </c>
      <c r="P267" s="30"/>
      <c r="Q267" s="30"/>
      <c r="T267" s="30" t="str">
        <v>kanan</v>
      </c>
      <c r="U267" s="30"/>
      <c r="V267" s="30"/>
    </row>
    <row r="268" spans="5:22">
      <c r="E268" s="30" t="str">
        <v>tengah</v>
      </c>
      <c r="F268" s="30"/>
      <c r="G268" s="30"/>
      <c r="J268" s="30" t="str">
        <v>tengah</v>
      </c>
      <c r="K268" s="30"/>
      <c r="L268" s="30"/>
      <c r="O268" s="30" t="str">
        <v>kiri</v>
      </c>
      <c r="P268" s="30"/>
      <c r="Q268" s="30"/>
      <c r="T268" s="30" t="str">
        <v>kanan</v>
      </c>
      <c r="U268" s="30"/>
      <c r="V268" s="30"/>
    </row>
    <row r="269" spans="5:22">
      <c r="E269" s="30" t="str">
        <v>tengah</v>
      </c>
      <c r="F269" s="30"/>
      <c r="G269" s="30"/>
      <c r="J269" s="30" t="str">
        <v>kanan</v>
      </c>
      <c r="K269" s="30"/>
      <c r="L269" s="30"/>
      <c r="O269" s="30" t="str">
        <v>tengah</v>
      </c>
      <c r="P269" s="30"/>
      <c r="Q269" s="30"/>
      <c r="T269" s="30" t="str">
        <v>tengah</v>
      </c>
      <c r="U269" s="30"/>
      <c r="V269" s="30"/>
    </row>
    <row r="270" spans="5:22">
      <c r="E270" s="30" t="str">
        <v>kiri</v>
      </c>
      <c r="F270" s="30"/>
      <c r="G270" s="30"/>
      <c r="J270" s="30" t="str">
        <v>kiri</v>
      </c>
      <c r="K270" s="30"/>
      <c r="L270" s="30"/>
      <c r="O270" s="30" t="str">
        <v>tengah</v>
      </c>
      <c r="P270" s="30"/>
      <c r="Q270" s="30"/>
      <c r="T270" s="30" t="str">
        <v>tengah</v>
      </c>
      <c r="U270" s="30"/>
      <c r="V270" s="30"/>
    </row>
    <row r="271" spans="5:22">
      <c r="E271" s="30" t="str">
        <v>kiri</v>
      </c>
      <c r="F271" s="30"/>
      <c r="G271" s="30"/>
      <c r="J271" s="30" t="str">
        <v>kiri</v>
      </c>
      <c r="K271" s="30"/>
      <c r="L271" s="30"/>
      <c r="O271" s="30" t="str">
        <v>kiri</v>
      </c>
      <c r="P271" s="30"/>
      <c r="Q271" s="30"/>
      <c r="T271" s="30" t="str">
        <v>kanan</v>
      </c>
      <c r="U271" s="30"/>
      <c r="V271" s="30"/>
    </row>
    <row r="272" spans="5:22">
      <c r="E272" s="30" t="str">
        <v>tengah</v>
      </c>
      <c r="F272" s="30"/>
      <c r="G272" s="30"/>
      <c r="J272" s="30" t="str">
        <v>tengah</v>
      </c>
      <c r="K272" s="30"/>
      <c r="L272" s="30"/>
      <c r="O272" s="30" t="str">
        <v>kiri</v>
      </c>
      <c r="P272" s="30"/>
      <c r="Q272" s="30"/>
      <c r="T272" s="30" t="str">
        <v>kanan</v>
      </c>
      <c r="U272" s="30"/>
      <c r="V272" s="30"/>
    </row>
    <row r="273" spans="5:22">
      <c r="E273" s="30" t="str">
        <v>kanan</v>
      </c>
      <c r="F273" s="30"/>
      <c r="G273" s="30"/>
      <c r="J273" s="30" t="str">
        <v>kanan</v>
      </c>
      <c r="K273" s="30"/>
      <c r="L273" s="30"/>
      <c r="O273" s="30" t="str">
        <v>tengah</v>
      </c>
      <c r="P273" s="30"/>
      <c r="Q273" s="30"/>
      <c r="T273" s="30" t="str">
        <v>tengah</v>
      </c>
      <c r="U273" s="30"/>
      <c r="V273" s="30"/>
    </row>
    <row r="274" spans="5:22">
      <c r="E274" s="30" t="str">
        <v>tengah</v>
      </c>
      <c r="F274" s="30"/>
      <c r="G274" s="30"/>
      <c r="J274" s="30" t="str">
        <v>tengah</v>
      </c>
      <c r="K274" s="30"/>
      <c r="L274" s="30"/>
      <c r="O274" s="30" t="str">
        <v>tengah</v>
      </c>
      <c r="P274" s="30"/>
      <c r="Q274" s="30"/>
      <c r="T274" s="30" t="str">
        <v>kanan</v>
      </c>
      <c r="U274" s="30"/>
      <c r="V274" s="30"/>
    </row>
    <row r="275" spans="5:22">
      <c r="E275" s="30" t="str">
        <v>kiri</v>
      </c>
      <c r="F275" s="30"/>
      <c r="G275" s="30"/>
      <c r="J275" s="30" t="str">
        <v>kanan</v>
      </c>
      <c r="K275" s="30"/>
      <c r="L275" s="30"/>
      <c r="O275" s="30" t="str">
        <v>tengah</v>
      </c>
      <c r="P275" s="30"/>
      <c r="Q275" s="30"/>
      <c r="T275" s="30" t="str">
        <v>kanan</v>
      </c>
      <c r="U275" s="30"/>
      <c r="V275" s="30"/>
    </row>
    <row r="276" spans="5:22">
      <c r="E276" s="30" t="str">
        <v>kanan</v>
      </c>
      <c r="F276" s="30"/>
      <c r="G276" s="30"/>
      <c r="J276" s="30" t="str">
        <v>kanan</v>
      </c>
      <c r="K276" s="30"/>
      <c r="L276" s="30"/>
      <c r="O276" s="30" t="str">
        <v>kanan</v>
      </c>
      <c r="P276" s="30"/>
      <c r="Q276" s="30"/>
      <c r="T276" s="30" t="str">
        <v>kanan</v>
      </c>
      <c r="U276" s="30"/>
      <c r="V276" s="30"/>
    </row>
    <row r="277" spans="5:22">
      <c r="E277" s="30" t="str">
        <v>kanan</v>
      </c>
      <c r="F277" s="30"/>
      <c r="G277" s="30"/>
      <c r="J277" s="30" t="str">
        <v>kanan</v>
      </c>
      <c r="K277" s="30"/>
      <c r="L277" s="30"/>
      <c r="O277" s="30" t="str">
        <v>tengah</v>
      </c>
      <c r="P277" s="30"/>
      <c r="Q277" s="30"/>
      <c r="T277" s="30" t="str">
        <v>kanan</v>
      </c>
      <c r="U277" s="30"/>
      <c r="V277" s="30"/>
    </row>
    <row r="278" spans="5:22">
      <c r="E278" s="30" t="str">
        <v>tengah</v>
      </c>
      <c r="F278" s="30"/>
      <c r="G278" s="30"/>
      <c r="J278" s="30" t="str">
        <v>kiri</v>
      </c>
      <c r="K278" s="30"/>
      <c r="L278" s="30"/>
      <c r="O278" s="30" t="str">
        <v>tengah</v>
      </c>
      <c r="P278" s="30"/>
      <c r="Q278" s="30"/>
      <c r="T278" s="30" t="str">
        <v>tengah</v>
      </c>
      <c r="U278" s="30"/>
      <c r="V278" s="30"/>
    </row>
    <row r="279" spans="5:22">
      <c r="E279" s="30" t="str">
        <v>kiri</v>
      </c>
      <c r="F279" s="30"/>
      <c r="G279" s="30"/>
      <c r="J279" s="30" t="str">
        <v>tengah</v>
      </c>
      <c r="K279" s="30"/>
      <c r="L279" s="30"/>
      <c r="O279" s="30" t="str">
        <v>kanan</v>
      </c>
      <c r="P279" s="30"/>
      <c r="Q279" s="30"/>
      <c r="T279" s="30" t="str">
        <v>kanan</v>
      </c>
      <c r="U279" s="30"/>
      <c r="V279" s="30"/>
    </row>
    <row r="280" spans="5:22">
      <c r="E280" s="30" t="str">
        <v>tengah</v>
      </c>
      <c r="F280" s="30"/>
      <c r="G280" s="30"/>
      <c r="J280" s="30" t="str">
        <v>kanan</v>
      </c>
      <c r="K280" s="30"/>
      <c r="L280" s="30"/>
      <c r="O280" s="30" t="str">
        <v>tengah</v>
      </c>
      <c r="P280" s="30"/>
      <c r="Q280" s="30"/>
      <c r="T280" s="30" t="str">
        <v>tengah</v>
      </c>
      <c r="U280" s="30"/>
      <c r="V280" s="30"/>
    </row>
    <row r="281" spans="5:22">
      <c r="E281" s="30" t="str">
        <v>tengah</v>
      </c>
      <c r="F281" s="30"/>
      <c r="G281" s="30"/>
      <c r="J281" s="30" t="str">
        <v>tengah</v>
      </c>
      <c r="K281" s="30"/>
      <c r="L281" s="30"/>
      <c r="O281" s="30" t="str">
        <v>tengah</v>
      </c>
      <c r="P281" s="30"/>
      <c r="Q281" s="30"/>
      <c r="T281" s="30" t="str">
        <v>kanan</v>
      </c>
      <c r="U281" s="30"/>
      <c r="V281" s="30"/>
    </row>
    <row r="282" spans="5:22">
      <c r="E282" s="30" t="str">
        <v>tengah</v>
      </c>
      <c r="F282" s="30"/>
      <c r="G282" s="30"/>
      <c r="J282" s="30" t="str">
        <v>kiri</v>
      </c>
      <c r="K282" s="30"/>
      <c r="L282" s="30"/>
      <c r="O282" s="30" t="str">
        <v>tengah</v>
      </c>
      <c r="P282" s="30"/>
      <c r="Q282" s="30"/>
      <c r="T282" s="30" t="str">
        <v>kanan</v>
      </c>
      <c r="U282" s="30"/>
      <c r="V282" s="30"/>
    </row>
    <row r="283" spans="5:22">
      <c r="E283" s="30" t="str">
        <v>tengah</v>
      </c>
      <c r="F283" s="30"/>
      <c r="G283" s="30"/>
      <c r="J283" s="30" t="str">
        <v>tengah</v>
      </c>
      <c r="K283" s="30"/>
      <c r="L283" s="30"/>
      <c r="O283" s="30" t="str">
        <v>tengah</v>
      </c>
      <c r="P283" s="30"/>
      <c r="Q283" s="30"/>
      <c r="T283" s="30" t="str">
        <v>kanan</v>
      </c>
      <c r="U283" s="30"/>
      <c r="V283" s="30"/>
    </row>
    <row r="284" spans="5:22">
      <c r="E284" s="30" t="str">
        <v>kiri</v>
      </c>
      <c r="F284" s="30"/>
      <c r="G284" s="30"/>
      <c r="J284" s="30" t="str">
        <v>tengah</v>
      </c>
      <c r="K284" s="30"/>
      <c r="L284" s="30"/>
      <c r="O284" s="30" t="str">
        <v>kiri</v>
      </c>
      <c r="P284" s="30"/>
      <c r="Q284" s="30"/>
      <c r="T284" s="30" t="str">
        <v>kanan</v>
      </c>
      <c r="U284" s="30"/>
      <c r="V284" s="30"/>
    </row>
    <row r="285" spans="5:22">
      <c r="E285" s="30" t="str">
        <v>tengah</v>
      </c>
      <c r="F285" s="30"/>
      <c r="G285" s="30"/>
      <c r="J285" s="30" t="str">
        <v>tengah</v>
      </c>
      <c r="K285" s="30"/>
      <c r="L285" s="30"/>
      <c r="O285" s="30" t="str">
        <v>kiri</v>
      </c>
      <c r="P285" s="30"/>
      <c r="Q285" s="30"/>
      <c r="T285" s="30" t="str">
        <v>kanan</v>
      </c>
      <c r="U285" s="30"/>
      <c r="V285" s="30"/>
    </row>
    <row r="286" spans="5:22">
      <c r="E286" s="30" t="str">
        <v>kiri</v>
      </c>
      <c r="F286" s="30"/>
      <c r="G286" s="30"/>
      <c r="J286" s="30" t="str">
        <v>kiri</v>
      </c>
      <c r="K286" s="30"/>
      <c r="L286" s="30"/>
      <c r="O286" s="30" t="str">
        <v>tengah</v>
      </c>
      <c r="P286" s="30"/>
      <c r="Q286" s="30"/>
      <c r="T286" s="30" t="str">
        <v>kanan</v>
      </c>
      <c r="U286" s="30"/>
      <c r="V286" s="30"/>
    </row>
    <row r="287" spans="5:22">
      <c r="E287" s="30" t="str">
        <v>tengah</v>
      </c>
      <c r="F287" s="30"/>
      <c r="G287" s="30"/>
      <c r="J287" s="30" t="str">
        <v>kanan</v>
      </c>
      <c r="K287" s="30"/>
      <c r="L287" s="30"/>
      <c r="O287" s="30" t="str">
        <v>tengah</v>
      </c>
      <c r="P287" s="30"/>
      <c r="Q287" s="30"/>
      <c r="T287" s="30" t="str">
        <v>tengah</v>
      </c>
      <c r="U287" s="30"/>
      <c r="V287" s="30"/>
    </row>
    <row r="288" spans="5:22">
      <c r="E288" s="30" t="str">
        <v>kiri</v>
      </c>
      <c r="F288" s="30"/>
      <c r="G288" s="30"/>
      <c r="J288" s="30" t="str">
        <v>kiri</v>
      </c>
      <c r="K288" s="30"/>
      <c r="L288" s="30"/>
      <c r="O288" s="30" t="str">
        <v>tengah</v>
      </c>
      <c r="P288" s="30"/>
      <c r="Q288" s="30"/>
      <c r="T288" s="30" t="str">
        <v>tengah</v>
      </c>
      <c r="U288" s="30"/>
      <c r="V288" s="30"/>
    </row>
    <row r="289" spans="5:22">
      <c r="E289" s="30" t="str">
        <v>tengah</v>
      </c>
      <c r="F289" s="30"/>
      <c r="G289" s="30"/>
      <c r="J289" s="30" t="str">
        <v>kanan</v>
      </c>
      <c r="K289" s="30"/>
      <c r="L289" s="30"/>
      <c r="O289" s="30" t="str">
        <v>tengah</v>
      </c>
      <c r="P289" s="30"/>
      <c r="Q289" s="30"/>
      <c r="T289" s="30" t="str">
        <v>kanan</v>
      </c>
      <c r="U289" s="30"/>
      <c r="V289" s="30"/>
    </row>
    <row r="290" spans="5:22">
      <c r="E290" s="30" t="str">
        <v>tengah</v>
      </c>
      <c r="F290" s="30"/>
      <c r="G290" s="30"/>
      <c r="J290" s="30" t="str">
        <v>kiri</v>
      </c>
      <c r="K290" s="30"/>
      <c r="L290" s="30"/>
      <c r="O290" s="30" t="str">
        <v>tengah</v>
      </c>
      <c r="P290" s="30"/>
      <c r="Q290" s="30"/>
      <c r="T290" s="30" t="str">
        <v>tengah</v>
      </c>
      <c r="U290" s="30"/>
      <c r="V290" s="30"/>
    </row>
    <row r="291" spans="5:22">
      <c r="E291" s="30" t="str">
        <v>kiri</v>
      </c>
      <c r="F291" s="30"/>
      <c r="G291" s="30"/>
      <c r="J291" s="30" t="str">
        <v>tengah</v>
      </c>
      <c r="K291" s="30"/>
      <c r="L291" s="30"/>
      <c r="O291" s="30" t="str">
        <v>kiri</v>
      </c>
      <c r="P291" s="30"/>
      <c r="Q291" s="30"/>
      <c r="T291" s="30" t="str">
        <v>tengah</v>
      </c>
      <c r="U291" s="30"/>
      <c r="V291" s="30"/>
    </row>
    <row r="292" spans="5:22">
      <c r="E292" s="30" t="str">
        <v>kiri</v>
      </c>
      <c r="F292" s="30"/>
      <c r="G292" s="30"/>
      <c r="J292" s="30" t="str">
        <v>tengah</v>
      </c>
      <c r="K292" s="30"/>
      <c r="L292" s="30"/>
      <c r="O292" s="30" t="str">
        <v>tengah</v>
      </c>
      <c r="P292" s="30"/>
      <c r="Q292" s="30"/>
      <c r="T292" s="30" t="str">
        <v>tengah</v>
      </c>
      <c r="U292" s="30"/>
      <c r="V292" s="30"/>
    </row>
    <row r="293" spans="5:22">
      <c r="E293" s="30" t="str">
        <v>kiri</v>
      </c>
      <c r="F293" s="30"/>
      <c r="G293" s="30"/>
      <c r="J293" s="30" t="str">
        <v>kiri</v>
      </c>
      <c r="K293" s="30"/>
      <c r="L293" s="30"/>
      <c r="O293" s="30" t="str">
        <v>kanan</v>
      </c>
      <c r="P293" s="30"/>
      <c r="Q293" s="30"/>
      <c r="T293" s="30" t="str">
        <v>kanan</v>
      </c>
      <c r="U293" s="30"/>
      <c r="V293" s="30"/>
    </row>
    <row r="294" spans="5:22">
      <c r="E294" s="30" t="str">
        <v>tengah</v>
      </c>
      <c r="F294" s="30"/>
      <c r="G294" s="30"/>
      <c r="J294" s="30" t="str">
        <v>tengah</v>
      </c>
      <c r="K294" s="30"/>
      <c r="L294" s="30"/>
      <c r="O294" s="30" t="str">
        <v>kanan</v>
      </c>
      <c r="P294" s="30"/>
      <c r="Q294" s="30"/>
      <c r="T294" s="30" t="str">
        <v>tengah</v>
      </c>
      <c r="U294" s="30"/>
      <c r="V294" s="30"/>
    </row>
    <row r="295" spans="5:22">
      <c r="E295" s="30" t="str">
        <v>kanan</v>
      </c>
      <c r="F295" s="30"/>
      <c r="G295" s="30"/>
      <c r="J295" s="30" t="str">
        <v>tengah</v>
      </c>
      <c r="K295" s="30"/>
      <c r="L295" s="30"/>
      <c r="O295" s="30" t="str">
        <v>kiri</v>
      </c>
      <c r="P295" s="30"/>
      <c r="Q295" s="30"/>
      <c r="T295" s="30" t="str">
        <v>tengah</v>
      </c>
      <c r="U295" s="30"/>
      <c r="V295" s="30"/>
    </row>
    <row r="296" spans="5:22">
      <c r="E296" s="30" t="str">
        <v>tengah</v>
      </c>
      <c r="F296" s="30"/>
      <c r="G296" s="30"/>
      <c r="J296" s="30" t="str">
        <v>tengah</v>
      </c>
      <c r="K296" s="30"/>
      <c r="L296" s="30"/>
      <c r="O296" s="30" t="str">
        <v>kiri</v>
      </c>
      <c r="P296" s="30"/>
      <c r="Q296" s="30"/>
      <c r="T296" s="30" t="str">
        <v>kanan</v>
      </c>
      <c r="U296" s="30"/>
      <c r="V296" s="30"/>
    </row>
    <row r="297" spans="5:22">
      <c r="E297" s="30" t="str">
        <v>tengah</v>
      </c>
      <c r="F297" s="30"/>
      <c r="G297" s="30"/>
      <c r="J297" s="30" t="str">
        <v>kanan</v>
      </c>
      <c r="K297" s="30"/>
      <c r="L297" s="30"/>
      <c r="O297" s="30" t="str">
        <v>tengah</v>
      </c>
      <c r="P297" s="30"/>
      <c r="Q297" s="30"/>
      <c r="T297" s="30" t="str">
        <v>tengah</v>
      </c>
      <c r="U297" s="30"/>
      <c r="V297" s="30"/>
    </row>
    <row r="298" spans="5:22">
      <c r="E298" s="30" t="str">
        <v>kanan</v>
      </c>
      <c r="F298" s="30"/>
      <c r="G298" s="30"/>
      <c r="J298" s="30" t="str">
        <v>tengah</v>
      </c>
      <c r="K298" s="30"/>
      <c r="L298" s="30"/>
      <c r="O298" s="30" t="str">
        <v>tengah</v>
      </c>
      <c r="P298" s="30"/>
      <c r="Q298" s="30"/>
      <c r="T298" s="30" t="str">
        <v>kanan</v>
      </c>
      <c r="U298" s="30"/>
      <c r="V298" s="30"/>
    </row>
    <row r="299" spans="5:22">
      <c r="E299" s="30" t="str">
        <v>tengah</v>
      </c>
      <c r="F299" s="30"/>
      <c r="G299" s="30"/>
      <c r="J299" s="30" t="str">
        <v>tengah</v>
      </c>
      <c r="K299" s="30"/>
      <c r="L299" s="30"/>
      <c r="O299" s="30" t="str">
        <v>kiri</v>
      </c>
      <c r="P299" s="30"/>
      <c r="Q299" s="30"/>
      <c r="T299" s="30" t="str">
        <v>kanan</v>
      </c>
      <c r="U299" s="30"/>
      <c r="V299" s="30"/>
    </row>
    <row r="300" spans="5:22">
      <c r="E300" s="30" t="str">
        <v>kiri</v>
      </c>
      <c r="F300" s="30"/>
      <c r="G300" s="30"/>
      <c r="J300" s="30" t="str">
        <v>kiri</v>
      </c>
      <c r="K300" s="30"/>
      <c r="L300" s="30"/>
      <c r="O300" s="30" t="str">
        <v>tengah</v>
      </c>
      <c r="P300" s="30"/>
      <c r="Q300" s="30"/>
      <c r="T300" s="30" t="str">
        <v>tengah</v>
      </c>
      <c r="U300" s="30"/>
      <c r="V300" s="30"/>
    </row>
    <row r="301" spans="5:22">
      <c r="E301" s="30" t="str">
        <v>kanan</v>
      </c>
      <c r="F301" s="30"/>
      <c r="G301" s="30"/>
      <c r="J301" s="30" t="str">
        <v>tengah</v>
      </c>
      <c r="K301" s="30"/>
      <c r="L301" s="30"/>
      <c r="O301" s="30" t="str">
        <v>tengah</v>
      </c>
      <c r="P301" s="30"/>
      <c r="Q301" s="30"/>
      <c r="T301" s="30" t="str">
        <v>kanan</v>
      </c>
      <c r="U301" s="30"/>
      <c r="V301" s="30"/>
    </row>
    <row r="302" spans="5:22">
      <c r="E302" s="30" t="str">
        <v>kanan</v>
      </c>
      <c r="F302" s="30"/>
      <c r="G302" s="30"/>
      <c r="J302" s="30" t="str">
        <v>tengah</v>
      </c>
      <c r="K302" s="30"/>
      <c r="L302" s="30"/>
      <c r="O302" s="30" t="str">
        <v>kanan</v>
      </c>
      <c r="P302" s="30"/>
      <c r="Q302" s="30"/>
      <c r="T302" s="30" t="str">
        <v>kanan</v>
      </c>
      <c r="U302" s="30"/>
      <c r="V302" s="30"/>
    </row>
    <row r="303" spans="5:22">
      <c r="E303" s="30" t="str">
        <v>tengah</v>
      </c>
      <c r="F303" s="30"/>
      <c r="G303" s="30"/>
      <c r="J303" s="30" t="str">
        <v>tengah</v>
      </c>
      <c r="K303" s="30"/>
      <c r="L303" s="30"/>
      <c r="O303" s="30" t="str">
        <v>kanan</v>
      </c>
      <c r="P303" s="30"/>
      <c r="Q303" s="30"/>
      <c r="T303" s="30" t="str">
        <v>kanan</v>
      </c>
      <c r="U303" s="30"/>
      <c r="V303" s="30"/>
    </row>
    <row r="304" spans="5:22">
      <c r="E304" s="30" t="str">
        <v>tengah</v>
      </c>
      <c r="F304" s="30"/>
      <c r="G304" s="30"/>
      <c r="J304" s="30" t="str">
        <v>tengah</v>
      </c>
      <c r="K304" s="30"/>
      <c r="L304" s="30"/>
      <c r="O304" s="30" t="str">
        <v>tengah</v>
      </c>
      <c r="P304" s="30"/>
      <c r="Q304" s="30"/>
      <c r="T304" s="30" t="str">
        <v>tengah</v>
      </c>
      <c r="U304" s="30"/>
      <c r="V304" s="30"/>
    </row>
    <row r="305" spans="5:22">
      <c r="E305" s="30" t="str">
        <v>kiri</v>
      </c>
      <c r="F305" s="30"/>
      <c r="G305" s="30"/>
      <c r="J305" s="30" t="str">
        <v>tengah</v>
      </c>
      <c r="K305" s="30"/>
      <c r="L305" s="30"/>
      <c r="O305" s="30" t="str">
        <v>tengah</v>
      </c>
      <c r="P305" s="30"/>
      <c r="Q305" s="30"/>
      <c r="T305" s="30" t="str">
        <v>kanan</v>
      </c>
      <c r="U305" s="30"/>
      <c r="V305" s="30"/>
    </row>
    <row r="306" spans="5:22">
      <c r="E306" s="30" t="str">
        <v>kiri</v>
      </c>
      <c r="F306" s="30"/>
      <c r="G306" s="30"/>
      <c r="J306" s="30" t="str">
        <v>tengah</v>
      </c>
      <c r="K306" s="30"/>
      <c r="L306" s="30"/>
      <c r="O306" s="30" t="str">
        <v>kiri</v>
      </c>
      <c r="P306" s="30"/>
      <c r="Q306" s="30"/>
      <c r="T306" s="30" t="str">
        <v>tengah</v>
      </c>
      <c r="U306" s="30"/>
      <c r="V306" s="30"/>
    </row>
    <row r="307" spans="5:22">
      <c r="E307" s="30" t="str">
        <v>tengah</v>
      </c>
      <c r="F307" s="30"/>
      <c r="G307" s="30"/>
      <c r="J307" s="30" t="str">
        <v>tengah</v>
      </c>
      <c r="K307" s="30"/>
      <c r="L307" s="30"/>
      <c r="O307" s="30" t="str">
        <v>kanan</v>
      </c>
      <c r="P307" s="30"/>
      <c r="Q307" s="30"/>
      <c r="T307" s="30" t="str">
        <v>tengah</v>
      </c>
      <c r="U307" s="30"/>
      <c r="V307" s="30"/>
    </row>
    <row r="308" spans="5:22">
      <c r="E308" s="30" t="str">
        <v>kanan</v>
      </c>
      <c r="F308" s="30"/>
      <c r="G308" s="30"/>
      <c r="J308" s="30" t="str">
        <v>kanan</v>
      </c>
      <c r="K308" s="30"/>
      <c r="L308" s="30"/>
      <c r="O308" s="30" t="str">
        <v>tengah</v>
      </c>
      <c r="P308" s="30"/>
      <c r="Q308" s="30"/>
      <c r="T308" s="30" t="str">
        <v>tengah</v>
      </c>
      <c r="U308" s="30"/>
      <c r="V308" s="30"/>
    </row>
    <row r="309" spans="5:22">
      <c r="E309" s="30" t="str">
        <v>tengah</v>
      </c>
      <c r="F309" s="30"/>
      <c r="G309" s="30"/>
      <c r="J309" s="30" t="str">
        <v>tengah</v>
      </c>
      <c r="K309" s="30"/>
      <c r="L309" s="30"/>
      <c r="O309" s="30" t="str">
        <v>tengah</v>
      </c>
      <c r="P309" s="30"/>
      <c r="Q309" s="30"/>
      <c r="T309" s="30" t="str">
        <v>tengah</v>
      </c>
      <c r="U309" s="30"/>
      <c r="V309" s="30"/>
    </row>
    <row r="310" spans="5:22">
      <c r="E310" s="30" t="str">
        <v>kiri</v>
      </c>
      <c r="F310" s="30"/>
      <c r="G310" s="30"/>
      <c r="J310" s="30" t="str">
        <v>tengah</v>
      </c>
      <c r="K310" s="30"/>
      <c r="L310" s="30"/>
      <c r="O310" s="30" t="str">
        <v>kiri</v>
      </c>
      <c r="P310" s="30"/>
      <c r="Q310" s="30"/>
      <c r="T310" s="30" t="str">
        <v>tengah</v>
      </c>
      <c r="U310" s="30"/>
      <c r="V310" s="30"/>
    </row>
    <row r="311" spans="5:22">
      <c r="E311" s="30" t="str">
        <v>kiri</v>
      </c>
      <c r="F311" s="30"/>
      <c r="G311" s="30"/>
      <c r="J311" s="30" t="str">
        <v>kanan</v>
      </c>
      <c r="K311" s="30"/>
      <c r="L311" s="30"/>
      <c r="O311" s="30" t="str">
        <v>kiri</v>
      </c>
      <c r="P311" s="30"/>
      <c r="Q311" s="30"/>
      <c r="T311" s="30" t="str">
        <v>tengah</v>
      </c>
      <c r="U311" s="30"/>
      <c r="V311" s="30"/>
    </row>
    <row r="312" spans="5:22">
      <c r="E312" s="30" t="str">
        <v>kiri</v>
      </c>
      <c r="F312" s="30"/>
      <c r="G312" s="30"/>
      <c r="J312" s="30" t="str">
        <v>kiri</v>
      </c>
      <c r="K312" s="30"/>
      <c r="L312" s="30"/>
      <c r="O312" s="30" t="str">
        <v>kanan</v>
      </c>
      <c r="P312" s="30"/>
      <c r="Q312" s="30"/>
      <c r="T312" s="30" t="str">
        <v>kanan</v>
      </c>
      <c r="U312" s="30"/>
      <c r="V312" s="30"/>
    </row>
    <row r="313" spans="5:22">
      <c r="E313" s="30" t="str">
        <v>tengah</v>
      </c>
      <c r="F313" s="30"/>
      <c r="G313" s="30"/>
      <c r="J313" s="30" t="str">
        <v>tengah</v>
      </c>
      <c r="K313" s="30"/>
      <c r="L313" s="30"/>
      <c r="O313" s="30" t="str">
        <v>kanan</v>
      </c>
      <c r="P313" s="30"/>
      <c r="Q313" s="30"/>
      <c r="T313" s="30" t="str">
        <v>kanan</v>
      </c>
      <c r="U313" s="30"/>
      <c r="V313" s="30"/>
    </row>
    <row r="314" spans="5:22">
      <c r="E314" s="30" t="str">
        <v>kanan</v>
      </c>
      <c r="F314" s="30"/>
      <c r="G314" s="30"/>
      <c r="J314" s="30" t="str">
        <v>tengah</v>
      </c>
      <c r="K314" s="30"/>
      <c r="L314" s="30"/>
      <c r="O314" s="30" t="str">
        <v>tengah</v>
      </c>
      <c r="P314" s="30"/>
      <c r="Q314" s="30"/>
      <c r="T314" s="30" t="str">
        <v>tengah</v>
      </c>
      <c r="U314" s="30"/>
      <c r="V314" s="30"/>
    </row>
    <row r="315" spans="5:22">
      <c r="E315" s="30" t="str">
        <v>kanan</v>
      </c>
      <c r="F315" s="30"/>
      <c r="G315" s="30"/>
      <c r="J315" s="30" t="str">
        <v>tengah</v>
      </c>
      <c r="K315" s="30"/>
      <c r="L315" s="30"/>
      <c r="O315" s="30" t="str">
        <v>kiri</v>
      </c>
      <c r="P315" s="30"/>
      <c r="Q315" s="30"/>
      <c r="T315" s="30" t="str">
        <v>tengah</v>
      </c>
      <c r="U315" s="30"/>
      <c r="V315" s="30"/>
    </row>
    <row r="316" spans="5:22">
      <c r="E316" s="30" t="str">
        <v>kiri</v>
      </c>
      <c r="F316" s="30"/>
      <c r="G316" s="30"/>
      <c r="J316" s="30" t="str">
        <v>tengah</v>
      </c>
      <c r="K316" s="30"/>
      <c r="L316" s="30"/>
      <c r="O316" s="30" t="str">
        <v>tengah</v>
      </c>
      <c r="P316" s="30"/>
      <c r="Q316" s="30"/>
      <c r="T316" s="30" t="str">
        <v>tengah</v>
      </c>
      <c r="U316" s="30"/>
      <c r="V316" s="30"/>
    </row>
    <row r="317" spans="5:22">
      <c r="E317" s="30" t="str">
        <v>kanan</v>
      </c>
      <c r="F317" s="30"/>
      <c r="G317" s="30"/>
      <c r="J317" s="30" t="str">
        <v>tengah</v>
      </c>
      <c r="K317" s="30"/>
      <c r="L317" s="30"/>
      <c r="O317" s="30" t="str">
        <v>tengah</v>
      </c>
      <c r="P317" s="30"/>
      <c r="Q317" s="30"/>
      <c r="T317" s="30" t="str">
        <v>kanan</v>
      </c>
      <c r="U317" s="30"/>
      <c r="V317" s="30"/>
    </row>
    <row r="318" spans="5:22">
      <c r="E318" s="30" t="str">
        <v>kanan</v>
      </c>
      <c r="F318" s="30"/>
      <c r="G318" s="30"/>
      <c r="J318" s="30" t="str">
        <v>kiri</v>
      </c>
      <c r="K318" s="30"/>
      <c r="L318" s="30"/>
      <c r="O318" s="30" t="str">
        <v>tengah</v>
      </c>
      <c r="P318" s="30"/>
      <c r="Q318" s="30"/>
      <c r="T318" s="30" t="str">
        <v>tengah</v>
      </c>
      <c r="U318" s="30"/>
      <c r="V318" s="30"/>
    </row>
    <row r="319" spans="5:22">
      <c r="E319" s="30" t="str">
        <v>tengah</v>
      </c>
      <c r="F319" s="30"/>
      <c r="G319" s="30"/>
      <c r="J319" s="30" t="str">
        <v>kanan</v>
      </c>
      <c r="K319" s="30"/>
      <c r="L319" s="30"/>
      <c r="O319" s="30" t="str">
        <v>tengah</v>
      </c>
      <c r="P319" s="30"/>
      <c r="Q319" s="30"/>
      <c r="T319" s="30" t="str">
        <v>kanan</v>
      </c>
      <c r="U319" s="30"/>
      <c r="V319" s="30"/>
    </row>
    <row r="320" spans="5:22">
      <c r="E320" s="30" t="str">
        <v>tengah</v>
      </c>
      <c r="F320" s="30"/>
      <c r="G320" s="30"/>
      <c r="J320" s="30" t="str">
        <v>tengah</v>
      </c>
      <c r="K320" s="30"/>
      <c r="L320" s="30"/>
      <c r="O320" s="30" t="str">
        <v>kiri</v>
      </c>
      <c r="P320" s="30"/>
      <c r="Q320" s="30"/>
      <c r="T320" s="30" t="str">
        <v>kanan</v>
      </c>
      <c r="U320" s="30"/>
      <c r="V320" s="30"/>
    </row>
    <row r="321" spans="5:22">
      <c r="E321" s="30" t="str">
        <v>kiri</v>
      </c>
      <c r="F321" s="30"/>
      <c r="G321" s="30"/>
      <c r="J321" s="30" t="str">
        <v>kiri</v>
      </c>
      <c r="K321" s="30"/>
      <c r="L321" s="30"/>
      <c r="O321" s="30" t="str">
        <v>kanan</v>
      </c>
      <c r="P321" s="30"/>
      <c r="Q321" s="30"/>
      <c r="T321" s="30" t="str">
        <v>tengah</v>
      </c>
      <c r="U321" s="30"/>
      <c r="V321" s="30"/>
    </row>
    <row r="322" spans="5:22">
      <c r="E322" s="30" t="str">
        <v>tengah</v>
      </c>
      <c r="F322" s="30"/>
      <c r="G322" s="30"/>
      <c r="J322" s="30" t="str">
        <v>tengah</v>
      </c>
      <c r="K322" s="30"/>
      <c r="L322" s="30"/>
      <c r="O322" s="30" t="str">
        <v>tengah</v>
      </c>
      <c r="P322" s="30"/>
      <c r="Q322" s="30"/>
      <c r="T322" s="30" t="str">
        <v>tengah</v>
      </c>
      <c r="U322" s="30"/>
      <c r="V322" s="30"/>
    </row>
    <row r="323" spans="5:22">
      <c r="E323" s="30" t="str">
        <v>tengah</v>
      </c>
      <c r="F323" s="30"/>
      <c r="G323" s="30"/>
      <c r="J323" s="30" t="str">
        <v>tengah</v>
      </c>
      <c r="K323" s="30"/>
      <c r="L323" s="30"/>
      <c r="O323" s="30" t="str">
        <v>kiri</v>
      </c>
      <c r="P323" s="30"/>
      <c r="Q323" s="30"/>
      <c r="T323" s="30" t="str">
        <v>kanan</v>
      </c>
      <c r="U323" s="30"/>
      <c r="V323" s="30"/>
    </row>
    <row r="324" spans="5:22">
      <c r="E324" s="30" t="str">
        <v>kanan</v>
      </c>
      <c r="F324" s="30"/>
      <c r="G324" s="30"/>
      <c r="J324" s="30" t="str">
        <v>tengah</v>
      </c>
      <c r="K324" s="30"/>
      <c r="L324" s="30"/>
      <c r="O324" s="30" t="str">
        <v>tengah</v>
      </c>
      <c r="P324" s="30"/>
      <c r="Q324" s="30"/>
      <c r="T324" s="30" t="str">
        <v>kanan</v>
      </c>
      <c r="U324" s="30"/>
      <c r="V324" s="30"/>
    </row>
    <row r="325" spans="5:22">
      <c r="E325" s="30" t="str">
        <v>tengah</v>
      </c>
      <c r="F325" s="30"/>
      <c r="G325" s="30"/>
      <c r="J325" s="30" t="str">
        <v>tengah</v>
      </c>
      <c r="K325" s="30"/>
      <c r="L325" s="30"/>
      <c r="O325" s="30" t="str">
        <v>tengah</v>
      </c>
      <c r="P325" s="30"/>
      <c r="Q325" s="30"/>
      <c r="T325" s="30" t="str">
        <v>tengah</v>
      </c>
      <c r="U325" s="30"/>
      <c r="V325" s="30"/>
    </row>
    <row r="326" spans="5:22">
      <c r="E326" s="30" t="str">
        <v>kiri</v>
      </c>
      <c r="F326" s="30"/>
      <c r="G326" s="30"/>
      <c r="J326" s="30" t="str">
        <v>tengah</v>
      </c>
      <c r="K326" s="30"/>
      <c r="L326" s="30"/>
      <c r="O326" s="30" t="str">
        <v>kanan</v>
      </c>
      <c r="P326" s="30"/>
      <c r="Q326" s="30"/>
      <c r="T326" s="30" t="str">
        <v>kanan</v>
      </c>
      <c r="U326" s="30"/>
      <c r="V326" s="30"/>
    </row>
    <row r="327" spans="5:22">
      <c r="E327" s="30" t="str">
        <v>tengah</v>
      </c>
      <c r="F327" s="30"/>
      <c r="G327" s="30"/>
      <c r="J327" s="30" t="str">
        <v>kanan</v>
      </c>
      <c r="K327" s="30"/>
      <c r="L327" s="30"/>
      <c r="O327" s="30" t="str">
        <v>tengah</v>
      </c>
      <c r="P327" s="30"/>
      <c r="Q327" s="30"/>
      <c r="T327" s="30" t="str">
        <v>kanan</v>
      </c>
      <c r="U327" s="30"/>
      <c r="V327" s="30"/>
    </row>
    <row r="328" spans="5:22">
      <c r="E328" s="30" t="str">
        <v>kanan</v>
      </c>
      <c r="F328" s="30"/>
      <c r="G328" s="30"/>
      <c r="J328" s="30" t="str">
        <v>kiri</v>
      </c>
      <c r="K328" s="30"/>
      <c r="L328" s="30"/>
      <c r="O328" s="30" t="str">
        <v>kiri</v>
      </c>
      <c r="P328" s="30"/>
      <c r="Q328" s="30"/>
      <c r="T328" s="30" t="str">
        <v>tengah</v>
      </c>
      <c r="U328" s="30"/>
      <c r="V328" s="30"/>
    </row>
    <row r="329" spans="5:22">
      <c r="E329" s="30" t="str">
        <v>tengah</v>
      </c>
      <c r="F329" s="30"/>
      <c r="G329" s="30"/>
      <c r="J329" s="30" t="str">
        <v>tengah</v>
      </c>
      <c r="K329" s="30"/>
      <c r="L329" s="30"/>
      <c r="O329" s="30" t="str">
        <v>kanan</v>
      </c>
      <c r="P329" s="30"/>
      <c r="Q329" s="30"/>
      <c r="T329" s="30" t="str">
        <v>kanan</v>
      </c>
      <c r="U329" s="30"/>
      <c r="V329" s="30"/>
    </row>
    <row r="330" spans="5:22">
      <c r="E330" s="30" t="str">
        <v>tengah</v>
      </c>
      <c r="F330" s="30"/>
      <c r="G330" s="30"/>
      <c r="J330" s="30" t="str">
        <v>tengah</v>
      </c>
      <c r="K330" s="30"/>
      <c r="L330" s="30"/>
      <c r="O330" s="30" t="str">
        <v>kiri</v>
      </c>
      <c r="P330" s="30"/>
      <c r="Q330" s="30"/>
      <c r="T330" s="30" t="str">
        <v>kanan</v>
      </c>
      <c r="U330" s="30"/>
      <c r="V330" s="30"/>
    </row>
    <row r="331" spans="5:22">
      <c r="E331" s="30" t="str">
        <v>kanan</v>
      </c>
      <c r="F331" s="30"/>
      <c r="G331" s="30"/>
      <c r="J331" s="30" t="str">
        <v>tengah</v>
      </c>
      <c r="K331" s="30"/>
      <c r="L331" s="30"/>
      <c r="O331" s="30" t="str">
        <v>tengah</v>
      </c>
      <c r="P331" s="30"/>
      <c r="Q331" s="30"/>
      <c r="T331" s="30" t="str">
        <v>kanan</v>
      </c>
      <c r="U331" s="30"/>
      <c r="V331" s="30"/>
    </row>
    <row r="332" spans="5:22">
      <c r="E332" s="30" t="str">
        <v>kiri</v>
      </c>
      <c r="F332" s="30"/>
      <c r="G332" s="30"/>
      <c r="J332" s="30" t="str">
        <v>tengah</v>
      </c>
      <c r="K332" s="30"/>
      <c r="L332" s="30"/>
      <c r="O332" s="30" t="str">
        <v>tengah</v>
      </c>
      <c r="P332" s="30"/>
      <c r="Q332" s="30"/>
      <c r="T332" s="30" t="str">
        <v>kanan</v>
      </c>
      <c r="U332" s="30"/>
      <c r="V332" s="30"/>
    </row>
  </sheetData>
  <pageMargins left="0.7" right="0.7" top="0.75" bottom="0.75" header="0.3" footer="0.3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32"/>
  <sheetViews>
    <sheetView zoomScale="98" zoomScaleNormal="98" topLeftCell="N154" workbookViewId="0">
      <selection activeCell="O162" sqref="O162"/>
    </sheetView>
  </sheetViews>
  <sheetFormatPr defaultColWidth="9" defaultRowHeight="15"/>
  <cols>
    <col min="2" max="2" width="15.8518518518519" customWidth="1"/>
    <col min="3" max="3" width="16.7111111111111" customWidth="1"/>
    <col min="4" max="4" width="13.8518518518519" customWidth="1"/>
    <col min="6" max="6" width="14.4222222222222" customWidth="1"/>
    <col min="8" max="8" width="14.2814814814815" customWidth="1"/>
    <col min="9" max="9" width="13.2814814814815" customWidth="1"/>
    <col min="10" max="10" width="13.8518518518519" customWidth="1"/>
    <col min="11" max="11" width="22" customWidth="1"/>
    <col min="13" max="13" width="14.4222222222222" customWidth="1"/>
    <col min="15" max="15" width="25.2814814814815" customWidth="1"/>
    <col min="16" max="16" width="12.8518518518519" customWidth="1"/>
    <col min="17" max="17" width="11.7111111111111" customWidth="1"/>
    <col min="20" max="20" width="14.4222222222222" customWidth="1"/>
  </cols>
  <sheetData>
    <row r="1" spans="1:17">
      <c r="A1" s="29" t="s">
        <v>175</v>
      </c>
      <c r="B1" s="29" t="s">
        <v>1</v>
      </c>
      <c r="C1" s="29" t="s">
        <v>2</v>
      </c>
      <c r="D1" s="29" t="s">
        <v>171</v>
      </c>
      <c r="E1" s="29" t="s">
        <v>4</v>
      </c>
      <c r="F1" s="29" t="s">
        <v>6</v>
      </c>
      <c r="H1" s="31" t="s">
        <v>175</v>
      </c>
      <c r="I1" s="31" t="s">
        <v>1</v>
      </c>
      <c r="J1" s="31" t="s">
        <v>2</v>
      </c>
      <c r="K1" s="31" t="s">
        <v>171</v>
      </c>
      <c r="L1" s="31" t="s">
        <v>4</v>
      </c>
      <c r="M1" s="31" t="s">
        <v>6</v>
      </c>
      <c r="O1" s="29" t="s">
        <v>176</v>
      </c>
      <c r="P1" s="32"/>
      <c r="Q1" s="32"/>
    </row>
    <row r="2" spans="1:17">
      <c r="A2" s="30">
        <f ca="1">RANDBETWEEN(2,164)</f>
        <v>106</v>
      </c>
      <c r="B2" s="30">
        <f ca="1" t="array" ref="B2">INDEX(Data_DBD!$B:$B,$A2)</f>
        <v>23</v>
      </c>
      <c r="C2" s="30">
        <f ca="1" t="array" ref="C2">INDEX(Data_DBD!$C:$C,$A2)</f>
        <v>3</v>
      </c>
      <c r="D2" s="30">
        <f ca="1" t="array" ref="D2">INDEX(Data_DBD!$D:$D,$A2)</f>
        <v>18</v>
      </c>
      <c r="E2" s="30">
        <f ca="1" t="array" ref="E2">INDEX(Data_DBD!$E:$E,$A2)</f>
        <v>1</v>
      </c>
      <c r="F2" s="30">
        <f ca="1" t="array" ref="F2">INDEX(Data_DBD!$F:$F,$A2)</f>
        <v>3</v>
      </c>
      <c r="H2" s="30">
        <v>58</v>
      </c>
      <c r="I2" s="30">
        <v>17</v>
      </c>
      <c r="J2" s="30">
        <v>3</v>
      </c>
      <c r="K2" s="30">
        <v>15</v>
      </c>
      <c r="L2" s="30">
        <v>0</v>
      </c>
      <c r="M2" s="30">
        <v>2</v>
      </c>
      <c r="O2" s="33">
        <v>1</v>
      </c>
      <c r="P2" s="32">
        <f>COUNTIF(M2:M164,"1")</f>
        <v>15</v>
      </c>
      <c r="Q2" s="32">
        <f>P2/163</f>
        <v>0.0920245398773006</v>
      </c>
    </row>
    <row r="3" spans="1:17">
      <c r="A3" s="30">
        <f ca="1" t="shared" ref="A3:A66" si="0">RANDBETWEEN(2,164)</f>
        <v>54</v>
      </c>
      <c r="B3" s="30">
        <f ca="1" t="array" ref="B3">INDEX(Data_DBD!$B:$B,$A3)</f>
        <v>7</v>
      </c>
      <c r="C3" s="30">
        <f ca="1" t="array" ref="C3">INDEX(Data_DBD!$C:$C,$A3)</f>
        <v>3</v>
      </c>
      <c r="D3" s="30">
        <f ca="1" t="array" ref="D3">INDEX(Data_DBD!$D:$D,$A3)</f>
        <v>15</v>
      </c>
      <c r="E3" s="30">
        <f ca="1" t="array" ref="E3">INDEX(Data_DBD!$E:$E,$A3)</f>
        <v>0</v>
      </c>
      <c r="F3" s="30">
        <f ca="1" t="array" ref="F3">INDEX(Data_DBD!$F:$F,$A3)</f>
        <v>2</v>
      </c>
      <c r="H3" s="30">
        <v>52</v>
      </c>
      <c r="I3" s="30">
        <v>59</v>
      </c>
      <c r="J3" s="30">
        <v>4</v>
      </c>
      <c r="K3" s="30">
        <v>15</v>
      </c>
      <c r="L3" s="30">
        <v>1</v>
      </c>
      <c r="M3" s="30">
        <v>2</v>
      </c>
      <c r="O3" s="32">
        <v>2</v>
      </c>
      <c r="P3" s="32">
        <f>COUNTIF(M2:M164,"2")</f>
        <v>87</v>
      </c>
      <c r="Q3" s="32">
        <f>P3/163</f>
        <v>0.533742331288344</v>
      </c>
    </row>
    <row r="4" spans="1:17">
      <c r="A4" s="30">
        <f ca="1" t="shared" si="0"/>
        <v>106</v>
      </c>
      <c r="B4" s="30">
        <f ca="1" t="array" ref="B4">INDEX(Data_DBD!$B:$B,$A4)</f>
        <v>23</v>
      </c>
      <c r="C4" s="30">
        <f ca="1" t="array" ref="C4">INDEX(Data_DBD!$C:$C,$A4)</f>
        <v>3</v>
      </c>
      <c r="D4" s="30">
        <f ca="1" t="array" ref="D4">INDEX(Data_DBD!$D:$D,$A4)</f>
        <v>18</v>
      </c>
      <c r="E4" s="30">
        <f ca="1" t="array" ref="E4">INDEX(Data_DBD!$E:$E,$A4)</f>
        <v>1</v>
      </c>
      <c r="F4" s="30">
        <f ca="1" t="array" ref="F4">INDEX(Data_DBD!$F:$F,$A4)</f>
        <v>3</v>
      </c>
      <c r="H4" s="30">
        <v>120</v>
      </c>
      <c r="I4" s="30">
        <v>26</v>
      </c>
      <c r="J4" s="30">
        <v>4</v>
      </c>
      <c r="K4" s="30">
        <v>33</v>
      </c>
      <c r="L4" s="30">
        <v>1</v>
      </c>
      <c r="M4" s="30">
        <v>3</v>
      </c>
      <c r="O4" s="32">
        <v>3</v>
      </c>
      <c r="P4" s="32">
        <f>COUNTIF(M2:M164,"3")</f>
        <v>61</v>
      </c>
      <c r="Q4" s="32">
        <f>P4/163</f>
        <v>0.374233128834356</v>
      </c>
    </row>
    <row r="5" spans="1:16">
      <c r="A5" s="30">
        <f ca="1" t="shared" si="0"/>
        <v>12</v>
      </c>
      <c r="B5" s="30">
        <f ca="1" t="array" ref="B5">INDEX(Data_DBD!$B:$B,$A5)</f>
        <v>23</v>
      </c>
      <c r="C5" s="30">
        <f ca="1" t="array" ref="C5">INDEX(Data_DBD!$C:$C,$A5)</f>
        <v>3</v>
      </c>
      <c r="D5" s="30">
        <f ca="1" t="array" ref="D5">INDEX(Data_DBD!$D:$D,$A5)</f>
        <v>12</v>
      </c>
      <c r="E5" s="30">
        <f ca="1" t="array" ref="E5">INDEX(Data_DBD!$E:$E,$A5)</f>
        <v>0</v>
      </c>
      <c r="F5" s="30">
        <f ca="1" t="array" ref="F5">INDEX(Data_DBD!$F:$F,$A5)</f>
        <v>2</v>
      </c>
      <c r="H5" s="30">
        <v>144</v>
      </c>
      <c r="I5" s="30">
        <v>61</v>
      </c>
      <c r="J5" s="30">
        <v>4</v>
      </c>
      <c r="K5" s="30">
        <v>21</v>
      </c>
      <c r="L5" s="30">
        <v>1</v>
      </c>
      <c r="M5" s="30">
        <v>3</v>
      </c>
      <c r="O5" s="34" t="s">
        <v>181</v>
      </c>
      <c r="P5">
        <f>-(IFERROR(Q2*LOG(Q2,2),0)+IFERROR(Q3*LOG(Q3,2),0)+IFERROR(Q4*LOG(Q4,2),0))</f>
        <v>1.33084827285498</v>
      </c>
    </row>
    <row r="6" spans="1:13">
      <c r="A6" s="30">
        <f ca="1" t="shared" si="0"/>
        <v>44</v>
      </c>
      <c r="B6" s="30">
        <f ca="1" t="array" ref="B6">INDEX(Data_DBD!$B:$B,$A6)</f>
        <v>28</v>
      </c>
      <c r="C6" s="30">
        <f ca="1" t="array" ref="C6">INDEX(Data_DBD!$C:$C,$A6)</f>
        <v>5</v>
      </c>
      <c r="D6" s="30">
        <f ca="1" t="array" ref="D6">INDEX(Data_DBD!$D:$D,$A6)</f>
        <v>13</v>
      </c>
      <c r="E6" s="30">
        <f ca="1" t="array" ref="E6">INDEX(Data_DBD!$E:$E,$A6)</f>
        <v>1</v>
      </c>
      <c r="F6" s="30">
        <f ca="1" t="array" ref="F6">INDEX(Data_DBD!$F:$F,$A6)</f>
        <v>2</v>
      </c>
      <c r="H6" s="30">
        <v>110</v>
      </c>
      <c r="I6" s="30">
        <v>42</v>
      </c>
      <c r="J6" s="30">
        <v>2</v>
      </c>
      <c r="K6" s="30">
        <v>33</v>
      </c>
      <c r="L6" s="30">
        <v>1</v>
      </c>
      <c r="M6" s="30">
        <v>3</v>
      </c>
    </row>
    <row r="7" spans="1:13">
      <c r="A7" s="30">
        <f ca="1" t="shared" si="0"/>
        <v>104</v>
      </c>
      <c r="B7" s="30">
        <f ca="1" t="array" ref="B7">INDEX(Data_DBD!$B:$B,$A7)</f>
        <v>37</v>
      </c>
      <c r="C7" s="30">
        <f ca="1" t="array" ref="C7">INDEX(Data_DBD!$C:$C,$A7)</f>
        <v>4</v>
      </c>
      <c r="D7" s="30">
        <f ca="1" t="array" ref="D7">INDEX(Data_DBD!$D:$D,$A7)</f>
        <v>18</v>
      </c>
      <c r="E7" s="30">
        <f ca="1" t="array" ref="E7">INDEX(Data_DBD!$E:$E,$A7)</f>
        <v>1</v>
      </c>
      <c r="F7" s="30">
        <f ca="1" t="array" ref="F7">INDEX(Data_DBD!$F:$F,$A7)</f>
        <v>3</v>
      </c>
      <c r="H7" s="30">
        <v>50</v>
      </c>
      <c r="I7" s="30">
        <v>19</v>
      </c>
      <c r="J7" s="30">
        <v>5</v>
      </c>
      <c r="K7" s="30">
        <v>13</v>
      </c>
      <c r="L7" s="30">
        <v>0</v>
      </c>
      <c r="M7" s="30">
        <v>2</v>
      </c>
    </row>
    <row r="8" spans="1:13">
      <c r="A8" s="30">
        <f ca="1" t="shared" si="0"/>
        <v>67</v>
      </c>
      <c r="B8" s="30">
        <f ca="1" t="array" ref="B8">INDEX(Data_DBD!$B:$B,$A8)</f>
        <v>21</v>
      </c>
      <c r="C8" s="30">
        <f ca="1" t="array" ref="C8">INDEX(Data_DBD!$C:$C,$A8)</f>
        <v>3</v>
      </c>
      <c r="D8" s="30">
        <f ca="1" t="array" ref="D8">INDEX(Data_DBD!$D:$D,$A8)</f>
        <v>10</v>
      </c>
      <c r="E8" s="30">
        <f ca="1" t="array" ref="E8">INDEX(Data_DBD!$E:$E,$A8)</f>
        <v>1</v>
      </c>
      <c r="F8" s="30">
        <f ca="1" t="array" ref="F8">INDEX(Data_DBD!$F:$F,$A8)</f>
        <v>2</v>
      </c>
      <c r="H8" s="30">
        <v>131</v>
      </c>
      <c r="I8" s="30">
        <v>10</v>
      </c>
      <c r="J8" s="30">
        <v>2</v>
      </c>
      <c r="K8" s="30">
        <v>33</v>
      </c>
      <c r="L8" s="30">
        <v>0</v>
      </c>
      <c r="M8" s="30">
        <v>3</v>
      </c>
    </row>
    <row r="9" spans="1:13">
      <c r="A9" s="30">
        <f ca="1" t="shared" si="0"/>
        <v>159</v>
      </c>
      <c r="B9" s="30">
        <f ca="1" t="array" ref="B9">INDEX(Data_DBD!$B:$B,$A9)</f>
        <v>17</v>
      </c>
      <c r="C9" s="30">
        <f ca="1" t="array" ref="C9">INDEX(Data_DBD!$C:$C,$A9)</f>
        <v>2</v>
      </c>
      <c r="D9" s="30">
        <f ca="1" t="array" ref="D9">INDEX(Data_DBD!$D:$D,$A9)</f>
        <v>21</v>
      </c>
      <c r="E9" s="30">
        <f ca="1" t="array" ref="E9">INDEX(Data_DBD!$E:$E,$A9)</f>
        <v>0</v>
      </c>
      <c r="F9" s="30">
        <f ca="1" t="array" ref="F9">INDEX(Data_DBD!$F:$F,$A9)</f>
        <v>3</v>
      </c>
      <c r="H9" s="30">
        <v>55</v>
      </c>
      <c r="I9" s="30">
        <v>7</v>
      </c>
      <c r="J9" s="30">
        <v>4</v>
      </c>
      <c r="K9" s="30">
        <v>15</v>
      </c>
      <c r="L9" s="30">
        <v>1</v>
      </c>
      <c r="M9" s="30">
        <v>2</v>
      </c>
    </row>
    <row r="10" spans="1:13">
      <c r="A10" s="30">
        <f ca="1" t="shared" si="0"/>
        <v>92</v>
      </c>
      <c r="B10" s="30">
        <f ca="1" t="array" ref="B10">INDEX(Data_DBD!$B:$B,$A10)</f>
        <v>55</v>
      </c>
      <c r="C10" s="30">
        <f ca="1" t="array" ref="C10">INDEX(Data_DBD!$C:$C,$A10)</f>
        <v>7</v>
      </c>
      <c r="D10" s="30">
        <f ca="1" t="array" ref="D10">INDEX(Data_DBD!$D:$D,$A10)</f>
        <v>18</v>
      </c>
      <c r="E10" s="30">
        <f ca="1" t="array" ref="E10">INDEX(Data_DBD!$E:$E,$A10)</f>
        <v>0</v>
      </c>
      <c r="F10" s="30">
        <f ca="1" t="array" ref="F10">INDEX(Data_DBD!$F:$F,$A10)</f>
        <v>3</v>
      </c>
      <c r="H10" s="30">
        <v>23</v>
      </c>
      <c r="I10" s="30">
        <v>28</v>
      </c>
      <c r="J10" s="30">
        <v>4</v>
      </c>
      <c r="K10" s="30">
        <v>14</v>
      </c>
      <c r="L10" s="30">
        <v>1</v>
      </c>
      <c r="M10" s="30">
        <v>2</v>
      </c>
    </row>
    <row r="11" spans="1:13">
      <c r="A11" s="30">
        <f ca="1" t="shared" si="0"/>
        <v>26</v>
      </c>
      <c r="B11" s="30">
        <f ca="1" t="array" ref="B11">INDEX(Data_DBD!$B:$B,$A11)</f>
        <v>75</v>
      </c>
      <c r="C11" s="30">
        <f ca="1" t="array" ref="C11">INDEX(Data_DBD!$C:$C,$A11)</f>
        <v>4</v>
      </c>
      <c r="D11" s="30">
        <f ca="1" t="array" ref="D11">INDEX(Data_DBD!$D:$D,$A11)</f>
        <v>14</v>
      </c>
      <c r="E11" s="30">
        <f ca="1" t="array" ref="E11">INDEX(Data_DBD!$E:$E,$A11)</f>
        <v>1</v>
      </c>
      <c r="F11" s="30">
        <f ca="1" t="array" ref="F11">INDEX(Data_DBD!$F:$F,$A11)</f>
        <v>2</v>
      </c>
      <c r="H11" s="30">
        <v>67</v>
      </c>
      <c r="I11" s="30">
        <v>21</v>
      </c>
      <c r="J11" s="30">
        <v>3</v>
      </c>
      <c r="K11" s="30">
        <v>10</v>
      </c>
      <c r="L11" s="30">
        <v>1</v>
      </c>
      <c r="M11" s="30">
        <v>2</v>
      </c>
    </row>
    <row r="12" spans="1:13">
      <c r="A12" s="30">
        <f ca="1" t="shared" si="0"/>
        <v>11</v>
      </c>
      <c r="B12" s="30">
        <f ca="1" t="array" ref="B12">INDEX(Data_DBD!$B:$B,$A12)</f>
        <v>24</v>
      </c>
      <c r="C12" s="30">
        <f ca="1" t="array" ref="C12">INDEX(Data_DBD!$C:$C,$A12)</f>
        <v>5</v>
      </c>
      <c r="D12" s="30">
        <f ca="1" t="array" ref="D12">INDEX(Data_DBD!$D:$D,$A12)</f>
        <v>12</v>
      </c>
      <c r="E12" s="30">
        <f ca="1" t="array" ref="E12">INDEX(Data_DBD!$E:$E,$A12)</f>
        <v>1</v>
      </c>
      <c r="F12" s="30">
        <f ca="1" t="array" ref="F12">INDEX(Data_DBD!$F:$F,$A12)</f>
        <v>2</v>
      </c>
      <c r="H12" s="30">
        <v>123</v>
      </c>
      <c r="I12" s="30">
        <v>22</v>
      </c>
      <c r="J12" s="30">
        <v>4</v>
      </c>
      <c r="K12" s="30">
        <v>33</v>
      </c>
      <c r="L12" s="30">
        <v>0</v>
      </c>
      <c r="M12" s="30">
        <v>3</v>
      </c>
    </row>
    <row r="13" spans="1:13">
      <c r="A13" s="30">
        <f ca="1" t="shared" si="0"/>
        <v>10</v>
      </c>
      <c r="B13" s="30">
        <f ca="1" t="array" ref="B13">INDEX(Data_DBD!$B:$B,$A13)</f>
        <v>18</v>
      </c>
      <c r="C13" s="30">
        <f ca="1" t="array" ref="C13">INDEX(Data_DBD!$C:$C,$A13)</f>
        <v>5</v>
      </c>
      <c r="D13" s="30">
        <f ca="1" t="array" ref="D13">INDEX(Data_DBD!$D:$D,$A13)</f>
        <v>12</v>
      </c>
      <c r="E13" s="30">
        <f ca="1" t="array" ref="E13">INDEX(Data_DBD!$E:$E,$A13)</f>
        <v>0</v>
      </c>
      <c r="F13" s="30">
        <f ca="1" t="array" ref="F13">INDEX(Data_DBD!$F:$F,$A13)</f>
        <v>2</v>
      </c>
      <c r="H13" s="30">
        <v>35</v>
      </c>
      <c r="I13" s="30">
        <v>40</v>
      </c>
      <c r="J13" s="30">
        <v>3</v>
      </c>
      <c r="K13" s="30">
        <v>4</v>
      </c>
      <c r="L13" s="30">
        <v>1</v>
      </c>
      <c r="M13" s="30">
        <v>1</v>
      </c>
    </row>
    <row r="14" spans="1:13">
      <c r="A14" s="30">
        <f ca="1" t="shared" si="0"/>
        <v>5</v>
      </c>
      <c r="B14" s="30">
        <f ca="1" t="array" ref="B14">INDEX(Data_DBD!$B:$B,$A14)</f>
        <v>18</v>
      </c>
      <c r="C14" s="30">
        <f ca="1" t="array" ref="C14">INDEX(Data_DBD!$C:$C,$A14)</f>
        <v>2</v>
      </c>
      <c r="D14" s="30">
        <f ca="1" t="array" ref="D14">INDEX(Data_DBD!$D:$D,$A14)</f>
        <v>12</v>
      </c>
      <c r="E14" s="30">
        <f ca="1" t="array" ref="E14">INDEX(Data_DBD!$E:$E,$A14)</f>
        <v>1</v>
      </c>
      <c r="F14" s="30">
        <f ca="1" t="array" ref="F14">INDEX(Data_DBD!$F:$F,$A14)</f>
        <v>2</v>
      </c>
      <c r="H14" s="30">
        <v>147</v>
      </c>
      <c r="I14" s="30">
        <v>66</v>
      </c>
      <c r="J14" s="30">
        <v>10</v>
      </c>
      <c r="K14" s="30">
        <v>21</v>
      </c>
      <c r="L14" s="30">
        <v>1</v>
      </c>
      <c r="M14" s="30">
        <v>3</v>
      </c>
    </row>
    <row r="15" spans="1:13">
      <c r="A15" s="30">
        <f ca="1" t="shared" si="0"/>
        <v>36</v>
      </c>
      <c r="B15" s="30">
        <f ca="1" t="array" ref="B15">INDEX(Data_DBD!$B:$B,$A15)</f>
        <v>27</v>
      </c>
      <c r="C15" s="30">
        <f ca="1" t="array" ref="C15">INDEX(Data_DBD!$C:$C,$A15)</f>
        <v>1</v>
      </c>
      <c r="D15" s="30">
        <f ca="1" t="array" ref="D15">INDEX(Data_DBD!$D:$D,$A15)</f>
        <v>4</v>
      </c>
      <c r="E15" s="30">
        <f ca="1" t="array" ref="E15">INDEX(Data_DBD!$E:$E,$A15)</f>
        <v>1</v>
      </c>
      <c r="F15" s="30">
        <f ca="1" t="array" ref="F15">INDEX(Data_DBD!$F:$F,$A15)</f>
        <v>1</v>
      </c>
      <c r="H15" s="30">
        <v>89</v>
      </c>
      <c r="I15" s="30">
        <v>32</v>
      </c>
      <c r="J15" s="30">
        <v>4</v>
      </c>
      <c r="K15" s="30">
        <v>13</v>
      </c>
      <c r="L15" s="30">
        <v>0</v>
      </c>
      <c r="M15" s="30">
        <v>2</v>
      </c>
    </row>
    <row r="16" spans="1:13">
      <c r="A16" s="30">
        <f ca="1" t="shared" si="0"/>
        <v>113</v>
      </c>
      <c r="B16" s="30">
        <f ca="1" t="array" ref="B16">INDEX(Data_DBD!$B:$B,$A16)</f>
        <v>69</v>
      </c>
      <c r="C16" s="30">
        <f ca="1" t="array" ref="C16">INDEX(Data_DBD!$C:$C,$A16)</f>
        <v>1</v>
      </c>
      <c r="D16" s="30">
        <f ca="1" t="array" ref="D16">INDEX(Data_DBD!$D:$D,$A16)</f>
        <v>33</v>
      </c>
      <c r="E16" s="30">
        <f ca="1" t="array" ref="E16">INDEX(Data_DBD!$E:$E,$A16)</f>
        <v>1</v>
      </c>
      <c r="F16" s="30">
        <f ca="1" t="array" ref="F16">INDEX(Data_DBD!$F:$F,$A16)</f>
        <v>3</v>
      </c>
      <c r="H16" s="30">
        <v>41</v>
      </c>
      <c r="I16" s="30">
        <v>8</v>
      </c>
      <c r="J16" s="30">
        <v>4</v>
      </c>
      <c r="K16" s="30">
        <v>13</v>
      </c>
      <c r="L16" s="30">
        <v>0</v>
      </c>
      <c r="M16" s="30">
        <v>2</v>
      </c>
    </row>
    <row r="17" spans="1:13">
      <c r="A17" s="30">
        <f ca="1" t="shared" si="0"/>
        <v>123</v>
      </c>
      <c r="B17" s="30">
        <f ca="1" t="array" ref="B17">INDEX(Data_DBD!$B:$B,$A17)</f>
        <v>22</v>
      </c>
      <c r="C17" s="30">
        <f ca="1" t="array" ref="C17">INDEX(Data_DBD!$C:$C,$A17)</f>
        <v>4</v>
      </c>
      <c r="D17" s="30">
        <f ca="1" t="array" ref="D17">INDEX(Data_DBD!$D:$D,$A17)</f>
        <v>33</v>
      </c>
      <c r="E17" s="30">
        <f ca="1" t="array" ref="E17">INDEX(Data_DBD!$E:$E,$A17)</f>
        <v>0</v>
      </c>
      <c r="F17" s="30">
        <f ca="1" t="array" ref="F17">INDEX(Data_DBD!$F:$F,$A17)</f>
        <v>3</v>
      </c>
      <c r="H17" s="30">
        <v>66</v>
      </c>
      <c r="I17" s="30">
        <v>21</v>
      </c>
      <c r="J17" s="30">
        <v>5</v>
      </c>
      <c r="K17" s="30">
        <v>15</v>
      </c>
      <c r="L17" s="30">
        <v>1</v>
      </c>
      <c r="M17" s="30">
        <v>2</v>
      </c>
    </row>
    <row r="18" spans="1:13">
      <c r="A18" s="30">
        <f ca="1" t="shared" si="0"/>
        <v>111</v>
      </c>
      <c r="B18" s="30">
        <f ca="1" t="array" ref="B18">INDEX(Data_DBD!$B:$B,$A18)</f>
        <v>25</v>
      </c>
      <c r="C18" s="30">
        <f ca="1" t="array" ref="C18">INDEX(Data_DBD!$C:$C,$A18)</f>
        <v>4</v>
      </c>
      <c r="D18" s="30">
        <f ca="1" t="array" ref="D18">INDEX(Data_DBD!$D:$D,$A18)</f>
        <v>33</v>
      </c>
      <c r="E18" s="30">
        <f ca="1" t="array" ref="E18">INDEX(Data_DBD!$E:$E,$A18)</f>
        <v>0</v>
      </c>
      <c r="F18" s="30">
        <f ca="1" t="array" ref="F18">INDEX(Data_DBD!$F:$F,$A18)</f>
        <v>3</v>
      </c>
      <c r="H18" s="30">
        <v>17</v>
      </c>
      <c r="I18" s="30">
        <v>2</v>
      </c>
      <c r="J18" s="30">
        <v>3</v>
      </c>
      <c r="K18" s="30">
        <v>7</v>
      </c>
      <c r="L18" s="30">
        <v>0</v>
      </c>
      <c r="M18" s="30">
        <v>1</v>
      </c>
    </row>
    <row r="19" spans="1:13">
      <c r="A19" s="30">
        <f ca="1" t="shared" si="0"/>
        <v>118</v>
      </c>
      <c r="B19" s="30">
        <f ca="1" t="array" ref="B19">INDEX(Data_DBD!$B:$B,$A19)</f>
        <v>67</v>
      </c>
      <c r="C19" s="30">
        <f ca="1" t="array" ref="C19">INDEX(Data_DBD!$C:$C,$A19)</f>
        <v>4</v>
      </c>
      <c r="D19" s="30">
        <f ca="1" t="array" ref="D19">INDEX(Data_DBD!$D:$D,$A19)</f>
        <v>33</v>
      </c>
      <c r="E19" s="30">
        <f ca="1" t="array" ref="E19">INDEX(Data_DBD!$E:$E,$A19)</f>
        <v>1</v>
      </c>
      <c r="F19" s="30">
        <f ca="1" t="array" ref="F19">INDEX(Data_DBD!$F:$F,$A19)</f>
        <v>3</v>
      </c>
      <c r="H19" s="30">
        <v>54</v>
      </c>
      <c r="I19" s="30">
        <v>7</v>
      </c>
      <c r="J19" s="30">
        <v>3</v>
      </c>
      <c r="K19" s="30">
        <v>15</v>
      </c>
      <c r="L19" s="30">
        <v>0</v>
      </c>
      <c r="M19" s="30">
        <v>2</v>
      </c>
    </row>
    <row r="20" spans="1:13">
      <c r="A20" s="30">
        <f ca="1" t="shared" si="0"/>
        <v>113</v>
      </c>
      <c r="B20" s="30">
        <f ca="1" t="array" ref="B20">INDEX(Data_DBD!$B:$B,$A20)</f>
        <v>69</v>
      </c>
      <c r="C20" s="30">
        <f ca="1" t="array" ref="C20">INDEX(Data_DBD!$C:$C,$A20)</f>
        <v>1</v>
      </c>
      <c r="D20" s="30">
        <f ca="1" t="array" ref="D20">INDEX(Data_DBD!$D:$D,$A20)</f>
        <v>33</v>
      </c>
      <c r="E20" s="30">
        <f ca="1" t="array" ref="E20">INDEX(Data_DBD!$E:$E,$A20)</f>
        <v>1</v>
      </c>
      <c r="F20" s="30">
        <f ca="1" t="array" ref="F20">INDEX(Data_DBD!$F:$F,$A20)</f>
        <v>3</v>
      </c>
      <c r="H20" s="30">
        <v>143</v>
      </c>
      <c r="I20" s="30">
        <v>20</v>
      </c>
      <c r="J20" s="30">
        <v>4</v>
      </c>
      <c r="K20" s="30">
        <v>21</v>
      </c>
      <c r="L20" s="30">
        <v>1</v>
      </c>
      <c r="M20" s="30">
        <v>3</v>
      </c>
    </row>
    <row r="21" spans="1:13">
      <c r="A21" s="30">
        <f ca="1" t="shared" si="0"/>
        <v>73</v>
      </c>
      <c r="B21" s="30">
        <f ca="1" t="array" ref="B21">INDEX(Data_DBD!$B:$B,$A21)</f>
        <v>15</v>
      </c>
      <c r="C21" s="30">
        <f ca="1" t="array" ref="C21">INDEX(Data_DBD!$C:$C,$A21)</f>
        <v>3</v>
      </c>
      <c r="D21" s="30">
        <f ca="1" t="array" ref="D21">INDEX(Data_DBD!$D:$D,$A21)</f>
        <v>10</v>
      </c>
      <c r="E21" s="30">
        <f ca="1" t="array" ref="E21">INDEX(Data_DBD!$E:$E,$A21)</f>
        <v>1</v>
      </c>
      <c r="F21" s="30">
        <f ca="1" t="array" ref="F21">INDEX(Data_DBD!$F:$F,$A21)</f>
        <v>2</v>
      </c>
      <c r="H21" s="30">
        <v>13</v>
      </c>
      <c r="I21" s="30">
        <v>47</v>
      </c>
      <c r="J21" s="30">
        <v>2</v>
      </c>
      <c r="K21" s="30">
        <v>12</v>
      </c>
      <c r="L21" s="30">
        <v>0</v>
      </c>
      <c r="M21" s="30">
        <v>2</v>
      </c>
    </row>
    <row r="22" spans="1:13">
      <c r="A22" s="30">
        <f ca="1" t="shared" si="0"/>
        <v>161</v>
      </c>
      <c r="B22" s="30">
        <f ca="1" t="array" ref="B22">INDEX(Data_DBD!$B:$B,$A22)</f>
        <v>12</v>
      </c>
      <c r="C22" s="30">
        <f ca="1" t="array" ref="C22">INDEX(Data_DBD!$C:$C,$A22)</f>
        <v>3</v>
      </c>
      <c r="D22" s="30">
        <f ca="1" t="array" ref="D22">INDEX(Data_DBD!$D:$D,$A22)</f>
        <v>21</v>
      </c>
      <c r="E22" s="30">
        <f ca="1" t="array" ref="E22">INDEX(Data_DBD!$E:$E,$A22)</f>
        <v>1</v>
      </c>
      <c r="F22" s="30">
        <f ca="1" t="array" ref="F22">INDEX(Data_DBD!$F:$F,$A22)</f>
        <v>3</v>
      </c>
      <c r="H22" s="30">
        <v>152</v>
      </c>
      <c r="I22" s="30">
        <v>47</v>
      </c>
      <c r="J22" s="30">
        <v>3</v>
      </c>
      <c r="K22" s="30">
        <v>21</v>
      </c>
      <c r="L22" s="30">
        <v>1</v>
      </c>
      <c r="M22" s="30">
        <v>3</v>
      </c>
    </row>
    <row r="23" spans="1:13">
      <c r="A23" s="30">
        <f ca="1" t="shared" si="0"/>
        <v>130</v>
      </c>
      <c r="B23" s="30">
        <f ca="1" t="array" ref="B23">INDEX(Data_DBD!$B:$B,$A23)</f>
        <v>12</v>
      </c>
      <c r="C23" s="30">
        <f ca="1" t="array" ref="C23">INDEX(Data_DBD!$C:$C,$A23)</f>
        <v>4</v>
      </c>
      <c r="D23" s="30">
        <f ca="1" t="array" ref="D23">INDEX(Data_DBD!$D:$D,$A23)</f>
        <v>33</v>
      </c>
      <c r="E23" s="30">
        <f ca="1" t="array" ref="E23">INDEX(Data_DBD!$E:$E,$A23)</f>
        <v>0</v>
      </c>
      <c r="F23" s="30">
        <f ca="1" t="array" ref="F23">INDEX(Data_DBD!$F:$F,$A23)</f>
        <v>3</v>
      </c>
      <c r="H23" s="30">
        <v>29</v>
      </c>
      <c r="I23" s="30">
        <v>19</v>
      </c>
      <c r="J23" s="30">
        <v>2</v>
      </c>
      <c r="K23" s="30">
        <v>14</v>
      </c>
      <c r="L23" s="30">
        <v>1</v>
      </c>
      <c r="M23" s="30">
        <v>2</v>
      </c>
    </row>
    <row r="24" spans="1:13">
      <c r="A24" s="30">
        <f ca="1" t="shared" si="0"/>
        <v>112</v>
      </c>
      <c r="B24" s="30">
        <f ca="1" t="array" ref="B24">INDEX(Data_DBD!$B:$B,$A24)</f>
        <v>61</v>
      </c>
      <c r="C24" s="30">
        <f ca="1" t="array" ref="C24">INDEX(Data_DBD!$C:$C,$A24)</f>
        <v>3</v>
      </c>
      <c r="D24" s="30">
        <f ca="1" t="array" ref="D24">INDEX(Data_DBD!$D:$D,$A24)</f>
        <v>33</v>
      </c>
      <c r="E24" s="30">
        <f ca="1" t="array" ref="E24">INDEX(Data_DBD!$E:$E,$A24)</f>
        <v>1</v>
      </c>
      <c r="F24" s="30">
        <f ca="1" t="array" ref="F24">INDEX(Data_DBD!$F:$F,$A24)</f>
        <v>3</v>
      </c>
      <c r="H24" s="30">
        <v>34</v>
      </c>
      <c r="I24" s="30">
        <v>55</v>
      </c>
      <c r="J24" s="30">
        <v>3</v>
      </c>
      <c r="K24" s="30">
        <v>14</v>
      </c>
      <c r="L24" s="30">
        <v>0</v>
      </c>
      <c r="M24" s="30">
        <v>2</v>
      </c>
    </row>
    <row r="25" spans="1:13">
      <c r="A25" s="30">
        <f ca="1" t="shared" si="0"/>
        <v>93</v>
      </c>
      <c r="B25" s="30">
        <f ca="1" t="array" ref="B25">INDEX(Data_DBD!$B:$B,$A25)</f>
        <v>65</v>
      </c>
      <c r="C25" s="30">
        <f ca="1" t="array" ref="C25">INDEX(Data_DBD!$C:$C,$A25)</f>
        <v>4</v>
      </c>
      <c r="D25" s="30">
        <f ca="1" t="array" ref="D25">INDEX(Data_DBD!$D:$D,$A25)</f>
        <v>18</v>
      </c>
      <c r="E25" s="30">
        <f ca="1" t="array" ref="E25">INDEX(Data_DBD!$E:$E,$A25)</f>
        <v>0</v>
      </c>
      <c r="F25" s="30">
        <f ca="1" t="array" ref="F25">INDEX(Data_DBD!$F:$F,$A25)</f>
        <v>3</v>
      </c>
      <c r="H25" s="30">
        <v>55</v>
      </c>
      <c r="I25" s="30">
        <v>7</v>
      </c>
      <c r="J25" s="30">
        <v>4</v>
      </c>
      <c r="K25" s="30">
        <v>15</v>
      </c>
      <c r="L25" s="30">
        <v>1</v>
      </c>
      <c r="M25" s="30">
        <v>2</v>
      </c>
    </row>
    <row r="26" spans="1:13">
      <c r="A26" s="30">
        <f ca="1" t="shared" si="0"/>
        <v>129</v>
      </c>
      <c r="B26" s="30">
        <f ca="1" t="array" ref="B26">INDEX(Data_DBD!$B:$B,$A26)</f>
        <v>4.5</v>
      </c>
      <c r="C26" s="30">
        <f ca="1" t="array" ref="C26">INDEX(Data_DBD!$C:$C,$A26)</f>
        <v>3</v>
      </c>
      <c r="D26" s="30">
        <f ca="1" t="array" ref="D26">INDEX(Data_DBD!$D:$D,$A26)</f>
        <v>33</v>
      </c>
      <c r="E26" s="30">
        <f ca="1" t="array" ref="E26">INDEX(Data_DBD!$E:$E,$A26)</f>
        <v>0</v>
      </c>
      <c r="F26" s="30">
        <f ca="1" t="array" ref="F26">INDEX(Data_DBD!$F:$F,$A26)</f>
        <v>3</v>
      </c>
      <c r="H26" s="30">
        <v>157</v>
      </c>
      <c r="I26" s="30">
        <v>15</v>
      </c>
      <c r="J26" s="30">
        <v>4</v>
      </c>
      <c r="K26" s="30">
        <v>21</v>
      </c>
      <c r="L26" s="30">
        <v>1</v>
      </c>
      <c r="M26" s="30">
        <v>3</v>
      </c>
    </row>
    <row r="27" spans="1:13">
      <c r="A27" s="30">
        <f ca="1" t="shared" si="0"/>
        <v>91</v>
      </c>
      <c r="B27" s="30">
        <f ca="1" t="array" ref="B27">INDEX(Data_DBD!$B:$B,$A27)</f>
        <v>35</v>
      </c>
      <c r="C27" s="30">
        <f ca="1" t="array" ref="C27">INDEX(Data_DBD!$C:$C,$A27)</f>
        <v>1</v>
      </c>
      <c r="D27" s="30">
        <f ca="1" t="array" ref="D27">INDEX(Data_DBD!$D:$D,$A27)</f>
        <v>18</v>
      </c>
      <c r="E27" s="30">
        <f ca="1" t="array" ref="E27">INDEX(Data_DBD!$E:$E,$A27)</f>
        <v>1</v>
      </c>
      <c r="F27" s="30">
        <f ca="1" t="array" ref="F27">INDEX(Data_DBD!$F:$F,$A27)</f>
        <v>3</v>
      </c>
      <c r="H27" s="30">
        <v>152</v>
      </c>
      <c r="I27" s="30">
        <v>47</v>
      </c>
      <c r="J27" s="30">
        <v>3</v>
      </c>
      <c r="K27" s="30">
        <v>21</v>
      </c>
      <c r="L27" s="30">
        <v>1</v>
      </c>
      <c r="M27" s="30">
        <v>3</v>
      </c>
    </row>
    <row r="28" spans="1:13">
      <c r="A28" s="30">
        <f ca="1" t="shared" si="0"/>
        <v>61</v>
      </c>
      <c r="B28" s="30">
        <f ca="1" t="array" ref="B28">INDEX(Data_DBD!$B:$B,$A28)</f>
        <v>29</v>
      </c>
      <c r="C28" s="30">
        <f ca="1" t="array" ref="C28">INDEX(Data_DBD!$C:$C,$A28)</f>
        <v>3</v>
      </c>
      <c r="D28" s="30">
        <f ca="1" t="array" ref="D28">INDEX(Data_DBD!$D:$D,$A28)</f>
        <v>15</v>
      </c>
      <c r="E28" s="30">
        <f ca="1" t="array" ref="E28">INDEX(Data_DBD!$E:$E,$A28)</f>
        <v>1</v>
      </c>
      <c r="F28" s="30">
        <f ca="1" t="array" ref="F28">INDEX(Data_DBD!$F:$F,$A28)</f>
        <v>2</v>
      </c>
      <c r="H28" s="30">
        <v>41</v>
      </c>
      <c r="I28" s="30">
        <v>8</v>
      </c>
      <c r="J28" s="30">
        <v>4</v>
      </c>
      <c r="K28" s="30">
        <v>13</v>
      </c>
      <c r="L28" s="30">
        <v>0</v>
      </c>
      <c r="M28" s="30">
        <v>2</v>
      </c>
    </row>
    <row r="29" spans="1:13">
      <c r="A29" s="30">
        <f ca="1" t="shared" si="0"/>
        <v>127</v>
      </c>
      <c r="B29" s="30">
        <f ca="1" t="array" ref="B29">INDEX(Data_DBD!$B:$B,$A29)</f>
        <v>21</v>
      </c>
      <c r="C29" s="30">
        <f ca="1" t="array" ref="C29">INDEX(Data_DBD!$C:$C,$A29)</f>
        <v>2</v>
      </c>
      <c r="D29" s="30">
        <f ca="1" t="array" ref="D29">INDEX(Data_DBD!$D:$D,$A29)</f>
        <v>33</v>
      </c>
      <c r="E29" s="30">
        <f ca="1" t="array" ref="E29">INDEX(Data_DBD!$E:$E,$A29)</f>
        <v>0</v>
      </c>
      <c r="F29" s="30">
        <f ca="1" t="array" ref="F29">INDEX(Data_DBD!$F:$F,$A29)</f>
        <v>3</v>
      </c>
      <c r="H29" s="30">
        <v>132</v>
      </c>
      <c r="I29" s="30">
        <v>10</v>
      </c>
      <c r="J29" s="30">
        <v>3</v>
      </c>
      <c r="K29" s="30">
        <v>33</v>
      </c>
      <c r="L29" s="30">
        <v>1</v>
      </c>
      <c r="M29" s="30">
        <v>3</v>
      </c>
    </row>
    <row r="30" spans="1:13">
      <c r="A30" s="30">
        <f ca="1" t="shared" si="0"/>
        <v>123</v>
      </c>
      <c r="B30" s="30">
        <f ca="1" t="array" ref="B30">INDEX(Data_DBD!$B:$B,$A30)</f>
        <v>22</v>
      </c>
      <c r="C30" s="30">
        <f ca="1" t="array" ref="C30">INDEX(Data_DBD!$C:$C,$A30)</f>
        <v>4</v>
      </c>
      <c r="D30" s="30">
        <f ca="1" t="array" ref="D30">INDEX(Data_DBD!$D:$D,$A30)</f>
        <v>33</v>
      </c>
      <c r="E30" s="30">
        <f ca="1" t="array" ref="E30">INDEX(Data_DBD!$E:$E,$A30)</f>
        <v>0</v>
      </c>
      <c r="F30" s="30">
        <f ca="1" t="array" ref="F30">INDEX(Data_DBD!$F:$F,$A30)</f>
        <v>3</v>
      </c>
      <c r="H30" s="30">
        <v>28</v>
      </c>
      <c r="I30" s="30">
        <v>22</v>
      </c>
      <c r="J30" s="30">
        <v>2</v>
      </c>
      <c r="K30" s="30">
        <v>14</v>
      </c>
      <c r="L30" s="30">
        <v>1</v>
      </c>
      <c r="M30" s="30">
        <v>2</v>
      </c>
    </row>
    <row r="31" spans="1:13">
      <c r="A31" s="30">
        <f ca="1" t="shared" si="0"/>
        <v>141</v>
      </c>
      <c r="B31" s="30">
        <f ca="1" t="array" ref="B31">INDEX(Data_DBD!$B:$B,$A31)</f>
        <v>36</v>
      </c>
      <c r="C31" s="30">
        <f ca="1" t="array" ref="C31">INDEX(Data_DBD!$C:$C,$A31)</f>
        <v>2</v>
      </c>
      <c r="D31" s="30">
        <f ca="1" t="array" ref="D31">INDEX(Data_DBD!$D:$D,$A31)</f>
        <v>21</v>
      </c>
      <c r="E31" s="30">
        <f ca="1" t="array" ref="E31">INDEX(Data_DBD!$E:$E,$A31)</f>
        <v>0</v>
      </c>
      <c r="F31" s="30">
        <f ca="1" t="array" ref="F31">INDEX(Data_DBD!$F:$F,$A31)</f>
        <v>3</v>
      </c>
      <c r="H31" s="30">
        <v>143</v>
      </c>
      <c r="I31" s="30">
        <v>20</v>
      </c>
      <c r="J31" s="30">
        <v>4</v>
      </c>
      <c r="K31" s="30">
        <v>21</v>
      </c>
      <c r="L31" s="30">
        <v>1</v>
      </c>
      <c r="M31" s="30">
        <v>3</v>
      </c>
    </row>
    <row r="32" spans="1:13">
      <c r="A32" s="30">
        <f ca="1" t="shared" si="0"/>
        <v>2</v>
      </c>
      <c r="B32" s="30">
        <f ca="1" t="array" ref="B32">INDEX(Data_DBD!$B:$B,$A32)</f>
        <v>34</v>
      </c>
      <c r="C32" s="30">
        <f ca="1" t="array" ref="C32">INDEX(Data_DBD!$C:$C,$A32)</f>
        <v>3</v>
      </c>
      <c r="D32" s="30">
        <f ca="1" t="array" ref="D32">INDEX(Data_DBD!$D:$D,$A32)</f>
        <v>12</v>
      </c>
      <c r="E32" s="30">
        <f ca="1" t="array" ref="E32">INDEX(Data_DBD!$E:$E,$A32)</f>
        <v>0</v>
      </c>
      <c r="F32" s="30">
        <f ca="1" t="array" ref="F32">INDEX(Data_DBD!$F:$F,$A32)</f>
        <v>2</v>
      </c>
      <c r="H32" s="30">
        <v>32</v>
      </c>
      <c r="I32" s="30">
        <v>54</v>
      </c>
      <c r="J32" s="30">
        <v>4</v>
      </c>
      <c r="K32" s="30">
        <v>14</v>
      </c>
      <c r="L32" s="30">
        <v>0</v>
      </c>
      <c r="M32" s="30">
        <v>2</v>
      </c>
    </row>
    <row r="33" spans="1:13">
      <c r="A33" s="30">
        <f ca="1" t="shared" si="0"/>
        <v>36</v>
      </c>
      <c r="B33" s="30">
        <f ca="1" t="array" ref="B33">INDEX(Data_DBD!$B:$B,$A33)</f>
        <v>27</v>
      </c>
      <c r="C33" s="30">
        <f ca="1" t="array" ref="C33">INDEX(Data_DBD!$C:$C,$A33)</f>
        <v>1</v>
      </c>
      <c r="D33" s="30">
        <f ca="1" t="array" ref="D33">INDEX(Data_DBD!$D:$D,$A33)</f>
        <v>4</v>
      </c>
      <c r="E33" s="30">
        <f ca="1" t="array" ref="E33">INDEX(Data_DBD!$E:$E,$A33)</f>
        <v>1</v>
      </c>
      <c r="F33" s="30">
        <f ca="1" t="array" ref="F33">INDEX(Data_DBD!$F:$F,$A33)</f>
        <v>1</v>
      </c>
      <c r="H33" s="30">
        <v>64</v>
      </c>
      <c r="I33" s="30">
        <v>35</v>
      </c>
      <c r="J33" s="30">
        <v>1</v>
      </c>
      <c r="K33" s="30">
        <v>15</v>
      </c>
      <c r="L33" s="30">
        <v>0</v>
      </c>
      <c r="M33" s="30">
        <v>2</v>
      </c>
    </row>
    <row r="34" spans="1:13">
      <c r="A34" s="30">
        <f ca="1" t="shared" si="0"/>
        <v>55</v>
      </c>
      <c r="B34" s="30">
        <f ca="1" t="array" ref="B34">INDEX(Data_DBD!$B:$B,$A34)</f>
        <v>7</v>
      </c>
      <c r="C34" s="30">
        <f ca="1" t="array" ref="C34">INDEX(Data_DBD!$C:$C,$A34)</f>
        <v>4</v>
      </c>
      <c r="D34" s="30">
        <f ca="1" t="array" ref="D34">INDEX(Data_DBD!$D:$D,$A34)</f>
        <v>15</v>
      </c>
      <c r="E34" s="30">
        <f ca="1" t="array" ref="E34">INDEX(Data_DBD!$E:$E,$A34)</f>
        <v>1</v>
      </c>
      <c r="F34" s="30">
        <f ca="1" t="array" ref="F34">INDEX(Data_DBD!$F:$F,$A34)</f>
        <v>2</v>
      </c>
      <c r="H34" s="30">
        <v>27</v>
      </c>
      <c r="I34" s="30">
        <v>37</v>
      </c>
      <c r="J34" s="30">
        <v>4</v>
      </c>
      <c r="K34" s="30">
        <v>14</v>
      </c>
      <c r="L34" s="30">
        <v>1</v>
      </c>
      <c r="M34" s="30">
        <v>2</v>
      </c>
    </row>
    <row r="35" spans="1:13">
      <c r="A35" s="30">
        <f ca="1" t="shared" si="0"/>
        <v>55</v>
      </c>
      <c r="B35" s="30">
        <f ca="1" t="array" ref="B35">INDEX(Data_DBD!$B:$B,$A35)</f>
        <v>7</v>
      </c>
      <c r="C35" s="30">
        <f ca="1" t="array" ref="C35">INDEX(Data_DBD!$C:$C,$A35)</f>
        <v>4</v>
      </c>
      <c r="D35" s="30">
        <f ca="1" t="array" ref="D35">INDEX(Data_DBD!$D:$D,$A35)</f>
        <v>15</v>
      </c>
      <c r="E35" s="30">
        <f ca="1" t="array" ref="E35">INDEX(Data_DBD!$E:$E,$A35)</f>
        <v>1</v>
      </c>
      <c r="F35" s="30">
        <f ca="1" t="array" ref="F35">INDEX(Data_DBD!$F:$F,$A35)</f>
        <v>2</v>
      </c>
      <c r="H35" s="30">
        <v>78</v>
      </c>
      <c r="I35" s="30">
        <v>6</v>
      </c>
      <c r="J35" s="30">
        <v>3</v>
      </c>
      <c r="K35" s="30">
        <v>13</v>
      </c>
      <c r="L35" s="30">
        <v>0</v>
      </c>
      <c r="M35" s="30">
        <v>2</v>
      </c>
    </row>
    <row r="36" spans="1:13">
      <c r="A36" s="30">
        <f ca="1" t="shared" si="0"/>
        <v>38</v>
      </c>
      <c r="B36" s="30">
        <f ca="1" t="array" ref="B36">INDEX(Data_DBD!$B:$B,$A36)</f>
        <v>52</v>
      </c>
      <c r="C36" s="30">
        <f ca="1" t="array" ref="C36">INDEX(Data_DBD!$C:$C,$A36)</f>
        <v>3</v>
      </c>
      <c r="D36" s="30">
        <f ca="1" t="array" ref="D36">INDEX(Data_DBD!$D:$D,$A36)</f>
        <v>4</v>
      </c>
      <c r="E36" s="30">
        <f ca="1" t="array" ref="E36">INDEX(Data_DBD!$E:$E,$A36)</f>
        <v>1</v>
      </c>
      <c r="F36" s="30">
        <f ca="1" t="array" ref="F36">INDEX(Data_DBD!$F:$F,$A36)</f>
        <v>1</v>
      </c>
      <c r="H36" s="30">
        <v>108</v>
      </c>
      <c r="I36" s="30">
        <v>69</v>
      </c>
      <c r="J36" s="30">
        <v>7</v>
      </c>
      <c r="K36" s="30">
        <v>33</v>
      </c>
      <c r="L36" s="30">
        <v>1</v>
      </c>
      <c r="M36" s="30">
        <v>3</v>
      </c>
    </row>
    <row r="37" spans="1:13">
      <c r="A37" s="30">
        <f ca="1" t="shared" si="0"/>
        <v>30</v>
      </c>
      <c r="B37" s="30" t="str">
        <f ca="1" t="array" ref="B37">INDEX(Data_DBD!$B:$B,$A37)</f>
        <v>2,8</v>
      </c>
      <c r="C37" s="30">
        <f ca="1" t="array" ref="C37">INDEX(Data_DBD!$C:$C,$A37)</f>
        <v>2</v>
      </c>
      <c r="D37" s="30">
        <f ca="1" t="array" ref="D37">INDEX(Data_DBD!$D:$D,$A37)</f>
        <v>14</v>
      </c>
      <c r="E37" s="30">
        <f ca="1" t="array" ref="E37">INDEX(Data_DBD!$E:$E,$A37)</f>
        <v>1</v>
      </c>
      <c r="F37" s="30">
        <f ca="1" t="array" ref="F37">INDEX(Data_DBD!$F:$F,$A37)</f>
        <v>2</v>
      </c>
      <c r="H37" s="30">
        <v>96</v>
      </c>
      <c r="I37" s="30">
        <v>56</v>
      </c>
      <c r="J37" s="30">
        <v>4</v>
      </c>
      <c r="K37" s="30">
        <v>18</v>
      </c>
      <c r="L37" s="30">
        <v>0</v>
      </c>
      <c r="M37" s="30">
        <v>3</v>
      </c>
    </row>
    <row r="38" spans="1:13">
      <c r="A38" s="30">
        <f ca="1" t="shared" si="0"/>
        <v>40</v>
      </c>
      <c r="B38" s="30">
        <f ca="1" t="array" ref="B38">INDEX(Data_DBD!$B:$B,$A38)</f>
        <v>65</v>
      </c>
      <c r="C38" s="30">
        <f ca="1" t="array" ref="C38">INDEX(Data_DBD!$C:$C,$A38)</f>
        <v>3</v>
      </c>
      <c r="D38" s="30">
        <f ca="1" t="array" ref="D38">INDEX(Data_DBD!$D:$D,$A38)</f>
        <v>13</v>
      </c>
      <c r="E38" s="30">
        <f ca="1" t="array" ref="E38">INDEX(Data_DBD!$E:$E,$A38)</f>
        <v>1</v>
      </c>
      <c r="F38" s="30">
        <f ca="1" t="array" ref="F38">INDEX(Data_DBD!$F:$F,$A38)</f>
        <v>2</v>
      </c>
      <c r="H38" s="30">
        <v>36</v>
      </c>
      <c r="I38" s="30">
        <v>27</v>
      </c>
      <c r="J38" s="30">
        <v>1</v>
      </c>
      <c r="K38" s="30">
        <v>4</v>
      </c>
      <c r="L38" s="30">
        <v>1</v>
      </c>
      <c r="M38" s="30">
        <v>1</v>
      </c>
    </row>
    <row r="39" spans="1:13">
      <c r="A39" s="30">
        <f ca="1" t="shared" si="0"/>
        <v>92</v>
      </c>
      <c r="B39" s="30">
        <f ca="1" t="array" ref="B39">INDEX(Data_DBD!$B:$B,$A39)</f>
        <v>55</v>
      </c>
      <c r="C39" s="30">
        <f ca="1" t="array" ref="C39">INDEX(Data_DBD!$C:$C,$A39)</f>
        <v>7</v>
      </c>
      <c r="D39" s="30">
        <f ca="1" t="array" ref="D39">INDEX(Data_DBD!$D:$D,$A39)</f>
        <v>18</v>
      </c>
      <c r="E39" s="30">
        <f ca="1" t="array" ref="E39">INDEX(Data_DBD!$E:$E,$A39)</f>
        <v>0</v>
      </c>
      <c r="F39" s="30">
        <f ca="1" t="array" ref="F39">INDEX(Data_DBD!$F:$F,$A39)</f>
        <v>3</v>
      </c>
      <c r="H39" s="30">
        <v>76</v>
      </c>
      <c r="I39" s="30">
        <v>70</v>
      </c>
      <c r="J39" s="30">
        <v>2</v>
      </c>
      <c r="K39" s="30">
        <v>10</v>
      </c>
      <c r="L39" s="30">
        <v>0</v>
      </c>
      <c r="M39" s="30">
        <v>2</v>
      </c>
    </row>
    <row r="40" spans="1:13">
      <c r="A40" s="30">
        <f ca="1" t="shared" si="0"/>
        <v>28</v>
      </c>
      <c r="B40" s="30">
        <f ca="1" t="array" ref="B40">INDEX(Data_DBD!$B:$B,$A40)</f>
        <v>22</v>
      </c>
      <c r="C40" s="30">
        <f ca="1" t="array" ref="C40">INDEX(Data_DBD!$C:$C,$A40)</f>
        <v>2</v>
      </c>
      <c r="D40" s="30">
        <f ca="1" t="array" ref="D40">INDEX(Data_DBD!$D:$D,$A40)</f>
        <v>14</v>
      </c>
      <c r="E40" s="30">
        <f ca="1" t="array" ref="E40">INDEX(Data_DBD!$E:$E,$A40)</f>
        <v>1</v>
      </c>
      <c r="F40" s="30">
        <f ca="1" t="array" ref="F40">INDEX(Data_DBD!$F:$F,$A40)</f>
        <v>2</v>
      </c>
      <c r="H40" s="30">
        <v>80</v>
      </c>
      <c r="I40" s="30">
        <v>27</v>
      </c>
      <c r="J40" s="30">
        <v>3</v>
      </c>
      <c r="K40" s="30">
        <v>13</v>
      </c>
      <c r="L40" s="30">
        <v>1</v>
      </c>
      <c r="M40" s="30">
        <v>2</v>
      </c>
    </row>
    <row r="41" spans="1:13">
      <c r="A41" s="30">
        <f ca="1" t="shared" si="0"/>
        <v>44</v>
      </c>
      <c r="B41" s="30">
        <f ca="1" t="array" ref="B41">INDEX(Data_DBD!$B:$B,$A41)</f>
        <v>28</v>
      </c>
      <c r="C41" s="30">
        <f ca="1" t="array" ref="C41">INDEX(Data_DBD!$C:$C,$A41)</f>
        <v>5</v>
      </c>
      <c r="D41" s="30">
        <f ca="1" t="array" ref="D41">INDEX(Data_DBD!$D:$D,$A41)</f>
        <v>13</v>
      </c>
      <c r="E41" s="30">
        <f ca="1" t="array" ref="E41">INDEX(Data_DBD!$E:$E,$A41)</f>
        <v>1</v>
      </c>
      <c r="F41" s="30">
        <f ca="1" t="array" ref="F41">INDEX(Data_DBD!$F:$F,$A41)</f>
        <v>2</v>
      </c>
      <c r="H41" s="30">
        <v>74</v>
      </c>
      <c r="I41" s="30">
        <v>9</v>
      </c>
      <c r="J41" s="30">
        <v>4</v>
      </c>
      <c r="K41" s="30">
        <v>10</v>
      </c>
      <c r="L41" s="30">
        <v>0</v>
      </c>
      <c r="M41" s="30">
        <v>2</v>
      </c>
    </row>
    <row r="42" spans="1:13">
      <c r="A42" s="30">
        <f ca="1" t="shared" si="0"/>
        <v>155</v>
      </c>
      <c r="B42" s="30">
        <f ca="1" t="array" ref="B42">INDEX(Data_DBD!$B:$B,$A42)</f>
        <v>19</v>
      </c>
      <c r="C42" s="30">
        <f ca="1" t="array" ref="C42">INDEX(Data_DBD!$C:$C,$A42)</f>
        <v>5</v>
      </c>
      <c r="D42" s="30">
        <f ca="1" t="array" ref="D42">INDEX(Data_DBD!$D:$D,$A42)</f>
        <v>21</v>
      </c>
      <c r="E42" s="30">
        <f ca="1" t="array" ref="E42">INDEX(Data_DBD!$E:$E,$A42)</f>
        <v>1</v>
      </c>
      <c r="F42" s="30">
        <f ca="1" t="array" ref="F42">INDEX(Data_DBD!$F:$F,$A42)</f>
        <v>3</v>
      </c>
      <c r="H42" s="30">
        <v>3</v>
      </c>
      <c r="I42" s="30">
        <v>43</v>
      </c>
      <c r="J42" s="30">
        <v>3</v>
      </c>
      <c r="K42" s="30">
        <v>12</v>
      </c>
      <c r="L42" s="30">
        <v>1</v>
      </c>
      <c r="M42" s="30">
        <v>2</v>
      </c>
    </row>
    <row r="43" spans="1:13">
      <c r="A43" s="30">
        <f ca="1" t="shared" si="0"/>
        <v>89</v>
      </c>
      <c r="B43" s="30">
        <f ca="1" t="array" ref="B43">INDEX(Data_DBD!$B:$B,$A43)</f>
        <v>32</v>
      </c>
      <c r="C43" s="30">
        <f ca="1" t="array" ref="C43">INDEX(Data_DBD!$C:$C,$A43)</f>
        <v>4</v>
      </c>
      <c r="D43" s="30">
        <f ca="1" t="array" ref="D43">INDEX(Data_DBD!$D:$D,$A43)</f>
        <v>13</v>
      </c>
      <c r="E43" s="30">
        <f ca="1" t="array" ref="E43">INDEX(Data_DBD!$E:$E,$A43)</f>
        <v>0</v>
      </c>
      <c r="F43" s="30">
        <f ca="1" t="array" ref="F43">INDEX(Data_DBD!$F:$F,$A43)</f>
        <v>2</v>
      </c>
      <c r="H43" s="30">
        <v>87</v>
      </c>
      <c r="I43" s="30">
        <v>21</v>
      </c>
      <c r="J43" s="30">
        <v>3</v>
      </c>
      <c r="K43" s="30">
        <v>13</v>
      </c>
      <c r="L43" s="30">
        <v>0</v>
      </c>
      <c r="M43" s="30">
        <v>2</v>
      </c>
    </row>
    <row r="44" spans="1:13">
      <c r="A44" s="30">
        <f ca="1" t="shared" si="0"/>
        <v>99</v>
      </c>
      <c r="B44" s="30">
        <f ca="1" t="array" ref="B44">INDEX(Data_DBD!$B:$B,$A44)</f>
        <v>4</v>
      </c>
      <c r="C44" s="30">
        <f ca="1" t="array" ref="C44">INDEX(Data_DBD!$C:$C,$A44)</f>
        <v>2</v>
      </c>
      <c r="D44" s="30">
        <f ca="1" t="array" ref="D44">INDEX(Data_DBD!$D:$D,$A44)</f>
        <v>18</v>
      </c>
      <c r="E44" s="30">
        <f ca="1" t="array" ref="E44">INDEX(Data_DBD!$E:$E,$A44)</f>
        <v>1</v>
      </c>
      <c r="F44" s="30">
        <f ca="1" t="array" ref="F44">INDEX(Data_DBD!$F:$F,$A44)</f>
        <v>3</v>
      </c>
      <c r="H44" s="30">
        <v>55</v>
      </c>
      <c r="I44" s="30">
        <v>7</v>
      </c>
      <c r="J44" s="30">
        <v>4</v>
      </c>
      <c r="K44" s="30">
        <v>15</v>
      </c>
      <c r="L44" s="30">
        <v>1</v>
      </c>
      <c r="M44" s="30">
        <v>2</v>
      </c>
    </row>
    <row r="45" spans="1:13">
      <c r="A45" s="30">
        <f ca="1" t="shared" si="0"/>
        <v>45</v>
      </c>
      <c r="B45" s="30">
        <f ca="1" t="array" ref="B45">INDEX(Data_DBD!$B:$B,$A45)</f>
        <v>75</v>
      </c>
      <c r="C45" s="30">
        <f ca="1" t="array" ref="C45">INDEX(Data_DBD!$C:$C,$A45)</f>
        <v>3</v>
      </c>
      <c r="D45" s="30">
        <f ca="1" t="array" ref="D45">INDEX(Data_DBD!$D:$D,$A45)</f>
        <v>13</v>
      </c>
      <c r="E45" s="30">
        <f ca="1" t="array" ref="E45">INDEX(Data_DBD!$E:$E,$A45)</f>
        <v>1</v>
      </c>
      <c r="F45" s="30">
        <f ca="1" t="array" ref="F45">INDEX(Data_DBD!$F:$F,$A45)</f>
        <v>2</v>
      </c>
      <c r="H45" s="30">
        <v>17</v>
      </c>
      <c r="I45" s="30">
        <v>2</v>
      </c>
      <c r="J45" s="30">
        <v>3</v>
      </c>
      <c r="K45" s="30">
        <v>7</v>
      </c>
      <c r="L45" s="30">
        <v>0</v>
      </c>
      <c r="M45" s="30">
        <v>1</v>
      </c>
    </row>
    <row r="46" spans="1:13">
      <c r="A46" s="30">
        <f ca="1" t="shared" si="0"/>
        <v>31</v>
      </c>
      <c r="B46" s="30">
        <f ca="1" t="array" ref="B46">INDEX(Data_DBD!$B:$B,$A46)</f>
        <v>64</v>
      </c>
      <c r="C46" s="30">
        <f ca="1" t="array" ref="C46">INDEX(Data_DBD!$C:$C,$A46)</f>
        <v>4</v>
      </c>
      <c r="D46" s="30">
        <f ca="1" t="array" ref="D46">INDEX(Data_DBD!$D:$D,$A46)</f>
        <v>14</v>
      </c>
      <c r="E46" s="30">
        <f ca="1" t="array" ref="E46">INDEX(Data_DBD!$E:$E,$A46)</f>
        <v>1</v>
      </c>
      <c r="F46" s="30">
        <f ca="1" t="array" ref="F46">INDEX(Data_DBD!$F:$F,$A46)</f>
        <v>2</v>
      </c>
      <c r="H46" s="30">
        <v>20</v>
      </c>
      <c r="I46" s="30">
        <v>15</v>
      </c>
      <c r="J46" s="30">
        <v>5</v>
      </c>
      <c r="K46" s="30">
        <v>7</v>
      </c>
      <c r="L46" s="30">
        <v>0</v>
      </c>
      <c r="M46" s="30">
        <v>1</v>
      </c>
    </row>
    <row r="47" spans="1:13">
      <c r="A47" s="30">
        <f ca="1" t="shared" si="0"/>
        <v>14</v>
      </c>
      <c r="B47" s="30">
        <f ca="1" t="array" ref="B47">INDEX(Data_DBD!$B:$B,$A47)</f>
        <v>49</v>
      </c>
      <c r="C47" s="30">
        <f ca="1" t="array" ref="C47">INDEX(Data_DBD!$C:$C,$A47)</f>
        <v>4</v>
      </c>
      <c r="D47" s="30">
        <f ca="1" t="array" ref="D47">INDEX(Data_DBD!$D:$D,$A47)</f>
        <v>7</v>
      </c>
      <c r="E47" s="30">
        <f ca="1" t="array" ref="E47">INDEX(Data_DBD!$E:$E,$A47)</f>
        <v>1</v>
      </c>
      <c r="F47" s="30">
        <f ca="1" t="array" ref="F47">INDEX(Data_DBD!$F:$F,$A47)</f>
        <v>1</v>
      </c>
      <c r="H47" s="30">
        <v>76</v>
      </c>
      <c r="I47" s="30">
        <v>70</v>
      </c>
      <c r="J47" s="30">
        <v>2</v>
      </c>
      <c r="K47" s="30">
        <v>10</v>
      </c>
      <c r="L47" s="30">
        <v>0</v>
      </c>
      <c r="M47" s="30">
        <v>2</v>
      </c>
    </row>
    <row r="48" spans="1:13">
      <c r="A48" s="30">
        <f ca="1" t="shared" si="0"/>
        <v>85</v>
      </c>
      <c r="B48" s="30">
        <f ca="1" t="array" ref="B48">INDEX(Data_DBD!$B:$B,$A48)</f>
        <v>27</v>
      </c>
      <c r="C48" s="30">
        <f ca="1" t="array" ref="C48">INDEX(Data_DBD!$C:$C,$A48)</f>
        <v>9</v>
      </c>
      <c r="D48" s="30">
        <f ca="1" t="array" ref="D48">INDEX(Data_DBD!$D:$D,$A48)</f>
        <v>13</v>
      </c>
      <c r="E48" s="30">
        <f ca="1" t="array" ref="E48">INDEX(Data_DBD!$E:$E,$A48)</f>
        <v>0</v>
      </c>
      <c r="F48" s="30">
        <f ca="1" t="array" ref="F48">INDEX(Data_DBD!$F:$F,$A48)</f>
        <v>2</v>
      </c>
      <c r="H48" s="30">
        <v>77</v>
      </c>
      <c r="I48" s="30">
        <v>16</v>
      </c>
      <c r="J48" s="30">
        <v>4</v>
      </c>
      <c r="K48" s="30">
        <v>13</v>
      </c>
      <c r="L48" s="30">
        <v>1</v>
      </c>
      <c r="M48" s="30">
        <v>2</v>
      </c>
    </row>
    <row r="49" spans="1:13">
      <c r="A49" s="30">
        <f ca="1" t="shared" si="0"/>
        <v>72</v>
      </c>
      <c r="B49" s="30">
        <f ca="1" t="array" ref="B49">INDEX(Data_DBD!$B:$B,$A49)</f>
        <v>3</v>
      </c>
      <c r="C49" s="30">
        <f ca="1" t="array" ref="C49">INDEX(Data_DBD!$C:$C,$A49)</f>
        <v>5</v>
      </c>
      <c r="D49" s="30">
        <f ca="1" t="array" ref="D49">INDEX(Data_DBD!$D:$D,$A49)</f>
        <v>10</v>
      </c>
      <c r="E49" s="30">
        <f ca="1" t="array" ref="E49">INDEX(Data_DBD!$E:$E,$A49)</f>
        <v>1</v>
      </c>
      <c r="F49" s="30">
        <f ca="1" t="array" ref="F49">INDEX(Data_DBD!$F:$F,$A49)</f>
        <v>2</v>
      </c>
      <c r="H49" s="30">
        <v>134</v>
      </c>
      <c r="I49" s="30">
        <v>4</v>
      </c>
      <c r="J49" s="30">
        <v>2</v>
      </c>
      <c r="K49" s="30">
        <v>33</v>
      </c>
      <c r="L49" s="30">
        <v>1</v>
      </c>
      <c r="M49" s="30">
        <v>3</v>
      </c>
    </row>
    <row r="50" spans="1:13">
      <c r="A50" s="30">
        <f ca="1" t="shared" si="0"/>
        <v>48</v>
      </c>
      <c r="B50" s="30">
        <f ca="1" t="array" ref="B50">INDEX(Data_DBD!$B:$B,$A50)</f>
        <v>50</v>
      </c>
      <c r="C50" s="30">
        <f ca="1" t="array" ref="C50">INDEX(Data_DBD!$C:$C,$A50)</f>
        <v>5</v>
      </c>
      <c r="D50" s="30">
        <f ca="1" t="array" ref="D50">INDEX(Data_DBD!$D:$D,$A50)</f>
        <v>13</v>
      </c>
      <c r="E50" s="30">
        <f ca="1" t="array" ref="E50">INDEX(Data_DBD!$E:$E,$A50)</f>
        <v>1</v>
      </c>
      <c r="F50" s="30">
        <f ca="1" t="array" ref="F50">INDEX(Data_DBD!$F:$F,$A50)</f>
        <v>2</v>
      </c>
      <c r="H50" s="30">
        <v>7</v>
      </c>
      <c r="I50" s="30">
        <v>12</v>
      </c>
      <c r="J50" s="30">
        <v>1</v>
      </c>
      <c r="K50" s="30">
        <v>12</v>
      </c>
      <c r="L50" s="30">
        <v>1</v>
      </c>
      <c r="M50" s="30">
        <v>2</v>
      </c>
    </row>
    <row r="51" spans="1:13">
      <c r="A51" s="30">
        <f ca="1" t="shared" si="0"/>
        <v>130</v>
      </c>
      <c r="B51" s="30">
        <f ca="1" t="array" ref="B51">INDEX(Data_DBD!$B:$B,$A51)</f>
        <v>12</v>
      </c>
      <c r="C51" s="30">
        <f ca="1" t="array" ref="C51">INDEX(Data_DBD!$C:$C,$A51)</f>
        <v>4</v>
      </c>
      <c r="D51" s="30">
        <f ca="1" t="array" ref="D51">INDEX(Data_DBD!$D:$D,$A51)</f>
        <v>33</v>
      </c>
      <c r="E51" s="30">
        <f ca="1" t="array" ref="E51">INDEX(Data_DBD!$E:$E,$A51)</f>
        <v>0</v>
      </c>
      <c r="F51" s="30">
        <f ca="1" t="array" ref="F51">INDEX(Data_DBD!$F:$F,$A51)</f>
        <v>3</v>
      </c>
      <c r="H51" s="30">
        <v>114</v>
      </c>
      <c r="I51" s="30">
        <v>14</v>
      </c>
      <c r="J51" s="30">
        <v>2</v>
      </c>
      <c r="K51" s="30">
        <v>33</v>
      </c>
      <c r="L51" s="30">
        <v>1</v>
      </c>
      <c r="M51" s="30">
        <v>3</v>
      </c>
    </row>
    <row r="52" spans="1:13">
      <c r="A52" s="30">
        <f ca="1" t="shared" si="0"/>
        <v>61</v>
      </c>
      <c r="B52" s="30">
        <f ca="1" t="array" ref="B52">INDEX(Data_DBD!$B:$B,$A52)</f>
        <v>29</v>
      </c>
      <c r="C52" s="30">
        <f ca="1" t="array" ref="C52">INDEX(Data_DBD!$C:$C,$A52)</f>
        <v>3</v>
      </c>
      <c r="D52" s="30">
        <f ca="1" t="array" ref="D52">INDEX(Data_DBD!$D:$D,$A52)</f>
        <v>15</v>
      </c>
      <c r="E52" s="30">
        <f ca="1" t="array" ref="E52">INDEX(Data_DBD!$E:$E,$A52)</f>
        <v>1</v>
      </c>
      <c r="F52" s="30">
        <f ca="1" t="array" ref="F52">INDEX(Data_DBD!$F:$F,$A52)</f>
        <v>2</v>
      </c>
      <c r="H52" s="30">
        <v>46</v>
      </c>
      <c r="I52" s="30">
        <v>62</v>
      </c>
      <c r="J52" s="30">
        <v>2</v>
      </c>
      <c r="K52" s="30">
        <v>13</v>
      </c>
      <c r="L52" s="30">
        <v>0</v>
      </c>
      <c r="M52" s="30">
        <v>2</v>
      </c>
    </row>
    <row r="53" spans="1:13">
      <c r="A53" s="30">
        <f ca="1" t="shared" si="0"/>
        <v>53</v>
      </c>
      <c r="B53" s="30">
        <f ca="1" t="array" ref="B53">INDEX(Data_DBD!$B:$B,$A53)</f>
        <v>35</v>
      </c>
      <c r="C53" s="30">
        <f ca="1" t="array" ref="C53">INDEX(Data_DBD!$C:$C,$A53)</f>
        <v>4</v>
      </c>
      <c r="D53" s="30">
        <f ca="1" t="array" ref="D53">INDEX(Data_DBD!$D:$D,$A53)</f>
        <v>15</v>
      </c>
      <c r="E53" s="30">
        <f ca="1" t="array" ref="E53">INDEX(Data_DBD!$E:$E,$A53)</f>
        <v>1</v>
      </c>
      <c r="F53" s="30">
        <f ca="1" t="array" ref="F53">INDEX(Data_DBD!$F:$F,$A53)</f>
        <v>2</v>
      </c>
      <c r="H53" s="30">
        <v>78</v>
      </c>
      <c r="I53" s="30">
        <v>6</v>
      </c>
      <c r="J53" s="30">
        <v>3</v>
      </c>
      <c r="K53" s="30">
        <v>13</v>
      </c>
      <c r="L53" s="30">
        <v>0</v>
      </c>
      <c r="M53" s="30">
        <v>2</v>
      </c>
    </row>
    <row r="54" spans="1:13">
      <c r="A54" s="30">
        <f ca="1" t="shared" si="0"/>
        <v>41</v>
      </c>
      <c r="B54" s="30">
        <f ca="1" t="array" ref="B54">INDEX(Data_DBD!$B:$B,$A54)</f>
        <v>8</v>
      </c>
      <c r="C54" s="30">
        <f ca="1" t="array" ref="C54">INDEX(Data_DBD!$C:$C,$A54)</f>
        <v>4</v>
      </c>
      <c r="D54" s="30">
        <f ca="1" t="array" ref="D54">INDEX(Data_DBD!$D:$D,$A54)</f>
        <v>13</v>
      </c>
      <c r="E54" s="30">
        <f ca="1" t="array" ref="E54">INDEX(Data_DBD!$E:$E,$A54)</f>
        <v>0</v>
      </c>
      <c r="F54" s="30">
        <f ca="1" t="array" ref="F54">INDEX(Data_DBD!$F:$F,$A54)</f>
        <v>2</v>
      </c>
      <c r="H54" s="30">
        <v>41</v>
      </c>
      <c r="I54" s="30">
        <v>8</v>
      </c>
      <c r="J54" s="30">
        <v>4</v>
      </c>
      <c r="K54" s="30">
        <v>13</v>
      </c>
      <c r="L54" s="30">
        <v>0</v>
      </c>
      <c r="M54" s="30">
        <v>2</v>
      </c>
    </row>
    <row r="55" spans="1:13">
      <c r="A55" s="30">
        <f ca="1" t="shared" si="0"/>
        <v>55</v>
      </c>
      <c r="B55" s="30">
        <f ca="1" t="array" ref="B55">INDEX(Data_DBD!$B:$B,$A55)</f>
        <v>7</v>
      </c>
      <c r="C55" s="30">
        <f ca="1" t="array" ref="C55">INDEX(Data_DBD!$C:$C,$A55)</f>
        <v>4</v>
      </c>
      <c r="D55" s="30">
        <f ca="1" t="array" ref="D55">INDEX(Data_DBD!$D:$D,$A55)</f>
        <v>15</v>
      </c>
      <c r="E55" s="30">
        <f ca="1" t="array" ref="E55">INDEX(Data_DBD!$E:$E,$A55)</f>
        <v>1</v>
      </c>
      <c r="F55" s="30">
        <f ca="1" t="array" ref="F55">INDEX(Data_DBD!$F:$F,$A55)</f>
        <v>2</v>
      </c>
      <c r="H55" s="30">
        <v>21</v>
      </c>
      <c r="I55" s="30">
        <v>10</v>
      </c>
      <c r="J55" s="30">
        <v>5</v>
      </c>
      <c r="K55" s="30">
        <v>14</v>
      </c>
      <c r="L55" s="30">
        <v>1</v>
      </c>
      <c r="M55" s="30">
        <v>2</v>
      </c>
    </row>
    <row r="56" spans="1:13">
      <c r="A56" s="30">
        <f ca="1" t="shared" si="0"/>
        <v>61</v>
      </c>
      <c r="B56" s="30">
        <f ca="1" t="array" ref="B56">INDEX(Data_DBD!$B:$B,$A56)</f>
        <v>29</v>
      </c>
      <c r="C56" s="30">
        <f ca="1" t="array" ref="C56">INDEX(Data_DBD!$C:$C,$A56)</f>
        <v>3</v>
      </c>
      <c r="D56" s="30">
        <f ca="1" t="array" ref="D56">INDEX(Data_DBD!$D:$D,$A56)</f>
        <v>15</v>
      </c>
      <c r="E56" s="30">
        <f ca="1" t="array" ref="E56">INDEX(Data_DBD!$E:$E,$A56)</f>
        <v>1</v>
      </c>
      <c r="F56" s="30">
        <f ca="1" t="array" ref="F56">INDEX(Data_DBD!$F:$F,$A56)</f>
        <v>2</v>
      </c>
      <c r="H56" s="30">
        <v>91</v>
      </c>
      <c r="I56" s="30">
        <v>35</v>
      </c>
      <c r="J56" s="30">
        <v>1</v>
      </c>
      <c r="K56" s="30">
        <v>18</v>
      </c>
      <c r="L56" s="30">
        <v>1</v>
      </c>
      <c r="M56" s="30">
        <v>3</v>
      </c>
    </row>
    <row r="57" spans="1:13">
      <c r="A57" s="30">
        <f ca="1" t="shared" si="0"/>
        <v>130</v>
      </c>
      <c r="B57" s="30">
        <f ca="1" t="array" ref="B57">INDEX(Data_DBD!$B:$B,$A57)</f>
        <v>12</v>
      </c>
      <c r="C57" s="30">
        <f ca="1" t="array" ref="C57">INDEX(Data_DBD!$C:$C,$A57)</f>
        <v>4</v>
      </c>
      <c r="D57" s="30">
        <f ca="1" t="array" ref="D57">INDEX(Data_DBD!$D:$D,$A57)</f>
        <v>33</v>
      </c>
      <c r="E57" s="30">
        <f ca="1" t="array" ref="E57">INDEX(Data_DBD!$E:$E,$A57)</f>
        <v>0</v>
      </c>
      <c r="F57" s="30">
        <f ca="1" t="array" ref="F57">INDEX(Data_DBD!$F:$F,$A57)</f>
        <v>3</v>
      </c>
      <c r="H57" s="30">
        <v>161</v>
      </c>
      <c r="I57" s="30">
        <v>12</v>
      </c>
      <c r="J57" s="30">
        <v>3</v>
      </c>
      <c r="K57" s="30">
        <v>21</v>
      </c>
      <c r="L57" s="30">
        <v>1</v>
      </c>
      <c r="M57" s="30">
        <v>3</v>
      </c>
    </row>
    <row r="58" spans="1:13">
      <c r="A58" s="30">
        <f ca="1" t="shared" si="0"/>
        <v>40</v>
      </c>
      <c r="B58" s="30">
        <f ca="1" t="array" ref="B58">INDEX(Data_DBD!$B:$B,$A58)</f>
        <v>65</v>
      </c>
      <c r="C58" s="30">
        <f ca="1" t="array" ref="C58">INDEX(Data_DBD!$C:$C,$A58)</f>
        <v>3</v>
      </c>
      <c r="D58" s="30">
        <f ca="1" t="array" ref="D58">INDEX(Data_DBD!$D:$D,$A58)</f>
        <v>13</v>
      </c>
      <c r="E58" s="30">
        <f ca="1" t="array" ref="E58">INDEX(Data_DBD!$E:$E,$A58)</f>
        <v>1</v>
      </c>
      <c r="F58" s="30">
        <f ca="1" t="array" ref="F58">INDEX(Data_DBD!$F:$F,$A58)</f>
        <v>2</v>
      </c>
      <c r="H58" s="30">
        <v>17</v>
      </c>
      <c r="I58" s="30">
        <v>2</v>
      </c>
      <c r="J58" s="30">
        <v>3</v>
      </c>
      <c r="K58" s="30">
        <v>7</v>
      </c>
      <c r="L58" s="30">
        <v>0</v>
      </c>
      <c r="M58" s="30">
        <v>1</v>
      </c>
    </row>
    <row r="59" spans="1:13">
      <c r="A59" s="30">
        <f ca="1" t="shared" si="0"/>
        <v>96</v>
      </c>
      <c r="B59" s="30">
        <f ca="1" t="array" ref="B59">INDEX(Data_DBD!$B:$B,$A59)</f>
        <v>56</v>
      </c>
      <c r="C59" s="30">
        <f ca="1" t="array" ref="C59">INDEX(Data_DBD!$C:$C,$A59)</f>
        <v>4</v>
      </c>
      <c r="D59" s="30">
        <f ca="1" t="array" ref="D59">INDEX(Data_DBD!$D:$D,$A59)</f>
        <v>18</v>
      </c>
      <c r="E59" s="30">
        <f ca="1" t="array" ref="E59">INDEX(Data_DBD!$E:$E,$A59)</f>
        <v>0</v>
      </c>
      <c r="F59" s="30">
        <f ca="1" t="array" ref="F59">INDEX(Data_DBD!$F:$F,$A59)</f>
        <v>3</v>
      </c>
      <c r="H59" s="30">
        <v>70</v>
      </c>
      <c r="I59" s="30">
        <v>26</v>
      </c>
      <c r="J59" s="30">
        <v>3</v>
      </c>
      <c r="K59" s="30">
        <v>10</v>
      </c>
      <c r="L59" s="30">
        <v>1</v>
      </c>
      <c r="M59" s="30">
        <v>2</v>
      </c>
    </row>
    <row r="60" spans="1:13">
      <c r="A60" s="30">
        <f ca="1" t="shared" si="0"/>
        <v>56</v>
      </c>
      <c r="B60" s="30">
        <f ca="1" t="array" ref="B60">INDEX(Data_DBD!$B:$B,$A60)</f>
        <v>4</v>
      </c>
      <c r="C60" s="30">
        <f ca="1" t="array" ref="C60">INDEX(Data_DBD!$C:$C,$A60)</f>
        <v>3</v>
      </c>
      <c r="D60" s="30">
        <f ca="1" t="array" ref="D60">INDEX(Data_DBD!$D:$D,$A60)</f>
        <v>15</v>
      </c>
      <c r="E60" s="30">
        <f ca="1" t="array" ref="E60">INDEX(Data_DBD!$E:$E,$A60)</f>
        <v>0</v>
      </c>
      <c r="F60" s="30">
        <f ca="1" t="array" ref="F60">INDEX(Data_DBD!$F:$F,$A60)</f>
        <v>2</v>
      </c>
      <c r="H60" s="30">
        <v>46</v>
      </c>
      <c r="I60" s="30">
        <v>62</v>
      </c>
      <c r="J60" s="30">
        <v>2</v>
      </c>
      <c r="K60" s="30">
        <v>13</v>
      </c>
      <c r="L60" s="30">
        <v>0</v>
      </c>
      <c r="M60" s="30">
        <v>2</v>
      </c>
    </row>
    <row r="61" spans="1:13">
      <c r="A61" s="30">
        <f ca="1" t="shared" si="0"/>
        <v>44</v>
      </c>
      <c r="B61" s="30">
        <f ca="1" t="array" ref="B61">INDEX(Data_DBD!$B:$B,$A61)</f>
        <v>28</v>
      </c>
      <c r="C61" s="30">
        <f ca="1" t="array" ref="C61">INDEX(Data_DBD!$C:$C,$A61)</f>
        <v>5</v>
      </c>
      <c r="D61" s="30">
        <f ca="1" t="array" ref="D61">INDEX(Data_DBD!$D:$D,$A61)</f>
        <v>13</v>
      </c>
      <c r="E61" s="30">
        <f ca="1" t="array" ref="E61">INDEX(Data_DBD!$E:$E,$A61)</f>
        <v>1</v>
      </c>
      <c r="F61" s="30">
        <f ca="1" t="array" ref="F61">INDEX(Data_DBD!$F:$F,$A61)</f>
        <v>2</v>
      </c>
      <c r="H61" s="30">
        <v>77</v>
      </c>
      <c r="I61" s="30">
        <v>16</v>
      </c>
      <c r="J61" s="30">
        <v>4</v>
      </c>
      <c r="K61" s="30">
        <v>13</v>
      </c>
      <c r="L61" s="30">
        <v>1</v>
      </c>
      <c r="M61" s="30">
        <v>2</v>
      </c>
    </row>
    <row r="62" spans="1:13">
      <c r="A62" s="30">
        <f ca="1" t="shared" si="0"/>
        <v>130</v>
      </c>
      <c r="B62" s="30">
        <f ca="1" t="array" ref="B62">INDEX(Data_DBD!$B:$B,$A62)</f>
        <v>12</v>
      </c>
      <c r="C62" s="30">
        <f ca="1" t="array" ref="C62">INDEX(Data_DBD!$C:$C,$A62)</f>
        <v>4</v>
      </c>
      <c r="D62" s="30">
        <f ca="1" t="array" ref="D62">INDEX(Data_DBD!$D:$D,$A62)</f>
        <v>33</v>
      </c>
      <c r="E62" s="30">
        <f ca="1" t="array" ref="E62">INDEX(Data_DBD!$E:$E,$A62)</f>
        <v>0</v>
      </c>
      <c r="F62" s="30">
        <f ca="1" t="array" ref="F62">INDEX(Data_DBD!$F:$F,$A62)</f>
        <v>3</v>
      </c>
      <c r="H62" s="30">
        <v>15</v>
      </c>
      <c r="I62" s="30">
        <v>21</v>
      </c>
      <c r="J62" s="30">
        <v>2</v>
      </c>
      <c r="K62" s="30">
        <v>7</v>
      </c>
      <c r="L62" s="30">
        <v>0</v>
      </c>
      <c r="M62" s="30">
        <v>1</v>
      </c>
    </row>
    <row r="63" spans="1:13">
      <c r="A63" s="30">
        <f ca="1" t="shared" si="0"/>
        <v>106</v>
      </c>
      <c r="B63" s="30">
        <f ca="1" t="array" ref="B63">INDEX(Data_DBD!$B:$B,$A63)</f>
        <v>23</v>
      </c>
      <c r="C63" s="30">
        <f ca="1" t="array" ref="C63">INDEX(Data_DBD!$C:$C,$A63)</f>
        <v>3</v>
      </c>
      <c r="D63" s="30">
        <f ca="1" t="array" ref="D63">INDEX(Data_DBD!$D:$D,$A63)</f>
        <v>18</v>
      </c>
      <c r="E63" s="30">
        <f ca="1" t="array" ref="E63">INDEX(Data_DBD!$E:$E,$A63)</f>
        <v>1</v>
      </c>
      <c r="F63" s="30">
        <f ca="1" t="array" ref="F63">INDEX(Data_DBD!$F:$F,$A63)</f>
        <v>3</v>
      </c>
      <c r="H63" s="30">
        <v>16</v>
      </c>
      <c r="I63" s="30">
        <v>66</v>
      </c>
      <c r="J63" s="30">
        <v>5</v>
      </c>
      <c r="K63" s="30">
        <v>7</v>
      </c>
      <c r="L63" s="30">
        <v>1</v>
      </c>
      <c r="M63" s="30">
        <v>1</v>
      </c>
    </row>
    <row r="64" spans="1:13">
      <c r="A64" s="30">
        <f ca="1" t="shared" si="0"/>
        <v>81</v>
      </c>
      <c r="B64" s="30">
        <f ca="1" t="array" ref="B64">INDEX(Data_DBD!$B:$B,$A64)</f>
        <v>23</v>
      </c>
      <c r="C64" s="30">
        <f ca="1" t="array" ref="C64">INDEX(Data_DBD!$C:$C,$A64)</f>
        <v>5</v>
      </c>
      <c r="D64" s="30">
        <f ca="1" t="array" ref="D64">INDEX(Data_DBD!$D:$D,$A64)</f>
        <v>13</v>
      </c>
      <c r="E64" s="30">
        <f ca="1" t="array" ref="E64">INDEX(Data_DBD!$E:$E,$A64)</f>
        <v>1</v>
      </c>
      <c r="F64" s="30">
        <f ca="1" t="array" ref="F64">INDEX(Data_DBD!$F:$F,$A64)</f>
        <v>2</v>
      </c>
      <c r="H64" s="30">
        <v>94</v>
      </c>
      <c r="I64" s="30">
        <v>12</v>
      </c>
      <c r="J64" s="30">
        <v>4</v>
      </c>
      <c r="K64" s="30">
        <v>18</v>
      </c>
      <c r="L64" s="30">
        <v>0</v>
      </c>
      <c r="M64" s="30">
        <v>3</v>
      </c>
    </row>
    <row r="65" spans="1:13">
      <c r="A65" s="30">
        <f ca="1" t="shared" si="0"/>
        <v>115</v>
      </c>
      <c r="B65" s="30">
        <f ca="1" t="array" ref="B65">INDEX(Data_DBD!$B:$B,$A65)</f>
        <v>52</v>
      </c>
      <c r="C65" s="30">
        <f ca="1" t="array" ref="C65">INDEX(Data_DBD!$C:$C,$A65)</f>
        <v>3</v>
      </c>
      <c r="D65" s="30">
        <f ca="1" t="array" ref="D65">INDEX(Data_DBD!$D:$D,$A65)</f>
        <v>33</v>
      </c>
      <c r="E65" s="30">
        <f ca="1" t="array" ref="E65">INDEX(Data_DBD!$E:$E,$A65)</f>
        <v>1</v>
      </c>
      <c r="F65" s="30">
        <f ca="1" t="array" ref="F65">INDEX(Data_DBD!$F:$F,$A65)</f>
        <v>3</v>
      </c>
      <c r="H65" s="30">
        <v>121</v>
      </c>
      <c r="I65" s="30">
        <v>82</v>
      </c>
      <c r="J65" s="30">
        <v>5</v>
      </c>
      <c r="K65" s="30">
        <v>33</v>
      </c>
      <c r="L65" s="30">
        <v>1</v>
      </c>
      <c r="M65" s="30">
        <v>3</v>
      </c>
    </row>
    <row r="66" spans="1:13">
      <c r="A66" s="30">
        <f ca="1" t="shared" si="0"/>
        <v>54</v>
      </c>
      <c r="B66" s="30">
        <f ca="1" t="array" ref="B66">INDEX(Data_DBD!$B:$B,$A66)</f>
        <v>7</v>
      </c>
      <c r="C66" s="30">
        <f ca="1" t="array" ref="C66">INDEX(Data_DBD!$C:$C,$A66)</f>
        <v>3</v>
      </c>
      <c r="D66" s="30">
        <f ca="1" t="array" ref="D66">INDEX(Data_DBD!$D:$D,$A66)</f>
        <v>15</v>
      </c>
      <c r="E66" s="30">
        <f ca="1" t="array" ref="E66">INDEX(Data_DBD!$E:$E,$A66)</f>
        <v>0</v>
      </c>
      <c r="F66" s="30">
        <f ca="1" t="array" ref="F66">INDEX(Data_DBD!$F:$F,$A66)</f>
        <v>2</v>
      </c>
      <c r="H66" s="30">
        <v>68</v>
      </c>
      <c r="I66" s="30">
        <v>44</v>
      </c>
      <c r="J66" s="30">
        <v>5</v>
      </c>
      <c r="K66" s="30">
        <v>10</v>
      </c>
      <c r="L66" s="30">
        <v>0</v>
      </c>
      <c r="M66" s="30">
        <v>2</v>
      </c>
    </row>
    <row r="67" spans="1:13">
      <c r="A67" s="30">
        <f ca="1" t="shared" ref="A67:A130" si="1">RANDBETWEEN(2,164)</f>
        <v>61</v>
      </c>
      <c r="B67" s="30">
        <f ca="1" t="array" ref="B67">INDEX(Data_DBD!$B:$B,$A67)</f>
        <v>29</v>
      </c>
      <c r="C67" s="30">
        <f ca="1" t="array" ref="C67">INDEX(Data_DBD!$C:$C,$A67)</f>
        <v>3</v>
      </c>
      <c r="D67" s="30">
        <f ca="1" t="array" ref="D67">INDEX(Data_DBD!$D:$D,$A67)</f>
        <v>15</v>
      </c>
      <c r="E67" s="30">
        <f ca="1" t="array" ref="E67">INDEX(Data_DBD!$E:$E,$A67)</f>
        <v>1</v>
      </c>
      <c r="F67" s="30">
        <f ca="1" t="array" ref="F67">INDEX(Data_DBD!$F:$F,$A67)</f>
        <v>2</v>
      </c>
      <c r="H67" s="30">
        <v>118</v>
      </c>
      <c r="I67" s="30">
        <v>67</v>
      </c>
      <c r="J67" s="30">
        <v>4</v>
      </c>
      <c r="K67" s="30">
        <v>33</v>
      </c>
      <c r="L67" s="30">
        <v>1</v>
      </c>
      <c r="M67" s="30">
        <v>3</v>
      </c>
    </row>
    <row r="68" spans="1:13">
      <c r="A68" s="30">
        <f ca="1" t="shared" si="1"/>
        <v>164</v>
      </c>
      <c r="B68" s="30">
        <f ca="1" t="array" ref="B68">INDEX(Data_DBD!$B:$B,$A68)</f>
        <v>10</v>
      </c>
      <c r="C68" s="30">
        <f ca="1" t="array" ref="C68">INDEX(Data_DBD!$C:$C,$A68)</f>
        <v>6</v>
      </c>
      <c r="D68" s="30">
        <f ca="1" t="array" ref="D68">INDEX(Data_DBD!$D:$D,$A68)</f>
        <v>3</v>
      </c>
      <c r="E68" s="30">
        <f ca="1" t="array" ref="E68">INDEX(Data_DBD!$E:$E,$A68)</f>
        <v>0</v>
      </c>
      <c r="F68" s="30">
        <f ca="1" t="array" ref="F68">INDEX(Data_DBD!$F:$F,$A68)</f>
        <v>1</v>
      </c>
      <c r="H68" s="30">
        <v>131</v>
      </c>
      <c r="I68" s="30">
        <v>10</v>
      </c>
      <c r="J68" s="30">
        <v>2</v>
      </c>
      <c r="K68" s="30">
        <v>33</v>
      </c>
      <c r="L68" s="30">
        <v>0</v>
      </c>
      <c r="M68" s="30">
        <v>3</v>
      </c>
    </row>
    <row r="69" spans="1:13">
      <c r="A69" s="30">
        <f ca="1" t="shared" si="1"/>
        <v>46</v>
      </c>
      <c r="B69" s="30">
        <f ca="1" t="array" ref="B69">INDEX(Data_DBD!$B:$B,$A69)</f>
        <v>62</v>
      </c>
      <c r="C69" s="30">
        <f ca="1" t="array" ref="C69">INDEX(Data_DBD!$C:$C,$A69)</f>
        <v>2</v>
      </c>
      <c r="D69" s="30">
        <f ca="1" t="array" ref="D69">INDEX(Data_DBD!$D:$D,$A69)</f>
        <v>13</v>
      </c>
      <c r="E69" s="30">
        <f ca="1" t="array" ref="E69">INDEX(Data_DBD!$E:$E,$A69)</f>
        <v>0</v>
      </c>
      <c r="F69" s="30">
        <f ca="1" t="array" ref="F69">INDEX(Data_DBD!$F:$F,$A69)</f>
        <v>2</v>
      </c>
      <c r="H69" s="30">
        <v>25</v>
      </c>
      <c r="I69" s="30">
        <v>81</v>
      </c>
      <c r="J69" s="30">
        <v>5</v>
      </c>
      <c r="K69" s="30">
        <v>14</v>
      </c>
      <c r="L69" s="30">
        <v>0</v>
      </c>
      <c r="M69" s="30">
        <v>2</v>
      </c>
    </row>
    <row r="70" spans="1:13">
      <c r="A70" s="30">
        <f ca="1" t="shared" si="1"/>
        <v>58</v>
      </c>
      <c r="B70" s="30">
        <f ca="1" t="array" ref="B70">INDEX(Data_DBD!$B:$B,$A70)</f>
        <v>17</v>
      </c>
      <c r="C70" s="30">
        <f ca="1" t="array" ref="C70">INDEX(Data_DBD!$C:$C,$A70)</f>
        <v>3</v>
      </c>
      <c r="D70" s="30">
        <f ca="1" t="array" ref="D70">INDEX(Data_DBD!$D:$D,$A70)</f>
        <v>15</v>
      </c>
      <c r="E70" s="30">
        <f ca="1" t="array" ref="E70">INDEX(Data_DBD!$E:$E,$A70)</f>
        <v>0</v>
      </c>
      <c r="F70" s="30">
        <f ca="1" t="array" ref="F70">INDEX(Data_DBD!$F:$F,$A70)</f>
        <v>2</v>
      </c>
      <c r="H70" s="30">
        <v>68</v>
      </c>
      <c r="I70" s="30">
        <v>44</v>
      </c>
      <c r="J70" s="30">
        <v>5</v>
      </c>
      <c r="K70" s="30">
        <v>10</v>
      </c>
      <c r="L70" s="30">
        <v>0</v>
      </c>
      <c r="M70" s="30">
        <v>2</v>
      </c>
    </row>
    <row r="71" spans="1:13">
      <c r="A71" s="30">
        <f ca="1" t="shared" si="1"/>
        <v>142</v>
      </c>
      <c r="B71" s="30">
        <f ca="1" t="array" ref="B71">INDEX(Data_DBD!$B:$B,$A71)</f>
        <v>39</v>
      </c>
      <c r="C71" s="30">
        <f ca="1" t="array" ref="C71">INDEX(Data_DBD!$C:$C,$A71)</f>
        <v>2</v>
      </c>
      <c r="D71" s="30">
        <f ca="1" t="array" ref="D71">INDEX(Data_DBD!$D:$D,$A71)</f>
        <v>21</v>
      </c>
      <c r="E71" s="30">
        <f ca="1" t="array" ref="E71">INDEX(Data_DBD!$E:$E,$A71)</f>
        <v>1</v>
      </c>
      <c r="F71" s="30">
        <f ca="1" t="array" ref="F71">INDEX(Data_DBD!$F:$F,$A71)</f>
        <v>3</v>
      </c>
      <c r="H71" s="30">
        <v>69</v>
      </c>
      <c r="I71" s="30">
        <v>24</v>
      </c>
      <c r="J71" s="30">
        <v>4</v>
      </c>
      <c r="K71" s="30">
        <v>10</v>
      </c>
      <c r="L71" s="30">
        <v>1</v>
      </c>
      <c r="M71" s="30">
        <v>2</v>
      </c>
    </row>
    <row r="72" spans="1:13">
      <c r="A72" s="30">
        <f ca="1" t="shared" si="1"/>
        <v>30</v>
      </c>
      <c r="B72" s="30" t="str">
        <f ca="1" t="array" ref="B72">INDEX(Data_DBD!$B:$B,$A72)</f>
        <v>2,8</v>
      </c>
      <c r="C72" s="30">
        <f ca="1" t="array" ref="C72">INDEX(Data_DBD!$C:$C,$A72)</f>
        <v>2</v>
      </c>
      <c r="D72" s="30">
        <f ca="1" t="array" ref="D72">INDEX(Data_DBD!$D:$D,$A72)</f>
        <v>14</v>
      </c>
      <c r="E72" s="30">
        <f ca="1" t="array" ref="E72">INDEX(Data_DBD!$E:$E,$A72)</f>
        <v>1</v>
      </c>
      <c r="F72" s="30">
        <f ca="1" t="array" ref="F72">INDEX(Data_DBD!$F:$F,$A72)</f>
        <v>2</v>
      </c>
      <c r="H72" s="30">
        <v>115</v>
      </c>
      <c r="I72" s="30">
        <v>52</v>
      </c>
      <c r="J72" s="30">
        <v>3</v>
      </c>
      <c r="K72" s="30">
        <v>33</v>
      </c>
      <c r="L72" s="30">
        <v>1</v>
      </c>
      <c r="M72" s="30">
        <v>3</v>
      </c>
    </row>
    <row r="73" spans="1:13">
      <c r="A73" s="30">
        <f ca="1" t="shared" si="1"/>
        <v>38</v>
      </c>
      <c r="B73" s="30">
        <f ca="1" t="array" ref="B73">INDEX(Data_DBD!$B:$B,$A73)</f>
        <v>52</v>
      </c>
      <c r="C73" s="30">
        <f ca="1" t="array" ref="C73">INDEX(Data_DBD!$C:$C,$A73)</f>
        <v>3</v>
      </c>
      <c r="D73" s="30">
        <f ca="1" t="array" ref="D73">INDEX(Data_DBD!$D:$D,$A73)</f>
        <v>4</v>
      </c>
      <c r="E73" s="30">
        <f ca="1" t="array" ref="E73">INDEX(Data_DBD!$E:$E,$A73)</f>
        <v>1</v>
      </c>
      <c r="F73" s="30">
        <f ca="1" t="array" ref="F73">INDEX(Data_DBD!$F:$F,$A73)</f>
        <v>1</v>
      </c>
      <c r="H73" s="30">
        <v>118</v>
      </c>
      <c r="I73" s="30">
        <v>67</v>
      </c>
      <c r="J73" s="30">
        <v>4</v>
      </c>
      <c r="K73" s="30">
        <v>33</v>
      </c>
      <c r="L73" s="30">
        <v>1</v>
      </c>
      <c r="M73" s="30">
        <v>3</v>
      </c>
    </row>
    <row r="74" spans="1:13">
      <c r="A74" s="30">
        <f ca="1" t="shared" si="1"/>
        <v>100</v>
      </c>
      <c r="B74" s="30">
        <f ca="1" t="array" ref="B74">INDEX(Data_DBD!$B:$B,$A74)</f>
        <v>19</v>
      </c>
      <c r="C74" s="30">
        <f ca="1" t="array" ref="C74">INDEX(Data_DBD!$C:$C,$A74)</f>
        <v>6</v>
      </c>
      <c r="D74" s="30">
        <f ca="1" t="array" ref="D74">INDEX(Data_DBD!$D:$D,$A74)</f>
        <v>18</v>
      </c>
      <c r="E74" s="30">
        <f ca="1" t="array" ref="E74">INDEX(Data_DBD!$E:$E,$A74)</f>
        <v>0</v>
      </c>
      <c r="F74" s="30">
        <f ca="1" t="array" ref="F74">INDEX(Data_DBD!$F:$F,$A74)</f>
        <v>3</v>
      </c>
      <c r="H74" s="30">
        <v>42</v>
      </c>
      <c r="I74" s="30">
        <v>21</v>
      </c>
      <c r="J74" s="30">
        <v>5</v>
      </c>
      <c r="K74" s="30">
        <v>13</v>
      </c>
      <c r="L74" s="30">
        <v>1</v>
      </c>
      <c r="M74" s="30">
        <v>2</v>
      </c>
    </row>
    <row r="75" spans="1:13">
      <c r="A75" s="30">
        <f ca="1" t="shared" si="1"/>
        <v>111</v>
      </c>
      <c r="B75" s="30">
        <f ca="1" t="array" ref="B75">INDEX(Data_DBD!$B:$B,$A75)</f>
        <v>25</v>
      </c>
      <c r="C75" s="30">
        <f ca="1" t="array" ref="C75">INDEX(Data_DBD!$C:$C,$A75)</f>
        <v>4</v>
      </c>
      <c r="D75" s="30">
        <f ca="1" t="array" ref="D75">INDEX(Data_DBD!$D:$D,$A75)</f>
        <v>33</v>
      </c>
      <c r="E75" s="30">
        <f ca="1" t="array" ref="E75">INDEX(Data_DBD!$E:$E,$A75)</f>
        <v>0</v>
      </c>
      <c r="F75" s="30">
        <f ca="1" t="array" ref="F75">INDEX(Data_DBD!$F:$F,$A75)</f>
        <v>3</v>
      </c>
      <c r="H75" s="30">
        <v>5</v>
      </c>
      <c r="I75" s="30">
        <v>18</v>
      </c>
      <c r="J75" s="30">
        <v>2</v>
      </c>
      <c r="K75" s="30">
        <v>12</v>
      </c>
      <c r="L75" s="30">
        <v>1</v>
      </c>
      <c r="M75" s="30">
        <v>2</v>
      </c>
    </row>
    <row r="76" spans="1:13">
      <c r="A76" s="30">
        <f ca="1" t="shared" si="1"/>
        <v>161</v>
      </c>
      <c r="B76" s="30">
        <f ca="1" t="array" ref="B76">INDEX(Data_DBD!$B:$B,$A76)</f>
        <v>12</v>
      </c>
      <c r="C76" s="30">
        <f ca="1" t="array" ref="C76">INDEX(Data_DBD!$C:$C,$A76)</f>
        <v>3</v>
      </c>
      <c r="D76" s="30">
        <f ca="1" t="array" ref="D76">INDEX(Data_DBD!$D:$D,$A76)</f>
        <v>21</v>
      </c>
      <c r="E76" s="30">
        <f ca="1" t="array" ref="E76">INDEX(Data_DBD!$E:$E,$A76)</f>
        <v>1</v>
      </c>
      <c r="F76" s="30">
        <f ca="1" t="array" ref="F76">INDEX(Data_DBD!$F:$F,$A76)</f>
        <v>3</v>
      </c>
      <c r="H76" s="30">
        <v>130</v>
      </c>
      <c r="I76" s="30">
        <v>12</v>
      </c>
      <c r="J76" s="30">
        <v>4</v>
      </c>
      <c r="K76" s="30">
        <v>33</v>
      </c>
      <c r="L76" s="30">
        <v>0</v>
      </c>
      <c r="M76" s="30">
        <v>3</v>
      </c>
    </row>
    <row r="77" spans="1:13">
      <c r="A77" s="30">
        <f ca="1" t="shared" si="1"/>
        <v>87</v>
      </c>
      <c r="B77" s="30">
        <f ca="1" t="array" ref="B77">INDEX(Data_DBD!$B:$B,$A77)</f>
        <v>21</v>
      </c>
      <c r="C77" s="30">
        <f ca="1" t="array" ref="C77">INDEX(Data_DBD!$C:$C,$A77)</f>
        <v>3</v>
      </c>
      <c r="D77" s="30">
        <f ca="1" t="array" ref="D77">INDEX(Data_DBD!$D:$D,$A77)</f>
        <v>13</v>
      </c>
      <c r="E77" s="30">
        <f ca="1" t="array" ref="E77">INDEX(Data_DBD!$E:$E,$A77)</f>
        <v>0</v>
      </c>
      <c r="F77" s="30">
        <f ca="1" t="array" ref="F77">INDEX(Data_DBD!$F:$F,$A77)</f>
        <v>2</v>
      </c>
      <c r="H77" s="30">
        <v>62</v>
      </c>
      <c r="I77" s="30">
        <v>43</v>
      </c>
      <c r="J77" s="30">
        <v>4</v>
      </c>
      <c r="K77" s="30">
        <v>15</v>
      </c>
      <c r="L77" s="30">
        <v>1</v>
      </c>
      <c r="M77" s="30">
        <v>2</v>
      </c>
    </row>
    <row r="78" spans="1:13">
      <c r="A78" s="30">
        <f ca="1" t="shared" si="1"/>
        <v>142</v>
      </c>
      <c r="B78" s="30">
        <f ca="1" t="array" ref="B78">INDEX(Data_DBD!$B:$B,$A78)</f>
        <v>39</v>
      </c>
      <c r="C78" s="30">
        <f ca="1" t="array" ref="C78">INDEX(Data_DBD!$C:$C,$A78)</f>
        <v>2</v>
      </c>
      <c r="D78" s="30">
        <f ca="1" t="array" ref="D78">INDEX(Data_DBD!$D:$D,$A78)</f>
        <v>21</v>
      </c>
      <c r="E78" s="30">
        <f ca="1" t="array" ref="E78">INDEX(Data_DBD!$E:$E,$A78)</f>
        <v>1</v>
      </c>
      <c r="F78" s="30">
        <f ca="1" t="array" ref="F78">INDEX(Data_DBD!$F:$F,$A78)</f>
        <v>3</v>
      </c>
      <c r="H78" s="30">
        <v>91</v>
      </c>
      <c r="I78" s="30">
        <v>35</v>
      </c>
      <c r="J78" s="30">
        <v>1</v>
      </c>
      <c r="K78" s="30">
        <v>18</v>
      </c>
      <c r="L78" s="30">
        <v>1</v>
      </c>
      <c r="M78" s="30">
        <v>3</v>
      </c>
    </row>
    <row r="79" spans="1:13">
      <c r="A79" s="30">
        <f ca="1" t="shared" si="1"/>
        <v>118</v>
      </c>
      <c r="B79" s="30">
        <f ca="1" t="array" ref="B79">INDEX(Data_DBD!$B:$B,$A79)</f>
        <v>67</v>
      </c>
      <c r="C79" s="30">
        <f ca="1" t="array" ref="C79">INDEX(Data_DBD!$C:$C,$A79)</f>
        <v>4</v>
      </c>
      <c r="D79" s="30">
        <f ca="1" t="array" ref="D79">INDEX(Data_DBD!$D:$D,$A79)</f>
        <v>33</v>
      </c>
      <c r="E79" s="30">
        <f ca="1" t="array" ref="E79">INDEX(Data_DBD!$E:$E,$A79)</f>
        <v>1</v>
      </c>
      <c r="F79" s="30">
        <f ca="1" t="array" ref="F79">INDEX(Data_DBD!$F:$F,$A79)</f>
        <v>3</v>
      </c>
      <c r="H79" s="30">
        <v>77</v>
      </c>
      <c r="I79" s="30">
        <v>16</v>
      </c>
      <c r="J79" s="30">
        <v>4</v>
      </c>
      <c r="K79" s="30">
        <v>13</v>
      </c>
      <c r="L79" s="30">
        <v>1</v>
      </c>
      <c r="M79" s="30">
        <v>2</v>
      </c>
    </row>
    <row r="80" spans="1:13">
      <c r="A80" s="30">
        <f ca="1" t="shared" si="1"/>
        <v>38</v>
      </c>
      <c r="B80" s="30">
        <f ca="1" t="array" ref="B80">INDEX(Data_DBD!$B:$B,$A80)</f>
        <v>52</v>
      </c>
      <c r="C80" s="30">
        <f ca="1" t="array" ref="C80">INDEX(Data_DBD!$C:$C,$A80)</f>
        <v>3</v>
      </c>
      <c r="D80" s="30">
        <f ca="1" t="array" ref="D80">INDEX(Data_DBD!$D:$D,$A80)</f>
        <v>4</v>
      </c>
      <c r="E80" s="30">
        <f ca="1" t="array" ref="E80">INDEX(Data_DBD!$E:$E,$A80)</f>
        <v>1</v>
      </c>
      <c r="F80" s="30">
        <f ca="1" t="array" ref="F80">INDEX(Data_DBD!$F:$F,$A80)</f>
        <v>1</v>
      </c>
      <c r="H80" s="30">
        <v>32</v>
      </c>
      <c r="I80" s="30">
        <v>54</v>
      </c>
      <c r="J80" s="30">
        <v>4</v>
      </c>
      <c r="K80" s="30">
        <v>14</v>
      </c>
      <c r="L80" s="30">
        <v>0</v>
      </c>
      <c r="M80" s="30">
        <v>2</v>
      </c>
    </row>
    <row r="81" spans="1:13">
      <c r="A81" s="30">
        <f ca="1" t="shared" si="1"/>
        <v>41</v>
      </c>
      <c r="B81" s="30">
        <f ca="1" t="array" ref="B81">INDEX(Data_DBD!$B:$B,$A81)</f>
        <v>8</v>
      </c>
      <c r="C81" s="30">
        <f ca="1" t="array" ref="C81">INDEX(Data_DBD!$C:$C,$A81)</f>
        <v>4</v>
      </c>
      <c r="D81" s="30">
        <f ca="1" t="array" ref="D81">INDEX(Data_DBD!$D:$D,$A81)</f>
        <v>13</v>
      </c>
      <c r="E81" s="30">
        <f ca="1" t="array" ref="E81">INDEX(Data_DBD!$E:$E,$A81)</f>
        <v>0</v>
      </c>
      <c r="F81" s="30">
        <f ca="1" t="array" ref="F81">INDEX(Data_DBD!$F:$F,$A81)</f>
        <v>2</v>
      </c>
      <c r="H81" s="30">
        <v>50</v>
      </c>
      <c r="I81" s="30">
        <v>19</v>
      </c>
      <c r="J81" s="30">
        <v>5</v>
      </c>
      <c r="K81" s="30">
        <v>13</v>
      </c>
      <c r="L81" s="30">
        <v>0</v>
      </c>
      <c r="M81" s="30">
        <v>2</v>
      </c>
    </row>
    <row r="82" spans="1:13">
      <c r="A82" s="30">
        <f ca="1" t="shared" si="1"/>
        <v>133</v>
      </c>
      <c r="B82" s="30">
        <f ca="1" t="array" ref="B82">INDEX(Data_DBD!$B:$B,$A82)</f>
        <v>6</v>
      </c>
      <c r="C82" s="30">
        <f ca="1" t="array" ref="C82">INDEX(Data_DBD!$C:$C,$A82)</f>
        <v>4</v>
      </c>
      <c r="D82" s="30">
        <f ca="1" t="array" ref="D82">INDEX(Data_DBD!$D:$D,$A82)</f>
        <v>33</v>
      </c>
      <c r="E82" s="30">
        <f ca="1" t="array" ref="E82">INDEX(Data_DBD!$E:$E,$A82)</f>
        <v>0</v>
      </c>
      <c r="F82" s="30">
        <f ca="1" t="array" ref="F82">INDEX(Data_DBD!$F:$F,$A82)</f>
        <v>3</v>
      </c>
      <c r="H82" s="30">
        <v>8</v>
      </c>
      <c r="I82" s="30">
        <v>4</v>
      </c>
      <c r="J82" s="30">
        <v>2</v>
      </c>
      <c r="K82" s="30">
        <v>12</v>
      </c>
      <c r="L82" s="30">
        <v>0</v>
      </c>
      <c r="M82" s="30">
        <v>2</v>
      </c>
    </row>
    <row r="83" spans="1:13">
      <c r="A83" s="30">
        <f ca="1" t="shared" si="1"/>
        <v>58</v>
      </c>
      <c r="B83" s="30">
        <f ca="1" t="array" ref="B83">INDEX(Data_DBD!$B:$B,$A83)</f>
        <v>17</v>
      </c>
      <c r="C83" s="30">
        <f ca="1" t="array" ref="C83">INDEX(Data_DBD!$C:$C,$A83)</f>
        <v>3</v>
      </c>
      <c r="D83" s="30">
        <f ca="1" t="array" ref="D83">INDEX(Data_DBD!$D:$D,$A83)</f>
        <v>15</v>
      </c>
      <c r="E83" s="30">
        <f ca="1" t="array" ref="E83">INDEX(Data_DBD!$E:$E,$A83)</f>
        <v>0</v>
      </c>
      <c r="F83" s="30">
        <f ca="1" t="array" ref="F83">INDEX(Data_DBD!$F:$F,$A83)</f>
        <v>2</v>
      </c>
      <c r="H83" s="30">
        <v>89</v>
      </c>
      <c r="I83" s="30">
        <v>32</v>
      </c>
      <c r="J83" s="30">
        <v>4</v>
      </c>
      <c r="K83" s="30">
        <v>13</v>
      </c>
      <c r="L83" s="30">
        <v>0</v>
      </c>
      <c r="M83" s="30">
        <v>2</v>
      </c>
    </row>
    <row r="84" spans="1:13">
      <c r="A84" s="30">
        <f ca="1" t="shared" si="1"/>
        <v>41</v>
      </c>
      <c r="B84" s="30">
        <f ca="1" t="array" ref="B84">INDEX(Data_DBD!$B:$B,$A84)</f>
        <v>8</v>
      </c>
      <c r="C84" s="30">
        <f ca="1" t="array" ref="C84">INDEX(Data_DBD!$C:$C,$A84)</f>
        <v>4</v>
      </c>
      <c r="D84" s="30">
        <f ca="1" t="array" ref="D84">INDEX(Data_DBD!$D:$D,$A84)</f>
        <v>13</v>
      </c>
      <c r="E84" s="30">
        <f ca="1" t="array" ref="E84">INDEX(Data_DBD!$E:$E,$A84)</f>
        <v>0</v>
      </c>
      <c r="F84" s="30">
        <f ca="1" t="array" ref="F84">INDEX(Data_DBD!$F:$F,$A84)</f>
        <v>2</v>
      </c>
      <c r="H84" s="30">
        <v>10</v>
      </c>
      <c r="I84" s="30">
        <v>18</v>
      </c>
      <c r="J84" s="30">
        <v>5</v>
      </c>
      <c r="K84" s="30">
        <v>12</v>
      </c>
      <c r="L84" s="30">
        <v>0</v>
      </c>
      <c r="M84" s="30">
        <v>2</v>
      </c>
    </row>
    <row r="85" spans="1:13">
      <c r="A85" s="30">
        <f ca="1" t="shared" si="1"/>
        <v>55</v>
      </c>
      <c r="B85" s="30">
        <f ca="1" t="array" ref="B85">INDEX(Data_DBD!$B:$B,$A85)</f>
        <v>7</v>
      </c>
      <c r="C85" s="30">
        <f ca="1" t="array" ref="C85">INDEX(Data_DBD!$C:$C,$A85)</f>
        <v>4</v>
      </c>
      <c r="D85" s="30">
        <f ca="1" t="array" ref="D85">INDEX(Data_DBD!$D:$D,$A85)</f>
        <v>15</v>
      </c>
      <c r="E85" s="30">
        <f ca="1" t="array" ref="E85">INDEX(Data_DBD!$E:$E,$A85)</f>
        <v>1</v>
      </c>
      <c r="F85" s="30">
        <f ca="1" t="array" ref="F85">INDEX(Data_DBD!$F:$F,$A85)</f>
        <v>2</v>
      </c>
      <c r="H85" s="30">
        <v>47</v>
      </c>
      <c r="I85" s="30">
        <v>19</v>
      </c>
      <c r="J85" s="30">
        <v>2</v>
      </c>
      <c r="K85" s="30">
        <v>13</v>
      </c>
      <c r="L85" s="30">
        <v>0</v>
      </c>
      <c r="M85" s="30">
        <v>2</v>
      </c>
    </row>
    <row r="86" spans="1:13">
      <c r="A86" s="30">
        <f ca="1" t="shared" si="1"/>
        <v>41</v>
      </c>
      <c r="B86" s="30">
        <f ca="1" t="array" ref="B86">INDEX(Data_DBD!$B:$B,$A86)</f>
        <v>8</v>
      </c>
      <c r="C86" s="30">
        <f ca="1" t="array" ref="C86">INDEX(Data_DBD!$C:$C,$A86)</f>
        <v>4</v>
      </c>
      <c r="D86" s="30">
        <f ca="1" t="array" ref="D86">INDEX(Data_DBD!$D:$D,$A86)</f>
        <v>13</v>
      </c>
      <c r="E86" s="30">
        <f ca="1" t="array" ref="E86">INDEX(Data_DBD!$E:$E,$A86)</f>
        <v>0</v>
      </c>
      <c r="F86" s="30">
        <f ca="1" t="array" ref="F86">INDEX(Data_DBD!$F:$F,$A86)</f>
        <v>2</v>
      </c>
      <c r="H86" s="30">
        <v>37</v>
      </c>
      <c r="I86" s="30">
        <v>28</v>
      </c>
      <c r="J86" s="30">
        <v>4</v>
      </c>
      <c r="K86" s="30">
        <v>4</v>
      </c>
      <c r="L86" s="30">
        <v>1</v>
      </c>
      <c r="M86" s="30">
        <v>1</v>
      </c>
    </row>
    <row r="87" spans="1:13">
      <c r="A87" s="30">
        <f ca="1" t="shared" si="1"/>
        <v>142</v>
      </c>
      <c r="B87" s="30">
        <f ca="1" t="array" ref="B87">INDEX(Data_DBD!$B:$B,$A87)</f>
        <v>39</v>
      </c>
      <c r="C87" s="30">
        <f ca="1" t="array" ref="C87">INDEX(Data_DBD!$C:$C,$A87)</f>
        <v>2</v>
      </c>
      <c r="D87" s="30">
        <f ca="1" t="array" ref="D87">INDEX(Data_DBD!$D:$D,$A87)</f>
        <v>21</v>
      </c>
      <c r="E87" s="30">
        <f ca="1" t="array" ref="E87">INDEX(Data_DBD!$E:$E,$A87)</f>
        <v>1</v>
      </c>
      <c r="F87" s="30">
        <f ca="1" t="array" ref="F87">INDEX(Data_DBD!$F:$F,$A87)</f>
        <v>3</v>
      </c>
      <c r="H87" s="30">
        <v>129</v>
      </c>
      <c r="I87" s="30">
        <v>4.5</v>
      </c>
      <c r="J87" s="30">
        <v>3</v>
      </c>
      <c r="K87" s="30">
        <v>33</v>
      </c>
      <c r="L87" s="30">
        <v>0</v>
      </c>
      <c r="M87" s="30">
        <v>3</v>
      </c>
    </row>
    <row r="88" spans="1:13">
      <c r="A88" s="30">
        <f ca="1" t="shared" si="1"/>
        <v>131</v>
      </c>
      <c r="B88" s="30">
        <f ca="1" t="array" ref="B88">INDEX(Data_DBD!$B:$B,$A88)</f>
        <v>10</v>
      </c>
      <c r="C88" s="30">
        <f ca="1" t="array" ref="C88">INDEX(Data_DBD!$C:$C,$A88)</f>
        <v>2</v>
      </c>
      <c r="D88" s="30">
        <f ca="1" t="array" ref="D88">INDEX(Data_DBD!$D:$D,$A88)</f>
        <v>33</v>
      </c>
      <c r="E88" s="30">
        <f ca="1" t="array" ref="E88">INDEX(Data_DBD!$E:$E,$A88)</f>
        <v>0</v>
      </c>
      <c r="F88" s="30">
        <f ca="1" t="array" ref="F88">INDEX(Data_DBD!$F:$F,$A88)</f>
        <v>3</v>
      </c>
      <c r="H88" s="30">
        <v>59</v>
      </c>
      <c r="I88" s="30">
        <v>28</v>
      </c>
      <c r="J88" s="30">
        <v>4</v>
      </c>
      <c r="K88" s="30">
        <v>15</v>
      </c>
      <c r="L88" s="30">
        <v>0</v>
      </c>
      <c r="M88" s="30">
        <v>2</v>
      </c>
    </row>
    <row r="89" spans="1:13">
      <c r="A89" s="30">
        <f ca="1" t="shared" si="1"/>
        <v>131</v>
      </c>
      <c r="B89" s="30">
        <f ca="1" t="array" ref="B89">INDEX(Data_DBD!$B:$B,$A89)</f>
        <v>10</v>
      </c>
      <c r="C89" s="30">
        <f ca="1" t="array" ref="C89">INDEX(Data_DBD!$C:$C,$A89)</f>
        <v>2</v>
      </c>
      <c r="D89" s="30">
        <f ca="1" t="array" ref="D89">INDEX(Data_DBD!$D:$D,$A89)</f>
        <v>33</v>
      </c>
      <c r="E89" s="30">
        <f ca="1" t="array" ref="E89">INDEX(Data_DBD!$E:$E,$A89)</f>
        <v>0</v>
      </c>
      <c r="F89" s="30">
        <f ca="1" t="array" ref="F89">INDEX(Data_DBD!$F:$F,$A89)</f>
        <v>3</v>
      </c>
      <c r="H89" s="30">
        <v>11</v>
      </c>
      <c r="I89" s="30">
        <v>24</v>
      </c>
      <c r="J89" s="30">
        <v>5</v>
      </c>
      <c r="K89" s="30">
        <v>12</v>
      </c>
      <c r="L89" s="30">
        <v>1</v>
      </c>
      <c r="M89" s="30">
        <v>2</v>
      </c>
    </row>
    <row r="90" spans="1:13">
      <c r="A90" s="30">
        <f ca="1" t="shared" si="1"/>
        <v>45</v>
      </c>
      <c r="B90" s="30">
        <f ca="1" t="array" ref="B90">INDEX(Data_DBD!$B:$B,$A90)</f>
        <v>75</v>
      </c>
      <c r="C90" s="30">
        <f ca="1" t="array" ref="C90">INDEX(Data_DBD!$C:$C,$A90)</f>
        <v>3</v>
      </c>
      <c r="D90" s="30">
        <f ca="1" t="array" ref="D90">INDEX(Data_DBD!$D:$D,$A90)</f>
        <v>13</v>
      </c>
      <c r="E90" s="30">
        <f ca="1" t="array" ref="E90">INDEX(Data_DBD!$E:$E,$A90)</f>
        <v>1</v>
      </c>
      <c r="F90" s="30">
        <f ca="1" t="array" ref="F90">INDEX(Data_DBD!$F:$F,$A90)</f>
        <v>2</v>
      </c>
      <c r="H90" s="30">
        <v>22</v>
      </c>
      <c r="I90" s="30">
        <v>6</v>
      </c>
      <c r="J90" s="30">
        <v>3</v>
      </c>
      <c r="K90" s="30">
        <v>14</v>
      </c>
      <c r="L90" s="30">
        <v>0</v>
      </c>
      <c r="M90" s="30">
        <v>2</v>
      </c>
    </row>
    <row r="91" spans="1:13">
      <c r="A91" s="30">
        <f ca="1" t="shared" si="1"/>
        <v>69</v>
      </c>
      <c r="B91" s="30">
        <f ca="1" t="array" ref="B91">INDEX(Data_DBD!$B:$B,$A91)</f>
        <v>24</v>
      </c>
      <c r="C91" s="30">
        <f ca="1" t="array" ref="C91">INDEX(Data_DBD!$C:$C,$A91)</f>
        <v>4</v>
      </c>
      <c r="D91" s="30">
        <f ca="1" t="array" ref="D91">INDEX(Data_DBD!$D:$D,$A91)</f>
        <v>10</v>
      </c>
      <c r="E91" s="30">
        <f ca="1" t="array" ref="E91">INDEX(Data_DBD!$E:$E,$A91)</f>
        <v>1</v>
      </c>
      <c r="F91" s="30">
        <f ca="1" t="array" ref="F91">INDEX(Data_DBD!$F:$F,$A91)</f>
        <v>2</v>
      </c>
      <c r="H91" s="30">
        <v>101</v>
      </c>
      <c r="I91" s="30">
        <v>42</v>
      </c>
      <c r="J91" s="30">
        <v>5</v>
      </c>
      <c r="K91" s="30">
        <v>18</v>
      </c>
      <c r="L91" s="30">
        <v>0</v>
      </c>
      <c r="M91" s="30">
        <v>3</v>
      </c>
    </row>
    <row r="92" spans="1:13">
      <c r="A92" s="30">
        <f ca="1" t="shared" si="1"/>
        <v>39</v>
      </c>
      <c r="B92" s="30">
        <f ca="1" t="array" ref="B92">INDEX(Data_DBD!$B:$B,$A92)</f>
        <v>12</v>
      </c>
      <c r="C92" s="30">
        <f ca="1" t="array" ref="C92">INDEX(Data_DBD!$C:$C,$A92)</f>
        <v>5</v>
      </c>
      <c r="D92" s="30">
        <f ca="1" t="array" ref="D92">INDEX(Data_DBD!$D:$D,$A92)</f>
        <v>13</v>
      </c>
      <c r="E92" s="30">
        <f ca="1" t="array" ref="E92">INDEX(Data_DBD!$E:$E,$A92)</f>
        <v>1</v>
      </c>
      <c r="F92" s="30">
        <f ca="1" t="array" ref="F92">INDEX(Data_DBD!$F:$F,$A92)</f>
        <v>2</v>
      </c>
      <c r="H92" s="30">
        <v>19</v>
      </c>
      <c r="I92" s="30">
        <v>8</v>
      </c>
      <c r="J92" s="30">
        <v>4</v>
      </c>
      <c r="K92" s="30">
        <v>7</v>
      </c>
      <c r="L92" s="30">
        <v>0</v>
      </c>
      <c r="M92" s="30">
        <v>1</v>
      </c>
    </row>
    <row r="93" spans="1:13">
      <c r="A93" s="30">
        <f ca="1" t="shared" si="1"/>
        <v>49</v>
      </c>
      <c r="B93" s="30">
        <f ca="1" t="array" ref="B93">INDEX(Data_DBD!$B:$B,$A93)</f>
        <v>64</v>
      </c>
      <c r="C93" s="30">
        <f ca="1" t="array" ref="C93">INDEX(Data_DBD!$C:$C,$A93)</f>
        <v>5</v>
      </c>
      <c r="D93" s="30">
        <f ca="1" t="array" ref="D93">INDEX(Data_DBD!$D:$D,$A93)</f>
        <v>13</v>
      </c>
      <c r="E93" s="30">
        <f ca="1" t="array" ref="E93">INDEX(Data_DBD!$E:$E,$A93)</f>
        <v>0</v>
      </c>
      <c r="F93" s="30">
        <f ca="1" t="array" ref="F93">INDEX(Data_DBD!$F:$F,$A93)</f>
        <v>2</v>
      </c>
      <c r="H93" s="30">
        <v>121</v>
      </c>
      <c r="I93" s="30">
        <v>82</v>
      </c>
      <c r="J93" s="30">
        <v>5</v>
      </c>
      <c r="K93" s="30">
        <v>33</v>
      </c>
      <c r="L93" s="30">
        <v>1</v>
      </c>
      <c r="M93" s="30">
        <v>3</v>
      </c>
    </row>
    <row r="94" spans="1:13">
      <c r="A94" s="30">
        <f ca="1" t="shared" si="1"/>
        <v>109</v>
      </c>
      <c r="B94" s="30">
        <f ca="1" t="array" ref="B94">INDEX(Data_DBD!$B:$B,$A94)</f>
        <v>40</v>
      </c>
      <c r="C94" s="30">
        <f ca="1" t="array" ref="C94">INDEX(Data_DBD!$C:$C,$A94)</f>
        <v>3</v>
      </c>
      <c r="D94" s="30">
        <f ca="1" t="array" ref="D94">INDEX(Data_DBD!$D:$D,$A94)</f>
        <v>33</v>
      </c>
      <c r="E94" s="30">
        <f ca="1" t="array" ref="E94">INDEX(Data_DBD!$E:$E,$A94)</f>
        <v>1</v>
      </c>
      <c r="F94" s="30">
        <f ca="1" t="array" ref="F94">INDEX(Data_DBD!$F:$F,$A94)</f>
        <v>3</v>
      </c>
      <c r="H94" s="30">
        <v>143</v>
      </c>
      <c r="I94" s="30">
        <v>20</v>
      </c>
      <c r="J94" s="30">
        <v>4</v>
      </c>
      <c r="K94" s="30">
        <v>21</v>
      </c>
      <c r="L94" s="30">
        <v>1</v>
      </c>
      <c r="M94" s="30">
        <v>3</v>
      </c>
    </row>
    <row r="95" spans="1:13">
      <c r="A95" s="30">
        <f ca="1" t="shared" si="1"/>
        <v>120</v>
      </c>
      <c r="B95" s="30">
        <f ca="1" t="array" ref="B95">INDEX(Data_DBD!$B:$B,$A95)</f>
        <v>26</v>
      </c>
      <c r="C95" s="30">
        <f ca="1" t="array" ref="C95">INDEX(Data_DBD!$C:$C,$A95)</f>
        <v>4</v>
      </c>
      <c r="D95" s="30">
        <f ca="1" t="array" ref="D95">INDEX(Data_DBD!$D:$D,$A95)</f>
        <v>33</v>
      </c>
      <c r="E95" s="30">
        <f ca="1" t="array" ref="E95">INDEX(Data_DBD!$E:$E,$A95)</f>
        <v>1</v>
      </c>
      <c r="F95" s="30">
        <f ca="1" t="array" ref="F95">INDEX(Data_DBD!$F:$F,$A95)</f>
        <v>3</v>
      </c>
      <c r="H95" s="30">
        <v>23</v>
      </c>
      <c r="I95" s="30">
        <v>28</v>
      </c>
      <c r="J95" s="30">
        <v>4</v>
      </c>
      <c r="K95" s="30">
        <v>14</v>
      </c>
      <c r="L95" s="30">
        <v>1</v>
      </c>
      <c r="M95" s="30">
        <v>2</v>
      </c>
    </row>
    <row r="96" spans="1:13">
      <c r="A96" s="30">
        <f ca="1" t="shared" si="1"/>
        <v>56</v>
      </c>
      <c r="B96" s="30">
        <f ca="1" t="array" ref="B96">INDEX(Data_DBD!$B:$B,$A96)</f>
        <v>4</v>
      </c>
      <c r="C96" s="30">
        <f ca="1" t="array" ref="C96">INDEX(Data_DBD!$C:$C,$A96)</f>
        <v>3</v>
      </c>
      <c r="D96" s="30">
        <f ca="1" t="array" ref="D96">INDEX(Data_DBD!$D:$D,$A96)</f>
        <v>15</v>
      </c>
      <c r="E96" s="30">
        <f ca="1" t="array" ref="E96">INDEX(Data_DBD!$E:$E,$A96)</f>
        <v>0</v>
      </c>
      <c r="F96" s="30">
        <f ca="1" t="array" ref="F96">INDEX(Data_DBD!$F:$F,$A96)</f>
        <v>2</v>
      </c>
      <c r="H96" s="30">
        <v>90</v>
      </c>
      <c r="I96" s="30">
        <v>47</v>
      </c>
      <c r="J96" s="30">
        <v>3</v>
      </c>
      <c r="K96" s="30">
        <v>18</v>
      </c>
      <c r="L96" s="30">
        <v>0</v>
      </c>
      <c r="M96" s="30">
        <v>3</v>
      </c>
    </row>
    <row r="97" spans="1:13">
      <c r="A97" s="30">
        <f ca="1" t="shared" si="1"/>
        <v>73</v>
      </c>
      <c r="B97" s="30">
        <f ca="1" t="array" ref="B97">INDEX(Data_DBD!$B:$B,$A97)</f>
        <v>15</v>
      </c>
      <c r="C97" s="30">
        <f ca="1" t="array" ref="C97">INDEX(Data_DBD!$C:$C,$A97)</f>
        <v>3</v>
      </c>
      <c r="D97" s="30">
        <f ca="1" t="array" ref="D97">INDEX(Data_DBD!$D:$D,$A97)</f>
        <v>10</v>
      </c>
      <c r="E97" s="30">
        <f ca="1" t="array" ref="E97">INDEX(Data_DBD!$E:$E,$A97)</f>
        <v>1</v>
      </c>
      <c r="F97" s="30">
        <f ca="1" t="array" ref="F97">INDEX(Data_DBD!$F:$F,$A97)</f>
        <v>2</v>
      </c>
      <c r="H97" s="30">
        <v>60</v>
      </c>
      <c r="I97" s="30">
        <v>68</v>
      </c>
      <c r="J97" s="30">
        <v>4</v>
      </c>
      <c r="K97" s="30">
        <v>15</v>
      </c>
      <c r="L97" s="30">
        <v>0</v>
      </c>
      <c r="M97" s="30">
        <v>2</v>
      </c>
    </row>
    <row r="98" spans="1:13">
      <c r="A98" s="30">
        <f ca="1" t="shared" si="1"/>
        <v>146</v>
      </c>
      <c r="B98" s="30">
        <f ca="1" t="array" ref="B98">INDEX(Data_DBD!$B:$B,$A98)</f>
        <v>34</v>
      </c>
      <c r="C98" s="30">
        <f ca="1" t="array" ref="C98">INDEX(Data_DBD!$C:$C,$A98)</f>
        <v>2</v>
      </c>
      <c r="D98" s="30">
        <f ca="1" t="array" ref="D98">INDEX(Data_DBD!$D:$D,$A98)</f>
        <v>21</v>
      </c>
      <c r="E98" s="30">
        <f ca="1" t="array" ref="E98">INDEX(Data_DBD!$E:$E,$A98)</f>
        <v>1</v>
      </c>
      <c r="F98" s="30">
        <f ca="1" t="array" ref="F98">INDEX(Data_DBD!$F:$F,$A98)</f>
        <v>3</v>
      </c>
      <c r="H98" s="30">
        <v>53</v>
      </c>
      <c r="I98" s="30">
        <v>35</v>
      </c>
      <c r="J98" s="30">
        <v>4</v>
      </c>
      <c r="K98" s="30">
        <v>15</v>
      </c>
      <c r="L98" s="30">
        <v>1</v>
      </c>
      <c r="M98" s="30">
        <v>2</v>
      </c>
    </row>
    <row r="99" spans="1:13">
      <c r="A99" s="30">
        <f ca="1" t="shared" si="1"/>
        <v>131</v>
      </c>
      <c r="B99" s="30">
        <f ca="1" t="array" ref="B99">INDEX(Data_DBD!$B:$B,$A99)</f>
        <v>10</v>
      </c>
      <c r="C99" s="30">
        <f ca="1" t="array" ref="C99">INDEX(Data_DBD!$C:$C,$A99)</f>
        <v>2</v>
      </c>
      <c r="D99" s="30">
        <f ca="1" t="array" ref="D99">INDEX(Data_DBD!$D:$D,$A99)</f>
        <v>33</v>
      </c>
      <c r="E99" s="30">
        <f ca="1" t="array" ref="E99">INDEX(Data_DBD!$E:$E,$A99)</f>
        <v>0</v>
      </c>
      <c r="F99" s="30">
        <f ca="1" t="array" ref="F99">INDEX(Data_DBD!$F:$F,$A99)</f>
        <v>3</v>
      </c>
      <c r="H99" s="30">
        <v>62</v>
      </c>
      <c r="I99" s="30">
        <v>43</v>
      </c>
      <c r="J99" s="30">
        <v>4</v>
      </c>
      <c r="K99" s="30">
        <v>15</v>
      </c>
      <c r="L99" s="30">
        <v>1</v>
      </c>
      <c r="M99" s="30">
        <v>2</v>
      </c>
    </row>
    <row r="100" spans="1:13">
      <c r="A100" s="30">
        <f ca="1" t="shared" si="1"/>
        <v>81</v>
      </c>
      <c r="B100" s="30">
        <f ca="1" t="array" ref="B100">INDEX(Data_DBD!$B:$B,$A100)</f>
        <v>23</v>
      </c>
      <c r="C100" s="30">
        <f ca="1" t="array" ref="C100">INDEX(Data_DBD!$C:$C,$A100)</f>
        <v>5</v>
      </c>
      <c r="D100" s="30">
        <f ca="1" t="array" ref="D100">INDEX(Data_DBD!$D:$D,$A100)</f>
        <v>13</v>
      </c>
      <c r="E100" s="30">
        <f ca="1" t="array" ref="E100">INDEX(Data_DBD!$E:$E,$A100)</f>
        <v>1</v>
      </c>
      <c r="F100" s="30">
        <f ca="1" t="array" ref="F100">INDEX(Data_DBD!$F:$F,$A100)</f>
        <v>2</v>
      </c>
      <c r="H100" s="30">
        <v>148</v>
      </c>
      <c r="I100" s="30">
        <v>55</v>
      </c>
      <c r="J100" s="30">
        <v>3</v>
      </c>
      <c r="K100" s="30">
        <v>21</v>
      </c>
      <c r="L100" s="30">
        <v>1</v>
      </c>
      <c r="M100" s="30">
        <v>3</v>
      </c>
    </row>
    <row r="101" spans="1:13">
      <c r="A101" s="30">
        <f ca="1" t="shared" si="1"/>
        <v>39</v>
      </c>
      <c r="B101" s="30">
        <f ca="1" t="array" ref="B101">INDEX(Data_DBD!$B:$B,$A101)</f>
        <v>12</v>
      </c>
      <c r="C101" s="30">
        <f ca="1" t="array" ref="C101">INDEX(Data_DBD!$C:$C,$A101)</f>
        <v>5</v>
      </c>
      <c r="D101" s="30">
        <f ca="1" t="array" ref="D101">INDEX(Data_DBD!$D:$D,$A101)</f>
        <v>13</v>
      </c>
      <c r="E101" s="30">
        <f ca="1" t="array" ref="E101">INDEX(Data_DBD!$E:$E,$A101)</f>
        <v>1</v>
      </c>
      <c r="F101" s="30">
        <f ca="1" t="array" ref="F101">INDEX(Data_DBD!$F:$F,$A101)</f>
        <v>2</v>
      </c>
      <c r="H101" s="30">
        <v>86</v>
      </c>
      <c r="I101" s="30">
        <v>23</v>
      </c>
      <c r="J101" s="30">
        <v>3</v>
      </c>
      <c r="K101" s="30">
        <v>13</v>
      </c>
      <c r="L101" s="30">
        <v>0</v>
      </c>
      <c r="M101" s="30">
        <v>2</v>
      </c>
    </row>
    <row r="102" spans="1:13">
      <c r="A102" s="30">
        <f ca="1" t="shared" si="1"/>
        <v>160</v>
      </c>
      <c r="B102" s="30">
        <f ca="1" t="array" ref="B102">INDEX(Data_DBD!$B:$B,$A102)</f>
        <v>16</v>
      </c>
      <c r="C102" s="30">
        <f ca="1" t="array" ref="C102">INDEX(Data_DBD!$C:$C,$A102)</f>
        <v>3</v>
      </c>
      <c r="D102" s="30">
        <f ca="1" t="array" ref="D102">INDEX(Data_DBD!$D:$D,$A102)</f>
        <v>21</v>
      </c>
      <c r="E102" s="30">
        <f ca="1" t="array" ref="E102">INDEX(Data_DBD!$E:$E,$A102)</f>
        <v>0</v>
      </c>
      <c r="F102" s="30">
        <f ca="1" t="array" ref="F102">INDEX(Data_DBD!$F:$F,$A102)</f>
        <v>3</v>
      </c>
      <c r="H102" s="30">
        <v>151</v>
      </c>
      <c r="I102" s="30">
        <v>24</v>
      </c>
      <c r="J102" s="30">
        <v>3</v>
      </c>
      <c r="K102" s="30">
        <v>21</v>
      </c>
      <c r="L102" s="30">
        <v>0</v>
      </c>
      <c r="M102" s="30">
        <v>3</v>
      </c>
    </row>
    <row r="103" spans="1:13">
      <c r="A103" s="30">
        <f ca="1" t="shared" si="1"/>
        <v>125</v>
      </c>
      <c r="B103" s="30">
        <f ca="1" t="array" ref="B103">INDEX(Data_DBD!$B:$B,$A103)</f>
        <v>39</v>
      </c>
      <c r="C103" s="30">
        <f ca="1" t="array" ref="C103">INDEX(Data_DBD!$C:$C,$A103)</f>
        <v>4</v>
      </c>
      <c r="D103" s="30">
        <f ca="1" t="array" ref="D103">INDEX(Data_DBD!$D:$D,$A103)</f>
        <v>33</v>
      </c>
      <c r="E103" s="30">
        <f ca="1" t="array" ref="E103">INDEX(Data_DBD!$E:$E,$A103)</f>
        <v>0</v>
      </c>
      <c r="F103" s="30">
        <f ca="1" t="array" ref="F103">INDEX(Data_DBD!$F:$F,$A103)</f>
        <v>3</v>
      </c>
      <c r="H103" s="30">
        <v>149</v>
      </c>
      <c r="I103" s="30">
        <v>19</v>
      </c>
      <c r="J103" s="30">
        <v>5</v>
      </c>
      <c r="K103" s="30">
        <v>21</v>
      </c>
      <c r="L103" s="30">
        <v>0</v>
      </c>
      <c r="M103" s="30">
        <v>3</v>
      </c>
    </row>
    <row r="104" spans="1:13">
      <c r="A104" s="30">
        <f ca="1" t="shared" si="1"/>
        <v>128</v>
      </c>
      <c r="B104" s="30">
        <f ca="1" t="array" ref="B104">INDEX(Data_DBD!$B:$B,$A104)</f>
        <v>38</v>
      </c>
      <c r="C104" s="30">
        <f ca="1" t="array" ref="C104">INDEX(Data_DBD!$C:$C,$A104)</f>
        <v>2</v>
      </c>
      <c r="D104" s="30">
        <f ca="1" t="array" ref="D104">INDEX(Data_DBD!$D:$D,$A104)</f>
        <v>33</v>
      </c>
      <c r="E104" s="30">
        <f ca="1" t="array" ref="E104">INDEX(Data_DBD!$E:$E,$A104)</f>
        <v>0</v>
      </c>
      <c r="F104" s="30">
        <f ca="1" t="array" ref="F104">INDEX(Data_DBD!$F:$F,$A104)</f>
        <v>3</v>
      </c>
      <c r="H104" s="30">
        <v>113</v>
      </c>
      <c r="I104" s="30">
        <v>69</v>
      </c>
      <c r="J104" s="30">
        <v>1</v>
      </c>
      <c r="K104" s="30">
        <v>33</v>
      </c>
      <c r="L104" s="30">
        <v>1</v>
      </c>
      <c r="M104" s="30">
        <v>3</v>
      </c>
    </row>
    <row r="105" spans="1:13">
      <c r="A105" s="30">
        <f ca="1" t="shared" si="1"/>
        <v>100</v>
      </c>
      <c r="B105" s="30">
        <f ca="1" t="array" ref="B105">INDEX(Data_DBD!$B:$B,$A105)</f>
        <v>19</v>
      </c>
      <c r="C105" s="30">
        <f ca="1" t="array" ref="C105">INDEX(Data_DBD!$C:$C,$A105)</f>
        <v>6</v>
      </c>
      <c r="D105" s="30">
        <f ca="1" t="array" ref="D105">INDEX(Data_DBD!$D:$D,$A105)</f>
        <v>18</v>
      </c>
      <c r="E105" s="30">
        <f ca="1" t="array" ref="E105">INDEX(Data_DBD!$E:$E,$A105)</f>
        <v>0</v>
      </c>
      <c r="F105" s="30">
        <f ca="1" t="array" ref="F105">INDEX(Data_DBD!$F:$F,$A105)</f>
        <v>3</v>
      </c>
      <c r="H105" s="30">
        <v>152</v>
      </c>
      <c r="I105" s="30">
        <v>47</v>
      </c>
      <c r="J105" s="30">
        <v>3</v>
      </c>
      <c r="K105" s="30">
        <v>21</v>
      </c>
      <c r="L105" s="30">
        <v>1</v>
      </c>
      <c r="M105" s="30">
        <v>3</v>
      </c>
    </row>
    <row r="106" spans="1:13">
      <c r="A106" s="30">
        <f ca="1" t="shared" si="1"/>
        <v>152</v>
      </c>
      <c r="B106" s="30">
        <f ca="1" t="array" ref="B106">INDEX(Data_DBD!$B:$B,$A106)</f>
        <v>47</v>
      </c>
      <c r="C106" s="30">
        <f ca="1" t="array" ref="C106">INDEX(Data_DBD!$C:$C,$A106)</f>
        <v>3</v>
      </c>
      <c r="D106" s="30">
        <f ca="1" t="array" ref="D106">INDEX(Data_DBD!$D:$D,$A106)</f>
        <v>21</v>
      </c>
      <c r="E106" s="30">
        <f ca="1" t="array" ref="E106">INDEX(Data_DBD!$E:$E,$A106)</f>
        <v>1</v>
      </c>
      <c r="F106" s="30">
        <f ca="1" t="array" ref="F106">INDEX(Data_DBD!$F:$F,$A106)</f>
        <v>3</v>
      </c>
      <c r="H106" s="30">
        <v>108</v>
      </c>
      <c r="I106" s="30">
        <v>69</v>
      </c>
      <c r="J106" s="30">
        <v>7</v>
      </c>
      <c r="K106" s="30">
        <v>33</v>
      </c>
      <c r="L106" s="30">
        <v>1</v>
      </c>
      <c r="M106" s="30">
        <v>3</v>
      </c>
    </row>
    <row r="107" spans="1:13">
      <c r="A107" s="30">
        <f ca="1" t="shared" si="1"/>
        <v>119</v>
      </c>
      <c r="B107" s="30">
        <f ca="1" t="array" ref="B107">INDEX(Data_DBD!$B:$B,$A107)</f>
        <v>30</v>
      </c>
      <c r="C107" s="30">
        <f ca="1" t="array" ref="C107">INDEX(Data_DBD!$C:$C,$A107)</f>
        <v>7</v>
      </c>
      <c r="D107" s="30">
        <f ca="1" t="array" ref="D107">INDEX(Data_DBD!$D:$D,$A107)</f>
        <v>33</v>
      </c>
      <c r="E107" s="30">
        <f ca="1" t="array" ref="E107">INDEX(Data_DBD!$E:$E,$A107)</f>
        <v>0</v>
      </c>
      <c r="F107" s="30">
        <f ca="1" t="array" ref="F107">INDEX(Data_DBD!$F:$F,$A107)</f>
        <v>3</v>
      </c>
      <c r="H107" s="30">
        <v>153</v>
      </c>
      <c r="I107" s="30">
        <v>73</v>
      </c>
      <c r="J107" s="30">
        <v>7</v>
      </c>
      <c r="K107" s="30">
        <v>21</v>
      </c>
      <c r="L107" s="30">
        <v>1</v>
      </c>
      <c r="M107" s="30">
        <v>3</v>
      </c>
    </row>
    <row r="108" spans="1:13">
      <c r="A108" s="30">
        <f ca="1" t="shared" si="1"/>
        <v>76</v>
      </c>
      <c r="B108" s="30">
        <f ca="1" t="array" ref="B108">INDEX(Data_DBD!$B:$B,$A108)</f>
        <v>70</v>
      </c>
      <c r="C108" s="30">
        <f ca="1" t="array" ref="C108">INDEX(Data_DBD!$C:$C,$A108)</f>
        <v>2</v>
      </c>
      <c r="D108" s="30">
        <f ca="1" t="array" ref="D108">INDEX(Data_DBD!$D:$D,$A108)</f>
        <v>10</v>
      </c>
      <c r="E108" s="30">
        <f ca="1" t="array" ref="E108">INDEX(Data_DBD!$E:$E,$A108)</f>
        <v>0</v>
      </c>
      <c r="F108" s="30">
        <f ca="1" t="array" ref="F108">INDEX(Data_DBD!$F:$F,$A108)</f>
        <v>2</v>
      </c>
      <c r="H108" s="30">
        <v>118</v>
      </c>
      <c r="I108" s="30">
        <v>67</v>
      </c>
      <c r="J108" s="30">
        <v>4</v>
      </c>
      <c r="K108" s="30">
        <v>33</v>
      </c>
      <c r="L108" s="30">
        <v>1</v>
      </c>
      <c r="M108" s="30">
        <v>3</v>
      </c>
    </row>
    <row r="109" spans="1:13">
      <c r="A109" s="30">
        <f ca="1" t="shared" si="1"/>
        <v>88</v>
      </c>
      <c r="B109" s="30">
        <f ca="1" t="array" ref="B109">INDEX(Data_DBD!$B:$B,$A109)</f>
        <v>20</v>
      </c>
      <c r="C109" s="30">
        <f ca="1" t="array" ref="C109">INDEX(Data_DBD!$C:$C,$A109)</f>
        <v>4</v>
      </c>
      <c r="D109" s="30">
        <f ca="1" t="array" ref="D109">INDEX(Data_DBD!$D:$D,$A109)</f>
        <v>13</v>
      </c>
      <c r="E109" s="30">
        <f ca="1" t="array" ref="E109">INDEX(Data_DBD!$E:$E,$A109)</f>
        <v>1</v>
      </c>
      <c r="F109" s="30">
        <f ca="1" t="array" ref="F109">INDEX(Data_DBD!$F:$F,$A109)</f>
        <v>2</v>
      </c>
      <c r="H109" s="30">
        <v>27</v>
      </c>
      <c r="I109" s="30">
        <v>37</v>
      </c>
      <c r="J109" s="30">
        <v>4</v>
      </c>
      <c r="K109" s="30">
        <v>14</v>
      </c>
      <c r="L109" s="30">
        <v>1</v>
      </c>
      <c r="M109" s="30">
        <v>2</v>
      </c>
    </row>
    <row r="110" spans="1:13">
      <c r="A110" s="30">
        <f ca="1" t="shared" si="1"/>
        <v>50</v>
      </c>
      <c r="B110" s="30">
        <f ca="1" t="array" ref="B110">INDEX(Data_DBD!$B:$B,$A110)</f>
        <v>19</v>
      </c>
      <c r="C110" s="30">
        <f ca="1" t="array" ref="C110">INDEX(Data_DBD!$C:$C,$A110)</f>
        <v>5</v>
      </c>
      <c r="D110" s="30">
        <f ca="1" t="array" ref="D110">INDEX(Data_DBD!$D:$D,$A110)</f>
        <v>13</v>
      </c>
      <c r="E110" s="30">
        <f ca="1" t="array" ref="E110">INDEX(Data_DBD!$E:$E,$A110)</f>
        <v>0</v>
      </c>
      <c r="F110" s="30">
        <f ca="1" t="array" ref="F110">INDEX(Data_DBD!$F:$F,$A110)</f>
        <v>2</v>
      </c>
      <c r="H110" s="30">
        <v>23</v>
      </c>
      <c r="I110" s="30">
        <v>28</v>
      </c>
      <c r="J110" s="30">
        <v>4</v>
      </c>
      <c r="K110" s="30">
        <v>14</v>
      </c>
      <c r="L110" s="30">
        <v>1</v>
      </c>
      <c r="M110" s="30">
        <v>2</v>
      </c>
    </row>
    <row r="111" spans="1:13">
      <c r="A111" s="30">
        <f ca="1" t="shared" si="1"/>
        <v>26</v>
      </c>
      <c r="B111" s="30">
        <f ca="1" t="array" ref="B111">INDEX(Data_DBD!$B:$B,$A111)</f>
        <v>75</v>
      </c>
      <c r="C111" s="30">
        <f ca="1" t="array" ref="C111">INDEX(Data_DBD!$C:$C,$A111)</f>
        <v>4</v>
      </c>
      <c r="D111" s="30">
        <f ca="1" t="array" ref="D111">INDEX(Data_DBD!$D:$D,$A111)</f>
        <v>14</v>
      </c>
      <c r="E111" s="30">
        <f ca="1" t="array" ref="E111">INDEX(Data_DBD!$E:$E,$A111)</f>
        <v>1</v>
      </c>
      <c r="F111" s="30">
        <f ca="1" t="array" ref="F111">INDEX(Data_DBD!$F:$F,$A111)</f>
        <v>2</v>
      </c>
      <c r="H111" s="30">
        <v>76</v>
      </c>
      <c r="I111" s="30">
        <v>70</v>
      </c>
      <c r="J111" s="30">
        <v>2</v>
      </c>
      <c r="K111" s="30">
        <v>10</v>
      </c>
      <c r="L111" s="30">
        <v>0</v>
      </c>
      <c r="M111" s="30">
        <v>2</v>
      </c>
    </row>
    <row r="112" spans="1:13">
      <c r="A112" s="30">
        <f ca="1" t="shared" si="1"/>
        <v>61</v>
      </c>
      <c r="B112" s="30">
        <f ca="1" t="array" ref="B112">INDEX(Data_DBD!$B:$B,$A112)</f>
        <v>29</v>
      </c>
      <c r="C112" s="30">
        <f ca="1" t="array" ref="C112">INDEX(Data_DBD!$C:$C,$A112)</f>
        <v>3</v>
      </c>
      <c r="D112" s="30">
        <f ca="1" t="array" ref="D112">INDEX(Data_DBD!$D:$D,$A112)</f>
        <v>15</v>
      </c>
      <c r="E112" s="30">
        <f ca="1" t="array" ref="E112">INDEX(Data_DBD!$E:$E,$A112)</f>
        <v>1</v>
      </c>
      <c r="F112" s="30">
        <f ca="1" t="array" ref="F112">INDEX(Data_DBD!$F:$F,$A112)</f>
        <v>2</v>
      </c>
      <c r="H112" s="30">
        <v>60</v>
      </c>
      <c r="I112" s="30">
        <v>68</v>
      </c>
      <c r="J112" s="30">
        <v>4</v>
      </c>
      <c r="K112" s="30">
        <v>15</v>
      </c>
      <c r="L112" s="30">
        <v>0</v>
      </c>
      <c r="M112" s="30">
        <v>2</v>
      </c>
    </row>
    <row r="113" spans="1:13">
      <c r="A113" s="30">
        <f ca="1" t="shared" si="1"/>
        <v>90</v>
      </c>
      <c r="B113" s="30">
        <f ca="1" t="array" ref="B113">INDEX(Data_DBD!$B:$B,$A113)</f>
        <v>47</v>
      </c>
      <c r="C113" s="30">
        <f ca="1" t="array" ref="C113">INDEX(Data_DBD!$C:$C,$A113)</f>
        <v>3</v>
      </c>
      <c r="D113" s="30">
        <f ca="1" t="array" ref="D113">INDEX(Data_DBD!$D:$D,$A113)</f>
        <v>18</v>
      </c>
      <c r="E113" s="30">
        <f ca="1" t="array" ref="E113">INDEX(Data_DBD!$E:$E,$A113)</f>
        <v>0</v>
      </c>
      <c r="F113" s="30">
        <f ca="1" t="array" ref="F113">INDEX(Data_DBD!$F:$F,$A113)</f>
        <v>3</v>
      </c>
      <c r="H113" s="30">
        <v>65</v>
      </c>
      <c r="I113" s="30">
        <v>49</v>
      </c>
      <c r="J113" s="30">
        <v>3</v>
      </c>
      <c r="K113" s="30">
        <v>15</v>
      </c>
      <c r="L113" s="30">
        <v>0</v>
      </c>
      <c r="M113" s="30">
        <v>2</v>
      </c>
    </row>
    <row r="114" spans="1:13">
      <c r="A114" s="30">
        <f ca="1" t="shared" si="1"/>
        <v>63</v>
      </c>
      <c r="B114" s="30">
        <f ca="1" t="array" ref="B114">INDEX(Data_DBD!$B:$B,$A114)</f>
        <v>25</v>
      </c>
      <c r="C114" s="30">
        <f ca="1" t="array" ref="C114">INDEX(Data_DBD!$C:$C,$A114)</f>
        <v>3</v>
      </c>
      <c r="D114" s="30">
        <f ca="1" t="array" ref="D114">INDEX(Data_DBD!$D:$D,$A114)</f>
        <v>15</v>
      </c>
      <c r="E114" s="30">
        <f ca="1" t="array" ref="E114">INDEX(Data_DBD!$E:$E,$A114)</f>
        <v>0</v>
      </c>
      <c r="F114" s="30">
        <f ca="1" t="array" ref="F114">INDEX(Data_DBD!$F:$F,$A114)</f>
        <v>2</v>
      </c>
      <c r="H114" s="30">
        <v>135</v>
      </c>
      <c r="I114" s="30">
        <v>10</v>
      </c>
      <c r="J114" s="30">
        <v>2</v>
      </c>
      <c r="K114" s="30">
        <v>33</v>
      </c>
      <c r="L114" s="30">
        <v>0</v>
      </c>
      <c r="M114" s="30">
        <v>3</v>
      </c>
    </row>
    <row r="115" spans="1:13">
      <c r="A115" s="30">
        <f ca="1" t="shared" si="1"/>
        <v>24</v>
      </c>
      <c r="B115" s="30">
        <f ca="1" t="array" ref="B115">INDEX(Data_DBD!$B:$B,$A115)</f>
        <v>60</v>
      </c>
      <c r="C115" s="30">
        <f ca="1" t="array" ref="C115">INDEX(Data_DBD!$C:$C,$A115)</f>
        <v>4</v>
      </c>
      <c r="D115" s="30">
        <f ca="1" t="array" ref="D115">INDEX(Data_DBD!$D:$D,$A115)</f>
        <v>14</v>
      </c>
      <c r="E115" s="30">
        <f ca="1" t="array" ref="E115">INDEX(Data_DBD!$E:$E,$A115)</f>
        <v>0</v>
      </c>
      <c r="F115" s="30">
        <f ca="1" t="array" ref="F115">INDEX(Data_DBD!$F:$F,$A115)</f>
        <v>2</v>
      </c>
      <c r="H115" s="30">
        <v>44</v>
      </c>
      <c r="I115" s="30">
        <v>28</v>
      </c>
      <c r="J115" s="30">
        <v>5</v>
      </c>
      <c r="K115" s="30">
        <v>13</v>
      </c>
      <c r="L115" s="30">
        <v>1</v>
      </c>
      <c r="M115" s="30">
        <v>2</v>
      </c>
    </row>
    <row r="116" spans="1:13">
      <c r="A116" s="30">
        <f ca="1" t="shared" si="1"/>
        <v>145</v>
      </c>
      <c r="B116" s="30">
        <f ca="1" t="array" ref="B116">INDEX(Data_DBD!$B:$B,$A116)</f>
        <v>28</v>
      </c>
      <c r="C116" s="30">
        <f ca="1" t="array" ref="C116">INDEX(Data_DBD!$C:$C,$A116)</f>
        <v>4</v>
      </c>
      <c r="D116" s="30">
        <f ca="1" t="array" ref="D116">INDEX(Data_DBD!$D:$D,$A116)</f>
        <v>21</v>
      </c>
      <c r="E116" s="30">
        <f ca="1" t="array" ref="E116">INDEX(Data_DBD!$E:$E,$A116)</f>
        <v>1</v>
      </c>
      <c r="F116" s="30">
        <f ca="1" t="array" ref="F116">INDEX(Data_DBD!$F:$F,$A116)</f>
        <v>3</v>
      </c>
      <c r="H116" s="30">
        <v>44</v>
      </c>
      <c r="I116" s="30">
        <v>28</v>
      </c>
      <c r="J116" s="30">
        <v>5</v>
      </c>
      <c r="K116" s="30">
        <v>13</v>
      </c>
      <c r="L116" s="30">
        <v>1</v>
      </c>
      <c r="M116" s="30">
        <v>2</v>
      </c>
    </row>
    <row r="117" spans="1:13">
      <c r="A117" s="30">
        <f ca="1" t="shared" si="1"/>
        <v>161</v>
      </c>
      <c r="B117" s="30">
        <f ca="1" t="array" ref="B117">INDEX(Data_DBD!$B:$B,$A117)</f>
        <v>12</v>
      </c>
      <c r="C117" s="30">
        <f ca="1" t="array" ref="C117">INDEX(Data_DBD!$C:$C,$A117)</f>
        <v>3</v>
      </c>
      <c r="D117" s="30">
        <f ca="1" t="array" ref="D117">INDEX(Data_DBD!$D:$D,$A117)</f>
        <v>21</v>
      </c>
      <c r="E117" s="30">
        <f ca="1" t="array" ref="E117">INDEX(Data_DBD!$E:$E,$A117)</f>
        <v>1</v>
      </c>
      <c r="F117" s="30">
        <f ca="1" t="array" ref="F117">INDEX(Data_DBD!$F:$F,$A117)</f>
        <v>3</v>
      </c>
      <c r="H117" s="30">
        <v>131</v>
      </c>
      <c r="I117" s="30">
        <v>10</v>
      </c>
      <c r="J117" s="30">
        <v>2</v>
      </c>
      <c r="K117" s="30">
        <v>33</v>
      </c>
      <c r="L117" s="30">
        <v>0</v>
      </c>
      <c r="M117" s="30">
        <v>3</v>
      </c>
    </row>
    <row r="118" spans="1:13">
      <c r="A118" s="30">
        <f ca="1" t="shared" si="1"/>
        <v>125</v>
      </c>
      <c r="B118" s="30">
        <f ca="1" t="array" ref="B118">INDEX(Data_DBD!$B:$B,$A118)</f>
        <v>39</v>
      </c>
      <c r="C118" s="30">
        <f ca="1" t="array" ref="C118">INDEX(Data_DBD!$C:$C,$A118)</f>
        <v>4</v>
      </c>
      <c r="D118" s="30">
        <f ca="1" t="array" ref="D118">INDEX(Data_DBD!$D:$D,$A118)</f>
        <v>33</v>
      </c>
      <c r="E118" s="30">
        <f ca="1" t="array" ref="E118">INDEX(Data_DBD!$E:$E,$A118)</f>
        <v>0</v>
      </c>
      <c r="F118" s="30">
        <f ca="1" t="array" ref="F118">INDEX(Data_DBD!$F:$F,$A118)</f>
        <v>3</v>
      </c>
      <c r="H118" s="30">
        <v>63</v>
      </c>
      <c r="I118" s="30">
        <v>25</v>
      </c>
      <c r="J118" s="30">
        <v>3</v>
      </c>
      <c r="K118" s="30">
        <v>15</v>
      </c>
      <c r="L118" s="30">
        <v>0</v>
      </c>
      <c r="M118" s="30">
        <v>2</v>
      </c>
    </row>
    <row r="119" spans="1:13">
      <c r="A119" s="30">
        <f ca="1" t="shared" si="1"/>
        <v>128</v>
      </c>
      <c r="B119" s="30">
        <f ca="1" t="array" ref="B119">INDEX(Data_DBD!$B:$B,$A119)</f>
        <v>38</v>
      </c>
      <c r="C119" s="30">
        <f ca="1" t="array" ref="C119">INDEX(Data_DBD!$C:$C,$A119)</f>
        <v>2</v>
      </c>
      <c r="D119" s="30">
        <f ca="1" t="array" ref="D119">INDEX(Data_DBD!$D:$D,$A119)</f>
        <v>33</v>
      </c>
      <c r="E119" s="30">
        <f ca="1" t="array" ref="E119">INDEX(Data_DBD!$E:$E,$A119)</f>
        <v>0</v>
      </c>
      <c r="F119" s="30">
        <f ca="1" t="array" ref="F119">INDEX(Data_DBD!$F:$F,$A119)</f>
        <v>3</v>
      </c>
      <c r="H119" s="30">
        <v>43</v>
      </c>
      <c r="I119" s="30">
        <v>15</v>
      </c>
      <c r="J119" s="30">
        <v>4</v>
      </c>
      <c r="K119" s="30">
        <v>13</v>
      </c>
      <c r="L119" s="30">
        <v>0</v>
      </c>
      <c r="M119" s="30">
        <v>2</v>
      </c>
    </row>
    <row r="120" spans="1:13">
      <c r="A120" s="30">
        <f ca="1" t="shared" si="1"/>
        <v>40</v>
      </c>
      <c r="B120" s="30">
        <f ca="1" t="array" ref="B120">INDEX(Data_DBD!$B:$B,$A120)</f>
        <v>65</v>
      </c>
      <c r="C120" s="30">
        <f ca="1" t="array" ref="C120">INDEX(Data_DBD!$C:$C,$A120)</f>
        <v>3</v>
      </c>
      <c r="D120" s="30">
        <f ca="1" t="array" ref="D120">INDEX(Data_DBD!$D:$D,$A120)</f>
        <v>13</v>
      </c>
      <c r="E120" s="30">
        <f ca="1" t="array" ref="E120">INDEX(Data_DBD!$E:$E,$A120)</f>
        <v>1</v>
      </c>
      <c r="F120" s="30">
        <f ca="1" t="array" ref="F120">INDEX(Data_DBD!$F:$F,$A120)</f>
        <v>2</v>
      </c>
      <c r="H120" s="30">
        <v>33</v>
      </c>
      <c r="I120" s="30">
        <v>19</v>
      </c>
      <c r="J120" s="30">
        <v>4</v>
      </c>
      <c r="K120" s="30">
        <v>14</v>
      </c>
      <c r="L120" s="30">
        <v>1</v>
      </c>
      <c r="M120" s="30">
        <v>2</v>
      </c>
    </row>
    <row r="121" spans="1:13">
      <c r="A121" s="30">
        <f ca="1" t="shared" si="1"/>
        <v>161</v>
      </c>
      <c r="B121" s="30">
        <f ca="1" t="array" ref="B121">INDEX(Data_DBD!$B:$B,$A121)</f>
        <v>12</v>
      </c>
      <c r="C121" s="30">
        <f ca="1" t="array" ref="C121">INDEX(Data_DBD!$C:$C,$A121)</f>
        <v>3</v>
      </c>
      <c r="D121" s="30">
        <f ca="1" t="array" ref="D121">INDEX(Data_DBD!$D:$D,$A121)</f>
        <v>21</v>
      </c>
      <c r="E121" s="30">
        <f ca="1" t="array" ref="E121">INDEX(Data_DBD!$E:$E,$A121)</f>
        <v>1</v>
      </c>
      <c r="F121" s="30">
        <f ca="1" t="array" ref="F121">INDEX(Data_DBD!$F:$F,$A121)</f>
        <v>3</v>
      </c>
      <c r="H121" s="30">
        <v>113</v>
      </c>
      <c r="I121" s="30">
        <v>69</v>
      </c>
      <c r="J121" s="30">
        <v>1</v>
      </c>
      <c r="K121" s="30">
        <v>33</v>
      </c>
      <c r="L121" s="30">
        <v>1</v>
      </c>
      <c r="M121" s="30">
        <v>3</v>
      </c>
    </row>
    <row r="122" spans="1:13">
      <c r="A122" s="30">
        <f ca="1" t="shared" si="1"/>
        <v>43</v>
      </c>
      <c r="B122" s="30">
        <f ca="1" t="array" ref="B122">INDEX(Data_DBD!$B:$B,$A122)</f>
        <v>15</v>
      </c>
      <c r="C122" s="30">
        <f ca="1" t="array" ref="C122">INDEX(Data_DBD!$C:$C,$A122)</f>
        <v>4</v>
      </c>
      <c r="D122" s="30">
        <f ca="1" t="array" ref="D122">INDEX(Data_DBD!$D:$D,$A122)</f>
        <v>13</v>
      </c>
      <c r="E122" s="30">
        <f ca="1" t="array" ref="E122">INDEX(Data_DBD!$E:$E,$A122)</f>
        <v>0</v>
      </c>
      <c r="F122" s="30">
        <f ca="1" t="array" ref="F122">INDEX(Data_DBD!$F:$F,$A122)</f>
        <v>2</v>
      </c>
      <c r="H122" s="30">
        <v>92</v>
      </c>
      <c r="I122" s="30">
        <v>55</v>
      </c>
      <c r="J122" s="30">
        <v>7</v>
      </c>
      <c r="K122" s="30">
        <v>18</v>
      </c>
      <c r="L122" s="30">
        <v>0</v>
      </c>
      <c r="M122" s="30">
        <v>3</v>
      </c>
    </row>
    <row r="123" spans="1:13">
      <c r="A123" s="30">
        <f ca="1" t="shared" si="1"/>
        <v>145</v>
      </c>
      <c r="B123" s="30">
        <f ca="1" t="array" ref="B123">INDEX(Data_DBD!$B:$B,$A123)</f>
        <v>28</v>
      </c>
      <c r="C123" s="30">
        <f ca="1" t="array" ref="C123">INDEX(Data_DBD!$C:$C,$A123)</f>
        <v>4</v>
      </c>
      <c r="D123" s="30">
        <f ca="1" t="array" ref="D123">INDEX(Data_DBD!$D:$D,$A123)</f>
        <v>21</v>
      </c>
      <c r="E123" s="30">
        <f ca="1" t="array" ref="E123">INDEX(Data_DBD!$E:$E,$A123)</f>
        <v>1</v>
      </c>
      <c r="F123" s="30">
        <f ca="1" t="array" ref="F123">INDEX(Data_DBD!$F:$F,$A123)</f>
        <v>3</v>
      </c>
      <c r="H123" s="30">
        <v>103</v>
      </c>
      <c r="I123" s="30">
        <v>22</v>
      </c>
      <c r="J123" s="30">
        <v>5</v>
      </c>
      <c r="K123" s="30">
        <v>18</v>
      </c>
      <c r="L123" s="30">
        <v>0</v>
      </c>
      <c r="M123" s="30">
        <v>3</v>
      </c>
    </row>
    <row r="124" spans="1:13">
      <c r="A124" s="30">
        <f ca="1" t="shared" si="1"/>
        <v>99</v>
      </c>
      <c r="B124" s="30">
        <f ca="1" t="array" ref="B124">INDEX(Data_DBD!$B:$B,$A124)</f>
        <v>4</v>
      </c>
      <c r="C124" s="30">
        <f ca="1" t="array" ref="C124">INDEX(Data_DBD!$C:$C,$A124)</f>
        <v>2</v>
      </c>
      <c r="D124" s="30">
        <f ca="1" t="array" ref="D124">INDEX(Data_DBD!$D:$D,$A124)</f>
        <v>18</v>
      </c>
      <c r="E124" s="30">
        <f ca="1" t="array" ref="E124">INDEX(Data_DBD!$E:$E,$A124)</f>
        <v>1</v>
      </c>
      <c r="F124" s="30">
        <f ca="1" t="array" ref="F124">INDEX(Data_DBD!$F:$F,$A124)</f>
        <v>3</v>
      </c>
      <c r="H124" s="30">
        <v>65</v>
      </c>
      <c r="I124" s="30">
        <v>49</v>
      </c>
      <c r="J124" s="30">
        <v>3</v>
      </c>
      <c r="K124" s="30">
        <v>15</v>
      </c>
      <c r="L124" s="30">
        <v>0</v>
      </c>
      <c r="M124" s="30">
        <v>2</v>
      </c>
    </row>
    <row r="125" spans="1:13">
      <c r="A125" s="30">
        <f ca="1" t="shared" si="1"/>
        <v>39</v>
      </c>
      <c r="B125" s="30">
        <f ca="1" t="array" ref="B125">INDEX(Data_DBD!$B:$B,$A125)</f>
        <v>12</v>
      </c>
      <c r="C125" s="30">
        <f ca="1" t="array" ref="C125">INDEX(Data_DBD!$C:$C,$A125)</f>
        <v>5</v>
      </c>
      <c r="D125" s="30">
        <f ca="1" t="array" ref="D125">INDEX(Data_DBD!$D:$D,$A125)</f>
        <v>13</v>
      </c>
      <c r="E125" s="30">
        <f ca="1" t="array" ref="E125">INDEX(Data_DBD!$E:$E,$A125)</f>
        <v>1</v>
      </c>
      <c r="F125" s="30">
        <f ca="1" t="array" ref="F125">INDEX(Data_DBD!$F:$F,$A125)</f>
        <v>2</v>
      </c>
      <c r="H125" s="30">
        <v>143</v>
      </c>
      <c r="I125" s="30">
        <v>20</v>
      </c>
      <c r="J125" s="30">
        <v>4</v>
      </c>
      <c r="K125" s="30">
        <v>21</v>
      </c>
      <c r="L125" s="30">
        <v>1</v>
      </c>
      <c r="M125" s="30">
        <v>3</v>
      </c>
    </row>
    <row r="126" spans="1:13">
      <c r="A126" s="30">
        <f ca="1" t="shared" si="1"/>
        <v>39</v>
      </c>
      <c r="B126" s="30">
        <f ca="1" t="array" ref="B126">INDEX(Data_DBD!$B:$B,$A126)</f>
        <v>12</v>
      </c>
      <c r="C126" s="30">
        <f ca="1" t="array" ref="C126">INDEX(Data_DBD!$C:$C,$A126)</f>
        <v>5</v>
      </c>
      <c r="D126" s="30">
        <f ca="1" t="array" ref="D126">INDEX(Data_DBD!$D:$D,$A126)</f>
        <v>13</v>
      </c>
      <c r="E126" s="30">
        <f ca="1" t="array" ref="E126">INDEX(Data_DBD!$E:$E,$A126)</f>
        <v>1</v>
      </c>
      <c r="F126" s="30">
        <f ca="1" t="array" ref="F126">INDEX(Data_DBD!$F:$F,$A126)</f>
        <v>2</v>
      </c>
      <c r="H126" s="30">
        <v>26</v>
      </c>
      <c r="I126" s="30">
        <v>75</v>
      </c>
      <c r="J126" s="30">
        <v>4</v>
      </c>
      <c r="K126" s="30">
        <v>14</v>
      </c>
      <c r="L126" s="30">
        <v>1</v>
      </c>
      <c r="M126" s="30">
        <v>2</v>
      </c>
    </row>
    <row r="127" spans="1:13">
      <c r="A127" s="30">
        <f ca="1" t="shared" si="1"/>
        <v>36</v>
      </c>
      <c r="B127" s="30">
        <f ca="1" t="array" ref="B127">INDEX(Data_DBD!$B:$B,$A127)</f>
        <v>27</v>
      </c>
      <c r="C127" s="30">
        <f ca="1" t="array" ref="C127">INDEX(Data_DBD!$C:$C,$A127)</f>
        <v>1</v>
      </c>
      <c r="D127" s="30">
        <f ca="1" t="array" ref="D127">INDEX(Data_DBD!$D:$D,$A127)</f>
        <v>4</v>
      </c>
      <c r="E127" s="30">
        <f ca="1" t="array" ref="E127">INDEX(Data_DBD!$E:$E,$A127)</f>
        <v>1</v>
      </c>
      <c r="F127" s="30">
        <f ca="1" t="array" ref="F127">INDEX(Data_DBD!$F:$F,$A127)</f>
        <v>1</v>
      </c>
      <c r="H127" s="30">
        <v>135</v>
      </c>
      <c r="I127" s="30">
        <v>10</v>
      </c>
      <c r="J127" s="30">
        <v>2</v>
      </c>
      <c r="K127" s="30">
        <v>33</v>
      </c>
      <c r="L127" s="30">
        <v>0</v>
      </c>
      <c r="M127" s="30">
        <v>3</v>
      </c>
    </row>
    <row r="128" spans="1:13">
      <c r="A128" s="30">
        <f ca="1" t="shared" si="1"/>
        <v>125</v>
      </c>
      <c r="B128" s="30">
        <f ca="1" t="array" ref="B128">INDEX(Data_DBD!$B:$B,$A128)</f>
        <v>39</v>
      </c>
      <c r="C128" s="30">
        <f ca="1" t="array" ref="C128">INDEX(Data_DBD!$C:$C,$A128)</f>
        <v>4</v>
      </c>
      <c r="D128" s="30">
        <f ca="1" t="array" ref="D128">INDEX(Data_DBD!$D:$D,$A128)</f>
        <v>33</v>
      </c>
      <c r="E128" s="30">
        <f ca="1" t="array" ref="E128">INDEX(Data_DBD!$E:$E,$A128)</f>
        <v>0</v>
      </c>
      <c r="F128" s="30">
        <f ca="1" t="array" ref="F128">INDEX(Data_DBD!$F:$F,$A128)</f>
        <v>3</v>
      </c>
      <c r="H128" s="30">
        <v>132</v>
      </c>
      <c r="I128" s="30">
        <v>10</v>
      </c>
      <c r="J128" s="30">
        <v>3</v>
      </c>
      <c r="K128" s="30">
        <v>33</v>
      </c>
      <c r="L128" s="30">
        <v>1</v>
      </c>
      <c r="M128" s="30">
        <v>3</v>
      </c>
    </row>
    <row r="129" spans="1:13">
      <c r="A129" s="30">
        <f ca="1" t="shared" si="1"/>
        <v>35</v>
      </c>
      <c r="B129" s="30">
        <f ca="1" t="array" ref="B129">INDEX(Data_DBD!$B:$B,$A129)</f>
        <v>40</v>
      </c>
      <c r="C129" s="30">
        <f ca="1" t="array" ref="C129">INDEX(Data_DBD!$C:$C,$A129)</f>
        <v>3</v>
      </c>
      <c r="D129" s="30">
        <f ca="1" t="array" ref="D129">INDEX(Data_DBD!$D:$D,$A129)</f>
        <v>4</v>
      </c>
      <c r="E129" s="30">
        <f ca="1" t="array" ref="E129">INDEX(Data_DBD!$E:$E,$A129)</f>
        <v>1</v>
      </c>
      <c r="F129" s="30">
        <f ca="1" t="array" ref="F129">INDEX(Data_DBD!$F:$F,$A129)</f>
        <v>1</v>
      </c>
      <c r="H129" s="30">
        <v>106</v>
      </c>
      <c r="I129" s="30">
        <v>23</v>
      </c>
      <c r="J129" s="30">
        <v>3</v>
      </c>
      <c r="K129" s="30">
        <v>18</v>
      </c>
      <c r="L129" s="30">
        <v>1</v>
      </c>
      <c r="M129" s="30">
        <v>3</v>
      </c>
    </row>
    <row r="130" spans="1:13">
      <c r="A130" s="30">
        <f ca="1" t="shared" si="1"/>
        <v>128</v>
      </c>
      <c r="B130" s="30">
        <f ca="1" t="array" ref="B130">INDEX(Data_DBD!$B:$B,$A130)</f>
        <v>38</v>
      </c>
      <c r="C130" s="30">
        <f ca="1" t="array" ref="C130">INDEX(Data_DBD!$C:$C,$A130)</f>
        <v>2</v>
      </c>
      <c r="D130" s="30">
        <f ca="1" t="array" ref="D130">INDEX(Data_DBD!$D:$D,$A130)</f>
        <v>33</v>
      </c>
      <c r="E130" s="30">
        <f ca="1" t="array" ref="E130">INDEX(Data_DBD!$E:$E,$A130)</f>
        <v>0</v>
      </c>
      <c r="F130" s="30">
        <f ca="1" t="array" ref="F130">INDEX(Data_DBD!$F:$F,$A130)</f>
        <v>3</v>
      </c>
      <c r="H130" s="30">
        <v>116</v>
      </c>
      <c r="I130" s="30">
        <v>32</v>
      </c>
      <c r="J130" s="30">
        <v>4</v>
      </c>
      <c r="K130" s="30">
        <v>33</v>
      </c>
      <c r="L130" s="30">
        <v>1</v>
      </c>
      <c r="M130" s="30">
        <v>3</v>
      </c>
    </row>
    <row r="131" spans="1:13">
      <c r="A131" s="30">
        <f ca="1" t="shared" ref="A131:A164" si="2">RANDBETWEEN(2,164)</f>
        <v>24</v>
      </c>
      <c r="B131" s="30">
        <f ca="1" t="array" ref="B131">INDEX(Data_DBD!$B:$B,$A131)</f>
        <v>60</v>
      </c>
      <c r="C131" s="30">
        <f ca="1" t="array" ref="C131">INDEX(Data_DBD!$C:$C,$A131)</f>
        <v>4</v>
      </c>
      <c r="D131" s="30">
        <f ca="1" t="array" ref="D131">INDEX(Data_DBD!$D:$D,$A131)</f>
        <v>14</v>
      </c>
      <c r="E131" s="30">
        <f ca="1" t="array" ref="E131">INDEX(Data_DBD!$E:$E,$A131)</f>
        <v>0</v>
      </c>
      <c r="F131" s="30">
        <f ca="1" t="array" ref="F131">INDEX(Data_DBD!$F:$F,$A131)</f>
        <v>2</v>
      </c>
      <c r="H131" s="30">
        <v>80</v>
      </c>
      <c r="I131" s="30">
        <v>27</v>
      </c>
      <c r="J131" s="30">
        <v>3</v>
      </c>
      <c r="K131" s="30">
        <v>13</v>
      </c>
      <c r="L131" s="30">
        <v>1</v>
      </c>
      <c r="M131" s="30">
        <v>2</v>
      </c>
    </row>
    <row r="132" spans="1:13">
      <c r="A132" s="30">
        <f ca="1" t="shared" si="2"/>
        <v>152</v>
      </c>
      <c r="B132" s="30">
        <f ca="1" t="array" ref="B132">INDEX(Data_DBD!$B:$B,$A132)</f>
        <v>47</v>
      </c>
      <c r="C132" s="30">
        <f ca="1" t="array" ref="C132">INDEX(Data_DBD!$C:$C,$A132)</f>
        <v>3</v>
      </c>
      <c r="D132" s="30">
        <f ca="1" t="array" ref="D132">INDEX(Data_DBD!$D:$D,$A132)</f>
        <v>21</v>
      </c>
      <c r="E132" s="30">
        <f ca="1" t="array" ref="E132">INDEX(Data_DBD!$E:$E,$A132)</f>
        <v>1</v>
      </c>
      <c r="F132" s="30">
        <f ca="1" t="array" ref="F132">INDEX(Data_DBD!$F:$F,$A132)</f>
        <v>3</v>
      </c>
      <c r="H132" s="30">
        <v>130</v>
      </c>
      <c r="I132" s="30">
        <v>12</v>
      </c>
      <c r="J132" s="30">
        <v>4</v>
      </c>
      <c r="K132" s="30">
        <v>33</v>
      </c>
      <c r="L132" s="30">
        <v>0</v>
      </c>
      <c r="M132" s="30">
        <v>3</v>
      </c>
    </row>
    <row r="133" spans="1:13">
      <c r="A133" s="30">
        <f ca="1" t="shared" si="2"/>
        <v>106</v>
      </c>
      <c r="B133" s="30">
        <f ca="1" t="array" ref="B133">INDEX(Data_DBD!$B:$B,$A133)</f>
        <v>23</v>
      </c>
      <c r="C133" s="30">
        <f ca="1" t="array" ref="C133">INDEX(Data_DBD!$C:$C,$A133)</f>
        <v>3</v>
      </c>
      <c r="D133" s="30">
        <f ca="1" t="array" ref="D133">INDEX(Data_DBD!$D:$D,$A133)</f>
        <v>18</v>
      </c>
      <c r="E133" s="30">
        <f ca="1" t="array" ref="E133">INDEX(Data_DBD!$E:$E,$A133)</f>
        <v>1</v>
      </c>
      <c r="F133" s="30">
        <f ca="1" t="array" ref="F133">INDEX(Data_DBD!$F:$F,$A133)</f>
        <v>3</v>
      </c>
      <c r="H133" s="30">
        <v>57</v>
      </c>
      <c r="I133" s="30">
        <v>2</v>
      </c>
      <c r="J133" s="30">
        <v>2</v>
      </c>
      <c r="K133" s="30">
        <v>15</v>
      </c>
      <c r="L133" s="30">
        <v>1</v>
      </c>
      <c r="M133" s="30">
        <v>2</v>
      </c>
    </row>
    <row r="134" spans="1:13">
      <c r="A134" s="30">
        <f ca="1" t="shared" si="2"/>
        <v>159</v>
      </c>
      <c r="B134" s="30">
        <f ca="1" t="array" ref="B134">INDEX(Data_DBD!$B:$B,$A134)</f>
        <v>17</v>
      </c>
      <c r="C134" s="30">
        <f ca="1" t="array" ref="C134">INDEX(Data_DBD!$C:$C,$A134)</f>
        <v>2</v>
      </c>
      <c r="D134" s="30">
        <f ca="1" t="array" ref="D134">INDEX(Data_DBD!$D:$D,$A134)</f>
        <v>21</v>
      </c>
      <c r="E134" s="30">
        <f ca="1" t="array" ref="E134">INDEX(Data_DBD!$E:$E,$A134)</f>
        <v>0</v>
      </c>
      <c r="F134" s="30">
        <f ca="1" t="array" ref="F134">INDEX(Data_DBD!$F:$F,$A134)</f>
        <v>3</v>
      </c>
      <c r="H134" s="30">
        <v>4</v>
      </c>
      <c r="I134" s="30">
        <v>23</v>
      </c>
      <c r="J134" s="30">
        <v>5</v>
      </c>
      <c r="K134" s="30">
        <v>12</v>
      </c>
      <c r="L134" s="30">
        <v>0</v>
      </c>
      <c r="M134" s="30">
        <v>2</v>
      </c>
    </row>
    <row r="135" spans="1:13">
      <c r="A135" s="30">
        <f ca="1" t="shared" si="2"/>
        <v>46</v>
      </c>
      <c r="B135" s="30">
        <f ca="1" t="array" ref="B135">INDEX(Data_DBD!$B:$B,$A135)</f>
        <v>62</v>
      </c>
      <c r="C135" s="30">
        <f ca="1" t="array" ref="C135">INDEX(Data_DBD!$C:$C,$A135)</f>
        <v>2</v>
      </c>
      <c r="D135" s="30">
        <f ca="1" t="array" ref="D135">INDEX(Data_DBD!$D:$D,$A135)</f>
        <v>13</v>
      </c>
      <c r="E135" s="30">
        <f ca="1" t="array" ref="E135">INDEX(Data_DBD!$E:$E,$A135)</f>
        <v>0</v>
      </c>
      <c r="F135" s="30">
        <f ca="1" t="array" ref="F135">INDEX(Data_DBD!$F:$F,$A135)</f>
        <v>2</v>
      </c>
      <c r="H135" s="30">
        <v>62</v>
      </c>
      <c r="I135" s="30">
        <v>43</v>
      </c>
      <c r="J135" s="30">
        <v>4</v>
      </c>
      <c r="K135" s="30">
        <v>15</v>
      </c>
      <c r="L135" s="30">
        <v>1</v>
      </c>
      <c r="M135" s="30">
        <v>2</v>
      </c>
    </row>
    <row r="136" spans="1:13">
      <c r="A136" s="30">
        <f ca="1" t="shared" si="2"/>
        <v>111</v>
      </c>
      <c r="B136" s="30">
        <f ca="1" t="array" ref="B136">INDEX(Data_DBD!$B:$B,$A136)</f>
        <v>25</v>
      </c>
      <c r="C136" s="30">
        <f ca="1" t="array" ref="C136">INDEX(Data_DBD!$C:$C,$A136)</f>
        <v>4</v>
      </c>
      <c r="D136" s="30">
        <f ca="1" t="array" ref="D136">INDEX(Data_DBD!$D:$D,$A136)</f>
        <v>33</v>
      </c>
      <c r="E136" s="30">
        <f ca="1" t="array" ref="E136">INDEX(Data_DBD!$E:$E,$A136)</f>
        <v>0</v>
      </c>
      <c r="F136" s="30">
        <f ca="1" t="array" ref="F136">INDEX(Data_DBD!$F:$F,$A136)</f>
        <v>3</v>
      </c>
      <c r="H136" s="30">
        <v>65</v>
      </c>
      <c r="I136" s="30">
        <v>49</v>
      </c>
      <c r="J136" s="30">
        <v>3</v>
      </c>
      <c r="K136" s="30">
        <v>15</v>
      </c>
      <c r="L136" s="30">
        <v>0</v>
      </c>
      <c r="M136" s="30">
        <v>2</v>
      </c>
    </row>
    <row r="137" spans="1:13">
      <c r="A137" s="30">
        <f ca="1" t="shared" si="2"/>
        <v>123</v>
      </c>
      <c r="B137" s="30">
        <f ca="1" t="array" ref="B137">INDEX(Data_DBD!$B:$B,$A137)</f>
        <v>22</v>
      </c>
      <c r="C137" s="30">
        <f ca="1" t="array" ref="C137">INDEX(Data_DBD!$C:$C,$A137)</f>
        <v>4</v>
      </c>
      <c r="D137" s="30">
        <f ca="1" t="array" ref="D137">INDEX(Data_DBD!$D:$D,$A137)</f>
        <v>33</v>
      </c>
      <c r="E137" s="30">
        <f ca="1" t="array" ref="E137">INDEX(Data_DBD!$E:$E,$A137)</f>
        <v>0</v>
      </c>
      <c r="F137" s="30">
        <f ca="1" t="array" ref="F137">INDEX(Data_DBD!$F:$F,$A137)</f>
        <v>3</v>
      </c>
      <c r="H137" s="30">
        <v>85</v>
      </c>
      <c r="I137" s="30">
        <v>27</v>
      </c>
      <c r="J137" s="30">
        <v>9</v>
      </c>
      <c r="K137" s="30">
        <v>13</v>
      </c>
      <c r="L137" s="30">
        <v>0</v>
      </c>
      <c r="M137" s="30">
        <v>2</v>
      </c>
    </row>
    <row r="138" spans="1:13">
      <c r="A138" s="30">
        <f ca="1" t="shared" si="2"/>
        <v>39</v>
      </c>
      <c r="B138" s="30">
        <f ca="1" t="array" ref="B138">INDEX(Data_DBD!$B:$B,$A138)</f>
        <v>12</v>
      </c>
      <c r="C138" s="30">
        <f ca="1" t="array" ref="C138">INDEX(Data_DBD!$C:$C,$A138)</f>
        <v>5</v>
      </c>
      <c r="D138" s="30">
        <f ca="1" t="array" ref="D138">INDEX(Data_DBD!$D:$D,$A138)</f>
        <v>13</v>
      </c>
      <c r="E138" s="30">
        <f ca="1" t="array" ref="E138">INDEX(Data_DBD!$E:$E,$A138)</f>
        <v>1</v>
      </c>
      <c r="F138" s="30">
        <f ca="1" t="array" ref="F138">INDEX(Data_DBD!$F:$F,$A138)</f>
        <v>2</v>
      </c>
      <c r="H138" s="30">
        <v>87</v>
      </c>
      <c r="I138" s="30">
        <v>21</v>
      </c>
      <c r="J138" s="30">
        <v>3</v>
      </c>
      <c r="K138" s="30">
        <v>13</v>
      </c>
      <c r="L138" s="30">
        <v>0</v>
      </c>
      <c r="M138" s="30">
        <v>2</v>
      </c>
    </row>
    <row r="139" spans="1:13">
      <c r="A139" s="30">
        <f ca="1" t="shared" si="2"/>
        <v>5</v>
      </c>
      <c r="B139" s="30">
        <f ca="1" t="array" ref="B139">INDEX(Data_DBD!$B:$B,$A139)</f>
        <v>18</v>
      </c>
      <c r="C139" s="30">
        <f ca="1" t="array" ref="C139">INDEX(Data_DBD!$C:$C,$A139)</f>
        <v>2</v>
      </c>
      <c r="D139" s="30">
        <f ca="1" t="array" ref="D139">INDEX(Data_DBD!$D:$D,$A139)</f>
        <v>12</v>
      </c>
      <c r="E139" s="30">
        <f ca="1" t="array" ref="E139">INDEX(Data_DBD!$E:$E,$A139)</f>
        <v>1</v>
      </c>
      <c r="F139" s="30">
        <f ca="1" t="array" ref="F139">INDEX(Data_DBD!$F:$F,$A139)</f>
        <v>2</v>
      </c>
      <c r="H139" s="30">
        <v>46</v>
      </c>
      <c r="I139" s="30">
        <v>62</v>
      </c>
      <c r="J139" s="30">
        <v>2</v>
      </c>
      <c r="K139" s="30">
        <v>13</v>
      </c>
      <c r="L139" s="30">
        <v>0</v>
      </c>
      <c r="M139" s="30">
        <v>2</v>
      </c>
    </row>
    <row r="140" spans="1:13">
      <c r="A140" s="30">
        <f ca="1" t="shared" si="2"/>
        <v>36</v>
      </c>
      <c r="B140" s="30">
        <f ca="1" t="array" ref="B140">INDEX(Data_DBD!$B:$B,$A140)</f>
        <v>27</v>
      </c>
      <c r="C140" s="30">
        <f ca="1" t="array" ref="C140">INDEX(Data_DBD!$C:$C,$A140)</f>
        <v>1</v>
      </c>
      <c r="D140" s="30">
        <f ca="1" t="array" ref="D140">INDEX(Data_DBD!$D:$D,$A140)</f>
        <v>4</v>
      </c>
      <c r="E140" s="30">
        <f ca="1" t="array" ref="E140">INDEX(Data_DBD!$E:$E,$A140)</f>
        <v>1</v>
      </c>
      <c r="F140" s="30">
        <f ca="1" t="array" ref="F140">INDEX(Data_DBD!$F:$F,$A140)</f>
        <v>1</v>
      </c>
      <c r="H140" s="30">
        <v>91</v>
      </c>
      <c r="I140" s="30">
        <v>35</v>
      </c>
      <c r="J140" s="30">
        <v>1</v>
      </c>
      <c r="K140" s="30">
        <v>18</v>
      </c>
      <c r="L140" s="30">
        <v>1</v>
      </c>
      <c r="M140" s="30">
        <v>3</v>
      </c>
    </row>
    <row r="141" spans="1:13">
      <c r="A141" s="30">
        <f ca="1" t="shared" si="2"/>
        <v>111</v>
      </c>
      <c r="B141" s="30">
        <f ca="1" t="array" ref="B141">INDEX(Data_DBD!$B:$B,$A141)</f>
        <v>25</v>
      </c>
      <c r="C141" s="30">
        <f ca="1" t="array" ref="C141">INDEX(Data_DBD!$C:$C,$A141)</f>
        <v>4</v>
      </c>
      <c r="D141" s="30">
        <f ca="1" t="array" ref="D141">INDEX(Data_DBD!$D:$D,$A141)</f>
        <v>33</v>
      </c>
      <c r="E141" s="30">
        <f ca="1" t="array" ref="E141">INDEX(Data_DBD!$E:$E,$A141)</f>
        <v>0</v>
      </c>
      <c r="F141" s="30">
        <f ca="1" t="array" ref="F141">INDEX(Data_DBD!$F:$F,$A141)</f>
        <v>3</v>
      </c>
      <c r="H141" s="30">
        <v>24</v>
      </c>
      <c r="I141" s="30">
        <v>60</v>
      </c>
      <c r="J141" s="30">
        <v>4</v>
      </c>
      <c r="K141" s="30">
        <v>14</v>
      </c>
      <c r="L141" s="30">
        <v>0</v>
      </c>
      <c r="M141" s="30">
        <v>2</v>
      </c>
    </row>
    <row r="142" spans="1:13">
      <c r="A142" s="30">
        <f ca="1" t="shared" si="2"/>
        <v>14</v>
      </c>
      <c r="B142" s="30">
        <f ca="1" t="array" ref="B142">INDEX(Data_DBD!$B:$B,$A142)</f>
        <v>49</v>
      </c>
      <c r="C142" s="30">
        <f ca="1" t="array" ref="C142">INDEX(Data_DBD!$C:$C,$A142)</f>
        <v>4</v>
      </c>
      <c r="D142" s="30">
        <f ca="1" t="array" ref="D142">INDEX(Data_DBD!$D:$D,$A142)</f>
        <v>7</v>
      </c>
      <c r="E142" s="30">
        <f ca="1" t="array" ref="E142">INDEX(Data_DBD!$E:$E,$A142)</f>
        <v>1</v>
      </c>
      <c r="F142" s="30">
        <f ca="1" t="array" ref="F142">INDEX(Data_DBD!$F:$F,$A142)</f>
        <v>1</v>
      </c>
      <c r="H142" s="30">
        <v>45</v>
      </c>
      <c r="I142" s="30">
        <v>75</v>
      </c>
      <c r="J142" s="30">
        <v>3</v>
      </c>
      <c r="K142" s="30">
        <v>13</v>
      </c>
      <c r="L142" s="30">
        <v>1</v>
      </c>
      <c r="M142" s="30">
        <v>2</v>
      </c>
    </row>
    <row r="143" spans="1:13">
      <c r="A143" s="30">
        <f ca="1" t="shared" si="2"/>
        <v>73</v>
      </c>
      <c r="B143" s="30">
        <f ca="1" t="array" ref="B143">INDEX(Data_DBD!$B:$B,$A143)</f>
        <v>15</v>
      </c>
      <c r="C143" s="30">
        <f ca="1" t="array" ref="C143">INDEX(Data_DBD!$C:$C,$A143)</f>
        <v>3</v>
      </c>
      <c r="D143" s="30">
        <f ca="1" t="array" ref="D143">INDEX(Data_DBD!$D:$D,$A143)</f>
        <v>10</v>
      </c>
      <c r="E143" s="30">
        <f ca="1" t="array" ref="E143">INDEX(Data_DBD!$E:$E,$A143)</f>
        <v>1</v>
      </c>
      <c r="F143" s="30">
        <f ca="1" t="array" ref="F143">INDEX(Data_DBD!$F:$F,$A143)</f>
        <v>2</v>
      </c>
      <c r="H143" s="30">
        <v>16</v>
      </c>
      <c r="I143" s="30">
        <v>66</v>
      </c>
      <c r="J143" s="30">
        <v>5</v>
      </c>
      <c r="K143" s="30">
        <v>7</v>
      </c>
      <c r="L143" s="30">
        <v>1</v>
      </c>
      <c r="M143" s="30">
        <v>1</v>
      </c>
    </row>
    <row r="144" spans="1:13">
      <c r="A144" s="30">
        <f ca="1" t="shared" si="2"/>
        <v>161</v>
      </c>
      <c r="B144" s="30">
        <f ca="1" t="array" ref="B144">INDEX(Data_DBD!$B:$B,$A144)</f>
        <v>12</v>
      </c>
      <c r="C144" s="30">
        <f ca="1" t="array" ref="C144">INDEX(Data_DBD!$C:$C,$A144)</f>
        <v>3</v>
      </c>
      <c r="D144" s="30">
        <f ca="1" t="array" ref="D144">INDEX(Data_DBD!$D:$D,$A144)</f>
        <v>21</v>
      </c>
      <c r="E144" s="30">
        <f ca="1" t="array" ref="E144">INDEX(Data_DBD!$E:$E,$A144)</f>
        <v>1</v>
      </c>
      <c r="F144" s="30">
        <f ca="1" t="array" ref="F144">INDEX(Data_DBD!$F:$F,$A144)</f>
        <v>3</v>
      </c>
      <c r="H144" s="30">
        <v>135</v>
      </c>
      <c r="I144" s="30">
        <v>10</v>
      </c>
      <c r="J144" s="30">
        <v>2</v>
      </c>
      <c r="K144" s="30">
        <v>33</v>
      </c>
      <c r="L144" s="30">
        <v>0</v>
      </c>
      <c r="M144" s="30">
        <v>3</v>
      </c>
    </row>
    <row r="145" spans="1:13">
      <c r="A145" s="30">
        <f ca="1" t="shared" si="2"/>
        <v>153</v>
      </c>
      <c r="B145" s="30">
        <f ca="1" t="array" ref="B145">INDEX(Data_DBD!$B:$B,$A145)</f>
        <v>73</v>
      </c>
      <c r="C145" s="30">
        <f ca="1" t="array" ref="C145">INDEX(Data_DBD!$C:$C,$A145)</f>
        <v>7</v>
      </c>
      <c r="D145" s="30">
        <f ca="1" t="array" ref="D145">INDEX(Data_DBD!$D:$D,$A145)</f>
        <v>21</v>
      </c>
      <c r="E145" s="30">
        <f ca="1" t="array" ref="E145">INDEX(Data_DBD!$E:$E,$A145)</f>
        <v>1</v>
      </c>
      <c r="F145" s="30">
        <f ca="1" t="array" ref="F145">INDEX(Data_DBD!$F:$F,$A145)</f>
        <v>3</v>
      </c>
      <c r="H145" s="30">
        <v>15</v>
      </c>
      <c r="I145" s="30">
        <v>21</v>
      </c>
      <c r="J145" s="30">
        <v>2</v>
      </c>
      <c r="K145" s="30">
        <v>7</v>
      </c>
      <c r="L145" s="30">
        <v>0</v>
      </c>
      <c r="M145" s="30">
        <v>1</v>
      </c>
    </row>
    <row r="146" spans="1:13">
      <c r="A146" s="30">
        <f ca="1" t="shared" si="2"/>
        <v>114</v>
      </c>
      <c r="B146" s="30">
        <f ca="1" t="array" ref="B146">INDEX(Data_DBD!$B:$B,$A146)</f>
        <v>14</v>
      </c>
      <c r="C146" s="30">
        <f ca="1" t="array" ref="C146">INDEX(Data_DBD!$C:$C,$A146)</f>
        <v>2</v>
      </c>
      <c r="D146" s="30">
        <f ca="1" t="array" ref="D146">INDEX(Data_DBD!$D:$D,$A146)</f>
        <v>33</v>
      </c>
      <c r="E146" s="30">
        <f ca="1" t="array" ref="E146">INDEX(Data_DBD!$E:$E,$A146)</f>
        <v>1</v>
      </c>
      <c r="F146" s="30">
        <f ca="1" t="array" ref="F146">INDEX(Data_DBD!$F:$F,$A146)</f>
        <v>3</v>
      </c>
      <c r="H146" s="30">
        <v>14</v>
      </c>
      <c r="I146" s="30">
        <v>49</v>
      </c>
      <c r="J146" s="30">
        <v>4</v>
      </c>
      <c r="K146" s="30">
        <v>7</v>
      </c>
      <c r="L146" s="30">
        <v>1</v>
      </c>
      <c r="M146" s="30">
        <v>1</v>
      </c>
    </row>
    <row r="147" spans="1:13">
      <c r="A147" s="30">
        <f ca="1" t="shared" si="2"/>
        <v>44</v>
      </c>
      <c r="B147" s="30">
        <f ca="1" t="array" ref="B147">INDEX(Data_DBD!$B:$B,$A147)</f>
        <v>28</v>
      </c>
      <c r="C147" s="30">
        <f ca="1" t="array" ref="C147">INDEX(Data_DBD!$C:$C,$A147)</f>
        <v>5</v>
      </c>
      <c r="D147" s="30">
        <f ca="1" t="array" ref="D147">INDEX(Data_DBD!$D:$D,$A147)</f>
        <v>13</v>
      </c>
      <c r="E147" s="30">
        <f ca="1" t="array" ref="E147">INDEX(Data_DBD!$E:$E,$A147)</f>
        <v>1</v>
      </c>
      <c r="F147" s="30">
        <f ca="1" t="array" ref="F147">INDEX(Data_DBD!$F:$F,$A147)</f>
        <v>2</v>
      </c>
      <c r="H147" s="30">
        <v>48</v>
      </c>
      <c r="I147" s="30">
        <v>50</v>
      </c>
      <c r="J147" s="30">
        <v>5</v>
      </c>
      <c r="K147" s="30">
        <v>13</v>
      </c>
      <c r="L147" s="30">
        <v>1</v>
      </c>
      <c r="M147" s="30">
        <v>2</v>
      </c>
    </row>
    <row r="148" spans="1:13">
      <c r="A148" s="30">
        <f ca="1" t="shared" si="2"/>
        <v>86</v>
      </c>
      <c r="B148" s="30">
        <f ca="1" t="array" ref="B148">INDEX(Data_DBD!$B:$B,$A148)</f>
        <v>23</v>
      </c>
      <c r="C148" s="30">
        <f ca="1" t="array" ref="C148">INDEX(Data_DBD!$C:$C,$A148)</f>
        <v>3</v>
      </c>
      <c r="D148" s="30">
        <f ca="1" t="array" ref="D148">INDEX(Data_DBD!$D:$D,$A148)</f>
        <v>13</v>
      </c>
      <c r="E148" s="30">
        <f ca="1" t="array" ref="E148">INDEX(Data_DBD!$E:$E,$A148)</f>
        <v>0</v>
      </c>
      <c r="F148" s="30">
        <f ca="1" t="array" ref="F148">INDEX(Data_DBD!$F:$F,$A148)</f>
        <v>2</v>
      </c>
      <c r="H148" s="30">
        <v>137</v>
      </c>
      <c r="I148" s="30">
        <v>3.5</v>
      </c>
      <c r="J148" s="30">
        <v>1</v>
      </c>
      <c r="K148" s="30">
        <v>33</v>
      </c>
      <c r="L148" s="30">
        <v>1</v>
      </c>
      <c r="M148" s="30">
        <v>3</v>
      </c>
    </row>
    <row r="149" spans="1:13">
      <c r="A149" s="30">
        <f ca="1" t="shared" si="2"/>
        <v>109</v>
      </c>
      <c r="B149" s="30">
        <f ca="1" t="array" ref="B149">INDEX(Data_DBD!$B:$B,$A149)</f>
        <v>40</v>
      </c>
      <c r="C149" s="30">
        <f ca="1" t="array" ref="C149">INDEX(Data_DBD!$C:$C,$A149)</f>
        <v>3</v>
      </c>
      <c r="D149" s="30">
        <f ca="1" t="array" ref="D149">INDEX(Data_DBD!$D:$D,$A149)</f>
        <v>33</v>
      </c>
      <c r="E149" s="30">
        <f ca="1" t="array" ref="E149">INDEX(Data_DBD!$E:$E,$A149)</f>
        <v>1</v>
      </c>
      <c r="F149" s="30">
        <f ca="1" t="array" ref="F149">INDEX(Data_DBD!$F:$F,$A149)</f>
        <v>3</v>
      </c>
      <c r="H149" s="30">
        <v>49</v>
      </c>
      <c r="I149" s="30">
        <v>64</v>
      </c>
      <c r="J149" s="30">
        <v>5</v>
      </c>
      <c r="K149" s="30">
        <v>13</v>
      </c>
      <c r="L149" s="30">
        <v>0</v>
      </c>
      <c r="M149" s="30">
        <v>2</v>
      </c>
    </row>
    <row r="150" spans="1:13">
      <c r="A150" s="30">
        <f ca="1" t="shared" si="2"/>
        <v>148</v>
      </c>
      <c r="B150" s="30">
        <f ca="1" t="array" ref="B150">INDEX(Data_DBD!$B:$B,$A150)</f>
        <v>55</v>
      </c>
      <c r="C150" s="30">
        <f ca="1" t="array" ref="C150">INDEX(Data_DBD!$C:$C,$A150)</f>
        <v>3</v>
      </c>
      <c r="D150" s="30">
        <f ca="1" t="array" ref="D150">INDEX(Data_DBD!$D:$D,$A150)</f>
        <v>21</v>
      </c>
      <c r="E150" s="30">
        <f ca="1" t="array" ref="E150">INDEX(Data_DBD!$E:$E,$A150)</f>
        <v>1</v>
      </c>
      <c r="F150" s="30">
        <f ca="1" t="array" ref="F150">INDEX(Data_DBD!$F:$F,$A150)</f>
        <v>3</v>
      </c>
      <c r="H150" s="30">
        <v>158</v>
      </c>
      <c r="I150" s="30">
        <v>5</v>
      </c>
      <c r="J150" s="30">
        <v>2</v>
      </c>
      <c r="K150" s="30">
        <v>21</v>
      </c>
      <c r="L150" s="30">
        <v>0</v>
      </c>
      <c r="M150" s="30">
        <v>3</v>
      </c>
    </row>
    <row r="151" spans="1:13">
      <c r="A151" s="30">
        <f ca="1" t="shared" si="2"/>
        <v>152</v>
      </c>
      <c r="B151" s="30">
        <f ca="1" t="array" ref="B151">INDEX(Data_DBD!$B:$B,$A151)</f>
        <v>47</v>
      </c>
      <c r="C151" s="30">
        <f ca="1" t="array" ref="C151">INDEX(Data_DBD!$C:$C,$A151)</f>
        <v>3</v>
      </c>
      <c r="D151" s="30">
        <f ca="1" t="array" ref="D151">INDEX(Data_DBD!$D:$D,$A151)</f>
        <v>21</v>
      </c>
      <c r="E151" s="30">
        <f ca="1" t="array" ref="E151">INDEX(Data_DBD!$E:$E,$A151)</f>
        <v>1</v>
      </c>
      <c r="F151" s="30">
        <f ca="1" t="array" ref="F151">INDEX(Data_DBD!$F:$F,$A151)</f>
        <v>3</v>
      </c>
      <c r="H151" s="30">
        <v>96</v>
      </c>
      <c r="I151" s="30">
        <v>56</v>
      </c>
      <c r="J151" s="30">
        <v>4</v>
      </c>
      <c r="K151" s="30">
        <v>18</v>
      </c>
      <c r="L151" s="30">
        <v>0</v>
      </c>
      <c r="M151" s="30">
        <v>3</v>
      </c>
    </row>
    <row r="152" spans="1:13">
      <c r="A152" s="30">
        <f ca="1" t="shared" si="2"/>
        <v>16</v>
      </c>
      <c r="B152" s="30">
        <f ca="1" t="array" ref="B152">INDEX(Data_DBD!$B:$B,$A152)</f>
        <v>66</v>
      </c>
      <c r="C152" s="30">
        <f ca="1" t="array" ref="C152">INDEX(Data_DBD!$C:$C,$A152)</f>
        <v>5</v>
      </c>
      <c r="D152" s="30">
        <f ca="1" t="array" ref="D152">INDEX(Data_DBD!$D:$D,$A152)</f>
        <v>7</v>
      </c>
      <c r="E152" s="30">
        <f ca="1" t="array" ref="E152">INDEX(Data_DBD!$E:$E,$A152)</f>
        <v>1</v>
      </c>
      <c r="F152" s="30">
        <f ca="1" t="array" ref="F152">INDEX(Data_DBD!$F:$F,$A152)</f>
        <v>1</v>
      </c>
      <c r="H152" s="30">
        <v>23</v>
      </c>
      <c r="I152" s="30">
        <v>28</v>
      </c>
      <c r="J152" s="30">
        <v>4</v>
      </c>
      <c r="K152" s="30">
        <v>14</v>
      </c>
      <c r="L152" s="30">
        <v>1</v>
      </c>
      <c r="M152" s="30">
        <v>2</v>
      </c>
    </row>
    <row r="153" spans="1:13">
      <c r="A153" s="30">
        <f ca="1" t="shared" si="2"/>
        <v>83</v>
      </c>
      <c r="B153" s="30">
        <f ca="1" t="array" ref="B153">INDEX(Data_DBD!$B:$B,$A153)</f>
        <v>50</v>
      </c>
      <c r="C153" s="30">
        <f ca="1" t="array" ref="C153">INDEX(Data_DBD!$C:$C,$A153)</f>
        <v>3</v>
      </c>
      <c r="D153" s="30">
        <f ca="1" t="array" ref="D153">INDEX(Data_DBD!$D:$D,$A153)</f>
        <v>13</v>
      </c>
      <c r="E153" s="30">
        <f ca="1" t="array" ref="E153">INDEX(Data_DBD!$E:$E,$A153)</f>
        <v>0</v>
      </c>
      <c r="F153" s="30">
        <f ca="1" t="array" ref="F153">INDEX(Data_DBD!$F:$F,$A153)</f>
        <v>2</v>
      </c>
      <c r="H153" s="30">
        <v>76</v>
      </c>
      <c r="I153" s="30">
        <v>70</v>
      </c>
      <c r="J153" s="30">
        <v>2</v>
      </c>
      <c r="K153" s="30">
        <v>10</v>
      </c>
      <c r="L153" s="30">
        <v>0</v>
      </c>
      <c r="M153" s="30">
        <v>2</v>
      </c>
    </row>
    <row r="154" spans="1:13">
      <c r="A154" s="30">
        <f ca="1" t="shared" si="2"/>
        <v>11</v>
      </c>
      <c r="B154" s="30">
        <f ca="1" t="array" ref="B154">INDEX(Data_DBD!$B:$B,$A154)</f>
        <v>24</v>
      </c>
      <c r="C154" s="30">
        <f ca="1" t="array" ref="C154">INDEX(Data_DBD!$C:$C,$A154)</f>
        <v>5</v>
      </c>
      <c r="D154" s="30">
        <f ca="1" t="array" ref="D154">INDEX(Data_DBD!$D:$D,$A154)</f>
        <v>12</v>
      </c>
      <c r="E154" s="30">
        <f ca="1" t="array" ref="E154">INDEX(Data_DBD!$E:$E,$A154)</f>
        <v>1</v>
      </c>
      <c r="F154" s="30">
        <f ca="1" t="array" ref="F154">INDEX(Data_DBD!$F:$F,$A154)</f>
        <v>2</v>
      </c>
      <c r="H154" s="30">
        <v>129</v>
      </c>
      <c r="I154" s="30">
        <v>4.5</v>
      </c>
      <c r="J154" s="30">
        <v>3</v>
      </c>
      <c r="K154" s="30">
        <v>33</v>
      </c>
      <c r="L154" s="30">
        <v>0</v>
      </c>
      <c r="M154" s="30">
        <v>3</v>
      </c>
    </row>
    <row r="155" spans="1:13">
      <c r="A155" s="30">
        <f ca="1" t="shared" si="2"/>
        <v>35</v>
      </c>
      <c r="B155" s="30">
        <f ca="1" t="array" ref="B155">INDEX(Data_DBD!$B:$B,$A155)</f>
        <v>40</v>
      </c>
      <c r="C155" s="30">
        <f ca="1" t="array" ref="C155">INDEX(Data_DBD!$C:$C,$A155)</f>
        <v>3</v>
      </c>
      <c r="D155" s="30">
        <f ca="1" t="array" ref="D155">INDEX(Data_DBD!$D:$D,$A155)</f>
        <v>4</v>
      </c>
      <c r="E155" s="30">
        <f ca="1" t="array" ref="E155">INDEX(Data_DBD!$E:$E,$A155)</f>
        <v>1</v>
      </c>
      <c r="F155" s="30">
        <f ca="1" t="array" ref="F155">INDEX(Data_DBD!$F:$F,$A155)</f>
        <v>1</v>
      </c>
      <c r="H155" s="30">
        <v>13</v>
      </c>
      <c r="I155" s="30">
        <v>47</v>
      </c>
      <c r="J155" s="30">
        <v>2</v>
      </c>
      <c r="K155" s="30">
        <v>12</v>
      </c>
      <c r="L155" s="30">
        <v>0</v>
      </c>
      <c r="M155" s="30">
        <v>2</v>
      </c>
    </row>
    <row r="156" spans="1:13">
      <c r="A156" s="30">
        <f ca="1" t="shared" si="2"/>
        <v>29</v>
      </c>
      <c r="B156" s="30">
        <f ca="1" t="array" ref="B156">INDEX(Data_DBD!$B:$B,$A156)</f>
        <v>19</v>
      </c>
      <c r="C156" s="30">
        <f ca="1" t="array" ref="C156">INDEX(Data_DBD!$C:$C,$A156)</f>
        <v>2</v>
      </c>
      <c r="D156" s="30">
        <f ca="1" t="array" ref="D156">INDEX(Data_DBD!$D:$D,$A156)</f>
        <v>14</v>
      </c>
      <c r="E156" s="30">
        <f ca="1" t="array" ref="E156">INDEX(Data_DBD!$E:$E,$A156)</f>
        <v>1</v>
      </c>
      <c r="F156" s="30">
        <f ca="1" t="array" ref="F156">INDEX(Data_DBD!$F:$F,$A156)</f>
        <v>2</v>
      </c>
      <c r="H156" s="30">
        <v>15</v>
      </c>
      <c r="I156" s="30">
        <v>21</v>
      </c>
      <c r="J156" s="30">
        <v>2</v>
      </c>
      <c r="K156" s="30">
        <v>7</v>
      </c>
      <c r="L156" s="30">
        <v>0</v>
      </c>
      <c r="M156" s="30">
        <v>1</v>
      </c>
    </row>
    <row r="157" spans="1:13">
      <c r="A157" s="30">
        <f ca="1" t="shared" si="2"/>
        <v>30</v>
      </c>
      <c r="B157" s="30" t="str">
        <f ca="1" t="array" ref="B157">INDEX(Data_DBD!$B:$B,$A157)</f>
        <v>2,8</v>
      </c>
      <c r="C157" s="30">
        <f ca="1" t="array" ref="C157">INDEX(Data_DBD!$C:$C,$A157)</f>
        <v>2</v>
      </c>
      <c r="D157" s="30">
        <f ca="1" t="array" ref="D157">INDEX(Data_DBD!$D:$D,$A157)</f>
        <v>14</v>
      </c>
      <c r="E157" s="30">
        <f ca="1" t="array" ref="E157">INDEX(Data_DBD!$E:$E,$A157)</f>
        <v>1</v>
      </c>
      <c r="F157" s="30">
        <f ca="1" t="array" ref="F157">INDEX(Data_DBD!$F:$F,$A157)</f>
        <v>2</v>
      </c>
      <c r="H157" s="30">
        <v>68</v>
      </c>
      <c r="I157" s="30">
        <v>44</v>
      </c>
      <c r="J157" s="30">
        <v>5</v>
      </c>
      <c r="K157" s="30">
        <v>10</v>
      </c>
      <c r="L157" s="30">
        <v>0</v>
      </c>
      <c r="M157" s="30">
        <v>2</v>
      </c>
    </row>
    <row r="158" ht="15.75" spans="1:13">
      <c r="A158" s="30">
        <f ca="1" t="shared" si="2"/>
        <v>28</v>
      </c>
      <c r="B158" s="30">
        <f ca="1" t="array" ref="B158">INDEX(Data_DBD!$B:$B,$A158)</f>
        <v>22</v>
      </c>
      <c r="C158" s="30">
        <f ca="1" t="array" ref="C158">INDEX(Data_DBD!$C:$C,$A158)</f>
        <v>2</v>
      </c>
      <c r="D158" s="30">
        <f ca="1" t="array" ref="D158">INDEX(Data_DBD!$D:$D,$A158)</f>
        <v>14</v>
      </c>
      <c r="E158" s="30">
        <f ca="1" t="array" ref="E158">INDEX(Data_DBD!$E:$E,$A158)</f>
        <v>1</v>
      </c>
      <c r="F158" s="30">
        <f ca="1" t="array" ref="F158">INDEX(Data_DBD!$F:$F,$A158)</f>
        <v>2</v>
      </c>
      <c r="H158" s="30">
        <v>103</v>
      </c>
      <c r="I158" s="30">
        <v>22</v>
      </c>
      <c r="J158" s="30">
        <v>5</v>
      </c>
      <c r="K158" s="30">
        <v>18</v>
      </c>
      <c r="L158" s="38">
        <v>0</v>
      </c>
      <c r="M158" s="30">
        <v>3</v>
      </c>
    </row>
    <row r="159" ht="15.75" spans="1:13">
      <c r="A159" s="30">
        <f ca="1" t="shared" si="2"/>
        <v>149</v>
      </c>
      <c r="B159" s="30">
        <f ca="1" t="array" ref="B159">INDEX(Data_DBD!$B:$B,$A159)</f>
        <v>19</v>
      </c>
      <c r="C159" s="30">
        <f ca="1" t="array" ref="C159">INDEX(Data_DBD!$C:$C,$A159)</f>
        <v>5</v>
      </c>
      <c r="D159" s="30">
        <f ca="1" t="array" ref="D159">INDEX(Data_DBD!$D:$D,$A159)</f>
        <v>21</v>
      </c>
      <c r="E159" s="30">
        <f ca="1" t="array" ref="E159">INDEX(Data_DBD!$E:$E,$A159)</f>
        <v>0</v>
      </c>
      <c r="F159" s="30">
        <f ca="1" t="array" ref="F159">INDEX(Data_DBD!$F:$F,$A159)</f>
        <v>3</v>
      </c>
      <c r="H159" s="30">
        <v>134</v>
      </c>
      <c r="I159" s="30">
        <v>4</v>
      </c>
      <c r="J159" s="30">
        <v>2</v>
      </c>
      <c r="K159" s="30">
        <v>33</v>
      </c>
      <c r="L159" s="39">
        <v>1</v>
      </c>
      <c r="M159" s="30">
        <v>3</v>
      </c>
    </row>
    <row r="160" ht="15.75" spans="1:13">
      <c r="A160" s="30">
        <f ca="1" t="shared" si="2"/>
        <v>44</v>
      </c>
      <c r="B160" s="30">
        <f ca="1" t="array" ref="B160">INDEX(Data_DBD!$B:$B,$A160)</f>
        <v>28</v>
      </c>
      <c r="C160" s="30">
        <f ca="1" t="array" ref="C160">INDEX(Data_DBD!$C:$C,$A160)</f>
        <v>5</v>
      </c>
      <c r="D160" s="30">
        <f ca="1" t="array" ref="D160">INDEX(Data_DBD!$D:$D,$A160)</f>
        <v>13</v>
      </c>
      <c r="E160" s="30">
        <f ca="1" t="array" ref="E160">INDEX(Data_DBD!$E:$E,$A160)</f>
        <v>1</v>
      </c>
      <c r="F160" s="30">
        <f ca="1" t="array" ref="F160">INDEX(Data_DBD!$F:$F,$A160)</f>
        <v>2</v>
      </c>
      <c r="H160" s="30">
        <v>102</v>
      </c>
      <c r="I160" s="30">
        <v>41</v>
      </c>
      <c r="J160" s="30">
        <v>4</v>
      </c>
      <c r="K160" s="30">
        <v>18</v>
      </c>
      <c r="L160" s="40">
        <v>0</v>
      </c>
      <c r="M160" s="30">
        <v>3</v>
      </c>
    </row>
    <row r="161" ht="15.75" spans="1:13">
      <c r="A161" s="30">
        <f ca="1" t="shared" si="2"/>
        <v>5</v>
      </c>
      <c r="B161" s="30">
        <f ca="1" t="array" ref="B161">INDEX(Data_DBD!$B:$B,$A161)</f>
        <v>18</v>
      </c>
      <c r="C161" s="30">
        <f ca="1" t="array" ref="C161">INDEX(Data_DBD!$C:$C,$A161)</f>
        <v>2</v>
      </c>
      <c r="D161" s="30">
        <f ca="1" t="array" ref="D161">INDEX(Data_DBD!$D:$D,$A161)</f>
        <v>12</v>
      </c>
      <c r="E161" s="30">
        <f ca="1" t="array" ref="E161">INDEX(Data_DBD!$E:$E,$A161)</f>
        <v>1</v>
      </c>
      <c r="F161" s="30">
        <f ca="1" t="array" ref="F161">INDEX(Data_DBD!$F:$F,$A161)</f>
        <v>2</v>
      </c>
      <c r="H161" s="30">
        <v>28</v>
      </c>
      <c r="I161" s="30">
        <v>22</v>
      </c>
      <c r="J161" s="30">
        <v>2</v>
      </c>
      <c r="K161" s="30">
        <v>14</v>
      </c>
      <c r="L161" s="40">
        <v>1</v>
      </c>
      <c r="M161" s="30">
        <v>2</v>
      </c>
    </row>
    <row r="162" ht="15.75" spans="1:13">
      <c r="A162" s="30">
        <f ca="1" t="shared" si="2"/>
        <v>40</v>
      </c>
      <c r="B162" s="30">
        <f ca="1" t="array" ref="B162">INDEX(Data_DBD!$B:$B,$A162)</f>
        <v>65</v>
      </c>
      <c r="C162" s="30">
        <f ca="1" t="array" ref="C162">INDEX(Data_DBD!$C:$C,$A162)</f>
        <v>3</v>
      </c>
      <c r="D162" s="30">
        <f ca="1" t="array" ref="D162">INDEX(Data_DBD!$D:$D,$A162)</f>
        <v>13</v>
      </c>
      <c r="E162" s="30">
        <f ca="1" t="array" ref="E162">INDEX(Data_DBD!$E:$E,$A162)</f>
        <v>1</v>
      </c>
      <c r="F162" s="30">
        <f ca="1" t="array" ref="F162">INDEX(Data_DBD!$F:$F,$A162)</f>
        <v>2</v>
      </c>
      <c r="H162" s="30">
        <v>147</v>
      </c>
      <c r="I162" s="30">
        <v>66</v>
      </c>
      <c r="J162" s="30">
        <v>10</v>
      </c>
      <c r="K162" s="30">
        <v>21</v>
      </c>
      <c r="L162" s="39">
        <v>1</v>
      </c>
      <c r="M162" s="30">
        <v>3</v>
      </c>
    </row>
    <row r="163" ht="15.75" spans="1:13">
      <c r="A163" s="30">
        <f ca="1" t="shared" si="2"/>
        <v>35</v>
      </c>
      <c r="B163" s="30">
        <f ca="1" t="array" ref="B163">INDEX(Data_DBD!$B:$B,$A163)</f>
        <v>40</v>
      </c>
      <c r="C163" s="30">
        <f ca="1" t="array" ref="C163">INDEX(Data_DBD!$C:$C,$A163)</f>
        <v>3</v>
      </c>
      <c r="D163" s="30">
        <f ca="1" t="array" ref="D163">INDEX(Data_DBD!$D:$D,$A163)</f>
        <v>4</v>
      </c>
      <c r="E163" s="30">
        <f ca="1" t="array" ref="E163">INDEX(Data_DBD!$E:$E,$A163)</f>
        <v>1</v>
      </c>
      <c r="F163" s="30">
        <f ca="1" t="array" ref="F163">INDEX(Data_DBD!$F:$F,$A163)</f>
        <v>1</v>
      </c>
      <c r="H163" s="30">
        <v>164</v>
      </c>
      <c r="I163" s="30">
        <v>10</v>
      </c>
      <c r="J163" s="30">
        <v>6</v>
      </c>
      <c r="K163" s="30">
        <v>3</v>
      </c>
      <c r="L163" s="40">
        <v>0</v>
      </c>
      <c r="M163" s="30">
        <v>1</v>
      </c>
    </row>
    <row r="164" spans="1:13">
      <c r="A164" s="30">
        <f ca="1" t="shared" si="2"/>
        <v>36</v>
      </c>
      <c r="B164" s="30">
        <f ca="1" t="array" ref="B164">INDEX(Data_DBD!$B:$B,$A164)</f>
        <v>27</v>
      </c>
      <c r="C164" s="30">
        <f ca="1" t="array" ref="C164">INDEX(Data_DBD!$C:$C,$A164)</f>
        <v>1</v>
      </c>
      <c r="D164" s="30">
        <f ca="1" t="array" ref="D164">INDEX(Data_DBD!$D:$D,$A164)</f>
        <v>4</v>
      </c>
      <c r="E164" s="30">
        <f ca="1" t="array" ref="E164">INDEX(Data_DBD!$E:$E,$A164)</f>
        <v>1</v>
      </c>
      <c r="F164" s="30">
        <f ca="1" t="array" ref="F164">INDEX(Data_DBD!$F:$F,$A164)</f>
        <v>1</v>
      </c>
      <c r="H164" s="30">
        <v>160</v>
      </c>
      <c r="I164" s="30">
        <v>16</v>
      </c>
      <c r="J164" s="30">
        <v>3</v>
      </c>
      <c r="K164" s="30">
        <v>21</v>
      </c>
      <c r="L164" s="30">
        <v>0</v>
      </c>
      <c r="M164" s="30">
        <v>3</v>
      </c>
    </row>
    <row r="165" spans="9:12">
      <c r="I165">
        <f>AVERAGE(I2:I164)</f>
        <v>32.6165644171779</v>
      </c>
      <c r="J165">
        <f>AVERAGE(J2:J164)</f>
        <v>3.58282208588957</v>
      </c>
      <c r="K165">
        <f>AVERAGE(K2:K164)</f>
        <v>17.4294478527607</v>
      </c>
      <c r="L165">
        <f>AVERAGE(L2:L164)</f>
        <v>0.503067484662577</v>
      </c>
    </row>
    <row r="166" spans="2:2">
      <c r="B166">
        <v>88</v>
      </c>
    </row>
    <row r="168" spans="5:20">
      <c r="E168" s="35" t="s">
        <v>183</v>
      </c>
      <c r="J168" s="35" t="s">
        <v>184</v>
      </c>
      <c r="O168" s="35" t="s">
        <v>185</v>
      </c>
      <c r="T168" s="35" t="s">
        <v>186</v>
      </c>
    </row>
    <row r="169" spans="5:22">
      <c r="E169" s="30" t="s">
        <v>1</v>
      </c>
      <c r="F169" s="30">
        <f>AVERAGEIF($I$2:$I$164,"&lt;="&amp;$I$165)</f>
        <v>16.4427083333333</v>
      </c>
      <c r="G169" s="30">
        <f>AVERAGEIF($I$2:$I$164,"&gt;"&amp;$I$165)</f>
        <v>55.7910447761194</v>
      </c>
      <c r="J169" s="30" t="s">
        <v>187</v>
      </c>
      <c r="K169" s="30">
        <f>AVERAGEIF($J$2:$J$164,"&lt;="&amp;$J$165)</f>
        <v>2.36842105263158</v>
      </c>
      <c r="L169" s="30">
        <f>AVERAGEIF($J$2:$J$164,"&gt;"&amp;$J$165)</f>
        <v>4.64367816091954</v>
      </c>
      <c r="O169" s="30" t="s">
        <v>188</v>
      </c>
      <c r="P169" s="30">
        <f>AVERAGEIF($K$2:$K$164,"&lt;="&amp;$K$165)</f>
        <v>12.1470588235294</v>
      </c>
      <c r="Q169" s="30">
        <f>AVERAGEIF($K$2:$K$164,"&gt;"&amp;$K$165)</f>
        <v>26.2622950819672</v>
      </c>
      <c r="T169" s="30" t="s">
        <v>189</v>
      </c>
      <c r="U169" s="30">
        <f>AVERAGEIF($L$2:$L$164,"&lt;="&amp;$L$165)</f>
        <v>0</v>
      </c>
      <c r="V169" s="30">
        <f>AVERAGEIF($L$2:$L$164,"&gt;"&amp;$L$165)</f>
        <v>1</v>
      </c>
    </row>
    <row r="170" spans="5:22">
      <c r="E170" s="30" t="str">
        <f t="array" ref="E170:E332">IF($I$2:$I$164&lt;$F$169,"kiri",IF($I$2:$I$164&lt;$G$169,"tengah","kanan"))</f>
        <v>tengah</v>
      </c>
      <c r="F170" s="36" t="s">
        <v>207</v>
      </c>
      <c r="G170" s="30"/>
      <c r="J170" s="30" t="str">
        <f t="array" ref="J170:J332">IF($J$2:$J$164&lt;$K$169,"kiri",IF($J$2:$J$164&lt;$L$169,"tengah","kanan"))</f>
        <v>tengah</v>
      </c>
      <c r="K170" s="36" t="s">
        <v>208</v>
      </c>
      <c r="L170" s="30"/>
      <c r="O170" s="30" t="str">
        <f t="array" ref="O170:O332">IF($K$2:$K$164&lt;$P$169,"kiri",IF($K$2:$K$164&lt;$Q$169,"tengah","kanan"))</f>
        <v>tengah</v>
      </c>
      <c r="P170" s="36" t="s">
        <v>218</v>
      </c>
      <c r="Q170" s="30"/>
      <c r="T170" s="30" t="str">
        <f t="array" ref="T170:T332">IF($L$2:$L$164&lt;$U$169,"kiri",IF($L$2:$L$164&lt;$V$169,"tengah","kanan"))</f>
        <v>tengah</v>
      </c>
      <c r="U170" s="30" t="s">
        <v>193</v>
      </c>
      <c r="V170" s="30"/>
    </row>
    <row r="171" spans="5:22">
      <c r="E171" s="30" t="str">
        <v>kanan</v>
      </c>
      <c r="F171" s="30">
        <f>COUNTIFS($E$170:$E$332,"Kanan",$M$2:$M$164,"1")</f>
        <v>2</v>
      </c>
      <c r="G171" s="30">
        <f>F171/32</f>
        <v>0.0625</v>
      </c>
      <c r="J171" s="30" t="str">
        <v>tengah</v>
      </c>
      <c r="K171" s="30">
        <f t="array" ref="K171">SUMPRODUCT((J170:J332="Kanan")*(M2:M164=1))</f>
        <v>4</v>
      </c>
      <c r="L171" s="30">
        <f>K171/33</f>
        <v>0.121212121212121</v>
      </c>
      <c r="O171" s="30" t="str">
        <v>tengah</v>
      </c>
      <c r="P171" s="30">
        <f>COUNTIFS($O$170:$O$332,"Kanan",$M$2:$M$164,"1")</f>
        <v>0</v>
      </c>
      <c r="Q171" s="30">
        <f>P171/30</f>
        <v>0</v>
      </c>
      <c r="T171" s="30" t="str">
        <v>kanan</v>
      </c>
      <c r="U171" s="30">
        <f>COUNTIFS($T$170:$T$332,"Kanan",$M$2:$M$164,"1")</f>
        <v>6</v>
      </c>
      <c r="V171" s="30">
        <f>U171/83</f>
        <v>0.072289156626506</v>
      </c>
    </row>
    <row r="172" spans="5:22">
      <c r="E172" s="30" t="str">
        <v>tengah</v>
      </c>
      <c r="F172" s="30">
        <f>COUNTIFS($E$170:$E$332,"Kanan",$M$2:$M$164,"2")</f>
        <v>15</v>
      </c>
      <c r="G172" s="30">
        <f t="shared" ref="G172:G173" si="3">F172/32</f>
        <v>0.46875</v>
      </c>
      <c r="J172" s="30" t="str">
        <v>tengah</v>
      </c>
      <c r="K172" s="30">
        <f>COUNTIFS($J$170:$J$332,"Kanan",$M$2:$M$164,"2")</f>
        <v>17</v>
      </c>
      <c r="L172" s="30">
        <f t="shared" ref="L172:L173" si="4">K172/33</f>
        <v>0.515151515151515</v>
      </c>
      <c r="O172" s="30" t="str">
        <v>kanan</v>
      </c>
      <c r="P172" s="30">
        <f>COUNTIFS($O$170:$O$332,"Kanan",$M$2:$M$164,"2")</f>
        <v>0</v>
      </c>
      <c r="Q172" s="30">
        <f t="shared" ref="Q172:Q173" si="5">P172/30</f>
        <v>0</v>
      </c>
      <c r="T172" s="30" t="str">
        <v>kanan</v>
      </c>
      <c r="U172" s="30">
        <f>COUNTIFS($T$170:$T$332,"Kanan",$M$2:$M$164,"2")</f>
        <v>39</v>
      </c>
      <c r="V172" s="30">
        <f t="shared" ref="V172:V173" si="6">U172/83</f>
        <v>0.469879518072289</v>
      </c>
    </row>
    <row r="173" spans="5:22">
      <c r="E173" s="30" t="str">
        <v>kanan</v>
      </c>
      <c r="F173" s="30">
        <f t="array" ref="F173">SUMPRODUCT((E170:E332="KANAN")*(M2:M164=3))</f>
        <v>15</v>
      </c>
      <c r="G173" s="30">
        <f t="shared" si="3"/>
        <v>0.46875</v>
      </c>
      <c r="J173" s="30" t="str">
        <v>tengah</v>
      </c>
      <c r="K173" s="30">
        <f>COUNTIFS($J$170:$J$332,"Kanan",$M$2:$M$164,"3")</f>
        <v>12</v>
      </c>
      <c r="L173" s="30">
        <f t="shared" si="4"/>
        <v>0.363636363636364</v>
      </c>
      <c r="O173" s="30" t="str">
        <v>tengah</v>
      </c>
      <c r="P173" s="30">
        <f>COUNTIFS($O$170:$O$332,"Kanan",$M$2:$M$164,"3")</f>
        <v>30</v>
      </c>
      <c r="Q173" s="30">
        <f t="shared" si="5"/>
        <v>1</v>
      </c>
      <c r="T173" s="30" t="str">
        <v>kanan</v>
      </c>
      <c r="U173" s="30">
        <f>COUNTIFS($T$170:$T$332,"Kanan",$M$2:$M$164,"3")</f>
        <v>37</v>
      </c>
      <c r="V173" s="30">
        <f t="shared" si="6"/>
        <v>0.44578313253012</v>
      </c>
    </row>
    <row r="174" spans="5:22">
      <c r="E174" s="30" t="str">
        <v>tengah</v>
      </c>
      <c r="F174" s="30" t="s">
        <v>194</v>
      </c>
      <c r="G174" s="30">
        <f>-(IFERROR(G171*LOG(G171,2),0)+IFERROR(G172*LOG(G172,2),0)+IFERROR(G173*LOG(G173,2),0))</f>
        <v>1.27479006661701</v>
      </c>
      <c r="J174" s="30" t="str">
        <v>kiri</v>
      </c>
      <c r="K174" s="30" t="s">
        <v>194</v>
      </c>
      <c r="L174" s="30">
        <f>-(IFERROR(L171*LOG(L171,2),0)+IFERROR(L172*LOG(L172,2),0)+IFERROR(L173*LOG(L173,2),0))</f>
        <v>1.39268447360362</v>
      </c>
      <c r="O174" s="30" t="str">
        <v>kanan</v>
      </c>
      <c r="P174" s="30" t="s">
        <v>194</v>
      </c>
      <c r="Q174" s="30">
        <f>-(IFERROR(Q171*LOG(Q171,2),0)+IFERROR(Q172*LOG(Q172,2),0)+IFERROR(Q173*LOG(Q173,2),0))</f>
        <v>0</v>
      </c>
      <c r="T174" s="30" t="str">
        <v>kanan</v>
      </c>
      <c r="U174" s="30" t="s">
        <v>194</v>
      </c>
      <c r="V174" s="30">
        <f>-(IFERROR(V171*LOG(V171,2),0)+IFERROR(V172*LOG(V172,2),0)+IFERROR(V173*LOG(V173,2),0))</f>
        <v>1.30557828074966</v>
      </c>
    </row>
    <row r="175" spans="5:22">
      <c r="E175" s="30" t="str">
        <v>tengah</v>
      </c>
      <c r="F175" s="30"/>
      <c r="G175" s="30">
        <f>SUM(F171:F173)/163</f>
        <v>0.196319018404908</v>
      </c>
      <c r="J175" s="30" t="str">
        <v>kanan</v>
      </c>
      <c r="K175" s="30"/>
      <c r="L175" s="30">
        <f>SUM(K171:K173)/163</f>
        <v>0.202453987730061</v>
      </c>
      <c r="O175" s="30" t="str">
        <v>tengah</v>
      </c>
      <c r="P175" s="30"/>
      <c r="Q175" s="30">
        <f>SUM(P171:P173)/163</f>
        <v>0.184049079754601</v>
      </c>
      <c r="T175" s="30" t="str">
        <v>tengah</v>
      </c>
      <c r="U175" s="30"/>
      <c r="V175" s="30">
        <f>SUM(U171:U173)/163</f>
        <v>0.503067484662577</v>
      </c>
    </row>
    <row r="176" spans="5:22">
      <c r="E176" s="30" t="str">
        <v>kiri</v>
      </c>
      <c r="F176" s="30"/>
      <c r="G176" s="37">
        <f>G174*G175</f>
        <v>0.250265534550579</v>
      </c>
      <c r="J176" s="30" t="str">
        <v>kiri</v>
      </c>
      <c r="K176" s="30"/>
      <c r="L176" s="37">
        <f>L174*L175</f>
        <v>0.281954525330793</v>
      </c>
      <c r="O176" s="30" t="str">
        <v>kanan</v>
      </c>
      <c r="P176" s="30"/>
      <c r="Q176" s="37">
        <f>Q174*Q175</f>
        <v>0</v>
      </c>
      <c r="T176" s="30" t="str">
        <v>tengah</v>
      </c>
      <c r="U176" s="30"/>
      <c r="V176" s="37">
        <f>V174*V175</f>
        <v>0.656793981726825</v>
      </c>
    </row>
    <row r="177" spans="5:22">
      <c r="E177" s="30" t="str">
        <v>kiri</v>
      </c>
      <c r="F177" s="30"/>
      <c r="G177" s="30"/>
      <c r="J177" s="30" t="str">
        <v>tengah</v>
      </c>
      <c r="K177" s="30"/>
      <c r="L177" s="30"/>
      <c r="O177" s="30" t="str">
        <v>tengah</v>
      </c>
      <c r="P177" s="30"/>
      <c r="Q177" s="30"/>
      <c r="T177" s="30" t="str">
        <v>kanan</v>
      </c>
      <c r="U177" s="30"/>
      <c r="V177" s="30"/>
    </row>
    <row r="178" spans="5:22">
      <c r="E178" s="30" t="str">
        <v>tengah</v>
      </c>
      <c r="F178" s="30"/>
      <c r="G178" s="30"/>
      <c r="J178" s="30" t="str">
        <v>tengah</v>
      </c>
      <c r="K178" s="30"/>
      <c r="L178" s="30"/>
      <c r="O178" s="30" t="str">
        <v>tengah</v>
      </c>
      <c r="P178" s="30"/>
      <c r="Q178" s="30"/>
      <c r="T178" s="30" t="str">
        <v>kanan</v>
      </c>
      <c r="U178" s="30"/>
      <c r="V178" s="30"/>
    </row>
    <row r="179" spans="5:22">
      <c r="E179" s="30" t="str">
        <v>tengah</v>
      </c>
      <c r="F179" s="36" t="s">
        <v>210</v>
      </c>
      <c r="G179" s="30"/>
      <c r="J179" s="30" t="str">
        <v>tengah</v>
      </c>
      <c r="K179" s="36" t="s">
        <v>211</v>
      </c>
      <c r="L179" s="30"/>
      <c r="O179" s="30" t="str">
        <v>kiri</v>
      </c>
      <c r="P179" s="36" t="s">
        <v>219</v>
      </c>
      <c r="Q179" s="30"/>
      <c r="T179" s="30" t="str">
        <v>kanan</v>
      </c>
      <c r="U179" s="30" t="s">
        <v>198</v>
      </c>
      <c r="V179" s="30"/>
    </row>
    <row r="180" spans="5:22">
      <c r="E180" s="30" t="str">
        <v>tengah</v>
      </c>
      <c r="F180" s="30">
        <f t="array" ref="F180">SUMPRODUCT((E170:E332="kiri")*(M2:M164=1))</f>
        <v>6</v>
      </c>
      <c r="G180" s="30">
        <f>F180/46</f>
        <v>0.130434782608696</v>
      </c>
      <c r="J180" s="30" t="str">
        <v>tengah</v>
      </c>
      <c r="K180" s="30">
        <f>COUNTIFS($J$170:$J$332,"Kiri",$M$2:$M$164,"1")</f>
        <v>4</v>
      </c>
      <c r="L180" s="30">
        <f>K180/39</f>
        <v>0.102564102564103</v>
      </c>
      <c r="O180" s="30" t="str">
        <v>kanan</v>
      </c>
      <c r="P180" s="30">
        <f>COUNTIFS($O$170:$O$332,"Kiri",$M$2:$M$164,"1")</f>
        <v>15</v>
      </c>
      <c r="Q180" s="30">
        <f>P180/35</f>
        <v>0.428571428571429</v>
      </c>
      <c r="T180" s="30" t="str">
        <v>tengah</v>
      </c>
      <c r="U180" s="30">
        <f>COUNTIFS($T$170:$T$332,"Kiri",$M$2:$M$164,"1")</f>
        <v>0</v>
      </c>
      <c r="V180" s="30">
        <f>U180/57</f>
        <v>0</v>
      </c>
    </row>
    <row r="181" spans="5:22">
      <c r="E181" s="30" t="str">
        <v>tengah</v>
      </c>
      <c r="F181" s="30">
        <f t="array" ref="F181">SUMPRODUCT((E170:E332="kiri")*(M2:M164=2))</f>
        <v>19</v>
      </c>
      <c r="G181" s="30">
        <f t="shared" ref="G181:G182" si="7">F181/46</f>
        <v>0.41304347826087</v>
      </c>
      <c r="J181" s="30" t="str">
        <v>tengah</v>
      </c>
      <c r="K181" s="30">
        <f>COUNTIFS($J$170:$J$332,"Kiri",$M$2:$M$164,"2")</f>
        <v>18</v>
      </c>
      <c r="L181" s="30">
        <f t="shared" ref="L181:L182" si="8">K181/39</f>
        <v>0.461538461538462</v>
      </c>
      <c r="O181" s="30" t="str">
        <v>kiri</v>
      </c>
      <c r="P181" s="30">
        <f>COUNTIFS($O$170:$O$332,"Kiri",$M$2:$M$164,"2")</f>
        <v>20</v>
      </c>
      <c r="Q181" s="30">
        <f t="shared" ref="Q181:Q182" si="9">P181/35</f>
        <v>0.571428571428571</v>
      </c>
      <c r="T181" s="30" t="str">
        <v>kanan</v>
      </c>
      <c r="U181" s="30">
        <f>COUNTIFS($T$170:$T$332,"Kiri",$M$2:$M$164,"2")</f>
        <v>0</v>
      </c>
      <c r="V181" s="30">
        <f>U181/57</f>
        <v>0</v>
      </c>
    </row>
    <row r="182" spans="5:22">
      <c r="E182" s="30" t="str">
        <v>kanan</v>
      </c>
      <c r="F182" s="30">
        <f t="array" ref="F182">SUMPRODUCT((E170:E332="kiri")*(M2:M164=3))</f>
        <v>21</v>
      </c>
      <c r="G182" s="30">
        <f t="shared" si="7"/>
        <v>0.456521739130435</v>
      </c>
      <c r="J182" s="30" t="str">
        <v>kanan</v>
      </c>
      <c r="K182" s="30">
        <f>COUNTIFS($J$170:$J$332,"Kiri",$M$2:$M$164,"3")</f>
        <v>17</v>
      </c>
      <c r="L182" s="30">
        <f t="shared" si="8"/>
        <v>0.435897435897436</v>
      </c>
      <c r="O182" s="30" t="str">
        <v>tengah</v>
      </c>
      <c r="P182" s="30">
        <f>COUNTIFS($O$170:$O$332,"Kiri",$M$2:$M$164,"3")</f>
        <v>0</v>
      </c>
      <c r="Q182" s="30">
        <f t="shared" si="9"/>
        <v>0</v>
      </c>
      <c r="T182" s="30" t="str">
        <v>kanan</v>
      </c>
      <c r="U182" s="30">
        <f>COUNTIFS($T$170:$T$332,"Kiri",$M$2:$M$164,"3")</f>
        <v>0</v>
      </c>
      <c r="V182" s="30">
        <f>U182/57</f>
        <v>0</v>
      </c>
    </row>
    <row r="183" spans="5:22">
      <c r="E183" s="30" t="str">
        <v>tengah</v>
      </c>
      <c r="F183" s="30" t="s">
        <v>194</v>
      </c>
      <c r="G183" s="30">
        <f>-(IFERROR(G180*LOG(G180,2),0)+IFERROR(G181*LOG(G181,2),0)+IFERROR(G182*LOG(G182,2),0))</f>
        <v>1.42662579001116</v>
      </c>
      <c r="J183" s="30" t="str">
        <v>tengah</v>
      </c>
      <c r="K183" s="30" t="s">
        <v>194</v>
      </c>
      <c r="L183" s="30">
        <f>-(IFERROR(L180*LOG(L180,2),0)+IFERROR(L181*LOG(L181,2),0)+IFERROR(L182*LOG(L182,2),0))</f>
        <v>1.37397867201052</v>
      </c>
      <c r="O183" s="30" t="str">
        <v>tengah</v>
      </c>
      <c r="P183" s="30" t="s">
        <v>194</v>
      </c>
      <c r="Q183" s="30">
        <f>-(IFERROR(Q180*LOG(Q180,2),0)+IFERROR(Q181*LOG(Q181,2),0)+IFERROR(Q182*LOG(Q182,2),0))</f>
        <v>0.985228136034252</v>
      </c>
      <c r="T183" s="30" t="str">
        <v>tengah</v>
      </c>
      <c r="U183" s="30" t="s">
        <v>194</v>
      </c>
      <c r="V183" s="30">
        <f>-(IFERROR(V180*LOG(V180,2),0)+IFERROR(V181*LOG(V181,2),0)+IFERROR(V182*LOG(V182,2),0))</f>
        <v>0</v>
      </c>
    </row>
    <row r="184" spans="5:22">
      <c r="E184" s="30" t="str">
        <v>kiri</v>
      </c>
      <c r="F184" s="30"/>
      <c r="G184" s="30">
        <f>SUM(F180:F182)/163</f>
        <v>0.282208588957055</v>
      </c>
      <c r="J184" s="30" t="str">
        <v>tengah</v>
      </c>
      <c r="K184" s="30"/>
      <c r="L184" s="30">
        <f>SUM(K180:K182)/163</f>
        <v>0.239263803680982</v>
      </c>
      <c r="O184" s="30" t="str">
        <v>tengah</v>
      </c>
      <c r="P184" s="30"/>
      <c r="Q184" s="30">
        <f>SUM(P180:P182)/163</f>
        <v>0.214723926380368</v>
      </c>
      <c r="T184" s="30" t="str">
        <v>tengah</v>
      </c>
      <c r="U184" s="30"/>
      <c r="V184" s="30">
        <f>SUM(U180:U182)/163</f>
        <v>0</v>
      </c>
    </row>
    <row r="185" spans="5:22">
      <c r="E185" s="30" t="str">
        <v>tengah</v>
      </c>
      <c r="F185" s="30"/>
      <c r="G185" s="37">
        <f>G183*G184</f>
        <v>0.402606051168795</v>
      </c>
      <c r="J185" s="30" t="str">
        <v>kanan</v>
      </c>
      <c r="K185" s="30"/>
      <c r="L185" s="37">
        <f>L183*L184</f>
        <v>0.328743363241781</v>
      </c>
      <c r="O185" s="30" t="str">
        <v>tengah</v>
      </c>
      <c r="P185" s="30"/>
      <c r="Q185" s="37">
        <f>Q183*Q184</f>
        <v>0.211552053749686</v>
      </c>
      <c r="T185" s="30" t="str">
        <v>kanan</v>
      </c>
      <c r="U185" s="30"/>
      <c r="V185" s="37">
        <f>V183*V184</f>
        <v>0</v>
      </c>
    </row>
    <row r="186" spans="5:22">
      <c r="E186" s="30" t="str">
        <v>kiri</v>
      </c>
      <c r="F186" s="30"/>
      <c r="G186" s="30"/>
      <c r="J186" s="30" t="str">
        <v>tengah</v>
      </c>
      <c r="K186" s="30"/>
      <c r="L186" s="30"/>
      <c r="O186" s="30" t="str">
        <v>kiri</v>
      </c>
      <c r="P186" s="30"/>
      <c r="Q186" s="30"/>
      <c r="T186" s="30" t="str">
        <v>tengah</v>
      </c>
      <c r="U186" s="30"/>
      <c r="V186" s="30"/>
    </row>
    <row r="187" spans="5:22">
      <c r="E187" s="30" t="str">
        <v>kiri</v>
      </c>
      <c r="F187" s="30"/>
      <c r="G187" s="30"/>
      <c r="J187" s="30" t="str">
        <v>tengah</v>
      </c>
      <c r="K187" s="30"/>
      <c r="L187" s="30"/>
      <c r="O187" s="30" t="str">
        <v>tengah</v>
      </c>
      <c r="P187" s="30"/>
      <c r="Q187" s="30"/>
      <c r="T187" s="30" t="str">
        <v>tengah</v>
      </c>
      <c r="U187" s="30"/>
      <c r="V187" s="30"/>
    </row>
    <row r="188" spans="5:22">
      <c r="E188" s="30" t="str">
        <v>tengah</v>
      </c>
      <c r="F188" s="30" t="s">
        <v>199</v>
      </c>
      <c r="G188" s="30"/>
      <c r="J188" s="30" t="str">
        <v>tengah</v>
      </c>
      <c r="K188" s="30" t="s">
        <v>199</v>
      </c>
      <c r="L188" s="30"/>
      <c r="O188" s="30" t="str">
        <v>tengah</v>
      </c>
      <c r="P188" s="30" t="s">
        <v>199</v>
      </c>
      <c r="Q188" s="30"/>
      <c r="T188" s="30" t="str">
        <v>kanan</v>
      </c>
      <c r="U188" s="30" t="s">
        <v>199</v>
      </c>
      <c r="V188" s="30"/>
    </row>
    <row r="189" spans="5:22">
      <c r="E189" s="30" t="str">
        <v>tengah</v>
      </c>
      <c r="F189" s="30">
        <f t="array" ref="F189">SUMPRODUCT((E170:E332="tengah")*(M2:M164=1))</f>
        <v>7</v>
      </c>
      <c r="G189" s="30">
        <f>F189/85</f>
        <v>0.0823529411764706</v>
      </c>
      <c r="J189" s="30" t="str">
        <v>kiri</v>
      </c>
      <c r="K189" s="30">
        <f>COUNTIFS($J$170:$J$332,"Tengah",$M$2:$M$164,"1")</f>
        <v>7</v>
      </c>
      <c r="L189" s="30">
        <f>K189/91</f>
        <v>0.0769230769230769</v>
      </c>
      <c r="O189" s="30" t="str">
        <v>kiri</v>
      </c>
      <c r="P189" s="30">
        <f>COUNTIFS($O$170:$O$332,"Tengah",$M$2:$M$164,"1")</f>
        <v>0</v>
      </c>
      <c r="Q189" s="30">
        <f>P189/98</f>
        <v>0</v>
      </c>
      <c r="T189" s="30" t="str">
        <v>tengah</v>
      </c>
      <c r="U189" s="30">
        <f>COUNTIFS($T$170:$T$332,"Tengah",$M$2:$M$164,"1")</f>
        <v>9</v>
      </c>
      <c r="V189" s="30">
        <f>U189/82</f>
        <v>0.109756097560976</v>
      </c>
    </row>
    <row r="190" spans="5:22">
      <c r="E190" s="30" t="str">
        <v>tengah</v>
      </c>
      <c r="F190" s="30">
        <f t="array" ref="F190">SUMPRODUCT((E170:E332="tengah")*(M2:M164=2))</f>
        <v>53</v>
      </c>
      <c r="G190" s="30">
        <f t="shared" ref="G190:G191" si="10">F190/85</f>
        <v>0.623529411764706</v>
      </c>
      <c r="J190" s="30" t="str">
        <v>tengah</v>
      </c>
      <c r="K190" s="30">
        <f>COUNTIFS($J$170:$J$332,"Tengah",$M$2:$M$164,"2")</f>
        <v>52</v>
      </c>
      <c r="L190" s="30">
        <f t="shared" ref="L190:L191" si="11">K190/91</f>
        <v>0.571428571428571</v>
      </c>
      <c r="O190" s="30" t="str">
        <v>tengah</v>
      </c>
      <c r="P190" s="30">
        <f>COUNTIFS($O$170:$O$332,"Tengah",$M$2:$M$164,"2")</f>
        <v>67</v>
      </c>
      <c r="Q190" s="30">
        <f t="shared" ref="Q190:Q191" si="12">P190/98</f>
        <v>0.683673469387755</v>
      </c>
      <c r="T190" s="30" t="str">
        <v>kanan</v>
      </c>
      <c r="U190" s="30">
        <f>COUNTIFS($T$170:$T$332,"Tengah",$M$2:$M$164,"2")</f>
        <v>48</v>
      </c>
      <c r="V190" s="30">
        <f t="shared" ref="V190:V191" si="13">U190/82</f>
        <v>0.585365853658537</v>
      </c>
    </row>
    <row r="191" spans="5:22">
      <c r="E191" s="30" t="str">
        <v>tengah</v>
      </c>
      <c r="F191" s="30">
        <f t="array" ref="F191">SUMPRODUCT((E170:E332="tengah")*(M2:M164=3))</f>
        <v>25</v>
      </c>
      <c r="G191" s="30">
        <f t="shared" si="10"/>
        <v>0.294117647058824</v>
      </c>
      <c r="J191" s="30" t="str">
        <v>kiri</v>
      </c>
      <c r="K191" s="30">
        <f>COUNTIFS($J$170:$J$332,"Tengah",$M$2:$M$164,"3")</f>
        <v>32</v>
      </c>
      <c r="L191" s="30">
        <f t="shared" si="11"/>
        <v>0.351648351648352</v>
      </c>
      <c r="O191" s="30" t="str">
        <v>tengah</v>
      </c>
      <c r="P191" s="30">
        <f>COUNTIFS($O$170:$O$332,"Tengah",$M$2:$M$164,"3")</f>
        <v>31</v>
      </c>
      <c r="Q191" s="30">
        <f t="shared" si="12"/>
        <v>0.316326530612245</v>
      </c>
      <c r="T191" s="30" t="str">
        <v>kanan</v>
      </c>
      <c r="U191" s="30">
        <f>COUNTIFS($T$170:$T$332,"Tengah",$M$2:$M$164,"3")</f>
        <v>24</v>
      </c>
      <c r="V191" s="30">
        <f t="shared" si="13"/>
        <v>0.292682926829268</v>
      </c>
    </row>
    <row r="192" spans="5:22">
      <c r="E192" s="30" t="str">
        <v>tengah</v>
      </c>
      <c r="F192" s="30" t="s">
        <v>194</v>
      </c>
      <c r="G192" s="30">
        <f>-(IFERROR(G189*LOG(G189,2),0)+IFERROR(G190*LOG(G190,2),0)+IFERROR(G191*LOG(G191,2),0))</f>
        <v>1.2408300738951</v>
      </c>
      <c r="J192" s="30" t="str">
        <v>tengah</v>
      </c>
      <c r="K192" s="30" t="s">
        <v>194</v>
      </c>
      <c r="L192" s="30">
        <f>-(IFERROR(L189*LOG(L189,2),0)+IFERROR(L190*LOG(L190,2),0)+IFERROR(L191*LOG(L191,2),0))</f>
        <v>1.27620837868507</v>
      </c>
      <c r="O192" s="30" t="str">
        <v>tengah</v>
      </c>
      <c r="P192" s="30" t="s">
        <v>194</v>
      </c>
      <c r="Q192" s="30">
        <f>-(IFERROR(Q189*LOG(Q189,2),0)+IFERROR(Q190*LOG(Q190,2),0)+IFERROR(Q191*LOG(Q191,2),0))</f>
        <v>0.90034187082272</v>
      </c>
      <c r="T192" s="30" t="str">
        <v>tengah</v>
      </c>
      <c r="U192" s="30" t="s">
        <v>194</v>
      </c>
      <c r="V192" s="30">
        <f>-(IFERROR(V189*LOG(V189,2),0)+IFERROR(V190*LOG(V190,2),0)+IFERROR(V191*LOG(V191,2),0))</f>
        <v>1.3209156988922</v>
      </c>
    </row>
    <row r="193" spans="5:22">
      <c r="E193" s="30" t="str">
        <v>kiri</v>
      </c>
      <c r="F193" s="30"/>
      <c r="G193" s="30">
        <f>SUM(F189:F191)/163</f>
        <v>0.521472392638037</v>
      </c>
      <c r="J193" s="30" t="str">
        <v>tengah</v>
      </c>
      <c r="K193" s="30"/>
      <c r="L193" s="30">
        <f>SUM(K189:K191)/163</f>
        <v>0.558282208588957</v>
      </c>
      <c r="O193" s="30" t="str">
        <v>tengah</v>
      </c>
      <c r="P193" s="30"/>
      <c r="Q193" s="30">
        <f>SUM(P189:P191)/163</f>
        <v>0.601226993865031</v>
      </c>
      <c r="T193" s="30" t="str">
        <v>kanan</v>
      </c>
      <c r="U193" s="30"/>
      <c r="V193" s="30">
        <f>SUM(U189:U191)/163</f>
        <v>0.496932515337423</v>
      </c>
    </row>
    <row r="194" spans="5:22">
      <c r="E194" s="30" t="str">
        <v>kiri</v>
      </c>
      <c r="F194" s="30"/>
      <c r="G194" s="37">
        <f>G192*G193</f>
        <v>0.647058627491311</v>
      </c>
      <c r="J194" s="30" t="str">
        <v>tengah</v>
      </c>
      <c r="K194" s="30"/>
      <c r="L194" s="37">
        <f>L192*L193</f>
        <v>0.712484432272033</v>
      </c>
      <c r="O194" s="30" t="str">
        <v>tengah</v>
      </c>
      <c r="P194" s="30"/>
      <c r="Q194" s="37">
        <f>Q192*Q193</f>
        <v>0.541309836445562</v>
      </c>
      <c r="T194" s="30" t="str">
        <v>kanan</v>
      </c>
      <c r="U194" s="30"/>
      <c r="V194" s="37">
        <f>V192*V193</f>
        <v>0.656405960799193</v>
      </c>
    </row>
    <row r="195" spans="5:22">
      <c r="E195" s="30" t="str">
        <v>tengah</v>
      </c>
      <c r="F195" s="30"/>
      <c r="G195" s="30"/>
      <c r="J195" s="30" t="str">
        <v>tengah</v>
      </c>
      <c r="K195" s="30"/>
      <c r="L195" s="30"/>
      <c r="O195" s="30" t="str">
        <v>tengah</v>
      </c>
      <c r="P195" s="30"/>
      <c r="Q195" s="30"/>
      <c r="T195" s="30" t="str">
        <v>kanan</v>
      </c>
      <c r="U195" s="30"/>
      <c r="V195" s="30"/>
    </row>
    <row r="196" spans="5:22">
      <c r="E196" s="30" t="str">
        <v>kiri</v>
      </c>
      <c r="F196" s="30" t="s">
        <v>200</v>
      </c>
      <c r="G196" s="36" t="s">
        <v>194</v>
      </c>
      <c r="J196" s="30" t="str">
        <v>tengah</v>
      </c>
      <c r="K196" s="30" t="s">
        <v>200</v>
      </c>
      <c r="L196" s="36" t="s">
        <v>194</v>
      </c>
      <c r="O196" s="30" t="str">
        <v>tengah</v>
      </c>
      <c r="P196" s="30" t="s">
        <v>200</v>
      </c>
      <c r="Q196" s="36" t="s">
        <v>194</v>
      </c>
      <c r="T196" s="30" t="str">
        <v>tengah</v>
      </c>
      <c r="U196" s="30" t="s">
        <v>200</v>
      </c>
      <c r="V196" s="36" t="s">
        <v>194</v>
      </c>
    </row>
    <row r="197" spans="5:22">
      <c r="E197" s="30" t="str">
        <v>kiri</v>
      </c>
      <c r="F197" s="41">
        <f>P5-(G176+G185+G194)</f>
        <v>0.0309180596442988</v>
      </c>
      <c r="G197" s="37">
        <f>(G176+G185+G194)</f>
        <v>1.29993021321069</v>
      </c>
      <c r="J197" s="30" t="str">
        <v>tengah</v>
      </c>
      <c r="K197" s="41">
        <f>P5-(L176+L185+L194)</f>
        <v>0.00766595201037723</v>
      </c>
      <c r="L197" s="37">
        <f>(L176+L185+L194)</f>
        <v>1.32318232084461</v>
      </c>
      <c r="O197" s="30" t="str">
        <v>kanan</v>
      </c>
      <c r="P197" s="41">
        <f>P5-(Q176+Q185+Q194)</f>
        <v>0.577986382659737</v>
      </c>
      <c r="Q197" s="37">
        <f>(Q176+Q185+Q194)</f>
        <v>0.752861890195248</v>
      </c>
      <c r="T197" s="30" t="str">
        <v>kanan</v>
      </c>
      <c r="U197" s="41">
        <f>P5-(V176+V185+V194)</f>
        <v>0.0176483303289663</v>
      </c>
      <c r="V197" s="37">
        <f>(V176+V185+V194)</f>
        <v>1.31319994252602</v>
      </c>
    </row>
    <row r="198" spans="5:22">
      <c r="E198" s="30" t="str">
        <v>tengah</v>
      </c>
      <c r="F198" s="30"/>
      <c r="G198" s="30"/>
      <c r="J198" s="30" t="str">
        <v>kiri</v>
      </c>
      <c r="K198" s="30"/>
      <c r="L198" s="30"/>
      <c r="O198" s="30" t="str">
        <v>tengah</v>
      </c>
      <c r="P198" s="30"/>
      <c r="Q198" s="30"/>
      <c r="T198" s="30" t="str">
        <v>kanan</v>
      </c>
      <c r="U198" s="30"/>
      <c r="V198" s="30"/>
    </row>
    <row r="199" spans="5:22">
      <c r="E199" s="30" t="str">
        <v>tengah</v>
      </c>
      <c r="F199" s="30"/>
      <c r="G199" s="30"/>
      <c r="J199" s="30" t="str">
        <v>tengah</v>
      </c>
      <c r="K199" s="30"/>
      <c r="L199" s="30"/>
      <c r="O199" s="30" t="str">
        <v>tengah</v>
      </c>
      <c r="P199" s="30"/>
      <c r="Q199" s="30"/>
      <c r="T199" s="30" t="str">
        <v>kanan</v>
      </c>
      <c r="U199" s="30"/>
      <c r="V199" s="30"/>
    </row>
    <row r="200" spans="5:22">
      <c r="E200" s="30" t="str">
        <v>tengah</v>
      </c>
      <c r="F200" s="30"/>
      <c r="G200" s="30"/>
      <c r="J200" s="30" t="str">
        <v>tengah</v>
      </c>
      <c r="K200" s="30"/>
      <c r="L200" s="30"/>
      <c r="O200" s="30" t="str">
        <v>tengah</v>
      </c>
      <c r="P200" s="30"/>
      <c r="Q200" s="30"/>
      <c r="T200" s="30" t="str">
        <v>tengah</v>
      </c>
      <c r="U200" s="30"/>
      <c r="V200" s="30"/>
    </row>
    <row r="201" spans="5:22">
      <c r="E201" s="30" t="str">
        <v>tengah</v>
      </c>
      <c r="F201" s="30"/>
      <c r="G201" s="30"/>
      <c r="J201" s="30" t="str">
        <v>kiri</v>
      </c>
      <c r="K201" s="30"/>
      <c r="L201" s="30"/>
      <c r="O201" s="30" t="str">
        <v>tengah</v>
      </c>
      <c r="P201" s="30"/>
      <c r="Q201" s="30"/>
      <c r="T201" s="30" t="str">
        <v>tengah</v>
      </c>
      <c r="U201" s="30"/>
      <c r="V201" s="30"/>
    </row>
    <row r="202" spans="5:22">
      <c r="E202" s="30" t="str">
        <v>tengah</v>
      </c>
      <c r="F202" s="30"/>
      <c r="G202" s="30"/>
      <c r="J202" s="30" t="str">
        <v>tengah</v>
      </c>
      <c r="K202" s="30"/>
      <c r="L202" s="30"/>
      <c r="O202" s="30" t="str">
        <v>tengah</v>
      </c>
      <c r="P202" s="30"/>
      <c r="Q202" s="30"/>
      <c r="T202" s="30" t="str">
        <v>kanan</v>
      </c>
      <c r="U202" s="30"/>
      <c r="V202" s="30"/>
    </row>
    <row r="203" spans="5:22">
      <c r="E203" s="30" t="str">
        <v>kiri</v>
      </c>
      <c r="F203" s="30"/>
      <c r="G203" s="30"/>
      <c r="J203" s="30" t="str">
        <v>tengah</v>
      </c>
      <c r="K203" s="30"/>
      <c r="L203" s="30"/>
      <c r="O203" s="30" t="str">
        <v>tengah</v>
      </c>
      <c r="P203" s="30"/>
      <c r="Q203" s="30"/>
      <c r="T203" s="30" t="str">
        <v>tengah</v>
      </c>
      <c r="U203" s="30"/>
      <c r="V203" s="30"/>
    </row>
    <row r="204" spans="5:22">
      <c r="E204" s="30" t="str">
        <v>kanan</v>
      </c>
      <c r="F204" s="30"/>
      <c r="G204" s="30"/>
      <c r="J204" s="30" t="str">
        <v>kanan</v>
      </c>
      <c r="K204" s="30"/>
      <c r="L204" s="30"/>
      <c r="O204" s="30" t="str">
        <v>kanan</v>
      </c>
      <c r="P204" s="30"/>
      <c r="Q204" s="30"/>
      <c r="T204" s="30" t="str">
        <v>kanan</v>
      </c>
      <c r="U204" s="30"/>
      <c r="V204" s="30"/>
    </row>
    <row r="205" spans="5:22">
      <c r="E205" s="30" t="str">
        <v>kanan</v>
      </c>
      <c r="F205" s="30"/>
      <c r="G205" s="30"/>
      <c r="J205" s="30" t="str">
        <v>tengah</v>
      </c>
      <c r="K205" s="30"/>
      <c r="L205" s="30"/>
      <c r="O205" s="30" t="str">
        <v>tengah</v>
      </c>
      <c r="P205" s="30"/>
      <c r="Q205" s="30"/>
      <c r="T205" s="30" t="str">
        <v>tengah</v>
      </c>
      <c r="U205" s="30"/>
      <c r="V205" s="30"/>
    </row>
    <row r="206" spans="5:22">
      <c r="E206" s="30" t="str">
        <v>tengah</v>
      </c>
      <c r="F206" s="30"/>
      <c r="G206" s="30"/>
      <c r="J206" s="30" t="str">
        <v>kiri</v>
      </c>
      <c r="K206" s="30"/>
      <c r="L206" s="30"/>
      <c r="O206" s="30" t="str">
        <v>kiri</v>
      </c>
      <c r="P206" s="30"/>
      <c r="Q206" s="30"/>
      <c r="T206" s="30" t="str">
        <v>kanan</v>
      </c>
      <c r="U206" s="30"/>
      <c r="V206" s="30"/>
    </row>
    <row r="207" spans="5:22">
      <c r="E207" s="30" t="str">
        <v>kanan</v>
      </c>
      <c r="F207" s="30"/>
      <c r="G207" s="30"/>
      <c r="J207" s="30" t="str">
        <v>kiri</v>
      </c>
      <c r="K207" s="30"/>
      <c r="L207" s="30"/>
      <c r="O207" s="30" t="str">
        <v>kiri</v>
      </c>
      <c r="P207" s="30"/>
      <c r="Q207" s="30"/>
      <c r="T207" s="30" t="str">
        <v>tengah</v>
      </c>
      <c r="U207" s="30"/>
      <c r="V207" s="30"/>
    </row>
    <row r="208" spans="5:22">
      <c r="E208" s="30" t="str">
        <v>tengah</v>
      </c>
      <c r="F208" s="30"/>
      <c r="G208" s="30"/>
      <c r="J208" s="30" t="str">
        <v>tengah</v>
      </c>
      <c r="K208" s="30"/>
      <c r="L208" s="30"/>
      <c r="O208" s="30" t="str">
        <v>tengah</v>
      </c>
      <c r="P208" s="30"/>
      <c r="Q208" s="30"/>
      <c r="T208" s="30" t="str">
        <v>kanan</v>
      </c>
      <c r="U208" s="30"/>
      <c r="V208" s="30"/>
    </row>
    <row r="209" spans="5:22">
      <c r="E209" s="30" t="str">
        <v>kiri</v>
      </c>
      <c r="F209" s="30"/>
      <c r="G209" s="30"/>
      <c r="J209" s="30" t="str">
        <v>tengah</v>
      </c>
      <c r="K209" s="30"/>
      <c r="L209" s="30"/>
      <c r="O209" s="30" t="str">
        <v>kiri</v>
      </c>
      <c r="P209" s="30"/>
      <c r="Q209" s="30"/>
      <c r="T209" s="30" t="str">
        <v>tengah</v>
      </c>
      <c r="U209" s="30"/>
      <c r="V209" s="30"/>
    </row>
    <row r="210" spans="5:22">
      <c r="E210" s="30" t="str">
        <v>tengah</v>
      </c>
      <c r="F210" s="30"/>
      <c r="G210" s="30"/>
      <c r="J210" s="30" t="str">
        <v>tengah</v>
      </c>
      <c r="K210" s="30"/>
      <c r="L210" s="30"/>
      <c r="O210" s="30" t="str">
        <v>kiri</v>
      </c>
      <c r="P210" s="30"/>
      <c r="Q210" s="30"/>
      <c r="T210" s="30" t="str">
        <v>kanan</v>
      </c>
      <c r="U210" s="30"/>
      <c r="V210" s="30"/>
    </row>
    <row r="211" spans="5:22">
      <c r="E211" s="30" t="str">
        <v>tengah</v>
      </c>
      <c r="F211" s="30"/>
      <c r="G211" s="30"/>
      <c r="J211" s="30" t="str">
        <v>tengah</v>
      </c>
      <c r="K211" s="30"/>
      <c r="L211" s="30"/>
      <c r="O211" s="30" t="str">
        <v>tengah</v>
      </c>
      <c r="P211" s="30"/>
      <c r="Q211" s="30"/>
      <c r="T211" s="30" t="str">
        <v>tengah</v>
      </c>
      <c r="U211" s="30"/>
      <c r="V211" s="30"/>
    </row>
    <row r="212" spans="5:22">
      <c r="E212" s="30" t="str">
        <v>kiri</v>
      </c>
      <c r="F212" s="30"/>
      <c r="G212" s="30"/>
      <c r="J212" s="30" t="str">
        <v>tengah</v>
      </c>
      <c r="K212" s="30"/>
      <c r="L212" s="30"/>
      <c r="O212" s="30" t="str">
        <v>tengah</v>
      </c>
      <c r="P212" s="30"/>
      <c r="Q212" s="30"/>
      <c r="T212" s="30" t="str">
        <v>kanan</v>
      </c>
      <c r="U212" s="30"/>
      <c r="V212" s="30"/>
    </row>
    <row r="213" spans="5:22">
      <c r="E213" s="30" t="str">
        <v>kiri</v>
      </c>
      <c r="F213" s="30"/>
      <c r="G213" s="30"/>
      <c r="J213" s="30" t="str">
        <v>tengah</v>
      </c>
      <c r="K213" s="30"/>
      <c r="L213" s="30"/>
      <c r="O213" s="30" t="str">
        <v>kiri</v>
      </c>
      <c r="P213" s="30"/>
      <c r="Q213" s="30"/>
      <c r="T213" s="30" t="str">
        <v>tengah</v>
      </c>
      <c r="U213" s="30"/>
      <c r="V213" s="30"/>
    </row>
    <row r="214" spans="5:22">
      <c r="E214" s="30" t="str">
        <v>kiri</v>
      </c>
      <c r="F214" s="30"/>
      <c r="G214" s="30"/>
      <c r="J214" s="30" t="str">
        <v>kanan</v>
      </c>
      <c r="K214" s="30"/>
      <c r="L214" s="30"/>
      <c r="O214" s="30" t="str">
        <v>kiri</v>
      </c>
      <c r="P214" s="30"/>
      <c r="Q214" s="30"/>
      <c r="T214" s="30" t="str">
        <v>tengah</v>
      </c>
      <c r="U214" s="30"/>
      <c r="V214" s="30"/>
    </row>
    <row r="215" spans="5:22">
      <c r="E215" s="30" t="str">
        <v>kanan</v>
      </c>
      <c r="F215" s="30"/>
      <c r="G215" s="30"/>
      <c r="J215" s="30" t="str">
        <v>kiri</v>
      </c>
      <c r="K215" s="30"/>
      <c r="L215" s="30"/>
      <c r="O215" s="30" t="str">
        <v>kiri</v>
      </c>
      <c r="P215" s="30"/>
      <c r="Q215" s="30"/>
      <c r="T215" s="30" t="str">
        <v>tengah</v>
      </c>
      <c r="U215" s="30"/>
      <c r="V215" s="30"/>
    </row>
    <row r="216" spans="5:22">
      <c r="E216" s="30" t="str">
        <v>kiri</v>
      </c>
      <c r="F216" s="30"/>
      <c r="G216" s="30"/>
      <c r="J216" s="30" t="str">
        <v>tengah</v>
      </c>
      <c r="K216" s="30"/>
      <c r="L216" s="30"/>
      <c r="O216" s="30" t="str">
        <v>tengah</v>
      </c>
      <c r="P216" s="30"/>
      <c r="Q216" s="30"/>
      <c r="T216" s="30" t="str">
        <v>kanan</v>
      </c>
      <c r="U216" s="30"/>
      <c r="V216" s="30"/>
    </row>
    <row r="217" spans="5:22">
      <c r="E217" s="30" t="str">
        <v>kiri</v>
      </c>
      <c r="F217" s="30"/>
      <c r="G217" s="30"/>
      <c r="J217" s="30" t="str">
        <v>kiri</v>
      </c>
      <c r="K217" s="30"/>
      <c r="L217" s="30"/>
      <c r="O217" s="30" t="str">
        <v>kanan</v>
      </c>
      <c r="P217" s="30"/>
      <c r="Q217" s="30"/>
      <c r="T217" s="30" t="str">
        <v>kanan</v>
      </c>
      <c r="U217" s="30"/>
      <c r="V217" s="30"/>
    </row>
    <row r="218" spans="5:22">
      <c r="E218" s="30" t="str">
        <v>kiri</v>
      </c>
      <c r="F218" s="30"/>
      <c r="G218" s="30"/>
      <c r="J218" s="30" t="str">
        <v>kiri</v>
      </c>
      <c r="K218" s="30"/>
      <c r="L218" s="30"/>
      <c r="O218" s="30" t="str">
        <v>kiri</v>
      </c>
      <c r="P218" s="30"/>
      <c r="Q218" s="30"/>
      <c r="T218" s="30" t="str">
        <v>kanan</v>
      </c>
      <c r="U218" s="30"/>
      <c r="V218" s="30"/>
    </row>
    <row r="219" spans="5:22">
      <c r="E219" s="30" t="str">
        <v>kiri</v>
      </c>
      <c r="F219" s="30"/>
      <c r="G219" s="30"/>
      <c r="J219" s="30" t="str">
        <v>kiri</v>
      </c>
      <c r="K219" s="30"/>
      <c r="L219" s="30"/>
      <c r="O219" s="30" t="str">
        <v>kanan</v>
      </c>
      <c r="P219" s="30"/>
      <c r="Q219" s="30"/>
      <c r="T219" s="30" t="str">
        <v>kanan</v>
      </c>
      <c r="U219" s="30"/>
      <c r="V219" s="30"/>
    </row>
    <row r="220" spans="5:22">
      <c r="E220" s="30" t="str">
        <v>kanan</v>
      </c>
      <c r="F220" s="30"/>
      <c r="G220" s="30"/>
      <c r="J220" s="30" t="str">
        <v>kiri</v>
      </c>
      <c r="K220" s="30"/>
      <c r="L220" s="30"/>
      <c r="O220" s="30" t="str">
        <v>tengah</v>
      </c>
      <c r="P220" s="30"/>
      <c r="Q220" s="30"/>
      <c r="T220" s="30" t="str">
        <v>tengah</v>
      </c>
      <c r="U220" s="30"/>
      <c r="V220" s="30"/>
    </row>
    <row r="221" spans="5:22">
      <c r="E221" s="30" t="str">
        <v>kiri</v>
      </c>
      <c r="F221" s="30"/>
      <c r="G221" s="30"/>
      <c r="J221" s="30" t="str">
        <v>tengah</v>
      </c>
      <c r="K221" s="30"/>
      <c r="L221" s="30"/>
      <c r="O221" s="30" t="str">
        <v>tengah</v>
      </c>
      <c r="P221" s="30"/>
      <c r="Q221" s="30"/>
      <c r="T221" s="30" t="str">
        <v>tengah</v>
      </c>
      <c r="U221" s="30"/>
      <c r="V221" s="30"/>
    </row>
    <row r="222" spans="5:22">
      <c r="E222" s="30" t="str">
        <v>kiri</v>
      </c>
      <c r="F222" s="30"/>
      <c r="G222" s="30"/>
      <c r="J222" s="30" t="str">
        <v>tengah</v>
      </c>
      <c r="K222" s="30"/>
      <c r="L222" s="30"/>
      <c r="O222" s="30" t="str">
        <v>tengah</v>
      </c>
      <c r="P222" s="30"/>
      <c r="Q222" s="30"/>
      <c r="T222" s="30" t="str">
        <v>tengah</v>
      </c>
      <c r="U222" s="30"/>
      <c r="V222" s="30"/>
    </row>
    <row r="223" spans="5:22">
      <c r="E223" s="30" t="str">
        <v>kiri</v>
      </c>
      <c r="F223" s="30"/>
      <c r="G223" s="30"/>
      <c r="J223" s="30" t="str">
        <v>kanan</v>
      </c>
      <c r="K223" s="30"/>
      <c r="L223" s="30"/>
      <c r="O223" s="30" t="str">
        <v>tengah</v>
      </c>
      <c r="P223" s="30"/>
      <c r="Q223" s="30"/>
      <c r="T223" s="30" t="str">
        <v>kanan</v>
      </c>
      <c r="U223" s="30"/>
      <c r="V223" s="30"/>
    </row>
    <row r="224" spans="5:22">
      <c r="E224" s="30" t="str">
        <v>tengah</v>
      </c>
      <c r="F224" s="30"/>
      <c r="G224" s="30"/>
      <c r="J224" s="30" t="str">
        <v>kiri</v>
      </c>
      <c r="K224" s="30"/>
      <c r="L224" s="30"/>
      <c r="O224" s="30" t="str">
        <v>tengah</v>
      </c>
      <c r="P224" s="30"/>
      <c r="Q224" s="30"/>
      <c r="T224" s="30" t="str">
        <v>kanan</v>
      </c>
      <c r="U224" s="30"/>
      <c r="V224" s="30"/>
    </row>
    <row r="225" spans="5:22">
      <c r="E225" s="30" t="str">
        <v>kiri</v>
      </c>
      <c r="F225" s="30"/>
      <c r="G225" s="30"/>
      <c r="J225" s="30" t="str">
        <v>tengah</v>
      </c>
      <c r="K225" s="30"/>
      <c r="L225" s="30"/>
      <c r="O225" s="30" t="str">
        <v>tengah</v>
      </c>
      <c r="P225" s="30"/>
      <c r="Q225" s="30"/>
      <c r="T225" s="30" t="str">
        <v>kanan</v>
      </c>
      <c r="U225" s="30"/>
      <c r="V225" s="30"/>
    </row>
    <row r="226" spans="5:22">
      <c r="E226" s="30" t="str">
        <v>kiri</v>
      </c>
      <c r="F226" s="30"/>
      <c r="G226" s="30"/>
      <c r="J226" s="30" t="str">
        <v>tengah</v>
      </c>
      <c r="K226" s="30"/>
      <c r="L226" s="30"/>
      <c r="O226" s="30" t="str">
        <v>kiri</v>
      </c>
      <c r="P226" s="30"/>
      <c r="Q226" s="30"/>
      <c r="T226" s="30" t="str">
        <v>tengah</v>
      </c>
      <c r="U226" s="30"/>
      <c r="V226" s="30"/>
    </row>
    <row r="227" spans="5:22">
      <c r="E227" s="30" t="str">
        <v>tengah</v>
      </c>
      <c r="F227" s="30"/>
      <c r="G227" s="30"/>
      <c r="J227" s="30" t="str">
        <v>tengah</v>
      </c>
      <c r="K227" s="30"/>
      <c r="L227" s="30"/>
      <c r="O227" s="30" t="str">
        <v>kiri</v>
      </c>
      <c r="P227" s="30"/>
      <c r="Q227" s="30"/>
      <c r="T227" s="30" t="str">
        <v>kanan</v>
      </c>
      <c r="U227" s="30"/>
      <c r="V227" s="30"/>
    </row>
    <row r="228" spans="5:22">
      <c r="E228" s="30" t="str">
        <v>kanan</v>
      </c>
      <c r="F228" s="30"/>
      <c r="G228" s="30"/>
      <c r="J228" s="30" t="str">
        <v>kiri</v>
      </c>
      <c r="K228" s="30"/>
      <c r="L228" s="30"/>
      <c r="O228" s="30" t="str">
        <v>tengah</v>
      </c>
      <c r="P228" s="30"/>
      <c r="Q228" s="30"/>
      <c r="T228" s="30" t="str">
        <v>tengah</v>
      </c>
      <c r="U228" s="30"/>
      <c r="V228" s="30"/>
    </row>
    <row r="229" spans="5:22">
      <c r="E229" s="30" t="str">
        <v>kiri</v>
      </c>
      <c r="F229" s="30"/>
      <c r="G229" s="30"/>
      <c r="J229" s="30" t="str">
        <v>tengah</v>
      </c>
      <c r="K229" s="30"/>
      <c r="L229" s="30"/>
      <c r="O229" s="30" t="str">
        <v>tengah</v>
      </c>
      <c r="P229" s="30"/>
      <c r="Q229" s="30"/>
      <c r="T229" s="30" t="str">
        <v>kanan</v>
      </c>
      <c r="U229" s="30"/>
      <c r="V229" s="30"/>
    </row>
    <row r="230" spans="5:22">
      <c r="E230" s="30" t="str">
        <v>tengah</v>
      </c>
      <c r="F230" s="30"/>
      <c r="G230" s="30"/>
      <c r="J230" s="30" t="str">
        <v>kiri</v>
      </c>
      <c r="K230" s="30"/>
      <c r="L230" s="30"/>
      <c r="O230" s="30" t="str">
        <v>kiri</v>
      </c>
      <c r="P230" s="30"/>
      <c r="Q230" s="30"/>
      <c r="T230" s="30" t="str">
        <v>tengah</v>
      </c>
      <c r="U230" s="30"/>
      <c r="V230" s="30"/>
    </row>
    <row r="231" spans="5:22">
      <c r="E231" s="30" t="str">
        <v>kanan</v>
      </c>
      <c r="F231" s="30"/>
      <c r="G231" s="30"/>
      <c r="J231" s="30" t="str">
        <v>kanan</v>
      </c>
      <c r="K231" s="30"/>
      <c r="L231" s="30"/>
      <c r="O231" s="30" t="str">
        <v>kiri</v>
      </c>
      <c r="P231" s="30"/>
      <c r="Q231" s="30"/>
      <c r="T231" s="30" t="str">
        <v>kanan</v>
      </c>
      <c r="U231" s="30"/>
      <c r="V231" s="30"/>
    </row>
    <row r="232" spans="5:22">
      <c r="E232" s="30" t="str">
        <v>kiri</v>
      </c>
      <c r="F232" s="30"/>
      <c r="G232" s="30"/>
      <c r="J232" s="30" t="str">
        <v>tengah</v>
      </c>
      <c r="K232" s="30"/>
      <c r="L232" s="30"/>
      <c r="O232" s="30" t="str">
        <v>tengah</v>
      </c>
      <c r="P232" s="30"/>
      <c r="Q232" s="30"/>
      <c r="T232" s="30" t="str">
        <v>tengah</v>
      </c>
      <c r="U232" s="30"/>
      <c r="V232" s="30"/>
    </row>
    <row r="233" spans="5:22">
      <c r="E233" s="30" t="str">
        <v>kanan</v>
      </c>
      <c r="F233" s="30"/>
      <c r="G233" s="30"/>
      <c r="J233" s="30" t="str">
        <v>kanan</v>
      </c>
      <c r="K233" s="30"/>
      <c r="L233" s="30"/>
      <c r="O233" s="30" t="str">
        <v>kanan</v>
      </c>
      <c r="P233" s="30"/>
      <c r="Q233" s="30"/>
      <c r="T233" s="30" t="str">
        <v>kanan</v>
      </c>
      <c r="U233" s="30"/>
      <c r="V233" s="30"/>
    </row>
    <row r="234" spans="5:22">
      <c r="E234" s="30" t="str">
        <v>tengah</v>
      </c>
      <c r="F234" s="30"/>
      <c r="G234" s="30"/>
      <c r="J234" s="30" t="str">
        <v>kanan</v>
      </c>
      <c r="K234" s="30"/>
      <c r="L234" s="30"/>
      <c r="O234" s="30" t="str">
        <v>kiri</v>
      </c>
      <c r="P234" s="30"/>
      <c r="Q234" s="30"/>
      <c r="T234" s="30" t="str">
        <v>tengah</v>
      </c>
      <c r="U234" s="30"/>
      <c r="V234" s="30"/>
    </row>
    <row r="235" spans="5:22">
      <c r="E235" s="30" t="str">
        <v>kanan</v>
      </c>
      <c r="F235" s="30"/>
      <c r="G235" s="30"/>
      <c r="J235" s="30" t="str">
        <v>tengah</v>
      </c>
      <c r="K235" s="30"/>
      <c r="L235" s="30"/>
      <c r="O235" s="30" t="str">
        <v>kanan</v>
      </c>
      <c r="P235" s="30"/>
      <c r="Q235" s="30"/>
      <c r="T235" s="30" t="str">
        <v>kanan</v>
      </c>
      <c r="U235" s="30"/>
      <c r="V235" s="30"/>
    </row>
    <row r="236" spans="5:22">
      <c r="E236" s="30" t="str">
        <v>kiri</v>
      </c>
      <c r="F236" s="30"/>
      <c r="G236" s="30"/>
      <c r="J236" s="30" t="str">
        <v>kiri</v>
      </c>
      <c r="K236" s="30"/>
      <c r="L236" s="30"/>
      <c r="O236" s="30" t="str">
        <v>kanan</v>
      </c>
      <c r="P236" s="30"/>
      <c r="Q236" s="30"/>
      <c r="T236" s="30" t="str">
        <v>tengah</v>
      </c>
      <c r="U236" s="30"/>
      <c r="V236" s="30"/>
    </row>
    <row r="237" spans="5:22">
      <c r="E237" s="30" t="str">
        <v>kanan</v>
      </c>
      <c r="F237" s="30"/>
      <c r="G237" s="30"/>
      <c r="J237" s="30" t="str">
        <v>kanan</v>
      </c>
      <c r="K237" s="30"/>
      <c r="L237" s="30"/>
      <c r="O237" s="30" t="str">
        <v>tengah</v>
      </c>
      <c r="P237" s="30"/>
      <c r="Q237" s="30"/>
      <c r="T237" s="30" t="str">
        <v>tengah</v>
      </c>
      <c r="U237" s="30"/>
      <c r="V237" s="30"/>
    </row>
    <row r="238" spans="5:22">
      <c r="E238" s="30" t="str">
        <v>tengah</v>
      </c>
      <c r="F238" s="30"/>
      <c r="G238" s="30"/>
      <c r="J238" s="30" t="str">
        <v>kanan</v>
      </c>
      <c r="K238" s="30"/>
      <c r="L238" s="30"/>
      <c r="O238" s="30" t="str">
        <v>kiri</v>
      </c>
      <c r="P238" s="30"/>
      <c r="Q238" s="30"/>
      <c r="T238" s="30" t="str">
        <v>tengah</v>
      </c>
      <c r="U238" s="30"/>
      <c r="V238" s="30"/>
    </row>
    <row r="239" spans="5:22">
      <c r="E239" s="30" t="str">
        <v>tengah</v>
      </c>
      <c r="F239" s="30"/>
      <c r="G239" s="30"/>
      <c r="J239" s="30" t="str">
        <v>tengah</v>
      </c>
      <c r="K239" s="30"/>
      <c r="L239" s="30"/>
      <c r="O239" s="30" t="str">
        <v>kiri</v>
      </c>
      <c r="P239" s="30"/>
      <c r="Q239" s="30"/>
      <c r="T239" s="30" t="str">
        <v>kanan</v>
      </c>
      <c r="U239" s="30"/>
      <c r="V239" s="30"/>
    </row>
    <row r="240" spans="5:22">
      <c r="E240" s="30" t="str">
        <v>tengah</v>
      </c>
      <c r="F240" s="30"/>
      <c r="G240" s="30"/>
      <c r="J240" s="30" t="str">
        <v>tengah</v>
      </c>
      <c r="K240" s="30"/>
      <c r="L240" s="30"/>
      <c r="O240" s="30" t="str">
        <v>kanan</v>
      </c>
      <c r="P240" s="30"/>
      <c r="Q240" s="30"/>
      <c r="T240" s="30" t="str">
        <v>kanan</v>
      </c>
      <c r="U240" s="30"/>
      <c r="V240" s="30"/>
    </row>
    <row r="241" spans="5:22">
      <c r="E241" s="30" t="str">
        <v>kanan</v>
      </c>
      <c r="F241" s="30"/>
      <c r="G241" s="30"/>
      <c r="J241" s="30" t="str">
        <v>tengah</v>
      </c>
      <c r="K241" s="30"/>
      <c r="L241" s="30"/>
      <c r="O241" s="30" t="str">
        <v>kanan</v>
      </c>
      <c r="P241" s="30"/>
      <c r="Q241" s="30"/>
      <c r="T241" s="30" t="str">
        <v>kanan</v>
      </c>
      <c r="U241" s="30"/>
      <c r="V241" s="30"/>
    </row>
    <row r="242" spans="5:22">
      <c r="E242" s="30" t="str">
        <v>tengah</v>
      </c>
      <c r="F242" s="30"/>
      <c r="G242" s="30"/>
      <c r="J242" s="30" t="str">
        <v>kanan</v>
      </c>
      <c r="K242" s="30"/>
      <c r="L242" s="30"/>
      <c r="O242" s="30" t="str">
        <v>tengah</v>
      </c>
      <c r="P242" s="30"/>
      <c r="Q242" s="30"/>
      <c r="T242" s="30" t="str">
        <v>kanan</v>
      </c>
      <c r="U242" s="30"/>
      <c r="V242" s="30"/>
    </row>
    <row r="243" spans="5:22">
      <c r="E243" s="30" t="str">
        <v>tengah</v>
      </c>
      <c r="F243" s="30"/>
      <c r="G243" s="30"/>
      <c r="J243" s="30" t="str">
        <v>kiri</v>
      </c>
      <c r="K243" s="30"/>
      <c r="L243" s="30"/>
      <c r="O243" s="30" t="str">
        <v>kiri</v>
      </c>
      <c r="P243" s="30"/>
      <c r="Q243" s="30"/>
      <c r="T243" s="30" t="str">
        <v>kanan</v>
      </c>
      <c r="U243" s="30"/>
      <c r="V243" s="30"/>
    </row>
    <row r="244" spans="5:22">
      <c r="E244" s="30" t="str">
        <v>kiri</v>
      </c>
      <c r="F244" s="30"/>
      <c r="G244" s="30"/>
      <c r="J244" s="30" t="str">
        <v>tengah</v>
      </c>
      <c r="K244" s="30"/>
      <c r="L244" s="30"/>
      <c r="O244" s="30" t="str">
        <v>kanan</v>
      </c>
      <c r="P244" s="30"/>
      <c r="Q244" s="30"/>
      <c r="T244" s="30" t="str">
        <v>tengah</v>
      </c>
      <c r="U244" s="30"/>
      <c r="V244" s="30"/>
    </row>
    <row r="245" spans="5:22">
      <c r="E245" s="30" t="str">
        <v>tengah</v>
      </c>
      <c r="F245" s="30"/>
      <c r="G245" s="30"/>
      <c r="J245" s="30" t="str">
        <v>tengah</v>
      </c>
      <c r="K245" s="30"/>
      <c r="L245" s="30"/>
      <c r="O245" s="30" t="str">
        <v>tengah</v>
      </c>
      <c r="P245" s="30"/>
      <c r="Q245" s="30"/>
      <c r="T245" s="30" t="str">
        <v>kanan</v>
      </c>
      <c r="U245" s="30"/>
      <c r="V245" s="30"/>
    </row>
    <row r="246" spans="5:22">
      <c r="E246" s="30" t="str">
        <v>tengah</v>
      </c>
      <c r="F246" s="30"/>
      <c r="G246" s="30"/>
      <c r="J246" s="30" t="str">
        <v>kiri</v>
      </c>
      <c r="K246" s="30"/>
      <c r="L246" s="30"/>
      <c r="O246" s="30" t="str">
        <v>tengah</v>
      </c>
      <c r="P246" s="30"/>
      <c r="Q246" s="30"/>
      <c r="T246" s="30" t="str">
        <v>kanan</v>
      </c>
      <c r="U246" s="30"/>
      <c r="V246" s="30"/>
    </row>
    <row r="247" spans="5:22">
      <c r="E247" s="30" t="str">
        <v>kiri</v>
      </c>
      <c r="F247" s="30"/>
      <c r="G247" s="30"/>
      <c r="J247" s="30" t="str">
        <v>tengah</v>
      </c>
      <c r="K247" s="30"/>
      <c r="L247" s="30"/>
      <c r="O247" s="30" t="str">
        <v>tengah</v>
      </c>
      <c r="P247" s="30"/>
      <c r="Q247" s="30"/>
      <c r="T247" s="30" t="str">
        <v>kanan</v>
      </c>
      <c r="U247" s="30"/>
      <c r="V247" s="30"/>
    </row>
    <row r="248" spans="5:22">
      <c r="E248" s="30" t="str">
        <v>tengah</v>
      </c>
      <c r="F248" s="30"/>
      <c r="G248" s="30"/>
      <c r="J248" s="30" t="str">
        <v>tengah</v>
      </c>
      <c r="K248" s="30"/>
      <c r="L248" s="30"/>
      <c r="O248" s="30" t="str">
        <v>tengah</v>
      </c>
      <c r="P248" s="30"/>
      <c r="Q248" s="30"/>
      <c r="T248" s="30" t="str">
        <v>tengah</v>
      </c>
      <c r="U248" s="30"/>
      <c r="V248" s="30"/>
    </row>
    <row r="249" spans="5:22">
      <c r="E249" s="30" t="str">
        <v>tengah</v>
      </c>
      <c r="F249" s="30"/>
      <c r="G249" s="30"/>
      <c r="J249" s="30" t="str">
        <v>kanan</v>
      </c>
      <c r="K249" s="30"/>
      <c r="L249" s="30"/>
      <c r="O249" s="30" t="str">
        <v>tengah</v>
      </c>
      <c r="P249" s="30"/>
      <c r="Q249" s="30"/>
      <c r="T249" s="30" t="str">
        <v>tengah</v>
      </c>
      <c r="U249" s="30"/>
      <c r="V249" s="30"/>
    </row>
    <row r="250" spans="5:22">
      <c r="E250" s="30" t="str">
        <v>kiri</v>
      </c>
      <c r="F250" s="30"/>
      <c r="G250" s="30"/>
      <c r="J250" s="30" t="str">
        <v>kiri</v>
      </c>
      <c r="K250" s="30"/>
      <c r="L250" s="30"/>
      <c r="O250" s="30" t="str">
        <v>kiri</v>
      </c>
      <c r="P250" s="30"/>
      <c r="Q250" s="30"/>
      <c r="T250" s="30" t="str">
        <v>tengah</v>
      </c>
      <c r="U250" s="30"/>
      <c r="V250" s="30"/>
    </row>
    <row r="251" spans="5:22">
      <c r="E251" s="30" t="str">
        <v>tengah</v>
      </c>
      <c r="F251" s="30"/>
      <c r="G251" s="30"/>
      <c r="J251" s="30" t="str">
        <v>tengah</v>
      </c>
      <c r="K251" s="30"/>
      <c r="L251" s="30"/>
      <c r="O251" s="30" t="str">
        <v>tengah</v>
      </c>
      <c r="P251" s="30"/>
      <c r="Q251" s="30"/>
      <c r="T251" s="30" t="str">
        <v>tengah</v>
      </c>
      <c r="U251" s="30"/>
      <c r="V251" s="30"/>
    </row>
    <row r="252" spans="5:22">
      <c r="E252" s="30" t="str">
        <v>tengah</v>
      </c>
      <c r="F252" s="30"/>
      <c r="G252" s="30"/>
      <c r="J252" s="30" t="str">
        <v>kanan</v>
      </c>
      <c r="K252" s="30"/>
      <c r="L252" s="30"/>
      <c r="O252" s="30" t="str">
        <v>kiri</v>
      </c>
      <c r="P252" s="30"/>
      <c r="Q252" s="30"/>
      <c r="T252" s="30" t="str">
        <v>tengah</v>
      </c>
      <c r="U252" s="30"/>
      <c r="V252" s="30"/>
    </row>
    <row r="253" spans="5:22">
      <c r="E253" s="30" t="str">
        <v>tengah</v>
      </c>
      <c r="F253" s="30"/>
      <c r="G253" s="30"/>
      <c r="J253" s="30" t="str">
        <v>kiri</v>
      </c>
      <c r="K253" s="30"/>
      <c r="L253" s="30"/>
      <c r="O253" s="30" t="str">
        <v>tengah</v>
      </c>
      <c r="P253" s="30"/>
      <c r="Q253" s="30"/>
      <c r="T253" s="30" t="str">
        <v>tengah</v>
      </c>
      <c r="U253" s="30"/>
      <c r="V253" s="30"/>
    </row>
    <row r="254" spans="5:22">
      <c r="E254" s="30" t="str">
        <v>tengah</v>
      </c>
      <c r="F254" s="30"/>
      <c r="G254" s="30"/>
      <c r="J254" s="30" t="str">
        <v>tengah</v>
      </c>
      <c r="K254" s="30"/>
      <c r="L254" s="30"/>
      <c r="O254" s="30" t="str">
        <v>kiri</v>
      </c>
      <c r="P254" s="30"/>
      <c r="Q254" s="30"/>
      <c r="T254" s="30" t="str">
        <v>kanan</v>
      </c>
      <c r="U254" s="30"/>
      <c r="V254" s="30"/>
    </row>
    <row r="255" spans="5:22">
      <c r="E255" s="30" t="str">
        <v>kiri</v>
      </c>
      <c r="F255" s="30"/>
      <c r="G255" s="30"/>
      <c r="J255" s="30" t="str">
        <v>tengah</v>
      </c>
      <c r="K255" s="30"/>
      <c r="L255" s="30"/>
      <c r="O255" s="30" t="str">
        <v>kanan</v>
      </c>
      <c r="P255" s="30"/>
      <c r="Q255" s="30"/>
      <c r="T255" s="30" t="str">
        <v>tengah</v>
      </c>
      <c r="U255" s="30"/>
      <c r="V255" s="30"/>
    </row>
    <row r="256" spans="5:22">
      <c r="E256" s="30" t="str">
        <v>tengah</v>
      </c>
      <c r="F256" s="30"/>
      <c r="G256" s="30"/>
      <c r="J256" s="30" t="str">
        <v>tengah</v>
      </c>
      <c r="K256" s="30"/>
      <c r="L256" s="30"/>
      <c r="O256" s="30" t="str">
        <v>tengah</v>
      </c>
      <c r="P256" s="30"/>
      <c r="Q256" s="30"/>
      <c r="T256" s="30" t="str">
        <v>tengah</v>
      </c>
      <c r="U256" s="30"/>
      <c r="V256" s="30"/>
    </row>
    <row r="257" spans="5:22">
      <c r="E257" s="30" t="str">
        <v>tengah</v>
      </c>
      <c r="F257" s="30"/>
      <c r="G257" s="30"/>
      <c r="J257" s="30" t="str">
        <v>kanan</v>
      </c>
      <c r="K257" s="30"/>
      <c r="L257" s="30"/>
      <c r="O257" s="30" t="str">
        <v>kiri</v>
      </c>
      <c r="P257" s="30"/>
      <c r="Q257" s="30"/>
      <c r="T257" s="30" t="str">
        <v>kanan</v>
      </c>
      <c r="U257" s="30"/>
      <c r="V257" s="30"/>
    </row>
    <row r="258" spans="5:22">
      <c r="E258" s="30" t="str">
        <v>kiri</v>
      </c>
      <c r="F258" s="30"/>
      <c r="G258" s="30"/>
      <c r="J258" s="30" t="str">
        <v>tengah</v>
      </c>
      <c r="K258" s="30"/>
      <c r="L258" s="30"/>
      <c r="O258" s="30" t="str">
        <v>tengah</v>
      </c>
      <c r="P258" s="30"/>
      <c r="Q258" s="30"/>
      <c r="T258" s="30" t="str">
        <v>tengah</v>
      </c>
      <c r="U258" s="30"/>
      <c r="V258" s="30"/>
    </row>
    <row r="259" spans="5:22">
      <c r="E259" s="30" t="str">
        <v>tengah</v>
      </c>
      <c r="F259" s="30"/>
      <c r="G259" s="30"/>
      <c r="J259" s="30" t="str">
        <v>kanan</v>
      </c>
      <c r="K259" s="30"/>
      <c r="L259" s="30"/>
      <c r="O259" s="30" t="str">
        <v>tengah</v>
      </c>
      <c r="P259" s="30"/>
      <c r="Q259" s="30"/>
      <c r="T259" s="30" t="str">
        <v>tengah</v>
      </c>
      <c r="U259" s="30"/>
      <c r="V259" s="30"/>
    </row>
    <row r="260" spans="5:22">
      <c r="E260" s="30" t="str">
        <v>kiri</v>
      </c>
      <c r="F260" s="30"/>
      <c r="G260" s="30"/>
      <c r="J260" s="30" t="str">
        <v>tengah</v>
      </c>
      <c r="K260" s="30"/>
      <c r="L260" s="30"/>
      <c r="O260" s="30" t="str">
        <v>kiri</v>
      </c>
      <c r="P260" s="30"/>
      <c r="Q260" s="30"/>
      <c r="T260" s="30" t="str">
        <v>tengah</v>
      </c>
      <c r="U260" s="30"/>
      <c r="V260" s="30"/>
    </row>
    <row r="261" spans="5:22">
      <c r="E261" s="30" t="str">
        <v>kanan</v>
      </c>
      <c r="F261" s="30"/>
      <c r="G261" s="30"/>
      <c r="J261" s="30" t="str">
        <v>kanan</v>
      </c>
      <c r="K261" s="30"/>
      <c r="L261" s="30"/>
      <c r="O261" s="30" t="str">
        <v>kanan</v>
      </c>
      <c r="P261" s="30"/>
      <c r="Q261" s="30"/>
      <c r="T261" s="30" t="str">
        <v>kanan</v>
      </c>
      <c r="U261" s="30"/>
      <c r="V261" s="30"/>
    </row>
    <row r="262" spans="5:22">
      <c r="E262" s="30" t="str">
        <v>tengah</v>
      </c>
      <c r="F262" s="30"/>
      <c r="G262" s="30"/>
      <c r="J262" s="30" t="str">
        <v>tengah</v>
      </c>
      <c r="K262" s="30"/>
      <c r="L262" s="30"/>
      <c r="O262" s="30" t="str">
        <v>tengah</v>
      </c>
      <c r="P262" s="30"/>
      <c r="Q262" s="30"/>
      <c r="T262" s="30" t="str">
        <v>kanan</v>
      </c>
      <c r="U262" s="30"/>
      <c r="V262" s="30"/>
    </row>
    <row r="263" spans="5:22">
      <c r="E263" s="30" t="str">
        <v>tengah</v>
      </c>
      <c r="F263" s="30"/>
      <c r="G263" s="30"/>
      <c r="J263" s="30" t="str">
        <v>tengah</v>
      </c>
      <c r="K263" s="30"/>
      <c r="L263" s="30"/>
      <c r="O263" s="30" t="str">
        <v>tengah</v>
      </c>
      <c r="P263" s="30"/>
      <c r="Q263" s="30"/>
      <c r="T263" s="30" t="str">
        <v>kanan</v>
      </c>
      <c r="U263" s="30"/>
      <c r="V263" s="30"/>
    </row>
    <row r="264" spans="5:22">
      <c r="E264" s="30" t="str">
        <v>tengah</v>
      </c>
      <c r="F264" s="30"/>
      <c r="G264" s="30"/>
      <c r="J264" s="30" t="str">
        <v>tengah</v>
      </c>
      <c r="K264" s="30"/>
      <c r="L264" s="30"/>
      <c r="O264" s="30" t="str">
        <v>tengah</v>
      </c>
      <c r="P264" s="30"/>
      <c r="Q264" s="30"/>
      <c r="T264" s="30" t="str">
        <v>tengah</v>
      </c>
      <c r="U264" s="30"/>
      <c r="V264" s="30"/>
    </row>
    <row r="265" spans="5:22">
      <c r="E265" s="30" t="str">
        <v>kanan</v>
      </c>
      <c r="F265" s="30"/>
      <c r="G265" s="30"/>
      <c r="J265" s="30" t="str">
        <v>tengah</v>
      </c>
      <c r="K265" s="30"/>
      <c r="L265" s="30"/>
      <c r="O265" s="30" t="str">
        <v>tengah</v>
      </c>
      <c r="P265" s="30"/>
      <c r="Q265" s="30"/>
      <c r="T265" s="30" t="str">
        <v>tengah</v>
      </c>
      <c r="U265" s="30"/>
      <c r="V265" s="30"/>
    </row>
    <row r="266" spans="5:22">
      <c r="E266" s="30" t="str">
        <v>tengah</v>
      </c>
      <c r="F266" s="30"/>
      <c r="G266" s="30"/>
      <c r="J266" s="30" t="str">
        <v>tengah</v>
      </c>
      <c r="K266" s="30"/>
      <c r="L266" s="30"/>
      <c r="O266" s="30" t="str">
        <v>tengah</v>
      </c>
      <c r="P266" s="30"/>
      <c r="Q266" s="30"/>
      <c r="T266" s="30" t="str">
        <v>kanan</v>
      </c>
      <c r="U266" s="30"/>
      <c r="V266" s="30"/>
    </row>
    <row r="267" spans="5:22">
      <c r="E267" s="30" t="str">
        <v>tengah</v>
      </c>
      <c r="F267" s="30"/>
      <c r="G267" s="30"/>
      <c r="J267" s="30" t="str">
        <v>tengah</v>
      </c>
      <c r="K267" s="30"/>
      <c r="L267" s="30"/>
      <c r="O267" s="30" t="str">
        <v>tengah</v>
      </c>
      <c r="P267" s="30"/>
      <c r="Q267" s="30"/>
      <c r="T267" s="30" t="str">
        <v>kanan</v>
      </c>
      <c r="U267" s="30"/>
      <c r="V267" s="30"/>
    </row>
    <row r="268" spans="5:22">
      <c r="E268" s="30" t="str">
        <v>tengah</v>
      </c>
      <c r="F268" s="30"/>
      <c r="G268" s="30"/>
      <c r="J268" s="30" t="str">
        <v>tengah</v>
      </c>
      <c r="K268" s="30"/>
      <c r="L268" s="30"/>
      <c r="O268" s="30" t="str">
        <v>tengah</v>
      </c>
      <c r="P268" s="30"/>
      <c r="Q268" s="30"/>
      <c r="T268" s="30" t="str">
        <v>kanan</v>
      </c>
      <c r="U268" s="30"/>
      <c r="V268" s="30"/>
    </row>
    <row r="269" spans="5:22">
      <c r="E269" s="30" t="str">
        <v>tengah</v>
      </c>
      <c r="F269" s="30"/>
      <c r="G269" s="30"/>
      <c r="J269" s="30" t="str">
        <v>tengah</v>
      </c>
      <c r="K269" s="30"/>
      <c r="L269" s="30"/>
      <c r="O269" s="30" t="str">
        <v>tengah</v>
      </c>
      <c r="P269" s="30"/>
      <c r="Q269" s="30"/>
      <c r="T269" s="30" t="str">
        <v>tengah</v>
      </c>
      <c r="U269" s="30"/>
      <c r="V269" s="30"/>
    </row>
    <row r="270" spans="5:22">
      <c r="E270" s="30" t="str">
        <v>tengah</v>
      </c>
      <c r="F270" s="30"/>
      <c r="G270" s="30"/>
      <c r="J270" s="30" t="str">
        <v>tengah</v>
      </c>
      <c r="K270" s="30"/>
      <c r="L270" s="30"/>
      <c r="O270" s="30" t="str">
        <v>tengah</v>
      </c>
      <c r="P270" s="30"/>
      <c r="Q270" s="30"/>
      <c r="T270" s="30" t="str">
        <v>tengah</v>
      </c>
      <c r="U270" s="30"/>
      <c r="V270" s="30"/>
    </row>
    <row r="271" spans="5:22">
      <c r="E271" s="30" t="str">
        <v>tengah</v>
      </c>
      <c r="F271" s="30"/>
      <c r="G271" s="30"/>
      <c r="J271" s="30" t="str">
        <v>kanan</v>
      </c>
      <c r="K271" s="30"/>
      <c r="L271" s="30"/>
      <c r="O271" s="30" t="str">
        <v>tengah</v>
      </c>
      <c r="P271" s="30"/>
      <c r="Q271" s="30"/>
      <c r="T271" s="30" t="str">
        <v>tengah</v>
      </c>
      <c r="U271" s="30"/>
      <c r="V271" s="30"/>
    </row>
    <row r="272" spans="5:22">
      <c r="E272" s="30" t="str">
        <v>kanan</v>
      </c>
      <c r="F272" s="30"/>
      <c r="G272" s="30"/>
      <c r="J272" s="30" t="str">
        <v>kiri</v>
      </c>
      <c r="K272" s="30"/>
      <c r="L272" s="30"/>
      <c r="O272" s="30" t="str">
        <v>kanan</v>
      </c>
      <c r="P272" s="30"/>
      <c r="Q272" s="30"/>
      <c r="T272" s="30" t="str">
        <v>kanan</v>
      </c>
      <c r="U272" s="30"/>
      <c r="V272" s="30"/>
    </row>
    <row r="273" spans="5:22">
      <c r="E273" s="30" t="str">
        <v>tengah</v>
      </c>
      <c r="F273" s="30"/>
      <c r="G273" s="30"/>
      <c r="J273" s="30" t="str">
        <v>tengah</v>
      </c>
      <c r="K273" s="30"/>
      <c r="L273" s="30"/>
      <c r="O273" s="30" t="str">
        <v>tengah</v>
      </c>
      <c r="P273" s="30"/>
      <c r="Q273" s="30"/>
      <c r="T273" s="30" t="str">
        <v>kanan</v>
      </c>
      <c r="U273" s="30"/>
      <c r="V273" s="30"/>
    </row>
    <row r="274" spans="5:22">
      <c r="E274" s="30" t="str">
        <v>kanan</v>
      </c>
      <c r="F274" s="30"/>
      <c r="G274" s="30"/>
      <c r="J274" s="30" t="str">
        <v>kanan</v>
      </c>
      <c r="K274" s="30"/>
      <c r="L274" s="30"/>
      <c r="O274" s="30" t="str">
        <v>kanan</v>
      </c>
      <c r="P274" s="30"/>
      <c r="Q274" s="30"/>
      <c r="T274" s="30" t="str">
        <v>kanan</v>
      </c>
      <c r="U274" s="30"/>
      <c r="V274" s="30"/>
    </row>
    <row r="275" spans="5:22">
      <c r="E275" s="30" t="str">
        <v>kanan</v>
      </c>
      <c r="F275" s="30"/>
      <c r="G275" s="30"/>
      <c r="J275" s="30" t="str">
        <v>kanan</v>
      </c>
      <c r="K275" s="30"/>
      <c r="L275" s="30"/>
      <c r="O275" s="30" t="str">
        <v>tengah</v>
      </c>
      <c r="P275" s="30"/>
      <c r="Q275" s="30"/>
      <c r="T275" s="30" t="str">
        <v>kanan</v>
      </c>
      <c r="U275" s="30"/>
      <c r="V275" s="30"/>
    </row>
    <row r="276" spans="5:22">
      <c r="E276" s="30" t="str">
        <v>kanan</v>
      </c>
      <c r="F276" s="30"/>
      <c r="G276" s="30"/>
      <c r="J276" s="30" t="str">
        <v>tengah</v>
      </c>
      <c r="K276" s="30"/>
      <c r="L276" s="30"/>
      <c r="O276" s="30" t="str">
        <v>kanan</v>
      </c>
      <c r="P276" s="30"/>
      <c r="Q276" s="30"/>
      <c r="T276" s="30" t="str">
        <v>kanan</v>
      </c>
      <c r="U276" s="30"/>
      <c r="V276" s="30"/>
    </row>
    <row r="277" spans="5:22">
      <c r="E277" s="30" t="str">
        <v>tengah</v>
      </c>
      <c r="F277" s="30"/>
      <c r="G277" s="30"/>
      <c r="J277" s="30" t="str">
        <v>tengah</v>
      </c>
      <c r="K277" s="30"/>
      <c r="L277" s="30"/>
      <c r="O277" s="30" t="str">
        <v>tengah</v>
      </c>
      <c r="P277" s="30"/>
      <c r="Q277" s="30"/>
      <c r="T277" s="30" t="str">
        <v>kanan</v>
      </c>
      <c r="U277" s="30"/>
      <c r="V277" s="30"/>
    </row>
    <row r="278" spans="5:22">
      <c r="E278" s="30" t="str">
        <v>tengah</v>
      </c>
      <c r="F278" s="30"/>
      <c r="G278" s="30"/>
      <c r="J278" s="30" t="str">
        <v>tengah</v>
      </c>
      <c r="K278" s="30"/>
      <c r="L278" s="30"/>
      <c r="O278" s="30" t="str">
        <v>tengah</v>
      </c>
      <c r="P278" s="30"/>
      <c r="Q278" s="30"/>
      <c r="T278" s="30" t="str">
        <v>kanan</v>
      </c>
      <c r="U278" s="30"/>
      <c r="V278" s="30"/>
    </row>
    <row r="279" spans="5:22">
      <c r="E279" s="30" t="str">
        <v>kanan</v>
      </c>
      <c r="F279" s="30"/>
      <c r="G279" s="30"/>
      <c r="J279" s="30" t="str">
        <v>kiri</v>
      </c>
      <c r="K279" s="30"/>
      <c r="L279" s="30"/>
      <c r="O279" s="30" t="str">
        <v>kiri</v>
      </c>
      <c r="P279" s="30"/>
      <c r="Q279" s="30"/>
      <c r="T279" s="30" t="str">
        <v>tengah</v>
      </c>
      <c r="U279" s="30"/>
      <c r="V279" s="30"/>
    </row>
    <row r="280" spans="5:22">
      <c r="E280" s="30" t="str">
        <v>kanan</v>
      </c>
      <c r="F280" s="30"/>
      <c r="G280" s="30"/>
      <c r="J280" s="30" t="str">
        <v>tengah</v>
      </c>
      <c r="K280" s="30"/>
      <c r="L280" s="30"/>
      <c r="O280" s="30" t="str">
        <v>tengah</v>
      </c>
      <c r="P280" s="30"/>
      <c r="Q280" s="30"/>
      <c r="T280" s="30" t="str">
        <v>tengah</v>
      </c>
      <c r="U280" s="30"/>
      <c r="V280" s="30"/>
    </row>
    <row r="281" spans="5:22">
      <c r="E281" s="30" t="str">
        <v>tengah</v>
      </c>
      <c r="F281" s="30"/>
      <c r="G281" s="30"/>
      <c r="J281" s="30" t="str">
        <v>tengah</v>
      </c>
      <c r="K281" s="30"/>
      <c r="L281" s="30"/>
      <c r="O281" s="30" t="str">
        <v>tengah</v>
      </c>
      <c r="P281" s="30"/>
      <c r="Q281" s="30"/>
      <c r="T281" s="30" t="str">
        <v>tengah</v>
      </c>
      <c r="U281" s="30"/>
      <c r="V281" s="30"/>
    </row>
    <row r="282" spans="5:22">
      <c r="E282" s="30" t="str">
        <v>kiri</v>
      </c>
      <c r="F282" s="30"/>
      <c r="G282" s="30"/>
      <c r="J282" s="30" t="str">
        <v>kiri</v>
      </c>
      <c r="K282" s="30"/>
      <c r="L282" s="30"/>
      <c r="O282" s="30" t="str">
        <v>kanan</v>
      </c>
      <c r="P282" s="30"/>
      <c r="Q282" s="30"/>
      <c r="T282" s="30" t="str">
        <v>tengah</v>
      </c>
      <c r="U282" s="30"/>
      <c r="V282" s="30"/>
    </row>
    <row r="283" spans="5:22">
      <c r="E283" s="30" t="str">
        <v>tengah</v>
      </c>
      <c r="F283" s="30"/>
      <c r="G283" s="30"/>
      <c r="J283" s="30" t="str">
        <v>kanan</v>
      </c>
      <c r="K283" s="30"/>
      <c r="L283" s="30"/>
      <c r="O283" s="30" t="str">
        <v>tengah</v>
      </c>
      <c r="P283" s="30"/>
      <c r="Q283" s="30"/>
      <c r="T283" s="30" t="str">
        <v>kanan</v>
      </c>
      <c r="U283" s="30"/>
      <c r="V283" s="30"/>
    </row>
    <row r="284" spans="5:22">
      <c r="E284" s="30" t="str">
        <v>tengah</v>
      </c>
      <c r="F284" s="30"/>
      <c r="G284" s="30"/>
      <c r="J284" s="30" t="str">
        <v>kanan</v>
      </c>
      <c r="K284" s="30"/>
      <c r="L284" s="30"/>
      <c r="O284" s="30" t="str">
        <v>tengah</v>
      </c>
      <c r="P284" s="30"/>
      <c r="Q284" s="30"/>
      <c r="T284" s="30" t="str">
        <v>kanan</v>
      </c>
      <c r="U284" s="30"/>
      <c r="V284" s="30"/>
    </row>
    <row r="285" spans="5:22">
      <c r="E285" s="30" t="str">
        <v>kiri</v>
      </c>
      <c r="F285" s="30"/>
      <c r="G285" s="30"/>
      <c r="J285" s="30" t="str">
        <v>kiri</v>
      </c>
      <c r="K285" s="30"/>
      <c r="L285" s="30"/>
      <c r="O285" s="30" t="str">
        <v>kanan</v>
      </c>
      <c r="P285" s="30"/>
      <c r="Q285" s="30"/>
      <c r="T285" s="30" t="str">
        <v>tengah</v>
      </c>
      <c r="U285" s="30"/>
      <c r="V285" s="30"/>
    </row>
    <row r="286" spans="5:22">
      <c r="E286" s="30" t="str">
        <v>tengah</v>
      </c>
      <c r="F286" s="30"/>
      <c r="G286" s="30"/>
      <c r="J286" s="30" t="str">
        <v>tengah</v>
      </c>
      <c r="K286" s="30"/>
      <c r="L286" s="30"/>
      <c r="O286" s="30" t="str">
        <v>tengah</v>
      </c>
      <c r="P286" s="30"/>
      <c r="Q286" s="30"/>
      <c r="T286" s="30" t="str">
        <v>tengah</v>
      </c>
      <c r="U286" s="30"/>
      <c r="V286" s="30"/>
    </row>
    <row r="287" spans="5:22">
      <c r="E287" s="30" t="str">
        <v>kiri</v>
      </c>
      <c r="F287" s="30"/>
      <c r="G287" s="30"/>
      <c r="J287" s="30" t="str">
        <v>tengah</v>
      </c>
      <c r="K287" s="30"/>
      <c r="L287" s="30"/>
      <c r="O287" s="30" t="str">
        <v>tengah</v>
      </c>
      <c r="P287" s="30"/>
      <c r="Q287" s="30"/>
      <c r="T287" s="30" t="str">
        <v>tengah</v>
      </c>
      <c r="U287" s="30"/>
      <c r="V287" s="30"/>
    </row>
    <row r="288" spans="5:22">
      <c r="E288" s="30" t="str">
        <v>tengah</v>
      </c>
      <c r="F288" s="30"/>
      <c r="G288" s="30"/>
      <c r="J288" s="30" t="str">
        <v>tengah</v>
      </c>
      <c r="K288" s="30"/>
      <c r="L288" s="30"/>
      <c r="O288" s="30" t="str">
        <v>tengah</v>
      </c>
      <c r="P288" s="30"/>
      <c r="Q288" s="30"/>
      <c r="T288" s="30" t="str">
        <v>kanan</v>
      </c>
      <c r="U288" s="30"/>
      <c r="V288" s="30"/>
    </row>
    <row r="289" spans="5:22">
      <c r="E289" s="30" t="str">
        <v>kanan</v>
      </c>
      <c r="F289" s="30"/>
      <c r="G289" s="30"/>
      <c r="J289" s="30" t="str">
        <v>kiri</v>
      </c>
      <c r="K289" s="30"/>
      <c r="L289" s="30"/>
      <c r="O289" s="30" t="str">
        <v>kanan</v>
      </c>
      <c r="P289" s="30"/>
      <c r="Q289" s="30"/>
      <c r="T289" s="30" t="str">
        <v>kanan</v>
      </c>
      <c r="U289" s="30"/>
      <c r="V289" s="30"/>
    </row>
    <row r="290" spans="5:22">
      <c r="E290" s="30" t="str">
        <v>tengah</v>
      </c>
      <c r="F290" s="30"/>
      <c r="G290" s="30"/>
      <c r="J290" s="30" t="str">
        <v>kanan</v>
      </c>
      <c r="K290" s="30"/>
      <c r="L290" s="30"/>
      <c r="O290" s="30" t="str">
        <v>tengah</v>
      </c>
      <c r="P290" s="30"/>
      <c r="Q290" s="30"/>
      <c r="T290" s="30" t="str">
        <v>tengah</v>
      </c>
      <c r="U290" s="30"/>
      <c r="V290" s="30"/>
    </row>
    <row r="291" spans="5:22">
      <c r="E291" s="30" t="str">
        <v>tengah</v>
      </c>
      <c r="F291" s="30"/>
      <c r="G291" s="30"/>
      <c r="J291" s="30" t="str">
        <v>kanan</v>
      </c>
      <c r="K291" s="30"/>
      <c r="L291" s="30"/>
      <c r="O291" s="30" t="str">
        <v>tengah</v>
      </c>
      <c r="P291" s="30"/>
      <c r="Q291" s="30"/>
      <c r="T291" s="30" t="str">
        <v>tengah</v>
      </c>
      <c r="U291" s="30"/>
      <c r="V291" s="30"/>
    </row>
    <row r="292" spans="5:22">
      <c r="E292" s="30" t="str">
        <v>tengah</v>
      </c>
      <c r="F292" s="30"/>
      <c r="G292" s="30"/>
      <c r="J292" s="30" t="str">
        <v>tengah</v>
      </c>
      <c r="K292" s="30"/>
      <c r="L292" s="30"/>
      <c r="O292" s="30" t="str">
        <v>tengah</v>
      </c>
      <c r="P292" s="30"/>
      <c r="Q292" s="30"/>
      <c r="T292" s="30" t="str">
        <v>tengah</v>
      </c>
      <c r="U292" s="30"/>
      <c r="V292" s="30"/>
    </row>
    <row r="293" spans="5:22">
      <c r="E293" s="30" t="str">
        <v>tengah</v>
      </c>
      <c r="F293" s="30"/>
      <c r="G293" s="30"/>
      <c r="J293" s="30" t="str">
        <v>tengah</v>
      </c>
      <c r="K293" s="30"/>
      <c r="L293" s="30"/>
      <c r="O293" s="30" t="str">
        <v>tengah</v>
      </c>
      <c r="P293" s="30"/>
      <c r="Q293" s="30"/>
      <c r="T293" s="30" t="str">
        <v>kanan</v>
      </c>
      <c r="U293" s="30"/>
      <c r="V293" s="30"/>
    </row>
    <row r="294" spans="5:22">
      <c r="E294" s="30" t="str">
        <v>kanan</v>
      </c>
      <c r="F294" s="30"/>
      <c r="G294" s="30"/>
      <c r="J294" s="30" t="str">
        <v>tengah</v>
      </c>
      <c r="K294" s="30"/>
      <c r="L294" s="30"/>
      <c r="O294" s="30" t="str">
        <v>tengah</v>
      </c>
      <c r="P294" s="30"/>
      <c r="Q294" s="30"/>
      <c r="T294" s="30" t="str">
        <v>kanan</v>
      </c>
      <c r="U294" s="30"/>
      <c r="V294" s="30"/>
    </row>
    <row r="295" spans="5:22">
      <c r="E295" s="30" t="str">
        <v>kiri</v>
      </c>
      <c r="F295" s="30"/>
      <c r="G295" s="30"/>
      <c r="J295" s="30" t="str">
        <v>kiri</v>
      </c>
      <c r="K295" s="30"/>
      <c r="L295" s="30"/>
      <c r="O295" s="30" t="str">
        <v>kanan</v>
      </c>
      <c r="P295" s="30"/>
      <c r="Q295" s="30"/>
      <c r="T295" s="30" t="str">
        <v>tengah</v>
      </c>
      <c r="U295" s="30"/>
      <c r="V295" s="30"/>
    </row>
    <row r="296" spans="5:22">
      <c r="E296" s="30" t="str">
        <v>kiri</v>
      </c>
      <c r="F296" s="30"/>
      <c r="G296" s="30"/>
      <c r="J296" s="30" t="str">
        <v>tengah</v>
      </c>
      <c r="K296" s="30"/>
      <c r="L296" s="30"/>
      <c r="O296" s="30" t="str">
        <v>kanan</v>
      </c>
      <c r="P296" s="30"/>
      <c r="Q296" s="30"/>
      <c r="T296" s="30" t="str">
        <v>kanan</v>
      </c>
      <c r="U296" s="30"/>
      <c r="V296" s="30"/>
    </row>
    <row r="297" spans="5:22">
      <c r="E297" s="30" t="str">
        <v>tengah</v>
      </c>
      <c r="F297" s="30"/>
      <c r="G297" s="30"/>
      <c r="J297" s="30" t="str">
        <v>tengah</v>
      </c>
      <c r="K297" s="30"/>
      <c r="L297" s="30"/>
      <c r="O297" s="30" t="str">
        <v>tengah</v>
      </c>
      <c r="P297" s="30"/>
      <c r="Q297" s="30"/>
      <c r="T297" s="30" t="str">
        <v>kanan</v>
      </c>
      <c r="U297" s="30"/>
      <c r="V297" s="30"/>
    </row>
    <row r="298" spans="5:22">
      <c r="E298" s="30" t="str">
        <v>tengah</v>
      </c>
      <c r="F298" s="30"/>
      <c r="G298" s="30"/>
      <c r="J298" s="30" t="str">
        <v>tengah</v>
      </c>
      <c r="K298" s="30"/>
      <c r="L298" s="30"/>
      <c r="O298" s="30" t="str">
        <v>kanan</v>
      </c>
      <c r="P298" s="30"/>
      <c r="Q298" s="30"/>
      <c r="T298" s="30" t="str">
        <v>kanan</v>
      </c>
      <c r="U298" s="30"/>
      <c r="V298" s="30"/>
    </row>
    <row r="299" spans="5:22">
      <c r="E299" s="30" t="str">
        <v>tengah</v>
      </c>
      <c r="F299" s="30"/>
      <c r="G299" s="30"/>
      <c r="J299" s="30" t="str">
        <v>tengah</v>
      </c>
      <c r="K299" s="30"/>
      <c r="L299" s="30"/>
      <c r="O299" s="30" t="str">
        <v>tengah</v>
      </c>
      <c r="P299" s="30"/>
      <c r="Q299" s="30"/>
      <c r="T299" s="30" t="str">
        <v>kanan</v>
      </c>
      <c r="U299" s="30"/>
      <c r="V299" s="30"/>
    </row>
    <row r="300" spans="5:22">
      <c r="E300" s="30" t="str">
        <v>kiri</v>
      </c>
      <c r="F300" s="30"/>
      <c r="G300" s="30"/>
      <c r="J300" s="30" t="str">
        <v>tengah</v>
      </c>
      <c r="K300" s="30"/>
      <c r="L300" s="30"/>
      <c r="O300" s="30" t="str">
        <v>kanan</v>
      </c>
      <c r="P300" s="30"/>
      <c r="Q300" s="30"/>
      <c r="T300" s="30" t="str">
        <v>tengah</v>
      </c>
      <c r="U300" s="30"/>
      <c r="V300" s="30"/>
    </row>
    <row r="301" spans="5:22">
      <c r="E301" s="30" t="str">
        <v>kiri</v>
      </c>
      <c r="F301" s="30"/>
      <c r="G301" s="30"/>
      <c r="J301" s="30" t="str">
        <v>kiri</v>
      </c>
      <c r="K301" s="30"/>
      <c r="L301" s="30"/>
      <c r="O301" s="30" t="str">
        <v>tengah</v>
      </c>
      <c r="P301" s="30"/>
      <c r="Q301" s="30"/>
      <c r="T301" s="30" t="str">
        <v>kanan</v>
      </c>
      <c r="U301" s="30"/>
      <c r="V301" s="30"/>
    </row>
    <row r="302" spans="5:22">
      <c r="E302" s="30" t="str">
        <v>tengah</v>
      </c>
      <c r="F302" s="30"/>
      <c r="G302" s="30"/>
      <c r="J302" s="30" t="str">
        <v>kanan</v>
      </c>
      <c r="K302" s="30"/>
      <c r="L302" s="30"/>
      <c r="O302" s="30" t="str">
        <v>kiri</v>
      </c>
      <c r="P302" s="30"/>
      <c r="Q302" s="30"/>
      <c r="T302" s="30" t="str">
        <v>tengah</v>
      </c>
      <c r="U302" s="30"/>
      <c r="V302" s="30"/>
    </row>
    <row r="303" spans="5:22">
      <c r="E303" s="30" t="str">
        <v>tengah</v>
      </c>
      <c r="F303" s="30"/>
      <c r="G303" s="30"/>
      <c r="J303" s="30" t="str">
        <v>tengah</v>
      </c>
      <c r="K303" s="30"/>
      <c r="L303" s="30"/>
      <c r="O303" s="30" t="str">
        <v>tengah</v>
      </c>
      <c r="P303" s="30"/>
      <c r="Q303" s="30"/>
      <c r="T303" s="30" t="str">
        <v>kanan</v>
      </c>
      <c r="U303" s="30"/>
      <c r="V303" s="30"/>
    </row>
    <row r="304" spans="5:22">
      <c r="E304" s="30" t="str">
        <v>tengah</v>
      </c>
      <c r="F304" s="30"/>
      <c r="G304" s="30"/>
      <c r="J304" s="30" t="str">
        <v>tengah</v>
      </c>
      <c r="K304" s="30"/>
      <c r="L304" s="30"/>
      <c r="O304" s="30" t="str">
        <v>tengah</v>
      </c>
      <c r="P304" s="30"/>
      <c r="Q304" s="30"/>
      <c r="T304" s="30" t="str">
        <v>tengah</v>
      </c>
      <c r="U304" s="30"/>
      <c r="V304" s="30"/>
    </row>
    <row r="305" spans="5:22">
      <c r="E305" s="30" t="str">
        <v>tengah</v>
      </c>
      <c r="F305" s="30"/>
      <c r="G305" s="30"/>
      <c r="J305" s="30" t="str">
        <v>kanan</v>
      </c>
      <c r="K305" s="30"/>
      <c r="L305" s="30"/>
      <c r="O305" s="30" t="str">
        <v>tengah</v>
      </c>
      <c r="P305" s="30"/>
      <c r="Q305" s="30"/>
      <c r="T305" s="30" t="str">
        <v>tengah</v>
      </c>
      <c r="U305" s="30"/>
      <c r="V305" s="30"/>
    </row>
    <row r="306" spans="5:22">
      <c r="E306" s="30" t="str">
        <v>tengah</v>
      </c>
      <c r="F306" s="30"/>
      <c r="G306" s="30"/>
      <c r="J306" s="30" t="str">
        <v>tengah</v>
      </c>
      <c r="K306" s="30"/>
      <c r="L306" s="30"/>
      <c r="O306" s="30" t="str">
        <v>tengah</v>
      </c>
      <c r="P306" s="30"/>
      <c r="Q306" s="30"/>
      <c r="T306" s="30" t="str">
        <v>tengah</v>
      </c>
      <c r="U306" s="30"/>
      <c r="V306" s="30"/>
    </row>
    <row r="307" spans="5:22">
      <c r="E307" s="30" t="str">
        <v>kanan</v>
      </c>
      <c r="F307" s="30"/>
      <c r="G307" s="30"/>
      <c r="J307" s="30" t="str">
        <v>kiri</v>
      </c>
      <c r="K307" s="30"/>
      <c r="L307" s="30"/>
      <c r="O307" s="30" t="str">
        <v>tengah</v>
      </c>
      <c r="P307" s="30"/>
      <c r="Q307" s="30"/>
      <c r="T307" s="30" t="str">
        <v>tengah</v>
      </c>
      <c r="U307" s="30"/>
      <c r="V307" s="30"/>
    </row>
    <row r="308" spans="5:22">
      <c r="E308" s="30" t="str">
        <v>tengah</v>
      </c>
      <c r="F308" s="30"/>
      <c r="G308" s="30"/>
      <c r="J308" s="30" t="str">
        <v>kiri</v>
      </c>
      <c r="K308" s="30"/>
      <c r="L308" s="30"/>
      <c r="O308" s="30" t="str">
        <v>tengah</v>
      </c>
      <c r="P308" s="30"/>
      <c r="Q308" s="30"/>
      <c r="T308" s="30" t="str">
        <v>kanan</v>
      </c>
      <c r="U308" s="30"/>
      <c r="V308" s="30"/>
    </row>
    <row r="309" spans="5:22">
      <c r="E309" s="30" t="str">
        <v>kanan</v>
      </c>
      <c r="F309" s="30"/>
      <c r="G309" s="30"/>
      <c r="J309" s="30" t="str">
        <v>tengah</v>
      </c>
      <c r="K309" s="30"/>
      <c r="L309" s="30"/>
      <c r="O309" s="30" t="str">
        <v>tengah</v>
      </c>
      <c r="P309" s="30"/>
      <c r="Q309" s="30"/>
      <c r="T309" s="30" t="str">
        <v>tengah</v>
      </c>
      <c r="U309" s="30"/>
      <c r="V309" s="30"/>
    </row>
    <row r="310" spans="5:22">
      <c r="E310" s="30" t="str">
        <v>kanan</v>
      </c>
      <c r="F310" s="30"/>
      <c r="G310" s="30"/>
      <c r="J310" s="30" t="str">
        <v>tengah</v>
      </c>
      <c r="K310" s="30"/>
      <c r="L310" s="30"/>
      <c r="O310" s="30" t="str">
        <v>tengah</v>
      </c>
      <c r="P310" s="30"/>
      <c r="Q310" s="30"/>
      <c r="T310" s="30" t="str">
        <v>kanan</v>
      </c>
      <c r="U310" s="30"/>
      <c r="V310" s="30"/>
    </row>
    <row r="311" spans="5:22">
      <c r="E311" s="30" t="str">
        <v>kanan</v>
      </c>
      <c r="F311" s="30"/>
      <c r="G311" s="30"/>
      <c r="J311" s="30" t="str">
        <v>kanan</v>
      </c>
      <c r="K311" s="30"/>
      <c r="L311" s="30"/>
      <c r="O311" s="30" t="str">
        <v>kiri</v>
      </c>
      <c r="P311" s="30"/>
      <c r="Q311" s="30"/>
      <c r="T311" s="30" t="str">
        <v>kanan</v>
      </c>
      <c r="U311" s="30"/>
      <c r="V311" s="30"/>
    </row>
    <row r="312" spans="5:22">
      <c r="E312" s="30" t="str">
        <v>kiri</v>
      </c>
      <c r="F312" s="30"/>
      <c r="G312" s="30"/>
      <c r="J312" s="30" t="str">
        <v>kiri</v>
      </c>
      <c r="K312" s="30"/>
      <c r="L312" s="30"/>
      <c r="O312" s="30" t="str">
        <v>kanan</v>
      </c>
      <c r="P312" s="30"/>
      <c r="Q312" s="30"/>
      <c r="T312" s="30" t="str">
        <v>tengah</v>
      </c>
      <c r="U312" s="30"/>
      <c r="V312" s="30"/>
    </row>
    <row r="313" spans="5:22">
      <c r="E313" s="30" t="str">
        <v>tengah</v>
      </c>
      <c r="F313" s="30"/>
      <c r="G313" s="30"/>
      <c r="J313" s="30" t="str">
        <v>kiri</v>
      </c>
      <c r="K313" s="30"/>
      <c r="L313" s="30"/>
      <c r="O313" s="30" t="str">
        <v>kiri</v>
      </c>
      <c r="P313" s="30"/>
      <c r="Q313" s="30"/>
      <c r="T313" s="30" t="str">
        <v>tengah</v>
      </c>
      <c r="U313" s="30"/>
      <c r="V313" s="30"/>
    </row>
    <row r="314" spans="5:22">
      <c r="E314" s="30" t="str">
        <v>tengah</v>
      </c>
      <c r="F314" s="30"/>
      <c r="G314" s="30"/>
      <c r="J314" s="30" t="str">
        <v>tengah</v>
      </c>
      <c r="K314" s="30"/>
      <c r="L314" s="30"/>
      <c r="O314" s="30" t="str">
        <v>kiri</v>
      </c>
      <c r="P314" s="30"/>
      <c r="Q314" s="30"/>
      <c r="T314" s="30" t="str">
        <v>kanan</v>
      </c>
      <c r="U314" s="30"/>
      <c r="V314" s="30"/>
    </row>
    <row r="315" spans="5:22">
      <c r="E315" s="30" t="str">
        <v>tengah</v>
      </c>
      <c r="F315" s="30"/>
      <c r="G315" s="30"/>
      <c r="J315" s="30" t="str">
        <v>kanan</v>
      </c>
      <c r="K315" s="30"/>
      <c r="L315" s="30"/>
      <c r="O315" s="30" t="str">
        <v>tengah</v>
      </c>
      <c r="P315" s="30"/>
      <c r="Q315" s="30"/>
      <c r="T315" s="30" t="str">
        <v>kanan</v>
      </c>
      <c r="U315" s="30"/>
      <c r="V315" s="30"/>
    </row>
    <row r="316" spans="5:22">
      <c r="E316" s="30" t="str">
        <v>kiri</v>
      </c>
      <c r="F316" s="30"/>
      <c r="G316" s="30"/>
      <c r="J316" s="30" t="str">
        <v>kiri</v>
      </c>
      <c r="K316" s="30"/>
      <c r="L316" s="30"/>
      <c r="O316" s="30" t="str">
        <v>kanan</v>
      </c>
      <c r="P316" s="30"/>
      <c r="Q316" s="30"/>
      <c r="T316" s="30" t="str">
        <v>kanan</v>
      </c>
      <c r="U316" s="30"/>
      <c r="V316" s="30"/>
    </row>
    <row r="317" spans="5:22">
      <c r="E317" s="30" t="str">
        <v>kanan</v>
      </c>
      <c r="F317" s="30"/>
      <c r="G317" s="30"/>
      <c r="J317" s="30" t="str">
        <v>kanan</v>
      </c>
      <c r="K317" s="30"/>
      <c r="L317" s="30"/>
      <c r="O317" s="30" t="str">
        <v>tengah</v>
      </c>
      <c r="P317" s="30"/>
      <c r="Q317" s="30"/>
      <c r="T317" s="30" t="str">
        <v>tengah</v>
      </c>
      <c r="U317" s="30"/>
      <c r="V317" s="30"/>
    </row>
    <row r="318" spans="5:22">
      <c r="E318" s="30" t="str">
        <v>kiri</v>
      </c>
      <c r="F318" s="30"/>
      <c r="G318" s="30"/>
      <c r="J318" s="30" t="str">
        <v>kiri</v>
      </c>
      <c r="K318" s="30"/>
      <c r="L318" s="30"/>
      <c r="O318" s="30" t="str">
        <v>tengah</v>
      </c>
      <c r="P318" s="30"/>
      <c r="Q318" s="30"/>
      <c r="T318" s="30" t="str">
        <v>tengah</v>
      </c>
      <c r="U318" s="30"/>
      <c r="V318" s="30"/>
    </row>
    <row r="319" spans="5:22">
      <c r="E319" s="30" t="str">
        <v>kanan</v>
      </c>
      <c r="F319" s="30"/>
      <c r="G319" s="30"/>
      <c r="J319" s="30" t="str">
        <v>tengah</v>
      </c>
      <c r="K319" s="30"/>
      <c r="L319" s="30"/>
      <c r="O319" s="30" t="str">
        <v>tengah</v>
      </c>
      <c r="P319" s="30"/>
      <c r="Q319" s="30"/>
      <c r="T319" s="30" t="str">
        <v>tengah</v>
      </c>
      <c r="U319" s="30"/>
      <c r="V319" s="30"/>
    </row>
    <row r="320" spans="5:22">
      <c r="E320" s="30" t="str">
        <v>tengah</v>
      </c>
      <c r="F320" s="30"/>
      <c r="G320" s="30"/>
      <c r="J320" s="30" t="str">
        <v>tengah</v>
      </c>
      <c r="K320" s="30"/>
      <c r="L320" s="30"/>
      <c r="O320" s="30" t="str">
        <v>tengah</v>
      </c>
      <c r="P320" s="30"/>
      <c r="Q320" s="30"/>
      <c r="T320" s="30" t="str">
        <v>kanan</v>
      </c>
      <c r="U320" s="30"/>
      <c r="V320" s="30"/>
    </row>
    <row r="321" spans="5:22">
      <c r="E321" s="30" t="str">
        <v>kanan</v>
      </c>
      <c r="F321" s="30"/>
      <c r="G321" s="30"/>
      <c r="J321" s="30" t="str">
        <v>kiri</v>
      </c>
      <c r="K321" s="30"/>
      <c r="L321" s="30"/>
      <c r="O321" s="30" t="str">
        <v>kiri</v>
      </c>
      <c r="P321" s="30"/>
      <c r="Q321" s="30"/>
      <c r="T321" s="30" t="str">
        <v>tengah</v>
      </c>
      <c r="U321" s="30"/>
      <c r="V321" s="30"/>
    </row>
    <row r="322" spans="5:22">
      <c r="E322" s="30" t="str">
        <v>kiri</v>
      </c>
      <c r="F322" s="30"/>
      <c r="G322" s="30"/>
      <c r="J322" s="30" t="str">
        <v>tengah</v>
      </c>
      <c r="K322" s="30"/>
      <c r="L322" s="30"/>
      <c r="O322" s="30" t="str">
        <v>kanan</v>
      </c>
      <c r="P322" s="30"/>
      <c r="Q322" s="30"/>
      <c r="T322" s="30" t="str">
        <v>tengah</v>
      </c>
      <c r="U322" s="30"/>
      <c r="V322" s="30"/>
    </row>
    <row r="323" spans="5:22">
      <c r="E323" s="30" t="str">
        <v>tengah</v>
      </c>
      <c r="F323" s="30"/>
      <c r="G323" s="30"/>
      <c r="J323" s="30" t="str">
        <v>kiri</v>
      </c>
      <c r="K323" s="30"/>
      <c r="L323" s="30"/>
      <c r="O323" s="30" t="str">
        <v>kiri</v>
      </c>
      <c r="P323" s="30"/>
      <c r="Q323" s="30"/>
      <c r="T323" s="30" t="str">
        <v>tengah</v>
      </c>
      <c r="U323" s="30"/>
      <c r="V323" s="30"/>
    </row>
    <row r="324" spans="5:22">
      <c r="E324" s="30" t="str">
        <v>tengah</v>
      </c>
      <c r="F324" s="30"/>
      <c r="G324" s="30"/>
      <c r="J324" s="30" t="str">
        <v>kiri</v>
      </c>
      <c r="K324" s="30"/>
      <c r="L324" s="30"/>
      <c r="O324" s="30" t="str">
        <v>kiri</v>
      </c>
      <c r="P324" s="30"/>
      <c r="Q324" s="30"/>
      <c r="T324" s="30" t="str">
        <v>tengah</v>
      </c>
      <c r="U324" s="30"/>
      <c r="V324" s="30"/>
    </row>
    <row r="325" spans="5:22">
      <c r="E325" s="30" t="str">
        <v>tengah</v>
      </c>
      <c r="F325" s="30"/>
      <c r="G325" s="30"/>
      <c r="J325" s="30" t="str">
        <v>kanan</v>
      </c>
      <c r="K325" s="30"/>
      <c r="L325" s="30"/>
      <c r="O325" s="30" t="str">
        <v>kiri</v>
      </c>
      <c r="P325" s="30"/>
      <c r="Q325" s="30"/>
      <c r="T325" s="30" t="str">
        <v>tengah</v>
      </c>
      <c r="U325" s="30"/>
      <c r="V325" s="30"/>
    </row>
    <row r="326" spans="5:22">
      <c r="E326" s="30" t="str">
        <v>tengah</v>
      </c>
      <c r="F326" s="30"/>
      <c r="G326" s="30"/>
      <c r="J326" s="30" t="str">
        <v>kanan</v>
      </c>
      <c r="K326" s="30"/>
      <c r="L326" s="30"/>
      <c r="O326" s="30" t="str">
        <v>tengah</v>
      </c>
      <c r="P326" s="30"/>
      <c r="Q326" s="30"/>
      <c r="T326" s="30" t="str">
        <v>tengah</v>
      </c>
      <c r="U326" s="30"/>
      <c r="V326" s="30"/>
    </row>
    <row r="327" spans="5:22">
      <c r="E327" s="30" t="str">
        <v>kiri</v>
      </c>
      <c r="F327" s="30"/>
      <c r="G327" s="30"/>
      <c r="J327" s="30" t="str">
        <v>kiri</v>
      </c>
      <c r="K327" s="30"/>
      <c r="L327" s="30"/>
      <c r="O327" s="30" t="str">
        <v>kanan</v>
      </c>
      <c r="P327" s="30"/>
      <c r="Q327" s="30"/>
      <c r="T327" s="30" t="str">
        <v>kanan</v>
      </c>
      <c r="U327" s="30"/>
      <c r="V327" s="30"/>
    </row>
    <row r="328" spans="5:22">
      <c r="E328" s="30" t="str">
        <v>tengah</v>
      </c>
      <c r="F328" s="30"/>
      <c r="G328" s="30"/>
      <c r="J328" s="30" t="str">
        <v>tengah</v>
      </c>
      <c r="K328" s="30"/>
      <c r="L328" s="30"/>
      <c r="O328" s="30" t="str">
        <v>tengah</v>
      </c>
      <c r="P328" s="30"/>
      <c r="Q328" s="30"/>
      <c r="T328" s="30" t="str">
        <v>tengah</v>
      </c>
      <c r="U328" s="30"/>
      <c r="V328" s="30"/>
    </row>
    <row r="329" spans="5:22">
      <c r="E329" s="30" t="str">
        <v>tengah</v>
      </c>
      <c r="F329" s="30"/>
      <c r="G329" s="30"/>
      <c r="J329" s="30" t="str">
        <v>kiri</v>
      </c>
      <c r="K329" s="30"/>
      <c r="L329" s="30"/>
      <c r="O329" s="30" t="str">
        <v>tengah</v>
      </c>
      <c r="P329" s="30"/>
      <c r="Q329" s="30"/>
      <c r="T329" s="30" t="str">
        <v>kanan</v>
      </c>
      <c r="U329" s="30"/>
      <c r="V329" s="30"/>
    </row>
    <row r="330" spans="5:22">
      <c r="E330" s="30" t="str">
        <v>kanan</v>
      </c>
      <c r="F330" s="30"/>
      <c r="G330" s="30"/>
      <c r="J330" s="30" t="str">
        <v>kanan</v>
      </c>
      <c r="K330" s="30"/>
      <c r="L330" s="30"/>
      <c r="O330" s="30" t="str">
        <v>tengah</v>
      </c>
      <c r="P330" s="30"/>
      <c r="Q330" s="30"/>
      <c r="T330" s="30" t="str">
        <v>kanan</v>
      </c>
      <c r="U330" s="30"/>
      <c r="V330" s="30"/>
    </row>
    <row r="331" spans="5:22">
      <c r="E331" s="30" t="str">
        <v>kiri</v>
      </c>
      <c r="F331" s="30"/>
      <c r="G331" s="30"/>
      <c r="J331" s="30" t="str">
        <v>kanan</v>
      </c>
      <c r="K331" s="30"/>
      <c r="L331" s="30"/>
      <c r="O331" s="30" t="str">
        <v>kiri</v>
      </c>
      <c r="P331" s="30"/>
      <c r="Q331" s="30"/>
      <c r="T331" s="30" t="str">
        <v>tengah</v>
      </c>
      <c r="U331" s="30"/>
      <c r="V331" s="30"/>
    </row>
    <row r="332" spans="5:22">
      <c r="E332" s="30" t="str">
        <v>kiri</v>
      </c>
      <c r="F332" s="30"/>
      <c r="G332" s="30"/>
      <c r="J332" s="30" t="str">
        <v>tengah</v>
      </c>
      <c r="K332" s="30"/>
      <c r="L332" s="30"/>
      <c r="O332" s="30" t="str">
        <v>tengah</v>
      </c>
      <c r="P332" s="30"/>
      <c r="Q332" s="30"/>
      <c r="T332" s="30" t="str">
        <v>tengah</v>
      </c>
      <c r="U332" s="30"/>
      <c r="V332" s="30"/>
    </row>
  </sheetData>
  <pageMargins left="0.7" right="0.7" top="0.75" bottom="0.75" header="0.3" footer="0.3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32"/>
  <sheetViews>
    <sheetView zoomScale="98" zoomScaleNormal="98" topLeftCell="P155" workbookViewId="0">
      <selection activeCell="V166" sqref="V166"/>
    </sheetView>
  </sheetViews>
  <sheetFormatPr defaultColWidth="9" defaultRowHeight="15"/>
  <cols>
    <col min="2" max="2" width="15.8518518518519" customWidth="1"/>
    <col min="3" max="3" width="16.7111111111111" customWidth="1"/>
    <col min="4" max="4" width="13.8518518518519" customWidth="1"/>
    <col min="6" max="6" width="14.4222222222222" customWidth="1"/>
    <col min="8" max="8" width="14.2814814814815" customWidth="1"/>
    <col min="9" max="9" width="13.2814814814815" customWidth="1"/>
    <col min="10" max="10" width="13.8518518518519" customWidth="1"/>
    <col min="11" max="11" width="22" customWidth="1"/>
    <col min="13" max="13" width="14.4222222222222" customWidth="1"/>
    <col min="15" max="15" width="25.2814814814815" customWidth="1"/>
    <col min="16" max="16" width="12.8518518518519" customWidth="1"/>
    <col min="17" max="17" width="11.7111111111111" customWidth="1"/>
    <col min="20" max="20" width="14.4222222222222" customWidth="1"/>
  </cols>
  <sheetData>
    <row r="1" spans="1:17">
      <c r="A1" s="29" t="s">
        <v>175</v>
      </c>
      <c r="B1" s="29" t="s">
        <v>1</v>
      </c>
      <c r="C1" s="29" t="s">
        <v>2</v>
      </c>
      <c r="D1" s="29" t="s">
        <v>171</v>
      </c>
      <c r="E1" s="29" t="s">
        <v>4</v>
      </c>
      <c r="F1" s="29" t="s">
        <v>6</v>
      </c>
      <c r="H1" s="31" t="s">
        <v>175</v>
      </c>
      <c r="I1" s="31" t="s">
        <v>1</v>
      </c>
      <c r="J1" s="31" t="s">
        <v>2</v>
      </c>
      <c r="K1" s="31" t="s">
        <v>171</v>
      </c>
      <c r="L1" s="31" t="s">
        <v>4</v>
      </c>
      <c r="M1" s="31" t="s">
        <v>6</v>
      </c>
      <c r="O1" s="29" t="s">
        <v>176</v>
      </c>
      <c r="P1" s="32"/>
      <c r="Q1" s="32"/>
    </row>
    <row r="2" spans="1:17">
      <c r="A2" s="30">
        <f ca="1">RANDBETWEEN(2,164)</f>
        <v>121</v>
      </c>
      <c r="B2" s="30">
        <f ca="1" t="array" ref="B2">INDEX(Data_DBD!$B:$B,$A2)</f>
        <v>82</v>
      </c>
      <c r="C2" s="30">
        <f ca="1" t="array" ref="C2">INDEX(Data_DBD!$C:$C,$A2)</f>
        <v>5</v>
      </c>
      <c r="D2" s="30">
        <f ca="1" t="array" ref="D2">INDEX(Data_DBD!$D:$D,$A2)</f>
        <v>33</v>
      </c>
      <c r="E2" s="30">
        <f ca="1" t="array" ref="E2">INDEX(Data_DBD!$E:$E,$A2)</f>
        <v>1</v>
      </c>
      <c r="F2" s="30">
        <f ca="1" t="array" ref="F2">INDEX(Data_DBD!$F:$F,$A2)</f>
        <v>3</v>
      </c>
      <c r="H2" s="30">
        <v>38</v>
      </c>
      <c r="I2" s="30">
        <v>52</v>
      </c>
      <c r="J2" s="30">
        <v>3</v>
      </c>
      <c r="K2" s="30">
        <v>4</v>
      </c>
      <c r="L2" s="30">
        <v>1</v>
      </c>
      <c r="M2" s="30">
        <v>1</v>
      </c>
      <c r="O2" s="33">
        <v>1</v>
      </c>
      <c r="P2" s="32">
        <f>COUNTIF(M2:M164,"1")</f>
        <v>12</v>
      </c>
      <c r="Q2" s="32">
        <f>P2/163</f>
        <v>0.0736196319018405</v>
      </c>
    </row>
    <row r="3" spans="1:17">
      <c r="A3" s="30">
        <f ca="1" t="shared" ref="A3:A66" si="0">RANDBETWEEN(2,164)</f>
        <v>158</v>
      </c>
      <c r="B3" s="30">
        <f ca="1" t="array" ref="B3">INDEX(Data_DBD!$B:$B,$A3)</f>
        <v>5</v>
      </c>
      <c r="C3" s="30">
        <f ca="1" t="array" ref="C3">INDEX(Data_DBD!$C:$C,$A3)</f>
        <v>2</v>
      </c>
      <c r="D3" s="30">
        <f ca="1" t="array" ref="D3">INDEX(Data_DBD!$D:$D,$A3)</f>
        <v>21</v>
      </c>
      <c r="E3" s="30">
        <f ca="1" t="array" ref="E3">INDEX(Data_DBD!$E:$E,$A3)</f>
        <v>0</v>
      </c>
      <c r="F3" s="30">
        <f ca="1" t="array" ref="F3">INDEX(Data_DBD!$F:$F,$A3)</f>
        <v>3</v>
      </c>
      <c r="H3" s="30">
        <v>8</v>
      </c>
      <c r="I3" s="30">
        <v>4</v>
      </c>
      <c r="J3" s="30">
        <v>2</v>
      </c>
      <c r="K3" s="30">
        <v>12</v>
      </c>
      <c r="L3" s="30">
        <v>0</v>
      </c>
      <c r="M3" s="30">
        <v>2</v>
      </c>
      <c r="O3" s="32">
        <v>2</v>
      </c>
      <c r="P3" s="32">
        <f>COUNTIF(M2:M164,"2")</f>
        <v>73</v>
      </c>
      <c r="Q3" s="32">
        <f>P3/163</f>
        <v>0.447852760736196</v>
      </c>
    </row>
    <row r="4" spans="1:17">
      <c r="A4" s="30">
        <f ca="1" t="shared" si="0"/>
        <v>92</v>
      </c>
      <c r="B4" s="30">
        <f ca="1" t="array" ref="B4">INDEX(Data_DBD!$B:$B,$A4)</f>
        <v>55</v>
      </c>
      <c r="C4" s="30">
        <f ca="1" t="array" ref="C4">INDEX(Data_DBD!$C:$C,$A4)</f>
        <v>7</v>
      </c>
      <c r="D4" s="30">
        <f ca="1" t="array" ref="D4">INDEX(Data_DBD!$D:$D,$A4)</f>
        <v>18</v>
      </c>
      <c r="E4" s="30">
        <f ca="1" t="array" ref="E4">INDEX(Data_DBD!$E:$E,$A4)</f>
        <v>0</v>
      </c>
      <c r="F4" s="30">
        <f ca="1" t="array" ref="F4">INDEX(Data_DBD!$F:$F,$A4)</f>
        <v>3</v>
      </c>
      <c r="H4" s="30">
        <v>66</v>
      </c>
      <c r="I4" s="30">
        <v>21</v>
      </c>
      <c r="J4" s="30">
        <v>5</v>
      </c>
      <c r="K4" s="30">
        <v>15</v>
      </c>
      <c r="L4" s="30">
        <v>1</v>
      </c>
      <c r="M4" s="30">
        <v>2</v>
      </c>
      <c r="O4" s="32">
        <v>3</v>
      </c>
      <c r="P4" s="32">
        <f>COUNTIF(M2:M164,"3")</f>
        <v>78</v>
      </c>
      <c r="Q4" s="32">
        <f>P4/163</f>
        <v>0.478527607361963</v>
      </c>
    </row>
    <row r="5" spans="1:16">
      <c r="A5" s="30">
        <f ca="1" t="shared" si="0"/>
        <v>64</v>
      </c>
      <c r="B5" s="30">
        <f ca="1" t="array" ref="B5">INDEX(Data_DBD!$B:$B,$A5)</f>
        <v>35</v>
      </c>
      <c r="C5" s="30">
        <f ca="1" t="array" ref="C5">INDEX(Data_DBD!$C:$C,$A5)</f>
        <v>1</v>
      </c>
      <c r="D5" s="30">
        <f ca="1" t="array" ref="D5">INDEX(Data_DBD!$D:$D,$A5)</f>
        <v>15</v>
      </c>
      <c r="E5" s="30">
        <f ca="1" t="array" ref="E5">INDEX(Data_DBD!$E:$E,$A5)</f>
        <v>0</v>
      </c>
      <c r="F5" s="30">
        <f ca="1" t="array" ref="F5">INDEX(Data_DBD!$F:$F,$A5)</f>
        <v>2</v>
      </c>
      <c r="H5" s="30">
        <v>28</v>
      </c>
      <c r="I5" s="30">
        <v>22</v>
      </c>
      <c r="J5" s="30">
        <v>2</v>
      </c>
      <c r="K5" s="30">
        <v>14</v>
      </c>
      <c r="L5" s="30">
        <v>1</v>
      </c>
      <c r="M5" s="30">
        <v>2</v>
      </c>
      <c r="O5" s="34" t="s">
        <v>181</v>
      </c>
      <c r="P5">
        <f>-(IFERROR(Q2*LOG(Q2,2),0)+IFERROR(Q3*LOG(Q3,2),0)+IFERROR(Q4*LOG(Q4,2),0))</f>
        <v>1.30493603227923</v>
      </c>
    </row>
    <row r="6" spans="1:13">
      <c r="A6" s="30">
        <f ca="1" t="shared" si="0"/>
        <v>76</v>
      </c>
      <c r="B6" s="30">
        <f ca="1" t="array" ref="B6">INDEX(Data_DBD!$B:$B,$A6)</f>
        <v>70</v>
      </c>
      <c r="C6" s="30">
        <f ca="1" t="array" ref="C6">INDEX(Data_DBD!$C:$C,$A6)</f>
        <v>2</v>
      </c>
      <c r="D6" s="30">
        <f ca="1" t="array" ref="D6">INDEX(Data_DBD!$D:$D,$A6)</f>
        <v>10</v>
      </c>
      <c r="E6" s="30">
        <f ca="1" t="array" ref="E6">INDEX(Data_DBD!$E:$E,$A6)</f>
        <v>0</v>
      </c>
      <c r="F6" s="30">
        <f ca="1" t="array" ref="F6">INDEX(Data_DBD!$F:$F,$A6)</f>
        <v>2</v>
      </c>
      <c r="H6" s="30">
        <v>26</v>
      </c>
      <c r="I6" s="30">
        <v>75</v>
      </c>
      <c r="J6" s="30">
        <v>4</v>
      </c>
      <c r="K6" s="30">
        <v>14</v>
      </c>
      <c r="L6" s="30">
        <v>1</v>
      </c>
      <c r="M6" s="30">
        <v>2</v>
      </c>
    </row>
    <row r="7" spans="1:13">
      <c r="A7" s="30">
        <f ca="1" t="shared" si="0"/>
        <v>42</v>
      </c>
      <c r="B7" s="30">
        <f ca="1" t="array" ref="B7">INDEX(Data_DBD!$B:$B,$A7)</f>
        <v>21</v>
      </c>
      <c r="C7" s="30">
        <f ca="1" t="array" ref="C7">INDEX(Data_DBD!$C:$C,$A7)</f>
        <v>5</v>
      </c>
      <c r="D7" s="30">
        <f ca="1" t="array" ref="D7">INDEX(Data_DBD!$D:$D,$A7)</f>
        <v>13</v>
      </c>
      <c r="E7" s="30">
        <f ca="1" t="array" ref="E7">INDEX(Data_DBD!$E:$E,$A7)</f>
        <v>1</v>
      </c>
      <c r="F7" s="30">
        <f ca="1" t="array" ref="F7">INDEX(Data_DBD!$F:$F,$A7)</f>
        <v>2</v>
      </c>
      <c r="H7" s="30">
        <v>21</v>
      </c>
      <c r="I7" s="30">
        <v>10</v>
      </c>
      <c r="J7" s="30">
        <v>5</v>
      </c>
      <c r="K7" s="30">
        <v>14</v>
      </c>
      <c r="L7" s="30">
        <v>1</v>
      </c>
      <c r="M7" s="30">
        <v>2</v>
      </c>
    </row>
    <row r="8" spans="1:13">
      <c r="A8" s="30">
        <f ca="1" t="shared" si="0"/>
        <v>30</v>
      </c>
      <c r="B8" s="30" t="str">
        <f ca="1" t="array" ref="B8">INDEX(Data_DBD!$B:$B,$A8)</f>
        <v>2,8</v>
      </c>
      <c r="C8" s="30">
        <f ca="1" t="array" ref="C8">INDEX(Data_DBD!$C:$C,$A8)</f>
        <v>2</v>
      </c>
      <c r="D8" s="30">
        <f ca="1" t="array" ref="D8">INDEX(Data_DBD!$D:$D,$A8)</f>
        <v>14</v>
      </c>
      <c r="E8" s="30">
        <f ca="1" t="array" ref="E8">INDEX(Data_DBD!$E:$E,$A8)</f>
        <v>1</v>
      </c>
      <c r="F8" s="30">
        <f ca="1" t="array" ref="F8">INDEX(Data_DBD!$F:$F,$A8)</f>
        <v>2</v>
      </c>
      <c r="H8" s="30">
        <v>47</v>
      </c>
      <c r="I8" s="30">
        <v>19</v>
      </c>
      <c r="J8" s="30">
        <v>2</v>
      </c>
      <c r="K8" s="30">
        <v>13</v>
      </c>
      <c r="L8" s="30">
        <v>0</v>
      </c>
      <c r="M8" s="30">
        <v>2</v>
      </c>
    </row>
    <row r="9" spans="1:13">
      <c r="A9" s="30">
        <f ca="1" t="shared" si="0"/>
        <v>69</v>
      </c>
      <c r="B9" s="30">
        <f ca="1" t="array" ref="B9">INDEX(Data_DBD!$B:$B,$A9)</f>
        <v>24</v>
      </c>
      <c r="C9" s="30">
        <f ca="1" t="array" ref="C9">INDEX(Data_DBD!$C:$C,$A9)</f>
        <v>4</v>
      </c>
      <c r="D9" s="30">
        <f ca="1" t="array" ref="D9">INDEX(Data_DBD!$D:$D,$A9)</f>
        <v>10</v>
      </c>
      <c r="E9" s="30">
        <f ca="1" t="array" ref="E9">INDEX(Data_DBD!$E:$E,$A9)</f>
        <v>1</v>
      </c>
      <c r="F9" s="30">
        <f ca="1" t="array" ref="F9">INDEX(Data_DBD!$F:$F,$A9)</f>
        <v>2</v>
      </c>
      <c r="H9" s="30">
        <v>115</v>
      </c>
      <c r="I9" s="30">
        <v>52</v>
      </c>
      <c r="J9" s="30">
        <v>3</v>
      </c>
      <c r="K9" s="30">
        <v>33</v>
      </c>
      <c r="L9" s="30">
        <v>1</v>
      </c>
      <c r="M9" s="30">
        <v>3</v>
      </c>
    </row>
    <row r="10" spans="1:13">
      <c r="A10" s="30">
        <f ca="1" t="shared" si="0"/>
        <v>140</v>
      </c>
      <c r="B10" s="30">
        <f ca="1" t="array" ref="B10">INDEX(Data_DBD!$B:$B,$A10)</f>
        <v>74</v>
      </c>
      <c r="C10" s="30">
        <f ca="1" t="array" ref="C10">INDEX(Data_DBD!$C:$C,$A10)</f>
        <v>5</v>
      </c>
      <c r="D10" s="30">
        <f ca="1" t="array" ref="D10">INDEX(Data_DBD!$D:$D,$A10)</f>
        <v>21</v>
      </c>
      <c r="E10" s="30">
        <f ca="1" t="array" ref="E10">INDEX(Data_DBD!$E:$E,$A10)</f>
        <v>1</v>
      </c>
      <c r="F10" s="30">
        <f ca="1" t="array" ref="F10">INDEX(Data_DBD!$F:$F,$A10)</f>
        <v>3</v>
      </c>
      <c r="H10" s="30">
        <v>29</v>
      </c>
      <c r="I10" s="30">
        <v>19</v>
      </c>
      <c r="J10" s="30">
        <v>2</v>
      </c>
      <c r="K10" s="30">
        <v>14</v>
      </c>
      <c r="L10" s="30">
        <v>1</v>
      </c>
      <c r="M10" s="30">
        <v>2</v>
      </c>
    </row>
    <row r="11" spans="1:13">
      <c r="A11" s="30">
        <f ca="1" t="shared" si="0"/>
        <v>111</v>
      </c>
      <c r="B11" s="30">
        <f ca="1" t="array" ref="B11">INDEX(Data_DBD!$B:$B,$A11)</f>
        <v>25</v>
      </c>
      <c r="C11" s="30">
        <f ca="1" t="array" ref="C11">INDEX(Data_DBD!$C:$C,$A11)</f>
        <v>4</v>
      </c>
      <c r="D11" s="30">
        <f ca="1" t="array" ref="D11">INDEX(Data_DBD!$D:$D,$A11)</f>
        <v>33</v>
      </c>
      <c r="E11" s="30">
        <f ca="1" t="array" ref="E11">INDEX(Data_DBD!$E:$E,$A11)</f>
        <v>0</v>
      </c>
      <c r="F11" s="30">
        <f ca="1" t="array" ref="F11">INDEX(Data_DBD!$F:$F,$A11)</f>
        <v>3</v>
      </c>
      <c r="H11" s="30">
        <v>61</v>
      </c>
      <c r="I11" s="30">
        <v>29</v>
      </c>
      <c r="J11" s="30">
        <v>3</v>
      </c>
      <c r="K11" s="30">
        <v>15</v>
      </c>
      <c r="L11" s="30">
        <v>1</v>
      </c>
      <c r="M11" s="30">
        <v>2</v>
      </c>
    </row>
    <row r="12" spans="1:13">
      <c r="A12" s="30">
        <f ca="1" t="shared" si="0"/>
        <v>163</v>
      </c>
      <c r="B12" s="30">
        <f ca="1" t="array" ref="B12">INDEX(Data_DBD!$B:$B,$A12)</f>
        <v>34</v>
      </c>
      <c r="C12" s="30">
        <f ca="1" t="array" ref="C12">INDEX(Data_DBD!$C:$C,$A12)</f>
        <v>4</v>
      </c>
      <c r="D12" s="30">
        <f ca="1" t="array" ref="D12">INDEX(Data_DBD!$D:$D,$A12)</f>
        <v>3</v>
      </c>
      <c r="E12" s="30">
        <f ca="1" t="array" ref="E12">INDEX(Data_DBD!$E:$E,$A12)</f>
        <v>1</v>
      </c>
      <c r="F12" s="30">
        <f ca="1" t="array" ref="F12">INDEX(Data_DBD!$F:$F,$A12)</f>
        <v>1</v>
      </c>
      <c r="H12" s="30">
        <v>35</v>
      </c>
      <c r="I12" s="30">
        <v>40</v>
      </c>
      <c r="J12" s="30">
        <v>3</v>
      </c>
      <c r="K12" s="30">
        <v>4</v>
      </c>
      <c r="L12" s="30">
        <v>1</v>
      </c>
      <c r="M12" s="30">
        <v>1</v>
      </c>
    </row>
    <row r="13" spans="1:13">
      <c r="A13" s="30">
        <f ca="1" t="shared" si="0"/>
        <v>14</v>
      </c>
      <c r="B13" s="30">
        <f ca="1" t="array" ref="B13">INDEX(Data_DBD!$B:$B,$A13)</f>
        <v>49</v>
      </c>
      <c r="C13" s="30">
        <f ca="1" t="array" ref="C13">INDEX(Data_DBD!$C:$C,$A13)</f>
        <v>4</v>
      </c>
      <c r="D13" s="30">
        <f ca="1" t="array" ref="D13">INDEX(Data_DBD!$D:$D,$A13)</f>
        <v>7</v>
      </c>
      <c r="E13" s="30">
        <f ca="1" t="array" ref="E13">INDEX(Data_DBD!$E:$E,$A13)</f>
        <v>1</v>
      </c>
      <c r="F13" s="30">
        <f ca="1" t="array" ref="F13">INDEX(Data_DBD!$F:$F,$A13)</f>
        <v>1</v>
      </c>
      <c r="H13" s="30">
        <v>52</v>
      </c>
      <c r="I13" s="30">
        <v>59</v>
      </c>
      <c r="J13" s="30">
        <v>4</v>
      </c>
      <c r="K13" s="30">
        <v>15</v>
      </c>
      <c r="L13" s="30">
        <v>1</v>
      </c>
      <c r="M13" s="30">
        <v>2</v>
      </c>
    </row>
    <row r="14" spans="1:13">
      <c r="A14" s="30">
        <f ca="1" t="shared" si="0"/>
        <v>130</v>
      </c>
      <c r="B14" s="30">
        <f ca="1" t="array" ref="B14">INDEX(Data_DBD!$B:$B,$A14)</f>
        <v>12</v>
      </c>
      <c r="C14" s="30">
        <f ca="1" t="array" ref="C14">INDEX(Data_DBD!$C:$C,$A14)</f>
        <v>4</v>
      </c>
      <c r="D14" s="30">
        <f ca="1" t="array" ref="D14">INDEX(Data_DBD!$D:$D,$A14)</f>
        <v>33</v>
      </c>
      <c r="E14" s="30">
        <f ca="1" t="array" ref="E14">INDEX(Data_DBD!$E:$E,$A14)</f>
        <v>0</v>
      </c>
      <c r="F14" s="30">
        <f ca="1" t="array" ref="F14">INDEX(Data_DBD!$F:$F,$A14)</f>
        <v>3</v>
      </c>
      <c r="H14" s="30">
        <v>94</v>
      </c>
      <c r="I14" s="30">
        <v>12</v>
      </c>
      <c r="J14" s="30">
        <v>4</v>
      </c>
      <c r="K14" s="30">
        <v>18</v>
      </c>
      <c r="L14" s="30">
        <v>0</v>
      </c>
      <c r="M14" s="30">
        <v>3</v>
      </c>
    </row>
    <row r="15" spans="1:13">
      <c r="A15" s="30">
        <f ca="1" t="shared" si="0"/>
        <v>103</v>
      </c>
      <c r="B15" s="30">
        <f ca="1" t="array" ref="B15">INDEX(Data_DBD!$B:$B,$A15)</f>
        <v>22</v>
      </c>
      <c r="C15" s="30">
        <f ca="1" t="array" ref="C15">INDEX(Data_DBD!$C:$C,$A15)</f>
        <v>5</v>
      </c>
      <c r="D15" s="30">
        <f ca="1" t="array" ref="D15">INDEX(Data_DBD!$D:$D,$A15)</f>
        <v>18</v>
      </c>
      <c r="E15" s="30">
        <f ca="1" t="array" ref="E15">INDEX(Data_DBD!$E:$E,$A15)</f>
        <v>0</v>
      </c>
      <c r="F15" s="30">
        <f ca="1" t="array" ref="F15">INDEX(Data_DBD!$F:$F,$A15)</f>
        <v>3</v>
      </c>
      <c r="H15" s="30">
        <v>73</v>
      </c>
      <c r="I15" s="30">
        <v>15</v>
      </c>
      <c r="J15" s="30">
        <v>3</v>
      </c>
      <c r="K15" s="30">
        <v>10</v>
      </c>
      <c r="L15" s="30">
        <v>1</v>
      </c>
      <c r="M15" s="30">
        <v>2</v>
      </c>
    </row>
    <row r="16" spans="1:13">
      <c r="A16" s="30">
        <f ca="1" t="shared" si="0"/>
        <v>150</v>
      </c>
      <c r="B16" s="30">
        <f ca="1" t="array" ref="B16">INDEX(Data_DBD!$B:$B,$A16)</f>
        <v>61</v>
      </c>
      <c r="C16" s="30">
        <f ca="1" t="array" ref="C16">INDEX(Data_DBD!$C:$C,$A16)</f>
        <v>5</v>
      </c>
      <c r="D16" s="30">
        <f ca="1" t="array" ref="D16">INDEX(Data_DBD!$D:$D,$A16)</f>
        <v>21</v>
      </c>
      <c r="E16" s="30">
        <f ca="1" t="array" ref="E16">INDEX(Data_DBD!$E:$E,$A16)</f>
        <v>1</v>
      </c>
      <c r="F16" s="30">
        <f ca="1" t="array" ref="F16">INDEX(Data_DBD!$F:$F,$A16)</f>
        <v>3</v>
      </c>
      <c r="H16" s="30">
        <v>143</v>
      </c>
      <c r="I16" s="30">
        <v>20</v>
      </c>
      <c r="J16" s="30">
        <v>4</v>
      </c>
      <c r="K16" s="30">
        <v>21</v>
      </c>
      <c r="L16" s="30">
        <v>1</v>
      </c>
      <c r="M16" s="30">
        <v>3</v>
      </c>
    </row>
    <row r="17" spans="1:13">
      <c r="A17" s="30">
        <f ca="1" t="shared" si="0"/>
        <v>44</v>
      </c>
      <c r="B17" s="30">
        <f ca="1" t="array" ref="B17">INDEX(Data_DBD!$B:$B,$A17)</f>
        <v>28</v>
      </c>
      <c r="C17" s="30">
        <f ca="1" t="array" ref="C17">INDEX(Data_DBD!$C:$C,$A17)</f>
        <v>5</v>
      </c>
      <c r="D17" s="30">
        <f ca="1" t="array" ref="D17">INDEX(Data_DBD!$D:$D,$A17)</f>
        <v>13</v>
      </c>
      <c r="E17" s="30">
        <f ca="1" t="array" ref="E17">INDEX(Data_DBD!$E:$E,$A17)</f>
        <v>1</v>
      </c>
      <c r="F17" s="30">
        <f ca="1" t="array" ref="F17">INDEX(Data_DBD!$F:$F,$A17)</f>
        <v>2</v>
      </c>
      <c r="H17" s="30">
        <v>100</v>
      </c>
      <c r="I17" s="30">
        <v>19</v>
      </c>
      <c r="J17" s="30">
        <v>6</v>
      </c>
      <c r="K17" s="30">
        <v>18</v>
      </c>
      <c r="L17" s="30">
        <v>0</v>
      </c>
      <c r="M17" s="30">
        <v>3</v>
      </c>
    </row>
    <row r="18" spans="1:13">
      <c r="A18" s="30">
        <f ca="1" t="shared" si="0"/>
        <v>143</v>
      </c>
      <c r="B18" s="30">
        <f ca="1" t="array" ref="B18">INDEX(Data_DBD!$B:$B,$A18)</f>
        <v>20</v>
      </c>
      <c r="C18" s="30">
        <f ca="1" t="array" ref="C18">INDEX(Data_DBD!$C:$C,$A18)</f>
        <v>4</v>
      </c>
      <c r="D18" s="30">
        <f ca="1" t="array" ref="D18">INDEX(Data_DBD!$D:$D,$A18)</f>
        <v>21</v>
      </c>
      <c r="E18" s="30">
        <f ca="1" t="array" ref="E18">INDEX(Data_DBD!$E:$E,$A18)</f>
        <v>1</v>
      </c>
      <c r="F18" s="30">
        <f ca="1" t="array" ref="F18">INDEX(Data_DBD!$F:$F,$A18)</f>
        <v>3</v>
      </c>
      <c r="H18" s="30">
        <v>103</v>
      </c>
      <c r="I18" s="30">
        <v>22</v>
      </c>
      <c r="J18" s="30">
        <v>5</v>
      </c>
      <c r="K18" s="30">
        <v>18</v>
      </c>
      <c r="L18" s="30">
        <v>0</v>
      </c>
      <c r="M18" s="30">
        <v>3</v>
      </c>
    </row>
    <row r="19" spans="1:13">
      <c r="A19" s="30">
        <f ca="1" t="shared" si="0"/>
        <v>16</v>
      </c>
      <c r="B19" s="30">
        <f ca="1" t="array" ref="B19">INDEX(Data_DBD!$B:$B,$A19)</f>
        <v>66</v>
      </c>
      <c r="C19" s="30">
        <f ca="1" t="array" ref="C19">INDEX(Data_DBD!$C:$C,$A19)</f>
        <v>5</v>
      </c>
      <c r="D19" s="30">
        <f ca="1" t="array" ref="D19">INDEX(Data_DBD!$D:$D,$A19)</f>
        <v>7</v>
      </c>
      <c r="E19" s="30">
        <f ca="1" t="array" ref="E19">INDEX(Data_DBD!$E:$E,$A19)</f>
        <v>1</v>
      </c>
      <c r="F19" s="30">
        <f ca="1" t="array" ref="F19">INDEX(Data_DBD!$F:$F,$A19)</f>
        <v>1</v>
      </c>
      <c r="H19" s="30">
        <v>156</v>
      </c>
      <c r="I19" s="30">
        <v>5</v>
      </c>
      <c r="J19" s="30">
        <v>2</v>
      </c>
      <c r="K19" s="30">
        <v>21</v>
      </c>
      <c r="L19" s="30">
        <v>0</v>
      </c>
      <c r="M19" s="30">
        <v>3</v>
      </c>
    </row>
    <row r="20" spans="1:13">
      <c r="A20" s="30">
        <f ca="1" t="shared" si="0"/>
        <v>61</v>
      </c>
      <c r="B20" s="30">
        <f ca="1" t="array" ref="B20">INDEX(Data_DBD!$B:$B,$A20)</f>
        <v>29</v>
      </c>
      <c r="C20" s="30">
        <f ca="1" t="array" ref="C20">INDEX(Data_DBD!$C:$C,$A20)</f>
        <v>3</v>
      </c>
      <c r="D20" s="30">
        <f ca="1" t="array" ref="D20">INDEX(Data_DBD!$D:$D,$A20)</f>
        <v>15</v>
      </c>
      <c r="E20" s="30">
        <f ca="1" t="array" ref="E20">INDEX(Data_DBD!$E:$E,$A20)</f>
        <v>1</v>
      </c>
      <c r="F20" s="30">
        <f ca="1" t="array" ref="F20">INDEX(Data_DBD!$F:$F,$A20)</f>
        <v>2</v>
      </c>
      <c r="H20" s="30">
        <v>75</v>
      </c>
      <c r="I20" s="30">
        <v>2</v>
      </c>
      <c r="J20" s="30">
        <v>2</v>
      </c>
      <c r="K20" s="30">
        <v>10</v>
      </c>
      <c r="L20" s="30">
        <v>1</v>
      </c>
      <c r="M20" s="30">
        <v>2</v>
      </c>
    </row>
    <row r="21" spans="1:13">
      <c r="A21" s="30">
        <f ca="1" t="shared" si="0"/>
        <v>149</v>
      </c>
      <c r="B21" s="30">
        <f ca="1" t="array" ref="B21">INDEX(Data_DBD!$B:$B,$A21)</f>
        <v>19</v>
      </c>
      <c r="C21" s="30">
        <f ca="1" t="array" ref="C21">INDEX(Data_DBD!$C:$C,$A21)</f>
        <v>5</v>
      </c>
      <c r="D21" s="30">
        <f ca="1" t="array" ref="D21">INDEX(Data_DBD!$D:$D,$A21)</f>
        <v>21</v>
      </c>
      <c r="E21" s="30">
        <f ca="1" t="array" ref="E21">INDEX(Data_DBD!$E:$E,$A21)</f>
        <v>0</v>
      </c>
      <c r="F21" s="30">
        <f ca="1" t="array" ref="F21">INDEX(Data_DBD!$F:$F,$A21)</f>
        <v>3</v>
      </c>
      <c r="H21" s="30">
        <v>79</v>
      </c>
      <c r="I21" s="30">
        <v>29</v>
      </c>
      <c r="J21" s="30">
        <v>3</v>
      </c>
      <c r="K21" s="30">
        <v>13</v>
      </c>
      <c r="L21" s="30">
        <v>0</v>
      </c>
      <c r="M21" s="30">
        <v>2</v>
      </c>
    </row>
    <row r="22" spans="1:13">
      <c r="A22" s="30">
        <f ca="1" t="shared" si="0"/>
        <v>155</v>
      </c>
      <c r="B22" s="30">
        <f ca="1" t="array" ref="B22">INDEX(Data_DBD!$B:$B,$A22)</f>
        <v>19</v>
      </c>
      <c r="C22" s="30">
        <f ca="1" t="array" ref="C22">INDEX(Data_DBD!$C:$C,$A22)</f>
        <v>5</v>
      </c>
      <c r="D22" s="30">
        <f ca="1" t="array" ref="D22">INDEX(Data_DBD!$D:$D,$A22)</f>
        <v>21</v>
      </c>
      <c r="E22" s="30">
        <f ca="1" t="array" ref="E22">INDEX(Data_DBD!$E:$E,$A22)</f>
        <v>1</v>
      </c>
      <c r="F22" s="30">
        <f ca="1" t="array" ref="F22">INDEX(Data_DBD!$F:$F,$A22)</f>
        <v>3</v>
      </c>
      <c r="H22" s="30">
        <v>159</v>
      </c>
      <c r="I22" s="30">
        <v>17</v>
      </c>
      <c r="J22" s="30">
        <v>2</v>
      </c>
      <c r="K22" s="30">
        <v>21</v>
      </c>
      <c r="L22" s="30">
        <v>0</v>
      </c>
      <c r="M22" s="30">
        <v>3</v>
      </c>
    </row>
    <row r="23" spans="1:13">
      <c r="A23" s="30">
        <f ca="1" t="shared" si="0"/>
        <v>25</v>
      </c>
      <c r="B23" s="30">
        <f ca="1" t="array" ref="B23">INDEX(Data_DBD!$B:$B,$A23)</f>
        <v>81</v>
      </c>
      <c r="C23" s="30">
        <f ca="1" t="array" ref="C23">INDEX(Data_DBD!$C:$C,$A23)</f>
        <v>5</v>
      </c>
      <c r="D23" s="30">
        <f ca="1" t="array" ref="D23">INDEX(Data_DBD!$D:$D,$A23)</f>
        <v>14</v>
      </c>
      <c r="E23" s="30">
        <f ca="1" t="array" ref="E23">INDEX(Data_DBD!$E:$E,$A23)</f>
        <v>0</v>
      </c>
      <c r="F23" s="30">
        <f ca="1" t="array" ref="F23">INDEX(Data_DBD!$F:$F,$A23)</f>
        <v>2</v>
      </c>
      <c r="H23" s="30">
        <v>42</v>
      </c>
      <c r="I23" s="30">
        <v>21</v>
      </c>
      <c r="J23" s="30">
        <v>5</v>
      </c>
      <c r="K23" s="30">
        <v>13</v>
      </c>
      <c r="L23" s="30">
        <v>1</v>
      </c>
      <c r="M23" s="30">
        <v>2</v>
      </c>
    </row>
    <row r="24" spans="1:13">
      <c r="A24" s="30">
        <f ca="1" t="shared" si="0"/>
        <v>96</v>
      </c>
      <c r="B24" s="30">
        <f ca="1" t="array" ref="B24">INDEX(Data_DBD!$B:$B,$A24)</f>
        <v>56</v>
      </c>
      <c r="C24" s="30">
        <f ca="1" t="array" ref="C24">INDEX(Data_DBD!$C:$C,$A24)</f>
        <v>4</v>
      </c>
      <c r="D24" s="30">
        <f ca="1" t="array" ref="D24">INDEX(Data_DBD!$D:$D,$A24)</f>
        <v>18</v>
      </c>
      <c r="E24" s="30">
        <f ca="1" t="array" ref="E24">INDEX(Data_DBD!$E:$E,$A24)</f>
        <v>0</v>
      </c>
      <c r="F24" s="30">
        <f ca="1" t="array" ref="F24">INDEX(Data_DBD!$F:$F,$A24)</f>
        <v>3</v>
      </c>
      <c r="H24" s="30">
        <v>139</v>
      </c>
      <c r="I24" s="30">
        <v>52</v>
      </c>
      <c r="J24" s="30">
        <v>7</v>
      </c>
      <c r="K24" s="30">
        <v>21</v>
      </c>
      <c r="L24" s="30">
        <v>0</v>
      </c>
      <c r="M24" s="30">
        <v>3</v>
      </c>
    </row>
    <row r="25" spans="1:13">
      <c r="A25" s="30">
        <f ca="1" t="shared" si="0"/>
        <v>110</v>
      </c>
      <c r="B25" s="30">
        <f ca="1" t="array" ref="B25">INDEX(Data_DBD!$B:$B,$A25)</f>
        <v>42</v>
      </c>
      <c r="C25" s="30">
        <f ca="1" t="array" ref="C25">INDEX(Data_DBD!$C:$C,$A25)</f>
        <v>2</v>
      </c>
      <c r="D25" s="30">
        <f ca="1" t="array" ref="D25">INDEX(Data_DBD!$D:$D,$A25)</f>
        <v>33</v>
      </c>
      <c r="E25" s="30">
        <f ca="1" t="array" ref="E25">INDEX(Data_DBD!$E:$E,$A25)</f>
        <v>1</v>
      </c>
      <c r="F25" s="30">
        <f ca="1" t="array" ref="F25">INDEX(Data_DBD!$F:$F,$A25)</f>
        <v>3</v>
      </c>
      <c r="H25" s="30">
        <v>99</v>
      </c>
      <c r="I25" s="30">
        <v>4</v>
      </c>
      <c r="J25" s="30">
        <v>2</v>
      </c>
      <c r="K25" s="30">
        <v>18</v>
      </c>
      <c r="L25" s="30">
        <v>1</v>
      </c>
      <c r="M25" s="30">
        <v>3</v>
      </c>
    </row>
    <row r="26" spans="1:13">
      <c r="A26" s="30">
        <f ca="1" t="shared" si="0"/>
        <v>147</v>
      </c>
      <c r="B26" s="30">
        <f ca="1" t="array" ref="B26">INDEX(Data_DBD!$B:$B,$A26)</f>
        <v>66</v>
      </c>
      <c r="C26" s="30">
        <f ca="1" t="array" ref="C26">INDEX(Data_DBD!$C:$C,$A26)</f>
        <v>10</v>
      </c>
      <c r="D26" s="30">
        <f ca="1" t="array" ref="D26">INDEX(Data_DBD!$D:$D,$A26)</f>
        <v>21</v>
      </c>
      <c r="E26" s="30">
        <f ca="1" t="array" ref="E26">INDEX(Data_DBD!$E:$E,$A26)</f>
        <v>1</v>
      </c>
      <c r="F26" s="30">
        <f ca="1" t="array" ref="F26">INDEX(Data_DBD!$F:$F,$A26)</f>
        <v>3</v>
      </c>
      <c r="H26" s="30">
        <v>93</v>
      </c>
      <c r="I26" s="30">
        <v>65</v>
      </c>
      <c r="J26" s="30">
        <v>4</v>
      </c>
      <c r="K26" s="30">
        <v>18</v>
      </c>
      <c r="L26" s="30">
        <v>0</v>
      </c>
      <c r="M26" s="30">
        <v>3</v>
      </c>
    </row>
    <row r="27" spans="1:13">
      <c r="A27" s="30">
        <f ca="1" t="shared" si="0"/>
        <v>54</v>
      </c>
      <c r="B27" s="30">
        <f ca="1" t="array" ref="B27">INDEX(Data_DBD!$B:$B,$A27)</f>
        <v>7</v>
      </c>
      <c r="C27" s="30">
        <f ca="1" t="array" ref="C27">INDEX(Data_DBD!$C:$C,$A27)</f>
        <v>3</v>
      </c>
      <c r="D27" s="30">
        <f ca="1" t="array" ref="D27">INDEX(Data_DBD!$D:$D,$A27)</f>
        <v>15</v>
      </c>
      <c r="E27" s="30">
        <f ca="1" t="array" ref="E27">INDEX(Data_DBD!$E:$E,$A27)</f>
        <v>0</v>
      </c>
      <c r="F27" s="30">
        <f ca="1" t="array" ref="F27">INDEX(Data_DBD!$F:$F,$A27)</f>
        <v>2</v>
      </c>
      <c r="H27" s="30">
        <v>83</v>
      </c>
      <c r="I27" s="30">
        <v>50</v>
      </c>
      <c r="J27" s="30">
        <v>3</v>
      </c>
      <c r="K27" s="30">
        <v>13</v>
      </c>
      <c r="L27" s="30">
        <v>0</v>
      </c>
      <c r="M27" s="30">
        <v>2</v>
      </c>
    </row>
    <row r="28" spans="1:13">
      <c r="A28" s="30">
        <f ca="1" t="shared" si="0"/>
        <v>24</v>
      </c>
      <c r="B28" s="30">
        <f ca="1" t="array" ref="B28">INDEX(Data_DBD!$B:$B,$A28)</f>
        <v>60</v>
      </c>
      <c r="C28" s="30">
        <f ca="1" t="array" ref="C28">INDEX(Data_DBD!$C:$C,$A28)</f>
        <v>4</v>
      </c>
      <c r="D28" s="30">
        <f ca="1" t="array" ref="D28">INDEX(Data_DBD!$D:$D,$A28)</f>
        <v>14</v>
      </c>
      <c r="E28" s="30">
        <f ca="1" t="array" ref="E28">INDEX(Data_DBD!$E:$E,$A28)</f>
        <v>0</v>
      </c>
      <c r="F28" s="30">
        <f ca="1" t="array" ref="F28">INDEX(Data_DBD!$F:$F,$A28)</f>
        <v>2</v>
      </c>
      <c r="H28" s="30">
        <v>130</v>
      </c>
      <c r="I28" s="30">
        <v>12</v>
      </c>
      <c r="J28" s="30">
        <v>4</v>
      </c>
      <c r="K28" s="30">
        <v>33</v>
      </c>
      <c r="L28" s="30">
        <v>0</v>
      </c>
      <c r="M28" s="30">
        <v>3</v>
      </c>
    </row>
    <row r="29" spans="1:13">
      <c r="A29" s="30">
        <f ca="1" t="shared" si="0"/>
        <v>77</v>
      </c>
      <c r="B29" s="30">
        <f ca="1" t="array" ref="B29">INDEX(Data_DBD!$B:$B,$A29)</f>
        <v>16</v>
      </c>
      <c r="C29" s="30">
        <f ca="1" t="array" ref="C29">INDEX(Data_DBD!$C:$C,$A29)</f>
        <v>4</v>
      </c>
      <c r="D29" s="30">
        <f ca="1" t="array" ref="D29">INDEX(Data_DBD!$D:$D,$A29)</f>
        <v>13</v>
      </c>
      <c r="E29" s="30">
        <f ca="1" t="array" ref="E29">INDEX(Data_DBD!$E:$E,$A29)</f>
        <v>1</v>
      </c>
      <c r="F29" s="30">
        <f ca="1" t="array" ref="F29">INDEX(Data_DBD!$F:$F,$A29)</f>
        <v>2</v>
      </c>
      <c r="H29" s="30">
        <v>111</v>
      </c>
      <c r="I29" s="30">
        <v>25</v>
      </c>
      <c r="J29" s="30">
        <v>4</v>
      </c>
      <c r="K29" s="30">
        <v>33</v>
      </c>
      <c r="L29" s="30">
        <v>0</v>
      </c>
      <c r="M29" s="30">
        <v>3</v>
      </c>
    </row>
    <row r="30" spans="1:13">
      <c r="A30" s="30">
        <f ca="1" t="shared" si="0"/>
        <v>44</v>
      </c>
      <c r="B30" s="30">
        <f ca="1" t="array" ref="B30">INDEX(Data_DBD!$B:$B,$A30)</f>
        <v>28</v>
      </c>
      <c r="C30" s="30">
        <f ca="1" t="array" ref="C30">INDEX(Data_DBD!$C:$C,$A30)</f>
        <v>5</v>
      </c>
      <c r="D30" s="30">
        <f ca="1" t="array" ref="D30">INDEX(Data_DBD!$D:$D,$A30)</f>
        <v>13</v>
      </c>
      <c r="E30" s="30">
        <f ca="1" t="array" ref="E30">INDEX(Data_DBD!$E:$E,$A30)</f>
        <v>1</v>
      </c>
      <c r="F30" s="30">
        <f ca="1" t="array" ref="F30">INDEX(Data_DBD!$F:$F,$A30)</f>
        <v>2</v>
      </c>
      <c r="H30" s="30">
        <v>15</v>
      </c>
      <c r="I30" s="30">
        <v>21</v>
      </c>
      <c r="J30" s="30">
        <v>2</v>
      </c>
      <c r="K30" s="30">
        <v>7</v>
      </c>
      <c r="L30" s="30">
        <v>0</v>
      </c>
      <c r="M30" s="30">
        <v>1</v>
      </c>
    </row>
    <row r="31" spans="1:13">
      <c r="A31" s="30">
        <f ca="1" t="shared" si="0"/>
        <v>54</v>
      </c>
      <c r="B31" s="30">
        <f ca="1" t="array" ref="B31">INDEX(Data_DBD!$B:$B,$A31)</f>
        <v>7</v>
      </c>
      <c r="C31" s="30">
        <f ca="1" t="array" ref="C31">INDEX(Data_DBD!$C:$C,$A31)</f>
        <v>3</v>
      </c>
      <c r="D31" s="30">
        <f ca="1" t="array" ref="D31">INDEX(Data_DBD!$D:$D,$A31)</f>
        <v>15</v>
      </c>
      <c r="E31" s="30">
        <f ca="1" t="array" ref="E31">INDEX(Data_DBD!$E:$E,$A31)</f>
        <v>0</v>
      </c>
      <c r="F31" s="30">
        <f ca="1" t="array" ref="F31">INDEX(Data_DBD!$F:$F,$A31)</f>
        <v>2</v>
      </c>
      <c r="H31" s="30">
        <v>80</v>
      </c>
      <c r="I31" s="30">
        <v>27</v>
      </c>
      <c r="J31" s="30">
        <v>3</v>
      </c>
      <c r="K31" s="30">
        <v>13</v>
      </c>
      <c r="L31" s="30">
        <v>1</v>
      </c>
      <c r="M31" s="30">
        <v>2</v>
      </c>
    </row>
    <row r="32" spans="1:13">
      <c r="A32" s="30">
        <f ca="1" t="shared" si="0"/>
        <v>162</v>
      </c>
      <c r="B32" s="30">
        <f ca="1" t="array" ref="B32">INDEX(Data_DBD!$B:$B,$A32)</f>
        <v>22</v>
      </c>
      <c r="C32" s="30">
        <f ca="1" t="array" ref="C32">INDEX(Data_DBD!$C:$C,$A32)</f>
        <v>3</v>
      </c>
      <c r="D32" s="30">
        <f ca="1" t="array" ref="D32">INDEX(Data_DBD!$D:$D,$A32)</f>
        <v>3</v>
      </c>
      <c r="E32" s="30">
        <f ca="1" t="array" ref="E32">INDEX(Data_DBD!$E:$E,$A32)</f>
        <v>1</v>
      </c>
      <c r="F32" s="30">
        <f ca="1" t="array" ref="F32">INDEX(Data_DBD!$F:$F,$A32)</f>
        <v>1</v>
      </c>
      <c r="H32" s="30">
        <v>60</v>
      </c>
      <c r="I32" s="30">
        <v>68</v>
      </c>
      <c r="J32" s="30">
        <v>4</v>
      </c>
      <c r="K32" s="30">
        <v>15</v>
      </c>
      <c r="L32" s="30">
        <v>0</v>
      </c>
      <c r="M32" s="30">
        <v>2</v>
      </c>
    </row>
    <row r="33" spans="1:13">
      <c r="A33" s="30">
        <f ca="1" t="shared" si="0"/>
        <v>155</v>
      </c>
      <c r="B33" s="30">
        <f ca="1" t="array" ref="B33">INDEX(Data_DBD!$B:$B,$A33)</f>
        <v>19</v>
      </c>
      <c r="C33" s="30">
        <f ca="1" t="array" ref="C33">INDEX(Data_DBD!$C:$C,$A33)</f>
        <v>5</v>
      </c>
      <c r="D33" s="30">
        <f ca="1" t="array" ref="D33">INDEX(Data_DBD!$D:$D,$A33)</f>
        <v>21</v>
      </c>
      <c r="E33" s="30">
        <f ca="1" t="array" ref="E33">INDEX(Data_DBD!$E:$E,$A33)</f>
        <v>1</v>
      </c>
      <c r="F33" s="30">
        <f ca="1" t="array" ref="F33">INDEX(Data_DBD!$F:$F,$A33)</f>
        <v>3</v>
      </c>
      <c r="H33" s="30">
        <v>137</v>
      </c>
      <c r="I33" s="30">
        <v>3.5</v>
      </c>
      <c r="J33" s="30">
        <v>1</v>
      </c>
      <c r="K33" s="30">
        <v>33</v>
      </c>
      <c r="L33" s="30">
        <v>1</v>
      </c>
      <c r="M33" s="30">
        <v>3</v>
      </c>
    </row>
    <row r="34" spans="1:13">
      <c r="A34" s="30">
        <f ca="1" t="shared" si="0"/>
        <v>17</v>
      </c>
      <c r="B34" s="30">
        <f ca="1" t="array" ref="B34">INDEX(Data_DBD!$B:$B,$A34)</f>
        <v>2</v>
      </c>
      <c r="C34" s="30">
        <f ca="1" t="array" ref="C34">INDEX(Data_DBD!$C:$C,$A34)</f>
        <v>3</v>
      </c>
      <c r="D34" s="30">
        <f ca="1" t="array" ref="D34">INDEX(Data_DBD!$D:$D,$A34)</f>
        <v>7</v>
      </c>
      <c r="E34" s="30">
        <f ca="1" t="array" ref="E34">INDEX(Data_DBD!$E:$E,$A34)</f>
        <v>0</v>
      </c>
      <c r="F34" s="30">
        <f ca="1" t="array" ref="F34">INDEX(Data_DBD!$F:$F,$A34)</f>
        <v>1</v>
      </c>
      <c r="H34" s="30">
        <v>125</v>
      </c>
      <c r="I34" s="30">
        <v>39</v>
      </c>
      <c r="J34" s="30">
        <v>4</v>
      </c>
      <c r="K34" s="30">
        <v>33</v>
      </c>
      <c r="L34" s="30">
        <v>0</v>
      </c>
      <c r="M34" s="30">
        <v>3</v>
      </c>
    </row>
    <row r="35" spans="1:13">
      <c r="A35" s="30">
        <f ca="1" t="shared" si="0"/>
        <v>164</v>
      </c>
      <c r="B35" s="30">
        <f ca="1" t="array" ref="B35">INDEX(Data_DBD!$B:$B,$A35)</f>
        <v>10</v>
      </c>
      <c r="C35" s="30">
        <f ca="1" t="array" ref="C35">INDEX(Data_DBD!$C:$C,$A35)</f>
        <v>6</v>
      </c>
      <c r="D35" s="30">
        <f ca="1" t="array" ref="D35">INDEX(Data_DBD!$D:$D,$A35)</f>
        <v>3</v>
      </c>
      <c r="E35" s="30">
        <f ca="1" t="array" ref="E35">INDEX(Data_DBD!$E:$E,$A35)</f>
        <v>0</v>
      </c>
      <c r="F35" s="30">
        <f ca="1" t="array" ref="F35">INDEX(Data_DBD!$F:$F,$A35)</f>
        <v>1</v>
      </c>
      <c r="H35" s="30">
        <v>74</v>
      </c>
      <c r="I35" s="30">
        <v>9</v>
      </c>
      <c r="J35" s="30">
        <v>4</v>
      </c>
      <c r="K35" s="30">
        <v>10</v>
      </c>
      <c r="L35" s="30">
        <v>0</v>
      </c>
      <c r="M35" s="30">
        <v>2</v>
      </c>
    </row>
    <row r="36" spans="1:13">
      <c r="A36" s="30">
        <f ca="1" t="shared" si="0"/>
        <v>5</v>
      </c>
      <c r="B36" s="30">
        <f ca="1" t="array" ref="B36">INDEX(Data_DBD!$B:$B,$A36)</f>
        <v>18</v>
      </c>
      <c r="C36" s="30">
        <f ca="1" t="array" ref="C36">INDEX(Data_DBD!$C:$C,$A36)</f>
        <v>2</v>
      </c>
      <c r="D36" s="30">
        <f ca="1" t="array" ref="D36">INDEX(Data_DBD!$D:$D,$A36)</f>
        <v>12</v>
      </c>
      <c r="E36" s="30">
        <f ca="1" t="array" ref="E36">INDEX(Data_DBD!$E:$E,$A36)</f>
        <v>1</v>
      </c>
      <c r="F36" s="30">
        <f ca="1" t="array" ref="F36">INDEX(Data_DBD!$F:$F,$A36)</f>
        <v>2</v>
      </c>
      <c r="H36" s="30">
        <v>42</v>
      </c>
      <c r="I36" s="30">
        <v>21</v>
      </c>
      <c r="J36" s="30">
        <v>5</v>
      </c>
      <c r="K36" s="30">
        <v>13</v>
      </c>
      <c r="L36" s="30">
        <v>1</v>
      </c>
      <c r="M36" s="30">
        <v>2</v>
      </c>
    </row>
    <row r="37" spans="1:13">
      <c r="A37" s="30">
        <f ca="1" t="shared" si="0"/>
        <v>99</v>
      </c>
      <c r="B37" s="30">
        <f ca="1" t="array" ref="B37">INDEX(Data_DBD!$B:$B,$A37)</f>
        <v>4</v>
      </c>
      <c r="C37" s="30">
        <f ca="1" t="array" ref="C37">INDEX(Data_DBD!$C:$C,$A37)</f>
        <v>2</v>
      </c>
      <c r="D37" s="30">
        <f ca="1" t="array" ref="D37">INDEX(Data_DBD!$D:$D,$A37)</f>
        <v>18</v>
      </c>
      <c r="E37" s="30">
        <f ca="1" t="array" ref="E37">INDEX(Data_DBD!$E:$E,$A37)</f>
        <v>1</v>
      </c>
      <c r="F37" s="30">
        <f ca="1" t="array" ref="F37">INDEX(Data_DBD!$F:$F,$A37)</f>
        <v>3</v>
      </c>
      <c r="H37" s="30">
        <v>76</v>
      </c>
      <c r="I37" s="30">
        <v>70</v>
      </c>
      <c r="J37" s="30">
        <v>2</v>
      </c>
      <c r="K37" s="30">
        <v>10</v>
      </c>
      <c r="L37" s="30">
        <v>0</v>
      </c>
      <c r="M37" s="30">
        <v>2</v>
      </c>
    </row>
    <row r="38" spans="1:13">
      <c r="A38" s="30">
        <f ca="1" t="shared" si="0"/>
        <v>64</v>
      </c>
      <c r="B38" s="30">
        <f ca="1" t="array" ref="B38">INDEX(Data_DBD!$B:$B,$A38)</f>
        <v>35</v>
      </c>
      <c r="C38" s="30">
        <f ca="1" t="array" ref="C38">INDEX(Data_DBD!$C:$C,$A38)</f>
        <v>1</v>
      </c>
      <c r="D38" s="30">
        <f ca="1" t="array" ref="D38">INDEX(Data_DBD!$D:$D,$A38)</f>
        <v>15</v>
      </c>
      <c r="E38" s="30">
        <f ca="1" t="array" ref="E38">INDEX(Data_DBD!$E:$E,$A38)</f>
        <v>0</v>
      </c>
      <c r="F38" s="30">
        <f ca="1" t="array" ref="F38">INDEX(Data_DBD!$F:$F,$A38)</f>
        <v>2</v>
      </c>
      <c r="H38" s="30">
        <v>125</v>
      </c>
      <c r="I38" s="30">
        <v>39</v>
      </c>
      <c r="J38" s="30">
        <v>4</v>
      </c>
      <c r="K38" s="30">
        <v>33</v>
      </c>
      <c r="L38" s="30">
        <v>0</v>
      </c>
      <c r="M38" s="30">
        <v>3</v>
      </c>
    </row>
    <row r="39" spans="1:13">
      <c r="A39" s="30">
        <f ca="1" t="shared" si="0"/>
        <v>50</v>
      </c>
      <c r="B39" s="30">
        <f ca="1" t="array" ref="B39">INDEX(Data_DBD!$B:$B,$A39)</f>
        <v>19</v>
      </c>
      <c r="C39" s="30">
        <f ca="1" t="array" ref="C39">INDEX(Data_DBD!$C:$C,$A39)</f>
        <v>5</v>
      </c>
      <c r="D39" s="30">
        <f ca="1" t="array" ref="D39">INDEX(Data_DBD!$D:$D,$A39)</f>
        <v>13</v>
      </c>
      <c r="E39" s="30">
        <f ca="1" t="array" ref="E39">INDEX(Data_DBD!$E:$E,$A39)</f>
        <v>0</v>
      </c>
      <c r="F39" s="30">
        <f ca="1" t="array" ref="F39">INDEX(Data_DBD!$F:$F,$A39)</f>
        <v>2</v>
      </c>
      <c r="H39" s="30">
        <v>35</v>
      </c>
      <c r="I39" s="30">
        <v>40</v>
      </c>
      <c r="J39" s="30">
        <v>3</v>
      </c>
      <c r="K39" s="30">
        <v>4</v>
      </c>
      <c r="L39" s="30">
        <v>1</v>
      </c>
      <c r="M39" s="30">
        <v>1</v>
      </c>
    </row>
    <row r="40" spans="1:13">
      <c r="A40" s="30">
        <f ca="1" t="shared" si="0"/>
        <v>30</v>
      </c>
      <c r="B40" s="30" t="str">
        <f ca="1" t="array" ref="B40">INDEX(Data_DBD!$B:$B,$A40)</f>
        <v>2,8</v>
      </c>
      <c r="C40" s="30">
        <f ca="1" t="array" ref="C40">INDEX(Data_DBD!$C:$C,$A40)</f>
        <v>2</v>
      </c>
      <c r="D40" s="30">
        <f ca="1" t="array" ref="D40">INDEX(Data_DBD!$D:$D,$A40)</f>
        <v>14</v>
      </c>
      <c r="E40" s="30">
        <f ca="1" t="array" ref="E40">INDEX(Data_DBD!$E:$E,$A40)</f>
        <v>1</v>
      </c>
      <c r="F40" s="30">
        <f ca="1" t="array" ref="F40">INDEX(Data_DBD!$F:$F,$A40)</f>
        <v>2</v>
      </c>
      <c r="H40" s="30">
        <v>125</v>
      </c>
      <c r="I40" s="30">
        <v>39</v>
      </c>
      <c r="J40" s="30">
        <v>4</v>
      </c>
      <c r="K40" s="30">
        <v>33</v>
      </c>
      <c r="L40" s="30">
        <v>0</v>
      </c>
      <c r="M40" s="30">
        <v>3</v>
      </c>
    </row>
    <row r="41" spans="1:13">
      <c r="A41" s="30">
        <f ca="1" t="shared" si="0"/>
        <v>24</v>
      </c>
      <c r="B41" s="30">
        <f ca="1" t="array" ref="B41">INDEX(Data_DBD!$B:$B,$A41)</f>
        <v>60</v>
      </c>
      <c r="C41" s="30">
        <f ca="1" t="array" ref="C41">INDEX(Data_DBD!$C:$C,$A41)</f>
        <v>4</v>
      </c>
      <c r="D41" s="30">
        <f ca="1" t="array" ref="D41">INDEX(Data_DBD!$D:$D,$A41)</f>
        <v>14</v>
      </c>
      <c r="E41" s="30">
        <f ca="1" t="array" ref="E41">INDEX(Data_DBD!$E:$E,$A41)</f>
        <v>0</v>
      </c>
      <c r="F41" s="30">
        <f ca="1" t="array" ref="F41">INDEX(Data_DBD!$F:$F,$A41)</f>
        <v>2</v>
      </c>
      <c r="H41" s="30">
        <v>148</v>
      </c>
      <c r="I41" s="30">
        <v>55</v>
      </c>
      <c r="J41" s="30">
        <v>3</v>
      </c>
      <c r="K41" s="30">
        <v>21</v>
      </c>
      <c r="L41" s="30">
        <v>1</v>
      </c>
      <c r="M41" s="30">
        <v>3</v>
      </c>
    </row>
    <row r="42" spans="1:13">
      <c r="A42" s="30">
        <f ca="1" t="shared" si="0"/>
        <v>54</v>
      </c>
      <c r="B42" s="30">
        <f ca="1" t="array" ref="B42">INDEX(Data_DBD!$B:$B,$A42)</f>
        <v>7</v>
      </c>
      <c r="C42" s="30">
        <f ca="1" t="array" ref="C42">INDEX(Data_DBD!$C:$C,$A42)</f>
        <v>3</v>
      </c>
      <c r="D42" s="30">
        <f ca="1" t="array" ref="D42">INDEX(Data_DBD!$D:$D,$A42)</f>
        <v>15</v>
      </c>
      <c r="E42" s="30">
        <f ca="1" t="array" ref="E42">INDEX(Data_DBD!$E:$E,$A42)</f>
        <v>0</v>
      </c>
      <c r="F42" s="30">
        <f ca="1" t="array" ref="F42">INDEX(Data_DBD!$F:$F,$A42)</f>
        <v>2</v>
      </c>
      <c r="H42" s="30">
        <v>147</v>
      </c>
      <c r="I42" s="30">
        <v>66</v>
      </c>
      <c r="J42" s="30">
        <v>10</v>
      </c>
      <c r="K42" s="30">
        <v>21</v>
      </c>
      <c r="L42" s="30">
        <v>1</v>
      </c>
      <c r="M42" s="30">
        <v>3</v>
      </c>
    </row>
    <row r="43" spans="1:13">
      <c r="A43" s="30">
        <f ca="1" t="shared" si="0"/>
        <v>83</v>
      </c>
      <c r="B43" s="30">
        <f ca="1" t="array" ref="B43">INDEX(Data_DBD!$B:$B,$A43)</f>
        <v>50</v>
      </c>
      <c r="C43" s="30">
        <f ca="1" t="array" ref="C43">INDEX(Data_DBD!$C:$C,$A43)</f>
        <v>3</v>
      </c>
      <c r="D43" s="30">
        <f ca="1" t="array" ref="D43">INDEX(Data_DBD!$D:$D,$A43)</f>
        <v>13</v>
      </c>
      <c r="E43" s="30">
        <f ca="1" t="array" ref="E43">INDEX(Data_DBD!$E:$E,$A43)</f>
        <v>0</v>
      </c>
      <c r="F43" s="30">
        <f ca="1" t="array" ref="F43">INDEX(Data_DBD!$F:$F,$A43)</f>
        <v>2</v>
      </c>
      <c r="H43" s="30">
        <v>130</v>
      </c>
      <c r="I43" s="30">
        <v>12</v>
      </c>
      <c r="J43" s="30">
        <v>4</v>
      </c>
      <c r="K43" s="30">
        <v>33</v>
      </c>
      <c r="L43" s="30">
        <v>0</v>
      </c>
      <c r="M43" s="30">
        <v>3</v>
      </c>
    </row>
    <row r="44" spans="1:13">
      <c r="A44" s="30">
        <f ca="1" t="shared" si="0"/>
        <v>92</v>
      </c>
      <c r="B44" s="30">
        <f ca="1" t="array" ref="B44">INDEX(Data_DBD!$B:$B,$A44)</f>
        <v>55</v>
      </c>
      <c r="C44" s="30">
        <f ca="1" t="array" ref="C44">INDEX(Data_DBD!$C:$C,$A44)</f>
        <v>7</v>
      </c>
      <c r="D44" s="30">
        <f ca="1" t="array" ref="D44">INDEX(Data_DBD!$D:$D,$A44)</f>
        <v>18</v>
      </c>
      <c r="E44" s="30">
        <f ca="1" t="array" ref="E44">INDEX(Data_DBD!$E:$E,$A44)</f>
        <v>0</v>
      </c>
      <c r="F44" s="30">
        <f ca="1" t="array" ref="F44">INDEX(Data_DBD!$F:$F,$A44)</f>
        <v>3</v>
      </c>
      <c r="H44" s="30">
        <v>131</v>
      </c>
      <c r="I44" s="30">
        <v>10</v>
      </c>
      <c r="J44" s="30">
        <v>2</v>
      </c>
      <c r="K44" s="30">
        <v>33</v>
      </c>
      <c r="L44" s="30">
        <v>0</v>
      </c>
      <c r="M44" s="30">
        <v>3</v>
      </c>
    </row>
    <row r="45" spans="1:13">
      <c r="A45" s="30">
        <f ca="1" t="shared" si="0"/>
        <v>130</v>
      </c>
      <c r="B45" s="30">
        <f ca="1" t="array" ref="B45">INDEX(Data_DBD!$B:$B,$A45)</f>
        <v>12</v>
      </c>
      <c r="C45" s="30">
        <f ca="1" t="array" ref="C45">INDEX(Data_DBD!$C:$C,$A45)</f>
        <v>4</v>
      </c>
      <c r="D45" s="30">
        <f ca="1" t="array" ref="D45">INDEX(Data_DBD!$D:$D,$A45)</f>
        <v>33</v>
      </c>
      <c r="E45" s="30">
        <f ca="1" t="array" ref="E45">INDEX(Data_DBD!$E:$E,$A45)</f>
        <v>0</v>
      </c>
      <c r="F45" s="30">
        <f ca="1" t="array" ref="F45">INDEX(Data_DBD!$F:$F,$A45)</f>
        <v>3</v>
      </c>
      <c r="H45" s="30">
        <v>126</v>
      </c>
      <c r="I45" s="30">
        <v>51</v>
      </c>
      <c r="J45" s="30">
        <v>3</v>
      </c>
      <c r="K45" s="30">
        <v>33</v>
      </c>
      <c r="L45" s="30">
        <v>1</v>
      </c>
      <c r="M45" s="30">
        <v>3</v>
      </c>
    </row>
    <row r="46" spans="1:13">
      <c r="A46" s="30">
        <f ca="1" t="shared" si="0"/>
        <v>162</v>
      </c>
      <c r="B46" s="30">
        <f ca="1" t="array" ref="B46">INDEX(Data_DBD!$B:$B,$A46)</f>
        <v>22</v>
      </c>
      <c r="C46" s="30">
        <f ca="1" t="array" ref="C46">INDEX(Data_DBD!$C:$C,$A46)</f>
        <v>3</v>
      </c>
      <c r="D46" s="30">
        <f ca="1" t="array" ref="D46">INDEX(Data_DBD!$D:$D,$A46)</f>
        <v>3</v>
      </c>
      <c r="E46" s="30">
        <f ca="1" t="array" ref="E46">INDEX(Data_DBD!$E:$E,$A46)</f>
        <v>1</v>
      </c>
      <c r="F46" s="30">
        <f ca="1" t="array" ref="F46">INDEX(Data_DBD!$F:$F,$A46)</f>
        <v>1</v>
      </c>
      <c r="H46" s="30">
        <v>54</v>
      </c>
      <c r="I46" s="30">
        <v>7</v>
      </c>
      <c r="J46" s="30">
        <v>3</v>
      </c>
      <c r="K46" s="30">
        <v>15</v>
      </c>
      <c r="L46" s="30">
        <v>0</v>
      </c>
      <c r="M46" s="30">
        <v>2</v>
      </c>
    </row>
    <row r="47" spans="1:13">
      <c r="A47" s="30">
        <f ca="1" t="shared" si="0"/>
        <v>38</v>
      </c>
      <c r="B47" s="30">
        <f ca="1" t="array" ref="B47">INDEX(Data_DBD!$B:$B,$A47)</f>
        <v>52</v>
      </c>
      <c r="C47" s="30">
        <f ca="1" t="array" ref="C47">INDEX(Data_DBD!$C:$C,$A47)</f>
        <v>3</v>
      </c>
      <c r="D47" s="30">
        <f ca="1" t="array" ref="D47">INDEX(Data_DBD!$D:$D,$A47)</f>
        <v>4</v>
      </c>
      <c r="E47" s="30">
        <f ca="1" t="array" ref="E47">INDEX(Data_DBD!$E:$E,$A47)</f>
        <v>1</v>
      </c>
      <c r="F47" s="30">
        <f ca="1" t="array" ref="F47">INDEX(Data_DBD!$F:$F,$A47)</f>
        <v>1</v>
      </c>
      <c r="H47" s="30">
        <v>3</v>
      </c>
      <c r="I47" s="30">
        <v>43</v>
      </c>
      <c r="J47" s="30">
        <v>3</v>
      </c>
      <c r="K47" s="30">
        <v>12</v>
      </c>
      <c r="L47" s="30">
        <v>1</v>
      </c>
      <c r="M47" s="30">
        <v>2</v>
      </c>
    </row>
    <row r="48" spans="1:13">
      <c r="A48" s="30">
        <f ca="1" t="shared" si="0"/>
        <v>29</v>
      </c>
      <c r="B48" s="30">
        <f ca="1" t="array" ref="B48">INDEX(Data_DBD!$B:$B,$A48)</f>
        <v>19</v>
      </c>
      <c r="C48" s="30">
        <f ca="1" t="array" ref="C48">INDEX(Data_DBD!$C:$C,$A48)</f>
        <v>2</v>
      </c>
      <c r="D48" s="30">
        <f ca="1" t="array" ref="D48">INDEX(Data_DBD!$D:$D,$A48)</f>
        <v>14</v>
      </c>
      <c r="E48" s="30">
        <f ca="1" t="array" ref="E48">INDEX(Data_DBD!$E:$E,$A48)</f>
        <v>1</v>
      </c>
      <c r="F48" s="30">
        <f ca="1" t="array" ref="F48">INDEX(Data_DBD!$F:$F,$A48)</f>
        <v>2</v>
      </c>
      <c r="H48" s="30">
        <v>33</v>
      </c>
      <c r="I48" s="30">
        <v>19</v>
      </c>
      <c r="J48" s="30">
        <v>4</v>
      </c>
      <c r="K48" s="30">
        <v>14</v>
      </c>
      <c r="L48" s="30">
        <v>1</v>
      </c>
      <c r="M48" s="30">
        <v>2</v>
      </c>
    </row>
    <row r="49" spans="1:13">
      <c r="A49" s="30">
        <f ca="1" t="shared" si="0"/>
        <v>31</v>
      </c>
      <c r="B49" s="30">
        <f ca="1" t="array" ref="B49">INDEX(Data_DBD!$B:$B,$A49)</f>
        <v>64</v>
      </c>
      <c r="C49" s="30">
        <f ca="1" t="array" ref="C49">INDEX(Data_DBD!$C:$C,$A49)</f>
        <v>4</v>
      </c>
      <c r="D49" s="30">
        <f ca="1" t="array" ref="D49">INDEX(Data_DBD!$D:$D,$A49)</f>
        <v>14</v>
      </c>
      <c r="E49" s="30">
        <f ca="1" t="array" ref="E49">INDEX(Data_DBD!$E:$E,$A49)</f>
        <v>1</v>
      </c>
      <c r="F49" s="30">
        <f ca="1" t="array" ref="F49">INDEX(Data_DBD!$F:$F,$A49)</f>
        <v>2</v>
      </c>
      <c r="H49" s="30">
        <v>153</v>
      </c>
      <c r="I49" s="30">
        <v>73</v>
      </c>
      <c r="J49" s="30">
        <v>7</v>
      </c>
      <c r="K49" s="30">
        <v>21</v>
      </c>
      <c r="L49" s="30">
        <v>1</v>
      </c>
      <c r="M49" s="30">
        <v>3</v>
      </c>
    </row>
    <row r="50" spans="1:13">
      <c r="A50" s="30">
        <f ca="1" t="shared" si="0"/>
        <v>38</v>
      </c>
      <c r="B50" s="30">
        <f ca="1" t="array" ref="B50">INDEX(Data_DBD!$B:$B,$A50)</f>
        <v>52</v>
      </c>
      <c r="C50" s="30">
        <f ca="1" t="array" ref="C50">INDEX(Data_DBD!$C:$C,$A50)</f>
        <v>3</v>
      </c>
      <c r="D50" s="30">
        <f ca="1" t="array" ref="D50">INDEX(Data_DBD!$D:$D,$A50)</f>
        <v>4</v>
      </c>
      <c r="E50" s="30">
        <f ca="1" t="array" ref="E50">INDEX(Data_DBD!$E:$E,$A50)</f>
        <v>1</v>
      </c>
      <c r="F50" s="30">
        <f ca="1" t="array" ref="F50">INDEX(Data_DBD!$F:$F,$A50)</f>
        <v>1</v>
      </c>
      <c r="H50" s="30">
        <v>146</v>
      </c>
      <c r="I50" s="30">
        <v>34</v>
      </c>
      <c r="J50" s="30">
        <v>2</v>
      </c>
      <c r="K50" s="30">
        <v>21</v>
      </c>
      <c r="L50" s="30">
        <v>1</v>
      </c>
      <c r="M50" s="30">
        <v>3</v>
      </c>
    </row>
    <row r="51" spans="1:13">
      <c r="A51" s="30">
        <f ca="1" t="shared" si="0"/>
        <v>104</v>
      </c>
      <c r="B51" s="30">
        <f ca="1" t="array" ref="B51">INDEX(Data_DBD!$B:$B,$A51)</f>
        <v>37</v>
      </c>
      <c r="C51" s="30">
        <f ca="1" t="array" ref="C51">INDEX(Data_DBD!$C:$C,$A51)</f>
        <v>4</v>
      </c>
      <c r="D51" s="30">
        <f ca="1" t="array" ref="D51">INDEX(Data_DBD!$D:$D,$A51)</f>
        <v>18</v>
      </c>
      <c r="E51" s="30">
        <f ca="1" t="array" ref="E51">INDEX(Data_DBD!$E:$E,$A51)</f>
        <v>1</v>
      </c>
      <c r="F51" s="30">
        <f ca="1" t="array" ref="F51">INDEX(Data_DBD!$F:$F,$A51)</f>
        <v>3</v>
      </c>
      <c r="H51" s="30">
        <v>100</v>
      </c>
      <c r="I51" s="30">
        <v>19</v>
      </c>
      <c r="J51" s="30">
        <v>6</v>
      </c>
      <c r="K51" s="30">
        <v>18</v>
      </c>
      <c r="L51" s="30">
        <v>0</v>
      </c>
      <c r="M51" s="30">
        <v>3</v>
      </c>
    </row>
    <row r="52" spans="1:13">
      <c r="A52" s="30">
        <f ca="1" t="shared" si="0"/>
        <v>130</v>
      </c>
      <c r="B52" s="30">
        <f ca="1" t="array" ref="B52">INDEX(Data_DBD!$B:$B,$A52)</f>
        <v>12</v>
      </c>
      <c r="C52" s="30">
        <f ca="1" t="array" ref="C52">INDEX(Data_DBD!$C:$C,$A52)</f>
        <v>4</v>
      </c>
      <c r="D52" s="30">
        <f ca="1" t="array" ref="D52">INDEX(Data_DBD!$D:$D,$A52)</f>
        <v>33</v>
      </c>
      <c r="E52" s="30">
        <f ca="1" t="array" ref="E52">INDEX(Data_DBD!$E:$E,$A52)</f>
        <v>0</v>
      </c>
      <c r="F52" s="30">
        <f ca="1" t="array" ref="F52">INDEX(Data_DBD!$F:$F,$A52)</f>
        <v>3</v>
      </c>
      <c r="H52" s="30">
        <v>124</v>
      </c>
      <c r="I52" s="30">
        <v>24</v>
      </c>
      <c r="J52" s="30">
        <v>3</v>
      </c>
      <c r="K52" s="30">
        <v>33</v>
      </c>
      <c r="L52" s="30">
        <v>1</v>
      </c>
      <c r="M52" s="30">
        <v>3</v>
      </c>
    </row>
    <row r="53" spans="1:13">
      <c r="A53" s="30">
        <f ca="1" t="shared" si="0"/>
        <v>43</v>
      </c>
      <c r="B53" s="30">
        <f ca="1" t="array" ref="B53">INDEX(Data_DBD!$B:$B,$A53)</f>
        <v>15</v>
      </c>
      <c r="C53" s="30">
        <f ca="1" t="array" ref="C53">INDEX(Data_DBD!$C:$C,$A53)</f>
        <v>4</v>
      </c>
      <c r="D53" s="30">
        <f ca="1" t="array" ref="D53">INDEX(Data_DBD!$D:$D,$A53)</f>
        <v>13</v>
      </c>
      <c r="E53" s="30">
        <f ca="1" t="array" ref="E53">INDEX(Data_DBD!$E:$E,$A53)</f>
        <v>0</v>
      </c>
      <c r="F53" s="30">
        <f ca="1" t="array" ref="F53">INDEX(Data_DBD!$F:$F,$A53)</f>
        <v>2</v>
      </c>
      <c r="H53" s="30">
        <v>19</v>
      </c>
      <c r="I53" s="30">
        <v>8</v>
      </c>
      <c r="J53" s="30">
        <v>4</v>
      </c>
      <c r="K53" s="30">
        <v>7</v>
      </c>
      <c r="L53" s="30">
        <v>0</v>
      </c>
      <c r="M53" s="30">
        <v>1</v>
      </c>
    </row>
    <row r="54" spans="1:13">
      <c r="A54" s="30">
        <f ca="1" t="shared" si="0"/>
        <v>152</v>
      </c>
      <c r="B54" s="30">
        <f ca="1" t="array" ref="B54">INDEX(Data_DBD!$B:$B,$A54)</f>
        <v>47</v>
      </c>
      <c r="C54" s="30">
        <f ca="1" t="array" ref="C54">INDEX(Data_DBD!$C:$C,$A54)</f>
        <v>3</v>
      </c>
      <c r="D54" s="30">
        <f ca="1" t="array" ref="D54">INDEX(Data_DBD!$D:$D,$A54)</f>
        <v>21</v>
      </c>
      <c r="E54" s="30">
        <f ca="1" t="array" ref="E54">INDEX(Data_DBD!$E:$E,$A54)</f>
        <v>1</v>
      </c>
      <c r="F54" s="30">
        <f ca="1" t="array" ref="F54">INDEX(Data_DBD!$F:$F,$A54)</f>
        <v>3</v>
      </c>
      <c r="H54" s="30">
        <v>154</v>
      </c>
      <c r="I54" s="30">
        <v>18</v>
      </c>
      <c r="J54" s="30">
        <v>5</v>
      </c>
      <c r="K54" s="30">
        <v>21</v>
      </c>
      <c r="L54" s="30">
        <v>1</v>
      </c>
      <c r="M54" s="30">
        <v>3</v>
      </c>
    </row>
    <row r="55" spans="1:13">
      <c r="A55" s="30">
        <f ca="1" t="shared" si="0"/>
        <v>99</v>
      </c>
      <c r="B55" s="30">
        <f ca="1" t="array" ref="B55">INDEX(Data_DBD!$B:$B,$A55)</f>
        <v>4</v>
      </c>
      <c r="C55" s="30">
        <f ca="1" t="array" ref="C55">INDEX(Data_DBD!$C:$C,$A55)</f>
        <v>2</v>
      </c>
      <c r="D55" s="30">
        <f ca="1" t="array" ref="D55">INDEX(Data_DBD!$D:$D,$A55)</f>
        <v>18</v>
      </c>
      <c r="E55" s="30">
        <f ca="1" t="array" ref="E55">INDEX(Data_DBD!$E:$E,$A55)</f>
        <v>1</v>
      </c>
      <c r="F55" s="30">
        <f ca="1" t="array" ref="F55">INDEX(Data_DBD!$F:$F,$A55)</f>
        <v>3</v>
      </c>
      <c r="H55" s="30">
        <v>47</v>
      </c>
      <c r="I55" s="30">
        <v>19</v>
      </c>
      <c r="J55" s="30">
        <v>2</v>
      </c>
      <c r="K55" s="30">
        <v>13</v>
      </c>
      <c r="L55" s="30">
        <v>0</v>
      </c>
      <c r="M55" s="30">
        <v>2</v>
      </c>
    </row>
    <row r="56" spans="1:13">
      <c r="A56" s="30">
        <f ca="1" t="shared" si="0"/>
        <v>31</v>
      </c>
      <c r="B56" s="30">
        <f ca="1" t="array" ref="B56">INDEX(Data_DBD!$B:$B,$A56)</f>
        <v>64</v>
      </c>
      <c r="C56" s="30">
        <f ca="1" t="array" ref="C56">INDEX(Data_DBD!$C:$C,$A56)</f>
        <v>4</v>
      </c>
      <c r="D56" s="30">
        <f ca="1" t="array" ref="D56">INDEX(Data_DBD!$D:$D,$A56)</f>
        <v>14</v>
      </c>
      <c r="E56" s="30">
        <f ca="1" t="array" ref="E56">INDEX(Data_DBD!$E:$E,$A56)</f>
        <v>1</v>
      </c>
      <c r="F56" s="30">
        <f ca="1" t="array" ref="F56">INDEX(Data_DBD!$F:$F,$A56)</f>
        <v>2</v>
      </c>
      <c r="H56" s="30">
        <v>150</v>
      </c>
      <c r="I56" s="30">
        <v>61</v>
      </c>
      <c r="J56" s="30">
        <v>5</v>
      </c>
      <c r="K56" s="30">
        <v>21</v>
      </c>
      <c r="L56" s="30">
        <v>1</v>
      </c>
      <c r="M56" s="30">
        <v>3</v>
      </c>
    </row>
    <row r="57" spans="1:13">
      <c r="A57" s="30">
        <f ca="1" t="shared" si="0"/>
        <v>61</v>
      </c>
      <c r="B57" s="30">
        <f ca="1" t="array" ref="B57">INDEX(Data_DBD!$B:$B,$A57)</f>
        <v>29</v>
      </c>
      <c r="C57" s="30">
        <f ca="1" t="array" ref="C57">INDEX(Data_DBD!$C:$C,$A57)</f>
        <v>3</v>
      </c>
      <c r="D57" s="30">
        <f ca="1" t="array" ref="D57">INDEX(Data_DBD!$D:$D,$A57)</f>
        <v>15</v>
      </c>
      <c r="E57" s="30">
        <f ca="1" t="array" ref="E57">INDEX(Data_DBD!$E:$E,$A57)</f>
        <v>1</v>
      </c>
      <c r="F57" s="30">
        <f ca="1" t="array" ref="F57">INDEX(Data_DBD!$F:$F,$A57)</f>
        <v>2</v>
      </c>
      <c r="H57" s="30">
        <v>91</v>
      </c>
      <c r="I57" s="30">
        <v>35</v>
      </c>
      <c r="J57" s="30">
        <v>1</v>
      </c>
      <c r="K57" s="30">
        <v>18</v>
      </c>
      <c r="L57" s="30">
        <v>1</v>
      </c>
      <c r="M57" s="30">
        <v>3</v>
      </c>
    </row>
    <row r="58" spans="1:13">
      <c r="A58" s="30">
        <f ca="1" t="shared" si="0"/>
        <v>106</v>
      </c>
      <c r="B58" s="30">
        <f ca="1" t="array" ref="B58">INDEX(Data_DBD!$B:$B,$A58)</f>
        <v>23</v>
      </c>
      <c r="C58" s="30">
        <f ca="1" t="array" ref="C58">INDEX(Data_DBD!$C:$C,$A58)</f>
        <v>3</v>
      </c>
      <c r="D58" s="30">
        <f ca="1" t="array" ref="D58">INDEX(Data_DBD!$D:$D,$A58)</f>
        <v>18</v>
      </c>
      <c r="E58" s="30">
        <f ca="1" t="array" ref="E58">INDEX(Data_DBD!$E:$E,$A58)</f>
        <v>1</v>
      </c>
      <c r="F58" s="30">
        <f ca="1" t="array" ref="F58">INDEX(Data_DBD!$F:$F,$A58)</f>
        <v>3</v>
      </c>
      <c r="H58" s="30">
        <v>58</v>
      </c>
      <c r="I58" s="30">
        <v>17</v>
      </c>
      <c r="J58" s="30">
        <v>3</v>
      </c>
      <c r="K58" s="30">
        <v>15</v>
      </c>
      <c r="L58" s="30">
        <v>0</v>
      </c>
      <c r="M58" s="30">
        <v>2</v>
      </c>
    </row>
    <row r="59" spans="1:13">
      <c r="A59" s="30">
        <f ca="1" t="shared" si="0"/>
        <v>106</v>
      </c>
      <c r="B59" s="30">
        <f ca="1" t="array" ref="B59">INDEX(Data_DBD!$B:$B,$A59)</f>
        <v>23</v>
      </c>
      <c r="C59" s="30">
        <f ca="1" t="array" ref="C59">INDEX(Data_DBD!$C:$C,$A59)</f>
        <v>3</v>
      </c>
      <c r="D59" s="30">
        <f ca="1" t="array" ref="D59">INDEX(Data_DBD!$D:$D,$A59)</f>
        <v>18</v>
      </c>
      <c r="E59" s="30">
        <f ca="1" t="array" ref="E59">INDEX(Data_DBD!$E:$E,$A59)</f>
        <v>1</v>
      </c>
      <c r="F59" s="30">
        <f ca="1" t="array" ref="F59">INDEX(Data_DBD!$F:$F,$A59)</f>
        <v>3</v>
      </c>
      <c r="H59" s="30">
        <v>86</v>
      </c>
      <c r="I59" s="30">
        <v>23</v>
      </c>
      <c r="J59" s="30">
        <v>3</v>
      </c>
      <c r="K59" s="30">
        <v>13</v>
      </c>
      <c r="L59" s="30">
        <v>0</v>
      </c>
      <c r="M59" s="30">
        <v>2</v>
      </c>
    </row>
    <row r="60" spans="1:13">
      <c r="A60" s="30">
        <f ca="1" t="shared" si="0"/>
        <v>157</v>
      </c>
      <c r="B60" s="30">
        <f ca="1" t="array" ref="B60">INDEX(Data_DBD!$B:$B,$A60)</f>
        <v>15</v>
      </c>
      <c r="C60" s="30">
        <f ca="1" t="array" ref="C60">INDEX(Data_DBD!$C:$C,$A60)</f>
        <v>4</v>
      </c>
      <c r="D60" s="30">
        <f ca="1" t="array" ref="D60">INDEX(Data_DBD!$D:$D,$A60)</f>
        <v>21</v>
      </c>
      <c r="E60" s="30">
        <f ca="1" t="array" ref="E60">INDEX(Data_DBD!$E:$E,$A60)</f>
        <v>1</v>
      </c>
      <c r="F60" s="30">
        <f ca="1" t="array" ref="F60">INDEX(Data_DBD!$F:$F,$A60)</f>
        <v>3</v>
      </c>
      <c r="H60" s="30">
        <v>18</v>
      </c>
      <c r="I60" s="30">
        <v>49</v>
      </c>
      <c r="J60" s="30">
        <v>4</v>
      </c>
      <c r="K60" s="30">
        <v>7</v>
      </c>
      <c r="L60" s="30">
        <v>1</v>
      </c>
      <c r="M60" s="30">
        <v>1</v>
      </c>
    </row>
    <row r="61" spans="1:13">
      <c r="A61" s="30">
        <f ca="1" t="shared" si="0"/>
        <v>35</v>
      </c>
      <c r="B61" s="30">
        <f ca="1" t="array" ref="B61">INDEX(Data_DBD!$B:$B,$A61)</f>
        <v>40</v>
      </c>
      <c r="C61" s="30">
        <f ca="1" t="array" ref="C61">INDEX(Data_DBD!$C:$C,$A61)</f>
        <v>3</v>
      </c>
      <c r="D61" s="30">
        <f ca="1" t="array" ref="D61">INDEX(Data_DBD!$D:$D,$A61)</f>
        <v>4</v>
      </c>
      <c r="E61" s="30">
        <f ca="1" t="array" ref="E61">INDEX(Data_DBD!$E:$E,$A61)</f>
        <v>1</v>
      </c>
      <c r="F61" s="30">
        <f ca="1" t="array" ref="F61">INDEX(Data_DBD!$F:$F,$A61)</f>
        <v>1</v>
      </c>
      <c r="H61" s="30">
        <v>149</v>
      </c>
      <c r="I61" s="30">
        <v>19</v>
      </c>
      <c r="J61" s="30">
        <v>5</v>
      </c>
      <c r="K61" s="30">
        <v>21</v>
      </c>
      <c r="L61" s="30">
        <v>0</v>
      </c>
      <c r="M61" s="30">
        <v>3</v>
      </c>
    </row>
    <row r="62" spans="1:13">
      <c r="A62" s="30">
        <f ca="1" t="shared" si="0"/>
        <v>63</v>
      </c>
      <c r="B62" s="30">
        <f ca="1" t="array" ref="B62">INDEX(Data_DBD!$B:$B,$A62)</f>
        <v>25</v>
      </c>
      <c r="C62" s="30">
        <f ca="1" t="array" ref="C62">INDEX(Data_DBD!$C:$C,$A62)</f>
        <v>3</v>
      </c>
      <c r="D62" s="30">
        <f ca="1" t="array" ref="D62">INDEX(Data_DBD!$D:$D,$A62)</f>
        <v>15</v>
      </c>
      <c r="E62" s="30">
        <f ca="1" t="array" ref="E62">INDEX(Data_DBD!$E:$E,$A62)</f>
        <v>0</v>
      </c>
      <c r="F62" s="30">
        <f ca="1" t="array" ref="F62">INDEX(Data_DBD!$F:$F,$A62)</f>
        <v>2</v>
      </c>
      <c r="H62" s="30">
        <v>2</v>
      </c>
      <c r="I62" s="30">
        <v>34</v>
      </c>
      <c r="J62" s="30">
        <v>3</v>
      </c>
      <c r="K62" s="30">
        <v>12</v>
      </c>
      <c r="L62" s="30">
        <v>0</v>
      </c>
      <c r="M62" s="30">
        <v>2</v>
      </c>
    </row>
    <row r="63" spans="1:13">
      <c r="A63" s="30">
        <f ca="1" t="shared" si="0"/>
        <v>153</v>
      </c>
      <c r="B63" s="30">
        <f ca="1" t="array" ref="B63">INDEX(Data_DBD!$B:$B,$A63)</f>
        <v>73</v>
      </c>
      <c r="C63" s="30">
        <f ca="1" t="array" ref="C63">INDEX(Data_DBD!$C:$C,$A63)</f>
        <v>7</v>
      </c>
      <c r="D63" s="30">
        <f ca="1" t="array" ref="D63">INDEX(Data_DBD!$D:$D,$A63)</f>
        <v>21</v>
      </c>
      <c r="E63" s="30">
        <f ca="1" t="array" ref="E63">INDEX(Data_DBD!$E:$E,$A63)</f>
        <v>1</v>
      </c>
      <c r="F63" s="30">
        <f ca="1" t="array" ref="F63">INDEX(Data_DBD!$F:$F,$A63)</f>
        <v>3</v>
      </c>
      <c r="H63" s="30">
        <v>52</v>
      </c>
      <c r="I63" s="30">
        <v>59</v>
      </c>
      <c r="J63" s="30">
        <v>4</v>
      </c>
      <c r="K63" s="30">
        <v>15</v>
      </c>
      <c r="L63" s="30">
        <v>1</v>
      </c>
      <c r="M63" s="30">
        <v>2</v>
      </c>
    </row>
    <row r="64" spans="1:13">
      <c r="A64" s="30">
        <f ca="1" t="shared" si="0"/>
        <v>41</v>
      </c>
      <c r="B64" s="30">
        <f ca="1" t="array" ref="B64">INDEX(Data_DBD!$B:$B,$A64)</f>
        <v>8</v>
      </c>
      <c r="C64" s="30">
        <f ca="1" t="array" ref="C64">INDEX(Data_DBD!$C:$C,$A64)</f>
        <v>4</v>
      </c>
      <c r="D64" s="30">
        <f ca="1" t="array" ref="D64">INDEX(Data_DBD!$D:$D,$A64)</f>
        <v>13</v>
      </c>
      <c r="E64" s="30">
        <f ca="1" t="array" ref="E64">INDEX(Data_DBD!$E:$E,$A64)</f>
        <v>0</v>
      </c>
      <c r="F64" s="30">
        <f ca="1" t="array" ref="F64">INDEX(Data_DBD!$F:$F,$A64)</f>
        <v>2</v>
      </c>
      <c r="H64" s="30">
        <v>80</v>
      </c>
      <c r="I64" s="30">
        <v>27</v>
      </c>
      <c r="J64" s="30">
        <v>3</v>
      </c>
      <c r="K64" s="30">
        <v>13</v>
      </c>
      <c r="L64" s="30">
        <v>1</v>
      </c>
      <c r="M64" s="30">
        <v>2</v>
      </c>
    </row>
    <row r="65" spans="1:13">
      <c r="A65" s="30">
        <f ca="1" t="shared" si="0"/>
        <v>34</v>
      </c>
      <c r="B65" s="30">
        <f ca="1" t="array" ref="B65">INDEX(Data_DBD!$B:$B,$A65)</f>
        <v>55</v>
      </c>
      <c r="C65" s="30">
        <f ca="1" t="array" ref="C65">INDEX(Data_DBD!$C:$C,$A65)</f>
        <v>3</v>
      </c>
      <c r="D65" s="30">
        <f ca="1" t="array" ref="D65">INDEX(Data_DBD!$D:$D,$A65)</f>
        <v>14</v>
      </c>
      <c r="E65" s="30">
        <f ca="1" t="array" ref="E65">INDEX(Data_DBD!$E:$E,$A65)</f>
        <v>0</v>
      </c>
      <c r="F65" s="30">
        <f ca="1" t="array" ref="F65">INDEX(Data_DBD!$F:$F,$A65)</f>
        <v>2</v>
      </c>
      <c r="H65" s="30">
        <v>145</v>
      </c>
      <c r="I65" s="30">
        <v>28</v>
      </c>
      <c r="J65" s="30">
        <v>4</v>
      </c>
      <c r="K65" s="30">
        <v>21</v>
      </c>
      <c r="L65" s="30">
        <v>1</v>
      </c>
      <c r="M65" s="30">
        <v>3</v>
      </c>
    </row>
    <row r="66" spans="1:13">
      <c r="A66" s="30">
        <f ca="1" t="shared" si="0"/>
        <v>131</v>
      </c>
      <c r="B66" s="30">
        <f ca="1" t="array" ref="B66">INDEX(Data_DBD!$B:$B,$A66)</f>
        <v>10</v>
      </c>
      <c r="C66" s="30">
        <f ca="1" t="array" ref="C66">INDEX(Data_DBD!$C:$C,$A66)</f>
        <v>2</v>
      </c>
      <c r="D66" s="30">
        <f ca="1" t="array" ref="D66">INDEX(Data_DBD!$D:$D,$A66)</f>
        <v>33</v>
      </c>
      <c r="E66" s="30">
        <f ca="1" t="array" ref="E66">INDEX(Data_DBD!$E:$E,$A66)</f>
        <v>0</v>
      </c>
      <c r="F66" s="30">
        <f ca="1" t="array" ref="F66">INDEX(Data_DBD!$F:$F,$A66)</f>
        <v>3</v>
      </c>
      <c r="H66" s="30">
        <v>154</v>
      </c>
      <c r="I66" s="30">
        <v>18</v>
      </c>
      <c r="J66" s="30">
        <v>5</v>
      </c>
      <c r="K66" s="30">
        <v>21</v>
      </c>
      <c r="L66" s="30">
        <v>1</v>
      </c>
      <c r="M66" s="30">
        <v>3</v>
      </c>
    </row>
    <row r="67" spans="1:13">
      <c r="A67" s="30">
        <f ca="1" t="shared" ref="A67:A130" si="1">RANDBETWEEN(2,164)</f>
        <v>84</v>
      </c>
      <c r="B67" s="30">
        <f ca="1" t="array" ref="B67">INDEX(Data_DBD!$B:$B,$A67)</f>
        <v>42</v>
      </c>
      <c r="C67" s="30">
        <f ca="1" t="array" ref="C67">INDEX(Data_DBD!$C:$C,$A67)</f>
        <v>4</v>
      </c>
      <c r="D67" s="30">
        <f ca="1" t="array" ref="D67">INDEX(Data_DBD!$D:$D,$A67)</f>
        <v>13</v>
      </c>
      <c r="E67" s="30">
        <f ca="1" t="array" ref="E67">INDEX(Data_DBD!$E:$E,$A67)</f>
        <v>1</v>
      </c>
      <c r="F67" s="30">
        <f ca="1" t="array" ref="F67">INDEX(Data_DBD!$F:$F,$A67)</f>
        <v>2</v>
      </c>
      <c r="H67" s="30">
        <v>57</v>
      </c>
      <c r="I67" s="30">
        <v>2</v>
      </c>
      <c r="J67" s="30">
        <v>2</v>
      </c>
      <c r="K67" s="30">
        <v>15</v>
      </c>
      <c r="L67" s="30">
        <v>1</v>
      </c>
      <c r="M67" s="30">
        <v>2</v>
      </c>
    </row>
    <row r="68" spans="1:13">
      <c r="A68" s="30">
        <f ca="1" t="shared" si="1"/>
        <v>123</v>
      </c>
      <c r="B68" s="30">
        <f ca="1" t="array" ref="B68">INDEX(Data_DBD!$B:$B,$A68)</f>
        <v>22</v>
      </c>
      <c r="C68" s="30">
        <f ca="1" t="array" ref="C68">INDEX(Data_DBD!$C:$C,$A68)</f>
        <v>4</v>
      </c>
      <c r="D68" s="30">
        <f ca="1" t="array" ref="D68">INDEX(Data_DBD!$D:$D,$A68)</f>
        <v>33</v>
      </c>
      <c r="E68" s="30">
        <f ca="1" t="array" ref="E68">INDEX(Data_DBD!$E:$E,$A68)</f>
        <v>0</v>
      </c>
      <c r="F68" s="30">
        <f ca="1" t="array" ref="F68">INDEX(Data_DBD!$F:$F,$A68)</f>
        <v>3</v>
      </c>
      <c r="H68" s="30">
        <v>104</v>
      </c>
      <c r="I68" s="30">
        <v>37</v>
      </c>
      <c r="J68" s="30">
        <v>4</v>
      </c>
      <c r="K68" s="30">
        <v>18</v>
      </c>
      <c r="L68" s="30">
        <v>1</v>
      </c>
      <c r="M68" s="30">
        <v>3</v>
      </c>
    </row>
    <row r="69" spans="1:13">
      <c r="A69" s="30">
        <f ca="1" t="shared" si="1"/>
        <v>91</v>
      </c>
      <c r="B69" s="30">
        <f ca="1" t="array" ref="B69">INDEX(Data_DBD!$B:$B,$A69)</f>
        <v>35</v>
      </c>
      <c r="C69" s="30">
        <f ca="1" t="array" ref="C69">INDEX(Data_DBD!$C:$C,$A69)</f>
        <v>1</v>
      </c>
      <c r="D69" s="30">
        <f ca="1" t="array" ref="D69">INDEX(Data_DBD!$D:$D,$A69)</f>
        <v>18</v>
      </c>
      <c r="E69" s="30">
        <f ca="1" t="array" ref="E69">INDEX(Data_DBD!$E:$E,$A69)</f>
        <v>1</v>
      </c>
      <c r="F69" s="30">
        <f ca="1" t="array" ref="F69">INDEX(Data_DBD!$F:$F,$A69)</f>
        <v>3</v>
      </c>
      <c r="H69" s="30">
        <v>37</v>
      </c>
      <c r="I69" s="30">
        <v>28</v>
      </c>
      <c r="J69" s="30">
        <v>4</v>
      </c>
      <c r="K69" s="30">
        <v>4</v>
      </c>
      <c r="L69" s="30">
        <v>1</v>
      </c>
      <c r="M69" s="30">
        <v>1</v>
      </c>
    </row>
    <row r="70" spans="1:13">
      <c r="A70" s="30">
        <f ca="1" t="shared" si="1"/>
        <v>127</v>
      </c>
      <c r="B70" s="30">
        <f ca="1" t="array" ref="B70">INDEX(Data_DBD!$B:$B,$A70)</f>
        <v>21</v>
      </c>
      <c r="C70" s="30">
        <f ca="1" t="array" ref="C70">INDEX(Data_DBD!$C:$C,$A70)</f>
        <v>2</v>
      </c>
      <c r="D70" s="30">
        <f ca="1" t="array" ref="D70">INDEX(Data_DBD!$D:$D,$A70)</f>
        <v>33</v>
      </c>
      <c r="E70" s="30">
        <f ca="1" t="array" ref="E70">INDEX(Data_DBD!$E:$E,$A70)</f>
        <v>0</v>
      </c>
      <c r="F70" s="30">
        <f ca="1" t="array" ref="F70">INDEX(Data_DBD!$F:$F,$A70)</f>
        <v>3</v>
      </c>
      <c r="H70" s="30">
        <v>93</v>
      </c>
      <c r="I70" s="30">
        <v>65</v>
      </c>
      <c r="J70" s="30">
        <v>4</v>
      </c>
      <c r="K70" s="30">
        <v>18</v>
      </c>
      <c r="L70" s="30">
        <v>0</v>
      </c>
      <c r="M70" s="30">
        <v>3</v>
      </c>
    </row>
    <row r="71" spans="1:13">
      <c r="A71" s="30">
        <f ca="1" t="shared" si="1"/>
        <v>41</v>
      </c>
      <c r="B71" s="30">
        <f ca="1" t="array" ref="B71">INDEX(Data_DBD!$B:$B,$A71)</f>
        <v>8</v>
      </c>
      <c r="C71" s="30">
        <f ca="1" t="array" ref="C71">INDEX(Data_DBD!$C:$C,$A71)</f>
        <v>4</v>
      </c>
      <c r="D71" s="30">
        <f ca="1" t="array" ref="D71">INDEX(Data_DBD!$D:$D,$A71)</f>
        <v>13</v>
      </c>
      <c r="E71" s="30">
        <f ca="1" t="array" ref="E71">INDEX(Data_DBD!$E:$E,$A71)</f>
        <v>0</v>
      </c>
      <c r="F71" s="30">
        <f ca="1" t="array" ref="F71">INDEX(Data_DBD!$F:$F,$A71)</f>
        <v>2</v>
      </c>
      <c r="H71" s="30">
        <v>4</v>
      </c>
      <c r="I71" s="30">
        <v>23</v>
      </c>
      <c r="J71" s="30">
        <v>5</v>
      </c>
      <c r="K71" s="30">
        <v>12</v>
      </c>
      <c r="L71" s="30">
        <v>0</v>
      </c>
      <c r="M71" s="30">
        <v>2</v>
      </c>
    </row>
    <row r="72" spans="1:13">
      <c r="A72" s="30">
        <f ca="1" t="shared" si="1"/>
        <v>129</v>
      </c>
      <c r="B72" s="30">
        <f ca="1" t="array" ref="B72">INDEX(Data_DBD!$B:$B,$A72)</f>
        <v>4.5</v>
      </c>
      <c r="C72" s="30">
        <f ca="1" t="array" ref="C72">INDEX(Data_DBD!$C:$C,$A72)</f>
        <v>3</v>
      </c>
      <c r="D72" s="30">
        <f ca="1" t="array" ref="D72">INDEX(Data_DBD!$D:$D,$A72)</f>
        <v>33</v>
      </c>
      <c r="E72" s="30">
        <f ca="1" t="array" ref="E72">INDEX(Data_DBD!$E:$E,$A72)</f>
        <v>0</v>
      </c>
      <c r="F72" s="30">
        <f ca="1" t="array" ref="F72">INDEX(Data_DBD!$F:$F,$A72)</f>
        <v>3</v>
      </c>
      <c r="H72" s="30">
        <v>121</v>
      </c>
      <c r="I72" s="30">
        <v>82</v>
      </c>
      <c r="J72" s="30">
        <v>5</v>
      </c>
      <c r="K72" s="30">
        <v>33</v>
      </c>
      <c r="L72" s="30">
        <v>1</v>
      </c>
      <c r="M72" s="30">
        <v>3</v>
      </c>
    </row>
    <row r="73" spans="1:13">
      <c r="A73" s="30">
        <f ca="1" t="shared" si="1"/>
        <v>111</v>
      </c>
      <c r="B73" s="30">
        <f ca="1" t="array" ref="B73">INDEX(Data_DBD!$B:$B,$A73)</f>
        <v>25</v>
      </c>
      <c r="C73" s="30">
        <f ca="1" t="array" ref="C73">INDEX(Data_DBD!$C:$C,$A73)</f>
        <v>4</v>
      </c>
      <c r="D73" s="30">
        <f ca="1" t="array" ref="D73">INDEX(Data_DBD!$D:$D,$A73)</f>
        <v>33</v>
      </c>
      <c r="E73" s="30">
        <f ca="1" t="array" ref="E73">INDEX(Data_DBD!$E:$E,$A73)</f>
        <v>0</v>
      </c>
      <c r="F73" s="30">
        <f ca="1" t="array" ref="F73">INDEX(Data_DBD!$F:$F,$A73)</f>
        <v>3</v>
      </c>
      <c r="H73" s="30">
        <v>31</v>
      </c>
      <c r="I73" s="30">
        <v>64</v>
      </c>
      <c r="J73" s="30">
        <v>4</v>
      </c>
      <c r="K73" s="30">
        <v>14</v>
      </c>
      <c r="L73" s="30">
        <v>1</v>
      </c>
      <c r="M73" s="30">
        <v>2</v>
      </c>
    </row>
    <row r="74" spans="1:13">
      <c r="A74" s="30">
        <f ca="1" t="shared" si="1"/>
        <v>20</v>
      </c>
      <c r="B74" s="30">
        <f ca="1" t="array" ref="B74">INDEX(Data_DBD!$B:$B,$A74)</f>
        <v>15</v>
      </c>
      <c r="C74" s="30">
        <f ca="1" t="array" ref="C74">INDEX(Data_DBD!$C:$C,$A74)</f>
        <v>5</v>
      </c>
      <c r="D74" s="30">
        <f ca="1" t="array" ref="D74">INDEX(Data_DBD!$D:$D,$A74)</f>
        <v>7</v>
      </c>
      <c r="E74" s="30">
        <f ca="1" t="array" ref="E74">INDEX(Data_DBD!$E:$E,$A74)</f>
        <v>0</v>
      </c>
      <c r="F74" s="30">
        <f ca="1" t="array" ref="F74">INDEX(Data_DBD!$F:$F,$A74)</f>
        <v>1</v>
      </c>
      <c r="H74" s="30">
        <v>30</v>
      </c>
      <c r="I74" s="30" t="s">
        <v>36</v>
      </c>
      <c r="J74" s="30">
        <v>2</v>
      </c>
      <c r="K74" s="30">
        <v>14</v>
      </c>
      <c r="L74" s="30">
        <v>1</v>
      </c>
      <c r="M74" s="30">
        <v>2</v>
      </c>
    </row>
    <row r="75" spans="1:13">
      <c r="A75" s="30">
        <f ca="1" t="shared" si="1"/>
        <v>128</v>
      </c>
      <c r="B75" s="30">
        <f ca="1" t="array" ref="B75">INDEX(Data_DBD!$B:$B,$A75)</f>
        <v>38</v>
      </c>
      <c r="C75" s="30">
        <f ca="1" t="array" ref="C75">INDEX(Data_DBD!$C:$C,$A75)</f>
        <v>2</v>
      </c>
      <c r="D75" s="30">
        <f ca="1" t="array" ref="D75">INDEX(Data_DBD!$D:$D,$A75)</f>
        <v>33</v>
      </c>
      <c r="E75" s="30">
        <f ca="1" t="array" ref="E75">INDEX(Data_DBD!$E:$E,$A75)</f>
        <v>0</v>
      </c>
      <c r="F75" s="30">
        <f ca="1" t="array" ref="F75">INDEX(Data_DBD!$F:$F,$A75)</f>
        <v>3</v>
      </c>
      <c r="H75" s="30">
        <v>78</v>
      </c>
      <c r="I75" s="30">
        <v>6</v>
      </c>
      <c r="J75" s="30">
        <v>3</v>
      </c>
      <c r="K75" s="30">
        <v>13</v>
      </c>
      <c r="L75" s="30">
        <v>0</v>
      </c>
      <c r="M75" s="30">
        <v>2</v>
      </c>
    </row>
    <row r="76" spans="1:13">
      <c r="A76" s="30">
        <f ca="1" t="shared" si="1"/>
        <v>39</v>
      </c>
      <c r="B76" s="30">
        <f ca="1" t="array" ref="B76">INDEX(Data_DBD!$B:$B,$A76)</f>
        <v>12</v>
      </c>
      <c r="C76" s="30">
        <f ca="1" t="array" ref="C76">INDEX(Data_DBD!$C:$C,$A76)</f>
        <v>5</v>
      </c>
      <c r="D76" s="30">
        <f ca="1" t="array" ref="D76">INDEX(Data_DBD!$D:$D,$A76)</f>
        <v>13</v>
      </c>
      <c r="E76" s="30">
        <f ca="1" t="array" ref="E76">INDEX(Data_DBD!$E:$E,$A76)</f>
        <v>1</v>
      </c>
      <c r="F76" s="30">
        <f ca="1" t="array" ref="F76">INDEX(Data_DBD!$F:$F,$A76)</f>
        <v>2</v>
      </c>
      <c r="H76" s="30">
        <v>61</v>
      </c>
      <c r="I76" s="30">
        <v>29</v>
      </c>
      <c r="J76" s="30">
        <v>3</v>
      </c>
      <c r="K76" s="30">
        <v>15</v>
      </c>
      <c r="L76" s="30">
        <v>1</v>
      </c>
      <c r="M76" s="30">
        <v>2</v>
      </c>
    </row>
    <row r="77" spans="1:13">
      <c r="A77" s="30">
        <f ca="1" t="shared" si="1"/>
        <v>104</v>
      </c>
      <c r="B77" s="30">
        <f ca="1" t="array" ref="B77">INDEX(Data_DBD!$B:$B,$A77)</f>
        <v>37</v>
      </c>
      <c r="C77" s="30">
        <f ca="1" t="array" ref="C77">INDEX(Data_DBD!$C:$C,$A77)</f>
        <v>4</v>
      </c>
      <c r="D77" s="30">
        <f ca="1" t="array" ref="D77">INDEX(Data_DBD!$D:$D,$A77)</f>
        <v>18</v>
      </c>
      <c r="E77" s="30">
        <f ca="1" t="array" ref="E77">INDEX(Data_DBD!$E:$E,$A77)</f>
        <v>1</v>
      </c>
      <c r="F77" s="30">
        <f ca="1" t="array" ref="F77">INDEX(Data_DBD!$F:$F,$A77)</f>
        <v>3</v>
      </c>
      <c r="H77" s="30">
        <v>20</v>
      </c>
      <c r="I77" s="30">
        <v>15</v>
      </c>
      <c r="J77" s="30">
        <v>5</v>
      </c>
      <c r="K77" s="30">
        <v>7</v>
      </c>
      <c r="L77" s="30">
        <v>0</v>
      </c>
      <c r="M77" s="30">
        <v>1</v>
      </c>
    </row>
    <row r="78" spans="1:13">
      <c r="A78" s="30">
        <f ca="1" t="shared" si="1"/>
        <v>54</v>
      </c>
      <c r="B78" s="30">
        <f ca="1" t="array" ref="B78">INDEX(Data_DBD!$B:$B,$A78)</f>
        <v>7</v>
      </c>
      <c r="C78" s="30">
        <f ca="1" t="array" ref="C78">INDEX(Data_DBD!$C:$C,$A78)</f>
        <v>3</v>
      </c>
      <c r="D78" s="30">
        <f ca="1" t="array" ref="D78">INDEX(Data_DBD!$D:$D,$A78)</f>
        <v>15</v>
      </c>
      <c r="E78" s="30">
        <f ca="1" t="array" ref="E78">INDEX(Data_DBD!$E:$E,$A78)</f>
        <v>0</v>
      </c>
      <c r="F78" s="30">
        <f ca="1" t="array" ref="F78">INDEX(Data_DBD!$F:$F,$A78)</f>
        <v>2</v>
      </c>
      <c r="H78" s="30">
        <v>57</v>
      </c>
      <c r="I78" s="30">
        <v>2</v>
      </c>
      <c r="J78" s="30">
        <v>2</v>
      </c>
      <c r="K78" s="30">
        <v>15</v>
      </c>
      <c r="L78" s="30">
        <v>1</v>
      </c>
      <c r="M78" s="30">
        <v>2</v>
      </c>
    </row>
    <row r="79" spans="1:13">
      <c r="A79" s="30">
        <f ca="1" t="shared" si="1"/>
        <v>99</v>
      </c>
      <c r="B79" s="30">
        <f ca="1" t="array" ref="B79">INDEX(Data_DBD!$B:$B,$A79)</f>
        <v>4</v>
      </c>
      <c r="C79" s="30">
        <f ca="1" t="array" ref="C79">INDEX(Data_DBD!$C:$C,$A79)</f>
        <v>2</v>
      </c>
      <c r="D79" s="30">
        <f ca="1" t="array" ref="D79">INDEX(Data_DBD!$D:$D,$A79)</f>
        <v>18</v>
      </c>
      <c r="E79" s="30">
        <f ca="1" t="array" ref="E79">INDEX(Data_DBD!$E:$E,$A79)</f>
        <v>1</v>
      </c>
      <c r="F79" s="30">
        <f ca="1" t="array" ref="F79">INDEX(Data_DBD!$F:$F,$A79)</f>
        <v>3</v>
      </c>
      <c r="H79" s="30">
        <v>70</v>
      </c>
      <c r="I79" s="30">
        <v>26</v>
      </c>
      <c r="J79" s="30">
        <v>3</v>
      </c>
      <c r="K79" s="30">
        <v>10</v>
      </c>
      <c r="L79" s="30">
        <v>1</v>
      </c>
      <c r="M79" s="30">
        <v>2</v>
      </c>
    </row>
    <row r="80" spans="1:13">
      <c r="A80" s="30">
        <f ca="1" t="shared" si="1"/>
        <v>53</v>
      </c>
      <c r="B80" s="30">
        <f ca="1" t="array" ref="B80">INDEX(Data_DBD!$B:$B,$A80)</f>
        <v>35</v>
      </c>
      <c r="C80" s="30">
        <f ca="1" t="array" ref="C80">INDEX(Data_DBD!$C:$C,$A80)</f>
        <v>4</v>
      </c>
      <c r="D80" s="30">
        <f ca="1" t="array" ref="D80">INDEX(Data_DBD!$D:$D,$A80)</f>
        <v>15</v>
      </c>
      <c r="E80" s="30">
        <f ca="1" t="array" ref="E80">INDEX(Data_DBD!$E:$E,$A80)</f>
        <v>1</v>
      </c>
      <c r="F80" s="30">
        <f ca="1" t="array" ref="F80">INDEX(Data_DBD!$F:$F,$A80)</f>
        <v>2</v>
      </c>
      <c r="H80" s="30">
        <v>107</v>
      </c>
      <c r="I80" s="30">
        <v>48</v>
      </c>
      <c r="J80" s="30">
        <v>5</v>
      </c>
      <c r="K80" s="30">
        <v>18</v>
      </c>
      <c r="L80" s="30">
        <v>0</v>
      </c>
      <c r="M80" s="30">
        <v>3</v>
      </c>
    </row>
    <row r="81" spans="1:13">
      <c r="A81" s="30">
        <f ca="1" t="shared" si="1"/>
        <v>35</v>
      </c>
      <c r="B81" s="30">
        <f ca="1" t="array" ref="B81">INDEX(Data_DBD!$B:$B,$A81)</f>
        <v>40</v>
      </c>
      <c r="C81" s="30">
        <f ca="1" t="array" ref="C81">INDEX(Data_DBD!$C:$C,$A81)</f>
        <v>3</v>
      </c>
      <c r="D81" s="30">
        <f ca="1" t="array" ref="D81">INDEX(Data_DBD!$D:$D,$A81)</f>
        <v>4</v>
      </c>
      <c r="E81" s="30">
        <f ca="1" t="array" ref="E81">INDEX(Data_DBD!$E:$E,$A81)</f>
        <v>1</v>
      </c>
      <c r="F81" s="30">
        <f ca="1" t="array" ref="F81">INDEX(Data_DBD!$F:$F,$A81)</f>
        <v>1</v>
      </c>
      <c r="H81" s="30">
        <v>54</v>
      </c>
      <c r="I81" s="30">
        <v>7</v>
      </c>
      <c r="J81" s="30">
        <v>3</v>
      </c>
      <c r="K81" s="30">
        <v>15</v>
      </c>
      <c r="L81" s="30">
        <v>0</v>
      </c>
      <c r="M81" s="30">
        <v>2</v>
      </c>
    </row>
    <row r="82" spans="1:13">
      <c r="A82" s="30">
        <f ca="1" t="shared" si="1"/>
        <v>85</v>
      </c>
      <c r="B82" s="30">
        <f ca="1" t="array" ref="B82">INDEX(Data_DBD!$B:$B,$A82)</f>
        <v>27</v>
      </c>
      <c r="C82" s="30">
        <f ca="1" t="array" ref="C82">INDEX(Data_DBD!$C:$C,$A82)</f>
        <v>9</v>
      </c>
      <c r="D82" s="30">
        <f ca="1" t="array" ref="D82">INDEX(Data_DBD!$D:$D,$A82)</f>
        <v>13</v>
      </c>
      <c r="E82" s="30">
        <f ca="1" t="array" ref="E82">INDEX(Data_DBD!$E:$E,$A82)</f>
        <v>0</v>
      </c>
      <c r="F82" s="30">
        <f ca="1" t="array" ref="F82">INDEX(Data_DBD!$F:$F,$A82)</f>
        <v>2</v>
      </c>
      <c r="H82" s="30">
        <v>51</v>
      </c>
      <c r="I82" s="30">
        <v>48</v>
      </c>
      <c r="J82" s="30">
        <v>4</v>
      </c>
      <c r="K82" s="30">
        <v>13</v>
      </c>
      <c r="L82" s="30">
        <v>0</v>
      </c>
      <c r="M82" s="30">
        <v>2</v>
      </c>
    </row>
    <row r="83" spans="1:13">
      <c r="A83" s="30">
        <f ca="1" t="shared" si="1"/>
        <v>85</v>
      </c>
      <c r="B83" s="30">
        <f ca="1" t="array" ref="B83">INDEX(Data_DBD!$B:$B,$A83)</f>
        <v>27</v>
      </c>
      <c r="C83" s="30">
        <f ca="1" t="array" ref="C83">INDEX(Data_DBD!$C:$C,$A83)</f>
        <v>9</v>
      </c>
      <c r="D83" s="30">
        <f ca="1" t="array" ref="D83">INDEX(Data_DBD!$D:$D,$A83)</f>
        <v>13</v>
      </c>
      <c r="E83" s="30">
        <f ca="1" t="array" ref="E83">INDEX(Data_DBD!$E:$E,$A83)</f>
        <v>0</v>
      </c>
      <c r="F83" s="30">
        <f ca="1" t="array" ref="F83">INDEX(Data_DBD!$F:$F,$A83)</f>
        <v>2</v>
      </c>
      <c r="H83" s="30">
        <v>159</v>
      </c>
      <c r="I83" s="30">
        <v>17</v>
      </c>
      <c r="J83" s="30">
        <v>2</v>
      </c>
      <c r="K83" s="30">
        <v>21</v>
      </c>
      <c r="L83" s="30">
        <v>0</v>
      </c>
      <c r="M83" s="30">
        <v>3</v>
      </c>
    </row>
    <row r="84" spans="1:13">
      <c r="A84" s="30">
        <f ca="1" t="shared" si="1"/>
        <v>94</v>
      </c>
      <c r="B84" s="30">
        <f ca="1" t="array" ref="B84">INDEX(Data_DBD!$B:$B,$A84)</f>
        <v>12</v>
      </c>
      <c r="C84" s="30">
        <f ca="1" t="array" ref="C84">INDEX(Data_DBD!$C:$C,$A84)</f>
        <v>4</v>
      </c>
      <c r="D84" s="30">
        <f ca="1" t="array" ref="D84">INDEX(Data_DBD!$D:$D,$A84)</f>
        <v>18</v>
      </c>
      <c r="E84" s="30">
        <f ca="1" t="array" ref="E84">INDEX(Data_DBD!$E:$E,$A84)</f>
        <v>0</v>
      </c>
      <c r="F84" s="30">
        <f ca="1" t="array" ref="F84">INDEX(Data_DBD!$F:$F,$A84)</f>
        <v>3</v>
      </c>
      <c r="H84" s="30">
        <v>43</v>
      </c>
      <c r="I84" s="30">
        <v>15</v>
      </c>
      <c r="J84" s="30">
        <v>4</v>
      </c>
      <c r="K84" s="30">
        <v>13</v>
      </c>
      <c r="L84" s="30">
        <v>0</v>
      </c>
      <c r="M84" s="30">
        <v>2</v>
      </c>
    </row>
    <row r="85" spans="1:13">
      <c r="A85" s="30">
        <f ca="1" t="shared" si="1"/>
        <v>141</v>
      </c>
      <c r="B85" s="30">
        <f ca="1" t="array" ref="B85">INDEX(Data_DBD!$B:$B,$A85)</f>
        <v>36</v>
      </c>
      <c r="C85" s="30">
        <f ca="1" t="array" ref="C85">INDEX(Data_DBD!$C:$C,$A85)</f>
        <v>2</v>
      </c>
      <c r="D85" s="30">
        <f ca="1" t="array" ref="D85">INDEX(Data_DBD!$D:$D,$A85)</f>
        <v>21</v>
      </c>
      <c r="E85" s="30">
        <f ca="1" t="array" ref="E85">INDEX(Data_DBD!$E:$E,$A85)</f>
        <v>0</v>
      </c>
      <c r="F85" s="30">
        <f ca="1" t="array" ref="F85">INDEX(Data_DBD!$F:$F,$A85)</f>
        <v>3</v>
      </c>
      <c r="H85" s="30">
        <v>155</v>
      </c>
      <c r="I85" s="30">
        <v>19</v>
      </c>
      <c r="J85" s="30">
        <v>5</v>
      </c>
      <c r="K85" s="30">
        <v>21</v>
      </c>
      <c r="L85" s="30">
        <v>1</v>
      </c>
      <c r="M85" s="30">
        <v>3</v>
      </c>
    </row>
    <row r="86" spans="1:13">
      <c r="A86" s="30">
        <f ca="1" t="shared" si="1"/>
        <v>131</v>
      </c>
      <c r="B86" s="30">
        <f ca="1" t="array" ref="B86">INDEX(Data_DBD!$B:$B,$A86)</f>
        <v>10</v>
      </c>
      <c r="C86" s="30">
        <f ca="1" t="array" ref="C86">INDEX(Data_DBD!$C:$C,$A86)</f>
        <v>2</v>
      </c>
      <c r="D86" s="30">
        <f ca="1" t="array" ref="D86">INDEX(Data_DBD!$D:$D,$A86)</f>
        <v>33</v>
      </c>
      <c r="E86" s="30">
        <f ca="1" t="array" ref="E86">INDEX(Data_DBD!$E:$E,$A86)</f>
        <v>0</v>
      </c>
      <c r="F86" s="30">
        <f ca="1" t="array" ref="F86">INDEX(Data_DBD!$F:$F,$A86)</f>
        <v>3</v>
      </c>
      <c r="H86" s="30">
        <v>60</v>
      </c>
      <c r="I86" s="30">
        <v>68</v>
      </c>
      <c r="J86" s="30">
        <v>4</v>
      </c>
      <c r="K86" s="30">
        <v>15</v>
      </c>
      <c r="L86" s="30">
        <v>0</v>
      </c>
      <c r="M86" s="30">
        <v>2</v>
      </c>
    </row>
    <row r="87" spans="1:13">
      <c r="A87" s="30">
        <f ca="1" t="shared" si="1"/>
        <v>148</v>
      </c>
      <c r="B87" s="30">
        <f ca="1" t="array" ref="B87">INDEX(Data_DBD!$B:$B,$A87)</f>
        <v>55</v>
      </c>
      <c r="C87" s="30">
        <f ca="1" t="array" ref="C87">INDEX(Data_DBD!$C:$C,$A87)</f>
        <v>3</v>
      </c>
      <c r="D87" s="30">
        <f ca="1" t="array" ref="D87">INDEX(Data_DBD!$D:$D,$A87)</f>
        <v>21</v>
      </c>
      <c r="E87" s="30">
        <f ca="1" t="array" ref="E87">INDEX(Data_DBD!$E:$E,$A87)</f>
        <v>1</v>
      </c>
      <c r="F87" s="30">
        <f ca="1" t="array" ref="F87">INDEX(Data_DBD!$F:$F,$A87)</f>
        <v>3</v>
      </c>
      <c r="H87" s="30">
        <v>122</v>
      </c>
      <c r="I87" s="30">
        <v>28</v>
      </c>
      <c r="J87" s="30">
        <v>3</v>
      </c>
      <c r="K87" s="30">
        <v>33</v>
      </c>
      <c r="L87" s="30">
        <v>1</v>
      </c>
      <c r="M87" s="30">
        <v>3</v>
      </c>
    </row>
    <row r="88" spans="1:13">
      <c r="A88" s="30">
        <f ca="1" t="shared" si="1"/>
        <v>39</v>
      </c>
      <c r="B88" s="30">
        <f ca="1" t="array" ref="B88">INDEX(Data_DBD!$B:$B,$A88)</f>
        <v>12</v>
      </c>
      <c r="C88" s="30">
        <f ca="1" t="array" ref="C88">INDEX(Data_DBD!$C:$C,$A88)</f>
        <v>5</v>
      </c>
      <c r="D88" s="30">
        <f ca="1" t="array" ref="D88">INDEX(Data_DBD!$D:$D,$A88)</f>
        <v>13</v>
      </c>
      <c r="E88" s="30">
        <f ca="1" t="array" ref="E88">INDEX(Data_DBD!$E:$E,$A88)</f>
        <v>1</v>
      </c>
      <c r="F88" s="30">
        <f ca="1" t="array" ref="F88">INDEX(Data_DBD!$F:$F,$A88)</f>
        <v>2</v>
      </c>
      <c r="H88" s="30">
        <v>62</v>
      </c>
      <c r="I88" s="30">
        <v>43</v>
      </c>
      <c r="J88" s="30">
        <v>4</v>
      </c>
      <c r="K88" s="30">
        <v>15</v>
      </c>
      <c r="L88" s="30">
        <v>1</v>
      </c>
      <c r="M88" s="30">
        <v>2</v>
      </c>
    </row>
    <row r="89" spans="1:13">
      <c r="A89" s="30">
        <f ca="1" t="shared" si="1"/>
        <v>83</v>
      </c>
      <c r="B89" s="30">
        <f ca="1" t="array" ref="B89">INDEX(Data_DBD!$B:$B,$A89)</f>
        <v>50</v>
      </c>
      <c r="C89" s="30">
        <f ca="1" t="array" ref="C89">INDEX(Data_DBD!$C:$C,$A89)</f>
        <v>3</v>
      </c>
      <c r="D89" s="30">
        <f ca="1" t="array" ref="D89">INDEX(Data_DBD!$D:$D,$A89)</f>
        <v>13</v>
      </c>
      <c r="E89" s="30">
        <f ca="1" t="array" ref="E89">INDEX(Data_DBD!$E:$E,$A89)</f>
        <v>0</v>
      </c>
      <c r="F89" s="30">
        <f ca="1" t="array" ref="F89">INDEX(Data_DBD!$F:$F,$A89)</f>
        <v>2</v>
      </c>
      <c r="H89" s="30">
        <v>45</v>
      </c>
      <c r="I89" s="30">
        <v>75</v>
      </c>
      <c r="J89" s="30">
        <v>3</v>
      </c>
      <c r="K89" s="30">
        <v>13</v>
      </c>
      <c r="L89" s="30">
        <v>1</v>
      </c>
      <c r="M89" s="30">
        <v>2</v>
      </c>
    </row>
    <row r="90" spans="1:13">
      <c r="A90" s="30">
        <f ca="1" t="shared" si="1"/>
        <v>23</v>
      </c>
      <c r="B90" s="30">
        <f ca="1" t="array" ref="B90">INDEX(Data_DBD!$B:$B,$A90)</f>
        <v>28</v>
      </c>
      <c r="C90" s="30">
        <f ca="1" t="array" ref="C90">INDEX(Data_DBD!$C:$C,$A90)</f>
        <v>4</v>
      </c>
      <c r="D90" s="30">
        <f ca="1" t="array" ref="D90">INDEX(Data_DBD!$D:$D,$A90)</f>
        <v>14</v>
      </c>
      <c r="E90" s="30">
        <f ca="1" t="array" ref="E90">INDEX(Data_DBD!$E:$E,$A90)</f>
        <v>1</v>
      </c>
      <c r="F90" s="30">
        <f ca="1" t="array" ref="F90">INDEX(Data_DBD!$F:$F,$A90)</f>
        <v>2</v>
      </c>
      <c r="H90" s="30">
        <v>32</v>
      </c>
      <c r="I90" s="30">
        <v>54</v>
      </c>
      <c r="J90" s="30">
        <v>4</v>
      </c>
      <c r="K90" s="30">
        <v>14</v>
      </c>
      <c r="L90" s="30">
        <v>0</v>
      </c>
      <c r="M90" s="30">
        <v>2</v>
      </c>
    </row>
    <row r="91" spans="1:13">
      <c r="A91" s="30">
        <f ca="1" t="shared" si="1"/>
        <v>110</v>
      </c>
      <c r="B91" s="30">
        <f ca="1" t="array" ref="B91">INDEX(Data_DBD!$B:$B,$A91)</f>
        <v>42</v>
      </c>
      <c r="C91" s="30">
        <f ca="1" t="array" ref="C91">INDEX(Data_DBD!$C:$C,$A91)</f>
        <v>2</v>
      </c>
      <c r="D91" s="30">
        <f ca="1" t="array" ref="D91">INDEX(Data_DBD!$D:$D,$A91)</f>
        <v>33</v>
      </c>
      <c r="E91" s="30">
        <f ca="1" t="array" ref="E91">INDEX(Data_DBD!$E:$E,$A91)</f>
        <v>1</v>
      </c>
      <c r="F91" s="30">
        <f ca="1" t="array" ref="F91">INDEX(Data_DBD!$F:$F,$A91)</f>
        <v>3</v>
      </c>
      <c r="H91" s="30">
        <v>28</v>
      </c>
      <c r="I91" s="30">
        <v>22</v>
      </c>
      <c r="J91" s="30">
        <v>2</v>
      </c>
      <c r="K91" s="30">
        <v>14</v>
      </c>
      <c r="L91" s="30">
        <v>1</v>
      </c>
      <c r="M91" s="30">
        <v>2</v>
      </c>
    </row>
    <row r="92" spans="1:13">
      <c r="A92" s="30">
        <f ca="1" t="shared" si="1"/>
        <v>18</v>
      </c>
      <c r="B92" s="30">
        <f ca="1" t="array" ref="B92">INDEX(Data_DBD!$B:$B,$A92)</f>
        <v>49</v>
      </c>
      <c r="C92" s="30">
        <f ca="1" t="array" ref="C92">INDEX(Data_DBD!$C:$C,$A92)</f>
        <v>4</v>
      </c>
      <c r="D92" s="30">
        <f ca="1" t="array" ref="D92">INDEX(Data_DBD!$D:$D,$A92)</f>
        <v>7</v>
      </c>
      <c r="E92" s="30">
        <f ca="1" t="array" ref="E92">INDEX(Data_DBD!$E:$E,$A92)</f>
        <v>1</v>
      </c>
      <c r="F92" s="30">
        <f ca="1" t="array" ref="F92">INDEX(Data_DBD!$F:$F,$A92)</f>
        <v>1</v>
      </c>
      <c r="H92" s="30">
        <v>90</v>
      </c>
      <c r="I92" s="30">
        <v>47</v>
      </c>
      <c r="J92" s="30">
        <v>3</v>
      </c>
      <c r="K92" s="30">
        <v>18</v>
      </c>
      <c r="L92" s="30">
        <v>0</v>
      </c>
      <c r="M92" s="30">
        <v>3</v>
      </c>
    </row>
    <row r="93" spans="1:13">
      <c r="A93" s="30">
        <f ca="1" t="shared" si="1"/>
        <v>70</v>
      </c>
      <c r="B93" s="30">
        <f ca="1" t="array" ref="B93">INDEX(Data_DBD!$B:$B,$A93)</f>
        <v>26</v>
      </c>
      <c r="C93" s="30">
        <f ca="1" t="array" ref="C93">INDEX(Data_DBD!$C:$C,$A93)</f>
        <v>3</v>
      </c>
      <c r="D93" s="30">
        <f ca="1" t="array" ref="D93">INDEX(Data_DBD!$D:$D,$A93)</f>
        <v>10</v>
      </c>
      <c r="E93" s="30">
        <f ca="1" t="array" ref="E93">INDEX(Data_DBD!$E:$E,$A93)</f>
        <v>1</v>
      </c>
      <c r="F93" s="30">
        <f ca="1" t="array" ref="F93">INDEX(Data_DBD!$F:$F,$A93)</f>
        <v>2</v>
      </c>
      <c r="H93" s="30">
        <v>136</v>
      </c>
      <c r="I93" s="30">
        <v>6</v>
      </c>
      <c r="J93" s="30">
        <v>2</v>
      </c>
      <c r="K93" s="30">
        <v>33</v>
      </c>
      <c r="L93" s="30">
        <v>0</v>
      </c>
      <c r="M93" s="30">
        <v>3</v>
      </c>
    </row>
    <row r="94" spans="1:13">
      <c r="A94" s="30">
        <f ca="1" t="shared" si="1"/>
        <v>15</v>
      </c>
      <c r="B94" s="30">
        <f ca="1" t="array" ref="B94">INDEX(Data_DBD!$B:$B,$A94)</f>
        <v>21</v>
      </c>
      <c r="C94" s="30">
        <f ca="1" t="array" ref="C94">INDEX(Data_DBD!$C:$C,$A94)</f>
        <v>2</v>
      </c>
      <c r="D94" s="30">
        <f ca="1" t="array" ref="D94">INDEX(Data_DBD!$D:$D,$A94)</f>
        <v>7</v>
      </c>
      <c r="E94" s="30">
        <f ca="1" t="array" ref="E94">INDEX(Data_DBD!$E:$E,$A94)</f>
        <v>0</v>
      </c>
      <c r="F94" s="30">
        <f ca="1" t="array" ref="F94">INDEX(Data_DBD!$F:$F,$A94)</f>
        <v>1</v>
      </c>
      <c r="H94" s="30">
        <v>118</v>
      </c>
      <c r="I94" s="30">
        <v>67</v>
      </c>
      <c r="J94" s="30">
        <v>4</v>
      </c>
      <c r="K94" s="30">
        <v>33</v>
      </c>
      <c r="L94" s="30">
        <v>1</v>
      </c>
      <c r="M94" s="30">
        <v>3</v>
      </c>
    </row>
    <row r="95" spans="1:13">
      <c r="A95" s="30">
        <f ca="1" t="shared" si="1"/>
        <v>73</v>
      </c>
      <c r="B95" s="30">
        <f ca="1" t="array" ref="B95">INDEX(Data_DBD!$B:$B,$A95)</f>
        <v>15</v>
      </c>
      <c r="C95" s="30">
        <f ca="1" t="array" ref="C95">INDEX(Data_DBD!$C:$C,$A95)</f>
        <v>3</v>
      </c>
      <c r="D95" s="30">
        <f ca="1" t="array" ref="D95">INDEX(Data_DBD!$D:$D,$A95)</f>
        <v>10</v>
      </c>
      <c r="E95" s="30">
        <f ca="1" t="array" ref="E95">INDEX(Data_DBD!$E:$E,$A95)</f>
        <v>1</v>
      </c>
      <c r="F95" s="30">
        <f ca="1" t="array" ref="F95">INDEX(Data_DBD!$F:$F,$A95)</f>
        <v>2</v>
      </c>
      <c r="H95" s="30">
        <v>111</v>
      </c>
      <c r="I95" s="30">
        <v>25</v>
      </c>
      <c r="J95" s="30">
        <v>4</v>
      </c>
      <c r="K95" s="30">
        <v>33</v>
      </c>
      <c r="L95" s="30">
        <v>0</v>
      </c>
      <c r="M95" s="30">
        <v>3</v>
      </c>
    </row>
    <row r="96" spans="1:13">
      <c r="A96" s="30">
        <f ca="1" t="shared" si="1"/>
        <v>12</v>
      </c>
      <c r="B96" s="30">
        <f ca="1" t="array" ref="B96">INDEX(Data_DBD!$B:$B,$A96)</f>
        <v>23</v>
      </c>
      <c r="C96" s="30">
        <f ca="1" t="array" ref="C96">INDEX(Data_DBD!$C:$C,$A96)</f>
        <v>3</v>
      </c>
      <c r="D96" s="30">
        <f ca="1" t="array" ref="D96">INDEX(Data_DBD!$D:$D,$A96)</f>
        <v>12</v>
      </c>
      <c r="E96" s="30">
        <f ca="1" t="array" ref="E96">INDEX(Data_DBD!$E:$E,$A96)</f>
        <v>0</v>
      </c>
      <c r="F96" s="30">
        <f ca="1" t="array" ref="F96">INDEX(Data_DBD!$F:$F,$A96)</f>
        <v>2</v>
      </c>
      <c r="H96" s="30">
        <v>125</v>
      </c>
      <c r="I96" s="30">
        <v>39</v>
      </c>
      <c r="J96" s="30">
        <v>4</v>
      </c>
      <c r="K96" s="30">
        <v>33</v>
      </c>
      <c r="L96" s="30">
        <v>0</v>
      </c>
      <c r="M96" s="30">
        <v>3</v>
      </c>
    </row>
    <row r="97" spans="1:13">
      <c r="A97" s="30">
        <f ca="1" t="shared" si="1"/>
        <v>14</v>
      </c>
      <c r="B97" s="30">
        <f ca="1" t="array" ref="B97">INDEX(Data_DBD!$B:$B,$A97)</f>
        <v>49</v>
      </c>
      <c r="C97" s="30">
        <f ca="1" t="array" ref="C97">INDEX(Data_DBD!$C:$C,$A97)</f>
        <v>4</v>
      </c>
      <c r="D97" s="30">
        <f ca="1" t="array" ref="D97">INDEX(Data_DBD!$D:$D,$A97)</f>
        <v>7</v>
      </c>
      <c r="E97" s="30">
        <f ca="1" t="array" ref="E97">INDEX(Data_DBD!$E:$E,$A97)</f>
        <v>1</v>
      </c>
      <c r="F97" s="30">
        <f ca="1" t="array" ref="F97">INDEX(Data_DBD!$F:$F,$A97)</f>
        <v>1</v>
      </c>
      <c r="H97" s="30">
        <v>63</v>
      </c>
      <c r="I97" s="30">
        <v>25</v>
      </c>
      <c r="J97" s="30">
        <v>3</v>
      </c>
      <c r="K97" s="30">
        <v>15</v>
      </c>
      <c r="L97" s="30">
        <v>0</v>
      </c>
      <c r="M97" s="30">
        <v>2</v>
      </c>
    </row>
    <row r="98" spans="1:13">
      <c r="A98" s="30">
        <f ca="1" t="shared" si="1"/>
        <v>48</v>
      </c>
      <c r="B98" s="30">
        <f ca="1" t="array" ref="B98">INDEX(Data_DBD!$B:$B,$A98)</f>
        <v>50</v>
      </c>
      <c r="C98" s="30">
        <f ca="1" t="array" ref="C98">INDEX(Data_DBD!$C:$C,$A98)</f>
        <v>5</v>
      </c>
      <c r="D98" s="30">
        <f ca="1" t="array" ref="D98">INDEX(Data_DBD!$D:$D,$A98)</f>
        <v>13</v>
      </c>
      <c r="E98" s="30">
        <f ca="1" t="array" ref="E98">INDEX(Data_DBD!$E:$E,$A98)</f>
        <v>1</v>
      </c>
      <c r="F98" s="30">
        <f ca="1" t="array" ref="F98">INDEX(Data_DBD!$F:$F,$A98)</f>
        <v>2</v>
      </c>
      <c r="H98" s="30">
        <v>81</v>
      </c>
      <c r="I98" s="30">
        <v>23</v>
      </c>
      <c r="J98" s="30">
        <v>5</v>
      </c>
      <c r="K98" s="30">
        <v>13</v>
      </c>
      <c r="L98" s="30">
        <v>1</v>
      </c>
      <c r="M98" s="30">
        <v>2</v>
      </c>
    </row>
    <row r="99" spans="1:13">
      <c r="A99" s="30">
        <f ca="1" t="shared" si="1"/>
        <v>44</v>
      </c>
      <c r="B99" s="30">
        <f ca="1" t="array" ref="B99">INDEX(Data_DBD!$B:$B,$A99)</f>
        <v>28</v>
      </c>
      <c r="C99" s="30">
        <f ca="1" t="array" ref="C99">INDEX(Data_DBD!$C:$C,$A99)</f>
        <v>5</v>
      </c>
      <c r="D99" s="30">
        <f ca="1" t="array" ref="D99">INDEX(Data_DBD!$D:$D,$A99)</f>
        <v>13</v>
      </c>
      <c r="E99" s="30">
        <f ca="1" t="array" ref="E99">INDEX(Data_DBD!$E:$E,$A99)</f>
        <v>1</v>
      </c>
      <c r="F99" s="30">
        <f ca="1" t="array" ref="F99">INDEX(Data_DBD!$F:$F,$A99)</f>
        <v>2</v>
      </c>
      <c r="H99" s="30">
        <v>46</v>
      </c>
      <c r="I99" s="30">
        <v>62</v>
      </c>
      <c r="J99" s="30">
        <v>2</v>
      </c>
      <c r="K99" s="30">
        <v>13</v>
      </c>
      <c r="L99" s="30">
        <v>0</v>
      </c>
      <c r="M99" s="30">
        <v>2</v>
      </c>
    </row>
    <row r="100" spans="1:13">
      <c r="A100" s="30">
        <f ca="1" t="shared" si="1"/>
        <v>135</v>
      </c>
      <c r="B100" s="30">
        <f ca="1" t="array" ref="B100">INDEX(Data_DBD!$B:$B,$A100)</f>
        <v>10</v>
      </c>
      <c r="C100" s="30">
        <f ca="1" t="array" ref="C100">INDEX(Data_DBD!$C:$C,$A100)</f>
        <v>2</v>
      </c>
      <c r="D100" s="30">
        <f ca="1" t="array" ref="D100">INDEX(Data_DBD!$D:$D,$A100)</f>
        <v>33</v>
      </c>
      <c r="E100" s="30">
        <f ca="1" t="array" ref="E100">INDEX(Data_DBD!$E:$E,$A100)</f>
        <v>0</v>
      </c>
      <c r="F100" s="30">
        <f ca="1" t="array" ref="F100">INDEX(Data_DBD!$F:$F,$A100)</f>
        <v>3</v>
      </c>
      <c r="H100" s="30">
        <v>147</v>
      </c>
      <c r="I100" s="30">
        <v>66</v>
      </c>
      <c r="J100" s="30">
        <v>10</v>
      </c>
      <c r="K100" s="30">
        <v>21</v>
      </c>
      <c r="L100" s="30">
        <v>1</v>
      </c>
      <c r="M100" s="30">
        <v>3</v>
      </c>
    </row>
    <row r="101" spans="1:13">
      <c r="A101" s="30">
        <f ca="1" t="shared" si="1"/>
        <v>26</v>
      </c>
      <c r="B101" s="30">
        <f ca="1" t="array" ref="B101">INDEX(Data_DBD!$B:$B,$A101)</f>
        <v>75</v>
      </c>
      <c r="C101" s="30">
        <f ca="1" t="array" ref="C101">INDEX(Data_DBD!$C:$C,$A101)</f>
        <v>4</v>
      </c>
      <c r="D101" s="30">
        <f ca="1" t="array" ref="D101">INDEX(Data_DBD!$D:$D,$A101)</f>
        <v>14</v>
      </c>
      <c r="E101" s="30">
        <f ca="1" t="array" ref="E101">INDEX(Data_DBD!$E:$E,$A101)</f>
        <v>1</v>
      </c>
      <c r="F101" s="30">
        <f ca="1" t="array" ref="F101">INDEX(Data_DBD!$F:$F,$A101)</f>
        <v>2</v>
      </c>
      <c r="H101" s="30">
        <v>2</v>
      </c>
      <c r="I101" s="30">
        <v>34</v>
      </c>
      <c r="J101" s="30">
        <v>3</v>
      </c>
      <c r="K101" s="30">
        <v>12</v>
      </c>
      <c r="L101" s="30">
        <v>0</v>
      </c>
      <c r="M101" s="30">
        <v>2</v>
      </c>
    </row>
    <row r="102" spans="1:13">
      <c r="A102" s="30">
        <f ca="1" t="shared" si="1"/>
        <v>160</v>
      </c>
      <c r="B102" s="30">
        <f ca="1" t="array" ref="B102">INDEX(Data_DBD!$B:$B,$A102)</f>
        <v>16</v>
      </c>
      <c r="C102" s="30">
        <f ca="1" t="array" ref="C102">INDEX(Data_DBD!$C:$C,$A102)</f>
        <v>3</v>
      </c>
      <c r="D102" s="30">
        <f ca="1" t="array" ref="D102">INDEX(Data_DBD!$D:$D,$A102)</f>
        <v>21</v>
      </c>
      <c r="E102" s="30">
        <f ca="1" t="array" ref="E102">INDEX(Data_DBD!$E:$E,$A102)</f>
        <v>0</v>
      </c>
      <c r="F102" s="30">
        <f ca="1" t="array" ref="F102">INDEX(Data_DBD!$F:$F,$A102)</f>
        <v>3</v>
      </c>
      <c r="H102" s="30">
        <v>53</v>
      </c>
      <c r="I102" s="30">
        <v>35</v>
      </c>
      <c r="J102" s="30">
        <v>4</v>
      </c>
      <c r="K102" s="30">
        <v>15</v>
      </c>
      <c r="L102" s="30">
        <v>1</v>
      </c>
      <c r="M102" s="30">
        <v>2</v>
      </c>
    </row>
    <row r="103" spans="1:13">
      <c r="A103" s="30">
        <f ca="1" t="shared" si="1"/>
        <v>48</v>
      </c>
      <c r="B103" s="30">
        <f ca="1" t="array" ref="B103">INDEX(Data_DBD!$B:$B,$A103)</f>
        <v>50</v>
      </c>
      <c r="C103" s="30">
        <f ca="1" t="array" ref="C103">INDEX(Data_DBD!$C:$C,$A103)</f>
        <v>5</v>
      </c>
      <c r="D103" s="30">
        <f ca="1" t="array" ref="D103">INDEX(Data_DBD!$D:$D,$A103)</f>
        <v>13</v>
      </c>
      <c r="E103" s="30">
        <f ca="1" t="array" ref="E103">INDEX(Data_DBD!$E:$E,$A103)</f>
        <v>1</v>
      </c>
      <c r="F103" s="30">
        <f ca="1" t="array" ref="F103">INDEX(Data_DBD!$F:$F,$A103)</f>
        <v>2</v>
      </c>
      <c r="H103" s="30">
        <v>78</v>
      </c>
      <c r="I103" s="30">
        <v>6</v>
      </c>
      <c r="J103" s="30">
        <v>3</v>
      </c>
      <c r="K103" s="30">
        <v>13</v>
      </c>
      <c r="L103" s="30">
        <v>0</v>
      </c>
      <c r="M103" s="30">
        <v>2</v>
      </c>
    </row>
    <row r="104" spans="1:13">
      <c r="A104" s="30">
        <f ca="1" t="shared" si="1"/>
        <v>160</v>
      </c>
      <c r="B104" s="30">
        <f ca="1" t="array" ref="B104">INDEX(Data_DBD!$B:$B,$A104)</f>
        <v>16</v>
      </c>
      <c r="C104" s="30">
        <f ca="1" t="array" ref="C104">INDEX(Data_DBD!$C:$C,$A104)</f>
        <v>3</v>
      </c>
      <c r="D104" s="30">
        <f ca="1" t="array" ref="D104">INDEX(Data_DBD!$D:$D,$A104)</f>
        <v>21</v>
      </c>
      <c r="E104" s="30">
        <f ca="1" t="array" ref="E104">INDEX(Data_DBD!$E:$E,$A104)</f>
        <v>0</v>
      </c>
      <c r="F104" s="30">
        <f ca="1" t="array" ref="F104">INDEX(Data_DBD!$F:$F,$A104)</f>
        <v>3</v>
      </c>
      <c r="H104" s="30">
        <v>106</v>
      </c>
      <c r="I104" s="30">
        <v>23</v>
      </c>
      <c r="J104" s="30">
        <v>3</v>
      </c>
      <c r="K104" s="30">
        <v>18</v>
      </c>
      <c r="L104" s="30">
        <v>1</v>
      </c>
      <c r="M104" s="30">
        <v>3</v>
      </c>
    </row>
    <row r="105" spans="1:13">
      <c r="A105" s="30">
        <f ca="1" t="shared" si="1"/>
        <v>66</v>
      </c>
      <c r="B105" s="30">
        <f ca="1" t="array" ref="B105">INDEX(Data_DBD!$B:$B,$A105)</f>
        <v>21</v>
      </c>
      <c r="C105" s="30">
        <f ca="1" t="array" ref="C105">INDEX(Data_DBD!$C:$C,$A105)</f>
        <v>5</v>
      </c>
      <c r="D105" s="30">
        <f ca="1" t="array" ref="D105">INDEX(Data_DBD!$D:$D,$A105)</f>
        <v>15</v>
      </c>
      <c r="E105" s="30">
        <f ca="1" t="array" ref="E105">INDEX(Data_DBD!$E:$E,$A105)</f>
        <v>1</v>
      </c>
      <c r="F105" s="30">
        <f ca="1" t="array" ref="F105">INDEX(Data_DBD!$F:$F,$A105)</f>
        <v>2</v>
      </c>
      <c r="H105" s="30">
        <v>152</v>
      </c>
      <c r="I105" s="30">
        <v>47</v>
      </c>
      <c r="J105" s="30">
        <v>3</v>
      </c>
      <c r="K105" s="30">
        <v>21</v>
      </c>
      <c r="L105" s="30">
        <v>1</v>
      </c>
      <c r="M105" s="30">
        <v>3</v>
      </c>
    </row>
    <row r="106" spans="1:13">
      <c r="A106" s="30">
        <f ca="1" t="shared" si="1"/>
        <v>125</v>
      </c>
      <c r="B106" s="30">
        <f ca="1" t="array" ref="B106">INDEX(Data_DBD!$B:$B,$A106)</f>
        <v>39</v>
      </c>
      <c r="C106" s="30">
        <f ca="1" t="array" ref="C106">INDEX(Data_DBD!$C:$C,$A106)</f>
        <v>4</v>
      </c>
      <c r="D106" s="30">
        <f ca="1" t="array" ref="D106">INDEX(Data_DBD!$D:$D,$A106)</f>
        <v>33</v>
      </c>
      <c r="E106" s="30">
        <f ca="1" t="array" ref="E106">INDEX(Data_DBD!$E:$E,$A106)</f>
        <v>0</v>
      </c>
      <c r="F106" s="30">
        <f ca="1" t="array" ref="F106">INDEX(Data_DBD!$F:$F,$A106)</f>
        <v>3</v>
      </c>
      <c r="H106" s="30">
        <v>5</v>
      </c>
      <c r="I106" s="30">
        <v>18</v>
      </c>
      <c r="J106" s="30">
        <v>2</v>
      </c>
      <c r="K106" s="30">
        <v>12</v>
      </c>
      <c r="L106" s="30">
        <v>1</v>
      </c>
      <c r="M106" s="30">
        <v>2</v>
      </c>
    </row>
    <row r="107" spans="1:13">
      <c r="A107" s="30">
        <f ca="1" t="shared" si="1"/>
        <v>129</v>
      </c>
      <c r="B107" s="30">
        <f ca="1" t="array" ref="B107">INDEX(Data_DBD!$B:$B,$A107)</f>
        <v>4.5</v>
      </c>
      <c r="C107" s="30">
        <f ca="1" t="array" ref="C107">INDEX(Data_DBD!$C:$C,$A107)</f>
        <v>3</v>
      </c>
      <c r="D107" s="30">
        <f ca="1" t="array" ref="D107">INDEX(Data_DBD!$D:$D,$A107)</f>
        <v>33</v>
      </c>
      <c r="E107" s="30">
        <f ca="1" t="array" ref="E107">INDEX(Data_DBD!$E:$E,$A107)</f>
        <v>0</v>
      </c>
      <c r="F107" s="30">
        <f ca="1" t="array" ref="F107">INDEX(Data_DBD!$F:$F,$A107)</f>
        <v>3</v>
      </c>
      <c r="H107" s="30">
        <v>160</v>
      </c>
      <c r="I107" s="30">
        <v>16</v>
      </c>
      <c r="J107" s="30">
        <v>3</v>
      </c>
      <c r="K107" s="30">
        <v>21</v>
      </c>
      <c r="L107" s="30">
        <v>0</v>
      </c>
      <c r="M107" s="30">
        <v>3</v>
      </c>
    </row>
    <row r="108" spans="1:13">
      <c r="A108" s="30">
        <f ca="1" t="shared" si="1"/>
        <v>100</v>
      </c>
      <c r="B108" s="30">
        <f ca="1" t="array" ref="B108">INDEX(Data_DBD!$B:$B,$A108)</f>
        <v>19</v>
      </c>
      <c r="C108" s="30">
        <f ca="1" t="array" ref="C108">INDEX(Data_DBD!$C:$C,$A108)</f>
        <v>6</v>
      </c>
      <c r="D108" s="30">
        <f ca="1" t="array" ref="D108">INDEX(Data_DBD!$D:$D,$A108)</f>
        <v>18</v>
      </c>
      <c r="E108" s="30">
        <f ca="1" t="array" ref="E108">INDEX(Data_DBD!$E:$E,$A108)</f>
        <v>0</v>
      </c>
      <c r="F108" s="30">
        <f ca="1" t="array" ref="F108">INDEX(Data_DBD!$F:$F,$A108)</f>
        <v>3</v>
      </c>
      <c r="H108" s="30">
        <v>99</v>
      </c>
      <c r="I108" s="30">
        <v>4</v>
      </c>
      <c r="J108" s="30">
        <v>2</v>
      </c>
      <c r="K108" s="30">
        <v>18</v>
      </c>
      <c r="L108" s="30">
        <v>1</v>
      </c>
      <c r="M108" s="30">
        <v>3</v>
      </c>
    </row>
    <row r="109" spans="1:13">
      <c r="A109" s="30">
        <f ca="1" t="shared" si="1"/>
        <v>112</v>
      </c>
      <c r="B109" s="30">
        <f ca="1" t="array" ref="B109">INDEX(Data_DBD!$B:$B,$A109)</f>
        <v>61</v>
      </c>
      <c r="C109" s="30">
        <f ca="1" t="array" ref="C109">INDEX(Data_DBD!$C:$C,$A109)</f>
        <v>3</v>
      </c>
      <c r="D109" s="30">
        <f ca="1" t="array" ref="D109">INDEX(Data_DBD!$D:$D,$A109)</f>
        <v>33</v>
      </c>
      <c r="E109" s="30">
        <f ca="1" t="array" ref="E109">INDEX(Data_DBD!$E:$E,$A109)</f>
        <v>1</v>
      </c>
      <c r="F109" s="30">
        <f ca="1" t="array" ref="F109">INDEX(Data_DBD!$F:$F,$A109)</f>
        <v>3</v>
      </c>
      <c r="H109" s="30">
        <v>3</v>
      </c>
      <c r="I109" s="30">
        <v>43</v>
      </c>
      <c r="J109" s="30">
        <v>3</v>
      </c>
      <c r="K109" s="30">
        <v>12</v>
      </c>
      <c r="L109" s="30">
        <v>1</v>
      </c>
      <c r="M109" s="30">
        <v>2</v>
      </c>
    </row>
    <row r="110" spans="1:13">
      <c r="A110" s="30">
        <f ca="1" t="shared" si="1"/>
        <v>161</v>
      </c>
      <c r="B110" s="30">
        <f ca="1" t="array" ref="B110">INDEX(Data_DBD!$B:$B,$A110)</f>
        <v>12</v>
      </c>
      <c r="C110" s="30">
        <f ca="1" t="array" ref="C110">INDEX(Data_DBD!$C:$C,$A110)</f>
        <v>3</v>
      </c>
      <c r="D110" s="30">
        <f ca="1" t="array" ref="D110">INDEX(Data_DBD!$D:$D,$A110)</f>
        <v>21</v>
      </c>
      <c r="E110" s="30">
        <f ca="1" t="array" ref="E110">INDEX(Data_DBD!$E:$E,$A110)</f>
        <v>1</v>
      </c>
      <c r="F110" s="30">
        <f ca="1" t="array" ref="F110">INDEX(Data_DBD!$F:$F,$A110)</f>
        <v>3</v>
      </c>
      <c r="H110" s="30">
        <v>133</v>
      </c>
      <c r="I110" s="30">
        <v>6</v>
      </c>
      <c r="J110" s="30">
        <v>4</v>
      </c>
      <c r="K110" s="30">
        <v>33</v>
      </c>
      <c r="L110" s="30">
        <v>0</v>
      </c>
      <c r="M110" s="30">
        <v>3</v>
      </c>
    </row>
    <row r="111" spans="1:13">
      <c r="A111" s="30">
        <f ca="1" t="shared" si="1"/>
        <v>142</v>
      </c>
      <c r="B111" s="30">
        <f ca="1" t="array" ref="B111">INDEX(Data_DBD!$B:$B,$A111)</f>
        <v>39</v>
      </c>
      <c r="C111" s="30">
        <f ca="1" t="array" ref="C111">INDEX(Data_DBD!$C:$C,$A111)</f>
        <v>2</v>
      </c>
      <c r="D111" s="30">
        <f ca="1" t="array" ref="D111">INDEX(Data_DBD!$D:$D,$A111)</f>
        <v>21</v>
      </c>
      <c r="E111" s="30">
        <f ca="1" t="array" ref="E111">INDEX(Data_DBD!$E:$E,$A111)</f>
        <v>1</v>
      </c>
      <c r="F111" s="30">
        <f ca="1" t="array" ref="F111">INDEX(Data_DBD!$F:$F,$A111)</f>
        <v>3</v>
      </c>
      <c r="H111" s="30">
        <v>164</v>
      </c>
      <c r="I111" s="30">
        <v>10</v>
      </c>
      <c r="J111" s="30">
        <v>6</v>
      </c>
      <c r="K111" s="30">
        <v>3</v>
      </c>
      <c r="L111" s="30">
        <v>0</v>
      </c>
      <c r="M111" s="30">
        <v>1</v>
      </c>
    </row>
    <row r="112" spans="1:13">
      <c r="A112" s="30">
        <f ca="1" t="shared" si="1"/>
        <v>114</v>
      </c>
      <c r="B112" s="30">
        <f ca="1" t="array" ref="B112">INDEX(Data_DBD!$B:$B,$A112)</f>
        <v>14</v>
      </c>
      <c r="C112" s="30">
        <f ca="1" t="array" ref="C112">INDEX(Data_DBD!$C:$C,$A112)</f>
        <v>2</v>
      </c>
      <c r="D112" s="30">
        <f ca="1" t="array" ref="D112">INDEX(Data_DBD!$D:$D,$A112)</f>
        <v>33</v>
      </c>
      <c r="E112" s="30">
        <f ca="1" t="array" ref="E112">INDEX(Data_DBD!$E:$E,$A112)</f>
        <v>1</v>
      </c>
      <c r="F112" s="30">
        <f ca="1" t="array" ref="F112">INDEX(Data_DBD!$F:$F,$A112)</f>
        <v>3</v>
      </c>
      <c r="H112" s="30">
        <v>57</v>
      </c>
      <c r="I112" s="30">
        <v>2</v>
      </c>
      <c r="J112" s="30">
        <v>2</v>
      </c>
      <c r="K112" s="30">
        <v>15</v>
      </c>
      <c r="L112" s="30">
        <v>1</v>
      </c>
      <c r="M112" s="30">
        <v>2</v>
      </c>
    </row>
    <row r="113" spans="1:13">
      <c r="A113" s="30">
        <f ca="1" t="shared" si="1"/>
        <v>74</v>
      </c>
      <c r="B113" s="30">
        <f ca="1" t="array" ref="B113">INDEX(Data_DBD!$B:$B,$A113)</f>
        <v>9</v>
      </c>
      <c r="C113" s="30">
        <f ca="1" t="array" ref="C113">INDEX(Data_DBD!$C:$C,$A113)</f>
        <v>4</v>
      </c>
      <c r="D113" s="30">
        <f ca="1" t="array" ref="D113">INDEX(Data_DBD!$D:$D,$A113)</f>
        <v>10</v>
      </c>
      <c r="E113" s="30">
        <f ca="1" t="array" ref="E113">INDEX(Data_DBD!$E:$E,$A113)</f>
        <v>0</v>
      </c>
      <c r="F113" s="30">
        <f ca="1" t="array" ref="F113">INDEX(Data_DBD!$F:$F,$A113)</f>
        <v>2</v>
      </c>
      <c r="H113" s="30">
        <v>159</v>
      </c>
      <c r="I113" s="30">
        <v>17</v>
      </c>
      <c r="J113" s="30">
        <v>2</v>
      </c>
      <c r="K113" s="30">
        <v>21</v>
      </c>
      <c r="L113" s="30">
        <v>0</v>
      </c>
      <c r="M113" s="30">
        <v>3</v>
      </c>
    </row>
    <row r="114" spans="1:13">
      <c r="A114" s="30">
        <f ca="1" t="shared" si="1"/>
        <v>115</v>
      </c>
      <c r="B114" s="30">
        <f ca="1" t="array" ref="B114">INDEX(Data_DBD!$B:$B,$A114)</f>
        <v>52</v>
      </c>
      <c r="C114" s="30">
        <f ca="1" t="array" ref="C114">INDEX(Data_DBD!$C:$C,$A114)</f>
        <v>3</v>
      </c>
      <c r="D114" s="30">
        <f ca="1" t="array" ref="D114">INDEX(Data_DBD!$D:$D,$A114)</f>
        <v>33</v>
      </c>
      <c r="E114" s="30">
        <f ca="1" t="array" ref="E114">INDEX(Data_DBD!$E:$E,$A114)</f>
        <v>1</v>
      </c>
      <c r="F114" s="30">
        <f ca="1" t="array" ref="F114">INDEX(Data_DBD!$F:$F,$A114)</f>
        <v>3</v>
      </c>
      <c r="H114" s="30">
        <v>17</v>
      </c>
      <c r="I114" s="30">
        <v>2</v>
      </c>
      <c r="J114" s="30">
        <v>3</v>
      </c>
      <c r="K114" s="30">
        <v>7</v>
      </c>
      <c r="L114" s="30">
        <v>0</v>
      </c>
      <c r="M114" s="30">
        <v>1</v>
      </c>
    </row>
    <row r="115" spans="1:13">
      <c r="A115" s="30">
        <f ca="1" t="shared" si="1"/>
        <v>36</v>
      </c>
      <c r="B115" s="30">
        <f ca="1" t="array" ref="B115">INDEX(Data_DBD!$B:$B,$A115)</f>
        <v>27</v>
      </c>
      <c r="C115" s="30">
        <f ca="1" t="array" ref="C115">INDEX(Data_DBD!$C:$C,$A115)</f>
        <v>1</v>
      </c>
      <c r="D115" s="30">
        <f ca="1" t="array" ref="D115">INDEX(Data_DBD!$D:$D,$A115)</f>
        <v>4</v>
      </c>
      <c r="E115" s="30">
        <f ca="1" t="array" ref="E115">INDEX(Data_DBD!$E:$E,$A115)</f>
        <v>1</v>
      </c>
      <c r="F115" s="30">
        <f ca="1" t="array" ref="F115">INDEX(Data_DBD!$F:$F,$A115)</f>
        <v>1</v>
      </c>
      <c r="H115" s="30">
        <v>148</v>
      </c>
      <c r="I115" s="30">
        <v>55</v>
      </c>
      <c r="J115" s="30">
        <v>3</v>
      </c>
      <c r="K115" s="30">
        <v>21</v>
      </c>
      <c r="L115" s="30">
        <v>1</v>
      </c>
      <c r="M115" s="30">
        <v>3</v>
      </c>
    </row>
    <row r="116" spans="1:13">
      <c r="A116" s="30">
        <f ca="1" t="shared" si="1"/>
        <v>126</v>
      </c>
      <c r="B116" s="30">
        <f ca="1" t="array" ref="B116">INDEX(Data_DBD!$B:$B,$A116)</f>
        <v>51</v>
      </c>
      <c r="C116" s="30">
        <f ca="1" t="array" ref="C116">INDEX(Data_DBD!$C:$C,$A116)</f>
        <v>3</v>
      </c>
      <c r="D116" s="30">
        <f ca="1" t="array" ref="D116">INDEX(Data_DBD!$D:$D,$A116)</f>
        <v>33</v>
      </c>
      <c r="E116" s="30">
        <f ca="1" t="array" ref="E116">INDEX(Data_DBD!$E:$E,$A116)</f>
        <v>1</v>
      </c>
      <c r="F116" s="30">
        <f ca="1" t="array" ref="F116">INDEX(Data_DBD!$F:$F,$A116)</f>
        <v>3</v>
      </c>
      <c r="H116" s="30">
        <v>125</v>
      </c>
      <c r="I116" s="30">
        <v>39</v>
      </c>
      <c r="J116" s="30">
        <v>4</v>
      </c>
      <c r="K116" s="30">
        <v>33</v>
      </c>
      <c r="L116" s="30">
        <v>0</v>
      </c>
      <c r="M116" s="30">
        <v>3</v>
      </c>
    </row>
    <row r="117" spans="1:13">
      <c r="A117" s="30">
        <f ca="1" t="shared" si="1"/>
        <v>158</v>
      </c>
      <c r="B117" s="30">
        <f ca="1" t="array" ref="B117">INDEX(Data_DBD!$B:$B,$A117)</f>
        <v>5</v>
      </c>
      <c r="C117" s="30">
        <f ca="1" t="array" ref="C117">INDEX(Data_DBD!$C:$C,$A117)</f>
        <v>2</v>
      </c>
      <c r="D117" s="30">
        <f ca="1" t="array" ref="D117">INDEX(Data_DBD!$D:$D,$A117)</f>
        <v>21</v>
      </c>
      <c r="E117" s="30">
        <f ca="1" t="array" ref="E117">INDEX(Data_DBD!$E:$E,$A117)</f>
        <v>0</v>
      </c>
      <c r="F117" s="30">
        <f ca="1" t="array" ref="F117">INDEX(Data_DBD!$F:$F,$A117)</f>
        <v>3</v>
      </c>
      <c r="H117" s="30">
        <v>127</v>
      </c>
      <c r="I117" s="30">
        <v>21</v>
      </c>
      <c r="J117" s="30">
        <v>2</v>
      </c>
      <c r="K117" s="30">
        <v>33</v>
      </c>
      <c r="L117" s="30">
        <v>0</v>
      </c>
      <c r="M117" s="30">
        <v>3</v>
      </c>
    </row>
    <row r="118" spans="1:13">
      <c r="A118" s="30">
        <f ca="1" t="shared" si="1"/>
        <v>93</v>
      </c>
      <c r="B118" s="30">
        <f ca="1" t="array" ref="B118">INDEX(Data_DBD!$B:$B,$A118)</f>
        <v>65</v>
      </c>
      <c r="C118" s="30">
        <f ca="1" t="array" ref="C118">INDEX(Data_DBD!$C:$C,$A118)</f>
        <v>4</v>
      </c>
      <c r="D118" s="30">
        <f ca="1" t="array" ref="D118">INDEX(Data_DBD!$D:$D,$A118)</f>
        <v>18</v>
      </c>
      <c r="E118" s="30">
        <f ca="1" t="array" ref="E118">INDEX(Data_DBD!$E:$E,$A118)</f>
        <v>0</v>
      </c>
      <c r="F118" s="30">
        <f ca="1" t="array" ref="F118">INDEX(Data_DBD!$F:$F,$A118)</f>
        <v>3</v>
      </c>
      <c r="H118" s="30">
        <v>147</v>
      </c>
      <c r="I118" s="30">
        <v>66</v>
      </c>
      <c r="J118" s="30">
        <v>10</v>
      </c>
      <c r="K118" s="30">
        <v>21</v>
      </c>
      <c r="L118" s="30">
        <v>1</v>
      </c>
      <c r="M118" s="30">
        <v>3</v>
      </c>
    </row>
    <row r="119" spans="1:13">
      <c r="A119" s="30">
        <f ca="1" t="shared" si="1"/>
        <v>53</v>
      </c>
      <c r="B119" s="30">
        <f ca="1" t="array" ref="B119">INDEX(Data_DBD!$B:$B,$A119)</f>
        <v>35</v>
      </c>
      <c r="C119" s="30">
        <f ca="1" t="array" ref="C119">INDEX(Data_DBD!$C:$C,$A119)</f>
        <v>4</v>
      </c>
      <c r="D119" s="30">
        <f ca="1" t="array" ref="D119">INDEX(Data_DBD!$D:$D,$A119)</f>
        <v>15</v>
      </c>
      <c r="E119" s="30">
        <f ca="1" t="array" ref="E119">INDEX(Data_DBD!$E:$E,$A119)</f>
        <v>1</v>
      </c>
      <c r="F119" s="30">
        <f ca="1" t="array" ref="F119">INDEX(Data_DBD!$F:$F,$A119)</f>
        <v>2</v>
      </c>
      <c r="H119" s="30">
        <v>20</v>
      </c>
      <c r="I119" s="30">
        <v>15</v>
      </c>
      <c r="J119" s="30">
        <v>5</v>
      </c>
      <c r="K119" s="30">
        <v>7</v>
      </c>
      <c r="L119" s="30">
        <v>0</v>
      </c>
      <c r="M119" s="30">
        <v>1</v>
      </c>
    </row>
    <row r="120" spans="1:13">
      <c r="A120" s="30">
        <f ca="1" t="shared" si="1"/>
        <v>91</v>
      </c>
      <c r="B120" s="30">
        <f ca="1" t="array" ref="B120">INDEX(Data_DBD!$B:$B,$A120)</f>
        <v>35</v>
      </c>
      <c r="C120" s="30">
        <f ca="1" t="array" ref="C120">INDEX(Data_DBD!$C:$C,$A120)</f>
        <v>1</v>
      </c>
      <c r="D120" s="30">
        <f ca="1" t="array" ref="D120">INDEX(Data_DBD!$D:$D,$A120)</f>
        <v>18</v>
      </c>
      <c r="E120" s="30">
        <f ca="1" t="array" ref="E120">INDEX(Data_DBD!$E:$E,$A120)</f>
        <v>1</v>
      </c>
      <c r="F120" s="30">
        <f ca="1" t="array" ref="F120">INDEX(Data_DBD!$F:$F,$A120)</f>
        <v>3</v>
      </c>
      <c r="H120" s="30">
        <v>5</v>
      </c>
      <c r="I120" s="30">
        <v>18</v>
      </c>
      <c r="J120" s="30">
        <v>2</v>
      </c>
      <c r="K120" s="30">
        <v>12</v>
      </c>
      <c r="L120" s="30">
        <v>1</v>
      </c>
      <c r="M120" s="30">
        <v>2</v>
      </c>
    </row>
    <row r="121" spans="1:13">
      <c r="A121" s="30">
        <f ca="1" t="shared" si="1"/>
        <v>106</v>
      </c>
      <c r="B121" s="30">
        <f ca="1" t="array" ref="B121">INDEX(Data_DBD!$B:$B,$A121)</f>
        <v>23</v>
      </c>
      <c r="C121" s="30">
        <f ca="1" t="array" ref="C121">INDEX(Data_DBD!$C:$C,$A121)</f>
        <v>3</v>
      </c>
      <c r="D121" s="30">
        <f ca="1" t="array" ref="D121">INDEX(Data_DBD!$D:$D,$A121)</f>
        <v>18</v>
      </c>
      <c r="E121" s="30">
        <f ca="1" t="array" ref="E121">INDEX(Data_DBD!$E:$E,$A121)</f>
        <v>1</v>
      </c>
      <c r="F121" s="30">
        <f ca="1" t="array" ref="F121">INDEX(Data_DBD!$F:$F,$A121)</f>
        <v>3</v>
      </c>
      <c r="H121" s="30">
        <v>126</v>
      </c>
      <c r="I121" s="30">
        <v>51</v>
      </c>
      <c r="J121" s="30">
        <v>3</v>
      </c>
      <c r="K121" s="30">
        <v>33</v>
      </c>
      <c r="L121" s="30">
        <v>1</v>
      </c>
      <c r="M121" s="30">
        <v>3</v>
      </c>
    </row>
    <row r="122" spans="1:13">
      <c r="A122" s="30">
        <f ca="1" t="shared" si="1"/>
        <v>123</v>
      </c>
      <c r="B122" s="30">
        <f ca="1" t="array" ref="B122">INDEX(Data_DBD!$B:$B,$A122)</f>
        <v>22</v>
      </c>
      <c r="C122" s="30">
        <f ca="1" t="array" ref="C122">INDEX(Data_DBD!$C:$C,$A122)</f>
        <v>4</v>
      </c>
      <c r="D122" s="30">
        <f ca="1" t="array" ref="D122">INDEX(Data_DBD!$D:$D,$A122)</f>
        <v>33</v>
      </c>
      <c r="E122" s="30">
        <f ca="1" t="array" ref="E122">INDEX(Data_DBD!$E:$E,$A122)</f>
        <v>0</v>
      </c>
      <c r="F122" s="30">
        <f ca="1" t="array" ref="F122">INDEX(Data_DBD!$F:$F,$A122)</f>
        <v>3</v>
      </c>
      <c r="H122" s="30">
        <v>157</v>
      </c>
      <c r="I122" s="30">
        <v>15</v>
      </c>
      <c r="J122" s="30">
        <v>4</v>
      </c>
      <c r="K122" s="30">
        <v>21</v>
      </c>
      <c r="L122" s="30">
        <v>1</v>
      </c>
      <c r="M122" s="30">
        <v>3</v>
      </c>
    </row>
    <row r="123" spans="1:13">
      <c r="A123" s="30">
        <f ca="1" t="shared" si="1"/>
        <v>158</v>
      </c>
      <c r="B123" s="30">
        <f ca="1" t="array" ref="B123">INDEX(Data_DBD!$B:$B,$A123)</f>
        <v>5</v>
      </c>
      <c r="C123" s="30">
        <f ca="1" t="array" ref="C123">INDEX(Data_DBD!$C:$C,$A123)</f>
        <v>2</v>
      </c>
      <c r="D123" s="30">
        <f ca="1" t="array" ref="D123">INDEX(Data_DBD!$D:$D,$A123)</f>
        <v>21</v>
      </c>
      <c r="E123" s="30">
        <f ca="1" t="array" ref="E123">INDEX(Data_DBD!$E:$E,$A123)</f>
        <v>0</v>
      </c>
      <c r="F123" s="30">
        <f ca="1" t="array" ref="F123">INDEX(Data_DBD!$F:$F,$A123)</f>
        <v>3</v>
      </c>
      <c r="H123" s="30">
        <v>38</v>
      </c>
      <c r="I123" s="30">
        <v>52</v>
      </c>
      <c r="J123" s="30">
        <v>3</v>
      </c>
      <c r="K123" s="30">
        <v>4</v>
      </c>
      <c r="L123" s="30">
        <v>1</v>
      </c>
      <c r="M123" s="30">
        <v>1</v>
      </c>
    </row>
    <row r="124" spans="1:13">
      <c r="A124" s="30">
        <f ca="1" t="shared" si="1"/>
        <v>28</v>
      </c>
      <c r="B124" s="30">
        <f ca="1" t="array" ref="B124">INDEX(Data_DBD!$B:$B,$A124)</f>
        <v>22</v>
      </c>
      <c r="C124" s="30">
        <f ca="1" t="array" ref="C124">INDEX(Data_DBD!$C:$C,$A124)</f>
        <v>2</v>
      </c>
      <c r="D124" s="30">
        <f ca="1" t="array" ref="D124">INDEX(Data_DBD!$D:$D,$A124)</f>
        <v>14</v>
      </c>
      <c r="E124" s="30">
        <f ca="1" t="array" ref="E124">INDEX(Data_DBD!$E:$E,$A124)</f>
        <v>1</v>
      </c>
      <c r="F124" s="30">
        <f ca="1" t="array" ref="F124">INDEX(Data_DBD!$F:$F,$A124)</f>
        <v>2</v>
      </c>
      <c r="H124" s="30">
        <v>75</v>
      </c>
      <c r="I124" s="30">
        <v>2</v>
      </c>
      <c r="J124" s="30">
        <v>2</v>
      </c>
      <c r="K124" s="30">
        <v>10</v>
      </c>
      <c r="L124" s="30">
        <v>1</v>
      </c>
      <c r="M124" s="30">
        <v>2</v>
      </c>
    </row>
    <row r="125" spans="1:13">
      <c r="A125" s="30">
        <f ca="1" t="shared" si="1"/>
        <v>54</v>
      </c>
      <c r="B125" s="30">
        <f ca="1" t="array" ref="B125">INDEX(Data_DBD!$B:$B,$A125)</f>
        <v>7</v>
      </c>
      <c r="C125" s="30">
        <f ca="1" t="array" ref="C125">INDEX(Data_DBD!$C:$C,$A125)</f>
        <v>3</v>
      </c>
      <c r="D125" s="30">
        <f ca="1" t="array" ref="D125">INDEX(Data_DBD!$D:$D,$A125)</f>
        <v>15</v>
      </c>
      <c r="E125" s="30">
        <f ca="1" t="array" ref="E125">INDEX(Data_DBD!$E:$E,$A125)</f>
        <v>0</v>
      </c>
      <c r="F125" s="30">
        <f ca="1" t="array" ref="F125">INDEX(Data_DBD!$F:$F,$A125)</f>
        <v>2</v>
      </c>
      <c r="H125" s="30">
        <v>159</v>
      </c>
      <c r="I125" s="30">
        <v>17</v>
      </c>
      <c r="J125" s="30">
        <v>2</v>
      </c>
      <c r="K125" s="30">
        <v>21</v>
      </c>
      <c r="L125" s="30">
        <v>0</v>
      </c>
      <c r="M125" s="30">
        <v>3</v>
      </c>
    </row>
    <row r="126" spans="1:13">
      <c r="A126" s="30">
        <f ca="1" t="shared" si="1"/>
        <v>111</v>
      </c>
      <c r="B126" s="30">
        <f ca="1" t="array" ref="B126">INDEX(Data_DBD!$B:$B,$A126)</f>
        <v>25</v>
      </c>
      <c r="C126" s="30">
        <f ca="1" t="array" ref="C126">INDEX(Data_DBD!$C:$C,$A126)</f>
        <v>4</v>
      </c>
      <c r="D126" s="30">
        <f ca="1" t="array" ref="D126">INDEX(Data_DBD!$D:$D,$A126)</f>
        <v>33</v>
      </c>
      <c r="E126" s="30">
        <f ca="1" t="array" ref="E126">INDEX(Data_DBD!$E:$E,$A126)</f>
        <v>0</v>
      </c>
      <c r="F126" s="30">
        <f ca="1" t="array" ref="F126">INDEX(Data_DBD!$F:$F,$A126)</f>
        <v>3</v>
      </c>
      <c r="H126" s="30">
        <v>39</v>
      </c>
      <c r="I126" s="30">
        <v>12</v>
      </c>
      <c r="J126" s="30">
        <v>5</v>
      </c>
      <c r="K126" s="30">
        <v>13</v>
      </c>
      <c r="L126" s="30">
        <v>1</v>
      </c>
      <c r="M126" s="30">
        <v>2</v>
      </c>
    </row>
    <row r="127" spans="1:13">
      <c r="A127" s="30">
        <f ca="1" t="shared" si="1"/>
        <v>125</v>
      </c>
      <c r="B127" s="30">
        <f ca="1" t="array" ref="B127">INDEX(Data_DBD!$B:$B,$A127)</f>
        <v>39</v>
      </c>
      <c r="C127" s="30">
        <f ca="1" t="array" ref="C127">INDEX(Data_DBD!$C:$C,$A127)</f>
        <v>4</v>
      </c>
      <c r="D127" s="30">
        <f ca="1" t="array" ref="D127">INDEX(Data_DBD!$D:$D,$A127)</f>
        <v>33</v>
      </c>
      <c r="E127" s="30">
        <f ca="1" t="array" ref="E127">INDEX(Data_DBD!$E:$E,$A127)</f>
        <v>0</v>
      </c>
      <c r="F127" s="30">
        <f ca="1" t="array" ref="F127">INDEX(Data_DBD!$F:$F,$A127)</f>
        <v>3</v>
      </c>
      <c r="H127" s="30">
        <v>113</v>
      </c>
      <c r="I127" s="30">
        <v>69</v>
      </c>
      <c r="J127" s="30">
        <v>1</v>
      </c>
      <c r="K127" s="30">
        <v>33</v>
      </c>
      <c r="L127" s="30">
        <v>1</v>
      </c>
      <c r="M127" s="30">
        <v>3</v>
      </c>
    </row>
    <row r="128" spans="1:13">
      <c r="A128" s="30">
        <f ca="1" t="shared" si="1"/>
        <v>87</v>
      </c>
      <c r="B128" s="30">
        <f ca="1" t="array" ref="B128">INDEX(Data_DBD!$B:$B,$A128)</f>
        <v>21</v>
      </c>
      <c r="C128" s="30">
        <f ca="1" t="array" ref="C128">INDEX(Data_DBD!$C:$C,$A128)</f>
        <v>3</v>
      </c>
      <c r="D128" s="30">
        <f ca="1" t="array" ref="D128">INDEX(Data_DBD!$D:$D,$A128)</f>
        <v>13</v>
      </c>
      <c r="E128" s="30">
        <f ca="1" t="array" ref="E128">INDEX(Data_DBD!$E:$E,$A128)</f>
        <v>0</v>
      </c>
      <c r="F128" s="30">
        <f ca="1" t="array" ref="F128">INDEX(Data_DBD!$F:$F,$A128)</f>
        <v>2</v>
      </c>
      <c r="H128" s="30">
        <v>155</v>
      </c>
      <c r="I128" s="30">
        <v>19</v>
      </c>
      <c r="J128" s="30">
        <v>5</v>
      </c>
      <c r="K128" s="30">
        <v>21</v>
      </c>
      <c r="L128" s="30">
        <v>1</v>
      </c>
      <c r="M128" s="30">
        <v>3</v>
      </c>
    </row>
    <row r="129" spans="1:13">
      <c r="A129" s="30">
        <f ca="1" t="shared" si="1"/>
        <v>128</v>
      </c>
      <c r="B129" s="30">
        <f ca="1" t="array" ref="B129">INDEX(Data_DBD!$B:$B,$A129)</f>
        <v>38</v>
      </c>
      <c r="C129" s="30">
        <f ca="1" t="array" ref="C129">INDEX(Data_DBD!$C:$C,$A129)</f>
        <v>2</v>
      </c>
      <c r="D129" s="30">
        <f ca="1" t="array" ref="D129">INDEX(Data_DBD!$D:$D,$A129)</f>
        <v>33</v>
      </c>
      <c r="E129" s="30">
        <f ca="1" t="array" ref="E129">INDEX(Data_DBD!$E:$E,$A129)</f>
        <v>0</v>
      </c>
      <c r="F129" s="30">
        <f ca="1" t="array" ref="F129">INDEX(Data_DBD!$F:$F,$A129)</f>
        <v>3</v>
      </c>
      <c r="H129" s="30">
        <v>119</v>
      </c>
      <c r="I129" s="30">
        <v>30</v>
      </c>
      <c r="J129" s="30">
        <v>7</v>
      </c>
      <c r="K129" s="30">
        <v>33</v>
      </c>
      <c r="L129" s="30">
        <v>0</v>
      </c>
      <c r="M129" s="30">
        <v>3</v>
      </c>
    </row>
    <row r="130" spans="1:13">
      <c r="A130" s="30">
        <f ca="1" t="shared" si="1"/>
        <v>115</v>
      </c>
      <c r="B130" s="30">
        <f ca="1" t="array" ref="B130">INDEX(Data_DBD!$B:$B,$A130)</f>
        <v>52</v>
      </c>
      <c r="C130" s="30">
        <f ca="1" t="array" ref="C130">INDEX(Data_DBD!$C:$C,$A130)</f>
        <v>3</v>
      </c>
      <c r="D130" s="30">
        <f ca="1" t="array" ref="D130">INDEX(Data_DBD!$D:$D,$A130)</f>
        <v>33</v>
      </c>
      <c r="E130" s="30">
        <f ca="1" t="array" ref="E130">INDEX(Data_DBD!$E:$E,$A130)</f>
        <v>1</v>
      </c>
      <c r="F130" s="30">
        <f ca="1" t="array" ref="F130">INDEX(Data_DBD!$F:$F,$A130)</f>
        <v>3</v>
      </c>
      <c r="H130" s="30">
        <v>119</v>
      </c>
      <c r="I130" s="30">
        <v>30</v>
      </c>
      <c r="J130" s="30">
        <v>7</v>
      </c>
      <c r="K130" s="30">
        <v>33</v>
      </c>
      <c r="L130" s="30">
        <v>0</v>
      </c>
      <c r="M130" s="30">
        <v>3</v>
      </c>
    </row>
    <row r="131" spans="1:13">
      <c r="A131" s="30">
        <f ca="1" t="shared" ref="A131:A164" si="2">RANDBETWEEN(2,164)</f>
        <v>97</v>
      </c>
      <c r="B131" s="30">
        <f ca="1" t="array" ref="B131">INDEX(Data_DBD!$B:$B,$A131)</f>
        <v>16</v>
      </c>
      <c r="C131" s="30">
        <f ca="1" t="array" ref="C131">INDEX(Data_DBD!$C:$C,$A131)</f>
        <v>2</v>
      </c>
      <c r="D131" s="30">
        <f ca="1" t="array" ref="D131">INDEX(Data_DBD!$D:$D,$A131)</f>
        <v>18</v>
      </c>
      <c r="E131" s="30">
        <f ca="1" t="array" ref="E131">INDEX(Data_DBD!$E:$E,$A131)</f>
        <v>1</v>
      </c>
      <c r="F131" s="30">
        <f ca="1" t="array" ref="F131">INDEX(Data_DBD!$F:$F,$A131)</f>
        <v>3</v>
      </c>
      <c r="H131" s="30">
        <v>161</v>
      </c>
      <c r="I131" s="30">
        <v>12</v>
      </c>
      <c r="J131" s="30">
        <v>3</v>
      </c>
      <c r="K131" s="30">
        <v>21</v>
      </c>
      <c r="L131" s="30">
        <v>1</v>
      </c>
      <c r="M131" s="30">
        <v>3</v>
      </c>
    </row>
    <row r="132" spans="1:13">
      <c r="A132" s="30">
        <f ca="1" t="shared" si="2"/>
        <v>100</v>
      </c>
      <c r="B132" s="30">
        <f ca="1" t="array" ref="B132">INDEX(Data_DBD!$B:$B,$A132)</f>
        <v>19</v>
      </c>
      <c r="C132" s="30">
        <f ca="1" t="array" ref="C132">INDEX(Data_DBD!$C:$C,$A132)</f>
        <v>6</v>
      </c>
      <c r="D132" s="30">
        <f ca="1" t="array" ref="D132">INDEX(Data_DBD!$D:$D,$A132)</f>
        <v>18</v>
      </c>
      <c r="E132" s="30">
        <f ca="1" t="array" ref="E132">INDEX(Data_DBD!$E:$E,$A132)</f>
        <v>0</v>
      </c>
      <c r="F132" s="30">
        <f ca="1" t="array" ref="F132">INDEX(Data_DBD!$F:$F,$A132)</f>
        <v>3</v>
      </c>
      <c r="H132" s="30">
        <v>124</v>
      </c>
      <c r="I132" s="30">
        <v>24</v>
      </c>
      <c r="J132" s="30">
        <v>3</v>
      </c>
      <c r="K132" s="30">
        <v>33</v>
      </c>
      <c r="L132" s="30">
        <v>1</v>
      </c>
      <c r="M132" s="30">
        <v>3</v>
      </c>
    </row>
    <row r="133" spans="1:13">
      <c r="A133" s="30">
        <f ca="1" t="shared" si="2"/>
        <v>141</v>
      </c>
      <c r="B133" s="30">
        <f ca="1" t="array" ref="B133">INDEX(Data_DBD!$B:$B,$A133)</f>
        <v>36</v>
      </c>
      <c r="C133" s="30">
        <f ca="1" t="array" ref="C133">INDEX(Data_DBD!$C:$C,$A133)</f>
        <v>2</v>
      </c>
      <c r="D133" s="30">
        <f ca="1" t="array" ref="D133">INDEX(Data_DBD!$D:$D,$A133)</f>
        <v>21</v>
      </c>
      <c r="E133" s="30">
        <f ca="1" t="array" ref="E133">INDEX(Data_DBD!$E:$E,$A133)</f>
        <v>0</v>
      </c>
      <c r="F133" s="30">
        <f ca="1" t="array" ref="F133">INDEX(Data_DBD!$F:$F,$A133)</f>
        <v>3</v>
      </c>
      <c r="H133" s="30">
        <v>89</v>
      </c>
      <c r="I133" s="30">
        <v>32</v>
      </c>
      <c r="J133" s="30">
        <v>4</v>
      </c>
      <c r="K133" s="30">
        <v>13</v>
      </c>
      <c r="L133" s="30">
        <v>0</v>
      </c>
      <c r="M133" s="30">
        <v>2</v>
      </c>
    </row>
    <row r="134" spans="1:13">
      <c r="A134" s="30">
        <f ca="1" t="shared" si="2"/>
        <v>54</v>
      </c>
      <c r="B134" s="30">
        <f ca="1" t="array" ref="B134">INDEX(Data_DBD!$B:$B,$A134)</f>
        <v>7</v>
      </c>
      <c r="C134" s="30">
        <f ca="1" t="array" ref="C134">INDEX(Data_DBD!$C:$C,$A134)</f>
        <v>3</v>
      </c>
      <c r="D134" s="30">
        <f ca="1" t="array" ref="D134">INDEX(Data_DBD!$D:$D,$A134)</f>
        <v>15</v>
      </c>
      <c r="E134" s="30">
        <f ca="1" t="array" ref="E134">INDEX(Data_DBD!$E:$E,$A134)</f>
        <v>0</v>
      </c>
      <c r="F134" s="30">
        <f ca="1" t="array" ref="F134">INDEX(Data_DBD!$F:$F,$A134)</f>
        <v>2</v>
      </c>
      <c r="H134" s="30">
        <v>10</v>
      </c>
      <c r="I134" s="30">
        <v>18</v>
      </c>
      <c r="J134" s="30">
        <v>5</v>
      </c>
      <c r="K134" s="30">
        <v>12</v>
      </c>
      <c r="L134" s="30">
        <v>0</v>
      </c>
      <c r="M134" s="30">
        <v>2</v>
      </c>
    </row>
    <row r="135" spans="1:13">
      <c r="A135" s="30">
        <f ca="1" t="shared" si="2"/>
        <v>65</v>
      </c>
      <c r="B135" s="30">
        <f ca="1" t="array" ref="B135">INDEX(Data_DBD!$B:$B,$A135)</f>
        <v>49</v>
      </c>
      <c r="C135" s="30">
        <f ca="1" t="array" ref="C135">INDEX(Data_DBD!$C:$C,$A135)</f>
        <v>3</v>
      </c>
      <c r="D135" s="30">
        <f ca="1" t="array" ref="D135">INDEX(Data_DBD!$D:$D,$A135)</f>
        <v>15</v>
      </c>
      <c r="E135" s="30">
        <f ca="1" t="array" ref="E135">INDEX(Data_DBD!$E:$E,$A135)</f>
        <v>0</v>
      </c>
      <c r="F135" s="30">
        <f ca="1" t="array" ref="F135">INDEX(Data_DBD!$F:$F,$A135)</f>
        <v>2</v>
      </c>
      <c r="H135" s="30">
        <v>74</v>
      </c>
      <c r="I135" s="30">
        <v>9</v>
      </c>
      <c r="J135" s="30">
        <v>4</v>
      </c>
      <c r="K135" s="30">
        <v>10</v>
      </c>
      <c r="L135" s="30">
        <v>0</v>
      </c>
      <c r="M135" s="30">
        <v>2</v>
      </c>
    </row>
    <row r="136" spans="1:13">
      <c r="A136" s="30">
        <f ca="1" t="shared" si="2"/>
        <v>133</v>
      </c>
      <c r="B136" s="30">
        <f ca="1" t="array" ref="B136">INDEX(Data_DBD!$B:$B,$A136)</f>
        <v>6</v>
      </c>
      <c r="C136" s="30">
        <f ca="1" t="array" ref="C136">INDEX(Data_DBD!$C:$C,$A136)</f>
        <v>4</v>
      </c>
      <c r="D136" s="30">
        <f ca="1" t="array" ref="D136">INDEX(Data_DBD!$D:$D,$A136)</f>
        <v>33</v>
      </c>
      <c r="E136" s="30">
        <f ca="1" t="array" ref="E136">INDEX(Data_DBD!$E:$E,$A136)</f>
        <v>0</v>
      </c>
      <c r="F136" s="30">
        <f ca="1" t="array" ref="F136">INDEX(Data_DBD!$F:$F,$A136)</f>
        <v>3</v>
      </c>
      <c r="H136" s="30">
        <v>135</v>
      </c>
      <c r="I136" s="30">
        <v>10</v>
      </c>
      <c r="J136" s="30">
        <v>2</v>
      </c>
      <c r="K136" s="30">
        <v>33</v>
      </c>
      <c r="L136" s="30">
        <v>0</v>
      </c>
      <c r="M136" s="30">
        <v>3</v>
      </c>
    </row>
    <row r="137" spans="1:13">
      <c r="A137" s="30">
        <f ca="1" t="shared" si="2"/>
        <v>95</v>
      </c>
      <c r="B137" s="30">
        <f ca="1" t="array" ref="B137">INDEX(Data_DBD!$B:$B,$A137)</f>
        <v>11</v>
      </c>
      <c r="C137" s="30">
        <f ca="1" t="array" ref="C137">INDEX(Data_DBD!$C:$C,$A137)</f>
        <v>3</v>
      </c>
      <c r="D137" s="30">
        <f ca="1" t="array" ref="D137">INDEX(Data_DBD!$D:$D,$A137)</f>
        <v>18</v>
      </c>
      <c r="E137" s="30">
        <f ca="1" t="array" ref="E137">INDEX(Data_DBD!$E:$E,$A137)</f>
        <v>1</v>
      </c>
      <c r="F137" s="30">
        <f ca="1" t="array" ref="F137">INDEX(Data_DBD!$F:$F,$A137)</f>
        <v>3</v>
      </c>
      <c r="H137" s="30">
        <v>59</v>
      </c>
      <c r="I137" s="30">
        <v>28</v>
      </c>
      <c r="J137" s="30">
        <v>4</v>
      </c>
      <c r="K137" s="30">
        <v>15</v>
      </c>
      <c r="L137" s="30">
        <v>0</v>
      </c>
      <c r="M137" s="30">
        <v>2</v>
      </c>
    </row>
    <row r="138" spans="1:13">
      <c r="A138" s="30">
        <f ca="1" t="shared" si="2"/>
        <v>53</v>
      </c>
      <c r="B138" s="30">
        <f ca="1" t="array" ref="B138">INDEX(Data_DBD!$B:$B,$A138)</f>
        <v>35</v>
      </c>
      <c r="C138" s="30">
        <f ca="1" t="array" ref="C138">INDEX(Data_DBD!$C:$C,$A138)</f>
        <v>4</v>
      </c>
      <c r="D138" s="30">
        <f ca="1" t="array" ref="D138">INDEX(Data_DBD!$D:$D,$A138)</f>
        <v>15</v>
      </c>
      <c r="E138" s="30">
        <f ca="1" t="array" ref="E138">INDEX(Data_DBD!$E:$E,$A138)</f>
        <v>1</v>
      </c>
      <c r="F138" s="30">
        <f ca="1" t="array" ref="F138">INDEX(Data_DBD!$F:$F,$A138)</f>
        <v>2</v>
      </c>
      <c r="H138" s="30">
        <v>128</v>
      </c>
      <c r="I138" s="30">
        <v>38</v>
      </c>
      <c r="J138" s="30">
        <v>2</v>
      </c>
      <c r="K138" s="30">
        <v>33</v>
      </c>
      <c r="L138" s="30">
        <v>0</v>
      </c>
      <c r="M138" s="30">
        <v>3</v>
      </c>
    </row>
    <row r="139" spans="1:13">
      <c r="A139" s="30">
        <f ca="1" t="shared" si="2"/>
        <v>61</v>
      </c>
      <c r="B139" s="30">
        <f ca="1" t="array" ref="B139">INDEX(Data_DBD!$B:$B,$A139)</f>
        <v>29</v>
      </c>
      <c r="C139" s="30">
        <f ca="1" t="array" ref="C139">INDEX(Data_DBD!$C:$C,$A139)</f>
        <v>3</v>
      </c>
      <c r="D139" s="30">
        <f ca="1" t="array" ref="D139">INDEX(Data_DBD!$D:$D,$A139)</f>
        <v>15</v>
      </c>
      <c r="E139" s="30">
        <f ca="1" t="array" ref="E139">INDEX(Data_DBD!$E:$E,$A139)</f>
        <v>1</v>
      </c>
      <c r="F139" s="30">
        <f ca="1" t="array" ref="F139">INDEX(Data_DBD!$F:$F,$A139)</f>
        <v>2</v>
      </c>
      <c r="H139" s="30">
        <v>124</v>
      </c>
      <c r="I139" s="30">
        <v>24</v>
      </c>
      <c r="J139" s="30">
        <v>3</v>
      </c>
      <c r="K139" s="30">
        <v>33</v>
      </c>
      <c r="L139" s="30">
        <v>1</v>
      </c>
      <c r="M139" s="30">
        <v>3</v>
      </c>
    </row>
    <row r="140" spans="1:13">
      <c r="A140" s="30">
        <f ca="1" t="shared" si="2"/>
        <v>128</v>
      </c>
      <c r="B140" s="30">
        <f ca="1" t="array" ref="B140">INDEX(Data_DBD!$B:$B,$A140)</f>
        <v>38</v>
      </c>
      <c r="C140" s="30">
        <f ca="1" t="array" ref="C140">INDEX(Data_DBD!$C:$C,$A140)</f>
        <v>2</v>
      </c>
      <c r="D140" s="30">
        <f ca="1" t="array" ref="D140">INDEX(Data_DBD!$D:$D,$A140)</f>
        <v>33</v>
      </c>
      <c r="E140" s="30">
        <f ca="1" t="array" ref="E140">INDEX(Data_DBD!$E:$E,$A140)</f>
        <v>0</v>
      </c>
      <c r="F140" s="30">
        <f ca="1" t="array" ref="F140">INDEX(Data_DBD!$F:$F,$A140)</f>
        <v>3</v>
      </c>
      <c r="H140" s="30">
        <v>134</v>
      </c>
      <c r="I140" s="30">
        <v>4</v>
      </c>
      <c r="J140" s="30">
        <v>2</v>
      </c>
      <c r="K140" s="30">
        <v>33</v>
      </c>
      <c r="L140" s="30">
        <v>1</v>
      </c>
      <c r="M140" s="30">
        <v>3</v>
      </c>
    </row>
    <row r="141" spans="1:13">
      <c r="A141" s="30">
        <f ca="1" t="shared" si="2"/>
        <v>81</v>
      </c>
      <c r="B141" s="30">
        <f ca="1" t="array" ref="B141">INDEX(Data_DBD!$B:$B,$A141)</f>
        <v>23</v>
      </c>
      <c r="C141" s="30">
        <f ca="1" t="array" ref="C141">INDEX(Data_DBD!$C:$C,$A141)</f>
        <v>5</v>
      </c>
      <c r="D141" s="30">
        <f ca="1" t="array" ref="D141">INDEX(Data_DBD!$D:$D,$A141)</f>
        <v>13</v>
      </c>
      <c r="E141" s="30">
        <f ca="1" t="array" ref="E141">INDEX(Data_DBD!$E:$E,$A141)</f>
        <v>1</v>
      </c>
      <c r="F141" s="30">
        <f ca="1" t="array" ref="F141">INDEX(Data_DBD!$F:$F,$A141)</f>
        <v>2</v>
      </c>
      <c r="H141" s="30">
        <v>22</v>
      </c>
      <c r="I141" s="30">
        <v>6</v>
      </c>
      <c r="J141" s="30">
        <v>3</v>
      </c>
      <c r="K141" s="30">
        <v>14</v>
      </c>
      <c r="L141" s="30">
        <v>0</v>
      </c>
      <c r="M141" s="30">
        <v>2</v>
      </c>
    </row>
    <row r="142" spans="1:13">
      <c r="A142" s="30">
        <f ca="1" t="shared" si="2"/>
        <v>142</v>
      </c>
      <c r="B142" s="30">
        <f ca="1" t="array" ref="B142">INDEX(Data_DBD!$B:$B,$A142)</f>
        <v>39</v>
      </c>
      <c r="C142" s="30">
        <f ca="1" t="array" ref="C142">INDEX(Data_DBD!$C:$C,$A142)</f>
        <v>2</v>
      </c>
      <c r="D142" s="30">
        <f ca="1" t="array" ref="D142">INDEX(Data_DBD!$D:$D,$A142)</f>
        <v>21</v>
      </c>
      <c r="E142" s="30">
        <f ca="1" t="array" ref="E142">INDEX(Data_DBD!$E:$E,$A142)</f>
        <v>1</v>
      </c>
      <c r="F142" s="30">
        <f ca="1" t="array" ref="F142">INDEX(Data_DBD!$F:$F,$A142)</f>
        <v>3</v>
      </c>
      <c r="H142" s="30">
        <v>6</v>
      </c>
      <c r="I142" s="30">
        <v>14</v>
      </c>
      <c r="J142" s="30">
        <v>4</v>
      </c>
      <c r="K142" s="30">
        <v>12</v>
      </c>
      <c r="L142" s="30">
        <v>0</v>
      </c>
      <c r="M142" s="30">
        <v>2</v>
      </c>
    </row>
    <row r="143" spans="1:13">
      <c r="A143" s="30">
        <f ca="1" t="shared" si="2"/>
        <v>159</v>
      </c>
      <c r="B143" s="30">
        <f ca="1" t="array" ref="B143">INDEX(Data_DBD!$B:$B,$A143)</f>
        <v>17</v>
      </c>
      <c r="C143" s="30">
        <f ca="1" t="array" ref="C143">INDEX(Data_DBD!$C:$C,$A143)</f>
        <v>2</v>
      </c>
      <c r="D143" s="30">
        <f ca="1" t="array" ref="D143">INDEX(Data_DBD!$D:$D,$A143)</f>
        <v>21</v>
      </c>
      <c r="E143" s="30">
        <f ca="1" t="array" ref="E143">INDEX(Data_DBD!$E:$E,$A143)</f>
        <v>0</v>
      </c>
      <c r="F143" s="30">
        <f ca="1" t="array" ref="F143">INDEX(Data_DBD!$F:$F,$A143)</f>
        <v>3</v>
      </c>
      <c r="H143" s="30">
        <v>72</v>
      </c>
      <c r="I143" s="30">
        <v>3</v>
      </c>
      <c r="J143" s="30">
        <v>5</v>
      </c>
      <c r="K143" s="30">
        <v>10</v>
      </c>
      <c r="L143" s="30">
        <v>1</v>
      </c>
      <c r="M143" s="30">
        <v>2</v>
      </c>
    </row>
    <row r="144" spans="1:13">
      <c r="A144" s="30">
        <f ca="1" t="shared" si="2"/>
        <v>152</v>
      </c>
      <c r="B144" s="30">
        <f ca="1" t="array" ref="B144">INDEX(Data_DBD!$B:$B,$A144)</f>
        <v>47</v>
      </c>
      <c r="C144" s="30">
        <f ca="1" t="array" ref="C144">INDEX(Data_DBD!$C:$C,$A144)</f>
        <v>3</v>
      </c>
      <c r="D144" s="30">
        <f ca="1" t="array" ref="D144">INDEX(Data_DBD!$D:$D,$A144)</f>
        <v>21</v>
      </c>
      <c r="E144" s="30">
        <f ca="1" t="array" ref="E144">INDEX(Data_DBD!$E:$E,$A144)</f>
        <v>1</v>
      </c>
      <c r="F144" s="30">
        <f ca="1" t="array" ref="F144">INDEX(Data_DBD!$F:$F,$A144)</f>
        <v>3</v>
      </c>
      <c r="H144" s="30">
        <v>34</v>
      </c>
      <c r="I144" s="30">
        <v>55</v>
      </c>
      <c r="J144" s="30">
        <v>3</v>
      </c>
      <c r="K144" s="30">
        <v>14</v>
      </c>
      <c r="L144" s="30">
        <v>0</v>
      </c>
      <c r="M144" s="30">
        <v>2</v>
      </c>
    </row>
    <row r="145" spans="1:13">
      <c r="A145" s="30">
        <f ca="1" t="shared" si="2"/>
        <v>152</v>
      </c>
      <c r="B145" s="30">
        <f ca="1" t="array" ref="B145">INDEX(Data_DBD!$B:$B,$A145)</f>
        <v>47</v>
      </c>
      <c r="C145" s="30">
        <f ca="1" t="array" ref="C145">INDEX(Data_DBD!$C:$C,$A145)</f>
        <v>3</v>
      </c>
      <c r="D145" s="30">
        <f ca="1" t="array" ref="D145">INDEX(Data_DBD!$D:$D,$A145)</f>
        <v>21</v>
      </c>
      <c r="E145" s="30">
        <f ca="1" t="array" ref="E145">INDEX(Data_DBD!$E:$E,$A145)</f>
        <v>1</v>
      </c>
      <c r="F145" s="30">
        <f ca="1" t="array" ref="F145">INDEX(Data_DBD!$F:$F,$A145)</f>
        <v>3</v>
      </c>
      <c r="H145" s="30">
        <v>55</v>
      </c>
      <c r="I145" s="30">
        <v>7</v>
      </c>
      <c r="J145" s="30">
        <v>4</v>
      </c>
      <c r="K145" s="30">
        <v>15</v>
      </c>
      <c r="L145" s="30">
        <v>1</v>
      </c>
      <c r="M145" s="30">
        <v>2</v>
      </c>
    </row>
    <row r="146" spans="1:13">
      <c r="A146" s="30">
        <f ca="1" t="shared" si="2"/>
        <v>35</v>
      </c>
      <c r="B146" s="30">
        <f ca="1" t="array" ref="B146">INDEX(Data_DBD!$B:$B,$A146)</f>
        <v>40</v>
      </c>
      <c r="C146" s="30">
        <f ca="1" t="array" ref="C146">INDEX(Data_DBD!$C:$C,$A146)</f>
        <v>3</v>
      </c>
      <c r="D146" s="30">
        <f ca="1" t="array" ref="D146">INDEX(Data_DBD!$D:$D,$A146)</f>
        <v>4</v>
      </c>
      <c r="E146" s="30">
        <f ca="1" t="array" ref="E146">INDEX(Data_DBD!$E:$E,$A146)</f>
        <v>1</v>
      </c>
      <c r="F146" s="30">
        <f ca="1" t="array" ref="F146">INDEX(Data_DBD!$F:$F,$A146)</f>
        <v>1</v>
      </c>
      <c r="H146" s="30">
        <v>107</v>
      </c>
      <c r="I146" s="30">
        <v>48</v>
      </c>
      <c r="J146" s="30">
        <v>5</v>
      </c>
      <c r="K146" s="30">
        <v>18</v>
      </c>
      <c r="L146" s="30">
        <v>0</v>
      </c>
      <c r="M146" s="30">
        <v>3</v>
      </c>
    </row>
    <row r="147" spans="1:13">
      <c r="A147" s="30">
        <f ca="1" t="shared" si="2"/>
        <v>40</v>
      </c>
      <c r="B147" s="30">
        <f ca="1" t="array" ref="B147">INDEX(Data_DBD!$B:$B,$A147)</f>
        <v>65</v>
      </c>
      <c r="C147" s="30">
        <f ca="1" t="array" ref="C147">INDEX(Data_DBD!$C:$C,$A147)</f>
        <v>3</v>
      </c>
      <c r="D147" s="30">
        <f ca="1" t="array" ref="D147">INDEX(Data_DBD!$D:$D,$A147)</f>
        <v>13</v>
      </c>
      <c r="E147" s="30">
        <f ca="1" t="array" ref="E147">INDEX(Data_DBD!$E:$E,$A147)</f>
        <v>1</v>
      </c>
      <c r="F147" s="30">
        <f ca="1" t="array" ref="F147">INDEX(Data_DBD!$F:$F,$A147)</f>
        <v>2</v>
      </c>
      <c r="H147" s="30">
        <v>122</v>
      </c>
      <c r="I147" s="30">
        <v>28</v>
      </c>
      <c r="J147" s="30">
        <v>3</v>
      </c>
      <c r="K147" s="30">
        <v>33</v>
      </c>
      <c r="L147" s="30">
        <v>1</v>
      </c>
      <c r="M147" s="30">
        <v>3</v>
      </c>
    </row>
    <row r="148" spans="1:13">
      <c r="A148" s="30">
        <f ca="1" t="shared" si="2"/>
        <v>89</v>
      </c>
      <c r="B148" s="30">
        <f ca="1" t="array" ref="B148">INDEX(Data_DBD!$B:$B,$A148)</f>
        <v>32</v>
      </c>
      <c r="C148" s="30">
        <f ca="1" t="array" ref="C148">INDEX(Data_DBD!$C:$C,$A148)</f>
        <v>4</v>
      </c>
      <c r="D148" s="30">
        <f ca="1" t="array" ref="D148">INDEX(Data_DBD!$D:$D,$A148)</f>
        <v>13</v>
      </c>
      <c r="E148" s="30">
        <f ca="1" t="array" ref="E148">INDEX(Data_DBD!$E:$E,$A148)</f>
        <v>0</v>
      </c>
      <c r="F148" s="30">
        <f ca="1" t="array" ref="F148">INDEX(Data_DBD!$F:$F,$A148)</f>
        <v>2</v>
      </c>
      <c r="H148" s="30">
        <v>119</v>
      </c>
      <c r="I148" s="30">
        <v>30</v>
      </c>
      <c r="J148" s="30">
        <v>7</v>
      </c>
      <c r="K148" s="30">
        <v>33</v>
      </c>
      <c r="L148" s="30">
        <v>0</v>
      </c>
      <c r="M148" s="30">
        <v>3</v>
      </c>
    </row>
    <row r="149" spans="1:13">
      <c r="A149" s="30">
        <f ca="1" t="shared" si="2"/>
        <v>159</v>
      </c>
      <c r="B149" s="30">
        <f ca="1" t="array" ref="B149">INDEX(Data_DBD!$B:$B,$A149)</f>
        <v>17</v>
      </c>
      <c r="C149" s="30">
        <f ca="1" t="array" ref="C149">INDEX(Data_DBD!$C:$C,$A149)</f>
        <v>2</v>
      </c>
      <c r="D149" s="30">
        <f ca="1" t="array" ref="D149">INDEX(Data_DBD!$D:$D,$A149)</f>
        <v>21</v>
      </c>
      <c r="E149" s="30">
        <f ca="1" t="array" ref="E149">INDEX(Data_DBD!$E:$E,$A149)</f>
        <v>0</v>
      </c>
      <c r="F149" s="30">
        <f ca="1" t="array" ref="F149">INDEX(Data_DBD!$F:$F,$A149)</f>
        <v>3</v>
      </c>
      <c r="H149" s="30">
        <v>107</v>
      </c>
      <c r="I149" s="30">
        <v>48</v>
      </c>
      <c r="J149" s="30">
        <v>5</v>
      </c>
      <c r="K149" s="30">
        <v>18</v>
      </c>
      <c r="L149" s="30">
        <v>0</v>
      </c>
      <c r="M149" s="30">
        <v>3</v>
      </c>
    </row>
    <row r="150" spans="1:13">
      <c r="A150" s="30">
        <f ca="1" t="shared" si="2"/>
        <v>118</v>
      </c>
      <c r="B150" s="30">
        <f ca="1" t="array" ref="B150">INDEX(Data_DBD!$B:$B,$A150)</f>
        <v>67</v>
      </c>
      <c r="C150" s="30">
        <f ca="1" t="array" ref="C150">INDEX(Data_DBD!$C:$C,$A150)</f>
        <v>4</v>
      </c>
      <c r="D150" s="30">
        <f ca="1" t="array" ref="D150">INDEX(Data_DBD!$D:$D,$A150)</f>
        <v>33</v>
      </c>
      <c r="E150" s="30">
        <f ca="1" t="array" ref="E150">INDEX(Data_DBD!$E:$E,$A150)</f>
        <v>1</v>
      </c>
      <c r="F150" s="30">
        <f ca="1" t="array" ref="F150">INDEX(Data_DBD!$F:$F,$A150)</f>
        <v>3</v>
      </c>
      <c r="H150" s="30">
        <v>83</v>
      </c>
      <c r="I150" s="30">
        <v>50</v>
      </c>
      <c r="J150" s="30">
        <v>3</v>
      </c>
      <c r="K150" s="30">
        <v>13</v>
      </c>
      <c r="L150" s="30">
        <v>0</v>
      </c>
      <c r="M150" s="30">
        <v>2</v>
      </c>
    </row>
    <row r="151" spans="1:13">
      <c r="A151" s="30">
        <f ca="1" t="shared" si="2"/>
        <v>46</v>
      </c>
      <c r="B151" s="30">
        <f ca="1" t="array" ref="B151">INDEX(Data_DBD!$B:$B,$A151)</f>
        <v>62</v>
      </c>
      <c r="C151" s="30">
        <f ca="1" t="array" ref="C151">INDEX(Data_DBD!$C:$C,$A151)</f>
        <v>2</v>
      </c>
      <c r="D151" s="30">
        <f ca="1" t="array" ref="D151">INDEX(Data_DBD!$D:$D,$A151)</f>
        <v>13</v>
      </c>
      <c r="E151" s="30">
        <f ca="1" t="array" ref="E151">INDEX(Data_DBD!$E:$E,$A151)</f>
        <v>0</v>
      </c>
      <c r="F151" s="30">
        <f ca="1" t="array" ref="F151">INDEX(Data_DBD!$F:$F,$A151)</f>
        <v>2</v>
      </c>
      <c r="H151" s="30">
        <v>152</v>
      </c>
      <c r="I151" s="30">
        <v>47</v>
      </c>
      <c r="J151" s="30">
        <v>3</v>
      </c>
      <c r="K151" s="30">
        <v>21</v>
      </c>
      <c r="L151" s="30">
        <v>1</v>
      </c>
      <c r="M151" s="30">
        <v>3</v>
      </c>
    </row>
    <row r="152" spans="1:13">
      <c r="A152" s="30">
        <f ca="1" t="shared" si="2"/>
        <v>64</v>
      </c>
      <c r="B152" s="30">
        <f ca="1" t="array" ref="B152">INDEX(Data_DBD!$B:$B,$A152)</f>
        <v>35</v>
      </c>
      <c r="C152" s="30">
        <f ca="1" t="array" ref="C152">INDEX(Data_DBD!$C:$C,$A152)</f>
        <v>1</v>
      </c>
      <c r="D152" s="30">
        <f ca="1" t="array" ref="D152">INDEX(Data_DBD!$D:$D,$A152)</f>
        <v>15</v>
      </c>
      <c r="E152" s="30">
        <f ca="1" t="array" ref="E152">INDEX(Data_DBD!$E:$E,$A152)</f>
        <v>0</v>
      </c>
      <c r="F152" s="30">
        <f ca="1" t="array" ref="F152">INDEX(Data_DBD!$F:$F,$A152)</f>
        <v>2</v>
      </c>
      <c r="H152" s="30">
        <v>132</v>
      </c>
      <c r="I152" s="30">
        <v>10</v>
      </c>
      <c r="J152" s="30">
        <v>3</v>
      </c>
      <c r="K152" s="30">
        <v>33</v>
      </c>
      <c r="L152" s="30">
        <v>1</v>
      </c>
      <c r="M152" s="30">
        <v>3</v>
      </c>
    </row>
    <row r="153" spans="1:13">
      <c r="A153" s="30">
        <f ca="1" t="shared" si="2"/>
        <v>73</v>
      </c>
      <c r="B153" s="30">
        <f ca="1" t="array" ref="B153">INDEX(Data_DBD!$B:$B,$A153)</f>
        <v>15</v>
      </c>
      <c r="C153" s="30">
        <f ca="1" t="array" ref="C153">INDEX(Data_DBD!$C:$C,$A153)</f>
        <v>3</v>
      </c>
      <c r="D153" s="30">
        <f ca="1" t="array" ref="D153">INDEX(Data_DBD!$D:$D,$A153)</f>
        <v>10</v>
      </c>
      <c r="E153" s="30">
        <f ca="1" t="array" ref="E153">INDEX(Data_DBD!$E:$E,$A153)</f>
        <v>1</v>
      </c>
      <c r="F153" s="30">
        <f ca="1" t="array" ref="F153">INDEX(Data_DBD!$F:$F,$A153)</f>
        <v>2</v>
      </c>
      <c r="H153" s="30">
        <v>65</v>
      </c>
      <c r="I153" s="30">
        <v>49</v>
      </c>
      <c r="J153" s="30">
        <v>3</v>
      </c>
      <c r="K153" s="30">
        <v>15</v>
      </c>
      <c r="L153" s="30">
        <v>0</v>
      </c>
      <c r="M153" s="30">
        <v>2</v>
      </c>
    </row>
    <row r="154" spans="1:13">
      <c r="A154" s="30">
        <f ca="1" t="shared" si="2"/>
        <v>15</v>
      </c>
      <c r="B154" s="30">
        <f ca="1" t="array" ref="B154">INDEX(Data_DBD!$B:$B,$A154)</f>
        <v>21</v>
      </c>
      <c r="C154" s="30">
        <f ca="1" t="array" ref="C154">INDEX(Data_DBD!$C:$C,$A154)</f>
        <v>2</v>
      </c>
      <c r="D154" s="30">
        <f ca="1" t="array" ref="D154">INDEX(Data_DBD!$D:$D,$A154)</f>
        <v>7</v>
      </c>
      <c r="E154" s="30">
        <f ca="1" t="array" ref="E154">INDEX(Data_DBD!$E:$E,$A154)</f>
        <v>0</v>
      </c>
      <c r="F154" s="30">
        <f ca="1" t="array" ref="F154">INDEX(Data_DBD!$F:$F,$A154)</f>
        <v>1</v>
      </c>
      <c r="H154" s="30">
        <v>3</v>
      </c>
      <c r="I154" s="30">
        <v>43</v>
      </c>
      <c r="J154" s="30">
        <v>3</v>
      </c>
      <c r="K154" s="30">
        <v>12</v>
      </c>
      <c r="L154" s="30">
        <v>1</v>
      </c>
      <c r="M154" s="30">
        <v>2</v>
      </c>
    </row>
    <row r="155" spans="1:13">
      <c r="A155" s="30">
        <f ca="1" t="shared" si="2"/>
        <v>36</v>
      </c>
      <c r="B155" s="30">
        <f ca="1" t="array" ref="B155">INDEX(Data_DBD!$B:$B,$A155)</f>
        <v>27</v>
      </c>
      <c r="C155" s="30">
        <f ca="1" t="array" ref="C155">INDEX(Data_DBD!$C:$C,$A155)</f>
        <v>1</v>
      </c>
      <c r="D155" s="30">
        <f ca="1" t="array" ref="D155">INDEX(Data_DBD!$D:$D,$A155)</f>
        <v>4</v>
      </c>
      <c r="E155" s="30">
        <f ca="1" t="array" ref="E155">INDEX(Data_DBD!$E:$E,$A155)</f>
        <v>1</v>
      </c>
      <c r="F155" s="30">
        <f ca="1" t="array" ref="F155">INDEX(Data_DBD!$F:$F,$A155)</f>
        <v>1</v>
      </c>
      <c r="H155" s="30">
        <v>25</v>
      </c>
      <c r="I155" s="30">
        <v>81</v>
      </c>
      <c r="J155" s="30">
        <v>5</v>
      </c>
      <c r="K155" s="30">
        <v>14</v>
      </c>
      <c r="L155" s="30">
        <v>0</v>
      </c>
      <c r="M155" s="30">
        <v>2</v>
      </c>
    </row>
    <row r="156" spans="1:13">
      <c r="A156" s="30">
        <f ca="1" t="shared" si="2"/>
        <v>44</v>
      </c>
      <c r="B156" s="30">
        <f ca="1" t="array" ref="B156">INDEX(Data_DBD!$B:$B,$A156)</f>
        <v>28</v>
      </c>
      <c r="C156" s="30">
        <f ca="1" t="array" ref="C156">INDEX(Data_DBD!$C:$C,$A156)</f>
        <v>5</v>
      </c>
      <c r="D156" s="30">
        <f ca="1" t="array" ref="D156">INDEX(Data_DBD!$D:$D,$A156)</f>
        <v>13</v>
      </c>
      <c r="E156" s="30">
        <f ca="1" t="array" ref="E156">INDEX(Data_DBD!$E:$E,$A156)</f>
        <v>1</v>
      </c>
      <c r="F156" s="30">
        <f ca="1" t="array" ref="F156">INDEX(Data_DBD!$F:$F,$A156)</f>
        <v>2</v>
      </c>
      <c r="H156" s="30">
        <v>48</v>
      </c>
      <c r="I156" s="30">
        <v>50</v>
      </c>
      <c r="J156" s="30">
        <v>5</v>
      </c>
      <c r="K156" s="30">
        <v>13</v>
      </c>
      <c r="L156" s="30">
        <v>1</v>
      </c>
      <c r="M156" s="30">
        <v>2</v>
      </c>
    </row>
    <row r="157" spans="1:13">
      <c r="A157" s="30">
        <f ca="1" t="shared" si="2"/>
        <v>35</v>
      </c>
      <c r="B157" s="30">
        <f ca="1" t="array" ref="B157">INDEX(Data_DBD!$B:$B,$A157)</f>
        <v>40</v>
      </c>
      <c r="C157" s="30">
        <f ca="1" t="array" ref="C157">INDEX(Data_DBD!$C:$C,$A157)</f>
        <v>3</v>
      </c>
      <c r="D157" s="30">
        <f ca="1" t="array" ref="D157">INDEX(Data_DBD!$D:$D,$A157)</f>
        <v>4</v>
      </c>
      <c r="E157" s="30">
        <f ca="1" t="array" ref="E157">INDEX(Data_DBD!$E:$E,$A157)</f>
        <v>1</v>
      </c>
      <c r="F157" s="30">
        <f ca="1" t="array" ref="F157">INDEX(Data_DBD!$F:$F,$A157)</f>
        <v>1</v>
      </c>
      <c r="H157" s="30">
        <v>156</v>
      </c>
      <c r="I157" s="30">
        <v>5</v>
      </c>
      <c r="J157" s="30">
        <v>2</v>
      </c>
      <c r="K157" s="30">
        <v>21</v>
      </c>
      <c r="L157" s="30">
        <v>0</v>
      </c>
      <c r="M157" s="30">
        <v>3</v>
      </c>
    </row>
    <row r="158" ht="15.75" spans="1:13">
      <c r="A158" s="30">
        <f ca="1" t="shared" si="2"/>
        <v>86</v>
      </c>
      <c r="B158" s="30">
        <f ca="1" t="array" ref="B158">INDEX(Data_DBD!$B:$B,$A158)</f>
        <v>23</v>
      </c>
      <c r="C158" s="30">
        <f ca="1" t="array" ref="C158">INDEX(Data_DBD!$C:$C,$A158)</f>
        <v>3</v>
      </c>
      <c r="D158" s="30">
        <f ca="1" t="array" ref="D158">INDEX(Data_DBD!$D:$D,$A158)</f>
        <v>13</v>
      </c>
      <c r="E158" s="30">
        <f ca="1" t="array" ref="E158">INDEX(Data_DBD!$E:$E,$A158)</f>
        <v>0</v>
      </c>
      <c r="F158" s="30">
        <f ca="1" t="array" ref="F158">INDEX(Data_DBD!$F:$F,$A158)</f>
        <v>2</v>
      </c>
      <c r="H158" s="30">
        <v>63</v>
      </c>
      <c r="I158" s="30">
        <v>25</v>
      </c>
      <c r="J158" s="30">
        <v>3</v>
      </c>
      <c r="K158" s="30">
        <v>15</v>
      </c>
      <c r="L158" s="38">
        <v>0</v>
      </c>
      <c r="M158" s="30">
        <v>2</v>
      </c>
    </row>
    <row r="159" ht="15.75" spans="1:13">
      <c r="A159" s="30">
        <f ca="1" t="shared" si="2"/>
        <v>24</v>
      </c>
      <c r="B159" s="30">
        <f ca="1" t="array" ref="B159">INDEX(Data_DBD!$B:$B,$A159)</f>
        <v>60</v>
      </c>
      <c r="C159" s="30">
        <f ca="1" t="array" ref="C159">INDEX(Data_DBD!$C:$C,$A159)</f>
        <v>4</v>
      </c>
      <c r="D159" s="30">
        <f ca="1" t="array" ref="D159">INDEX(Data_DBD!$D:$D,$A159)</f>
        <v>14</v>
      </c>
      <c r="E159" s="30">
        <f ca="1" t="array" ref="E159">INDEX(Data_DBD!$E:$E,$A159)</f>
        <v>0</v>
      </c>
      <c r="F159" s="30">
        <f ca="1" t="array" ref="F159">INDEX(Data_DBD!$F:$F,$A159)</f>
        <v>2</v>
      </c>
      <c r="H159" s="30">
        <v>55</v>
      </c>
      <c r="I159" s="30">
        <v>7</v>
      </c>
      <c r="J159" s="30">
        <v>4</v>
      </c>
      <c r="K159" s="30">
        <v>15</v>
      </c>
      <c r="L159" s="39">
        <v>1</v>
      </c>
      <c r="M159" s="30">
        <v>2</v>
      </c>
    </row>
    <row r="160" ht="15.75" spans="1:13">
      <c r="A160" s="30">
        <f ca="1" t="shared" si="2"/>
        <v>72</v>
      </c>
      <c r="B160" s="30">
        <f ca="1" t="array" ref="B160">INDEX(Data_DBD!$B:$B,$A160)</f>
        <v>3</v>
      </c>
      <c r="C160" s="30">
        <f ca="1" t="array" ref="C160">INDEX(Data_DBD!$C:$C,$A160)</f>
        <v>5</v>
      </c>
      <c r="D160" s="30">
        <f ca="1" t="array" ref="D160">INDEX(Data_DBD!$D:$D,$A160)</f>
        <v>10</v>
      </c>
      <c r="E160" s="30">
        <f ca="1" t="array" ref="E160">INDEX(Data_DBD!$E:$E,$A160)</f>
        <v>1</v>
      </c>
      <c r="F160" s="30">
        <f ca="1" t="array" ref="F160">INDEX(Data_DBD!$F:$F,$A160)</f>
        <v>2</v>
      </c>
      <c r="H160" s="30">
        <v>127</v>
      </c>
      <c r="I160" s="30">
        <v>21</v>
      </c>
      <c r="J160" s="30">
        <v>2</v>
      </c>
      <c r="K160" s="30">
        <v>33</v>
      </c>
      <c r="L160" s="40">
        <v>0</v>
      </c>
      <c r="M160" s="30">
        <v>3</v>
      </c>
    </row>
    <row r="161" ht="15.75" spans="1:13">
      <c r="A161" s="30">
        <f ca="1" t="shared" si="2"/>
        <v>11</v>
      </c>
      <c r="B161" s="30">
        <f ca="1" t="array" ref="B161">INDEX(Data_DBD!$B:$B,$A161)</f>
        <v>24</v>
      </c>
      <c r="C161" s="30">
        <f ca="1" t="array" ref="C161">INDEX(Data_DBD!$C:$C,$A161)</f>
        <v>5</v>
      </c>
      <c r="D161" s="30">
        <f ca="1" t="array" ref="D161">INDEX(Data_DBD!$D:$D,$A161)</f>
        <v>12</v>
      </c>
      <c r="E161" s="30">
        <f ca="1" t="array" ref="E161">INDEX(Data_DBD!$E:$E,$A161)</f>
        <v>1</v>
      </c>
      <c r="F161" s="30">
        <f ca="1" t="array" ref="F161">INDEX(Data_DBD!$F:$F,$A161)</f>
        <v>2</v>
      </c>
      <c r="H161" s="30">
        <v>158</v>
      </c>
      <c r="I161" s="30">
        <v>5</v>
      </c>
      <c r="J161" s="30">
        <v>2</v>
      </c>
      <c r="K161" s="30">
        <v>21</v>
      </c>
      <c r="L161" s="40">
        <v>0</v>
      </c>
      <c r="M161" s="30">
        <v>3</v>
      </c>
    </row>
    <row r="162" ht="15.75" spans="1:13">
      <c r="A162" s="30">
        <f ca="1" t="shared" si="2"/>
        <v>106</v>
      </c>
      <c r="B162" s="30">
        <f ca="1" t="array" ref="B162">INDEX(Data_DBD!$B:$B,$A162)</f>
        <v>23</v>
      </c>
      <c r="C162" s="30">
        <f ca="1" t="array" ref="C162">INDEX(Data_DBD!$C:$C,$A162)</f>
        <v>3</v>
      </c>
      <c r="D162" s="30">
        <f ca="1" t="array" ref="D162">INDEX(Data_DBD!$D:$D,$A162)</f>
        <v>18</v>
      </c>
      <c r="E162" s="30">
        <f ca="1" t="array" ref="E162">INDEX(Data_DBD!$E:$E,$A162)</f>
        <v>1</v>
      </c>
      <c r="F162" s="30">
        <f ca="1" t="array" ref="F162">INDEX(Data_DBD!$F:$F,$A162)</f>
        <v>3</v>
      </c>
      <c r="H162" s="30">
        <v>60</v>
      </c>
      <c r="I162" s="30">
        <v>68</v>
      </c>
      <c r="J162" s="30">
        <v>4</v>
      </c>
      <c r="K162" s="30">
        <v>15</v>
      </c>
      <c r="L162" s="39">
        <v>0</v>
      </c>
      <c r="M162" s="30">
        <v>2</v>
      </c>
    </row>
    <row r="163" ht="15.75" spans="1:13">
      <c r="A163" s="30">
        <f ca="1" t="shared" si="2"/>
        <v>109</v>
      </c>
      <c r="B163" s="30">
        <f ca="1" t="array" ref="B163">INDEX(Data_DBD!$B:$B,$A163)</f>
        <v>40</v>
      </c>
      <c r="C163" s="30">
        <f ca="1" t="array" ref="C163">INDEX(Data_DBD!$C:$C,$A163)</f>
        <v>3</v>
      </c>
      <c r="D163" s="30">
        <f ca="1" t="array" ref="D163">INDEX(Data_DBD!$D:$D,$A163)</f>
        <v>33</v>
      </c>
      <c r="E163" s="30">
        <f ca="1" t="array" ref="E163">INDEX(Data_DBD!$E:$E,$A163)</f>
        <v>1</v>
      </c>
      <c r="F163" s="30">
        <f ca="1" t="array" ref="F163">INDEX(Data_DBD!$F:$F,$A163)</f>
        <v>3</v>
      </c>
      <c r="H163" s="30">
        <v>114</v>
      </c>
      <c r="I163" s="30">
        <v>14</v>
      </c>
      <c r="J163" s="30">
        <v>2</v>
      </c>
      <c r="K163" s="30">
        <v>33</v>
      </c>
      <c r="L163" s="40">
        <v>1</v>
      </c>
      <c r="M163" s="30">
        <v>3</v>
      </c>
    </row>
    <row r="164" spans="1:13">
      <c r="A164" s="30">
        <f ca="1" t="shared" si="2"/>
        <v>76</v>
      </c>
      <c r="B164" s="30">
        <f ca="1" t="array" ref="B164">INDEX(Data_DBD!$B:$B,$A164)</f>
        <v>70</v>
      </c>
      <c r="C164" s="30">
        <f ca="1" t="array" ref="C164">INDEX(Data_DBD!$C:$C,$A164)</f>
        <v>2</v>
      </c>
      <c r="D164" s="30">
        <f ca="1" t="array" ref="D164">INDEX(Data_DBD!$D:$D,$A164)</f>
        <v>10</v>
      </c>
      <c r="E164" s="30">
        <f ca="1" t="array" ref="E164">INDEX(Data_DBD!$E:$E,$A164)</f>
        <v>0</v>
      </c>
      <c r="F164" s="30">
        <f ca="1" t="array" ref="F164">INDEX(Data_DBD!$F:$F,$A164)</f>
        <v>2</v>
      </c>
      <c r="H164" s="30">
        <v>158</v>
      </c>
      <c r="I164" s="30">
        <v>5</v>
      </c>
      <c r="J164" s="30">
        <v>2</v>
      </c>
      <c r="K164" s="30">
        <v>21</v>
      </c>
      <c r="L164" s="30">
        <v>0</v>
      </c>
      <c r="M164" s="30">
        <v>3</v>
      </c>
    </row>
    <row r="165" spans="9:12">
      <c r="I165">
        <f>AVERAGE(I2:I164)</f>
        <v>29.9475308641975</v>
      </c>
      <c r="J165">
        <f>AVERAGE(J2:J164)</f>
        <v>3.59509202453988</v>
      </c>
      <c r="K165">
        <f>AVERAGE(K2:K164)</f>
        <v>18.6257668711656</v>
      </c>
      <c r="L165">
        <f>AVERAGE(L2:L164)</f>
        <v>0.503067484662577</v>
      </c>
    </row>
    <row r="166" spans="2:2">
      <c r="B166">
        <v>55</v>
      </c>
    </row>
    <row r="168" spans="5:20">
      <c r="E168" s="35" t="s">
        <v>183</v>
      </c>
      <c r="J168" s="35" t="s">
        <v>184</v>
      </c>
      <c r="O168" s="35" t="s">
        <v>185</v>
      </c>
      <c r="T168" s="35" t="s">
        <v>186</v>
      </c>
    </row>
    <row r="169" spans="5:22">
      <c r="E169" s="30" t="s">
        <v>1</v>
      </c>
      <c r="F169" s="30">
        <f>AVERAGEIF($I$2:$I$164,"&lt;="&amp;$I$165)</f>
        <v>15.4278350515464</v>
      </c>
      <c r="G169" s="30">
        <f>AVERAGEIF($I$2:$I$164,"&gt;"&amp;$I$165)</f>
        <v>51.6153846153846</v>
      </c>
      <c r="J169" s="30" t="s">
        <v>187</v>
      </c>
      <c r="K169" s="30">
        <f>AVERAGEIF($J$2:$J$164,"&lt;="&amp;$J$165)</f>
        <v>2.51724137931034</v>
      </c>
      <c r="L169" s="30">
        <f>AVERAGEIF($J$2:$J$164,"&gt;"&amp;$J$165)</f>
        <v>4.82894736842105</v>
      </c>
      <c r="O169" s="30" t="s">
        <v>188</v>
      </c>
      <c r="P169" s="30">
        <f>AVERAGEIF($K$2:$K$164,"&lt;="&amp;$K$165)</f>
        <v>13.05</v>
      </c>
      <c r="Q169" s="30">
        <f>AVERAGEIF($K$2:$K$164,"&gt;"&amp;$K$165)</f>
        <v>27.4761904761905</v>
      </c>
      <c r="T169" s="30" t="s">
        <v>189</v>
      </c>
      <c r="U169" s="30">
        <f>AVERAGEIF($L$2:$L$164,"&lt;="&amp;$L$165)</f>
        <v>0</v>
      </c>
      <c r="V169" s="30">
        <f>AVERAGEIF($L$2:$L$164,"&gt;"&amp;$L$165)</f>
        <v>1</v>
      </c>
    </row>
    <row r="170" spans="5:22">
      <c r="E170" s="30" t="str">
        <f t="array" ref="E170:E332">IF($I$2:$I$164&lt;$F$169,"kiri",IF($I$2:$I$164&lt;$G$169,"tengah","kanan"))</f>
        <v>kanan</v>
      </c>
      <c r="F170" s="36" t="s">
        <v>207</v>
      </c>
      <c r="G170" s="30"/>
      <c r="J170" s="30" t="str">
        <f t="array" ref="J170:J332">IF($J$2:$J$164&lt;$K$169,"kiri",IF($J$2:$J$164&lt;$L$169,"tengah","kanan"))</f>
        <v>tengah</v>
      </c>
      <c r="K170" s="36" t="s">
        <v>208</v>
      </c>
      <c r="L170" s="30"/>
      <c r="O170" s="30" t="str">
        <f t="array" ref="O170:O332">IF($K$2:$K$164&lt;$P$169,"kiri",IF($K$2:$K$164&lt;$Q$169,"tengah","kanan"))</f>
        <v>kiri</v>
      </c>
      <c r="P170" s="36" t="s">
        <v>220</v>
      </c>
      <c r="Q170" s="30"/>
      <c r="T170" s="30" t="str">
        <f t="array" ref="T170:T332">IF($L$2:$L$164&lt;$U$169,"kiri",IF($L$2:$L$164&lt;$V$169,"tengah","kanan"))</f>
        <v>kanan</v>
      </c>
      <c r="U170" s="30" t="s">
        <v>193</v>
      </c>
      <c r="V170" s="30"/>
    </row>
    <row r="171" spans="5:22">
      <c r="E171" s="30" t="str">
        <v>kiri</v>
      </c>
      <c r="F171" s="30">
        <f>COUNTIFS($E$170:$E$332,"Kanan",$M$2:$M$164,"1")</f>
        <v>2</v>
      </c>
      <c r="G171" s="30">
        <f>F171/30</f>
        <v>0.0666666666666667</v>
      </c>
      <c r="J171" s="30" t="str">
        <v>kiri</v>
      </c>
      <c r="K171" s="30">
        <f t="array" ref="K171">SUMPRODUCT((J170:J332="Kanan")*(M2:M164=1))</f>
        <v>3</v>
      </c>
      <c r="L171" s="30">
        <f>K171/35</f>
        <v>0.0857142857142857</v>
      </c>
      <c r="O171" s="30" t="str">
        <v>kiri</v>
      </c>
      <c r="P171" s="30">
        <f>COUNTIFS($O$170:$O$332,"Kanan",$M$2:$M$164,"1")</f>
        <v>0</v>
      </c>
      <c r="Q171" s="30">
        <f>P171/34</f>
        <v>0</v>
      </c>
      <c r="T171" s="30" t="str">
        <v>tengah</v>
      </c>
      <c r="U171" s="30">
        <f>COUNTIFS($T$170:$T$332,"Kanan",$M$2:$M$164,"1")</f>
        <v>6</v>
      </c>
      <c r="V171" s="30">
        <f>U171/83</f>
        <v>0.072289156626506</v>
      </c>
    </row>
    <row r="172" spans="5:22">
      <c r="E172" s="30" t="str">
        <v>tengah</v>
      </c>
      <c r="F172" s="30">
        <f>COUNTIFS($E$170:$E$332,"Kanan",$M$2:$M$164,"2")</f>
        <v>14</v>
      </c>
      <c r="G172" s="30">
        <f t="shared" ref="G172:G173" si="3">F172/30</f>
        <v>0.466666666666667</v>
      </c>
      <c r="J172" s="30" t="str">
        <v>kanan</v>
      </c>
      <c r="K172" s="30">
        <f>COUNTIFS($J$170:$J$332,"Kanan",$M$2:$M$164,"2")</f>
        <v>11</v>
      </c>
      <c r="L172" s="30">
        <f t="shared" ref="L172:L173" si="4">K172/35</f>
        <v>0.314285714285714</v>
      </c>
      <c r="O172" s="30" t="str">
        <v>tengah</v>
      </c>
      <c r="P172" s="30">
        <f>COUNTIFS($O$170:$O$332,"Kanan",$M$2:$M$164,"2")</f>
        <v>0</v>
      </c>
      <c r="Q172" s="30">
        <f t="shared" ref="Q172:Q173" si="5">P172/34</f>
        <v>0</v>
      </c>
      <c r="T172" s="30" t="str">
        <v>kanan</v>
      </c>
      <c r="U172" s="30">
        <f>COUNTIFS($T$170:$T$332,"Kanan",$M$2:$M$164,"2")</f>
        <v>38</v>
      </c>
      <c r="V172" s="30">
        <f t="shared" ref="V172:V173" si="6">U172/83</f>
        <v>0.457831325301205</v>
      </c>
    </row>
    <row r="173" spans="5:22">
      <c r="E173" s="30" t="str">
        <v>tengah</v>
      </c>
      <c r="F173" s="30">
        <f t="array" ref="F173">SUMPRODUCT((E170:E332="KANAN")*(M2:M164=3))</f>
        <v>14</v>
      </c>
      <c r="G173" s="30">
        <f t="shared" si="3"/>
        <v>0.466666666666667</v>
      </c>
      <c r="J173" s="30" t="str">
        <v>kiri</v>
      </c>
      <c r="K173" s="30">
        <f>COUNTIFS($J$170:$J$332,"Kanan",$M$2:$M$164,"3")</f>
        <v>21</v>
      </c>
      <c r="L173" s="30">
        <f t="shared" si="4"/>
        <v>0.6</v>
      </c>
      <c r="O173" s="30" t="str">
        <v>tengah</v>
      </c>
      <c r="P173" s="30">
        <f>COUNTIFS($O$170:$O$332,"Kanan",$M$2:$M$164,"3")</f>
        <v>34</v>
      </c>
      <c r="Q173" s="30">
        <f t="shared" si="5"/>
        <v>1</v>
      </c>
      <c r="T173" s="30" t="str">
        <v>kanan</v>
      </c>
      <c r="U173" s="30">
        <f>COUNTIFS($T$170:$T$332,"Kanan",$M$2:$M$164,"3")</f>
        <v>38</v>
      </c>
      <c r="V173" s="30">
        <f t="shared" si="6"/>
        <v>0.457831325301205</v>
      </c>
    </row>
    <row r="174" spans="5:22">
      <c r="E174" s="30" t="str">
        <v>kanan</v>
      </c>
      <c r="F174" s="30" t="s">
        <v>194</v>
      </c>
      <c r="G174" s="30">
        <f>-(IFERROR(G171*LOG(G171,2),0)+IFERROR(G172*LOG(G172,2),0)+IFERROR(G173*LOG(G173,2),0))</f>
        <v>1.28669266835475</v>
      </c>
      <c r="J174" s="30" t="str">
        <v>tengah</v>
      </c>
      <c r="K174" s="30" t="s">
        <v>194</v>
      </c>
      <c r="L174" s="30">
        <f>-(IFERROR(L171*LOG(L171,2),0)+IFERROR(L172*LOG(L172,2),0)+IFERROR(L173*LOG(L173,2),0))</f>
        <v>1.27078869735846</v>
      </c>
      <c r="O174" s="30" t="str">
        <v>tengah</v>
      </c>
      <c r="P174" s="30" t="s">
        <v>194</v>
      </c>
      <c r="Q174" s="30">
        <f>-(IFERROR(Q171*LOG(Q171,2),0)+IFERROR(Q172*LOG(Q172,2),0)+IFERROR(Q173*LOG(Q173,2),0))</f>
        <v>0</v>
      </c>
      <c r="T174" s="30" t="str">
        <v>kanan</v>
      </c>
      <c r="U174" s="30" t="s">
        <v>194</v>
      </c>
      <c r="V174" s="30">
        <f>-(IFERROR(V171*LOG(V171,2),0)+IFERROR(V172*LOG(V172,2),0)+IFERROR(V173*LOG(V173,2),0))</f>
        <v>1.30603575113745</v>
      </c>
    </row>
    <row r="175" spans="5:22">
      <c r="E175" s="30" t="str">
        <v>kiri</v>
      </c>
      <c r="F175" s="30"/>
      <c r="G175" s="30">
        <f>SUM(F171:F173)/163</f>
        <v>0.184049079754601</v>
      </c>
      <c r="J175" s="30" t="str">
        <v>kanan</v>
      </c>
      <c r="K175" s="30"/>
      <c r="L175" s="30">
        <f>SUM(K171:K173)/163</f>
        <v>0.214723926380368</v>
      </c>
      <c r="O175" s="30" t="str">
        <v>tengah</v>
      </c>
      <c r="P175" s="30"/>
      <c r="Q175" s="30">
        <f>SUM(P171:P173)/163</f>
        <v>0.208588957055215</v>
      </c>
      <c r="T175" s="30" t="str">
        <v>kanan</v>
      </c>
      <c r="U175" s="30"/>
      <c r="V175" s="30">
        <f>SUM(U171:U173)/163</f>
        <v>0.503067484662577</v>
      </c>
    </row>
    <row r="176" spans="5:22">
      <c r="E176" s="30" t="str">
        <v>tengah</v>
      </c>
      <c r="F176" s="30"/>
      <c r="G176" s="37">
        <f>G174*G175</f>
        <v>0.236814601537685</v>
      </c>
      <c r="J176" s="30" t="str">
        <v>kiri</v>
      </c>
      <c r="K176" s="30"/>
      <c r="L176" s="37">
        <f>L174*L175</f>
        <v>0.272868738696602</v>
      </c>
      <c r="O176" s="30" t="str">
        <v>kiri</v>
      </c>
      <c r="P176" s="30"/>
      <c r="Q176" s="37">
        <f>Q174*Q175</f>
        <v>0</v>
      </c>
      <c r="T176" s="30" t="str">
        <v>tengah</v>
      </c>
      <c r="U176" s="30"/>
      <c r="V176" s="37">
        <f>V174*V175</f>
        <v>0.657024120204116</v>
      </c>
    </row>
    <row r="177" spans="5:22">
      <c r="E177" s="30" t="str">
        <v>kanan</v>
      </c>
      <c r="F177" s="30"/>
      <c r="G177" s="30"/>
      <c r="J177" s="30" t="str">
        <v>tengah</v>
      </c>
      <c r="K177" s="30"/>
      <c r="L177" s="30"/>
      <c r="O177" s="30" t="str">
        <v>kanan</v>
      </c>
      <c r="P177" s="30"/>
      <c r="Q177" s="30"/>
      <c r="T177" s="30" t="str">
        <v>kanan</v>
      </c>
      <c r="U177" s="30"/>
      <c r="V177" s="30"/>
    </row>
    <row r="178" spans="5:22">
      <c r="E178" s="30" t="str">
        <v>tengah</v>
      </c>
      <c r="F178" s="30"/>
      <c r="G178" s="30"/>
      <c r="J178" s="30" t="str">
        <v>kiri</v>
      </c>
      <c r="K178" s="30"/>
      <c r="L178" s="30"/>
      <c r="O178" s="30" t="str">
        <v>tengah</v>
      </c>
      <c r="P178" s="30"/>
      <c r="Q178" s="30"/>
      <c r="T178" s="30" t="str">
        <v>kanan</v>
      </c>
      <c r="U178" s="30"/>
      <c r="V178" s="30"/>
    </row>
    <row r="179" spans="5:22">
      <c r="E179" s="30" t="str">
        <v>tengah</v>
      </c>
      <c r="F179" s="36" t="s">
        <v>210</v>
      </c>
      <c r="G179" s="30"/>
      <c r="J179" s="30" t="str">
        <v>tengah</v>
      </c>
      <c r="K179" s="36" t="s">
        <v>211</v>
      </c>
      <c r="L179" s="30"/>
      <c r="O179" s="30" t="str">
        <v>tengah</v>
      </c>
      <c r="P179" s="36" t="s">
        <v>206</v>
      </c>
      <c r="Q179" s="30"/>
      <c r="T179" s="30" t="str">
        <v>kanan</v>
      </c>
      <c r="U179" s="30" t="s">
        <v>198</v>
      </c>
      <c r="V179" s="30"/>
    </row>
    <row r="180" spans="5:22">
      <c r="E180" s="30" t="str">
        <v>tengah</v>
      </c>
      <c r="F180" s="30">
        <f t="array" ref="F180">SUMPRODUCT((E170:E332="kiri")*(M2:M164=1))</f>
        <v>5</v>
      </c>
      <c r="G180" s="30">
        <f>F180/45</f>
        <v>0.111111111111111</v>
      </c>
      <c r="J180" s="30" t="str">
        <v>tengah</v>
      </c>
      <c r="K180" s="30">
        <f>COUNTIFS($J$170:$J$332,"Kiri",$M$2:$M$164,"1")</f>
        <v>1</v>
      </c>
      <c r="L180" s="30">
        <f>K180/39</f>
        <v>0.0256410256410256</v>
      </c>
      <c r="O180" s="30" t="str">
        <v>kiri</v>
      </c>
      <c r="P180" s="30">
        <f>COUNTIFS($O$170:$O$332,"Kiri",$M$2:$M$164,"1")</f>
        <v>12</v>
      </c>
      <c r="Q180" s="30">
        <f>P180/51</f>
        <v>0.235294117647059</v>
      </c>
      <c r="T180" s="30" t="str">
        <v>kanan</v>
      </c>
      <c r="U180" s="30">
        <f>COUNTIFS($T$170:$T$332,"Kiri",$M$2:$M$164,"1")</f>
        <v>0</v>
      </c>
      <c r="V180" s="30">
        <f>U180/57</f>
        <v>0</v>
      </c>
    </row>
    <row r="181" spans="5:22">
      <c r="E181" s="30" t="str">
        <v>kanan</v>
      </c>
      <c r="F181" s="30">
        <f t="array" ref="F181">SUMPRODUCT((E170:E332="kiri")*(M2:M164=2))</f>
        <v>21</v>
      </c>
      <c r="G181" s="30">
        <f t="shared" ref="G181:G182" si="7">F181/45</f>
        <v>0.466666666666667</v>
      </c>
      <c r="J181" s="30" t="str">
        <v>tengah</v>
      </c>
      <c r="K181" s="30">
        <f>COUNTIFS($J$170:$J$332,"Kiri",$M$2:$M$164,"2")</f>
        <v>16</v>
      </c>
      <c r="L181" s="30">
        <f t="shared" ref="L181:L182" si="8">K181/39</f>
        <v>0.41025641025641</v>
      </c>
      <c r="O181" s="30" t="str">
        <v>tengah</v>
      </c>
      <c r="P181" s="30">
        <f>COUNTIFS($O$170:$O$332,"Kiri",$M$2:$M$164,"2")</f>
        <v>39</v>
      </c>
      <c r="Q181" s="30">
        <f t="shared" ref="Q181:Q182" si="9">P181/51</f>
        <v>0.764705882352941</v>
      </c>
      <c r="T181" s="30" t="str">
        <v>kanan</v>
      </c>
      <c r="U181" s="30">
        <f>COUNTIFS($T$170:$T$332,"Kiri",$M$2:$M$164,"2")</f>
        <v>0</v>
      </c>
      <c r="V181" s="30">
        <f>U181/57</f>
        <v>0</v>
      </c>
    </row>
    <row r="182" spans="5:22">
      <c r="E182" s="30" t="str">
        <v>kiri</v>
      </c>
      <c r="F182" s="30">
        <f t="array" ref="F182">SUMPRODUCT((E170:E332="kiri")*(M2:M164=3))</f>
        <v>19</v>
      </c>
      <c r="G182" s="30">
        <f t="shared" si="7"/>
        <v>0.422222222222222</v>
      </c>
      <c r="J182" s="30" t="str">
        <v>tengah</v>
      </c>
      <c r="K182" s="30">
        <f>COUNTIFS($J$170:$J$332,"Kiri",$M$2:$M$164,"3")</f>
        <v>22</v>
      </c>
      <c r="L182" s="30">
        <f t="shared" si="8"/>
        <v>0.564102564102564</v>
      </c>
      <c r="O182" s="30" t="str">
        <v>tengah</v>
      </c>
      <c r="P182" s="30">
        <f>COUNTIFS($O$170:$O$332,"Kiri",$M$2:$M$164,"3")</f>
        <v>0</v>
      </c>
      <c r="Q182" s="30">
        <f t="shared" si="9"/>
        <v>0</v>
      </c>
      <c r="T182" s="30" t="str">
        <v>tengah</v>
      </c>
      <c r="U182" s="30">
        <f>COUNTIFS($T$170:$T$332,"Kiri",$M$2:$M$164,"3")</f>
        <v>0</v>
      </c>
      <c r="V182" s="30">
        <f>U182/57</f>
        <v>0</v>
      </c>
    </row>
    <row r="183" spans="5:22">
      <c r="E183" s="30" t="str">
        <v>kiri</v>
      </c>
      <c r="F183" s="30" t="s">
        <v>194</v>
      </c>
      <c r="G183" s="30">
        <f>-(IFERROR(G180*LOG(G180,2),0)+IFERROR(G181*LOG(G181,2),0)+IFERROR(G182*LOG(G182,2),0))</f>
        <v>1.39054356059148</v>
      </c>
      <c r="J183" s="30" t="str">
        <v>tengah</v>
      </c>
      <c r="K183" s="30" t="s">
        <v>194</v>
      </c>
      <c r="L183" s="30">
        <f>-(IFERROR(L180*LOG(L180,2),0)+IFERROR(L181*LOG(L181,2),0)+IFERROR(L182*LOG(L182,2),0))</f>
        <v>1.12879976732326</v>
      </c>
      <c r="O183" s="30" t="str">
        <v>kiri</v>
      </c>
      <c r="P183" s="30" t="s">
        <v>194</v>
      </c>
      <c r="Q183" s="30">
        <f>-(IFERROR(Q180*LOG(Q180,2),0)+IFERROR(Q181*LOG(Q181,2),0)+IFERROR(Q182*LOG(Q182,2),0))</f>
        <v>0.787126586201269</v>
      </c>
      <c r="T183" s="30" t="str">
        <v>kanan</v>
      </c>
      <c r="U183" s="30" t="s">
        <v>194</v>
      </c>
      <c r="V183" s="30">
        <f>-(IFERROR(V180*LOG(V180,2),0)+IFERROR(V181*LOG(V181,2),0)+IFERROR(V182*LOG(V182,2),0))</f>
        <v>0</v>
      </c>
    </row>
    <row r="184" spans="5:22">
      <c r="E184" s="30" t="str">
        <v>tengah</v>
      </c>
      <c r="F184" s="30"/>
      <c r="G184" s="30">
        <f>SUM(F180:F182)/163</f>
        <v>0.276073619631902</v>
      </c>
      <c r="J184" s="30" t="str">
        <v>tengah</v>
      </c>
      <c r="K184" s="30"/>
      <c r="L184" s="30">
        <f>SUM(K180:K182)/163</f>
        <v>0.239263803680982</v>
      </c>
      <c r="O184" s="30" t="str">
        <v>tengah</v>
      </c>
      <c r="P184" s="30"/>
      <c r="Q184" s="30">
        <f>SUM(P180:P182)/163</f>
        <v>0.312883435582822</v>
      </c>
      <c r="T184" s="30" t="str">
        <v>kanan</v>
      </c>
      <c r="U184" s="30"/>
      <c r="V184" s="30">
        <f>SUM(U180:U182)/163</f>
        <v>0</v>
      </c>
    </row>
    <row r="185" spans="5:22">
      <c r="E185" s="30" t="str">
        <v>tengah</v>
      </c>
      <c r="F185" s="30"/>
      <c r="G185" s="37">
        <f>G183*G184</f>
        <v>0.383892394028322</v>
      </c>
      <c r="J185" s="30" t="str">
        <v>kanan</v>
      </c>
      <c r="K185" s="30"/>
      <c r="L185" s="37">
        <f>L183*L184</f>
        <v>0.27008092592397</v>
      </c>
      <c r="O185" s="30" t="str">
        <v>tengah</v>
      </c>
      <c r="P185" s="30"/>
      <c r="Q185" s="37">
        <f>Q183*Q184</f>
        <v>0.246278870529231</v>
      </c>
      <c r="T185" s="30" t="str">
        <v>tengah</v>
      </c>
      <c r="U185" s="30"/>
      <c r="V185" s="37">
        <f>V183*V184</f>
        <v>0</v>
      </c>
    </row>
    <row r="186" spans="5:22">
      <c r="E186" s="30" t="str">
        <v>tengah</v>
      </c>
      <c r="F186" s="30"/>
      <c r="G186" s="30"/>
      <c r="J186" s="30" t="str">
        <v>kanan</v>
      </c>
      <c r="K186" s="30"/>
      <c r="L186" s="30"/>
      <c r="O186" s="30" t="str">
        <v>tengah</v>
      </c>
      <c r="P186" s="30"/>
      <c r="Q186" s="30"/>
      <c r="T186" s="30" t="str">
        <v>tengah</v>
      </c>
      <c r="U186" s="30"/>
      <c r="V186" s="30"/>
    </row>
    <row r="187" spans="5:22">
      <c r="E187" s="30" t="str">
        <v>kiri</v>
      </c>
      <c r="F187" s="30"/>
      <c r="G187" s="30"/>
      <c r="J187" s="30" t="str">
        <v>kiri</v>
      </c>
      <c r="K187" s="30"/>
      <c r="L187" s="30"/>
      <c r="O187" s="30" t="str">
        <v>tengah</v>
      </c>
      <c r="P187" s="30"/>
      <c r="Q187" s="30"/>
      <c r="T187" s="30" t="str">
        <v>tengah</v>
      </c>
      <c r="U187" s="30"/>
      <c r="V187" s="30"/>
    </row>
    <row r="188" spans="5:22">
      <c r="E188" s="30" t="str">
        <v>kiri</v>
      </c>
      <c r="F188" s="30" t="s">
        <v>199</v>
      </c>
      <c r="G188" s="30"/>
      <c r="J188" s="30" t="str">
        <v>kiri</v>
      </c>
      <c r="K188" s="30" t="s">
        <v>199</v>
      </c>
      <c r="L188" s="30"/>
      <c r="O188" s="30" t="str">
        <v>kiri</v>
      </c>
      <c r="P188" s="30" t="s">
        <v>199</v>
      </c>
      <c r="Q188" s="30"/>
      <c r="T188" s="30" t="str">
        <v>kanan</v>
      </c>
      <c r="U188" s="30" t="s">
        <v>199</v>
      </c>
      <c r="V188" s="30"/>
    </row>
    <row r="189" spans="5:22">
      <c r="E189" s="30" t="str">
        <v>tengah</v>
      </c>
      <c r="F189" s="30">
        <f t="array" ref="F189">SUMPRODUCT((E170:E332="tengah")*(M2:M164=1))</f>
        <v>5</v>
      </c>
      <c r="G189" s="30">
        <f>F189/88</f>
        <v>0.0568181818181818</v>
      </c>
      <c r="J189" s="30" t="str">
        <v>tengah</v>
      </c>
      <c r="K189" s="30">
        <f>COUNTIFS($J$170:$J$332,"Tengah",$M$2:$M$164,"1")</f>
        <v>8</v>
      </c>
      <c r="L189" s="30">
        <f>K189/89</f>
        <v>0.0898876404494382</v>
      </c>
      <c r="O189" s="30" t="str">
        <v>kiri</v>
      </c>
      <c r="P189" s="30">
        <f>COUNTIFS($O$170:$O$332,"Tengah",$M$2:$M$164,"1")</f>
        <v>0</v>
      </c>
      <c r="Q189" s="30">
        <f>P189/78</f>
        <v>0</v>
      </c>
      <c r="T189" s="30" t="str">
        <v>tengah</v>
      </c>
      <c r="U189" s="30">
        <f>COUNTIFS($T$170:$T$332,"Tengah",$M$2:$M$164,"1")</f>
        <v>6</v>
      </c>
      <c r="V189" s="30">
        <f>U189/82</f>
        <v>0.0731707317073171</v>
      </c>
    </row>
    <row r="190" spans="5:22">
      <c r="E190" s="30" t="str">
        <v>tengah</v>
      </c>
      <c r="F190" s="30">
        <f t="array" ref="F190">SUMPRODUCT((E170:E332="tengah")*(M2:M164=2))</f>
        <v>38</v>
      </c>
      <c r="G190" s="30">
        <f t="shared" ref="G190:G191" si="10">F190/88</f>
        <v>0.431818181818182</v>
      </c>
      <c r="J190" s="30" t="str">
        <v>kiri</v>
      </c>
      <c r="K190" s="30">
        <f>COUNTIFS($J$170:$J$332,"Tengah",$M$2:$M$164,"2")</f>
        <v>46</v>
      </c>
      <c r="L190" s="30">
        <f t="shared" ref="L190:L191" si="11">K190/89</f>
        <v>0.51685393258427</v>
      </c>
      <c r="O190" s="30" t="str">
        <v>tengah</v>
      </c>
      <c r="P190" s="30">
        <f>COUNTIFS($O$170:$O$332,"Tengah",$M$2:$M$164,"2")</f>
        <v>34</v>
      </c>
      <c r="Q190" s="30">
        <f t="shared" ref="Q190:Q191" si="12">P190/78</f>
        <v>0.435897435897436</v>
      </c>
      <c r="T190" s="30" t="str">
        <v>tengah</v>
      </c>
      <c r="U190" s="30">
        <f>COUNTIFS($T$170:$T$332,"Tengah",$M$2:$M$164,"2")</f>
        <v>35</v>
      </c>
      <c r="V190" s="30">
        <f t="shared" ref="V190:V191" si="13">U190/82</f>
        <v>0.426829268292683</v>
      </c>
    </row>
    <row r="191" spans="5:22">
      <c r="E191" s="30" t="str">
        <v>tengah</v>
      </c>
      <c r="F191" s="30">
        <f t="array" ref="F191">SUMPRODUCT((E170:E332="tengah")*(M2:M164=3))</f>
        <v>45</v>
      </c>
      <c r="G191" s="30">
        <f t="shared" si="10"/>
        <v>0.511363636363636</v>
      </c>
      <c r="J191" s="30" t="str">
        <v>kanan</v>
      </c>
      <c r="K191" s="30">
        <f>COUNTIFS($J$170:$J$332,"Tengah",$M$2:$M$164,"3")</f>
        <v>35</v>
      </c>
      <c r="L191" s="30">
        <f t="shared" si="11"/>
        <v>0.393258426966292</v>
      </c>
      <c r="O191" s="30" t="str">
        <v>kiri</v>
      </c>
      <c r="P191" s="30">
        <f>COUNTIFS($O$170:$O$332,"Tengah",$M$2:$M$164,"3")</f>
        <v>44</v>
      </c>
      <c r="Q191" s="30">
        <f t="shared" si="12"/>
        <v>0.564102564102564</v>
      </c>
      <c r="T191" s="30" t="str">
        <v>kanan</v>
      </c>
      <c r="U191" s="30">
        <f>COUNTIFS($T$170:$T$332,"Tengah",$M$2:$M$164,"3")</f>
        <v>40</v>
      </c>
      <c r="V191" s="30">
        <f t="shared" si="13"/>
        <v>0.48780487804878</v>
      </c>
    </row>
    <row r="192" spans="5:22">
      <c r="E192" s="30" t="str">
        <v>kanan</v>
      </c>
      <c r="F192" s="30" t="s">
        <v>194</v>
      </c>
      <c r="G192" s="30">
        <f>-(IFERROR(G189*LOG(G189,2),0)+IFERROR(G190*LOG(G190,2),0)+IFERROR(G191*LOG(G191,2),0))</f>
        <v>1.25301939909038</v>
      </c>
      <c r="J192" s="30" t="str">
        <v>kanan</v>
      </c>
      <c r="K192" s="30" t="s">
        <v>194</v>
      </c>
      <c r="L192" s="30">
        <f>-(IFERROR(L189*LOG(L189,2),0)+IFERROR(L190*LOG(L190,2),0)+IFERROR(L191*LOG(L191,2),0))</f>
        <v>1.33406202004846</v>
      </c>
      <c r="O192" s="30" t="str">
        <v>tengah</v>
      </c>
      <c r="P192" s="30" t="s">
        <v>194</v>
      </c>
      <c r="Q192" s="30">
        <f>-(IFERROR(Q189*LOG(Q189,2),0)+IFERROR(Q190*LOG(Q190,2),0)+IFERROR(Q191*LOG(Q191,2),0))</f>
        <v>0.98811083652183</v>
      </c>
      <c r="T192" s="30" t="str">
        <v>tengah</v>
      </c>
      <c r="U192" s="30" t="s">
        <v>194</v>
      </c>
      <c r="V192" s="30">
        <f>-(IFERROR(V189*LOG(V189,2),0)+IFERROR(V190*LOG(V190,2),0)+IFERROR(V191*LOG(V191,2),0))</f>
        <v>1.30548668269719</v>
      </c>
    </row>
    <row r="193" spans="5:22">
      <c r="E193" s="30" t="str">
        <v>kiri</v>
      </c>
      <c r="F193" s="30"/>
      <c r="G193" s="30">
        <f>SUM(F189:F191)/163</f>
        <v>0.539877300613497</v>
      </c>
      <c r="J193" s="30" t="str">
        <v>kiri</v>
      </c>
      <c r="K193" s="30"/>
      <c r="L193" s="30">
        <f>SUM(K189:K191)/163</f>
        <v>0.54601226993865</v>
      </c>
      <c r="O193" s="30" t="str">
        <v>tengah</v>
      </c>
      <c r="P193" s="30"/>
      <c r="Q193" s="30">
        <f>SUM(P189:P191)/163</f>
        <v>0.478527607361963</v>
      </c>
      <c r="T193" s="30" t="str">
        <v>kanan</v>
      </c>
      <c r="U193" s="30"/>
      <c r="V193" s="30">
        <f>SUM(U189:U191)/163</f>
        <v>0.496932515337423</v>
      </c>
    </row>
    <row r="194" spans="5:22">
      <c r="E194" s="30" t="str">
        <v>kanan</v>
      </c>
      <c r="F194" s="30"/>
      <c r="G194" s="37">
        <f>G192*G193</f>
        <v>0.676476730797262</v>
      </c>
      <c r="J194" s="30" t="str">
        <v>tengah</v>
      </c>
      <c r="K194" s="30"/>
      <c r="L194" s="37">
        <f>L192*L193</f>
        <v>0.728414231805601</v>
      </c>
      <c r="O194" s="30" t="str">
        <v>tengah</v>
      </c>
      <c r="P194" s="30"/>
      <c r="Q194" s="37">
        <f>Q192*Q193</f>
        <v>0.472838314409219</v>
      </c>
      <c r="T194" s="30" t="str">
        <v>tengah</v>
      </c>
      <c r="U194" s="30"/>
      <c r="V194" s="37">
        <f>V192*V193</f>
        <v>0.648738780972223</v>
      </c>
    </row>
    <row r="195" spans="5:22">
      <c r="E195" s="30" t="str">
        <v>tengah</v>
      </c>
      <c r="F195" s="30"/>
      <c r="G195" s="30"/>
      <c r="J195" s="30" t="str">
        <v>tengah</v>
      </c>
      <c r="K195" s="30"/>
      <c r="L195" s="30"/>
      <c r="O195" s="30" t="str">
        <v>kiri</v>
      </c>
      <c r="P195" s="30"/>
      <c r="Q195" s="30"/>
      <c r="T195" s="30" t="str">
        <v>tengah</v>
      </c>
      <c r="U195" s="30"/>
      <c r="V195" s="30"/>
    </row>
    <row r="196" spans="5:22">
      <c r="E196" s="30" t="str">
        <v>kiri</v>
      </c>
      <c r="F196" s="30" t="s">
        <v>200</v>
      </c>
      <c r="G196" s="36" t="s">
        <v>194</v>
      </c>
      <c r="J196" s="30" t="str">
        <v>tengah</v>
      </c>
      <c r="K196" s="30" t="s">
        <v>200</v>
      </c>
      <c r="L196" s="36" t="s">
        <v>194</v>
      </c>
      <c r="O196" s="30" t="str">
        <v>kanan</v>
      </c>
      <c r="P196" s="30" t="s">
        <v>200</v>
      </c>
      <c r="Q196" s="36" t="s">
        <v>194</v>
      </c>
      <c r="T196" s="30" t="str">
        <v>tengah</v>
      </c>
      <c r="U196" s="30" t="s">
        <v>200</v>
      </c>
      <c r="V196" s="36" t="s">
        <v>194</v>
      </c>
    </row>
    <row r="197" spans="5:22">
      <c r="E197" s="30" t="str">
        <v>tengah</v>
      </c>
      <c r="F197" s="41">
        <f>P5-(G176+G185+G194)</f>
        <v>0.00775230591596499</v>
      </c>
      <c r="G197" s="37">
        <f>(G176+G185+G194)</f>
        <v>1.29718372636327</v>
      </c>
      <c r="J197" s="30" t="str">
        <v>tengah</v>
      </c>
      <c r="K197" s="41">
        <f>P5-(L176+L185+L194)</f>
        <v>0.0335721358530605</v>
      </c>
      <c r="L197" s="37">
        <f>(L176+L185+L194)</f>
        <v>1.27136389642617</v>
      </c>
      <c r="O197" s="30" t="str">
        <v>kanan</v>
      </c>
      <c r="P197" s="41">
        <f>P5-(Q176+Q185+Q194)</f>
        <v>0.585818847340783</v>
      </c>
      <c r="Q197" s="37">
        <f>(Q176+Q185+Q194)</f>
        <v>0.719117184938451</v>
      </c>
      <c r="T197" s="30" t="str">
        <v>tengah</v>
      </c>
      <c r="U197" s="41">
        <f>P5-(V176+V185+V194)</f>
        <v>-0.000826868897105371</v>
      </c>
      <c r="V197" s="37">
        <f>(V176+V185+V194)</f>
        <v>1.30576290117634</v>
      </c>
    </row>
    <row r="198" spans="5:22">
      <c r="E198" s="30" t="str">
        <v>tengah</v>
      </c>
      <c r="F198" s="30"/>
      <c r="G198" s="30"/>
      <c r="J198" s="30" t="str">
        <v>kiri</v>
      </c>
      <c r="K198" s="30"/>
      <c r="L198" s="30"/>
      <c r="O198" s="30" t="str">
        <v>kiri</v>
      </c>
      <c r="P198" s="30"/>
      <c r="Q198" s="30"/>
      <c r="T198" s="30" t="str">
        <v>tengah</v>
      </c>
      <c r="U198" s="30"/>
      <c r="V198" s="30"/>
    </row>
    <row r="199" spans="5:22">
      <c r="E199" s="30" t="str">
        <v>tengah</v>
      </c>
      <c r="F199" s="30"/>
      <c r="G199" s="30"/>
      <c r="J199" s="30" t="str">
        <v>tengah</v>
      </c>
      <c r="K199" s="30"/>
      <c r="L199" s="30"/>
      <c r="O199" s="30" t="str">
        <v>kiri</v>
      </c>
      <c r="P199" s="30"/>
      <c r="Q199" s="30"/>
      <c r="T199" s="30" t="str">
        <v>kanan</v>
      </c>
      <c r="U199" s="30"/>
      <c r="V199" s="30"/>
    </row>
    <row r="200" spans="5:22">
      <c r="E200" s="30" t="str">
        <v>kanan</v>
      </c>
      <c r="F200" s="30"/>
      <c r="G200" s="30"/>
      <c r="J200" s="30" t="str">
        <v>tengah</v>
      </c>
      <c r="K200" s="30"/>
      <c r="L200" s="30"/>
      <c r="O200" s="30" t="str">
        <v>tengah</v>
      </c>
      <c r="P200" s="30"/>
      <c r="Q200" s="30"/>
      <c r="T200" s="30" t="str">
        <v>tengah</v>
      </c>
      <c r="U200" s="30"/>
      <c r="V200" s="30"/>
    </row>
    <row r="201" spans="5:22">
      <c r="E201" s="30" t="str">
        <v>kiri</v>
      </c>
      <c r="F201" s="30"/>
      <c r="G201" s="30"/>
      <c r="J201" s="30" t="str">
        <v>kiri</v>
      </c>
      <c r="K201" s="30"/>
      <c r="L201" s="30"/>
      <c r="O201" s="30" t="str">
        <v>kanan</v>
      </c>
      <c r="P201" s="30"/>
      <c r="Q201" s="30"/>
      <c r="T201" s="30" t="str">
        <v>kanan</v>
      </c>
      <c r="U201" s="30"/>
      <c r="V201" s="30"/>
    </row>
    <row r="202" spans="5:22">
      <c r="E202" s="30" t="str">
        <v>tengah</v>
      </c>
      <c r="F202" s="30"/>
      <c r="G202" s="30"/>
      <c r="J202" s="30" t="str">
        <v>tengah</v>
      </c>
      <c r="K202" s="30"/>
      <c r="L202" s="30"/>
      <c r="O202" s="30" t="str">
        <v>kanan</v>
      </c>
      <c r="P202" s="30"/>
      <c r="Q202" s="30"/>
      <c r="T202" s="30" t="str">
        <v>tengah</v>
      </c>
      <c r="U202" s="30"/>
      <c r="V202" s="30"/>
    </row>
    <row r="203" spans="5:22">
      <c r="E203" s="30" t="str">
        <v>kiri</v>
      </c>
      <c r="F203" s="30"/>
      <c r="G203" s="30"/>
      <c r="J203" s="30" t="str">
        <v>tengah</v>
      </c>
      <c r="K203" s="30"/>
      <c r="L203" s="30"/>
      <c r="O203" s="30" t="str">
        <v>kiri</v>
      </c>
      <c r="P203" s="30"/>
      <c r="Q203" s="30"/>
      <c r="T203" s="30" t="str">
        <v>tengah</v>
      </c>
      <c r="U203" s="30"/>
      <c r="V203" s="30"/>
    </row>
    <row r="204" spans="5:22">
      <c r="E204" s="30" t="str">
        <v>tengah</v>
      </c>
      <c r="F204" s="30"/>
      <c r="G204" s="30"/>
      <c r="J204" s="30" t="str">
        <v>kanan</v>
      </c>
      <c r="K204" s="30"/>
      <c r="L204" s="30"/>
      <c r="O204" s="30" t="str">
        <v>kiri</v>
      </c>
      <c r="P204" s="30"/>
      <c r="Q204" s="30"/>
      <c r="T204" s="30" t="str">
        <v>kanan</v>
      </c>
      <c r="U204" s="30"/>
      <c r="V204" s="30"/>
    </row>
    <row r="205" spans="5:22">
      <c r="E205" s="30" t="str">
        <v>kanan</v>
      </c>
      <c r="F205" s="30"/>
      <c r="G205" s="30"/>
      <c r="J205" s="30" t="str">
        <v>kiri</v>
      </c>
      <c r="K205" s="30"/>
      <c r="L205" s="30"/>
      <c r="O205" s="30" t="str">
        <v>kiri</v>
      </c>
      <c r="P205" s="30"/>
      <c r="Q205" s="30"/>
      <c r="T205" s="30" t="str">
        <v>tengah</v>
      </c>
      <c r="U205" s="30"/>
      <c r="V205" s="30"/>
    </row>
    <row r="206" spans="5:22">
      <c r="E206" s="30" t="str">
        <v>tengah</v>
      </c>
      <c r="F206" s="30"/>
      <c r="G206" s="30"/>
      <c r="J206" s="30" t="str">
        <v>tengah</v>
      </c>
      <c r="K206" s="30"/>
      <c r="L206" s="30"/>
      <c r="O206" s="30" t="str">
        <v>kanan</v>
      </c>
      <c r="P206" s="30"/>
      <c r="Q206" s="30"/>
      <c r="T206" s="30" t="str">
        <v>tengah</v>
      </c>
      <c r="U206" s="30"/>
      <c r="V206" s="30"/>
    </row>
    <row r="207" spans="5:22">
      <c r="E207" s="30" t="str">
        <v>tengah</v>
      </c>
      <c r="F207" s="30"/>
      <c r="G207" s="30"/>
      <c r="J207" s="30" t="str">
        <v>tengah</v>
      </c>
      <c r="K207" s="30"/>
      <c r="L207" s="30"/>
      <c r="O207" s="30" t="str">
        <v>kiri</v>
      </c>
      <c r="P207" s="30"/>
      <c r="Q207" s="30"/>
      <c r="T207" s="30" t="str">
        <v>kanan</v>
      </c>
      <c r="U207" s="30"/>
      <c r="V207" s="30"/>
    </row>
    <row r="208" spans="5:22">
      <c r="E208" s="30" t="str">
        <v>tengah</v>
      </c>
      <c r="F208" s="30"/>
      <c r="G208" s="30"/>
      <c r="J208" s="30" t="str">
        <v>tengah</v>
      </c>
      <c r="K208" s="30"/>
      <c r="L208" s="30"/>
      <c r="O208" s="30" t="str">
        <v>kanan</v>
      </c>
      <c r="P208" s="30"/>
      <c r="Q208" s="30"/>
      <c r="T208" s="30" t="str">
        <v>tengah</v>
      </c>
      <c r="U208" s="30"/>
      <c r="V208" s="30"/>
    </row>
    <row r="209" spans="5:22">
      <c r="E209" s="30" t="str">
        <v>kanan</v>
      </c>
      <c r="F209" s="30"/>
      <c r="G209" s="30"/>
      <c r="J209" s="30" t="str">
        <v>tengah</v>
      </c>
      <c r="K209" s="30"/>
      <c r="L209" s="30"/>
      <c r="O209" s="30" t="str">
        <v>tengah</v>
      </c>
      <c r="P209" s="30"/>
      <c r="Q209" s="30"/>
      <c r="T209" s="30" t="str">
        <v>kanan</v>
      </c>
      <c r="U209" s="30"/>
      <c r="V209" s="30"/>
    </row>
    <row r="210" spans="5:22">
      <c r="E210" s="30" t="str">
        <v>kanan</v>
      </c>
      <c r="F210" s="30"/>
      <c r="G210" s="30"/>
      <c r="J210" s="30" t="str">
        <v>kanan</v>
      </c>
      <c r="K210" s="30"/>
      <c r="L210" s="30"/>
      <c r="O210" s="30" t="str">
        <v>tengah</v>
      </c>
      <c r="P210" s="30"/>
      <c r="Q210" s="30"/>
      <c r="T210" s="30" t="str">
        <v>kanan</v>
      </c>
      <c r="U210" s="30"/>
      <c r="V210" s="30"/>
    </row>
    <row r="211" spans="5:22">
      <c r="E211" s="30" t="str">
        <v>kiri</v>
      </c>
      <c r="F211" s="30"/>
      <c r="G211" s="30"/>
      <c r="J211" s="30" t="str">
        <v>tengah</v>
      </c>
      <c r="K211" s="30"/>
      <c r="L211" s="30"/>
      <c r="O211" s="30" t="str">
        <v>kanan</v>
      </c>
      <c r="P211" s="30"/>
      <c r="Q211" s="30"/>
      <c r="T211" s="30" t="str">
        <v>tengah</v>
      </c>
      <c r="U211" s="30"/>
      <c r="V211" s="30"/>
    </row>
    <row r="212" spans="5:22">
      <c r="E212" s="30" t="str">
        <v>kiri</v>
      </c>
      <c r="F212" s="30"/>
      <c r="G212" s="30"/>
      <c r="J212" s="30" t="str">
        <v>kiri</v>
      </c>
      <c r="K212" s="30"/>
      <c r="L212" s="30"/>
      <c r="O212" s="30" t="str">
        <v>kanan</v>
      </c>
      <c r="P212" s="30"/>
      <c r="Q212" s="30"/>
      <c r="T212" s="30" t="str">
        <v>tengah</v>
      </c>
      <c r="U212" s="30"/>
      <c r="V212" s="30"/>
    </row>
    <row r="213" spans="5:22">
      <c r="E213" s="30" t="str">
        <v>tengah</v>
      </c>
      <c r="F213" s="30"/>
      <c r="G213" s="30"/>
      <c r="J213" s="30" t="str">
        <v>tengah</v>
      </c>
      <c r="K213" s="30"/>
      <c r="L213" s="30"/>
      <c r="O213" s="30" t="str">
        <v>kanan</v>
      </c>
      <c r="P213" s="30"/>
      <c r="Q213" s="30"/>
      <c r="T213" s="30" t="str">
        <v>kanan</v>
      </c>
      <c r="U213" s="30"/>
      <c r="V213" s="30"/>
    </row>
    <row r="214" spans="5:22">
      <c r="E214" s="30" t="str">
        <v>kiri</v>
      </c>
      <c r="F214" s="30"/>
      <c r="G214" s="30"/>
      <c r="J214" s="30" t="str">
        <v>tengah</v>
      </c>
      <c r="K214" s="30"/>
      <c r="L214" s="30"/>
      <c r="O214" s="30" t="str">
        <v>tengah</v>
      </c>
      <c r="P214" s="30"/>
      <c r="Q214" s="30"/>
      <c r="T214" s="30" t="str">
        <v>tengah</v>
      </c>
      <c r="U214" s="30"/>
      <c r="V214" s="30"/>
    </row>
    <row r="215" spans="5:22">
      <c r="E215" s="30" t="str">
        <v>tengah</v>
      </c>
      <c r="F215" s="30"/>
      <c r="G215" s="30"/>
      <c r="J215" s="30" t="str">
        <v>tengah</v>
      </c>
      <c r="K215" s="30"/>
      <c r="L215" s="30"/>
      <c r="O215" s="30" t="str">
        <v>kiri</v>
      </c>
      <c r="P215" s="30"/>
      <c r="Q215" s="30"/>
      <c r="T215" s="30" t="str">
        <v>kanan</v>
      </c>
      <c r="U215" s="30"/>
      <c r="V215" s="30"/>
    </row>
    <row r="216" spans="5:22">
      <c r="E216" s="30" t="str">
        <v>tengah</v>
      </c>
      <c r="F216" s="30"/>
      <c r="G216" s="30"/>
      <c r="J216" s="30" t="str">
        <v>tengah</v>
      </c>
      <c r="K216" s="30"/>
      <c r="L216" s="30"/>
      <c r="O216" s="30" t="str">
        <v>tengah</v>
      </c>
      <c r="P216" s="30"/>
      <c r="Q216" s="30"/>
      <c r="T216" s="30" t="str">
        <v>kanan</v>
      </c>
      <c r="U216" s="30"/>
      <c r="V216" s="30"/>
    </row>
    <row r="217" spans="5:22">
      <c r="E217" s="30" t="str">
        <v>kanan</v>
      </c>
      <c r="F217" s="30"/>
      <c r="G217" s="30"/>
      <c r="J217" s="30" t="str">
        <v>kanan</v>
      </c>
      <c r="K217" s="30"/>
      <c r="L217" s="30"/>
      <c r="O217" s="30" t="str">
        <v>tengah</v>
      </c>
      <c r="P217" s="30"/>
      <c r="Q217" s="30"/>
      <c r="T217" s="30" t="str">
        <v>kanan</v>
      </c>
      <c r="U217" s="30"/>
      <c r="V217" s="30"/>
    </row>
    <row r="218" spans="5:22">
      <c r="E218" s="30" t="str">
        <v>tengah</v>
      </c>
      <c r="F218" s="30"/>
      <c r="G218" s="30"/>
      <c r="J218" s="30" t="str">
        <v>kiri</v>
      </c>
      <c r="K218" s="30"/>
      <c r="L218" s="30"/>
      <c r="O218" s="30" t="str">
        <v>tengah</v>
      </c>
      <c r="P218" s="30"/>
      <c r="Q218" s="30"/>
      <c r="T218" s="30" t="str">
        <v>kanan</v>
      </c>
      <c r="U218" s="30"/>
      <c r="V218" s="30"/>
    </row>
    <row r="219" spans="5:22">
      <c r="E219" s="30" t="str">
        <v>tengah</v>
      </c>
      <c r="F219" s="30"/>
      <c r="G219" s="30"/>
      <c r="J219" s="30" t="str">
        <v>kanan</v>
      </c>
      <c r="K219" s="30"/>
      <c r="L219" s="30"/>
      <c r="O219" s="30" t="str">
        <v>tengah</v>
      </c>
      <c r="P219" s="30"/>
      <c r="Q219" s="30"/>
      <c r="T219" s="30" t="str">
        <v>tengah</v>
      </c>
      <c r="U219" s="30"/>
      <c r="V219" s="30"/>
    </row>
    <row r="220" spans="5:22">
      <c r="E220" s="30" t="str">
        <v>tengah</v>
      </c>
      <c r="F220" s="30"/>
      <c r="G220" s="30"/>
      <c r="J220" s="30" t="str">
        <v>tengah</v>
      </c>
      <c r="K220" s="30"/>
      <c r="L220" s="30"/>
      <c r="O220" s="30" t="str">
        <v>kanan</v>
      </c>
      <c r="P220" s="30"/>
      <c r="Q220" s="30"/>
      <c r="T220" s="30" t="str">
        <v>kanan</v>
      </c>
      <c r="U220" s="30"/>
      <c r="V220" s="30"/>
    </row>
    <row r="221" spans="5:22">
      <c r="E221" s="30" t="str">
        <v>kiri</v>
      </c>
      <c r="F221" s="30"/>
      <c r="G221" s="30"/>
      <c r="J221" s="30" t="str">
        <v>tengah</v>
      </c>
      <c r="K221" s="30"/>
      <c r="L221" s="30"/>
      <c r="O221" s="30" t="str">
        <v>kiri</v>
      </c>
      <c r="P221" s="30"/>
      <c r="Q221" s="30"/>
      <c r="T221" s="30" t="str">
        <v>tengah</v>
      </c>
      <c r="U221" s="30"/>
      <c r="V221" s="30"/>
    </row>
    <row r="222" spans="5:22">
      <c r="E222" s="30" t="str">
        <v>tengah</v>
      </c>
      <c r="F222" s="30"/>
      <c r="G222" s="30"/>
      <c r="J222" s="30" t="str">
        <v>kanan</v>
      </c>
      <c r="K222" s="30"/>
      <c r="L222" s="30"/>
      <c r="O222" s="30" t="str">
        <v>tengah</v>
      </c>
      <c r="P222" s="30"/>
      <c r="Q222" s="30"/>
      <c r="T222" s="30" t="str">
        <v>kanan</v>
      </c>
      <c r="U222" s="30"/>
      <c r="V222" s="30"/>
    </row>
    <row r="223" spans="5:22">
      <c r="E223" s="30" t="str">
        <v>tengah</v>
      </c>
      <c r="F223" s="30"/>
      <c r="G223" s="30"/>
      <c r="J223" s="30" t="str">
        <v>kiri</v>
      </c>
      <c r="K223" s="30"/>
      <c r="L223" s="30"/>
      <c r="O223" s="30" t="str">
        <v>kiri</v>
      </c>
      <c r="P223" s="30"/>
      <c r="Q223" s="30"/>
      <c r="T223" s="30" t="str">
        <v>tengah</v>
      </c>
      <c r="U223" s="30"/>
      <c r="V223" s="30"/>
    </row>
    <row r="224" spans="5:22">
      <c r="E224" s="30" t="str">
        <v>kanan</v>
      </c>
      <c r="F224" s="30"/>
      <c r="G224" s="30"/>
      <c r="J224" s="30" t="str">
        <v>kanan</v>
      </c>
      <c r="K224" s="30"/>
      <c r="L224" s="30"/>
      <c r="O224" s="30" t="str">
        <v>tengah</v>
      </c>
      <c r="P224" s="30"/>
      <c r="Q224" s="30"/>
      <c r="T224" s="30" t="str">
        <v>kanan</v>
      </c>
      <c r="U224" s="30"/>
      <c r="V224" s="30"/>
    </row>
    <row r="225" spans="5:22">
      <c r="E225" s="30" t="str">
        <v>tengah</v>
      </c>
      <c r="F225" s="30"/>
      <c r="G225" s="30"/>
      <c r="J225" s="30" t="str">
        <v>kiri</v>
      </c>
      <c r="K225" s="30"/>
      <c r="L225" s="30"/>
      <c r="O225" s="30" t="str">
        <v>tengah</v>
      </c>
      <c r="P225" s="30"/>
      <c r="Q225" s="30"/>
      <c r="T225" s="30" t="str">
        <v>kanan</v>
      </c>
      <c r="U225" s="30"/>
      <c r="V225" s="30"/>
    </row>
    <row r="226" spans="5:22">
      <c r="E226" s="30" t="str">
        <v>tengah</v>
      </c>
      <c r="F226" s="30"/>
      <c r="G226" s="30"/>
      <c r="J226" s="30" t="str">
        <v>tengah</v>
      </c>
      <c r="K226" s="30"/>
      <c r="L226" s="30"/>
      <c r="O226" s="30" t="str">
        <v>tengah</v>
      </c>
      <c r="P226" s="30"/>
      <c r="Q226" s="30"/>
      <c r="T226" s="30" t="str">
        <v>tengah</v>
      </c>
      <c r="U226" s="30"/>
      <c r="V226" s="30"/>
    </row>
    <row r="227" spans="5:22">
      <c r="E227" s="30" t="str">
        <v>tengah</v>
      </c>
      <c r="F227" s="30"/>
      <c r="G227" s="30"/>
      <c r="J227" s="30" t="str">
        <v>tengah</v>
      </c>
      <c r="K227" s="30"/>
      <c r="L227" s="30"/>
      <c r="O227" s="30" t="str">
        <v>kiri</v>
      </c>
      <c r="P227" s="30"/>
      <c r="Q227" s="30"/>
      <c r="T227" s="30" t="str">
        <v>tengah</v>
      </c>
      <c r="U227" s="30"/>
      <c r="V227" s="30"/>
    </row>
    <row r="228" spans="5:22">
      <c r="E228" s="30" t="str">
        <v>tengah</v>
      </c>
      <c r="F228" s="30"/>
      <c r="G228" s="30"/>
      <c r="J228" s="30" t="str">
        <v>tengah</v>
      </c>
      <c r="K228" s="30"/>
      <c r="L228" s="30"/>
      <c r="O228" s="30" t="str">
        <v>kiri</v>
      </c>
      <c r="P228" s="30"/>
      <c r="Q228" s="30"/>
      <c r="T228" s="30" t="str">
        <v>kanan</v>
      </c>
      <c r="U228" s="30"/>
      <c r="V228" s="30"/>
    </row>
    <row r="229" spans="5:22">
      <c r="E229" s="30" t="str">
        <v>tengah</v>
      </c>
      <c r="F229" s="30"/>
      <c r="G229" s="30"/>
      <c r="J229" s="30" t="str">
        <v>kanan</v>
      </c>
      <c r="K229" s="30"/>
      <c r="L229" s="30"/>
      <c r="O229" s="30" t="str">
        <v>tengah</v>
      </c>
      <c r="P229" s="30"/>
      <c r="Q229" s="30"/>
      <c r="T229" s="30" t="str">
        <v>tengah</v>
      </c>
      <c r="U229" s="30"/>
      <c r="V229" s="30"/>
    </row>
    <row r="230" spans="5:22">
      <c r="E230" s="30" t="str">
        <v>tengah</v>
      </c>
      <c r="F230" s="30"/>
      <c r="G230" s="30"/>
      <c r="J230" s="30" t="str">
        <v>tengah</v>
      </c>
      <c r="K230" s="30"/>
      <c r="L230" s="30"/>
      <c r="O230" s="30" t="str">
        <v>kiri</v>
      </c>
      <c r="P230" s="30"/>
      <c r="Q230" s="30"/>
      <c r="T230" s="30" t="str">
        <v>tengah</v>
      </c>
      <c r="U230" s="30"/>
      <c r="V230" s="30"/>
    </row>
    <row r="231" spans="5:22">
      <c r="E231" s="30" t="str">
        <v>kanan</v>
      </c>
      <c r="F231" s="30"/>
      <c r="G231" s="30"/>
      <c r="J231" s="30" t="str">
        <v>tengah</v>
      </c>
      <c r="K231" s="30"/>
      <c r="L231" s="30"/>
      <c r="O231" s="30" t="str">
        <v>tengah</v>
      </c>
      <c r="P231" s="30"/>
      <c r="Q231" s="30"/>
      <c r="T231" s="30" t="str">
        <v>kanan</v>
      </c>
      <c r="U231" s="30"/>
      <c r="V231" s="30"/>
    </row>
    <row r="232" spans="5:22">
      <c r="E232" s="30" t="str">
        <v>tengah</v>
      </c>
      <c r="F232" s="30"/>
      <c r="G232" s="30"/>
      <c r="J232" s="30" t="str">
        <v>tengah</v>
      </c>
      <c r="K232" s="30"/>
      <c r="L232" s="30"/>
      <c r="O232" s="30" t="str">
        <v>kiri</v>
      </c>
      <c r="P232" s="30"/>
      <c r="Q232" s="30"/>
      <c r="T232" s="30" t="str">
        <v>kanan</v>
      </c>
      <c r="U232" s="30"/>
      <c r="V232" s="30"/>
    </row>
    <row r="233" spans="5:22">
      <c r="E233" s="30" t="str">
        <v>tengah</v>
      </c>
      <c r="F233" s="30"/>
      <c r="G233" s="30"/>
      <c r="J233" s="30" t="str">
        <v>tengah</v>
      </c>
      <c r="K233" s="30"/>
      <c r="L233" s="30"/>
      <c r="O233" s="30" t="str">
        <v>tengah</v>
      </c>
      <c r="P233" s="30"/>
      <c r="Q233" s="30"/>
      <c r="T233" s="30" t="str">
        <v>kanan</v>
      </c>
      <c r="U233" s="30"/>
      <c r="V233" s="30"/>
    </row>
    <row r="234" spans="5:22">
      <c r="E234" s="30" t="str">
        <v>tengah</v>
      </c>
      <c r="F234" s="30"/>
      <c r="G234" s="30"/>
      <c r="J234" s="30" t="str">
        <v>kanan</v>
      </c>
      <c r="K234" s="30"/>
      <c r="L234" s="30"/>
      <c r="O234" s="30" t="str">
        <v>tengah</v>
      </c>
      <c r="P234" s="30"/>
      <c r="Q234" s="30"/>
      <c r="T234" s="30" t="str">
        <v>kanan</v>
      </c>
      <c r="U234" s="30"/>
      <c r="V234" s="30"/>
    </row>
    <row r="235" spans="5:22">
      <c r="E235" s="30" t="str">
        <v>kiri</v>
      </c>
      <c r="F235" s="30"/>
      <c r="G235" s="30"/>
      <c r="J235" s="30" t="str">
        <v>kiri</v>
      </c>
      <c r="K235" s="30"/>
      <c r="L235" s="30"/>
      <c r="O235" s="30" t="str">
        <v>tengah</v>
      </c>
      <c r="P235" s="30"/>
      <c r="Q235" s="30"/>
      <c r="T235" s="30" t="str">
        <v>kanan</v>
      </c>
      <c r="U235" s="30"/>
      <c r="V235" s="30"/>
    </row>
    <row r="236" spans="5:22">
      <c r="E236" s="30" t="str">
        <v>tengah</v>
      </c>
      <c r="F236" s="30"/>
      <c r="G236" s="30"/>
      <c r="J236" s="30" t="str">
        <v>tengah</v>
      </c>
      <c r="K236" s="30"/>
      <c r="L236" s="30"/>
      <c r="O236" s="30" t="str">
        <v>tengah</v>
      </c>
      <c r="P236" s="30"/>
      <c r="Q236" s="30"/>
      <c r="T236" s="30" t="str">
        <v>kanan</v>
      </c>
      <c r="U236" s="30"/>
      <c r="V236" s="30"/>
    </row>
    <row r="237" spans="5:22">
      <c r="E237" s="30" t="str">
        <v>tengah</v>
      </c>
      <c r="F237" s="30"/>
      <c r="G237" s="30"/>
      <c r="J237" s="30" t="str">
        <v>tengah</v>
      </c>
      <c r="K237" s="30"/>
      <c r="L237" s="30"/>
      <c r="O237" s="30" t="str">
        <v>kiri</v>
      </c>
      <c r="P237" s="30"/>
      <c r="Q237" s="30"/>
      <c r="T237" s="30" t="str">
        <v>kanan</v>
      </c>
      <c r="U237" s="30"/>
      <c r="V237" s="30"/>
    </row>
    <row r="238" spans="5:22">
      <c r="E238" s="30" t="str">
        <v>kanan</v>
      </c>
      <c r="F238" s="30"/>
      <c r="G238" s="30"/>
      <c r="J238" s="30" t="str">
        <v>tengah</v>
      </c>
      <c r="K238" s="30"/>
      <c r="L238" s="30"/>
      <c r="O238" s="30" t="str">
        <v>tengah</v>
      </c>
      <c r="P238" s="30"/>
      <c r="Q238" s="30"/>
      <c r="T238" s="30" t="str">
        <v>tengah</v>
      </c>
      <c r="U238" s="30"/>
      <c r="V238" s="30"/>
    </row>
    <row r="239" spans="5:22">
      <c r="E239" s="30" t="str">
        <v>tengah</v>
      </c>
      <c r="F239" s="30"/>
      <c r="G239" s="30"/>
      <c r="J239" s="30" t="str">
        <v>kanan</v>
      </c>
      <c r="K239" s="30"/>
      <c r="L239" s="30"/>
      <c r="O239" s="30" t="str">
        <v>kiri</v>
      </c>
      <c r="P239" s="30"/>
      <c r="Q239" s="30"/>
      <c r="T239" s="30" t="str">
        <v>tengah</v>
      </c>
      <c r="U239" s="30"/>
      <c r="V239" s="30"/>
    </row>
    <row r="240" spans="5:22">
      <c r="E240" s="30" t="str">
        <v>kanan</v>
      </c>
      <c r="F240" s="30"/>
      <c r="G240" s="30"/>
      <c r="J240" s="30" t="str">
        <v>kanan</v>
      </c>
      <c r="K240" s="30"/>
      <c r="L240" s="30"/>
      <c r="O240" s="30" t="str">
        <v>kanan</v>
      </c>
      <c r="P240" s="30"/>
      <c r="Q240" s="30"/>
      <c r="T240" s="30" t="str">
        <v>kanan</v>
      </c>
      <c r="U240" s="30"/>
      <c r="V240" s="30"/>
    </row>
    <row r="241" spans="5:22">
      <c r="E241" s="30" t="str">
        <v>kanan</v>
      </c>
      <c r="F241" s="30"/>
      <c r="G241" s="30"/>
      <c r="J241" s="30" t="str">
        <v>tengah</v>
      </c>
      <c r="K241" s="30"/>
      <c r="L241" s="30"/>
      <c r="O241" s="30" t="str">
        <v>tengah</v>
      </c>
      <c r="P241" s="30"/>
      <c r="Q241" s="30"/>
      <c r="T241" s="30" t="str">
        <v>kanan</v>
      </c>
      <c r="U241" s="30"/>
      <c r="V241" s="30"/>
    </row>
    <row r="242" spans="5:22">
      <c r="E242" s="30" t="str">
        <v>kanan</v>
      </c>
      <c r="F242" s="30"/>
      <c r="G242" s="30"/>
      <c r="J242" s="30" t="str">
        <v>kiri</v>
      </c>
      <c r="K242" s="30"/>
      <c r="L242" s="30"/>
      <c r="O242" s="30" t="str">
        <v>tengah</v>
      </c>
      <c r="P242" s="30"/>
      <c r="Q242" s="30"/>
      <c r="T242" s="30" t="str">
        <v>kanan</v>
      </c>
      <c r="U242" s="30"/>
      <c r="V242" s="30"/>
    </row>
    <row r="243" spans="5:22">
      <c r="E243" s="30" t="str">
        <v>kiri</v>
      </c>
      <c r="F243" s="30"/>
      <c r="G243" s="30"/>
      <c r="J243" s="30" t="str">
        <v>tengah</v>
      </c>
      <c r="K243" s="30"/>
      <c r="L243" s="30"/>
      <c r="O243" s="30" t="str">
        <v>kiri</v>
      </c>
      <c r="P243" s="30"/>
      <c r="Q243" s="30"/>
      <c r="T243" s="30" t="str">
        <v>tengah</v>
      </c>
      <c r="U243" s="30"/>
      <c r="V243" s="30"/>
    </row>
    <row r="244" spans="5:22">
      <c r="E244" s="30" t="str">
        <v>tengah</v>
      </c>
      <c r="F244" s="30"/>
      <c r="G244" s="30"/>
      <c r="J244" s="30" t="str">
        <v>tengah</v>
      </c>
      <c r="K244" s="30"/>
      <c r="L244" s="30"/>
      <c r="O244" s="30" t="str">
        <v>tengah</v>
      </c>
      <c r="P244" s="30"/>
      <c r="Q244" s="30"/>
      <c r="T244" s="30" t="str">
        <v>kanan</v>
      </c>
      <c r="U244" s="30"/>
      <c r="V244" s="30"/>
    </row>
    <row r="245" spans="5:22">
      <c r="E245" s="30" t="str">
        <v>kiri</v>
      </c>
      <c r="F245" s="30"/>
      <c r="G245" s="30"/>
      <c r="J245" s="30" t="str">
        <v>kanan</v>
      </c>
      <c r="K245" s="30"/>
      <c r="L245" s="30"/>
      <c r="O245" s="30" t="str">
        <v>kiri</v>
      </c>
      <c r="P245" s="30"/>
      <c r="Q245" s="30"/>
      <c r="T245" s="30" t="str">
        <v>tengah</v>
      </c>
      <c r="U245" s="30"/>
      <c r="V245" s="30"/>
    </row>
    <row r="246" spans="5:22">
      <c r="E246" s="30" t="str">
        <v>kiri</v>
      </c>
      <c r="F246" s="30"/>
      <c r="G246" s="30"/>
      <c r="J246" s="30" t="str">
        <v>kiri</v>
      </c>
      <c r="K246" s="30"/>
      <c r="L246" s="30"/>
      <c r="O246" s="30" t="str">
        <v>tengah</v>
      </c>
      <c r="P246" s="30"/>
      <c r="Q246" s="30"/>
      <c r="T246" s="30" t="str">
        <v>kanan</v>
      </c>
      <c r="U246" s="30"/>
      <c r="V246" s="30"/>
    </row>
    <row r="247" spans="5:22">
      <c r="E247" s="30" t="str">
        <v>tengah</v>
      </c>
      <c r="F247" s="30"/>
      <c r="G247" s="30"/>
      <c r="J247" s="30" t="str">
        <v>tengah</v>
      </c>
      <c r="K247" s="30"/>
      <c r="L247" s="30"/>
      <c r="O247" s="30" t="str">
        <v>kiri</v>
      </c>
      <c r="P247" s="30"/>
      <c r="Q247" s="30"/>
      <c r="T247" s="30" t="str">
        <v>kanan</v>
      </c>
      <c r="U247" s="30"/>
      <c r="V247" s="30"/>
    </row>
    <row r="248" spans="5:22">
      <c r="E248" s="30" t="str">
        <v>tengah</v>
      </c>
      <c r="F248" s="30"/>
      <c r="G248" s="30"/>
      <c r="J248" s="30" t="str">
        <v>kanan</v>
      </c>
      <c r="K248" s="30"/>
      <c r="L248" s="30"/>
      <c r="O248" s="30" t="str">
        <v>tengah</v>
      </c>
      <c r="P248" s="30"/>
      <c r="Q248" s="30"/>
      <c r="T248" s="30" t="str">
        <v>tengah</v>
      </c>
      <c r="U248" s="30"/>
      <c r="V248" s="30"/>
    </row>
    <row r="249" spans="5:22">
      <c r="E249" s="30" t="str">
        <v>kiri</v>
      </c>
      <c r="F249" s="30"/>
      <c r="G249" s="30"/>
      <c r="J249" s="30" t="str">
        <v>tengah</v>
      </c>
      <c r="K249" s="30"/>
      <c r="L249" s="30"/>
      <c r="O249" s="30" t="str">
        <v>tengah</v>
      </c>
      <c r="P249" s="30"/>
      <c r="Q249" s="30"/>
      <c r="T249" s="30" t="str">
        <v>tengah</v>
      </c>
      <c r="U249" s="30"/>
      <c r="V249" s="30"/>
    </row>
    <row r="250" spans="5:22">
      <c r="E250" s="30" t="str">
        <v>tengah</v>
      </c>
      <c r="F250" s="30"/>
      <c r="G250" s="30"/>
      <c r="J250" s="30" t="str">
        <v>tengah</v>
      </c>
      <c r="K250" s="30"/>
      <c r="L250" s="30"/>
      <c r="O250" s="30" t="str">
        <v>kiri</v>
      </c>
      <c r="P250" s="30"/>
      <c r="Q250" s="30"/>
      <c r="T250" s="30" t="str">
        <v>tengah</v>
      </c>
      <c r="U250" s="30"/>
      <c r="V250" s="30"/>
    </row>
    <row r="251" spans="5:22">
      <c r="E251" s="30" t="str">
        <v>tengah</v>
      </c>
      <c r="F251" s="30"/>
      <c r="G251" s="30"/>
      <c r="J251" s="30" t="str">
        <v>kiri</v>
      </c>
      <c r="K251" s="30"/>
      <c r="L251" s="30"/>
      <c r="O251" s="30" t="str">
        <v>tengah</v>
      </c>
      <c r="P251" s="30"/>
      <c r="Q251" s="30"/>
      <c r="T251" s="30" t="str">
        <v>tengah</v>
      </c>
      <c r="U251" s="30"/>
      <c r="V251" s="30"/>
    </row>
    <row r="252" spans="5:22">
      <c r="E252" s="30" t="str">
        <v>kiri</v>
      </c>
      <c r="F252" s="30"/>
      <c r="G252" s="30"/>
      <c r="J252" s="30" t="str">
        <v>tengah</v>
      </c>
      <c r="K252" s="30"/>
      <c r="L252" s="30"/>
      <c r="O252" s="30" t="str">
        <v>kiri</v>
      </c>
      <c r="P252" s="30"/>
      <c r="Q252" s="30"/>
      <c r="T252" s="30" t="str">
        <v>tengah</v>
      </c>
      <c r="U252" s="30"/>
      <c r="V252" s="30"/>
    </row>
    <row r="253" spans="5:22">
      <c r="E253" s="30" t="str">
        <v>tengah</v>
      </c>
      <c r="F253" s="30"/>
      <c r="G253" s="30"/>
      <c r="J253" s="30" t="str">
        <v>kanan</v>
      </c>
      <c r="K253" s="30"/>
      <c r="L253" s="30"/>
      <c r="O253" s="30" t="str">
        <v>tengah</v>
      </c>
      <c r="P253" s="30"/>
      <c r="Q253" s="30"/>
      <c r="T253" s="30" t="str">
        <v>kanan</v>
      </c>
      <c r="U253" s="30"/>
      <c r="V253" s="30"/>
    </row>
    <row r="254" spans="5:22">
      <c r="E254" s="30" t="str">
        <v>kanan</v>
      </c>
      <c r="F254" s="30"/>
      <c r="G254" s="30"/>
      <c r="J254" s="30" t="str">
        <v>tengah</v>
      </c>
      <c r="K254" s="30"/>
      <c r="L254" s="30"/>
      <c r="O254" s="30" t="str">
        <v>tengah</v>
      </c>
      <c r="P254" s="30"/>
      <c r="Q254" s="30"/>
      <c r="T254" s="30" t="str">
        <v>tengah</v>
      </c>
      <c r="U254" s="30"/>
      <c r="V254" s="30"/>
    </row>
    <row r="255" spans="5:22">
      <c r="E255" s="30" t="str">
        <v>tengah</v>
      </c>
      <c r="F255" s="30"/>
      <c r="G255" s="30"/>
      <c r="J255" s="30" t="str">
        <v>tengah</v>
      </c>
      <c r="K255" s="30"/>
      <c r="L255" s="30"/>
      <c r="O255" s="30" t="str">
        <v>kanan</v>
      </c>
      <c r="P255" s="30"/>
      <c r="Q255" s="30"/>
      <c r="T255" s="30" t="str">
        <v>kanan</v>
      </c>
      <c r="U255" s="30"/>
      <c r="V255" s="30"/>
    </row>
    <row r="256" spans="5:22">
      <c r="E256" s="30" t="str">
        <v>tengah</v>
      </c>
      <c r="F256" s="30"/>
      <c r="G256" s="30"/>
      <c r="J256" s="30" t="str">
        <v>tengah</v>
      </c>
      <c r="K256" s="30"/>
      <c r="L256" s="30"/>
      <c r="O256" s="30" t="str">
        <v>tengah</v>
      </c>
      <c r="P256" s="30"/>
      <c r="Q256" s="30"/>
      <c r="T256" s="30" t="str">
        <v>kanan</v>
      </c>
      <c r="U256" s="30"/>
      <c r="V256" s="30"/>
    </row>
    <row r="257" spans="5:22">
      <c r="E257" s="30" t="str">
        <v>kanan</v>
      </c>
      <c r="F257" s="30"/>
      <c r="G257" s="30"/>
      <c r="J257" s="30" t="str">
        <v>tengah</v>
      </c>
      <c r="K257" s="30"/>
      <c r="L257" s="30"/>
      <c r="O257" s="30" t="str">
        <v>kiri</v>
      </c>
      <c r="P257" s="30"/>
      <c r="Q257" s="30"/>
      <c r="T257" s="30" t="str">
        <v>kanan</v>
      </c>
      <c r="U257" s="30"/>
      <c r="V257" s="30"/>
    </row>
    <row r="258" spans="5:22">
      <c r="E258" s="30" t="str">
        <v>kanan</v>
      </c>
      <c r="F258" s="30"/>
      <c r="G258" s="30"/>
      <c r="J258" s="30" t="str">
        <v>tengah</v>
      </c>
      <c r="K258" s="30"/>
      <c r="L258" s="30"/>
      <c r="O258" s="30" t="str">
        <v>tengah</v>
      </c>
      <c r="P258" s="30"/>
      <c r="Q258" s="30"/>
      <c r="T258" s="30" t="str">
        <v>tengah</v>
      </c>
      <c r="U258" s="30"/>
      <c r="V258" s="30"/>
    </row>
    <row r="259" spans="5:22">
      <c r="E259" s="30" t="str">
        <v>tengah</v>
      </c>
      <c r="F259" s="30"/>
      <c r="G259" s="30"/>
      <c r="J259" s="30" t="str">
        <v>kiri</v>
      </c>
      <c r="K259" s="30"/>
      <c r="L259" s="30"/>
      <c r="O259" s="30" t="str">
        <v>tengah</v>
      </c>
      <c r="P259" s="30"/>
      <c r="Q259" s="30"/>
      <c r="T259" s="30" t="str">
        <v>kanan</v>
      </c>
      <c r="U259" s="30"/>
      <c r="V259" s="30"/>
    </row>
    <row r="260" spans="5:22">
      <c r="E260" s="30" t="str">
        <v>tengah</v>
      </c>
      <c r="F260" s="30"/>
      <c r="G260" s="30"/>
      <c r="J260" s="30" t="str">
        <v>tengah</v>
      </c>
      <c r="K260" s="30"/>
      <c r="L260" s="30"/>
      <c r="O260" s="30" t="str">
        <v>tengah</v>
      </c>
      <c r="P260" s="30"/>
      <c r="Q260" s="30"/>
      <c r="T260" s="30" t="str">
        <v>tengah</v>
      </c>
      <c r="U260" s="30"/>
      <c r="V260" s="30"/>
    </row>
    <row r="261" spans="5:22">
      <c r="E261" s="30" t="str">
        <v>kiri</v>
      </c>
      <c r="F261" s="30"/>
      <c r="G261" s="30"/>
      <c r="J261" s="30" t="str">
        <v>kiri</v>
      </c>
      <c r="K261" s="30"/>
      <c r="L261" s="30"/>
      <c r="O261" s="30" t="str">
        <v>kanan</v>
      </c>
      <c r="P261" s="30"/>
      <c r="Q261" s="30"/>
      <c r="T261" s="30" t="str">
        <v>tengah</v>
      </c>
      <c r="U261" s="30"/>
      <c r="V261" s="30"/>
    </row>
    <row r="262" spans="5:22">
      <c r="E262" s="30" t="str">
        <v>kanan</v>
      </c>
      <c r="F262" s="30"/>
      <c r="G262" s="30"/>
      <c r="J262" s="30" t="str">
        <v>tengah</v>
      </c>
      <c r="K262" s="30"/>
      <c r="L262" s="30"/>
      <c r="O262" s="30" t="str">
        <v>kanan</v>
      </c>
      <c r="P262" s="30"/>
      <c r="Q262" s="30"/>
      <c r="T262" s="30" t="str">
        <v>kanan</v>
      </c>
      <c r="U262" s="30"/>
      <c r="V262" s="30"/>
    </row>
    <row r="263" spans="5:22">
      <c r="E263" s="30" t="str">
        <v>tengah</v>
      </c>
      <c r="F263" s="30"/>
      <c r="G263" s="30"/>
      <c r="J263" s="30" t="str">
        <v>tengah</v>
      </c>
      <c r="K263" s="30"/>
      <c r="L263" s="30"/>
      <c r="O263" s="30" t="str">
        <v>kanan</v>
      </c>
      <c r="P263" s="30"/>
      <c r="Q263" s="30"/>
      <c r="T263" s="30" t="str">
        <v>tengah</v>
      </c>
      <c r="U263" s="30"/>
      <c r="V263" s="30"/>
    </row>
    <row r="264" spans="5:22">
      <c r="E264" s="30" t="str">
        <v>tengah</v>
      </c>
      <c r="F264" s="30"/>
      <c r="G264" s="30"/>
      <c r="J264" s="30" t="str">
        <v>tengah</v>
      </c>
      <c r="K264" s="30"/>
      <c r="L264" s="30"/>
      <c r="O264" s="30" t="str">
        <v>kanan</v>
      </c>
      <c r="P264" s="30"/>
      <c r="Q264" s="30"/>
      <c r="T264" s="30" t="str">
        <v>tengah</v>
      </c>
      <c r="U264" s="30"/>
      <c r="V264" s="30"/>
    </row>
    <row r="265" spans="5:22">
      <c r="E265" s="30" t="str">
        <v>tengah</v>
      </c>
      <c r="F265" s="30"/>
      <c r="G265" s="30"/>
      <c r="J265" s="30" t="str">
        <v>tengah</v>
      </c>
      <c r="K265" s="30"/>
      <c r="L265" s="30"/>
      <c r="O265" s="30" t="str">
        <v>tengah</v>
      </c>
      <c r="P265" s="30"/>
      <c r="Q265" s="30"/>
      <c r="T265" s="30" t="str">
        <v>tengah</v>
      </c>
      <c r="U265" s="30"/>
      <c r="V265" s="30"/>
    </row>
    <row r="266" spans="5:22">
      <c r="E266" s="30" t="str">
        <v>tengah</v>
      </c>
      <c r="F266" s="30"/>
      <c r="G266" s="30"/>
      <c r="J266" s="30" t="str">
        <v>kanan</v>
      </c>
      <c r="K266" s="30"/>
      <c r="L266" s="30"/>
      <c r="O266" s="30" t="str">
        <v>kiri</v>
      </c>
      <c r="P266" s="30"/>
      <c r="Q266" s="30"/>
      <c r="T266" s="30" t="str">
        <v>kanan</v>
      </c>
      <c r="U266" s="30"/>
      <c r="V266" s="30"/>
    </row>
    <row r="267" spans="5:22">
      <c r="E267" s="30" t="str">
        <v>kanan</v>
      </c>
      <c r="F267" s="30"/>
      <c r="G267" s="30"/>
      <c r="J267" s="30" t="str">
        <v>kiri</v>
      </c>
      <c r="K267" s="30"/>
      <c r="L267" s="30"/>
      <c r="O267" s="30" t="str">
        <v>kiri</v>
      </c>
      <c r="P267" s="30"/>
      <c r="Q267" s="30"/>
      <c r="T267" s="30" t="str">
        <v>tengah</v>
      </c>
      <c r="U267" s="30"/>
      <c r="V267" s="30"/>
    </row>
    <row r="268" spans="5:22">
      <c r="E268" s="30" t="str">
        <v>kanan</v>
      </c>
      <c r="F268" s="30"/>
      <c r="G268" s="30"/>
      <c r="J268" s="30" t="str">
        <v>kanan</v>
      </c>
      <c r="K268" s="30"/>
      <c r="L268" s="30"/>
      <c r="O268" s="30" t="str">
        <v>tengah</v>
      </c>
      <c r="P268" s="30"/>
      <c r="Q268" s="30"/>
      <c r="T268" s="30" t="str">
        <v>kanan</v>
      </c>
      <c r="U268" s="30"/>
      <c r="V268" s="30"/>
    </row>
    <row r="269" spans="5:22">
      <c r="E269" s="30" t="str">
        <v>tengah</v>
      </c>
      <c r="F269" s="30"/>
      <c r="G269" s="30"/>
      <c r="J269" s="30" t="str">
        <v>tengah</v>
      </c>
      <c r="K269" s="30"/>
      <c r="L269" s="30"/>
      <c r="O269" s="30" t="str">
        <v>kiri</v>
      </c>
      <c r="P269" s="30"/>
      <c r="Q269" s="30"/>
      <c r="T269" s="30" t="str">
        <v>tengah</v>
      </c>
      <c r="U269" s="30"/>
      <c r="V269" s="30"/>
    </row>
    <row r="270" spans="5:22">
      <c r="E270" s="30" t="str">
        <v>tengah</v>
      </c>
      <c r="F270" s="30"/>
      <c r="G270" s="30"/>
      <c r="J270" s="30" t="str">
        <v>tengah</v>
      </c>
      <c r="K270" s="30"/>
      <c r="L270" s="30"/>
      <c r="O270" s="30" t="str">
        <v>tengah</v>
      </c>
      <c r="P270" s="30"/>
      <c r="Q270" s="30"/>
      <c r="T270" s="30" t="str">
        <v>kanan</v>
      </c>
      <c r="U270" s="30"/>
      <c r="V270" s="30"/>
    </row>
    <row r="271" spans="5:22">
      <c r="E271" s="30" t="str">
        <v>kiri</v>
      </c>
      <c r="F271" s="30"/>
      <c r="G271" s="30"/>
      <c r="J271" s="30" t="str">
        <v>tengah</v>
      </c>
      <c r="K271" s="30"/>
      <c r="L271" s="30"/>
      <c r="O271" s="30" t="str">
        <v>kiri</v>
      </c>
      <c r="P271" s="30"/>
      <c r="Q271" s="30"/>
      <c r="T271" s="30" t="str">
        <v>tengah</v>
      </c>
      <c r="U271" s="30"/>
      <c r="V271" s="30"/>
    </row>
    <row r="272" spans="5:22">
      <c r="E272" s="30" t="str">
        <v>tengah</v>
      </c>
      <c r="F272" s="30"/>
      <c r="G272" s="30"/>
      <c r="J272" s="30" t="str">
        <v>tengah</v>
      </c>
      <c r="K272" s="30"/>
      <c r="L272" s="30"/>
      <c r="O272" s="30" t="str">
        <v>tengah</v>
      </c>
      <c r="P272" s="30"/>
      <c r="Q272" s="30"/>
      <c r="T272" s="30" t="str">
        <v>kanan</v>
      </c>
      <c r="U272" s="30"/>
      <c r="V272" s="30"/>
    </row>
    <row r="273" spans="5:22">
      <c r="E273" s="30" t="str">
        <v>tengah</v>
      </c>
      <c r="F273" s="30"/>
      <c r="G273" s="30"/>
      <c r="J273" s="30" t="str">
        <v>tengah</v>
      </c>
      <c r="K273" s="30"/>
      <c r="L273" s="30"/>
      <c r="O273" s="30" t="str">
        <v>tengah</v>
      </c>
      <c r="P273" s="30"/>
      <c r="Q273" s="30"/>
      <c r="T273" s="30" t="str">
        <v>kanan</v>
      </c>
      <c r="U273" s="30"/>
      <c r="V273" s="30"/>
    </row>
    <row r="274" spans="5:22">
      <c r="E274" s="30" t="str">
        <v>tengah</v>
      </c>
      <c r="F274" s="30"/>
      <c r="G274" s="30"/>
      <c r="J274" s="30" t="str">
        <v>kiri</v>
      </c>
      <c r="K274" s="30"/>
      <c r="L274" s="30"/>
      <c r="O274" s="30" t="str">
        <v>kiri</v>
      </c>
      <c r="P274" s="30"/>
      <c r="Q274" s="30"/>
      <c r="T274" s="30" t="str">
        <v>kanan</v>
      </c>
      <c r="U274" s="30"/>
      <c r="V274" s="30"/>
    </row>
    <row r="275" spans="5:22">
      <c r="E275" s="30" t="str">
        <v>tengah</v>
      </c>
      <c r="F275" s="30"/>
      <c r="G275" s="30"/>
      <c r="J275" s="30" t="str">
        <v>tengah</v>
      </c>
      <c r="K275" s="30"/>
      <c r="L275" s="30"/>
      <c r="O275" s="30" t="str">
        <v>tengah</v>
      </c>
      <c r="P275" s="30"/>
      <c r="Q275" s="30"/>
      <c r="T275" s="30" t="str">
        <v>tengah</v>
      </c>
      <c r="U275" s="30"/>
      <c r="V275" s="30"/>
    </row>
    <row r="276" spans="5:22">
      <c r="E276" s="30" t="str">
        <v>kiri</v>
      </c>
      <c r="F276" s="30"/>
      <c r="G276" s="30"/>
      <c r="J276" s="30" t="str">
        <v>kiri</v>
      </c>
      <c r="K276" s="30"/>
      <c r="L276" s="30"/>
      <c r="O276" s="30" t="str">
        <v>tengah</v>
      </c>
      <c r="P276" s="30"/>
      <c r="Q276" s="30"/>
      <c r="T276" s="30" t="str">
        <v>kanan</v>
      </c>
      <c r="U276" s="30"/>
      <c r="V276" s="30"/>
    </row>
    <row r="277" spans="5:22">
      <c r="E277" s="30" t="str">
        <v>tengah</v>
      </c>
      <c r="F277" s="30"/>
      <c r="G277" s="30"/>
      <c r="J277" s="30" t="str">
        <v>tengah</v>
      </c>
      <c r="K277" s="30"/>
      <c r="L277" s="30"/>
      <c r="O277" s="30" t="str">
        <v>kiri</v>
      </c>
      <c r="P277" s="30"/>
      <c r="Q277" s="30"/>
      <c r="T277" s="30" t="str">
        <v>kanan</v>
      </c>
      <c r="U277" s="30"/>
      <c r="V277" s="30"/>
    </row>
    <row r="278" spans="5:22">
      <c r="E278" s="30" t="str">
        <v>kiri</v>
      </c>
      <c r="F278" s="30"/>
      <c r="G278" s="30"/>
      <c r="J278" s="30" t="str">
        <v>tengah</v>
      </c>
      <c r="K278" s="30"/>
      <c r="L278" s="30"/>
      <c r="O278" s="30" t="str">
        <v>kanan</v>
      </c>
      <c r="P278" s="30"/>
      <c r="Q278" s="30"/>
      <c r="T278" s="30" t="str">
        <v>tengah</v>
      </c>
      <c r="U278" s="30"/>
      <c r="V278" s="30"/>
    </row>
    <row r="279" spans="5:22">
      <c r="E279" s="30" t="str">
        <v>kiri</v>
      </c>
      <c r="F279" s="30"/>
      <c r="G279" s="30"/>
      <c r="J279" s="30" t="str">
        <v>kanan</v>
      </c>
      <c r="K279" s="30"/>
      <c r="L279" s="30"/>
      <c r="O279" s="30" t="str">
        <v>kiri</v>
      </c>
      <c r="P279" s="30"/>
      <c r="Q279" s="30"/>
      <c r="T279" s="30" t="str">
        <v>tengah</v>
      </c>
      <c r="U279" s="30"/>
      <c r="V279" s="30"/>
    </row>
    <row r="280" spans="5:22">
      <c r="E280" s="30" t="str">
        <v>kiri</v>
      </c>
      <c r="F280" s="30"/>
      <c r="G280" s="30"/>
      <c r="J280" s="30" t="str">
        <v>kiri</v>
      </c>
      <c r="K280" s="30"/>
      <c r="L280" s="30"/>
      <c r="O280" s="30" t="str">
        <v>tengah</v>
      </c>
      <c r="P280" s="30"/>
      <c r="Q280" s="30"/>
      <c r="T280" s="30" t="str">
        <v>kanan</v>
      </c>
      <c r="U280" s="30"/>
      <c r="V280" s="30"/>
    </row>
    <row r="281" spans="5:22">
      <c r="E281" s="30" t="str">
        <v>tengah</v>
      </c>
      <c r="F281" s="30"/>
      <c r="G281" s="30"/>
      <c r="J281" s="30" t="str">
        <v>kiri</v>
      </c>
      <c r="K281" s="30"/>
      <c r="L281" s="30"/>
      <c r="O281" s="30" t="str">
        <v>tengah</v>
      </c>
      <c r="P281" s="30"/>
      <c r="Q281" s="30"/>
      <c r="T281" s="30" t="str">
        <v>tengah</v>
      </c>
      <c r="U281" s="30"/>
      <c r="V281" s="30"/>
    </row>
    <row r="282" spans="5:22">
      <c r="E282" s="30" t="str">
        <v>kiri</v>
      </c>
      <c r="F282" s="30"/>
      <c r="G282" s="30"/>
      <c r="J282" s="30" t="str">
        <v>tengah</v>
      </c>
      <c r="K282" s="30"/>
      <c r="L282" s="30"/>
      <c r="O282" s="30" t="str">
        <v>kiri</v>
      </c>
      <c r="P282" s="30"/>
      <c r="Q282" s="30"/>
      <c r="T282" s="30" t="str">
        <v>tengah</v>
      </c>
      <c r="U282" s="30"/>
      <c r="V282" s="30"/>
    </row>
    <row r="283" spans="5:22">
      <c r="E283" s="30" t="str">
        <v>kanan</v>
      </c>
      <c r="F283" s="30"/>
      <c r="G283" s="30"/>
      <c r="J283" s="30" t="str">
        <v>tengah</v>
      </c>
      <c r="K283" s="30"/>
      <c r="L283" s="30"/>
      <c r="O283" s="30" t="str">
        <v>tengah</v>
      </c>
      <c r="P283" s="30"/>
      <c r="Q283" s="30"/>
      <c r="T283" s="30" t="str">
        <v>kanan</v>
      </c>
      <c r="U283" s="30"/>
      <c r="V283" s="30"/>
    </row>
    <row r="284" spans="5:22">
      <c r="E284" s="30" t="str">
        <v>tengah</v>
      </c>
      <c r="F284" s="30"/>
      <c r="G284" s="30"/>
      <c r="J284" s="30" t="str">
        <v>tengah</v>
      </c>
      <c r="K284" s="30"/>
      <c r="L284" s="30"/>
      <c r="O284" s="30" t="str">
        <v>kanan</v>
      </c>
      <c r="P284" s="30"/>
      <c r="Q284" s="30"/>
      <c r="T284" s="30" t="str">
        <v>tengah</v>
      </c>
      <c r="U284" s="30"/>
      <c r="V284" s="30"/>
    </row>
    <row r="285" spans="5:22">
      <c r="E285" s="30" t="str">
        <v>tengah</v>
      </c>
      <c r="F285" s="30"/>
      <c r="G285" s="30"/>
      <c r="J285" s="30" t="str">
        <v>kiri</v>
      </c>
      <c r="K285" s="30"/>
      <c r="L285" s="30"/>
      <c r="O285" s="30" t="str">
        <v>kanan</v>
      </c>
      <c r="P285" s="30"/>
      <c r="Q285" s="30"/>
      <c r="T285" s="30" t="str">
        <v>tengah</v>
      </c>
      <c r="U285" s="30"/>
      <c r="V285" s="30"/>
    </row>
    <row r="286" spans="5:22">
      <c r="E286" s="30" t="str">
        <v>kanan</v>
      </c>
      <c r="F286" s="30"/>
      <c r="G286" s="30"/>
      <c r="J286" s="30" t="str">
        <v>kanan</v>
      </c>
      <c r="K286" s="30"/>
      <c r="L286" s="30"/>
      <c r="O286" s="30" t="str">
        <v>tengah</v>
      </c>
      <c r="P286" s="30"/>
      <c r="Q286" s="30"/>
      <c r="T286" s="30" t="str">
        <v>kanan</v>
      </c>
      <c r="U286" s="30"/>
      <c r="V286" s="30"/>
    </row>
    <row r="287" spans="5:22">
      <c r="E287" s="30" t="str">
        <v>kiri</v>
      </c>
      <c r="F287" s="30"/>
      <c r="G287" s="30"/>
      <c r="J287" s="30" t="str">
        <v>kanan</v>
      </c>
      <c r="K287" s="30"/>
      <c r="L287" s="30"/>
      <c r="O287" s="30" t="str">
        <v>kiri</v>
      </c>
      <c r="P287" s="30"/>
      <c r="Q287" s="30"/>
      <c r="T287" s="30" t="str">
        <v>tengah</v>
      </c>
      <c r="U287" s="30"/>
      <c r="V287" s="30"/>
    </row>
    <row r="288" spans="5:22">
      <c r="E288" s="30" t="str">
        <v>tengah</v>
      </c>
      <c r="F288" s="30"/>
      <c r="G288" s="30"/>
      <c r="J288" s="30" t="str">
        <v>kiri</v>
      </c>
      <c r="K288" s="30"/>
      <c r="L288" s="30"/>
      <c r="O288" s="30" t="str">
        <v>kiri</v>
      </c>
      <c r="P288" s="30"/>
      <c r="Q288" s="30"/>
      <c r="T288" s="30" t="str">
        <v>kanan</v>
      </c>
      <c r="U288" s="30"/>
      <c r="V288" s="30"/>
    </row>
    <row r="289" spans="5:22">
      <c r="E289" s="30" t="str">
        <v>tengah</v>
      </c>
      <c r="F289" s="30"/>
      <c r="G289" s="30"/>
      <c r="J289" s="30" t="str">
        <v>tengah</v>
      </c>
      <c r="K289" s="30"/>
      <c r="L289" s="30"/>
      <c r="O289" s="30" t="str">
        <v>kanan</v>
      </c>
      <c r="P289" s="30"/>
      <c r="Q289" s="30"/>
      <c r="T289" s="30" t="str">
        <v>kanan</v>
      </c>
      <c r="U289" s="30"/>
      <c r="V289" s="30"/>
    </row>
    <row r="290" spans="5:22">
      <c r="E290" s="30" t="str">
        <v>kiri</v>
      </c>
      <c r="F290" s="30"/>
      <c r="G290" s="30"/>
      <c r="J290" s="30" t="str">
        <v>tengah</v>
      </c>
      <c r="K290" s="30"/>
      <c r="L290" s="30"/>
      <c r="O290" s="30" t="str">
        <v>tengah</v>
      </c>
      <c r="P290" s="30"/>
      <c r="Q290" s="30"/>
      <c r="T290" s="30" t="str">
        <v>kanan</v>
      </c>
      <c r="U290" s="30"/>
      <c r="V290" s="30"/>
    </row>
    <row r="291" spans="5:22">
      <c r="E291" s="30" t="str">
        <v>kanan</v>
      </c>
      <c r="F291" s="30"/>
      <c r="G291" s="30"/>
      <c r="J291" s="30" t="str">
        <v>tengah</v>
      </c>
      <c r="K291" s="30"/>
      <c r="L291" s="30"/>
      <c r="O291" s="30" t="str">
        <v>kiri</v>
      </c>
      <c r="P291" s="30"/>
      <c r="Q291" s="30"/>
      <c r="T291" s="30" t="str">
        <v>kanan</v>
      </c>
      <c r="U291" s="30"/>
      <c r="V291" s="30"/>
    </row>
    <row r="292" spans="5:22">
      <c r="E292" s="30" t="str">
        <v>kiri</v>
      </c>
      <c r="F292" s="30"/>
      <c r="G292" s="30"/>
      <c r="J292" s="30" t="str">
        <v>kiri</v>
      </c>
      <c r="K292" s="30"/>
      <c r="L292" s="30"/>
      <c r="O292" s="30" t="str">
        <v>kiri</v>
      </c>
      <c r="P292" s="30"/>
      <c r="Q292" s="30"/>
      <c r="T292" s="30" t="str">
        <v>kanan</v>
      </c>
      <c r="U292" s="30"/>
      <c r="V292" s="30"/>
    </row>
    <row r="293" spans="5:22">
      <c r="E293" s="30" t="str">
        <v>tengah</v>
      </c>
      <c r="F293" s="30"/>
      <c r="G293" s="30"/>
      <c r="J293" s="30" t="str">
        <v>kiri</v>
      </c>
      <c r="K293" s="30"/>
      <c r="L293" s="30"/>
      <c r="O293" s="30" t="str">
        <v>tengah</v>
      </c>
      <c r="P293" s="30"/>
      <c r="Q293" s="30"/>
      <c r="T293" s="30" t="str">
        <v>tengah</v>
      </c>
      <c r="U293" s="30"/>
      <c r="V293" s="30"/>
    </row>
    <row r="294" spans="5:22">
      <c r="E294" s="30" t="str">
        <v>kiri</v>
      </c>
      <c r="F294" s="30"/>
      <c r="G294" s="30"/>
      <c r="J294" s="30" t="str">
        <v>kanan</v>
      </c>
      <c r="K294" s="30"/>
      <c r="L294" s="30"/>
      <c r="O294" s="30" t="str">
        <v>kiri</v>
      </c>
      <c r="P294" s="30"/>
      <c r="Q294" s="30"/>
      <c r="T294" s="30" t="str">
        <v>kanan</v>
      </c>
      <c r="U294" s="30"/>
      <c r="V294" s="30"/>
    </row>
    <row r="295" spans="5:22">
      <c r="E295" s="30" t="str">
        <v>kanan</v>
      </c>
      <c r="F295" s="30"/>
      <c r="G295" s="30"/>
      <c r="J295" s="30" t="str">
        <v>kiri</v>
      </c>
      <c r="K295" s="30"/>
      <c r="L295" s="30"/>
      <c r="O295" s="30" t="str">
        <v>kanan</v>
      </c>
      <c r="P295" s="30"/>
      <c r="Q295" s="30"/>
      <c r="T295" s="30" t="str">
        <v>kanan</v>
      </c>
      <c r="U295" s="30"/>
      <c r="V295" s="30"/>
    </row>
    <row r="296" spans="5:22">
      <c r="E296" s="30" t="str">
        <v>tengah</v>
      </c>
      <c r="F296" s="30"/>
      <c r="G296" s="30"/>
      <c r="J296" s="30" t="str">
        <v>kanan</v>
      </c>
      <c r="K296" s="30"/>
      <c r="L296" s="30"/>
      <c r="O296" s="30" t="str">
        <v>tengah</v>
      </c>
      <c r="P296" s="30"/>
      <c r="Q296" s="30"/>
      <c r="T296" s="30" t="str">
        <v>kanan</v>
      </c>
      <c r="U296" s="30"/>
      <c r="V296" s="30"/>
    </row>
    <row r="297" spans="5:22">
      <c r="E297" s="30" t="str">
        <v>tengah</v>
      </c>
      <c r="F297" s="30"/>
      <c r="G297" s="30"/>
      <c r="J297" s="30" t="str">
        <v>kanan</v>
      </c>
      <c r="K297" s="30"/>
      <c r="L297" s="30"/>
      <c r="O297" s="30" t="str">
        <v>kanan</v>
      </c>
      <c r="P297" s="30"/>
      <c r="Q297" s="30"/>
      <c r="T297" s="30" t="str">
        <v>tengah</v>
      </c>
      <c r="U297" s="30"/>
      <c r="V297" s="30"/>
    </row>
    <row r="298" spans="5:22">
      <c r="E298" s="30" t="str">
        <v>tengah</v>
      </c>
      <c r="F298" s="30"/>
      <c r="G298" s="30"/>
      <c r="J298" s="30" t="str">
        <v>kanan</v>
      </c>
      <c r="K298" s="30"/>
      <c r="L298" s="30"/>
      <c r="O298" s="30" t="str">
        <v>kanan</v>
      </c>
      <c r="P298" s="30"/>
      <c r="Q298" s="30"/>
      <c r="T298" s="30" t="str">
        <v>tengah</v>
      </c>
      <c r="U298" s="30"/>
      <c r="V298" s="30"/>
    </row>
    <row r="299" spans="5:22">
      <c r="E299" s="30" t="str">
        <v>kiri</v>
      </c>
      <c r="F299" s="30"/>
      <c r="G299" s="30"/>
      <c r="J299" s="30" t="str">
        <v>tengah</v>
      </c>
      <c r="K299" s="30"/>
      <c r="L299" s="30"/>
      <c r="O299" s="30" t="str">
        <v>tengah</v>
      </c>
      <c r="P299" s="30"/>
      <c r="Q299" s="30"/>
      <c r="T299" s="30" t="str">
        <v>kanan</v>
      </c>
      <c r="U299" s="30"/>
      <c r="V299" s="30"/>
    </row>
    <row r="300" spans="5:22">
      <c r="E300" s="30" t="str">
        <v>tengah</v>
      </c>
      <c r="F300" s="30"/>
      <c r="G300" s="30"/>
      <c r="J300" s="30" t="str">
        <v>tengah</v>
      </c>
      <c r="K300" s="30"/>
      <c r="L300" s="30"/>
      <c r="O300" s="30" t="str">
        <v>kanan</v>
      </c>
      <c r="P300" s="30"/>
      <c r="Q300" s="30"/>
      <c r="T300" s="30" t="str">
        <v>kanan</v>
      </c>
      <c r="U300" s="30"/>
      <c r="V300" s="30"/>
    </row>
    <row r="301" spans="5:22">
      <c r="E301" s="30" t="str">
        <v>tengah</v>
      </c>
      <c r="F301" s="30"/>
      <c r="G301" s="30"/>
      <c r="J301" s="30" t="str">
        <v>tengah</v>
      </c>
      <c r="K301" s="30"/>
      <c r="L301" s="30"/>
      <c r="O301" s="30" t="str">
        <v>kiri</v>
      </c>
      <c r="P301" s="30"/>
      <c r="Q301" s="30"/>
      <c r="T301" s="30" t="str">
        <v>tengah</v>
      </c>
      <c r="U301" s="30"/>
      <c r="V301" s="30"/>
    </row>
    <row r="302" spans="5:22">
      <c r="E302" s="30" t="str">
        <v>tengah</v>
      </c>
      <c r="F302" s="30"/>
      <c r="G302" s="30"/>
      <c r="J302" s="30" t="str">
        <v>kanan</v>
      </c>
      <c r="K302" s="30"/>
      <c r="L302" s="30"/>
      <c r="O302" s="30" t="str">
        <v>kiri</v>
      </c>
      <c r="P302" s="30"/>
      <c r="Q302" s="30"/>
      <c r="T302" s="30" t="str">
        <v>tengah</v>
      </c>
      <c r="U302" s="30"/>
      <c r="V302" s="30"/>
    </row>
    <row r="303" spans="5:22">
      <c r="E303" s="30" t="str">
        <v>kiri</v>
      </c>
      <c r="F303" s="30"/>
      <c r="G303" s="30"/>
      <c r="J303" s="30" t="str">
        <v>tengah</v>
      </c>
      <c r="K303" s="30"/>
      <c r="L303" s="30"/>
      <c r="O303" s="30" t="str">
        <v>kiri</v>
      </c>
      <c r="P303" s="30"/>
      <c r="Q303" s="30"/>
      <c r="T303" s="30" t="str">
        <v>tengah</v>
      </c>
      <c r="U303" s="30"/>
      <c r="V303" s="30"/>
    </row>
    <row r="304" spans="5:22">
      <c r="E304" s="30" t="str">
        <v>kiri</v>
      </c>
      <c r="F304" s="30"/>
      <c r="G304" s="30"/>
      <c r="J304" s="30" t="str">
        <v>kiri</v>
      </c>
      <c r="K304" s="30"/>
      <c r="L304" s="30"/>
      <c r="O304" s="30" t="str">
        <v>kanan</v>
      </c>
      <c r="P304" s="30"/>
      <c r="Q304" s="30"/>
      <c r="T304" s="30" t="str">
        <v>tengah</v>
      </c>
      <c r="U304" s="30"/>
      <c r="V304" s="30"/>
    </row>
    <row r="305" spans="5:22">
      <c r="E305" s="30" t="str">
        <v>tengah</v>
      </c>
      <c r="F305" s="30"/>
      <c r="G305" s="30"/>
      <c r="J305" s="30" t="str">
        <v>tengah</v>
      </c>
      <c r="K305" s="30"/>
      <c r="L305" s="30"/>
      <c r="O305" s="30" t="str">
        <v>tengah</v>
      </c>
      <c r="P305" s="30"/>
      <c r="Q305" s="30"/>
      <c r="T305" s="30" t="str">
        <v>tengah</v>
      </c>
      <c r="U305" s="30"/>
      <c r="V305" s="30"/>
    </row>
    <row r="306" spans="5:22">
      <c r="E306" s="30" t="str">
        <v>tengah</v>
      </c>
      <c r="F306" s="30"/>
      <c r="G306" s="30"/>
      <c r="J306" s="30" t="str">
        <v>kiri</v>
      </c>
      <c r="K306" s="30"/>
      <c r="L306" s="30"/>
      <c r="O306" s="30" t="str">
        <v>kanan</v>
      </c>
      <c r="P306" s="30"/>
      <c r="Q306" s="30"/>
      <c r="T306" s="30" t="str">
        <v>tengah</v>
      </c>
      <c r="U306" s="30"/>
      <c r="V306" s="30"/>
    </row>
    <row r="307" spans="5:22">
      <c r="E307" s="30" t="str">
        <v>tengah</v>
      </c>
      <c r="F307" s="30"/>
      <c r="G307" s="30"/>
      <c r="J307" s="30" t="str">
        <v>tengah</v>
      </c>
      <c r="K307" s="30"/>
      <c r="L307" s="30"/>
      <c r="O307" s="30" t="str">
        <v>kanan</v>
      </c>
      <c r="P307" s="30"/>
      <c r="Q307" s="30"/>
      <c r="T307" s="30" t="str">
        <v>kanan</v>
      </c>
      <c r="U307" s="30"/>
      <c r="V307" s="30"/>
    </row>
    <row r="308" spans="5:22">
      <c r="E308" s="30" t="str">
        <v>kiri</v>
      </c>
      <c r="F308" s="30"/>
      <c r="G308" s="30"/>
      <c r="J308" s="30" t="str">
        <v>kiri</v>
      </c>
      <c r="K308" s="30"/>
      <c r="L308" s="30"/>
      <c r="O308" s="30" t="str">
        <v>kanan</v>
      </c>
      <c r="P308" s="30"/>
      <c r="Q308" s="30"/>
      <c r="T308" s="30" t="str">
        <v>kanan</v>
      </c>
      <c r="U308" s="30"/>
      <c r="V308" s="30"/>
    </row>
    <row r="309" spans="5:22">
      <c r="E309" s="30" t="str">
        <v>kiri</v>
      </c>
      <c r="F309" s="30"/>
      <c r="G309" s="30"/>
      <c r="J309" s="30" t="str">
        <v>tengah</v>
      </c>
      <c r="K309" s="30"/>
      <c r="L309" s="30"/>
      <c r="O309" s="30" t="str">
        <v>tengah</v>
      </c>
      <c r="P309" s="30"/>
      <c r="Q309" s="30"/>
      <c r="T309" s="30" t="str">
        <v>tengah</v>
      </c>
      <c r="U309" s="30"/>
      <c r="V309" s="30"/>
    </row>
    <row r="310" spans="5:22">
      <c r="E310" s="30" t="str">
        <v>kiri</v>
      </c>
      <c r="F310" s="30"/>
      <c r="G310" s="30"/>
      <c r="J310" s="30" t="str">
        <v>tengah</v>
      </c>
      <c r="K310" s="30"/>
      <c r="L310" s="30"/>
      <c r="O310" s="30" t="str">
        <v>kiri</v>
      </c>
      <c r="P310" s="30"/>
      <c r="Q310" s="30"/>
      <c r="T310" s="30" t="str">
        <v>tengah</v>
      </c>
      <c r="U310" s="30"/>
      <c r="V310" s="30"/>
    </row>
    <row r="311" spans="5:22">
      <c r="E311" s="30" t="str">
        <v>kiri</v>
      </c>
      <c r="F311" s="30"/>
      <c r="G311" s="30"/>
      <c r="J311" s="30" t="str">
        <v>kanan</v>
      </c>
      <c r="K311" s="30"/>
      <c r="L311" s="30"/>
      <c r="O311" s="30" t="str">
        <v>kiri</v>
      </c>
      <c r="P311" s="30"/>
      <c r="Q311" s="30"/>
      <c r="T311" s="30" t="str">
        <v>kanan</v>
      </c>
      <c r="U311" s="30"/>
      <c r="V311" s="30"/>
    </row>
    <row r="312" spans="5:22">
      <c r="E312" s="30" t="str">
        <v>kanan</v>
      </c>
      <c r="F312" s="30"/>
      <c r="G312" s="30"/>
      <c r="J312" s="30" t="str">
        <v>tengah</v>
      </c>
      <c r="K312" s="30"/>
      <c r="L312" s="30"/>
      <c r="O312" s="30" t="str">
        <v>tengah</v>
      </c>
      <c r="P312" s="30"/>
      <c r="Q312" s="30"/>
      <c r="T312" s="30" t="str">
        <v>tengah</v>
      </c>
      <c r="U312" s="30"/>
      <c r="V312" s="30"/>
    </row>
    <row r="313" spans="5:22">
      <c r="E313" s="30" t="str">
        <v>kiri</v>
      </c>
      <c r="F313" s="30"/>
      <c r="G313" s="30"/>
      <c r="J313" s="30" t="str">
        <v>tengah</v>
      </c>
      <c r="K313" s="30"/>
      <c r="L313" s="30"/>
      <c r="O313" s="30" t="str">
        <v>tengah</v>
      </c>
      <c r="P313" s="30"/>
      <c r="Q313" s="30"/>
      <c r="T313" s="30" t="str">
        <v>kanan</v>
      </c>
      <c r="U313" s="30"/>
      <c r="V313" s="30"/>
    </row>
    <row r="314" spans="5:22">
      <c r="E314" s="30" t="str">
        <v>tengah</v>
      </c>
      <c r="F314" s="30"/>
      <c r="G314" s="30"/>
      <c r="J314" s="30" t="str">
        <v>kanan</v>
      </c>
      <c r="K314" s="30"/>
      <c r="L314" s="30"/>
      <c r="O314" s="30" t="str">
        <v>tengah</v>
      </c>
      <c r="P314" s="30"/>
      <c r="Q314" s="30"/>
      <c r="T314" s="30" t="str">
        <v>tengah</v>
      </c>
      <c r="U314" s="30"/>
      <c r="V314" s="30"/>
    </row>
    <row r="315" spans="5:22">
      <c r="E315" s="30" t="str">
        <v>tengah</v>
      </c>
      <c r="F315" s="30"/>
      <c r="G315" s="30"/>
      <c r="J315" s="30" t="str">
        <v>tengah</v>
      </c>
      <c r="K315" s="30"/>
      <c r="L315" s="30"/>
      <c r="O315" s="30" t="str">
        <v>kanan</v>
      </c>
      <c r="P315" s="30"/>
      <c r="Q315" s="30"/>
      <c r="T315" s="30" t="str">
        <v>kanan</v>
      </c>
      <c r="U315" s="30"/>
      <c r="V315" s="30"/>
    </row>
    <row r="316" spans="5:22">
      <c r="E316" s="30" t="str">
        <v>tengah</v>
      </c>
      <c r="F316" s="30"/>
      <c r="G316" s="30"/>
      <c r="J316" s="30" t="str">
        <v>kanan</v>
      </c>
      <c r="K316" s="30"/>
      <c r="L316" s="30"/>
      <c r="O316" s="30" t="str">
        <v>kanan</v>
      </c>
      <c r="P316" s="30"/>
      <c r="Q316" s="30"/>
      <c r="T316" s="30" t="str">
        <v>tengah</v>
      </c>
      <c r="U316" s="30"/>
      <c r="V316" s="30"/>
    </row>
    <row r="317" spans="5:22">
      <c r="E317" s="30" t="str">
        <v>tengah</v>
      </c>
      <c r="F317" s="30"/>
      <c r="G317" s="30"/>
      <c r="J317" s="30" t="str">
        <v>kanan</v>
      </c>
      <c r="K317" s="30"/>
      <c r="L317" s="30"/>
      <c r="O317" s="30" t="str">
        <v>tengah</v>
      </c>
      <c r="P317" s="30"/>
      <c r="Q317" s="30"/>
      <c r="T317" s="30" t="str">
        <v>tengah</v>
      </c>
      <c r="U317" s="30"/>
      <c r="V317" s="30"/>
    </row>
    <row r="318" spans="5:22">
      <c r="E318" s="30" t="str">
        <v>tengah</v>
      </c>
      <c r="F318" s="30"/>
      <c r="G318" s="30"/>
      <c r="J318" s="30" t="str">
        <v>tengah</v>
      </c>
      <c r="K318" s="30"/>
      <c r="L318" s="30"/>
      <c r="O318" s="30" t="str">
        <v>kiri</v>
      </c>
      <c r="P318" s="30"/>
      <c r="Q318" s="30"/>
      <c r="T318" s="30" t="str">
        <v>tengah</v>
      </c>
      <c r="U318" s="30"/>
      <c r="V318" s="30"/>
    </row>
    <row r="319" spans="5:22">
      <c r="E319" s="30" t="str">
        <v>tengah</v>
      </c>
      <c r="F319" s="30"/>
      <c r="G319" s="30"/>
      <c r="J319" s="30" t="str">
        <v>tengah</v>
      </c>
      <c r="K319" s="30"/>
      <c r="L319" s="30"/>
      <c r="O319" s="30" t="str">
        <v>tengah</v>
      </c>
      <c r="P319" s="30"/>
      <c r="Q319" s="30"/>
      <c r="T319" s="30" t="str">
        <v>kanan</v>
      </c>
      <c r="U319" s="30"/>
      <c r="V319" s="30"/>
    </row>
    <row r="320" spans="5:22">
      <c r="E320" s="30" t="str">
        <v>kiri</v>
      </c>
      <c r="F320" s="30"/>
      <c r="G320" s="30"/>
      <c r="J320" s="30" t="str">
        <v>tengah</v>
      </c>
      <c r="K320" s="30"/>
      <c r="L320" s="30"/>
      <c r="O320" s="30" t="str">
        <v>kanan</v>
      </c>
      <c r="P320" s="30"/>
      <c r="Q320" s="30"/>
      <c r="T320" s="30" t="str">
        <v>kanan</v>
      </c>
      <c r="U320" s="30"/>
      <c r="V320" s="30"/>
    </row>
    <row r="321" spans="5:22">
      <c r="E321" s="30" t="str">
        <v>tengah</v>
      </c>
      <c r="F321" s="30"/>
      <c r="G321" s="30"/>
      <c r="J321" s="30" t="str">
        <v>tengah</v>
      </c>
      <c r="K321" s="30"/>
      <c r="L321" s="30"/>
      <c r="O321" s="30" t="str">
        <v>tengah</v>
      </c>
      <c r="P321" s="30"/>
      <c r="Q321" s="30"/>
      <c r="T321" s="30" t="str">
        <v>tengah</v>
      </c>
      <c r="U321" s="30"/>
      <c r="V321" s="30"/>
    </row>
    <row r="322" spans="5:22">
      <c r="E322" s="30" t="str">
        <v>tengah</v>
      </c>
      <c r="F322" s="30"/>
      <c r="G322" s="30"/>
      <c r="J322" s="30" t="str">
        <v>tengah</v>
      </c>
      <c r="K322" s="30"/>
      <c r="L322" s="30"/>
      <c r="O322" s="30" t="str">
        <v>kiri</v>
      </c>
      <c r="P322" s="30"/>
      <c r="Q322" s="30"/>
      <c r="T322" s="30" t="str">
        <v>kanan</v>
      </c>
      <c r="U322" s="30"/>
      <c r="V322" s="30"/>
    </row>
    <row r="323" spans="5:22">
      <c r="E323" s="30" t="str">
        <v>kanan</v>
      </c>
      <c r="F323" s="30"/>
      <c r="G323" s="30"/>
      <c r="J323" s="30" t="str">
        <v>kanan</v>
      </c>
      <c r="K323" s="30"/>
      <c r="L323" s="30"/>
      <c r="O323" s="30" t="str">
        <v>tengah</v>
      </c>
      <c r="P323" s="30"/>
      <c r="Q323" s="30"/>
      <c r="T323" s="30" t="str">
        <v>tengah</v>
      </c>
      <c r="U323" s="30"/>
      <c r="V323" s="30"/>
    </row>
    <row r="324" spans="5:22">
      <c r="E324" s="30" t="str">
        <v>tengah</v>
      </c>
      <c r="F324" s="30"/>
      <c r="G324" s="30"/>
      <c r="J324" s="30" t="str">
        <v>kanan</v>
      </c>
      <c r="K324" s="30"/>
      <c r="L324" s="30"/>
      <c r="O324" s="30" t="str">
        <v>kiri</v>
      </c>
      <c r="P324" s="30"/>
      <c r="Q324" s="30"/>
      <c r="T324" s="30" t="str">
        <v>kanan</v>
      </c>
      <c r="U324" s="30"/>
      <c r="V324" s="30"/>
    </row>
    <row r="325" spans="5:22">
      <c r="E325" s="30" t="str">
        <v>kiri</v>
      </c>
      <c r="F325" s="30"/>
      <c r="G325" s="30"/>
      <c r="J325" s="30" t="str">
        <v>kiri</v>
      </c>
      <c r="K325" s="30"/>
      <c r="L325" s="30"/>
      <c r="O325" s="30" t="str">
        <v>tengah</v>
      </c>
      <c r="P325" s="30"/>
      <c r="Q325" s="30"/>
      <c r="T325" s="30" t="str">
        <v>tengah</v>
      </c>
      <c r="U325" s="30"/>
      <c r="V325" s="30"/>
    </row>
    <row r="326" spans="5:22">
      <c r="E326" s="30" t="str">
        <v>tengah</v>
      </c>
      <c r="F326" s="30"/>
      <c r="G326" s="30"/>
      <c r="J326" s="30" t="str">
        <v>tengah</v>
      </c>
      <c r="K326" s="30"/>
      <c r="L326" s="30"/>
      <c r="O326" s="30" t="str">
        <v>tengah</v>
      </c>
      <c r="P326" s="30"/>
      <c r="Q326" s="30"/>
      <c r="T326" s="30" t="str">
        <v>tengah</v>
      </c>
      <c r="U326" s="30"/>
      <c r="V326" s="30"/>
    </row>
    <row r="327" spans="5:22">
      <c r="E327" s="30" t="str">
        <v>kiri</v>
      </c>
      <c r="F327" s="30"/>
      <c r="G327" s="30"/>
      <c r="J327" s="30" t="str">
        <v>tengah</v>
      </c>
      <c r="K327" s="30"/>
      <c r="L327" s="30"/>
      <c r="O327" s="30" t="str">
        <v>tengah</v>
      </c>
      <c r="P327" s="30"/>
      <c r="Q327" s="30"/>
      <c r="T327" s="30" t="str">
        <v>kanan</v>
      </c>
      <c r="U327" s="30"/>
      <c r="V327" s="30"/>
    </row>
    <row r="328" spans="5:22">
      <c r="E328" s="30" t="str">
        <v>tengah</v>
      </c>
      <c r="F328" s="30"/>
      <c r="G328" s="30"/>
      <c r="J328" s="30" t="str">
        <v>kiri</v>
      </c>
      <c r="K328" s="30"/>
      <c r="L328" s="30"/>
      <c r="O328" s="30" t="str">
        <v>kanan</v>
      </c>
      <c r="P328" s="30"/>
      <c r="Q328" s="30"/>
      <c r="T328" s="30" t="str">
        <v>tengah</v>
      </c>
      <c r="U328" s="30"/>
      <c r="V328" s="30"/>
    </row>
    <row r="329" spans="5:22">
      <c r="E329" s="30" t="str">
        <v>kiri</v>
      </c>
      <c r="F329" s="30"/>
      <c r="G329" s="30"/>
      <c r="J329" s="30" t="str">
        <v>kiri</v>
      </c>
      <c r="K329" s="30"/>
      <c r="L329" s="30"/>
      <c r="O329" s="30" t="str">
        <v>tengah</v>
      </c>
      <c r="P329" s="30"/>
      <c r="Q329" s="30"/>
      <c r="T329" s="30" t="str">
        <v>tengah</v>
      </c>
      <c r="U329" s="30"/>
      <c r="V329" s="30"/>
    </row>
    <row r="330" spans="5:22">
      <c r="E330" s="30" t="str">
        <v>kanan</v>
      </c>
      <c r="F330" s="30"/>
      <c r="G330" s="30"/>
      <c r="J330" s="30" t="str">
        <v>tengah</v>
      </c>
      <c r="K330" s="30"/>
      <c r="L330" s="30"/>
      <c r="O330" s="30" t="str">
        <v>tengah</v>
      </c>
      <c r="P330" s="30"/>
      <c r="Q330" s="30"/>
      <c r="T330" s="30" t="str">
        <v>tengah</v>
      </c>
      <c r="U330" s="30"/>
      <c r="V330" s="30"/>
    </row>
    <row r="331" spans="5:22">
      <c r="E331" s="30" t="str">
        <v>kiri</v>
      </c>
      <c r="F331" s="30"/>
      <c r="G331" s="30"/>
      <c r="J331" s="30" t="str">
        <v>kiri</v>
      </c>
      <c r="K331" s="30"/>
      <c r="L331" s="30"/>
      <c r="O331" s="30" t="str">
        <v>kanan</v>
      </c>
      <c r="P331" s="30"/>
      <c r="Q331" s="30"/>
      <c r="T331" s="30" t="str">
        <v>kanan</v>
      </c>
      <c r="U331" s="30"/>
      <c r="V331" s="30"/>
    </row>
    <row r="332" spans="5:22">
      <c r="E332" s="30" t="str">
        <v>kiri</v>
      </c>
      <c r="F332" s="30"/>
      <c r="G332" s="30"/>
      <c r="J332" s="30" t="str">
        <v>kiri</v>
      </c>
      <c r="K332" s="30"/>
      <c r="L332" s="30"/>
      <c r="O332" s="30" t="str">
        <v>tengah</v>
      </c>
      <c r="P332" s="30"/>
      <c r="Q332" s="30"/>
      <c r="T332" s="30" t="str">
        <v>tengah</v>
      </c>
      <c r="U332" s="30"/>
      <c r="V332" s="30"/>
    </row>
  </sheetData>
  <pageMargins left="0.7" right="0.7" top="0.75" bottom="0.75" header="0.3" footer="0.3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32"/>
  <sheetViews>
    <sheetView zoomScale="98" zoomScaleNormal="98" topLeftCell="O159" workbookViewId="0">
      <selection activeCell="O161" sqref="O161"/>
    </sheetView>
  </sheetViews>
  <sheetFormatPr defaultColWidth="9" defaultRowHeight="15"/>
  <cols>
    <col min="2" max="2" width="15.8518518518519" customWidth="1"/>
    <col min="3" max="3" width="16.7111111111111" customWidth="1"/>
    <col min="4" max="4" width="13.8518518518519" customWidth="1"/>
    <col min="6" max="6" width="14.4222222222222" customWidth="1"/>
    <col min="8" max="8" width="14.2814814814815" customWidth="1"/>
    <col min="9" max="9" width="13.2814814814815" customWidth="1"/>
    <col min="10" max="10" width="13.8518518518519" customWidth="1"/>
    <col min="11" max="11" width="22" customWidth="1"/>
    <col min="13" max="13" width="14.4222222222222" customWidth="1"/>
    <col min="15" max="15" width="25.2814814814815" customWidth="1"/>
    <col min="16" max="16" width="12.8518518518519" customWidth="1"/>
    <col min="17" max="17" width="11.7111111111111" customWidth="1"/>
    <col min="20" max="20" width="14.4222222222222" customWidth="1"/>
  </cols>
  <sheetData>
    <row r="1" spans="1:17">
      <c r="A1" s="29" t="s">
        <v>175</v>
      </c>
      <c r="B1" s="29" t="s">
        <v>1</v>
      </c>
      <c r="C1" s="29" t="s">
        <v>2</v>
      </c>
      <c r="D1" s="29" t="s">
        <v>171</v>
      </c>
      <c r="E1" s="29" t="s">
        <v>4</v>
      </c>
      <c r="F1" s="29" t="s">
        <v>6</v>
      </c>
      <c r="H1" s="31" t="s">
        <v>175</v>
      </c>
      <c r="I1" s="31" t="s">
        <v>1</v>
      </c>
      <c r="J1" s="31" t="s">
        <v>2</v>
      </c>
      <c r="K1" s="31" t="s">
        <v>171</v>
      </c>
      <c r="L1" s="31" t="s">
        <v>4</v>
      </c>
      <c r="M1" s="31" t="s">
        <v>6</v>
      </c>
      <c r="O1" s="29" t="s">
        <v>176</v>
      </c>
      <c r="P1" s="32"/>
      <c r="Q1" s="32"/>
    </row>
    <row r="2" spans="1:17">
      <c r="A2" s="30">
        <f ca="1">RANDBETWEEN(2,164)</f>
        <v>50</v>
      </c>
      <c r="B2" s="30">
        <f ca="1" t="array" ref="B2">INDEX(Data_DBD!$B:$B,$A2)</f>
        <v>19</v>
      </c>
      <c r="C2" s="30">
        <f ca="1" t="array" ref="C2">INDEX(Data_DBD!$C:$C,$A2)</f>
        <v>5</v>
      </c>
      <c r="D2" s="30">
        <f ca="1" t="array" ref="D2">INDEX(Data_DBD!$D:$D,$A2)</f>
        <v>13</v>
      </c>
      <c r="E2" s="30">
        <f ca="1" t="array" ref="E2">INDEX(Data_DBD!$E:$E,$A2)</f>
        <v>0</v>
      </c>
      <c r="F2" s="30">
        <f ca="1" t="array" ref="F2">INDEX(Data_DBD!$F:$F,$A2)</f>
        <v>2</v>
      </c>
      <c r="H2" s="30">
        <v>5</v>
      </c>
      <c r="I2" s="30">
        <v>18</v>
      </c>
      <c r="J2" s="30">
        <v>2</v>
      </c>
      <c r="K2" s="30">
        <v>12</v>
      </c>
      <c r="L2" s="30">
        <v>1</v>
      </c>
      <c r="M2" s="30">
        <v>2</v>
      </c>
      <c r="O2" s="33">
        <v>1</v>
      </c>
      <c r="P2" s="32">
        <f>COUNTIF(M2:M164,"1")</f>
        <v>11</v>
      </c>
      <c r="Q2" s="32">
        <f>P2/163</f>
        <v>0.0674846625766871</v>
      </c>
    </row>
    <row r="3" spans="1:17">
      <c r="A3" s="30">
        <f ca="1" t="shared" ref="A3:A66" si="0">RANDBETWEEN(2,164)</f>
        <v>93</v>
      </c>
      <c r="B3" s="30">
        <f ca="1" t="array" ref="B3">INDEX(Data_DBD!$B:$B,$A3)</f>
        <v>65</v>
      </c>
      <c r="C3" s="30">
        <f ca="1" t="array" ref="C3">INDEX(Data_DBD!$C:$C,$A3)</f>
        <v>4</v>
      </c>
      <c r="D3" s="30">
        <f ca="1" t="array" ref="D3">INDEX(Data_DBD!$D:$D,$A3)</f>
        <v>18</v>
      </c>
      <c r="E3" s="30">
        <f ca="1" t="array" ref="E3">INDEX(Data_DBD!$E:$E,$A3)</f>
        <v>0</v>
      </c>
      <c r="F3" s="30">
        <f ca="1" t="array" ref="F3">INDEX(Data_DBD!$F:$F,$A3)</f>
        <v>3</v>
      </c>
      <c r="H3" s="30">
        <v>44</v>
      </c>
      <c r="I3" s="30">
        <v>28</v>
      </c>
      <c r="J3" s="30">
        <v>5</v>
      </c>
      <c r="K3" s="30">
        <v>13</v>
      </c>
      <c r="L3" s="30">
        <v>1</v>
      </c>
      <c r="M3" s="30">
        <v>2</v>
      </c>
      <c r="O3" s="32">
        <v>2</v>
      </c>
      <c r="P3" s="32">
        <f>COUNTIF(M2:M164,"2")</f>
        <v>67</v>
      </c>
      <c r="Q3" s="32">
        <f>P3/163</f>
        <v>0.411042944785276</v>
      </c>
    </row>
    <row r="4" spans="1:17">
      <c r="A4" s="30">
        <f ca="1" t="shared" si="0"/>
        <v>43</v>
      </c>
      <c r="B4" s="30">
        <f ca="1" t="array" ref="B4">INDEX(Data_DBD!$B:$B,$A4)</f>
        <v>15</v>
      </c>
      <c r="C4" s="30">
        <f ca="1" t="array" ref="C4">INDEX(Data_DBD!$C:$C,$A4)</f>
        <v>4</v>
      </c>
      <c r="D4" s="30">
        <f ca="1" t="array" ref="D4">INDEX(Data_DBD!$D:$D,$A4)</f>
        <v>13</v>
      </c>
      <c r="E4" s="30">
        <f ca="1" t="array" ref="E4">INDEX(Data_DBD!$E:$E,$A4)</f>
        <v>0</v>
      </c>
      <c r="F4" s="30">
        <f ca="1" t="array" ref="F4">INDEX(Data_DBD!$F:$F,$A4)</f>
        <v>2</v>
      </c>
      <c r="H4" s="30">
        <v>30</v>
      </c>
      <c r="I4" s="30" t="s">
        <v>36</v>
      </c>
      <c r="J4" s="30">
        <v>2</v>
      </c>
      <c r="K4" s="30">
        <v>14</v>
      </c>
      <c r="L4" s="30">
        <v>1</v>
      </c>
      <c r="M4" s="30">
        <v>2</v>
      </c>
      <c r="O4" s="32">
        <v>3</v>
      </c>
      <c r="P4" s="32">
        <f>COUNTIF(M2:M164,"3")</f>
        <v>85</v>
      </c>
      <c r="Q4" s="32">
        <f>P4/163</f>
        <v>0.521472392638037</v>
      </c>
    </row>
    <row r="5" spans="1:16">
      <c r="A5" s="30">
        <f ca="1" t="shared" si="0"/>
        <v>44</v>
      </c>
      <c r="B5" s="30">
        <f ca="1" t="array" ref="B5">INDEX(Data_DBD!$B:$B,$A5)</f>
        <v>28</v>
      </c>
      <c r="C5" s="30">
        <f ca="1" t="array" ref="C5">INDEX(Data_DBD!$C:$C,$A5)</f>
        <v>5</v>
      </c>
      <c r="D5" s="30">
        <f ca="1" t="array" ref="D5">INDEX(Data_DBD!$D:$D,$A5)</f>
        <v>13</v>
      </c>
      <c r="E5" s="30">
        <f ca="1" t="array" ref="E5">INDEX(Data_DBD!$E:$E,$A5)</f>
        <v>1</v>
      </c>
      <c r="F5" s="30">
        <f ca="1" t="array" ref="F5">INDEX(Data_DBD!$F:$F,$A5)</f>
        <v>2</v>
      </c>
      <c r="H5" s="30">
        <v>9</v>
      </c>
      <c r="I5" s="30">
        <v>16</v>
      </c>
      <c r="J5" s="30">
        <v>6</v>
      </c>
      <c r="K5" s="30">
        <v>12</v>
      </c>
      <c r="L5" s="30">
        <v>1</v>
      </c>
      <c r="M5" s="30">
        <v>2</v>
      </c>
      <c r="O5" s="34" t="s">
        <v>181</v>
      </c>
      <c r="P5">
        <f>-(IFERROR(Q2*LOG(Q2,2),0)+IFERROR(Q3*LOG(Q3,2),0)+IFERROR(Q4*LOG(Q4,2),0))</f>
        <v>1.27952598774405</v>
      </c>
    </row>
    <row r="6" spans="1:13">
      <c r="A6" s="30">
        <f ca="1" t="shared" si="0"/>
        <v>119</v>
      </c>
      <c r="B6" s="30">
        <f ca="1" t="array" ref="B6">INDEX(Data_DBD!$B:$B,$A6)</f>
        <v>30</v>
      </c>
      <c r="C6" s="30">
        <f ca="1" t="array" ref="C6">INDEX(Data_DBD!$C:$C,$A6)</f>
        <v>7</v>
      </c>
      <c r="D6" s="30">
        <f ca="1" t="array" ref="D6">INDEX(Data_DBD!$D:$D,$A6)</f>
        <v>33</v>
      </c>
      <c r="E6" s="30">
        <f ca="1" t="array" ref="E6">INDEX(Data_DBD!$E:$E,$A6)</f>
        <v>0</v>
      </c>
      <c r="F6" s="30">
        <f ca="1" t="array" ref="F6">INDEX(Data_DBD!$F:$F,$A6)</f>
        <v>3</v>
      </c>
      <c r="H6" s="30">
        <v>53</v>
      </c>
      <c r="I6" s="30">
        <v>35</v>
      </c>
      <c r="J6" s="30">
        <v>4</v>
      </c>
      <c r="K6" s="30">
        <v>15</v>
      </c>
      <c r="L6" s="30">
        <v>1</v>
      </c>
      <c r="M6" s="30">
        <v>2</v>
      </c>
    </row>
    <row r="7" spans="1:13">
      <c r="A7" s="30">
        <f ca="1" t="shared" si="0"/>
        <v>42</v>
      </c>
      <c r="B7" s="30">
        <f ca="1" t="array" ref="B7">INDEX(Data_DBD!$B:$B,$A7)</f>
        <v>21</v>
      </c>
      <c r="C7" s="30">
        <f ca="1" t="array" ref="C7">INDEX(Data_DBD!$C:$C,$A7)</f>
        <v>5</v>
      </c>
      <c r="D7" s="30">
        <f ca="1" t="array" ref="D7">INDEX(Data_DBD!$D:$D,$A7)</f>
        <v>13</v>
      </c>
      <c r="E7" s="30">
        <f ca="1" t="array" ref="E7">INDEX(Data_DBD!$E:$E,$A7)</f>
        <v>1</v>
      </c>
      <c r="F7" s="30">
        <f ca="1" t="array" ref="F7">INDEX(Data_DBD!$F:$F,$A7)</f>
        <v>2</v>
      </c>
      <c r="H7" s="30">
        <v>58</v>
      </c>
      <c r="I7" s="30">
        <v>17</v>
      </c>
      <c r="J7" s="30">
        <v>3</v>
      </c>
      <c r="K7" s="30">
        <v>15</v>
      </c>
      <c r="L7" s="30">
        <v>0</v>
      </c>
      <c r="M7" s="30">
        <v>2</v>
      </c>
    </row>
    <row r="8" spans="1:13">
      <c r="A8" s="30">
        <f ca="1" t="shared" si="0"/>
        <v>12</v>
      </c>
      <c r="B8" s="30">
        <f ca="1" t="array" ref="B8">INDEX(Data_DBD!$B:$B,$A8)</f>
        <v>23</v>
      </c>
      <c r="C8" s="30">
        <f ca="1" t="array" ref="C8">INDEX(Data_DBD!$C:$C,$A8)</f>
        <v>3</v>
      </c>
      <c r="D8" s="30">
        <f ca="1" t="array" ref="D8">INDEX(Data_DBD!$D:$D,$A8)</f>
        <v>12</v>
      </c>
      <c r="E8" s="30">
        <f ca="1" t="array" ref="E8">INDEX(Data_DBD!$E:$E,$A8)</f>
        <v>0</v>
      </c>
      <c r="F8" s="30">
        <f ca="1" t="array" ref="F8">INDEX(Data_DBD!$F:$F,$A8)</f>
        <v>2</v>
      </c>
      <c r="H8" s="30">
        <v>118</v>
      </c>
      <c r="I8" s="30">
        <v>67</v>
      </c>
      <c r="J8" s="30">
        <v>4</v>
      </c>
      <c r="K8" s="30">
        <v>33</v>
      </c>
      <c r="L8" s="30">
        <v>1</v>
      </c>
      <c r="M8" s="30">
        <v>3</v>
      </c>
    </row>
    <row r="9" spans="1:13">
      <c r="A9" s="30">
        <f ca="1" t="shared" si="0"/>
        <v>45</v>
      </c>
      <c r="B9" s="30">
        <f ca="1" t="array" ref="B9">INDEX(Data_DBD!$B:$B,$A9)</f>
        <v>75</v>
      </c>
      <c r="C9" s="30">
        <f ca="1" t="array" ref="C9">INDEX(Data_DBD!$C:$C,$A9)</f>
        <v>3</v>
      </c>
      <c r="D9" s="30">
        <f ca="1" t="array" ref="D9">INDEX(Data_DBD!$D:$D,$A9)</f>
        <v>13</v>
      </c>
      <c r="E9" s="30">
        <f ca="1" t="array" ref="E9">INDEX(Data_DBD!$E:$E,$A9)</f>
        <v>1</v>
      </c>
      <c r="F9" s="30">
        <f ca="1" t="array" ref="F9">INDEX(Data_DBD!$F:$F,$A9)</f>
        <v>2</v>
      </c>
      <c r="H9" s="30">
        <v>20</v>
      </c>
      <c r="I9" s="30">
        <v>15</v>
      </c>
      <c r="J9" s="30">
        <v>5</v>
      </c>
      <c r="K9" s="30">
        <v>7</v>
      </c>
      <c r="L9" s="30">
        <v>0</v>
      </c>
      <c r="M9" s="30">
        <v>1</v>
      </c>
    </row>
    <row r="10" spans="1:13">
      <c r="A10" s="30">
        <f ca="1" t="shared" si="0"/>
        <v>24</v>
      </c>
      <c r="B10" s="30">
        <f ca="1" t="array" ref="B10">INDEX(Data_DBD!$B:$B,$A10)</f>
        <v>60</v>
      </c>
      <c r="C10" s="30">
        <f ca="1" t="array" ref="C10">INDEX(Data_DBD!$C:$C,$A10)</f>
        <v>4</v>
      </c>
      <c r="D10" s="30">
        <f ca="1" t="array" ref="D10">INDEX(Data_DBD!$D:$D,$A10)</f>
        <v>14</v>
      </c>
      <c r="E10" s="30">
        <f ca="1" t="array" ref="E10">INDEX(Data_DBD!$E:$E,$A10)</f>
        <v>0</v>
      </c>
      <c r="F10" s="30">
        <f ca="1" t="array" ref="F10">INDEX(Data_DBD!$F:$F,$A10)</f>
        <v>2</v>
      </c>
      <c r="H10" s="30">
        <v>164</v>
      </c>
      <c r="I10" s="30">
        <v>10</v>
      </c>
      <c r="J10" s="30">
        <v>6</v>
      </c>
      <c r="K10" s="30">
        <v>3</v>
      </c>
      <c r="L10" s="30">
        <v>0</v>
      </c>
      <c r="M10" s="30">
        <v>1</v>
      </c>
    </row>
    <row r="11" spans="1:13">
      <c r="A11" s="30">
        <f ca="1" t="shared" si="0"/>
        <v>11</v>
      </c>
      <c r="B11" s="30">
        <f ca="1" t="array" ref="B11">INDEX(Data_DBD!$B:$B,$A11)</f>
        <v>24</v>
      </c>
      <c r="C11" s="30">
        <f ca="1" t="array" ref="C11">INDEX(Data_DBD!$C:$C,$A11)</f>
        <v>5</v>
      </c>
      <c r="D11" s="30">
        <f ca="1" t="array" ref="D11">INDEX(Data_DBD!$D:$D,$A11)</f>
        <v>12</v>
      </c>
      <c r="E11" s="30">
        <f ca="1" t="array" ref="E11">INDEX(Data_DBD!$E:$E,$A11)</f>
        <v>1</v>
      </c>
      <c r="F11" s="30">
        <f ca="1" t="array" ref="F11">INDEX(Data_DBD!$F:$F,$A11)</f>
        <v>2</v>
      </c>
      <c r="H11" s="30">
        <v>36</v>
      </c>
      <c r="I11" s="30">
        <v>27</v>
      </c>
      <c r="J11" s="30">
        <v>1</v>
      </c>
      <c r="K11" s="30">
        <v>4</v>
      </c>
      <c r="L11" s="30">
        <v>1</v>
      </c>
      <c r="M11" s="30">
        <v>1</v>
      </c>
    </row>
    <row r="12" spans="1:13">
      <c r="A12" s="30">
        <f ca="1" t="shared" si="0"/>
        <v>147</v>
      </c>
      <c r="B12" s="30">
        <f ca="1" t="array" ref="B12">INDEX(Data_DBD!$B:$B,$A12)</f>
        <v>66</v>
      </c>
      <c r="C12" s="30">
        <f ca="1" t="array" ref="C12">INDEX(Data_DBD!$C:$C,$A12)</f>
        <v>10</v>
      </c>
      <c r="D12" s="30">
        <f ca="1" t="array" ref="D12">INDEX(Data_DBD!$D:$D,$A12)</f>
        <v>21</v>
      </c>
      <c r="E12" s="30">
        <f ca="1" t="array" ref="E12">INDEX(Data_DBD!$E:$E,$A12)</f>
        <v>1</v>
      </c>
      <c r="F12" s="30">
        <f ca="1" t="array" ref="F12">INDEX(Data_DBD!$F:$F,$A12)</f>
        <v>3</v>
      </c>
      <c r="H12" s="30">
        <v>75</v>
      </c>
      <c r="I12" s="30">
        <v>2</v>
      </c>
      <c r="J12" s="30">
        <v>2</v>
      </c>
      <c r="K12" s="30">
        <v>10</v>
      </c>
      <c r="L12" s="30">
        <v>1</v>
      </c>
      <c r="M12" s="30">
        <v>2</v>
      </c>
    </row>
    <row r="13" spans="1:13">
      <c r="A13" s="30">
        <f ca="1" t="shared" si="0"/>
        <v>130</v>
      </c>
      <c r="B13" s="30">
        <f ca="1" t="array" ref="B13">INDEX(Data_DBD!$B:$B,$A13)</f>
        <v>12</v>
      </c>
      <c r="C13" s="30">
        <f ca="1" t="array" ref="C13">INDEX(Data_DBD!$C:$C,$A13)</f>
        <v>4</v>
      </c>
      <c r="D13" s="30">
        <f ca="1" t="array" ref="D13">INDEX(Data_DBD!$D:$D,$A13)</f>
        <v>33</v>
      </c>
      <c r="E13" s="30">
        <f ca="1" t="array" ref="E13">INDEX(Data_DBD!$E:$E,$A13)</f>
        <v>0</v>
      </c>
      <c r="F13" s="30">
        <f ca="1" t="array" ref="F13">INDEX(Data_DBD!$F:$F,$A13)</f>
        <v>3</v>
      </c>
      <c r="H13" s="30">
        <v>151</v>
      </c>
      <c r="I13" s="30">
        <v>24</v>
      </c>
      <c r="J13" s="30">
        <v>3</v>
      </c>
      <c r="K13" s="30">
        <v>21</v>
      </c>
      <c r="L13" s="30">
        <v>0</v>
      </c>
      <c r="M13" s="30">
        <v>3</v>
      </c>
    </row>
    <row r="14" spans="1:13">
      <c r="A14" s="30">
        <f ca="1" t="shared" si="0"/>
        <v>29</v>
      </c>
      <c r="B14" s="30">
        <f ca="1" t="array" ref="B14">INDEX(Data_DBD!$B:$B,$A14)</f>
        <v>19</v>
      </c>
      <c r="C14" s="30">
        <f ca="1" t="array" ref="C14">INDEX(Data_DBD!$C:$C,$A14)</f>
        <v>2</v>
      </c>
      <c r="D14" s="30">
        <f ca="1" t="array" ref="D14">INDEX(Data_DBD!$D:$D,$A14)</f>
        <v>14</v>
      </c>
      <c r="E14" s="30">
        <f ca="1" t="array" ref="E14">INDEX(Data_DBD!$E:$E,$A14)</f>
        <v>1</v>
      </c>
      <c r="F14" s="30">
        <f ca="1" t="array" ref="F14">INDEX(Data_DBD!$F:$F,$A14)</f>
        <v>2</v>
      </c>
      <c r="H14" s="30">
        <v>64</v>
      </c>
      <c r="I14" s="30">
        <v>35</v>
      </c>
      <c r="J14" s="30">
        <v>1</v>
      </c>
      <c r="K14" s="30">
        <v>15</v>
      </c>
      <c r="L14" s="30">
        <v>0</v>
      </c>
      <c r="M14" s="30">
        <v>2</v>
      </c>
    </row>
    <row r="15" spans="1:13">
      <c r="A15" s="30">
        <f ca="1" t="shared" si="0"/>
        <v>155</v>
      </c>
      <c r="B15" s="30">
        <f ca="1" t="array" ref="B15">INDEX(Data_DBD!$B:$B,$A15)</f>
        <v>19</v>
      </c>
      <c r="C15" s="30">
        <f ca="1" t="array" ref="C15">INDEX(Data_DBD!$C:$C,$A15)</f>
        <v>5</v>
      </c>
      <c r="D15" s="30">
        <f ca="1" t="array" ref="D15">INDEX(Data_DBD!$D:$D,$A15)</f>
        <v>21</v>
      </c>
      <c r="E15" s="30">
        <f ca="1" t="array" ref="E15">INDEX(Data_DBD!$E:$E,$A15)</f>
        <v>1</v>
      </c>
      <c r="F15" s="30">
        <f ca="1" t="array" ref="F15">INDEX(Data_DBD!$F:$F,$A15)</f>
        <v>3</v>
      </c>
      <c r="H15" s="30">
        <v>141</v>
      </c>
      <c r="I15" s="30">
        <v>36</v>
      </c>
      <c r="J15" s="30">
        <v>2</v>
      </c>
      <c r="K15" s="30">
        <v>21</v>
      </c>
      <c r="L15" s="30">
        <v>0</v>
      </c>
      <c r="M15" s="30">
        <v>3</v>
      </c>
    </row>
    <row r="16" spans="1:13">
      <c r="A16" s="30">
        <f ca="1" t="shared" si="0"/>
        <v>13</v>
      </c>
      <c r="B16" s="30">
        <f ca="1" t="array" ref="B16">INDEX(Data_DBD!$B:$B,$A16)</f>
        <v>47</v>
      </c>
      <c r="C16" s="30">
        <f ca="1" t="array" ref="C16">INDEX(Data_DBD!$C:$C,$A16)</f>
        <v>2</v>
      </c>
      <c r="D16" s="30">
        <f ca="1" t="array" ref="D16">INDEX(Data_DBD!$D:$D,$A16)</f>
        <v>12</v>
      </c>
      <c r="E16" s="30">
        <f ca="1" t="array" ref="E16">INDEX(Data_DBD!$E:$E,$A16)</f>
        <v>0</v>
      </c>
      <c r="F16" s="30">
        <f ca="1" t="array" ref="F16">INDEX(Data_DBD!$F:$F,$A16)</f>
        <v>2</v>
      </c>
      <c r="H16" s="30">
        <v>136</v>
      </c>
      <c r="I16" s="30">
        <v>6</v>
      </c>
      <c r="J16" s="30">
        <v>2</v>
      </c>
      <c r="K16" s="30">
        <v>33</v>
      </c>
      <c r="L16" s="30">
        <v>0</v>
      </c>
      <c r="M16" s="30">
        <v>3</v>
      </c>
    </row>
    <row r="17" spans="1:13">
      <c r="A17" s="30">
        <f ca="1" t="shared" si="0"/>
        <v>32</v>
      </c>
      <c r="B17" s="30">
        <f ca="1" t="array" ref="B17">INDEX(Data_DBD!$B:$B,$A17)</f>
        <v>54</v>
      </c>
      <c r="C17" s="30">
        <f ca="1" t="array" ref="C17">INDEX(Data_DBD!$C:$C,$A17)</f>
        <v>4</v>
      </c>
      <c r="D17" s="30">
        <f ca="1" t="array" ref="D17">INDEX(Data_DBD!$D:$D,$A17)</f>
        <v>14</v>
      </c>
      <c r="E17" s="30">
        <f ca="1" t="array" ref="E17">INDEX(Data_DBD!$E:$E,$A17)</f>
        <v>0</v>
      </c>
      <c r="F17" s="30">
        <f ca="1" t="array" ref="F17">INDEX(Data_DBD!$F:$F,$A17)</f>
        <v>2</v>
      </c>
      <c r="H17" s="30">
        <v>5</v>
      </c>
      <c r="I17" s="30">
        <v>18</v>
      </c>
      <c r="J17" s="30">
        <v>2</v>
      </c>
      <c r="K17" s="30">
        <v>12</v>
      </c>
      <c r="L17" s="30">
        <v>1</v>
      </c>
      <c r="M17" s="30">
        <v>2</v>
      </c>
    </row>
    <row r="18" spans="1:13">
      <c r="A18" s="30">
        <f ca="1" t="shared" si="0"/>
        <v>96</v>
      </c>
      <c r="B18" s="30">
        <f ca="1" t="array" ref="B18">INDEX(Data_DBD!$B:$B,$A18)</f>
        <v>56</v>
      </c>
      <c r="C18" s="30">
        <f ca="1" t="array" ref="C18">INDEX(Data_DBD!$C:$C,$A18)</f>
        <v>4</v>
      </c>
      <c r="D18" s="30">
        <f ca="1" t="array" ref="D18">INDEX(Data_DBD!$D:$D,$A18)</f>
        <v>18</v>
      </c>
      <c r="E18" s="30">
        <f ca="1" t="array" ref="E18">INDEX(Data_DBD!$E:$E,$A18)</f>
        <v>0</v>
      </c>
      <c r="F18" s="30">
        <f ca="1" t="array" ref="F18">INDEX(Data_DBD!$F:$F,$A18)</f>
        <v>3</v>
      </c>
      <c r="H18" s="30">
        <v>44</v>
      </c>
      <c r="I18" s="30">
        <v>28</v>
      </c>
      <c r="J18" s="30">
        <v>5</v>
      </c>
      <c r="K18" s="30">
        <v>13</v>
      </c>
      <c r="L18" s="30">
        <v>1</v>
      </c>
      <c r="M18" s="30">
        <v>2</v>
      </c>
    </row>
    <row r="19" spans="1:13">
      <c r="A19" s="30">
        <f ca="1" t="shared" si="0"/>
        <v>99</v>
      </c>
      <c r="B19" s="30">
        <f ca="1" t="array" ref="B19">INDEX(Data_DBD!$B:$B,$A19)</f>
        <v>4</v>
      </c>
      <c r="C19" s="30">
        <f ca="1" t="array" ref="C19">INDEX(Data_DBD!$C:$C,$A19)</f>
        <v>2</v>
      </c>
      <c r="D19" s="30">
        <f ca="1" t="array" ref="D19">INDEX(Data_DBD!$D:$D,$A19)</f>
        <v>18</v>
      </c>
      <c r="E19" s="30">
        <f ca="1" t="array" ref="E19">INDEX(Data_DBD!$E:$E,$A19)</f>
        <v>1</v>
      </c>
      <c r="F19" s="30">
        <f ca="1" t="array" ref="F19">INDEX(Data_DBD!$F:$F,$A19)</f>
        <v>3</v>
      </c>
      <c r="H19" s="30">
        <v>96</v>
      </c>
      <c r="I19" s="30">
        <v>56</v>
      </c>
      <c r="J19" s="30">
        <v>4</v>
      </c>
      <c r="K19" s="30">
        <v>18</v>
      </c>
      <c r="L19" s="30">
        <v>0</v>
      </c>
      <c r="M19" s="30">
        <v>3</v>
      </c>
    </row>
    <row r="20" spans="1:13">
      <c r="A20" s="30">
        <f ca="1" t="shared" si="0"/>
        <v>161</v>
      </c>
      <c r="B20" s="30">
        <f ca="1" t="array" ref="B20">INDEX(Data_DBD!$B:$B,$A20)</f>
        <v>12</v>
      </c>
      <c r="C20" s="30">
        <f ca="1" t="array" ref="C20">INDEX(Data_DBD!$C:$C,$A20)</f>
        <v>3</v>
      </c>
      <c r="D20" s="30">
        <f ca="1" t="array" ref="D20">INDEX(Data_DBD!$D:$D,$A20)</f>
        <v>21</v>
      </c>
      <c r="E20" s="30">
        <f ca="1" t="array" ref="E20">INDEX(Data_DBD!$E:$E,$A20)</f>
        <v>1</v>
      </c>
      <c r="F20" s="30">
        <f ca="1" t="array" ref="F20">INDEX(Data_DBD!$F:$F,$A20)</f>
        <v>3</v>
      </c>
      <c r="H20" s="30">
        <v>97</v>
      </c>
      <c r="I20" s="30">
        <v>16</v>
      </c>
      <c r="J20" s="30">
        <v>2</v>
      </c>
      <c r="K20" s="30">
        <v>18</v>
      </c>
      <c r="L20" s="30">
        <v>1</v>
      </c>
      <c r="M20" s="30">
        <v>3</v>
      </c>
    </row>
    <row r="21" spans="1:13">
      <c r="A21" s="30">
        <f ca="1" t="shared" si="0"/>
        <v>106</v>
      </c>
      <c r="B21" s="30">
        <f ca="1" t="array" ref="B21">INDEX(Data_DBD!$B:$B,$A21)</f>
        <v>23</v>
      </c>
      <c r="C21" s="30">
        <f ca="1" t="array" ref="C21">INDEX(Data_DBD!$C:$C,$A21)</f>
        <v>3</v>
      </c>
      <c r="D21" s="30">
        <f ca="1" t="array" ref="D21">INDEX(Data_DBD!$D:$D,$A21)</f>
        <v>18</v>
      </c>
      <c r="E21" s="30">
        <f ca="1" t="array" ref="E21">INDEX(Data_DBD!$E:$E,$A21)</f>
        <v>1</v>
      </c>
      <c r="F21" s="30">
        <f ca="1" t="array" ref="F21">INDEX(Data_DBD!$F:$F,$A21)</f>
        <v>3</v>
      </c>
      <c r="H21" s="30">
        <v>134</v>
      </c>
      <c r="I21" s="30">
        <v>4</v>
      </c>
      <c r="J21" s="30">
        <v>2</v>
      </c>
      <c r="K21" s="30">
        <v>33</v>
      </c>
      <c r="L21" s="30">
        <v>1</v>
      </c>
      <c r="M21" s="30">
        <v>3</v>
      </c>
    </row>
    <row r="22" spans="1:13">
      <c r="A22" s="30">
        <f ca="1" t="shared" si="0"/>
        <v>152</v>
      </c>
      <c r="B22" s="30">
        <f ca="1" t="array" ref="B22">INDEX(Data_DBD!$B:$B,$A22)</f>
        <v>47</v>
      </c>
      <c r="C22" s="30">
        <f ca="1" t="array" ref="C22">INDEX(Data_DBD!$C:$C,$A22)</f>
        <v>3</v>
      </c>
      <c r="D22" s="30">
        <f ca="1" t="array" ref="D22">INDEX(Data_DBD!$D:$D,$A22)</f>
        <v>21</v>
      </c>
      <c r="E22" s="30">
        <f ca="1" t="array" ref="E22">INDEX(Data_DBD!$E:$E,$A22)</f>
        <v>1</v>
      </c>
      <c r="F22" s="30">
        <f ca="1" t="array" ref="F22">INDEX(Data_DBD!$F:$F,$A22)</f>
        <v>3</v>
      </c>
      <c r="H22" s="30">
        <v>54</v>
      </c>
      <c r="I22" s="30">
        <v>7</v>
      </c>
      <c r="J22" s="30">
        <v>3</v>
      </c>
      <c r="K22" s="30">
        <v>15</v>
      </c>
      <c r="L22" s="30">
        <v>0</v>
      </c>
      <c r="M22" s="30">
        <v>2</v>
      </c>
    </row>
    <row r="23" spans="1:13">
      <c r="A23" s="30">
        <f ca="1" t="shared" si="0"/>
        <v>123</v>
      </c>
      <c r="B23" s="30">
        <f ca="1" t="array" ref="B23">INDEX(Data_DBD!$B:$B,$A23)</f>
        <v>22</v>
      </c>
      <c r="C23" s="30">
        <f ca="1" t="array" ref="C23">INDEX(Data_DBD!$C:$C,$A23)</f>
        <v>4</v>
      </c>
      <c r="D23" s="30">
        <f ca="1" t="array" ref="D23">INDEX(Data_DBD!$D:$D,$A23)</f>
        <v>33</v>
      </c>
      <c r="E23" s="30">
        <f ca="1" t="array" ref="E23">INDEX(Data_DBD!$E:$E,$A23)</f>
        <v>0</v>
      </c>
      <c r="F23" s="30">
        <f ca="1" t="array" ref="F23">INDEX(Data_DBD!$F:$F,$A23)</f>
        <v>3</v>
      </c>
      <c r="H23" s="30">
        <v>34</v>
      </c>
      <c r="I23" s="30">
        <v>55</v>
      </c>
      <c r="J23" s="30">
        <v>3</v>
      </c>
      <c r="K23" s="30">
        <v>14</v>
      </c>
      <c r="L23" s="30">
        <v>0</v>
      </c>
      <c r="M23" s="30">
        <v>2</v>
      </c>
    </row>
    <row r="24" spans="1:13">
      <c r="A24" s="30">
        <f ca="1" t="shared" si="0"/>
        <v>20</v>
      </c>
      <c r="B24" s="30">
        <f ca="1" t="array" ref="B24">INDEX(Data_DBD!$B:$B,$A24)</f>
        <v>15</v>
      </c>
      <c r="C24" s="30">
        <f ca="1" t="array" ref="C24">INDEX(Data_DBD!$C:$C,$A24)</f>
        <v>5</v>
      </c>
      <c r="D24" s="30">
        <f ca="1" t="array" ref="D24">INDEX(Data_DBD!$D:$D,$A24)</f>
        <v>7</v>
      </c>
      <c r="E24" s="30">
        <f ca="1" t="array" ref="E24">INDEX(Data_DBD!$E:$E,$A24)</f>
        <v>0</v>
      </c>
      <c r="F24" s="30">
        <f ca="1" t="array" ref="F24">INDEX(Data_DBD!$F:$F,$A24)</f>
        <v>1</v>
      </c>
      <c r="H24" s="30">
        <v>148</v>
      </c>
      <c r="I24" s="30">
        <v>55</v>
      </c>
      <c r="J24" s="30">
        <v>3</v>
      </c>
      <c r="K24" s="30">
        <v>21</v>
      </c>
      <c r="L24" s="30">
        <v>1</v>
      </c>
      <c r="M24" s="30">
        <v>3</v>
      </c>
    </row>
    <row r="25" spans="1:13">
      <c r="A25" s="30">
        <f ca="1" t="shared" si="0"/>
        <v>44</v>
      </c>
      <c r="B25" s="30">
        <f ca="1" t="array" ref="B25">INDEX(Data_DBD!$B:$B,$A25)</f>
        <v>28</v>
      </c>
      <c r="C25" s="30">
        <f ca="1" t="array" ref="C25">INDEX(Data_DBD!$C:$C,$A25)</f>
        <v>5</v>
      </c>
      <c r="D25" s="30">
        <f ca="1" t="array" ref="D25">INDEX(Data_DBD!$D:$D,$A25)</f>
        <v>13</v>
      </c>
      <c r="E25" s="30">
        <f ca="1" t="array" ref="E25">INDEX(Data_DBD!$E:$E,$A25)</f>
        <v>1</v>
      </c>
      <c r="F25" s="30">
        <f ca="1" t="array" ref="F25">INDEX(Data_DBD!$F:$F,$A25)</f>
        <v>2</v>
      </c>
      <c r="H25" s="30">
        <v>133</v>
      </c>
      <c r="I25" s="30">
        <v>6</v>
      </c>
      <c r="J25" s="30">
        <v>4</v>
      </c>
      <c r="K25" s="30">
        <v>33</v>
      </c>
      <c r="L25" s="30">
        <v>0</v>
      </c>
      <c r="M25" s="30">
        <v>3</v>
      </c>
    </row>
    <row r="26" spans="1:13">
      <c r="A26" s="30">
        <f ca="1" t="shared" si="0"/>
        <v>96</v>
      </c>
      <c r="B26" s="30">
        <f ca="1" t="array" ref="B26">INDEX(Data_DBD!$B:$B,$A26)</f>
        <v>56</v>
      </c>
      <c r="C26" s="30">
        <f ca="1" t="array" ref="C26">INDEX(Data_DBD!$C:$C,$A26)</f>
        <v>4</v>
      </c>
      <c r="D26" s="30">
        <f ca="1" t="array" ref="D26">INDEX(Data_DBD!$D:$D,$A26)</f>
        <v>18</v>
      </c>
      <c r="E26" s="30">
        <f ca="1" t="array" ref="E26">INDEX(Data_DBD!$E:$E,$A26)</f>
        <v>0</v>
      </c>
      <c r="F26" s="30">
        <f ca="1" t="array" ref="F26">INDEX(Data_DBD!$F:$F,$A26)</f>
        <v>3</v>
      </c>
      <c r="H26" s="30">
        <v>118</v>
      </c>
      <c r="I26" s="30">
        <v>67</v>
      </c>
      <c r="J26" s="30">
        <v>4</v>
      </c>
      <c r="K26" s="30">
        <v>33</v>
      </c>
      <c r="L26" s="30">
        <v>1</v>
      </c>
      <c r="M26" s="30">
        <v>3</v>
      </c>
    </row>
    <row r="27" spans="1:13">
      <c r="A27" s="30">
        <f ca="1" t="shared" si="0"/>
        <v>30</v>
      </c>
      <c r="B27" s="30" t="str">
        <f ca="1" t="array" ref="B27">INDEX(Data_DBD!$B:$B,$A27)</f>
        <v>2,8</v>
      </c>
      <c r="C27" s="30">
        <f ca="1" t="array" ref="C27">INDEX(Data_DBD!$C:$C,$A27)</f>
        <v>2</v>
      </c>
      <c r="D27" s="30">
        <f ca="1" t="array" ref="D27">INDEX(Data_DBD!$D:$D,$A27)</f>
        <v>14</v>
      </c>
      <c r="E27" s="30">
        <f ca="1" t="array" ref="E27">INDEX(Data_DBD!$E:$E,$A27)</f>
        <v>1</v>
      </c>
      <c r="F27" s="30">
        <f ca="1" t="array" ref="F27">INDEX(Data_DBD!$F:$F,$A27)</f>
        <v>2</v>
      </c>
      <c r="H27" s="30">
        <v>150</v>
      </c>
      <c r="I27" s="30">
        <v>61</v>
      </c>
      <c r="J27" s="30">
        <v>5</v>
      </c>
      <c r="K27" s="30">
        <v>21</v>
      </c>
      <c r="L27" s="30">
        <v>1</v>
      </c>
      <c r="M27" s="30">
        <v>3</v>
      </c>
    </row>
    <row r="28" spans="1:13">
      <c r="A28" s="30">
        <f ca="1" t="shared" si="0"/>
        <v>54</v>
      </c>
      <c r="B28" s="30">
        <f ca="1" t="array" ref="B28">INDEX(Data_DBD!$B:$B,$A28)</f>
        <v>7</v>
      </c>
      <c r="C28" s="30">
        <f ca="1" t="array" ref="C28">INDEX(Data_DBD!$C:$C,$A28)</f>
        <v>3</v>
      </c>
      <c r="D28" s="30">
        <f ca="1" t="array" ref="D28">INDEX(Data_DBD!$D:$D,$A28)</f>
        <v>15</v>
      </c>
      <c r="E28" s="30">
        <f ca="1" t="array" ref="E28">INDEX(Data_DBD!$E:$E,$A28)</f>
        <v>0</v>
      </c>
      <c r="F28" s="30">
        <f ca="1" t="array" ref="F28">INDEX(Data_DBD!$F:$F,$A28)</f>
        <v>2</v>
      </c>
      <c r="H28" s="30">
        <v>131</v>
      </c>
      <c r="I28" s="30">
        <v>10</v>
      </c>
      <c r="J28" s="30">
        <v>2</v>
      </c>
      <c r="K28" s="30">
        <v>33</v>
      </c>
      <c r="L28" s="30">
        <v>0</v>
      </c>
      <c r="M28" s="30">
        <v>3</v>
      </c>
    </row>
    <row r="29" spans="1:13">
      <c r="A29" s="30">
        <f ca="1" t="shared" si="0"/>
        <v>26</v>
      </c>
      <c r="B29" s="30">
        <f ca="1" t="array" ref="B29">INDEX(Data_DBD!$B:$B,$A29)</f>
        <v>75</v>
      </c>
      <c r="C29" s="30">
        <f ca="1" t="array" ref="C29">INDEX(Data_DBD!$C:$C,$A29)</f>
        <v>4</v>
      </c>
      <c r="D29" s="30">
        <f ca="1" t="array" ref="D29">INDEX(Data_DBD!$D:$D,$A29)</f>
        <v>14</v>
      </c>
      <c r="E29" s="30">
        <f ca="1" t="array" ref="E29">INDEX(Data_DBD!$E:$E,$A29)</f>
        <v>1</v>
      </c>
      <c r="F29" s="30">
        <f ca="1" t="array" ref="F29">INDEX(Data_DBD!$F:$F,$A29)</f>
        <v>2</v>
      </c>
      <c r="H29" s="30">
        <v>30</v>
      </c>
      <c r="I29" s="30" t="s">
        <v>36</v>
      </c>
      <c r="J29" s="30">
        <v>2</v>
      </c>
      <c r="K29" s="30">
        <v>14</v>
      </c>
      <c r="L29" s="30">
        <v>1</v>
      </c>
      <c r="M29" s="30">
        <v>2</v>
      </c>
    </row>
    <row r="30" spans="1:13">
      <c r="A30" s="30">
        <f ca="1" t="shared" si="0"/>
        <v>49</v>
      </c>
      <c r="B30" s="30">
        <f ca="1" t="array" ref="B30">INDEX(Data_DBD!$B:$B,$A30)</f>
        <v>64</v>
      </c>
      <c r="C30" s="30">
        <f ca="1" t="array" ref="C30">INDEX(Data_DBD!$C:$C,$A30)</f>
        <v>5</v>
      </c>
      <c r="D30" s="30">
        <f ca="1" t="array" ref="D30">INDEX(Data_DBD!$D:$D,$A30)</f>
        <v>13</v>
      </c>
      <c r="E30" s="30">
        <f ca="1" t="array" ref="E30">INDEX(Data_DBD!$E:$E,$A30)</f>
        <v>0</v>
      </c>
      <c r="F30" s="30">
        <f ca="1" t="array" ref="F30">INDEX(Data_DBD!$F:$F,$A30)</f>
        <v>2</v>
      </c>
      <c r="H30" s="30">
        <v>37</v>
      </c>
      <c r="I30" s="30">
        <v>28</v>
      </c>
      <c r="J30" s="30">
        <v>4</v>
      </c>
      <c r="K30" s="30">
        <v>4</v>
      </c>
      <c r="L30" s="30">
        <v>1</v>
      </c>
      <c r="M30" s="30">
        <v>1</v>
      </c>
    </row>
    <row r="31" spans="1:13">
      <c r="A31" s="30">
        <f ca="1" t="shared" si="0"/>
        <v>106</v>
      </c>
      <c r="B31" s="30">
        <f ca="1" t="array" ref="B31">INDEX(Data_DBD!$B:$B,$A31)</f>
        <v>23</v>
      </c>
      <c r="C31" s="30">
        <f ca="1" t="array" ref="C31">INDEX(Data_DBD!$C:$C,$A31)</f>
        <v>3</v>
      </c>
      <c r="D31" s="30">
        <f ca="1" t="array" ref="D31">INDEX(Data_DBD!$D:$D,$A31)</f>
        <v>18</v>
      </c>
      <c r="E31" s="30">
        <f ca="1" t="array" ref="E31">INDEX(Data_DBD!$E:$E,$A31)</f>
        <v>1</v>
      </c>
      <c r="F31" s="30">
        <f ca="1" t="array" ref="F31">INDEX(Data_DBD!$F:$F,$A31)</f>
        <v>3</v>
      </c>
      <c r="H31" s="30">
        <v>161</v>
      </c>
      <c r="I31" s="30">
        <v>12</v>
      </c>
      <c r="J31" s="30">
        <v>3</v>
      </c>
      <c r="K31" s="30">
        <v>21</v>
      </c>
      <c r="L31" s="30">
        <v>1</v>
      </c>
      <c r="M31" s="30">
        <v>3</v>
      </c>
    </row>
    <row r="32" spans="1:13">
      <c r="A32" s="30">
        <f ca="1" t="shared" si="0"/>
        <v>69</v>
      </c>
      <c r="B32" s="30">
        <f ca="1" t="array" ref="B32">INDEX(Data_DBD!$B:$B,$A32)</f>
        <v>24</v>
      </c>
      <c r="C32" s="30">
        <f ca="1" t="array" ref="C32">INDEX(Data_DBD!$C:$C,$A32)</f>
        <v>4</v>
      </c>
      <c r="D32" s="30">
        <f ca="1" t="array" ref="D32">INDEX(Data_DBD!$D:$D,$A32)</f>
        <v>10</v>
      </c>
      <c r="E32" s="30">
        <f ca="1" t="array" ref="E32">INDEX(Data_DBD!$E:$E,$A32)</f>
        <v>1</v>
      </c>
      <c r="F32" s="30">
        <f ca="1" t="array" ref="F32">INDEX(Data_DBD!$F:$F,$A32)</f>
        <v>2</v>
      </c>
      <c r="H32" s="30">
        <v>2</v>
      </c>
      <c r="I32" s="30">
        <v>34</v>
      </c>
      <c r="J32" s="30">
        <v>3</v>
      </c>
      <c r="K32" s="30">
        <v>12</v>
      </c>
      <c r="L32" s="30">
        <v>0</v>
      </c>
      <c r="M32" s="30">
        <v>2</v>
      </c>
    </row>
    <row r="33" spans="1:13">
      <c r="A33" s="30">
        <f ca="1" t="shared" si="0"/>
        <v>25</v>
      </c>
      <c r="B33" s="30">
        <f ca="1" t="array" ref="B33">INDEX(Data_DBD!$B:$B,$A33)</f>
        <v>81</v>
      </c>
      <c r="C33" s="30">
        <f ca="1" t="array" ref="C33">INDEX(Data_DBD!$C:$C,$A33)</f>
        <v>5</v>
      </c>
      <c r="D33" s="30">
        <f ca="1" t="array" ref="D33">INDEX(Data_DBD!$D:$D,$A33)</f>
        <v>14</v>
      </c>
      <c r="E33" s="30">
        <f ca="1" t="array" ref="E33">INDEX(Data_DBD!$E:$E,$A33)</f>
        <v>0</v>
      </c>
      <c r="F33" s="30">
        <f ca="1" t="array" ref="F33">INDEX(Data_DBD!$F:$F,$A33)</f>
        <v>2</v>
      </c>
      <c r="H33" s="30">
        <v>128</v>
      </c>
      <c r="I33" s="30">
        <v>38</v>
      </c>
      <c r="J33" s="30">
        <v>2</v>
      </c>
      <c r="K33" s="30">
        <v>33</v>
      </c>
      <c r="L33" s="30">
        <v>0</v>
      </c>
      <c r="M33" s="30">
        <v>3</v>
      </c>
    </row>
    <row r="34" spans="1:13">
      <c r="A34" s="30">
        <f ca="1" t="shared" si="0"/>
        <v>164</v>
      </c>
      <c r="B34" s="30">
        <f ca="1" t="array" ref="B34">INDEX(Data_DBD!$B:$B,$A34)</f>
        <v>10</v>
      </c>
      <c r="C34" s="30">
        <f ca="1" t="array" ref="C34">INDEX(Data_DBD!$C:$C,$A34)</f>
        <v>6</v>
      </c>
      <c r="D34" s="30">
        <f ca="1" t="array" ref="D34">INDEX(Data_DBD!$D:$D,$A34)</f>
        <v>3</v>
      </c>
      <c r="E34" s="30">
        <f ca="1" t="array" ref="E34">INDEX(Data_DBD!$E:$E,$A34)</f>
        <v>0</v>
      </c>
      <c r="F34" s="30">
        <f ca="1" t="array" ref="F34">INDEX(Data_DBD!$F:$F,$A34)</f>
        <v>1</v>
      </c>
      <c r="H34" s="30">
        <v>87</v>
      </c>
      <c r="I34" s="30">
        <v>21</v>
      </c>
      <c r="J34" s="30">
        <v>3</v>
      </c>
      <c r="K34" s="30">
        <v>13</v>
      </c>
      <c r="L34" s="30">
        <v>0</v>
      </c>
      <c r="M34" s="30">
        <v>2</v>
      </c>
    </row>
    <row r="35" spans="1:13">
      <c r="A35" s="30">
        <f ca="1" t="shared" si="0"/>
        <v>61</v>
      </c>
      <c r="B35" s="30">
        <f ca="1" t="array" ref="B35">INDEX(Data_DBD!$B:$B,$A35)</f>
        <v>29</v>
      </c>
      <c r="C35" s="30">
        <f ca="1" t="array" ref="C35">INDEX(Data_DBD!$C:$C,$A35)</f>
        <v>3</v>
      </c>
      <c r="D35" s="30">
        <f ca="1" t="array" ref="D35">INDEX(Data_DBD!$D:$D,$A35)</f>
        <v>15</v>
      </c>
      <c r="E35" s="30">
        <f ca="1" t="array" ref="E35">INDEX(Data_DBD!$E:$E,$A35)</f>
        <v>1</v>
      </c>
      <c r="F35" s="30">
        <f ca="1" t="array" ref="F35">INDEX(Data_DBD!$F:$F,$A35)</f>
        <v>2</v>
      </c>
      <c r="H35" s="30">
        <v>82</v>
      </c>
      <c r="I35" s="30">
        <v>28</v>
      </c>
      <c r="J35" s="30">
        <v>3</v>
      </c>
      <c r="K35" s="30">
        <v>13</v>
      </c>
      <c r="L35" s="30">
        <v>1</v>
      </c>
      <c r="M35" s="30">
        <v>2</v>
      </c>
    </row>
    <row r="36" spans="1:13">
      <c r="A36" s="30">
        <f ca="1" t="shared" si="0"/>
        <v>25</v>
      </c>
      <c r="B36" s="30">
        <f ca="1" t="array" ref="B36">INDEX(Data_DBD!$B:$B,$A36)</f>
        <v>81</v>
      </c>
      <c r="C36" s="30">
        <f ca="1" t="array" ref="C36">INDEX(Data_DBD!$C:$C,$A36)</f>
        <v>5</v>
      </c>
      <c r="D36" s="30">
        <f ca="1" t="array" ref="D36">INDEX(Data_DBD!$D:$D,$A36)</f>
        <v>14</v>
      </c>
      <c r="E36" s="30">
        <f ca="1" t="array" ref="E36">INDEX(Data_DBD!$E:$E,$A36)</f>
        <v>0</v>
      </c>
      <c r="F36" s="30">
        <f ca="1" t="array" ref="F36">INDEX(Data_DBD!$F:$F,$A36)</f>
        <v>2</v>
      </c>
      <c r="H36" s="30">
        <v>144</v>
      </c>
      <c r="I36" s="30">
        <v>61</v>
      </c>
      <c r="J36" s="30">
        <v>4</v>
      </c>
      <c r="K36" s="30">
        <v>21</v>
      </c>
      <c r="L36" s="30">
        <v>1</v>
      </c>
      <c r="M36" s="30">
        <v>3</v>
      </c>
    </row>
    <row r="37" spans="1:13">
      <c r="A37" s="30">
        <f ca="1" t="shared" si="0"/>
        <v>40</v>
      </c>
      <c r="B37" s="30">
        <f ca="1" t="array" ref="B37">INDEX(Data_DBD!$B:$B,$A37)</f>
        <v>65</v>
      </c>
      <c r="C37" s="30">
        <f ca="1" t="array" ref="C37">INDEX(Data_DBD!$C:$C,$A37)</f>
        <v>3</v>
      </c>
      <c r="D37" s="30">
        <f ca="1" t="array" ref="D37">INDEX(Data_DBD!$D:$D,$A37)</f>
        <v>13</v>
      </c>
      <c r="E37" s="30">
        <f ca="1" t="array" ref="E37">INDEX(Data_DBD!$E:$E,$A37)</f>
        <v>1</v>
      </c>
      <c r="F37" s="30">
        <f ca="1" t="array" ref="F37">INDEX(Data_DBD!$F:$F,$A37)</f>
        <v>2</v>
      </c>
      <c r="H37" s="30">
        <v>32</v>
      </c>
      <c r="I37" s="30">
        <v>54</v>
      </c>
      <c r="J37" s="30">
        <v>4</v>
      </c>
      <c r="K37" s="30">
        <v>14</v>
      </c>
      <c r="L37" s="30">
        <v>0</v>
      </c>
      <c r="M37" s="30">
        <v>2</v>
      </c>
    </row>
    <row r="38" spans="1:13">
      <c r="A38" s="30">
        <f ca="1" t="shared" si="0"/>
        <v>164</v>
      </c>
      <c r="B38" s="30">
        <f ca="1" t="array" ref="B38">INDEX(Data_DBD!$B:$B,$A38)</f>
        <v>10</v>
      </c>
      <c r="C38" s="30">
        <f ca="1" t="array" ref="C38">INDEX(Data_DBD!$C:$C,$A38)</f>
        <v>6</v>
      </c>
      <c r="D38" s="30">
        <f ca="1" t="array" ref="D38">INDEX(Data_DBD!$D:$D,$A38)</f>
        <v>3</v>
      </c>
      <c r="E38" s="30">
        <f ca="1" t="array" ref="E38">INDEX(Data_DBD!$E:$E,$A38)</f>
        <v>0</v>
      </c>
      <c r="F38" s="30">
        <f ca="1" t="array" ref="F38">INDEX(Data_DBD!$F:$F,$A38)</f>
        <v>1</v>
      </c>
      <c r="H38" s="30">
        <v>152</v>
      </c>
      <c r="I38" s="30">
        <v>47</v>
      </c>
      <c r="J38" s="30">
        <v>3</v>
      </c>
      <c r="K38" s="30">
        <v>21</v>
      </c>
      <c r="L38" s="30">
        <v>1</v>
      </c>
      <c r="M38" s="30">
        <v>3</v>
      </c>
    </row>
    <row r="39" spans="1:13">
      <c r="A39" s="30">
        <f ca="1" t="shared" si="0"/>
        <v>45</v>
      </c>
      <c r="B39" s="30">
        <f ca="1" t="array" ref="B39">INDEX(Data_DBD!$B:$B,$A39)</f>
        <v>75</v>
      </c>
      <c r="C39" s="30">
        <f ca="1" t="array" ref="C39">INDEX(Data_DBD!$C:$C,$A39)</f>
        <v>3</v>
      </c>
      <c r="D39" s="30">
        <f ca="1" t="array" ref="D39">INDEX(Data_DBD!$D:$D,$A39)</f>
        <v>13</v>
      </c>
      <c r="E39" s="30">
        <f ca="1" t="array" ref="E39">INDEX(Data_DBD!$E:$E,$A39)</f>
        <v>1</v>
      </c>
      <c r="F39" s="30">
        <f ca="1" t="array" ref="F39">INDEX(Data_DBD!$F:$F,$A39)</f>
        <v>2</v>
      </c>
      <c r="H39" s="30">
        <v>75</v>
      </c>
      <c r="I39" s="30">
        <v>2</v>
      </c>
      <c r="J39" s="30">
        <v>2</v>
      </c>
      <c r="K39" s="30">
        <v>10</v>
      </c>
      <c r="L39" s="30">
        <v>1</v>
      </c>
      <c r="M39" s="30">
        <v>2</v>
      </c>
    </row>
    <row r="40" spans="1:13">
      <c r="A40" s="30">
        <f ca="1" t="shared" si="0"/>
        <v>61</v>
      </c>
      <c r="B40" s="30">
        <f ca="1" t="array" ref="B40">INDEX(Data_DBD!$B:$B,$A40)</f>
        <v>29</v>
      </c>
      <c r="C40" s="30">
        <f ca="1" t="array" ref="C40">INDEX(Data_DBD!$C:$C,$A40)</f>
        <v>3</v>
      </c>
      <c r="D40" s="30">
        <f ca="1" t="array" ref="D40">INDEX(Data_DBD!$D:$D,$A40)</f>
        <v>15</v>
      </c>
      <c r="E40" s="30">
        <f ca="1" t="array" ref="E40">INDEX(Data_DBD!$E:$E,$A40)</f>
        <v>1</v>
      </c>
      <c r="F40" s="30">
        <f ca="1" t="array" ref="F40">INDEX(Data_DBD!$F:$F,$A40)</f>
        <v>2</v>
      </c>
      <c r="H40" s="30">
        <v>107</v>
      </c>
      <c r="I40" s="30">
        <v>48</v>
      </c>
      <c r="J40" s="30">
        <v>5</v>
      </c>
      <c r="K40" s="30">
        <v>18</v>
      </c>
      <c r="L40" s="30">
        <v>0</v>
      </c>
      <c r="M40" s="30">
        <v>3</v>
      </c>
    </row>
    <row r="41" spans="1:13">
      <c r="A41" s="30">
        <f ca="1" t="shared" si="0"/>
        <v>77</v>
      </c>
      <c r="B41" s="30">
        <f ca="1" t="array" ref="B41">INDEX(Data_DBD!$B:$B,$A41)</f>
        <v>16</v>
      </c>
      <c r="C41" s="30">
        <f ca="1" t="array" ref="C41">INDEX(Data_DBD!$C:$C,$A41)</f>
        <v>4</v>
      </c>
      <c r="D41" s="30">
        <f ca="1" t="array" ref="D41">INDEX(Data_DBD!$D:$D,$A41)</f>
        <v>13</v>
      </c>
      <c r="E41" s="30">
        <f ca="1" t="array" ref="E41">INDEX(Data_DBD!$E:$E,$A41)</f>
        <v>1</v>
      </c>
      <c r="F41" s="30">
        <f ca="1" t="array" ref="F41">INDEX(Data_DBD!$F:$F,$A41)</f>
        <v>2</v>
      </c>
      <c r="H41" s="30">
        <v>142</v>
      </c>
      <c r="I41" s="30">
        <v>39</v>
      </c>
      <c r="J41" s="30">
        <v>2</v>
      </c>
      <c r="K41" s="30">
        <v>21</v>
      </c>
      <c r="L41" s="30">
        <v>1</v>
      </c>
      <c r="M41" s="30">
        <v>3</v>
      </c>
    </row>
    <row r="42" spans="1:13">
      <c r="A42" s="30">
        <f ca="1" t="shared" si="0"/>
        <v>111</v>
      </c>
      <c r="B42" s="30">
        <f ca="1" t="array" ref="B42">INDEX(Data_DBD!$B:$B,$A42)</f>
        <v>25</v>
      </c>
      <c r="C42" s="30">
        <f ca="1" t="array" ref="C42">INDEX(Data_DBD!$C:$C,$A42)</f>
        <v>4</v>
      </c>
      <c r="D42" s="30">
        <f ca="1" t="array" ref="D42">INDEX(Data_DBD!$D:$D,$A42)</f>
        <v>33</v>
      </c>
      <c r="E42" s="30">
        <f ca="1" t="array" ref="E42">INDEX(Data_DBD!$E:$E,$A42)</f>
        <v>0</v>
      </c>
      <c r="F42" s="30">
        <f ca="1" t="array" ref="F42">INDEX(Data_DBD!$F:$F,$A42)</f>
        <v>3</v>
      </c>
      <c r="H42" s="30">
        <v>41</v>
      </c>
      <c r="I42" s="30">
        <v>8</v>
      </c>
      <c r="J42" s="30">
        <v>4</v>
      </c>
      <c r="K42" s="30">
        <v>13</v>
      </c>
      <c r="L42" s="30">
        <v>0</v>
      </c>
      <c r="M42" s="30">
        <v>2</v>
      </c>
    </row>
    <row r="43" spans="1:13">
      <c r="A43" s="30">
        <f ca="1" t="shared" si="0"/>
        <v>44</v>
      </c>
      <c r="B43" s="30">
        <f ca="1" t="array" ref="B43">INDEX(Data_DBD!$B:$B,$A43)</f>
        <v>28</v>
      </c>
      <c r="C43" s="30">
        <f ca="1" t="array" ref="C43">INDEX(Data_DBD!$C:$C,$A43)</f>
        <v>5</v>
      </c>
      <c r="D43" s="30">
        <f ca="1" t="array" ref="D43">INDEX(Data_DBD!$D:$D,$A43)</f>
        <v>13</v>
      </c>
      <c r="E43" s="30">
        <f ca="1" t="array" ref="E43">INDEX(Data_DBD!$E:$E,$A43)</f>
        <v>1</v>
      </c>
      <c r="F43" s="30">
        <f ca="1" t="array" ref="F43">INDEX(Data_DBD!$F:$F,$A43)</f>
        <v>2</v>
      </c>
      <c r="H43" s="30">
        <v>136</v>
      </c>
      <c r="I43" s="30">
        <v>6</v>
      </c>
      <c r="J43" s="30">
        <v>2</v>
      </c>
      <c r="K43" s="30">
        <v>33</v>
      </c>
      <c r="L43" s="30">
        <v>0</v>
      </c>
      <c r="M43" s="30">
        <v>3</v>
      </c>
    </row>
    <row r="44" spans="1:13">
      <c r="A44" s="30">
        <f ca="1" t="shared" si="0"/>
        <v>73</v>
      </c>
      <c r="B44" s="30">
        <f ca="1" t="array" ref="B44">INDEX(Data_DBD!$B:$B,$A44)</f>
        <v>15</v>
      </c>
      <c r="C44" s="30">
        <f ca="1" t="array" ref="C44">INDEX(Data_DBD!$C:$C,$A44)</f>
        <v>3</v>
      </c>
      <c r="D44" s="30">
        <f ca="1" t="array" ref="D44">INDEX(Data_DBD!$D:$D,$A44)</f>
        <v>10</v>
      </c>
      <c r="E44" s="30">
        <f ca="1" t="array" ref="E44">INDEX(Data_DBD!$E:$E,$A44)</f>
        <v>1</v>
      </c>
      <c r="F44" s="30">
        <f ca="1" t="array" ref="F44">INDEX(Data_DBD!$F:$F,$A44)</f>
        <v>2</v>
      </c>
      <c r="H44" s="30">
        <v>104</v>
      </c>
      <c r="I44" s="30">
        <v>37</v>
      </c>
      <c r="J44" s="30">
        <v>4</v>
      </c>
      <c r="K44" s="30">
        <v>18</v>
      </c>
      <c r="L44" s="30">
        <v>1</v>
      </c>
      <c r="M44" s="30">
        <v>3</v>
      </c>
    </row>
    <row r="45" spans="1:13">
      <c r="A45" s="30">
        <f ca="1" t="shared" si="0"/>
        <v>99</v>
      </c>
      <c r="B45" s="30">
        <f ca="1" t="array" ref="B45">INDEX(Data_DBD!$B:$B,$A45)</f>
        <v>4</v>
      </c>
      <c r="C45" s="30">
        <f ca="1" t="array" ref="C45">INDEX(Data_DBD!$C:$C,$A45)</f>
        <v>2</v>
      </c>
      <c r="D45" s="30">
        <f ca="1" t="array" ref="D45">INDEX(Data_DBD!$D:$D,$A45)</f>
        <v>18</v>
      </c>
      <c r="E45" s="30">
        <f ca="1" t="array" ref="E45">INDEX(Data_DBD!$E:$E,$A45)</f>
        <v>1</v>
      </c>
      <c r="F45" s="30">
        <f ca="1" t="array" ref="F45">INDEX(Data_DBD!$F:$F,$A45)</f>
        <v>3</v>
      </c>
      <c r="H45" s="30">
        <v>151</v>
      </c>
      <c r="I45" s="30">
        <v>24</v>
      </c>
      <c r="J45" s="30">
        <v>3</v>
      </c>
      <c r="K45" s="30">
        <v>21</v>
      </c>
      <c r="L45" s="30">
        <v>0</v>
      </c>
      <c r="M45" s="30">
        <v>3</v>
      </c>
    </row>
    <row r="46" spans="1:13">
      <c r="A46" s="30">
        <f ca="1" t="shared" si="0"/>
        <v>161</v>
      </c>
      <c r="B46" s="30">
        <f ca="1" t="array" ref="B46">INDEX(Data_DBD!$B:$B,$A46)</f>
        <v>12</v>
      </c>
      <c r="C46" s="30">
        <f ca="1" t="array" ref="C46">INDEX(Data_DBD!$C:$C,$A46)</f>
        <v>3</v>
      </c>
      <c r="D46" s="30">
        <f ca="1" t="array" ref="D46">INDEX(Data_DBD!$D:$D,$A46)</f>
        <v>21</v>
      </c>
      <c r="E46" s="30">
        <f ca="1" t="array" ref="E46">INDEX(Data_DBD!$E:$E,$A46)</f>
        <v>1</v>
      </c>
      <c r="F46" s="30">
        <f ca="1" t="array" ref="F46">INDEX(Data_DBD!$F:$F,$A46)</f>
        <v>3</v>
      </c>
      <c r="H46" s="30">
        <v>25</v>
      </c>
      <c r="I46" s="30">
        <v>81</v>
      </c>
      <c r="J46" s="30">
        <v>5</v>
      </c>
      <c r="K46" s="30">
        <v>14</v>
      </c>
      <c r="L46" s="30">
        <v>0</v>
      </c>
      <c r="M46" s="30">
        <v>2</v>
      </c>
    </row>
    <row r="47" spans="1:13">
      <c r="A47" s="30">
        <f ca="1" t="shared" si="0"/>
        <v>100</v>
      </c>
      <c r="B47" s="30">
        <f ca="1" t="array" ref="B47">INDEX(Data_DBD!$B:$B,$A47)</f>
        <v>19</v>
      </c>
      <c r="C47" s="30">
        <f ca="1" t="array" ref="C47">INDEX(Data_DBD!$C:$C,$A47)</f>
        <v>6</v>
      </c>
      <c r="D47" s="30">
        <f ca="1" t="array" ref="D47">INDEX(Data_DBD!$D:$D,$A47)</f>
        <v>18</v>
      </c>
      <c r="E47" s="30">
        <f ca="1" t="array" ref="E47">INDEX(Data_DBD!$E:$E,$A47)</f>
        <v>0</v>
      </c>
      <c r="F47" s="30">
        <f ca="1" t="array" ref="F47">INDEX(Data_DBD!$F:$F,$A47)</f>
        <v>3</v>
      </c>
      <c r="H47" s="30">
        <v>19</v>
      </c>
      <c r="I47" s="30">
        <v>8</v>
      </c>
      <c r="J47" s="30">
        <v>4</v>
      </c>
      <c r="K47" s="30">
        <v>7</v>
      </c>
      <c r="L47" s="30">
        <v>0</v>
      </c>
      <c r="M47" s="30">
        <v>1</v>
      </c>
    </row>
    <row r="48" spans="1:13">
      <c r="A48" s="30">
        <f ca="1" t="shared" si="0"/>
        <v>128</v>
      </c>
      <c r="B48" s="30">
        <f ca="1" t="array" ref="B48">INDEX(Data_DBD!$B:$B,$A48)</f>
        <v>38</v>
      </c>
      <c r="C48" s="30">
        <f ca="1" t="array" ref="C48">INDEX(Data_DBD!$C:$C,$A48)</f>
        <v>2</v>
      </c>
      <c r="D48" s="30">
        <f ca="1" t="array" ref="D48">INDEX(Data_DBD!$D:$D,$A48)</f>
        <v>33</v>
      </c>
      <c r="E48" s="30">
        <f ca="1" t="array" ref="E48">INDEX(Data_DBD!$E:$E,$A48)</f>
        <v>0</v>
      </c>
      <c r="F48" s="30">
        <f ca="1" t="array" ref="F48">INDEX(Data_DBD!$F:$F,$A48)</f>
        <v>3</v>
      </c>
      <c r="H48" s="30">
        <v>104</v>
      </c>
      <c r="I48" s="30">
        <v>37</v>
      </c>
      <c r="J48" s="30">
        <v>4</v>
      </c>
      <c r="K48" s="30">
        <v>18</v>
      </c>
      <c r="L48" s="30">
        <v>1</v>
      </c>
      <c r="M48" s="30">
        <v>3</v>
      </c>
    </row>
    <row r="49" spans="1:13">
      <c r="A49" s="30">
        <f ca="1" t="shared" si="0"/>
        <v>83</v>
      </c>
      <c r="B49" s="30">
        <f ca="1" t="array" ref="B49">INDEX(Data_DBD!$B:$B,$A49)</f>
        <v>50</v>
      </c>
      <c r="C49" s="30">
        <f ca="1" t="array" ref="C49">INDEX(Data_DBD!$C:$C,$A49)</f>
        <v>3</v>
      </c>
      <c r="D49" s="30">
        <f ca="1" t="array" ref="D49">INDEX(Data_DBD!$D:$D,$A49)</f>
        <v>13</v>
      </c>
      <c r="E49" s="30">
        <f ca="1" t="array" ref="E49">INDEX(Data_DBD!$E:$E,$A49)</f>
        <v>0</v>
      </c>
      <c r="F49" s="30">
        <f ca="1" t="array" ref="F49">INDEX(Data_DBD!$F:$F,$A49)</f>
        <v>2</v>
      </c>
      <c r="H49" s="30">
        <v>26</v>
      </c>
      <c r="I49" s="30">
        <v>75</v>
      </c>
      <c r="J49" s="30">
        <v>4</v>
      </c>
      <c r="K49" s="30">
        <v>14</v>
      </c>
      <c r="L49" s="30">
        <v>1</v>
      </c>
      <c r="M49" s="30">
        <v>2</v>
      </c>
    </row>
    <row r="50" spans="1:13">
      <c r="A50" s="30">
        <f ca="1" t="shared" si="0"/>
        <v>115</v>
      </c>
      <c r="B50" s="30">
        <f ca="1" t="array" ref="B50">INDEX(Data_DBD!$B:$B,$A50)</f>
        <v>52</v>
      </c>
      <c r="C50" s="30">
        <f ca="1" t="array" ref="C50">INDEX(Data_DBD!$C:$C,$A50)</f>
        <v>3</v>
      </c>
      <c r="D50" s="30">
        <f ca="1" t="array" ref="D50">INDEX(Data_DBD!$D:$D,$A50)</f>
        <v>33</v>
      </c>
      <c r="E50" s="30">
        <f ca="1" t="array" ref="E50">INDEX(Data_DBD!$E:$E,$A50)</f>
        <v>1</v>
      </c>
      <c r="F50" s="30">
        <f ca="1" t="array" ref="F50">INDEX(Data_DBD!$F:$F,$A50)</f>
        <v>3</v>
      </c>
      <c r="H50" s="30">
        <v>160</v>
      </c>
      <c r="I50" s="30">
        <v>16</v>
      </c>
      <c r="J50" s="30">
        <v>3</v>
      </c>
      <c r="K50" s="30">
        <v>21</v>
      </c>
      <c r="L50" s="30">
        <v>0</v>
      </c>
      <c r="M50" s="30">
        <v>3</v>
      </c>
    </row>
    <row r="51" spans="1:13">
      <c r="A51" s="30">
        <f ca="1" t="shared" si="0"/>
        <v>125</v>
      </c>
      <c r="B51" s="30">
        <f ca="1" t="array" ref="B51">INDEX(Data_DBD!$B:$B,$A51)</f>
        <v>39</v>
      </c>
      <c r="C51" s="30">
        <f ca="1" t="array" ref="C51">INDEX(Data_DBD!$C:$C,$A51)</f>
        <v>4</v>
      </c>
      <c r="D51" s="30">
        <f ca="1" t="array" ref="D51">INDEX(Data_DBD!$D:$D,$A51)</f>
        <v>33</v>
      </c>
      <c r="E51" s="30">
        <f ca="1" t="array" ref="E51">INDEX(Data_DBD!$E:$E,$A51)</f>
        <v>0</v>
      </c>
      <c r="F51" s="30">
        <f ca="1" t="array" ref="F51">INDEX(Data_DBD!$F:$F,$A51)</f>
        <v>3</v>
      </c>
      <c r="H51" s="30">
        <v>94</v>
      </c>
      <c r="I51" s="30">
        <v>12</v>
      </c>
      <c r="J51" s="30">
        <v>4</v>
      </c>
      <c r="K51" s="30">
        <v>18</v>
      </c>
      <c r="L51" s="30">
        <v>0</v>
      </c>
      <c r="M51" s="30">
        <v>3</v>
      </c>
    </row>
    <row r="52" spans="1:13">
      <c r="A52" s="30">
        <f ca="1" t="shared" si="0"/>
        <v>96</v>
      </c>
      <c r="B52" s="30">
        <f ca="1" t="array" ref="B52">INDEX(Data_DBD!$B:$B,$A52)</f>
        <v>56</v>
      </c>
      <c r="C52" s="30">
        <f ca="1" t="array" ref="C52">INDEX(Data_DBD!$C:$C,$A52)</f>
        <v>4</v>
      </c>
      <c r="D52" s="30">
        <f ca="1" t="array" ref="D52">INDEX(Data_DBD!$D:$D,$A52)</f>
        <v>18</v>
      </c>
      <c r="E52" s="30">
        <f ca="1" t="array" ref="E52">INDEX(Data_DBD!$E:$E,$A52)</f>
        <v>0</v>
      </c>
      <c r="F52" s="30">
        <f ca="1" t="array" ref="F52">INDEX(Data_DBD!$F:$F,$A52)</f>
        <v>3</v>
      </c>
      <c r="H52" s="30">
        <v>57</v>
      </c>
      <c r="I52" s="30">
        <v>2</v>
      </c>
      <c r="J52" s="30">
        <v>2</v>
      </c>
      <c r="K52" s="30">
        <v>15</v>
      </c>
      <c r="L52" s="30">
        <v>1</v>
      </c>
      <c r="M52" s="30">
        <v>2</v>
      </c>
    </row>
    <row r="53" spans="1:13">
      <c r="A53" s="30">
        <f ca="1" t="shared" si="0"/>
        <v>146</v>
      </c>
      <c r="B53" s="30">
        <f ca="1" t="array" ref="B53">INDEX(Data_DBD!$B:$B,$A53)</f>
        <v>34</v>
      </c>
      <c r="C53" s="30">
        <f ca="1" t="array" ref="C53">INDEX(Data_DBD!$C:$C,$A53)</f>
        <v>2</v>
      </c>
      <c r="D53" s="30">
        <f ca="1" t="array" ref="D53">INDEX(Data_DBD!$D:$D,$A53)</f>
        <v>21</v>
      </c>
      <c r="E53" s="30">
        <f ca="1" t="array" ref="E53">INDEX(Data_DBD!$E:$E,$A53)</f>
        <v>1</v>
      </c>
      <c r="F53" s="30">
        <f ca="1" t="array" ref="F53">INDEX(Data_DBD!$F:$F,$A53)</f>
        <v>3</v>
      </c>
      <c r="H53" s="30">
        <v>20</v>
      </c>
      <c r="I53" s="30">
        <v>15</v>
      </c>
      <c r="J53" s="30">
        <v>5</v>
      </c>
      <c r="K53" s="30">
        <v>7</v>
      </c>
      <c r="L53" s="30">
        <v>0</v>
      </c>
      <c r="M53" s="30">
        <v>1</v>
      </c>
    </row>
    <row r="54" spans="1:13">
      <c r="A54" s="30">
        <f ca="1" t="shared" si="0"/>
        <v>90</v>
      </c>
      <c r="B54" s="30">
        <f ca="1" t="array" ref="B54">INDEX(Data_DBD!$B:$B,$A54)</f>
        <v>47</v>
      </c>
      <c r="C54" s="30">
        <f ca="1" t="array" ref="C54">INDEX(Data_DBD!$C:$C,$A54)</f>
        <v>3</v>
      </c>
      <c r="D54" s="30">
        <f ca="1" t="array" ref="D54">INDEX(Data_DBD!$D:$D,$A54)</f>
        <v>18</v>
      </c>
      <c r="E54" s="30">
        <f ca="1" t="array" ref="E54">INDEX(Data_DBD!$E:$E,$A54)</f>
        <v>0</v>
      </c>
      <c r="F54" s="30">
        <f ca="1" t="array" ref="F54">INDEX(Data_DBD!$F:$F,$A54)</f>
        <v>3</v>
      </c>
      <c r="H54" s="30">
        <v>66</v>
      </c>
      <c r="I54" s="30">
        <v>21</v>
      </c>
      <c r="J54" s="30">
        <v>5</v>
      </c>
      <c r="K54" s="30">
        <v>15</v>
      </c>
      <c r="L54" s="30">
        <v>1</v>
      </c>
      <c r="M54" s="30">
        <v>2</v>
      </c>
    </row>
    <row r="55" spans="1:13">
      <c r="A55" s="30">
        <f ca="1" t="shared" si="0"/>
        <v>53</v>
      </c>
      <c r="B55" s="30">
        <f ca="1" t="array" ref="B55">INDEX(Data_DBD!$B:$B,$A55)</f>
        <v>35</v>
      </c>
      <c r="C55" s="30">
        <f ca="1" t="array" ref="C55">INDEX(Data_DBD!$C:$C,$A55)</f>
        <v>4</v>
      </c>
      <c r="D55" s="30">
        <f ca="1" t="array" ref="D55">INDEX(Data_DBD!$D:$D,$A55)</f>
        <v>15</v>
      </c>
      <c r="E55" s="30">
        <f ca="1" t="array" ref="E55">INDEX(Data_DBD!$E:$E,$A55)</f>
        <v>1</v>
      </c>
      <c r="F55" s="30">
        <f ca="1" t="array" ref="F55">INDEX(Data_DBD!$F:$F,$A55)</f>
        <v>2</v>
      </c>
      <c r="H55" s="30">
        <v>153</v>
      </c>
      <c r="I55" s="30">
        <v>73</v>
      </c>
      <c r="J55" s="30">
        <v>7</v>
      </c>
      <c r="K55" s="30">
        <v>21</v>
      </c>
      <c r="L55" s="30">
        <v>1</v>
      </c>
      <c r="M55" s="30">
        <v>3</v>
      </c>
    </row>
    <row r="56" spans="1:13">
      <c r="A56" s="30">
        <f ca="1" t="shared" si="0"/>
        <v>158</v>
      </c>
      <c r="B56" s="30">
        <f ca="1" t="array" ref="B56">INDEX(Data_DBD!$B:$B,$A56)</f>
        <v>5</v>
      </c>
      <c r="C56" s="30">
        <f ca="1" t="array" ref="C56">INDEX(Data_DBD!$C:$C,$A56)</f>
        <v>2</v>
      </c>
      <c r="D56" s="30">
        <f ca="1" t="array" ref="D56">INDEX(Data_DBD!$D:$D,$A56)</f>
        <v>21</v>
      </c>
      <c r="E56" s="30">
        <f ca="1" t="array" ref="E56">INDEX(Data_DBD!$E:$E,$A56)</f>
        <v>0</v>
      </c>
      <c r="F56" s="30">
        <f ca="1" t="array" ref="F56">INDEX(Data_DBD!$F:$F,$A56)</f>
        <v>3</v>
      </c>
      <c r="H56" s="30">
        <v>148</v>
      </c>
      <c r="I56" s="30">
        <v>55</v>
      </c>
      <c r="J56" s="30">
        <v>3</v>
      </c>
      <c r="K56" s="30">
        <v>21</v>
      </c>
      <c r="L56" s="30">
        <v>1</v>
      </c>
      <c r="M56" s="30">
        <v>3</v>
      </c>
    </row>
    <row r="57" spans="1:13">
      <c r="A57" s="30">
        <f ca="1" t="shared" si="0"/>
        <v>61</v>
      </c>
      <c r="B57" s="30">
        <f ca="1" t="array" ref="B57">INDEX(Data_DBD!$B:$B,$A57)</f>
        <v>29</v>
      </c>
      <c r="C57" s="30">
        <f ca="1" t="array" ref="C57">INDEX(Data_DBD!$C:$C,$A57)</f>
        <v>3</v>
      </c>
      <c r="D57" s="30">
        <f ca="1" t="array" ref="D57">INDEX(Data_DBD!$D:$D,$A57)</f>
        <v>15</v>
      </c>
      <c r="E57" s="30">
        <f ca="1" t="array" ref="E57">INDEX(Data_DBD!$E:$E,$A57)</f>
        <v>1</v>
      </c>
      <c r="F57" s="30">
        <f ca="1" t="array" ref="F57">INDEX(Data_DBD!$F:$F,$A57)</f>
        <v>2</v>
      </c>
      <c r="H57" s="30">
        <v>93</v>
      </c>
      <c r="I57" s="30">
        <v>65</v>
      </c>
      <c r="J57" s="30">
        <v>4</v>
      </c>
      <c r="K57" s="30">
        <v>18</v>
      </c>
      <c r="L57" s="30">
        <v>0</v>
      </c>
      <c r="M57" s="30">
        <v>3</v>
      </c>
    </row>
    <row r="58" spans="1:13">
      <c r="A58" s="30">
        <f ca="1" t="shared" si="0"/>
        <v>160</v>
      </c>
      <c r="B58" s="30">
        <f ca="1" t="array" ref="B58">INDEX(Data_DBD!$B:$B,$A58)</f>
        <v>16</v>
      </c>
      <c r="C58" s="30">
        <f ca="1" t="array" ref="C58">INDEX(Data_DBD!$C:$C,$A58)</f>
        <v>3</v>
      </c>
      <c r="D58" s="30">
        <f ca="1" t="array" ref="D58">INDEX(Data_DBD!$D:$D,$A58)</f>
        <v>21</v>
      </c>
      <c r="E58" s="30">
        <f ca="1" t="array" ref="E58">INDEX(Data_DBD!$E:$E,$A58)</f>
        <v>0</v>
      </c>
      <c r="F58" s="30">
        <f ca="1" t="array" ref="F58">INDEX(Data_DBD!$F:$F,$A58)</f>
        <v>3</v>
      </c>
      <c r="H58" s="30">
        <v>86</v>
      </c>
      <c r="I58" s="30">
        <v>23</v>
      </c>
      <c r="J58" s="30">
        <v>3</v>
      </c>
      <c r="K58" s="30">
        <v>13</v>
      </c>
      <c r="L58" s="30">
        <v>0</v>
      </c>
      <c r="M58" s="30">
        <v>2</v>
      </c>
    </row>
    <row r="59" spans="1:13">
      <c r="A59" s="30">
        <f ca="1" t="shared" si="0"/>
        <v>111</v>
      </c>
      <c r="B59" s="30">
        <f ca="1" t="array" ref="B59">INDEX(Data_DBD!$B:$B,$A59)</f>
        <v>25</v>
      </c>
      <c r="C59" s="30">
        <f ca="1" t="array" ref="C59">INDEX(Data_DBD!$C:$C,$A59)</f>
        <v>4</v>
      </c>
      <c r="D59" s="30">
        <f ca="1" t="array" ref="D59">INDEX(Data_DBD!$D:$D,$A59)</f>
        <v>33</v>
      </c>
      <c r="E59" s="30">
        <f ca="1" t="array" ref="E59">INDEX(Data_DBD!$E:$E,$A59)</f>
        <v>0</v>
      </c>
      <c r="F59" s="30">
        <f ca="1" t="array" ref="F59">INDEX(Data_DBD!$F:$F,$A59)</f>
        <v>3</v>
      </c>
      <c r="H59" s="30">
        <v>142</v>
      </c>
      <c r="I59" s="30">
        <v>39</v>
      </c>
      <c r="J59" s="30">
        <v>2</v>
      </c>
      <c r="K59" s="30">
        <v>21</v>
      </c>
      <c r="L59" s="30">
        <v>1</v>
      </c>
      <c r="M59" s="30">
        <v>3</v>
      </c>
    </row>
    <row r="60" spans="1:13">
      <c r="A60" s="30">
        <f ca="1" t="shared" si="0"/>
        <v>44</v>
      </c>
      <c r="B60" s="30">
        <f ca="1" t="array" ref="B60">INDEX(Data_DBD!$B:$B,$A60)</f>
        <v>28</v>
      </c>
      <c r="C60" s="30">
        <f ca="1" t="array" ref="C60">INDEX(Data_DBD!$C:$C,$A60)</f>
        <v>5</v>
      </c>
      <c r="D60" s="30">
        <f ca="1" t="array" ref="D60">INDEX(Data_DBD!$D:$D,$A60)</f>
        <v>13</v>
      </c>
      <c r="E60" s="30">
        <f ca="1" t="array" ref="E60">INDEX(Data_DBD!$E:$E,$A60)</f>
        <v>1</v>
      </c>
      <c r="F60" s="30">
        <f ca="1" t="array" ref="F60">INDEX(Data_DBD!$F:$F,$A60)</f>
        <v>2</v>
      </c>
      <c r="H60" s="30">
        <v>85</v>
      </c>
      <c r="I60" s="30">
        <v>27</v>
      </c>
      <c r="J60" s="30">
        <v>9</v>
      </c>
      <c r="K60" s="30">
        <v>13</v>
      </c>
      <c r="L60" s="30">
        <v>0</v>
      </c>
      <c r="M60" s="30">
        <v>2</v>
      </c>
    </row>
    <row r="61" spans="1:13">
      <c r="A61" s="30">
        <f ca="1" t="shared" si="0"/>
        <v>40</v>
      </c>
      <c r="B61" s="30">
        <f ca="1" t="array" ref="B61">INDEX(Data_DBD!$B:$B,$A61)</f>
        <v>65</v>
      </c>
      <c r="C61" s="30">
        <f ca="1" t="array" ref="C61">INDEX(Data_DBD!$C:$C,$A61)</f>
        <v>3</v>
      </c>
      <c r="D61" s="30">
        <f ca="1" t="array" ref="D61">INDEX(Data_DBD!$D:$D,$A61)</f>
        <v>13</v>
      </c>
      <c r="E61" s="30">
        <f ca="1" t="array" ref="E61">INDEX(Data_DBD!$E:$E,$A61)</f>
        <v>1</v>
      </c>
      <c r="F61" s="30">
        <f ca="1" t="array" ref="F61">INDEX(Data_DBD!$F:$F,$A61)</f>
        <v>2</v>
      </c>
      <c r="H61" s="30">
        <v>155</v>
      </c>
      <c r="I61" s="30">
        <v>19</v>
      </c>
      <c r="J61" s="30">
        <v>5</v>
      </c>
      <c r="K61" s="30">
        <v>21</v>
      </c>
      <c r="L61" s="30">
        <v>1</v>
      </c>
      <c r="M61" s="30">
        <v>3</v>
      </c>
    </row>
    <row r="62" spans="1:13">
      <c r="A62" s="30">
        <f ca="1" t="shared" si="0"/>
        <v>133</v>
      </c>
      <c r="B62" s="30">
        <f ca="1" t="array" ref="B62">INDEX(Data_DBD!$B:$B,$A62)</f>
        <v>6</v>
      </c>
      <c r="C62" s="30">
        <f ca="1" t="array" ref="C62">INDEX(Data_DBD!$C:$C,$A62)</f>
        <v>4</v>
      </c>
      <c r="D62" s="30">
        <f ca="1" t="array" ref="D62">INDEX(Data_DBD!$D:$D,$A62)</f>
        <v>33</v>
      </c>
      <c r="E62" s="30">
        <f ca="1" t="array" ref="E62">INDEX(Data_DBD!$E:$E,$A62)</f>
        <v>0</v>
      </c>
      <c r="F62" s="30">
        <f ca="1" t="array" ref="F62">INDEX(Data_DBD!$F:$F,$A62)</f>
        <v>3</v>
      </c>
      <c r="H62" s="30">
        <v>124</v>
      </c>
      <c r="I62" s="30">
        <v>24</v>
      </c>
      <c r="J62" s="30">
        <v>3</v>
      </c>
      <c r="K62" s="30">
        <v>33</v>
      </c>
      <c r="L62" s="30">
        <v>1</v>
      </c>
      <c r="M62" s="30">
        <v>3</v>
      </c>
    </row>
    <row r="63" spans="1:13">
      <c r="A63" s="30">
        <f ca="1" t="shared" si="0"/>
        <v>63</v>
      </c>
      <c r="B63" s="30">
        <f ca="1" t="array" ref="B63">INDEX(Data_DBD!$B:$B,$A63)</f>
        <v>25</v>
      </c>
      <c r="C63" s="30">
        <f ca="1" t="array" ref="C63">INDEX(Data_DBD!$C:$C,$A63)</f>
        <v>3</v>
      </c>
      <c r="D63" s="30">
        <f ca="1" t="array" ref="D63">INDEX(Data_DBD!$D:$D,$A63)</f>
        <v>15</v>
      </c>
      <c r="E63" s="30">
        <f ca="1" t="array" ref="E63">INDEX(Data_DBD!$E:$E,$A63)</f>
        <v>0</v>
      </c>
      <c r="F63" s="30">
        <f ca="1" t="array" ref="F63">INDEX(Data_DBD!$F:$F,$A63)</f>
        <v>2</v>
      </c>
      <c r="H63" s="30">
        <v>119</v>
      </c>
      <c r="I63" s="30">
        <v>30</v>
      </c>
      <c r="J63" s="30">
        <v>7</v>
      </c>
      <c r="K63" s="30">
        <v>33</v>
      </c>
      <c r="L63" s="30">
        <v>0</v>
      </c>
      <c r="M63" s="30">
        <v>3</v>
      </c>
    </row>
    <row r="64" spans="1:13">
      <c r="A64" s="30">
        <f ca="1" t="shared" si="0"/>
        <v>95</v>
      </c>
      <c r="B64" s="30">
        <f ca="1" t="array" ref="B64">INDEX(Data_DBD!$B:$B,$A64)</f>
        <v>11</v>
      </c>
      <c r="C64" s="30">
        <f ca="1" t="array" ref="C64">INDEX(Data_DBD!$C:$C,$A64)</f>
        <v>3</v>
      </c>
      <c r="D64" s="30">
        <f ca="1" t="array" ref="D64">INDEX(Data_DBD!$D:$D,$A64)</f>
        <v>18</v>
      </c>
      <c r="E64" s="30">
        <f ca="1" t="array" ref="E64">INDEX(Data_DBD!$E:$E,$A64)</f>
        <v>1</v>
      </c>
      <c r="F64" s="30">
        <f ca="1" t="array" ref="F64">INDEX(Data_DBD!$F:$F,$A64)</f>
        <v>3</v>
      </c>
      <c r="H64" s="30">
        <v>108</v>
      </c>
      <c r="I64" s="30">
        <v>69</v>
      </c>
      <c r="J64" s="30">
        <v>7</v>
      </c>
      <c r="K64" s="30">
        <v>33</v>
      </c>
      <c r="L64" s="30">
        <v>1</v>
      </c>
      <c r="M64" s="30">
        <v>3</v>
      </c>
    </row>
    <row r="65" spans="1:13">
      <c r="A65" s="30">
        <f ca="1" t="shared" si="0"/>
        <v>72</v>
      </c>
      <c r="B65" s="30">
        <f ca="1" t="array" ref="B65">INDEX(Data_DBD!$B:$B,$A65)</f>
        <v>3</v>
      </c>
      <c r="C65" s="30">
        <f ca="1" t="array" ref="C65">INDEX(Data_DBD!$C:$C,$A65)</f>
        <v>5</v>
      </c>
      <c r="D65" s="30">
        <f ca="1" t="array" ref="D65">INDEX(Data_DBD!$D:$D,$A65)</f>
        <v>10</v>
      </c>
      <c r="E65" s="30">
        <f ca="1" t="array" ref="E65">INDEX(Data_DBD!$E:$E,$A65)</f>
        <v>1</v>
      </c>
      <c r="F65" s="30">
        <f ca="1" t="array" ref="F65">INDEX(Data_DBD!$F:$F,$A65)</f>
        <v>2</v>
      </c>
      <c r="H65" s="30">
        <v>45</v>
      </c>
      <c r="I65" s="30">
        <v>75</v>
      </c>
      <c r="J65" s="30">
        <v>3</v>
      </c>
      <c r="K65" s="30">
        <v>13</v>
      </c>
      <c r="L65" s="30">
        <v>1</v>
      </c>
      <c r="M65" s="30">
        <v>2</v>
      </c>
    </row>
    <row r="66" spans="1:13">
      <c r="A66" s="30">
        <f ca="1" t="shared" si="0"/>
        <v>93</v>
      </c>
      <c r="B66" s="30">
        <f ca="1" t="array" ref="B66">INDEX(Data_DBD!$B:$B,$A66)</f>
        <v>65</v>
      </c>
      <c r="C66" s="30">
        <f ca="1" t="array" ref="C66">INDEX(Data_DBD!$C:$C,$A66)</f>
        <v>4</v>
      </c>
      <c r="D66" s="30">
        <f ca="1" t="array" ref="D66">INDEX(Data_DBD!$D:$D,$A66)</f>
        <v>18</v>
      </c>
      <c r="E66" s="30">
        <f ca="1" t="array" ref="E66">INDEX(Data_DBD!$E:$E,$A66)</f>
        <v>0</v>
      </c>
      <c r="F66" s="30">
        <f ca="1" t="array" ref="F66">INDEX(Data_DBD!$F:$F,$A66)</f>
        <v>3</v>
      </c>
      <c r="H66" s="30">
        <v>145</v>
      </c>
      <c r="I66" s="30">
        <v>28</v>
      </c>
      <c r="J66" s="30">
        <v>4</v>
      </c>
      <c r="K66" s="30">
        <v>21</v>
      </c>
      <c r="L66" s="30">
        <v>1</v>
      </c>
      <c r="M66" s="30">
        <v>3</v>
      </c>
    </row>
    <row r="67" spans="1:13">
      <c r="A67" s="30">
        <f ca="1" t="shared" ref="A67:A130" si="1">RANDBETWEEN(2,164)</f>
        <v>24</v>
      </c>
      <c r="B67" s="30">
        <f ca="1" t="array" ref="B67">INDEX(Data_DBD!$B:$B,$A67)</f>
        <v>60</v>
      </c>
      <c r="C67" s="30">
        <f ca="1" t="array" ref="C67">INDEX(Data_DBD!$C:$C,$A67)</f>
        <v>4</v>
      </c>
      <c r="D67" s="30">
        <f ca="1" t="array" ref="D67">INDEX(Data_DBD!$D:$D,$A67)</f>
        <v>14</v>
      </c>
      <c r="E67" s="30">
        <f ca="1" t="array" ref="E67">INDEX(Data_DBD!$E:$E,$A67)</f>
        <v>0</v>
      </c>
      <c r="F67" s="30">
        <f ca="1" t="array" ref="F67">INDEX(Data_DBD!$F:$F,$A67)</f>
        <v>2</v>
      </c>
      <c r="H67" s="30">
        <v>12</v>
      </c>
      <c r="I67" s="30">
        <v>23</v>
      </c>
      <c r="J67" s="30">
        <v>3</v>
      </c>
      <c r="K67" s="30">
        <v>12</v>
      </c>
      <c r="L67" s="30">
        <v>0</v>
      </c>
      <c r="M67" s="30">
        <v>2</v>
      </c>
    </row>
    <row r="68" spans="1:13">
      <c r="A68" s="30">
        <f ca="1" t="shared" si="1"/>
        <v>148</v>
      </c>
      <c r="B68" s="30">
        <f ca="1" t="array" ref="B68">INDEX(Data_DBD!$B:$B,$A68)</f>
        <v>55</v>
      </c>
      <c r="C68" s="30">
        <f ca="1" t="array" ref="C68">INDEX(Data_DBD!$C:$C,$A68)</f>
        <v>3</v>
      </c>
      <c r="D68" s="30">
        <f ca="1" t="array" ref="D68">INDEX(Data_DBD!$D:$D,$A68)</f>
        <v>21</v>
      </c>
      <c r="E68" s="30">
        <f ca="1" t="array" ref="E68">INDEX(Data_DBD!$E:$E,$A68)</f>
        <v>1</v>
      </c>
      <c r="F68" s="30">
        <f ca="1" t="array" ref="F68">INDEX(Data_DBD!$F:$F,$A68)</f>
        <v>3</v>
      </c>
      <c r="H68" s="30">
        <v>107</v>
      </c>
      <c r="I68" s="30">
        <v>48</v>
      </c>
      <c r="J68" s="30">
        <v>5</v>
      </c>
      <c r="K68" s="30">
        <v>18</v>
      </c>
      <c r="L68" s="30">
        <v>0</v>
      </c>
      <c r="M68" s="30">
        <v>3</v>
      </c>
    </row>
    <row r="69" spans="1:13">
      <c r="A69" s="30">
        <f ca="1" t="shared" si="1"/>
        <v>127</v>
      </c>
      <c r="B69" s="30">
        <f ca="1" t="array" ref="B69">INDEX(Data_DBD!$B:$B,$A69)</f>
        <v>21</v>
      </c>
      <c r="C69" s="30">
        <f ca="1" t="array" ref="C69">INDEX(Data_DBD!$C:$C,$A69)</f>
        <v>2</v>
      </c>
      <c r="D69" s="30">
        <f ca="1" t="array" ref="D69">INDEX(Data_DBD!$D:$D,$A69)</f>
        <v>33</v>
      </c>
      <c r="E69" s="30">
        <f ca="1" t="array" ref="E69">INDEX(Data_DBD!$E:$E,$A69)</f>
        <v>0</v>
      </c>
      <c r="F69" s="30">
        <f ca="1" t="array" ref="F69">INDEX(Data_DBD!$F:$F,$A69)</f>
        <v>3</v>
      </c>
      <c r="H69" s="30">
        <v>47</v>
      </c>
      <c r="I69" s="30">
        <v>19</v>
      </c>
      <c r="J69" s="30">
        <v>2</v>
      </c>
      <c r="K69" s="30">
        <v>13</v>
      </c>
      <c r="L69" s="30">
        <v>0</v>
      </c>
      <c r="M69" s="30">
        <v>2</v>
      </c>
    </row>
    <row r="70" spans="1:13">
      <c r="A70" s="30">
        <f ca="1" t="shared" si="1"/>
        <v>14</v>
      </c>
      <c r="B70" s="30">
        <f ca="1" t="array" ref="B70">INDEX(Data_DBD!$B:$B,$A70)</f>
        <v>49</v>
      </c>
      <c r="C70" s="30">
        <f ca="1" t="array" ref="C70">INDEX(Data_DBD!$C:$C,$A70)</f>
        <v>4</v>
      </c>
      <c r="D70" s="30">
        <f ca="1" t="array" ref="D70">INDEX(Data_DBD!$D:$D,$A70)</f>
        <v>7</v>
      </c>
      <c r="E70" s="30">
        <f ca="1" t="array" ref="E70">INDEX(Data_DBD!$E:$E,$A70)</f>
        <v>1</v>
      </c>
      <c r="F70" s="30">
        <f ca="1" t="array" ref="F70">INDEX(Data_DBD!$F:$F,$A70)</f>
        <v>1</v>
      </c>
      <c r="H70" s="30">
        <v>102</v>
      </c>
      <c r="I70" s="30">
        <v>41</v>
      </c>
      <c r="J70" s="30">
        <v>4</v>
      </c>
      <c r="K70" s="30">
        <v>18</v>
      </c>
      <c r="L70" s="30">
        <v>0</v>
      </c>
      <c r="M70" s="30">
        <v>3</v>
      </c>
    </row>
    <row r="71" spans="1:13">
      <c r="A71" s="30">
        <f ca="1" t="shared" si="1"/>
        <v>43</v>
      </c>
      <c r="B71" s="30">
        <f ca="1" t="array" ref="B71">INDEX(Data_DBD!$B:$B,$A71)</f>
        <v>15</v>
      </c>
      <c r="C71" s="30">
        <f ca="1" t="array" ref="C71">INDEX(Data_DBD!$C:$C,$A71)</f>
        <v>4</v>
      </c>
      <c r="D71" s="30">
        <f ca="1" t="array" ref="D71">INDEX(Data_DBD!$D:$D,$A71)</f>
        <v>13</v>
      </c>
      <c r="E71" s="30">
        <f ca="1" t="array" ref="E71">INDEX(Data_DBD!$E:$E,$A71)</f>
        <v>0</v>
      </c>
      <c r="F71" s="30">
        <f ca="1" t="array" ref="F71">INDEX(Data_DBD!$F:$F,$A71)</f>
        <v>2</v>
      </c>
      <c r="H71" s="30">
        <v>132</v>
      </c>
      <c r="I71" s="30">
        <v>10</v>
      </c>
      <c r="J71" s="30">
        <v>3</v>
      </c>
      <c r="K71" s="30">
        <v>33</v>
      </c>
      <c r="L71" s="30">
        <v>1</v>
      </c>
      <c r="M71" s="30">
        <v>3</v>
      </c>
    </row>
    <row r="72" spans="1:13">
      <c r="A72" s="30">
        <f ca="1" t="shared" si="1"/>
        <v>63</v>
      </c>
      <c r="B72" s="30">
        <f ca="1" t="array" ref="B72">INDEX(Data_DBD!$B:$B,$A72)</f>
        <v>25</v>
      </c>
      <c r="C72" s="30">
        <f ca="1" t="array" ref="C72">INDEX(Data_DBD!$C:$C,$A72)</f>
        <v>3</v>
      </c>
      <c r="D72" s="30">
        <f ca="1" t="array" ref="D72">INDEX(Data_DBD!$D:$D,$A72)</f>
        <v>15</v>
      </c>
      <c r="E72" s="30">
        <f ca="1" t="array" ref="E72">INDEX(Data_DBD!$E:$E,$A72)</f>
        <v>0</v>
      </c>
      <c r="F72" s="30">
        <f ca="1" t="array" ref="F72">INDEX(Data_DBD!$F:$F,$A72)</f>
        <v>2</v>
      </c>
      <c r="H72" s="30">
        <v>64</v>
      </c>
      <c r="I72" s="30">
        <v>35</v>
      </c>
      <c r="J72" s="30">
        <v>1</v>
      </c>
      <c r="K72" s="30">
        <v>15</v>
      </c>
      <c r="L72" s="30">
        <v>0</v>
      </c>
      <c r="M72" s="30">
        <v>2</v>
      </c>
    </row>
    <row r="73" spans="1:13">
      <c r="A73" s="30">
        <f ca="1" t="shared" si="1"/>
        <v>123</v>
      </c>
      <c r="B73" s="30">
        <f ca="1" t="array" ref="B73">INDEX(Data_DBD!$B:$B,$A73)</f>
        <v>22</v>
      </c>
      <c r="C73" s="30">
        <f ca="1" t="array" ref="C73">INDEX(Data_DBD!$C:$C,$A73)</f>
        <v>4</v>
      </c>
      <c r="D73" s="30">
        <f ca="1" t="array" ref="D73">INDEX(Data_DBD!$D:$D,$A73)</f>
        <v>33</v>
      </c>
      <c r="E73" s="30">
        <f ca="1" t="array" ref="E73">INDEX(Data_DBD!$E:$E,$A73)</f>
        <v>0</v>
      </c>
      <c r="F73" s="30">
        <f ca="1" t="array" ref="F73">INDEX(Data_DBD!$F:$F,$A73)</f>
        <v>3</v>
      </c>
      <c r="H73" s="30">
        <v>52</v>
      </c>
      <c r="I73" s="30">
        <v>59</v>
      </c>
      <c r="J73" s="30">
        <v>4</v>
      </c>
      <c r="K73" s="30">
        <v>15</v>
      </c>
      <c r="L73" s="30">
        <v>1</v>
      </c>
      <c r="M73" s="30">
        <v>2</v>
      </c>
    </row>
    <row r="74" spans="1:13">
      <c r="A74" s="30">
        <f ca="1" t="shared" si="1"/>
        <v>155</v>
      </c>
      <c r="B74" s="30">
        <f ca="1" t="array" ref="B74">INDEX(Data_DBD!$B:$B,$A74)</f>
        <v>19</v>
      </c>
      <c r="C74" s="30">
        <f ca="1" t="array" ref="C74">INDEX(Data_DBD!$C:$C,$A74)</f>
        <v>5</v>
      </c>
      <c r="D74" s="30">
        <f ca="1" t="array" ref="D74">INDEX(Data_DBD!$D:$D,$A74)</f>
        <v>21</v>
      </c>
      <c r="E74" s="30">
        <f ca="1" t="array" ref="E74">INDEX(Data_DBD!$E:$E,$A74)</f>
        <v>1</v>
      </c>
      <c r="F74" s="30">
        <f ca="1" t="array" ref="F74">INDEX(Data_DBD!$F:$F,$A74)</f>
        <v>3</v>
      </c>
      <c r="H74" s="30">
        <v>134</v>
      </c>
      <c r="I74" s="30">
        <v>4</v>
      </c>
      <c r="J74" s="30">
        <v>2</v>
      </c>
      <c r="K74" s="30">
        <v>33</v>
      </c>
      <c r="L74" s="30">
        <v>1</v>
      </c>
      <c r="M74" s="30">
        <v>3</v>
      </c>
    </row>
    <row r="75" spans="1:13">
      <c r="A75" s="30">
        <f ca="1" t="shared" si="1"/>
        <v>153</v>
      </c>
      <c r="B75" s="30">
        <f ca="1" t="array" ref="B75">INDEX(Data_DBD!$B:$B,$A75)</f>
        <v>73</v>
      </c>
      <c r="C75" s="30">
        <f ca="1" t="array" ref="C75">INDEX(Data_DBD!$C:$C,$A75)</f>
        <v>7</v>
      </c>
      <c r="D75" s="30">
        <f ca="1" t="array" ref="D75">INDEX(Data_DBD!$D:$D,$A75)</f>
        <v>21</v>
      </c>
      <c r="E75" s="30">
        <f ca="1" t="array" ref="E75">INDEX(Data_DBD!$E:$E,$A75)</f>
        <v>1</v>
      </c>
      <c r="F75" s="30">
        <f ca="1" t="array" ref="F75">INDEX(Data_DBD!$F:$F,$A75)</f>
        <v>3</v>
      </c>
      <c r="H75" s="30">
        <v>104</v>
      </c>
      <c r="I75" s="30">
        <v>37</v>
      </c>
      <c r="J75" s="30">
        <v>4</v>
      </c>
      <c r="K75" s="30">
        <v>18</v>
      </c>
      <c r="L75" s="30">
        <v>1</v>
      </c>
      <c r="M75" s="30">
        <v>3</v>
      </c>
    </row>
    <row r="76" spans="1:13">
      <c r="A76" s="30">
        <f ca="1" t="shared" si="1"/>
        <v>29</v>
      </c>
      <c r="B76" s="30">
        <f ca="1" t="array" ref="B76">INDEX(Data_DBD!$B:$B,$A76)</f>
        <v>19</v>
      </c>
      <c r="C76" s="30">
        <f ca="1" t="array" ref="C76">INDEX(Data_DBD!$C:$C,$A76)</f>
        <v>2</v>
      </c>
      <c r="D76" s="30">
        <f ca="1" t="array" ref="D76">INDEX(Data_DBD!$D:$D,$A76)</f>
        <v>14</v>
      </c>
      <c r="E76" s="30">
        <f ca="1" t="array" ref="E76">INDEX(Data_DBD!$E:$E,$A76)</f>
        <v>1</v>
      </c>
      <c r="F76" s="30">
        <f ca="1" t="array" ref="F76">INDEX(Data_DBD!$F:$F,$A76)</f>
        <v>2</v>
      </c>
      <c r="H76" s="30">
        <v>30</v>
      </c>
      <c r="I76" s="30" t="s">
        <v>36</v>
      </c>
      <c r="J76" s="30">
        <v>2</v>
      </c>
      <c r="K76" s="30">
        <v>14</v>
      </c>
      <c r="L76" s="30">
        <v>1</v>
      </c>
      <c r="M76" s="30">
        <v>2</v>
      </c>
    </row>
    <row r="77" spans="1:13">
      <c r="A77" s="30">
        <f ca="1" t="shared" si="1"/>
        <v>111</v>
      </c>
      <c r="B77" s="30">
        <f ca="1" t="array" ref="B77">INDEX(Data_DBD!$B:$B,$A77)</f>
        <v>25</v>
      </c>
      <c r="C77" s="30">
        <f ca="1" t="array" ref="C77">INDEX(Data_DBD!$C:$C,$A77)</f>
        <v>4</v>
      </c>
      <c r="D77" s="30">
        <f ca="1" t="array" ref="D77">INDEX(Data_DBD!$D:$D,$A77)</f>
        <v>33</v>
      </c>
      <c r="E77" s="30">
        <f ca="1" t="array" ref="E77">INDEX(Data_DBD!$E:$E,$A77)</f>
        <v>0</v>
      </c>
      <c r="F77" s="30">
        <f ca="1" t="array" ref="F77">INDEX(Data_DBD!$F:$F,$A77)</f>
        <v>3</v>
      </c>
      <c r="H77" s="30">
        <v>114</v>
      </c>
      <c r="I77" s="30">
        <v>14</v>
      </c>
      <c r="J77" s="30">
        <v>2</v>
      </c>
      <c r="K77" s="30">
        <v>33</v>
      </c>
      <c r="L77" s="30">
        <v>1</v>
      </c>
      <c r="M77" s="30">
        <v>3</v>
      </c>
    </row>
    <row r="78" spans="1:13">
      <c r="A78" s="30">
        <f ca="1" t="shared" si="1"/>
        <v>73</v>
      </c>
      <c r="B78" s="30">
        <f ca="1" t="array" ref="B78">INDEX(Data_DBD!$B:$B,$A78)</f>
        <v>15</v>
      </c>
      <c r="C78" s="30">
        <f ca="1" t="array" ref="C78">INDEX(Data_DBD!$C:$C,$A78)</f>
        <v>3</v>
      </c>
      <c r="D78" s="30">
        <f ca="1" t="array" ref="D78">INDEX(Data_DBD!$D:$D,$A78)</f>
        <v>10</v>
      </c>
      <c r="E78" s="30">
        <f ca="1" t="array" ref="E78">INDEX(Data_DBD!$E:$E,$A78)</f>
        <v>1</v>
      </c>
      <c r="F78" s="30">
        <f ca="1" t="array" ref="F78">INDEX(Data_DBD!$F:$F,$A78)</f>
        <v>2</v>
      </c>
      <c r="H78" s="30">
        <v>54</v>
      </c>
      <c r="I78" s="30">
        <v>7</v>
      </c>
      <c r="J78" s="30">
        <v>3</v>
      </c>
      <c r="K78" s="30">
        <v>15</v>
      </c>
      <c r="L78" s="30">
        <v>0</v>
      </c>
      <c r="M78" s="30">
        <v>2</v>
      </c>
    </row>
    <row r="79" spans="1:13">
      <c r="A79" s="30">
        <f ca="1" t="shared" si="1"/>
        <v>161</v>
      </c>
      <c r="B79" s="30">
        <f ca="1" t="array" ref="B79">INDEX(Data_DBD!$B:$B,$A79)</f>
        <v>12</v>
      </c>
      <c r="C79" s="30">
        <f ca="1" t="array" ref="C79">INDEX(Data_DBD!$C:$C,$A79)</f>
        <v>3</v>
      </c>
      <c r="D79" s="30">
        <f ca="1" t="array" ref="D79">INDEX(Data_DBD!$D:$D,$A79)</f>
        <v>21</v>
      </c>
      <c r="E79" s="30">
        <f ca="1" t="array" ref="E79">INDEX(Data_DBD!$E:$E,$A79)</f>
        <v>1</v>
      </c>
      <c r="F79" s="30">
        <f ca="1" t="array" ref="F79">INDEX(Data_DBD!$F:$F,$A79)</f>
        <v>3</v>
      </c>
      <c r="H79" s="30">
        <v>28</v>
      </c>
      <c r="I79" s="30">
        <v>22</v>
      </c>
      <c r="J79" s="30">
        <v>2</v>
      </c>
      <c r="K79" s="30">
        <v>14</v>
      </c>
      <c r="L79" s="30">
        <v>1</v>
      </c>
      <c r="M79" s="30">
        <v>2</v>
      </c>
    </row>
    <row r="80" spans="1:13">
      <c r="A80" s="30">
        <f ca="1" t="shared" si="1"/>
        <v>149</v>
      </c>
      <c r="B80" s="30">
        <f ca="1" t="array" ref="B80">INDEX(Data_DBD!$B:$B,$A80)</f>
        <v>19</v>
      </c>
      <c r="C80" s="30">
        <f ca="1" t="array" ref="C80">INDEX(Data_DBD!$C:$C,$A80)</f>
        <v>5</v>
      </c>
      <c r="D80" s="30">
        <f ca="1" t="array" ref="D80">INDEX(Data_DBD!$D:$D,$A80)</f>
        <v>21</v>
      </c>
      <c r="E80" s="30">
        <f ca="1" t="array" ref="E80">INDEX(Data_DBD!$E:$E,$A80)</f>
        <v>0</v>
      </c>
      <c r="F80" s="30">
        <f ca="1" t="array" ref="F80">INDEX(Data_DBD!$F:$F,$A80)</f>
        <v>3</v>
      </c>
      <c r="H80" s="30">
        <v>100</v>
      </c>
      <c r="I80" s="30">
        <v>19</v>
      </c>
      <c r="J80" s="30">
        <v>6</v>
      </c>
      <c r="K80" s="30">
        <v>18</v>
      </c>
      <c r="L80" s="30">
        <v>0</v>
      </c>
      <c r="M80" s="30">
        <v>3</v>
      </c>
    </row>
    <row r="81" spans="1:13">
      <c r="A81" s="30">
        <f ca="1" t="shared" si="1"/>
        <v>44</v>
      </c>
      <c r="B81" s="30">
        <f ca="1" t="array" ref="B81">INDEX(Data_DBD!$B:$B,$A81)</f>
        <v>28</v>
      </c>
      <c r="C81" s="30">
        <f ca="1" t="array" ref="C81">INDEX(Data_DBD!$C:$C,$A81)</f>
        <v>5</v>
      </c>
      <c r="D81" s="30">
        <f ca="1" t="array" ref="D81">INDEX(Data_DBD!$D:$D,$A81)</f>
        <v>13</v>
      </c>
      <c r="E81" s="30">
        <f ca="1" t="array" ref="E81">INDEX(Data_DBD!$E:$E,$A81)</f>
        <v>1</v>
      </c>
      <c r="F81" s="30">
        <f ca="1" t="array" ref="F81">INDEX(Data_DBD!$F:$F,$A81)</f>
        <v>2</v>
      </c>
      <c r="H81" s="30">
        <v>18</v>
      </c>
      <c r="I81" s="30">
        <v>49</v>
      </c>
      <c r="J81" s="30">
        <v>4</v>
      </c>
      <c r="K81" s="30">
        <v>7</v>
      </c>
      <c r="L81" s="30">
        <v>1</v>
      </c>
      <c r="M81" s="30">
        <v>1</v>
      </c>
    </row>
    <row r="82" spans="1:13">
      <c r="A82" s="30">
        <f ca="1" t="shared" si="1"/>
        <v>155</v>
      </c>
      <c r="B82" s="30">
        <f ca="1" t="array" ref="B82">INDEX(Data_DBD!$B:$B,$A82)</f>
        <v>19</v>
      </c>
      <c r="C82" s="30">
        <f ca="1" t="array" ref="C82">INDEX(Data_DBD!$C:$C,$A82)</f>
        <v>5</v>
      </c>
      <c r="D82" s="30">
        <f ca="1" t="array" ref="D82">INDEX(Data_DBD!$D:$D,$A82)</f>
        <v>21</v>
      </c>
      <c r="E82" s="30">
        <f ca="1" t="array" ref="E82">INDEX(Data_DBD!$E:$E,$A82)</f>
        <v>1</v>
      </c>
      <c r="F82" s="30">
        <f ca="1" t="array" ref="F82">INDEX(Data_DBD!$F:$F,$A82)</f>
        <v>3</v>
      </c>
      <c r="H82" s="30">
        <v>118</v>
      </c>
      <c r="I82" s="30">
        <v>67</v>
      </c>
      <c r="J82" s="30">
        <v>4</v>
      </c>
      <c r="K82" s="30">
        <v>33</v>
      </c>
      <c r="L82" s="30">
        <v>1</v>
      </c>
      <c r="M82" s="30">
        <v>3</v>
      </c>
    </row>
    <row r="83" spans="1:13">
      <c r="A83" s="30">
        <f ca="1" t="shared" si="1"/>
        <v>45</v>
      </c>
      <c r="B83" s="30">
        <f ca="1" t="array" ref="B83">INDEX(Data_DBD!$B:$B,$A83)</f>
        <v>75</v>
      </c>
      <c r="C83" s="30">
        <f ca="1" t="array" ref="C83">INDEX(Data_DBD!$C:$C,$A83)</f>
        <v>3</v>
      </c>
      <c r="D83" s="30">
        <f ca="1" t="array" ref="D83">INDEX(Data_DBD!$D:$D,$A83)</f>
        <v>13</v>
      </c>
      <c r="E83" s="30">
        <f ca="1" t="array" ref="E83">INDEX(Data_DBD!$E:$E,$A83)</f>
        <v>1</v>
      </c>
      <c r="F83" s="30">
        <f ca="1" t="array" ref="F83">INDEX(Data_DBD!$F:$F,$A83)</f>
        <v>2</v>
      </c>
      <c r="H83" s="30">
        <v>20</v>
      </c>
      <c r="I83" s="30">
        <v>15</v>
      </c>
      <c r="J83" s="30">
        <v>5</v>
      </c>
      <c r="K83" s="30">
        <v>7</v>
      </c>
      <c r="L83" s="30">
        <v>0</v>
      </c>
      <c r="M83" s="30">
        <v>1</v>
      </c>
    </row>
    <row r="84" spans="1:13">
      <c r="A84" s="30">
        <f ca="1" t="shared" si="1"/>
        <v>81</v>
      </c>
      <c r="B84" s="30">
        <f ca="1" t="array" ref="B84">INDEX(Data_DBD!$B:$B,$A84)</f>
        <v>23</v>
      </c>
      <c r="C84" s="30">
        <f ca="1" t="array" ref="C84">INDEX(Data_DBD!$C:$C,$A84)</f>
        <v>5</v>
      </c>
      <c r="D84" s="30">
        <f ca="1" t="array" ref="D84">INDEX(Data_DBD!$D:$D,$A84)</f>
        <v>13</v>
      </c>
      <c r="E84" s="30">
        <f ca="1" t="array" ref="E84">INDEX(Data_DBD!$E:$E,$A84)</f>
        <v>1</v>
      </c>
      <c r="F84" s="30">
        <f ca="1" t="array" ref="F84">INDEX(Data_DBD!$F:$F,$A84)</f>
        <v>2</v>
      </c>
      <c r="H84" s="30">
        <v>105</v>
      </c>
      <c r="I84" s="30">
        <v>61</v>
      </c>
      <c r="J84" s="30">
        <v>3</v>
      </c>
      <c r="K84" s="30">
        <v>18</v>
      </c>
      <c r="L84" s="30">
        <v>1</v>
      </c>
      <c r="M84" s="30">
        <v>3</v>
      </c>
    </row>
    <row r="85" spans="1:13">
      <c r="A85" s="30">
        <f ca="1" t="shared" si="1"/>
        <v>26</v>
      </c>
      <c r="B85" s="30">
        <f ca="1" t="array" ref="B85">INDEX(Data_DBD!$B:$B,$A85)</f>
        <v>75</v>
      </c>
      <c r="C85" s="30">
        <f ca="1" t="array" ref="C85">INDEX(Data_DBD!$C:$C,$A85)</f>
        <v>4</v>
      </c>
      <c r="D85" s="30">
        <f ca="1" t="array" ref="D85">INDEX(Data_DBD!$D:$D,$A85)</f>
        <v>14</v>
      </c>
      <c r="E85" s="30">
        <f ca="1" t="array" ref="E85">INDEX(Data_DBD!$E:$E,$A85)</f>
        <v>1</v>
      </c>
      <c r="F85" s="30">
        <f ca="1" t="array" ref="F85">INDEX(Data_DBD!$F:$F,$A85)</f>
        <v>2</v>
      </c>
      <c r="H85" s="30">
        <v>112</v>
      </c>
      <c r="I85" s="30">
        <v>61</v>
      </c>
      <c r="J85" s="30">
        <v>3</v>
      </c>
      <c r="K85" s="30">
        <v>33</v>
      </c>
      <c r="L85" s="30">
        <v>1</v>
      </c>
      <c r="M85" s="30">
        <v>3</v>
      </c>
    </row>
    <row r="86" spans="1:13">
      <c r="A86" s="30">
        <f ca="1" t="shared" si="1"/>
        <v>98</v>
      </c>
      <c r="B86" s="30">
        <f ca="1" t="array" ref="B86">INDEX(Data_DBD!$B:$B,$A86)</f>
        <v>16</v>
      </c>
      <c r="C86" s="30">
        <f ca="1" t="array" ref="C86">INDEX(Data_DBD!$C:$C,$A86)</f>
        <v>2</v>
      </c>
      <c r="D86" s="30">
        <f ca="1" t="array" ref="D86">INDEX(Data_DBD!$D:$D,$A86)</f>
        <v>18</v>
      </c>
      <c r="E86" s="30">
        <f ca="1" t="array" ref="E86">INDEX(Data_DBD!$E:$E,$A86)</f>
        <v>1</v>
      </c>
      <c r="F86" s="30">
        <f ca="1" t="array" ref="F86">INDEX(Data_DBD!$F:$F,$A86)</f>
        <v>3</v>
      </c>
      <c r="H86" s="30">
        <v>55</v>
      </c>
      <c r="I86" s="30">
        <v>7</v>
      </c>
      <c r="J86" s="30">
        <v>4</v>
      </c>
      <c r="K86" s="30">
        <v>15</v>
      </c>
      <c r="L86" s="30">
        <v>1</v>
      </c>
      <c r="M86" s="30">
        <v>2</v>
      </c>
    </row>
    <row r="87" spans="1:13">
      <c r="A87" s="30">
        <f ca="1" t="shared" si="1"/>
        <v>83</v>
      </c>
      <c r="B87" s="30">
        <f ca="1" t="array" ref="B87">INDEX(Data_DBD!$B:$B,$A87)</f>
        <v>50</v>
      </c>
      <c r="C87" s="30">
        <f ca="1" t="array" ref="C87">INDEX(Data_DBD!$C:$C,$A87)</f>
        <v>3</v>
      </c>
      <c r="D87" s="30">
        <f ca="1" t="array" ref="D87">INDEX(Data_DBD!$D:$D,$A87)</f>
        <v>13</v>
      </c>
      <c r="E87" s="30">
        <f ca="1" t="array" ref="E87">INDEX(Data_DBD!$E:$E,$A87)</f>
        <v>0</v>
      </c>
      <c r="F87" s="30">
        <f ca="1" t="array" ref="F87">INDEX(Data_DBD!$F:$F,$A87)</f>
        <v>2</v>
      </c>
      <c r="H87" s="30">
        <v>80</v>
      </c>
      <c r="I87" s="30">
        <v>27</v>
      </c>
      <c r="J87" s="30">
        <v>3</v>
      </c>
      <c r="K87" s="30">
        <v>13</v>
      </c>
      <c r="L87" s="30">
        <v>1</v>
      </c>
      <c r="M87" s="30">
        <v>2</v>
      </c>
    </row>
    <row r="88" spans="1:13">
      <c r="A88" s="30">
        <f ca="1" t="shared" si="1"/>
        <v>152</v>
      </c>
      <c r="B88" s="30">
        <f ca="1" t="array" ref="B88">INDEX(Data_DBD!$B:$B,$A88)</f>
        <v>47</v>
      </c>
      <c r="C88" s="30">
        <f ca="1" t="array" ref="C88">INDEX(Data_DBD!$C:$C,$A88)</f>
        <v>3</v>
      </c>
      <c r="D88" s="30">
        <f ca="1" t="array" ref="D88">INDEX(Data_DBD!$D:$D,$A88)</f>
        <v>21</v>
      </c>
      <c r="E88" s="30">
        <f ca="1" t="array" ref="E88">INDEX(Data_DBD!$E:$E,$A88)</f>
        <v>1</v>
      </c>
      <c r="F88" s="30">
        <f ca="1" t="array" ref="F88">INDEX(Data_DBD!$F:$F,$A88)</f>
        <v>3</v>
      </c>
      <c r="H88" s="30">
        <v>70</v>
      </c>
      <c r="I88" s="30">
        <v>26</v>
      </c>
      <c r="J88" s="30">
        <v>3</v>
      </c>
      <c r="K88" s="30">
        <v>10</v>
      </c>
      <c r="L88" s="30">
        <v>1</v>
      </c>
      <c r="M88" s="30">
        <v>2</v>
      </c>
    </row>
    <row r="89" spans="1:13">
      <c r="A89" s="30">
        <f ca="1" t="shared" si="1"/>
        <v>16</v>
      </c>
      <c r="B89" s="30">
        <f ca="1" t="array" ref="B89">INDEX(Data_DBD!$B:$B,$A89)</f>
        <v>66</v>
      </c>
      <c r="C89" s="30">
        <f ca="1" t="array" ref="C89">INDEX(Data_DBD!$C:$C,$A89)</f>
        <v>5</v>
      </c>
      <c r="D89" s="30">
        <f ca="1" t="array" ref="D89">INDEX(Data_DBD!$D:$D,$A89)</f>
        <v>7</v>
      </c>
      <c r="E89" s="30">
        <f ca="1" t="array" ref="E89">INDEX(Data_DBD!$E:$E,$A89)</f>
        <v>1</v>
      </c>
      <c r="F89" s="30">
        <f ca="1" t="array" ref="F89">INDEX(Data_DBD!$F:$F,$A89)</f>
        <v>1</v>
      </c>
      <c r="H89" s="30">
        <v>80</v>
      </c>
      <c r="I89" s="30">
        <v>27</v>
      </c>
      <c r="J89" s="30">
        <v>3</v>
      </c>
      <c r="K89" s="30">
        <v>13</v>
      </c>
      <c r="L89" s="30">
        <v>1</v>
      </c>
      <c r="M89" s="30">
        <v>2</v>
      </c>
    </row>
    <row r="90" spans="1:13">
      <c r="A90" s="30">
        <f ca="1" t="shared" si="1"/>
        <v>35</v>
      </c>
      <c r="B90" s="30">
        <f ca="1" t="array" ref="B90">INDEX(Data_DBD!$B:$B,$A90)</f>
        <v>40</v>
      </c>
      <c r="C90" s="30">
        <f ca="1" t="array" ref="C90">INDEX(Data_DBD!$C:$C,$A90)</f>
        <v>3</v>
      </c>
      <c r="D90" s="30">
        <f ca="1" t="array" ref="D90">INDEX(Data_DBD!$D:$D,$A90)</f>
        <v>4</v>
      </c>
      <c r="E90" s="30">
        <f ca="1" t="array" ref="E90">INDEX(Data_DBD!$E:$E,$A90)</f>
        <v>1</v>
      </c>
      <c r="F90" s="30">
        <f ca="1" t="array" ref="F90">INDEX(Data_DBD!$F:$F,$A90)</f>
        <v>1</v>
      </c>
      <c r="H90" s="30">
        <v>54</v>
      </c>
      <c r="I90" s="30">
        <v>7</v>
      </c>
      <c r="J90" s="30">
        <v>3</v>
      </c>
      <c r="K90" s="30">
        <v>15</v>
      </c>
      <c r="L90" s="30">
        <v>0</v>
      </c>
      <c r="M90" s="30">
        <v>2</v>
      </c>
    </row>
    <row r="91" spans="1:13">
      <c r="A91" s="30">
        <f ca="1" t="shared" si="1"/>
        <v>31</v>
      </c>
      <c r="B91" s="30">
        <f ca="1" t="array" ref="B91">INDEX(Data_DBD!$B:$B,$A91)</f>
        <v>64</v>
      </c>
      <c r="C91" s="30">
        <f ca="1" t="array" ref="C91">INDEX(Data_DBD!$C:$C,$A91)</f>
        <v>4</v>
      </c>
      <c r="D91" s="30">
        <f ca="1" t="array" ref="D91">INDEX(Data_DBD!$D:$D,$A91)</f>
        <v>14</v>
      </c>
      <c r="E91" s="30">
        <f ca="1" t="array" ref="E91">INDEX(Data_DBD!$E:$E,$A91)</f>
        <v>1</v>
      </c>
      <c r="F91" s="30">
        <f ca="1" t="array" ref="F91">INDEX(Data_DBD!$F:$F,$A91)</f>
        <v>2</v>
      </c>
      <c r="H91" s="30">
        <v>73</v>
      </c>
      <c r="I91" s="30">
        <v>15</v>
      </c>
      <c r="J91" s="30">
        <v>3</v>
      </c>
      <c r="K91" s="30">
        <v>10</v>
      </c>
      <c r="L91" s="30">
        <v>1</v>
      </c>
      <c r="M91" s="30">
        <v>2</v>
      </c>
    </row>
    <row r="92" spans="1:13">
      <c r="A92" s="30">
        <f ca="1" t="shared" si="1"/>
        <v>130</v>
      </c>
      <c r="B92" s="30">
        <f ca="1" t="array" ref="B92">INDEX(Data_DBD!$B:$B,$A92)</f>
        <v>12</v>
      </c>
      <c r="C92" s="30">
        <f ca="1" t="array" ref="C92">INDEX(Data_DBD!$C:$C,$A92)</f>
        <v>4</v>
      </c>
      <c r="D92" s="30">
        <f ca="1" t="array" ref="D92">INDEX(Data_DBD!$D:$D,$A92)</f>
        <v>33</v>
      </c>
      <c r="E92" s="30">
        <f ca="1" t="array" ref="E92">INDEX(Data_DBD!$E:$E,$A92)</f>
        <v>0</v>
      </c>
      <c r="F92" s="30">
        <f ca="1" t="array" ref="F92">INDEX(Data_DBD!$F:$F,$A92)</f>
        <v>3</v>
      </c>
      <c r="H92" s="30">
        <v>154</v>
      </c>
      <c r="I92" s="30">
        <v>18</v>
      </c>
      <c r="J92" s="30">
        <v>5</v>
      </c>
      <c r="K92" s="30">
        <v>21</v>
      </c>
      <c r="L92" s="30">
        <v>1</v>
      </c>
      <c r="M92" s="30">
        <v>3</v>
      </c>
    </row>
    <row r="93" spans="1:13">
      <c r="A93" s="30">
        <f ca="1" t="shared" si="1"/>
        <v>40</v>
      </c>
      <c r="B93" s="30">
        <f ca="1" t="array" ref="B93">INDEX(Data_DBD!$B:$B,$A93)</f>
        <v>65</v>
      </c>
      <c r="C93" s="30">
        <f ca="1" t="array" ref="C93">INDEX(Data_DBD!$C:$C,$A93)</f>
        <v>3</v>
      </c>
      <c r="D93" s="30">
        <f ca="1" t="array" ref="D93">INDEX(Data_DBD!$D:$D,$A93)</f>
        <v>13</v>
      </c>
      <c r="E93" s="30">
        <f ca="1" t="array" ref="E93">INDEX(Data_DBD!$E:$E,$A93)</f>
        <v>1</v>
      </c>
      <c r="F93" s="30">
        <f ca="1" t="array" ref="F93">INDEX(Data_DBD!$F:$F,$A93)</f>
        <v>2</v>
      </c>
      <c r="H93" s="30">
        <v>93</v>
      </c>
      <c r="I93" s="30">
        <v>65</v>
      </c>
      <c r="J93" s="30">
        <v>4</v>
      </c>
      <c r="K93" s="30">
        <v>18</v>
      </c>
      <c r="L93" s="30">
        <v>0</v>
      </c>
      <c r="M93" s="30">
        <v>3</v>
      </c>
    </row>
    <row r="94" spans="1:13">
      <c r="A94" s="30">
        <f ca="1" t="shared" si="1"/>
        <v>99</v>
      </c>
      <c r="B94" s="30">
        <f ca="1" t="array" ref="B94">INDEX(Data_DBD!$B:$B,$A94)</f>
        <v>4</v>
      </c>
      <c r="C94" s="30">
        <f ca="1" t="array" ref="C94">INDEX(Data_DBD!$C:$C,$A94)</f>
        <v>2</v>
      </c>
      <c r="D94" s="30">
        <f ca="1" t="array" ref="D94">INDEX(Data_DBD!$D:$D,$A94)</f>
        <v>18</v>
      </c>
      <c r="E94" s="30">
        <f ca="1" t="array" ref="E94">INDEX(Data_DBD!$E:$E,$A94)</f>
        <v>1</v>
      </c>
      <c r="F94" s="30">
        <f ca="1" t="array" ref="F94">INDEX(Data_DBD!$F:$F,$A94)</f>
        <v>3</v>
      </c>
      <c r="H94" s="30">
        <v>44</v>
      </c>
      <c r="I94" s="30">
        <v>28</v>
      </c>
      <c r="J94" s="30">
        <v>5</v>
      </c>
      <c r="K94" s="30">
        <v>13</v>
      </c>
      <c r="L94" s="30">
        <v>1</v>
      </c>
      <c r="M94" s="30">
        <v>2</v>
      </c>
    </row>
    <row r="95" spans="1:13">
      <c r="A95" s="30">
        <f ca="1" t="shared" si="1"/>
        <v>46</v>
      </c>
      <c r="B95" s="30">
        <f ca="1" t="array" ref="B95">INDEX(Data_DBD!$B:$B,$A95)</f>
        <v>62</v>
      </c>
      <c r="C95" s="30">
        <f ca="1" t="array" ref="C95">INDEX(Data_DBD!$C:$C,$A95)</f>
        <v>2</v>
      </c>
      <c r="D95" s="30">
        <f ca="1" t="array" ref="D95">INDEX(Data_DBD!$D:$D,$A95)</f>
        <v>13</v>
      </c>
      <c r="E95" s="30">
        <f ca="1" t="array" ref="E95">INDEX(Data_DBD!$E:$E,$A95)</f>
        <v>0</v>
      </c>
      <c r="F95" s="30">
        <f ca="1" t="array" ref="F95">INDEX(Data_DBD!$F:$F,$A95)</f>
        <v>2</v>
      </c>
      <c r="H95" s="30">
        <v>135</v>
      </c>
      <c r="I95" s="30">
        <v>10</v>
      </c>
      <c r="J95" s="30">
        <v>2</v>
      </c>
      <c r="K95" s="30">
        <v>33</v>
      </c>
      <c r="L95" s="30">
        <v>0</v>
      </c>
      <c r="M95" s="30">
        <v>3</v>
      </c>
    </row>
    <row r="96" spans="1:13">
      <c r="A96" s="30">
        <f ca="1" t="shared" si="1"/>
        <v>109</v>
      </c>
      <c r="B96" s="30">
        <f ca="1" t="array" ref="B96">INDEX(Data_DBD!$B:$B,$A96)</f>
        <v>40</v>
      </c>
      <c r="C96" s="30">
        <f ca="1" t="array" ref="C96">INDEX(Data_DBD!$C:$C,$A96)</f>
        <v>3</v>
      </c>
      <c r="D96" s="30">
        <f ca="1" t="array" ref="D96">INDEX(Data_DBD!$D:$D,$A96)</f>
        <v>33</v>
      </c>
      <c r="E96" s="30">
        <f ca="1" t="array" ref="E96">INDEX(Data_DBD!$E:$E,$A96)</f>
        <v>1</v>
      </c>
      <c r="F96" s="30">
        <f ca="1" t="array" ref="F96">INDEX(Data_DBD!$F:$F,$A96)</f>
        <v>3</v>
      </c>
      <c r="H96" s="30">
        <v>108</v>
      </c>
      <c r="I96" s="30">
        <v>69</v>
      </c>
      <c r="J96" s="30">
        <v>7</v>
      </c>
      <c r="K96" s="30">
        <v>33</v>
      </c>
      <c r="L96" s="30">
        <v>1</v>
      </c>
      <c r="M96" s="30">
        <v>3</v>
      </c>
    </row>
    <row r="97" spans="1:13">
      <c r="A97" s="30">
        <f ca="1" t="shared" si="1"/>
        <v>85</v>
      </c>
      <c r="B97" s="30">
        <f ca="1" t="array" ref="B97">INDEX(Data_DBD!$B:$B,$A97)</f>
        <v>27</v>
      </c>
      <c r="C97" s="30">
        <f ca="1" t="array" ref="C97">INDEX(Data_DBD!$C:$C,$A97)</f>
        <v>9</v>
      </c>
      <c r="D97" s="30">
        <f ca="1" t="array" ref="D97">INDEX(Data_DBD!$D:$D,$A97)</f>
        <v>13</v>
      </c>
      <c r="E97" s="30">
        <f ca="1" t="array" ref="E97">INDEX(Data_DBD!$E:$E,$A97)</f>
        <v>0</v>
      </c>
      <c r="F97" s="30">
        <f ca="1" t="array" ref="F97">INDEX(Data_DBD!$F:$F,$A97)</f>
        <v>2</v>
      </c>
      <c r="H97" s="30">
        <v>158</v>
      </c>
      <c r="I97" s="30">
        <v>5</v>
      </c>
      <c r="J97" s="30">
        <v>2</v>
      </c>
      <c r="K97" s="30">
        <v>21</v>
      </c>
      <c r="L97" s="30">
        <v>0</v>
      </c>
      <c r="M97" s="30">
        <v>3</v>
      </c>
    </row>
    <row r="98" spans="1:13">
      <c r="A98" s="30">
        <f ca="1" t="shared" si="1"/>
        <v>48</v>
      </c>
      <c r="B98" s="30">
        <f ca="1" t="array" ref="B98">INDEX(Data_DBD!$B:$B,$A98)</f>
        <v>50</v>
      </c>
      <c r="C98" s="30">
        <f ca="1" t="array" ref="C98">INDEX(Data_DBD!$C:$C,$A98)</f>
        <v>5</v>
      </c>
      <c r="D98" s="30">
        <f ca="1" t="array" ref="D98">INDEX(Data_DBD!$D:$D,$A98)</f>
        <v>13</v>
      </c>
      <c r="E98" s="30">
        <f ca="1" t="array" ref="E98">INDEX(Data_DBD!$E:$E,$A98)</f>
        <v>1</v>
      </c>
      <c r="F98" s="30">
        <f ca="1" t="array" ref="F98">INDEX(Data_DBD!$F:$F,$A98)</f>
        <v>2</v>
      </c>
      <c r="H98" s="30">
        <v>105</v>
      </c>
      <c r="I98" s="30">
        <v>61</v>
      </c>
      <c r="J98" s="30">
        <v>3</v>
      </c>
      <c r="K98" s="30">
        <v>18</v>
      </c>
      <c r="L98" s="30">
        <v>1</v>
      </c>
      <c r="M98" s="30">
        <v>3</v>
      </c>
    </row>
    <row r="99" spans="1:13">
      <c r="A99" s="30">
        <f ca="1" t="shared" si="1"/>
        <v>54</v>
      </c>
      <c r="B99" s="30">
        <f ca="1" t="array" ref="B99">INDEX(Data_DBD!$B:$B,$A99)</f>
        <v>7</v>
      </c>
      <c r="C99" s="30">
        <f ca="1" t="array" ref="C99">INDEX(Data_DBD!$C:$C,$A99)</f>
        <v>3</v>
      </c>
      <c r="D99" s="30">
        <f ca="1" t="array" ref="D99">INDEX(Data_DBD!$D:$D,$A99)</f>
        <v>15</v>
      </c>
      <c r="E99" s="30">
        <f ca="1" t="array" ref="E99">INDEX(Data_DBD!$E:$E,$A99)</f>
        <v>0</v>
      </c>
      <c r="F99" s="30">
        <f ca="1" t="array" ref="F99">INDEX(Data_DBD!$F:$F,$A99)</f>
        <v>2</v>
      </c>
      <c r="H99" s="30">
        <v>107</v>
      </c>
      <c r="I99" s="30">
        <v>48</v>
      </c>
      <c r="J99" s="30">
        <v>5</v>
      </c>
      <c r="K99" s="30">
        <v>18</v>
      </c>
      <c r="L99" s="30">
        <v>0</v>
      </c>
      <c r="M99" s="30">
        <v>3</v>
      </c>
    </row>
    <row r="100" spans="1:13">
      <c r="A100" s="30">
        <f ca="1" t="shared" si="1"/>
        <v>36</v>
      </c>
      <c r="B100" s="30">
        <f ca="1" t="array" ref="B100">INDEX(Data_DBD!$B:$B,$A100)</f>
        <v>27</v>
      </c>
      <c r="C100" s="30">
        <f ca="1" t="array" ref="C100">INDEX(Data_DBD!$C:$C,$A100)</f>
        <v>1</v>
      </c>
      <c r="D100" s="30">
        <f ca="1" t="array" ref="D100">INDEX(Data_DBD!$D:$D,$A100)</f>
        <v>4</v>
      </c>
      <c r="E100" s="30">
        <f ca="1" t="array" ref="E100">INDEX(Data_DBD!$E:$E,$A100)</f>
        <v>1</v>
      </c>
      <c r="F100" s="30">
        <f ca="1" t="array" ref="F100">INDEX(Data_DBD!$F:$F,$A100)</f>
        <v>1</v>
      </c>
      <c r="H100" s="30">
        <v>44</v>
      </c>
      <c r="I100" s="30">
        <v>28</v>
      </c>
      <c r="J100" s="30">
        <v>5</v>
      </c>
      <c r="K100" s="30">
        <v>13</v>
      </c>
      <c r="L100" s="30">
        <v>1</v>
      </c>
      <c r="M100" s="30">
        <v>2</v>
      </c>
    </row>
    <row r="101" spans="1:13">
      <c r="A101" s="30">
        <f ca="1" t="shared" si="1"/>
        <v>99</v>
      </c>
      <c r="B101" s="30">
        <f ca="1" t="array" ref="B101">INDEX(Data_DBD!$B:$B,$A101)</f>
        <v>4</v>
      </c>
      <c r="C101" s="30">
        <f ca="1" t="array" ref="C101">INDEX(Data_DBD!$C:$C,$A101)</f>
        <v>2</v>
      </c>
      <c r="D101" s="30">
        <f ca="1" t="array" ref="D101">INDEX(Data_DBD!$D:$D,$A101)</f>
        <v>18</v>
      </c>
      <c r="E101" s="30">
        <f ca="1" t="array" ref="E101">INDEX(Data_DBD!$E:$E,$A101)</f>
        <v>1</v>
      </c>
      <c r="F101" s="30">
        <f ca="1" t="array" ref="F101">INDEX(Data_DBD!$F:$F,$A101)</f>
        <v>3</v>
      </c>
      <c r="H101" s="30">
        <v>144</v>
      </c>
      <c r="I101" s="30">
        <v>61</v>
      </c>
      <c r="J101" s="30">
        <v>4</v>
      </c>
      <c r="K101" s="30">
        <v>21</v>
      </c>
      <c r="L101" s="30">
        <v>1</v>
      </c>
      <c r="M101" s="30">
        <v>3</v>
      </c>
    </row>
    <row r="102" spans="1:13">
      <c r="A102" s="30">
        <f ca="1" t="shared" si="1"/>
        <v>44</v>
      </c>
      <c r="B102" s="30">
        <f ca="1" t="array" ref="B102">INDEX(Data_DBD!$B:$B,$A102)</f>
        <v>28</v>
      </c>
      <c r="C102" s="30">
        <f ca="1" t="array" ref="C102">INDEX(Data_DBD!$C:$C,$A102)</f>
        <v>5</v>
      </c>
      <c r="D102" s="30">
        <f ca="1" t="array" ref="D102">INDEX(Data_DBD!$D:$D,$A102)</f>
        <v>13</v>
      </c>
      <c r="E102" s="30">
        <f ca="1" t="array" ref="E102">INDEX(Data_DBD!$E:$E,$A102)</f>
        <v>1</v>
      </c>
      <c r="F102" s="30">
        <f ca="1" t="array" ref="F102">INDEX(Data_DBD!$F:$F,$A102)</f>
        <v>2</v>
      </c>
      <c r="H102" s="30">
        <v>45</v>
      </c>
      <c r="I102" s="30">
        <v>75</v>
      </c>
      <c r="J102" s="30">
        <v>3</v>
      </c>
      <c r="K102" s="30">
        <v>13</v>
      </c>
      <c r="L102" s="30">
        <v>1</v>
      </c>
      <c r="M102" s="30">
        <v>2</v>
      </c>
    </row>
    <row r="103" spans="1:13">
      <c r="A103" s="30">
        <f ca="1" t="shared" si="1"/>
        <v>127</v>
      </c>
      <c r="B103" s="30">
        <f ca="1" t="array" ref="B103">INDEX(Data_DBD!$B:$B,$A103)</f>
        <v>21</v>
      </c>
      <c r="C103" s="30">
        <f ca="1" t="array" ref="C103">INDEX(Data_DBD!$C:$C,$A103)</f>
        <v>2</v>
      </c>
      <c r="D103" s="30">
        <f ca="1" t="array" ref="D103">INDEX(Data_DBD!$D:$D,$A103)</f>
        <v>33</v>
      </c>
      <c r="E103" s="30">
        <f ca="1" t="array" ref="E103">INDEX(Data_DBD!$E:$E,$A103)</f>
        <v>0</v>
      </c>
      <c r="F103" s="30">
        <f ca="1" t="array" ref="F103">INDEX(Data_DBD!$F:$F,$A103)</f>
        <v>3</v>
      </c>
      <c r="H103" s="30">
        <v>133</v>
      </c>
      <c r="I103" s="30">
        <v>6</v>
      </c>
      <c r="J103" s="30">
        <v>4</v>
      </c>
      <c r="K103" s="30">
        <v>33</v>
      </c>
      <c r="L103" s="30">
        <v>0</v>
      </c>
      <c r="M103" s="30">
        <v>3</v>
      </c>
    </row>
    <row r="104" spans="1:13">
      <c r="A104" s="30">
        <f ca="1" t="shared" si="1"/>
        <v>160</v>
      </c>
      <c r="B104" s="30">
        <f ca="1" t="array" ref="B104">INDEX(Data_DBD!$B:$B,$A104)</f>
        <v>16</v>
      </c>
      <c r="C104" s="30">
        <f ca="1" t="array" ref="C104">INDEX(Data_DBD!$C:$C,$A104)</f>
        <v>3</v>
      </c>
      <c r="D104" s="30">
        <f ca="1" t="array" ref="D104">INDEX(Data_DBD!$D:$D,$A104)</f>
        <v>21</v>
      </c>
      <c r="E104" s="30">
        <f ca="1" t="array" ref="E104">INDEX(Data_DBD!$E:$E,$A104)</f>
        <v>0</v>
      </c>
      <c r="F104" s="30">
        <f ca="1" t="array" ref="F104">INDEX(Data_DBD!$F:$F,$A104)</f>
        <v>3</v>
      </c>
      <c r="H104" s="30">
        <v>3</v>
      </c>
      <c r="I104" s="30">
        <v>43</v>
      </c>
      <c r="J104" s="30">
        <v>3</v>
      </c>
      <c r="K104" s="30">
        <v>12</v>
      </c>
      <c r="L104" s="30">
        <v>1</v>
      </c>
      <c r="M104" s="30">
        <v>2</v>
      </c>
    </row>
    <row r="105" spans="1:13">
      <c r="A105" s="30">
        <f ca="1" t="shared" si="1"/>
        <v>54</v>
      </c>
      <c r="B105" s="30">
        <f ca="1" t="array" ref="B105">INDEX(Data_DBD!$B:$B,$A105)</f>
        <v>7</v>
      </c>
      <c r="C105" s="30">
        <f ca="1" t="array" ref="C105">INDEX(Data_DBD!$C:$C,$A105)</f>
        <v>3</v>
      </c>
      <c r="D105" s="30">
        <f ca="1" t="array" ref="D105">INDEX(Data_DBD!$D:$D,$A105)</f>
        <v>15</v>
      </c>
      <c r="E105" s="30">
        <f ca="1" t="array" ref="E105">INDEX(Data_DBD!$E:$E,$A105)</f>
        <v>0</v>
      </c>
      <c r="F105" s="30">
        <f ca="1" t="array" ref="F105">INDEX(Data_DBD!$F:$F,$A105)</f>
        <v>2</v>
      </c>
      <c r="H105" s="30">
        <v>99</v>
      </c>
      <c r="I105" s="30">
        <v>4</v>
      </c>
      <c r="J105" s="30">
        <v>2</v>
      </c>
      <c r="K105" s="30">
        <v>18</v>
      </c>
      <c r="L105" s="30">
        <v>1</v>
      </c>
      <c r="M105" s="30">
        <v>3</v>
      </c>
    </row>
    <row r="106" spans="1:13">
      <c r="A106" s="30">
        <f ca="1" t="shared" si="1"/>
        <v>23</v>
      </c>
      <c r="B106" s="30">
        <f ca="1" t="array" ref="B106">INDEX(Data_DBD!$B:$B,$A106)</f>
        <v>28</v>
      </c>
      <c r="C106" s="30">
        <f ca="1" t="array" ref="C106">INDEX(Data_DBD!$C:$C,$A106)</f>
        <v>4</v>
      </c>
      <c r="D106" s="30">
        <f ca="1" t="array" ref="D106">INDEX(Data_DBD!$D:$D,$A106)</f>
        <v>14</v>
      </c>
      <c r="E106" s="30">
        <f ca="1" t="array" ref="E106">INDEX(Data_DBD!$E:$E,$A106)</f>
        <v>1</v>
      </c>
      <c r="F106" s="30">
        <f ca="1" t="array" ref="F106">INDEX(Data_DBD!$F:$F,$A106)</f>
        <v>2</v>
      </c>
      <c r="H106" s="30">
        <v>20</v>
      </c>
      <c r="I106" s="30">
        <v>15</v>
      </c>
      <c r="J106" s="30">
        <v>5</v>
      </c>
      <c r="K106" s="30">
        <v>7</v>
      </c>
      <c r="L106" s="30">
        <v>0</v>
      </c>
      <c r="M106" s="30">
        <v>1</v>
      </c>
    </row>
    <row r="107" spans="1:13">
      <c r="A107" s="30">
        <f ca="1" t="shared" si="1"/>
        <v>110</v>
      </c>
      <c r="B107" s="30">
        <f ca="1" t="array" ref="B107">INDEX(Data_DBD!$B:$B,$A107)</f>
        <v>42</v>
      </c>
      <c r="C107" s="30">
        <f ca="1" t="array" ref="C107">INDEX(Data_DBD!$C:$C,$A107)</f>
        <v>2</v>
      </c>
      <c r="D107" s="30">
        <f ca="1" t="array" ref="D107">INDEX(Data_DBD!$D:$D,$A107)</f>
        <v>33</v>
      </c>
      <c r="E107" s="30">
        <f ca="1" t="array" ref="E107">INDEX(Data_DBD!$E:$E,$A107)</f>
        <v>1</v>
      </c>
      <c r="F107" s="30">
        <f ca="1" t="array" ref="F107">INDEX(Data_DBD!$F:$F,$A107)</f>
        <v>3</v>
      </c>
      <c r="H107" s="30">
        <v>54</v>
      </c>
      <c r="I107" s="30">
        <v>7</v>
      </c>
      <c r="J107" s="30">
        <v>3</v>
      </c>
      <c r="K107" s="30">
        <v>15</v>
      </c>
      <c r="L107" s="30">
        <v>0</v>
      </c>
      <c r="M107" s="30">
        <v>2</v>
      </c>
    </row>
    <row r="108" spans="1:13">
      <c r="A108" s="30">
        <f ca="1" t="shared" si="1"/>
        <v>18</v>
      </c>
      <c r="B108" s="30">
        <f ca="1" t="array" ref="B108">INDEX(Data_DBD!$B:$B,$A108)</f>
        <v>49</v>
      </c>
      <c r="C108" s="30">
        <f ca="1" t="array" ref="C108">INDEX(Data_DBD!$C:$C,$A108)</f>
        <v>4</v>
      </c>
      <c r="D108" s="30">
        <f ca="1" t="array" ref="D108">INDEX(Data_DBD!$D:$D,$A108)</f>
        <v>7</v>
      </c>
      <c r="E108" s="30">
        <f ca="1" t="array" ref="E108">INDEX(Data_DBD!$E:$E,$A108)</f>
        <v>1</v>
      </c>
      <c r="F108" s="30">
        <f ca="1" t="array" ref="F108">INDEX(Data_DBD!$F:$F,$A108)</f>
        <v>1</v>
      </c>
      <c r="H108" s="30">
        <v>46</v>
      </c>
      <c r="I108" s="30">
        <v>62</v>
      </c>
      <c r="J108" s="30">
        <v>2</v>
      </c>
      <c r="K108" s="30">
        <v>13</v>
      </c>
      <c r="L108" s="30">
        <v>0</v>
      </c>
      <c r="M108" s="30">
        <v>2</v>
      </c>
    </row>
    <row r="109" spans="1:13">
      <c r="A109" s="30">
        <f ca="1" t="shared" si="1"/>
        <v>81</v>
      </c>
      <c r="B109" s="30">
        <f ca="1" t="array" ref="B109">INDEX(Data_DBD!$B:$B,$A109)</f>
        <v>23</v>
      </c>
      <c r="C109" s="30">
        <f ca="1" t="array" ref="C109">INDEX(Data_DBD!$C:$C,$A109)</f>
        <v>5</v>
      </c>
      <c r="D109" s="30">
        <f ca="1" t="array" ref="D109">INDEX(Data_DBD!$D:$D,$A109)</f>
        <v>13</v>
      </c>
      <c r="E109" s="30">
        <f ca="1" t="array" ref="E109">INDEX(Data_DBD!$E:$E,$A109)</f>
        <v>1</v>
      </c>
      <c r="F109" s="30">
        <f ca="1" t="array" ref="F109">INDEX(Data_DBD!$F:$F,$A109)</f>
        <v>2</v>
      </c>
      <c r="H109" s="30">
        <v>11</v>
      </c>
      <c r="I109" s="30">
        <v>24</v>
      </c>
      <c r="J109" s="30">
        <v>5</v>
      </c>
      <c r="K109" s="30">
        <v>12</v>
      </c>
      <c r="L109" s="30">
        <v>1</v>
      </c>
      <c r="M109" s="30">
        <v>2</v>
      </c>
    </row>
    <row r="110" spans="1:13">
      <c r="A110" s="30">
        <f ca="1" t="shared" si="1"/>
        <v>36</v>
      </c>
      <c r="B110" s="30">
        <f ca="1" t="array" ref="B110">INDEX(Data_DBD!$B:$B,$A110)</f>
        <v>27</v>
      </c>
      <c r="C110" s="30">
        <f ca="1" t="array" ref="C110">INDEX(Data_DBD!$C:$C,$A110)</f>
        <v>1</v>
      </c>
      <c r="D110" s="30">
        <f ca="1" t="array" ref="D110">INDEX(Data_DBD!$D:$D,$A110)</f>
        <v>4</v>
      </c>
      <c r="E110" s="30">
        <f ca="1" t="array" ref="E110">INDEX(Data_DBD!$E:$E,$A110)</f>
        <v>1</v>
      </c>
      <c r="F110" s="30">
        <f ca="1" t="array" ref="F110">INDEX(Data_DBD!$F:$F,$A110)</f>
        <v>1</v>
      </c>
      <c r="H110" s="30">
        <v>146</v>
      </c>
      <c r="I110" s="30">
        <v>34</v>
      </c>
      <c r="J110" s="30">
        <v>2</v>
      </c>
      <c r="K110" s="30">
        <v>21</v>
      </c>
      <c r="L110" s="30">
        <v>1</v>
      </c>
      <c r="M110" s="30">
        <v>3</v>
      </c>
    </row>
    <row r="111" spans="1:13">
      <c r="A111" s="30">
        <f ca="1" t="shared" si="1"/>
        <v>36</v>
      </c>
      <c r="B111" s="30">
        <f ca="1" t="array" ref="B111">INDEX(Data_DBD!$B:$B,$A111)</f>
        <v>27</v>
      </c>
      <c r="C111" s="30">
        <f ca="1" t="array" ref="C111">INDEX(Data_DBD!$C:$C,$A111)</f>
        <v>1</v>
      </c>
      <c r="D111" s="30">
        <f ca="1" t="array" ref="D111">INDEX(Data_DBD!$D:$D,$A111)</f>
        <v>4</v>
      </c>
      <c r="E111" s="30">
        <f ca="1" t="array" ref="E111">INDEX(Data_DBD!$E:$E,$A111)</f>
        <v>1</v>
      </c>
      <c r="F111" s="30">
        <f ca="1" t="array" ref="F111">INDEX(Data_DBD!$F:$F,$A111)</f>
        <v>1</v>
      </c>
      <c r="H111" s="30">
        <v>107</v>
      </c>
      <c r="I111" s="30">
        <v>48</v>
      </c>
      <c r="J111" s="30">
        <v>5</v>
      </c>
      <c r="K111" s="30">
        <v>18</v>
      </c>
      <c r="L111" s="30">
        <v>0</v>
      </c>
      <c r="M111" s="30">
        <v>3</v>
      </c>
    </row>
    <row r="112" spans="1:13">
      <c r="A112" s="30">
        <f ca="1" t="shared" si="1"/>
        <v>15</v>
      </c>
      <c r="B112" s="30">
        <f ca="1" t="array" ref="B112">INDEX(Data_DBD!$B:$B,$A112)</f>
        <v>21</v>
      </c>
      <c r="C112" s="30">
        <f ca="1" t="array" ref="C112">INDEX(Data_DBD!$C:$C,$A112)</f>
        <v>2</v>
      </c>
      <c r="D112" s="30">
        <f ca="1" t="array" ref="D112">INDEX(Data_DBD!$D:$D,$A112)</f>
        <v>7</v>
      </c>
      <c r="E112" s="30">
        <f ca="1" t="array" ref="E112">INDEX(Data_DBD!$E:$E,$A112)</f>
        <v>0</v>
      </c>
      <c r="F112" s="30">
        <f ca="1" t="array" ref="F112">INDEX(Data_DBD!$F:$F,$A112)</f>
        <v>1</v>
      </c>
      <c r="H112" s="30">
        <v>110</v>
      </c>
      <c r="I112" s="30">
        <v>42</v>
      </c>
      <c r="J112" s="30">
        <v>2</v>
      </c>
      <c r="K112" s="30">
        <v>33</v>
      </c>
      <c r="L112" s="30">
        <v>1</v>
      </c>
      <c r="M112" s="30">
        <v>3</v>
      </c>
    </row>
    <row r="113" spans="1:13">
      <c r="A113" s="30">
        <f ca="1" t="shared" si="1"/>
        <v>162</v>
      </c>
      <c r="B113" s="30">
        <f ca="1" t="array" ref="B113">INDEX(Data_DBD!$B:$B,$A113)</f>
        <v>22</v>
      </c>
      <c r="C113" s="30">
        <f ca="1" t="array" ref="C113">INDEX(Data_DBD!$C:$C,$A113)</f>
        <v>3</v>
      </c>
      <c r="D113" s="30">
        <f ca="1" t="array" ref="D113">INDEX(Data_DBD!$D:$D,$A113)</f>
        <v>3</v>
      </c>
      <c r="E113" s="30">
        <f ca="1" t="array" ref="E113">INDEX(Data_DBD!$E:$E,$A113)</f>
        <v>1</v>
      </c>
      <c r="F113" s="30">
        <f ca="1" t="array" ref="F113">INDEX(Data_DBD!$F:$F,$A113)</f>
        <v>1</v>
      </c>
      <c r="H113" s="30">
        <v>12</v>
      </c>
      <c r="I113" s="30">
        <v>23</v>
      </c>
      <c r="J113" s="30">
        <v>3</v>
      </c>
      <c r="K113" s="30">
        <v>12</v>
      </c>
      <c r="L113" s="30">
        <v>0</v>
      </c>
      <c r="M113" s="30">
        <v>2</v>
      </c>
    </row>
    <row r="114" spans="1:13">
      <c r="A114" s="30">
        <f ca="1" t="shared" si="1"/>
        <v>104</v>
      </c>
      <c r="B114" s="30">
        <f ca="1" t="array" ref="B114">INDEX(Data_DBD!$B:$B,$A114)</f>
        <v>37</v>
      </c>
      <c r="C114" s="30">
        <f ca="1" t="array" ref="C114">INDEX(Data_DBD!$C:$C,$A114)</f>
        <v>4</v>
      </c>
      <c r="D114" s="30">
        <f ca="1" t="array" ref="D114">INDEX(Data_DBD!$D:$D,$A114)</f>
        <v>18</v>
      </c>
      <c r="E114" s="30">
        <f ca="1" t="array" ref="E114">INDEX(Data_DBD!$E:$E,$A114)</f>
        <v>1</v>
      </c>
      <c r="F114" s="30">
        <f ca="1" t="array" ref="F114">INDEX(Data_DBD!$F:$F,$A114)</f>
        <v>3</v>
      </c>
      <c r="H114" s="30">
        <v>148</v>
      </c>
      <c r="I114" s="30">
        <v>55</v>
      </c>
      <c r="J114" s="30">
        <v>3</v>
      </c>
      <c r="K114" s="30">
        <v>21</v>
      </c>
      <c r="L114" s="30">
        <v>1</v>
      </c>
      <c r="M114" s="30">
        <v>3</v>
      </c>
    </row>
    <row r="115" spans="1:13">
      <c r="A115" s="30">
        <f ca="1" t="shared" si="1"/>
        <v>129</v>
      </c>
      <c r="B115" s="30">
        <f ca="1" t="array" ref="B115">INDEX(Data_DBD!$B:$B,$A115)</f>
        <v>4.5</v>
      </c>
      <c r="C115" s="30">
        <f ca="1" t="array" ref="C115">INDEX(Data_DBD!$C:$C,$A115)</f>
        <v>3</v>
      </c>
      <c r="D115" s="30">
        <f ca="1" t="array" ref="D115">INDEX(Data_DBD!$D:$D,$A115)</f>
        <v>33</v>
      </c>
      <c r="E115" s="30">
        <f ca="1" t="array" ref="E115">INDEX(Data_DBD!$E:$E,$A115)</f>
        <v>0</v>
      </c>
      <c r="F115" s="30">
        <f ca="1" t="array" ref="F115">INDEX(Data_DBD!$F:$F,$A115)</f>
        <v>3</v>
      </c>
      <c r="H115" s="30">
        <v>107</v>
      </c>
      <c r="I115" s="30">
        <v>48</v>
      </c>
      <c r="J115" s="30">
        <v>5</v>
      </c>
      <c r="K115" s="30">
        <v>18</v>
      </c>
      <c r="L115" s="30">
        <v>0</v>
      </c>
      <c r="M115" s="30">
        <v>3</v>
      </c>
    </row>
    <row r="116" spans="1:13">
      <c r="A116" s="30">
        <f ca="1" t="shared" si="1"/>
        <v>127</v>
      </c>
      <c r="B116" s="30">
        <f ca="1" t="array" ref="B116">INDEX(Data_DBD!$B:$B,$A116)</f>
        <v>21</v>
      </c>
      <c r="C116" s="30">
        <f ca="1" t="array" ref="C116">INDEX(Data_DBD!$C:$C,$A116)</f>
        <v>2</v>
      </c>
      <c r="D116" s="30">
        <f ca="1" t="array" ref="D116">INDEX(Data_DBD!$D:$D,$A116)</f>
        <v>33</v>
      </c>
      <c r="E116" s="30">
        <f ca="1" t="array" ref="E116">INDEX(Data_DBD!$E:$E,$A116)</f>
        <v>0</v>
      </c>
      <c r="F116" s="30">
        <f ca="1" t="array" ref="F116">INDEX(Data_DBD!$F:$F,$A116)</f>
        <v>3</v>
      </c>
      <c r="H116" s="30">
        <v>63</v>
      </c>
      <c r="I116" s="30">
        <v>25</v>
      </c>
      <c r="J116" s="30">
        <v>3</v>
      </c>
      <c r="K116" s="30">
        <v>15</v>
      </c>
      <c r="L116" s="30">
        <v>0</v>
      </c>
      <c r="M116" s="30">
        <v>2</v>
      </c>
    </row>
    <row r="117" spans="1:13">
      <c r="A117" s="30">
        <f ca="1" t="shared" si="1"/>
        <v>100</v>
      </c>
      <c r="B117" s="30">
        <f ca="1" t="array" ref="B117">INDEX(Data_DBD!$B:$B,$A117)</f>
        <v>19</v>
      </c>
      <c r="C117" s="30">
        <f ca="1" t="array" ref="C117">INDEX(Data_DBD!$C:$C,$A117)</f>
        <v>6</v>
      </c>
      <c r="D117" s="30">
        <f ca="1" t="array" ref="D117">INDEX(Data_DBD!$D:$D,$A117)</f>
        <v>18</v>
      </c>
      <c r="E117" s="30">
        <f ca="1" t="array" ref="E117">INDEX(Data_DBD!$E:$E,$A117)</f>
        <v>0</v>
      </c>
      <c r="F117" s="30">
        <f ca="1" t="array" ref="F117">INDEX(Data_DBD!$F:$F,$A117)</f>
        <v>3</v>
      </c>
      <c r="H117" s="30">
        <v>139</v>
      </c>
      <c r="I117" s="30">
        <v>52</v>
      </c>
      <c r="J117" s="30">
        <v>7</v>
      </c>
      <c r="K117" s="30">
        <v>21</v>
      </c>
      <c r="L117" s="30">
        <v>0</v>
      </c>
      <c r="M117" s="30">
        <v>3</v>
      </c>
    </row>
    <row r="118" spans="1:13">
      <c r="A118" s="30">
        <f ca="1" t="shared" si="1"/>
        <v>61</v>
      </c>
      <c r="B118" s="30">
        <f ca="1" t="array" ref="B118">INDEX(Data_DBD!$B:$B,$A118)</f>
        <v>29</v>
      </c>
      <c r="C118" s="30">
        <f ca="1" t="array" ref="C118">INDEX(Data_DBD!$C:$C,$A118)</f>
        <v>3</v>
      </c>
      <c r="D118" s="30">
        <f ca="1" t="array" ref="D118">INDEX(Data_DBD!$D:$D,$A118)</f>
        <v>15</v>
      </c>
      <c r="E118" s="30">
        <f ca="1" t="array" ref="E118">INDEX(Data_DBD!$E:$E,$A118)</f>
        <v>1</v>
      </c>
      <c r="F118" s="30">
        <f ca="1" t="array" ref="F118">INDEX(Data_DBD!$F:$F,$A118)</f>
        <v>2</v>
      </c>
      <c r="H118" s="30">
        <v>3</v>
      </c>
      <c r="I118" s="30">
        <v>43</v>
      </c>
      <c r="J118" s="30">
        <v>3</v>
      </c>
      <c r="K118" s="30">
        <v>12</v>
      </c>
      <c r="L118" s="30">
        <v>1</v>
      </c>
      <c r="M118" s="30">
        <v>2</v>
      </c>
    </row>
    <row r="119" spans="1:13">
      <c r="A119" s="30">
        <f ca="1" t="shared" si="1"/>
        <v>65</v>
      </c>
      <c r="B119" s="30">
        <f ca="1" t="array" ref="B119">INDEX(Data_DBD!$B:$B,$A119)</f>
        <v>49</v>
      </c>
      <c r="C119" s="30">
        <f ca="1" t="array" ref="C119">INDEX(Data_DBD!$C:$C,$A119)</f>
        <v>3</v>
      </c>
      <c r="D119" s="30">
        <f ca="1" t="array" ref="D119">INDEX(Data_DBD!$D:$D,$A119)</f>
        <v>15</v>
      </c>
      <c r="E119" s="30">
        <f ca="1" t="array" ref="E119">INDEX(Data_DBD!$E:$E,$A119)</f>
        <v>0</v>
      </c>
      <c r="F119" s="30">
        <f ca="1" t="array" ref="F119">INDEX(Data_DBD!$F:$F,$A119)</f>
        <v>2</v>
      </c>
      <c r="H119" s="30">
        <v>155</v>
      </c>
      <c r="I119" s="30">
        <v>19</v>
      </c>
      <c r="J119" s="30">
        <v>5</v>
      </c>
      <c r="K119" s="30">
        <v>21</v>
      </c>
      <c r="L119" s="30">
        <v>1</v>
      </c>
      <c r="M119" s="30">
        <v>3</v>
      </c>
    </row>
    <row r="120" spans="1:13">
      <c r="A120" s="30">
        <f ca="1" t="shared" si="1"/>
        <v>160</v>
      </c>
      <c r="B120" s="30">
        <f ca="1" t="array" ref="B120">INDEX(Data_DBD!$B:$B,$A120)</f>
        <v>16</v>
      </c>
      <c r="C120" s="30">
        <f ca="1" t="array" ref="C120">INDEX(Data_DBD!$C:$C,$A120)</f>
        <v>3</v>
      </c>
      <c r="D120" s="30">
        <f ca="1" t="array" ref="D120">INDEX(Data_DBD!$D:$D,$A120)</f>
        <v>21</v>
      </c>
      <c r="E120" s="30">
        <f ca="1" t="array" ref="E120">INDEX(Data_DBD!$E:$E,$A120)</f>
        <v>0</v>
      </c>
      <c r="F120" s="30">
        <f ca="1" t="array" ref="F120">INDEX(Data_DBD!$F:$F,$A120)</f>
        <v>3</v>
      </c>
      <c r="H120" s="30">
        <v>55</v>
      </c>
      <c r="I120" s="30">
        <v>7</v>
      </c>
      <c r="J120" s="30">
        <v>4</v>
      </c>
      <c r="K120" s="30">
        <v>15</v>
      </c>
      <c r="L120" s="30">
        <v>1</v>
      </c>
      <c r="M120" s="30">
        <v>2</v>
      </c>
    </row>
    <row r="121" spans="1:13">
      <c r="A121" s="30">
        <f ca="1" t="shared" si="1"/>
        <v>158</v>
      </c>
      <c r="B121" s="30">
        <f ca="1" t="array" ref="B121">INDEX(Data_DBD!$B:$B,$A121)</f>
        <v>5</v>
      </c>
      <c r="C121" s="30">
        <f ca="1" t="array" ref="C121">INDEX(Data_DBD!$C:$C,$A121)</f>
        <v>2</v>
      </c>
      <c r="D121" s="30">
        <f ca="1" t="array" ref="D121">INDEX(Data_DBD!$D:$D,$A121)</f>
        <v>21</v>
      </c>
      <c r="E121" s="30">
        <f ca="1" t="array" ref="E121">INDEX(Data_DBD!$E:$E,$A121)</f>
        <v>0</v>
      </c>
      <c r="F121" s="30">
        <f ca="1" t="array" ref="F121">INDEX(Data_DBD!$F:$F,$A121)</f>
        <v>3</v>
      </c>
      <c r="H121" s="30">
        <v>93</v>
      </c>
      <c r="I121" s="30">
        <v>65</v>
      </c>
      <c r="J121" s="30">
        <v>4</v>
      </c>
      <c r="K121" s="30">
        <v>18</v>
      </c>
      <c r="L121" s="30">
        <v>0</v>
      </c>
      <c r="M121" s="30">
        <v>3</v>
      </c>
    </row>
    <row r="122" spans="1:13">
      <c r="A122" s="30">
        <f ca="1" t="shared" si="1"/>
        <v>153</v>
      </c>
      <c r="B122" s="30">
        <f ca="1" t="array" ref="B122">INDEX(Data_DBD!$B:$B,$A122)</f>
        <v>73</v>
      </c>
      <c r="C122" s="30">
        <f ca="1" t="array" ref="C122">INDEX(Data_DBD!$C:$C,$A122)</f>
        <v>7</v>
      </c>
      <c r="D122" s="30">
        <f ca="1" t="array" ref="D122">INDEX(Data_DBD!$D:$D,$A122)</f>
        <v>21</v>
      </c>
      <c r="E122" s="30">
        <f ca="1" t="array" ref="E122">INDEX(Data_DBD!$E:$E,$A122)</f>
        <v>1</v>
      </c>
      <c r="F122" s="30">
        <f ca="1" t="array" ref="F122">INDEX(Data_DBD!$F:$F,$A122)</f>
        <v>3</v>
      </c>
      <c r="H122" s="30">
        <v>147</v>
      </c>
      <c r="I122" s="30">
        <v>66</v>
      </c>
      <c r="J122" s="30">
        <v>10</v>
      </c>
      <c r="K122" s="30">
        <v>21</v>
      </c>
      <c r="L122" s="30">
        <v>1</v>
      </c>
      <c r="M122" s="30">
        <v>3</v>
      </c>
    </row>
    <row r="123" spans="1:13">
      <c r="A123" s="30">
        <f ca="1" t="shared" si="1"/>
        <v>85</v>
      </c>
      <c r="B123" s="30">
        <f ca="1" t="array" ref="B123">INDEX(Data_DBD!$B:$B,$A123)</f>
        <v>27</v>
      </c>
      <c r="C123" s="30">
        <f ca="1" t="array" ref="C123">INDEX(Data_DBD!$C:$C,$A123)</f>
        <v>9</v>
      </c>
      <c r="D123" s="30">
        <f ca="1" t="array" ref="D123">INDEX(Data_DBD!$D:$D,$A123)</f>
        <v>13</v>
      </c>
      <c r="E123" s="30">
        <f ca="1" t="array" ref="E123">INDEX(Data_DBD!$E:$E,$A123)</f>
        <v>0</v>
      </c>
      <c r="F123" s="30">
        <f ca="1" t="array" ref="F123">INDEX(Data_DBD!$F:$F,$A123)</f>
        <v>2</v>
      </c>
      <c r="H123" s="30">
        <v>122</v>
      </c>
      <c r="I123" s="30">
        <v>28</v>
      </c>
      <c r="J123" s="30">
        <v>3</v>
      </c>
      <c r="K123" s="30">
        <v>33</v>
      </c>
      <c r="L123" s="30">
        <v>1</v>
      </c>
      <c r="M123" s="30">
        <v>3</v>
      </c>
    </row>
    <row r="124" spans="1:13">
      <c r="A124" s="30">
        <f ca="1" t="shared" si="1"/>
        <v>30</v>
      </c>
      <c r="B124" s="30" t="str">
        <f ca="1" t="array" ref="B124">INDEX(Data_DBD!$B:$B,$A124)</f>
        <v>2,8</v>
      </c>
      <c r="C124" s="30">
        <f ca="1" t="array" ref="C124">INDEX(Data_DBD!$C:$C,$A124)</f>
        <v>2</v>
      </c>
      <c r="D124" s="30">
        <f ca="1" t="array" ref="D124">INDEX(Data_DBD!$D:$D,$A124)</f>
        <v>14</v>
      </c>
      <c r="E124" s="30">
        <f ca="1" t="array" ref="E124">INDEX(Data_DBD!$E:$E,$A124)</f>
        <v>1</v>
      </c>
      <c r="F124" s="30">
        <f ca="1" t="array" ref="F124">INDEX(Data_DBD!$F:$F,$A124)</f>
        <v>2</v>
      </c>
      <c r="H124" s="30">
        <v>46</v>
      </c>
      <c r="I124" s="30">
        <v>62</v>
      </c>
      <c r="J124" s="30">
        <v>2</v>
      </c>
      <c r="K124" s="30">
        <v>13</v>
      </c>
      <c r="L124" s="30">
        <v>0</v>
      </c>
      <c r="M124" s="30">
        <v>2</v>
      </c>
    </row>
    <row r="125" spans="1:13">
      <c r="A125" s="30">
        <f ca="1" t="shared" si="1"/>
        <v>31</v>
      </c>
      <c r="B125" s="30">
        <f ca="1" t="array" ref="B125">INDEX(Data_DBD!$B:$B,$A125)</f>
        <v>64</v>
      </c>
      <c r="C125" s="30">
        <f ca="1" t="array" ref="C125">INDEX(Data_DBD!$C:$C,$A125)</f>
        <v>4</v>
      </c>
      <c r="D125" s="30">
        <f ca="1" t="array" ref="D125">INDEX(Data_DBD!$D:$D,$A125)</f>
        <v>14</v>
      </c>
      <c r="E125" s="30">
        <f ca="1" t="array" ref="E125">INDEX(Data_DBD!$E:$E,$A125)</f>
        <v>1</v>
      </c>
      <c r="F125" s="30">
        <f ca="1" t="array" ref="F125">INDEX(Data_DBD!$F:$F,$A125)</f>
        <v>2</v>
      </c>
      <c r="H125" s="30">
        <v>79</v>
      </c>
      <c r="I125" s="30">
        <v>29</v>
      </c>
      <c r="J125" s="30">
        <v>3</v>
      </c>
      <c r="K125" s="30">
        <v>13</v>
      </c>
      <c r="L125" s="30">
        <v>0</v>
      </c>
      <c r="M125" s="30">
        <v>2</v>
      </c>
    </row>
    <row r="126" spans="1:13">
      <c r="A126" s="30">
        <f ca="1" t="shared" si="1"/>
        <v>31</v>
      </c>
      <c r="B126" s="30">
        <f ca="1" t="array" ref="B126">INDEX(Data_DBD!$B:$B,$A126)</f>
        <v>64</v>
      </c>
      <c r="C126" s="30">
        <f ca="1" t="array" ref="C126">INDEX(Data_DBD!$C:$C,$A126)</f>
        <v>4</v>
      </c>
      <c r="D126" s="30">
        <f ca="1" t="array" ref="D126">INDEX(Data_DBD!$D:$D,$A126)</f>
        <v>14</v>
      </c>
      <c r="E126" s="30">
        <f ca="1" t="array" ref="E126">INDEX(Data_DBD!$E:$E,$A126)</f>
        <v>1</v>
      </c>
      <c r="F126" s="30">
        <f ca="1" t="array" ref="F126">INDEX(Data_DBD!$F:$F,$A126)</f>
        <v>2</v>
      </c>
      <c r="H126" s="30">
        <v>90</v>
      </c>
      <c r="I126" s="30">
        <v>47</v>
      </c>
      <c r="J126" s="30">
        <v>3</v>
      </c>
      <c r="K126" s="30">
        <v>18</v>
      </c>
      <c r="L126" s="30">
        <v>0</v>
      </c>
      <c r="M126" s="30">
        <v>3</v>
      </c>
    </row>
    <row r="127" spans="1:13">
      <c r="A127" s="30">
        <f ca="1" t="shared" si="1"/>
        <v>69</v>
      </c>
      <c r="B127" s="30">
        <f ca="1" t="array" ref="B127">INDEX(Data_DBD!$B:$B,$A127)</f>
        <v>24</v>
      </c>
      <c r="C127" s="30">
        <f ca="1" t="array" ref="C127">INDEX(Data_DBD!$C:$C,$A127)</f>
        <v>4</v>
      </c>
      <c r="D127" s="30">
        <f ca="1" t="array" ref="D127">INDEX(Data_DBD!$D:$D,$A127)</f>
        <v>10</v>
      </c>
      <c r="E127" s="30">
        <f ca="1" t="array" ref="E127">INDEX(Data_DBD!$E:$E,$A127)</f>
        <v>1</v>
      </c>
      <c r="F127" s="30">
        <f ca="1" t="array" ref="F127">INDEX(Data_DBD!$F:$F,$A127)</f>
        <v>2</v>
      </c>
      <c r="H127" s="30">
        <v>85</v>
      </c>
      <c r="I127" s="30">
        <v>27</v>
      </c>
      <c r="J127" s="30">
        <v>9</v>
      </c>
      <c r="K127" s="30">
        <v>13</v>
      </c>
      <c r="L127" s="30">
        <v>0</v>
      </c>
      <c r="M127" s="30">
        <v>2</v>
      </c>
    </row>
    <row r="128" spans="1:13">
      <c r="A128" s="30">
        <f ca="1" t="shared" si="1"/>
        <v>26</v>
      </c>
      <c r="B128" s="30">
        <f ca="1" t="array" ref="B128">INDEX(Data_DBD!$B:$B,$A128)</f>
        <v>75</v>
      </c>
      <c r="C128" s="30">
        <f ca="1" t="array" ref="C128">INDEX(Data_DBD!$C:$C,$A128)</f>
        <v>4</v>
      </c>
      <c r="D128" s="30">
        <f ca="1" t="array" ref="D128">INDEX(Data_DBD!$D:$D,$A128)</f>
        <v>14</v>
      </c>
      <c r="E128" s="30">
        <f ca="1" t="array" ref="E128">INDEX(Data_DBD!$E:$E,$A128)</f>
        <v>1</v>
      </c>
      <c r="F128" s="30">
        <f ca="1" t="array" ref="F128">INDEX(Data_DBD!$F:$F,$A128)</f>
        <v>2</v>
      </c>
      <c r="H128" s="30">
        <v>71</v>
      </c>
      <c r="I128" s="30">
        <v>84</v>
      </c>
      <c r="J128" s="30">
        <v>3</v>
      </c>
      <c r="K128" s="30">
        <v>10</v>
      </c>
      <c r="L128" s="30">
        <v>0</v>
      </c>
      <c r="M128" s="30">
        <v>2</v>
      </c>
    </row>
    <row r="129" spans="1:13">
      <c r="A129" s="30">
        <f ca="1" t="shared" si="1"/>
        <v>13</v>
      </c>
      <c r="B129" s="30">
        <f ca="1" t="array" ref="B129">INDEX(Data_DBD!$B:$B,$A129)</f>
        <v>47</v>
      </c>
      <c r="C129" s="30">
        <f ca="1" t="array" ref="C129">INDEX(Data_DBD!$C:$C,$A129)</f>
        <v>2</v>
      </c>
      <c r="D129" s="30">
        <f ca="1" t="array" ref="D129">INDEX(Data_DBD!$D:$D,$A129)</f>
        <v>12</v>
      </c>
      <c r="E129" s="30">
        <f ca="1" t="array" ref="E129">INDEX(Data_DBD!$E:$E,$A129)</f>
        <v>0</v>
      </c>
      <c r="F129" s="30">
        <f ca="1" t="array" ref="F129">INDEX(Data_DBD!$F:$F,$A129)</f>
        <v>2</v>
      </c>
      <c r="H129" s="30">
        <v>136</v>
      </c>
      <c r="I129" s="30">
        <v>6</v>
      </c>
      <c r="J129" s="30">
        <v>2</v>
      </c>
      <c r="K129" s="30">
        <v>33</v>
      </c>
      <c r="L129" s="30">
        <v>0</v>
      </c>
      <c r="M129" s="30">
        <v>3</v>
      </c>
    </row>
    <row r="130" spans="1:13">
      <c r="A130" s="30">
        <f ca="1" t="shared" si="1"/>
        <v>12</v>
      </c>
      <c r="B130" s="30">
        <f ca="1" t="array" ref="B130">INDEX(Data_DBD!$B:$B,$A130)</f>
        <v>23</v>
      </c>
      <c r="C130" s="30">
        <f ca="1" t="array" ref="C130">INDEX(Data_DBD!$C:$C,$A130)</f>
        <v>3</v>
      </c>
      <c r="D130" s="30">
        <f ca="1" t="array" ref="D130">INDEX(Data_DBD!$D:$D,$A130)</f>
        <v>12</v>
      </c>
      <c r="E130" s="30">
        <f ca="1" t="array" ref="E130">INDEX(Data_DBD!$E:$E,$A130)</f>
        <v>0</v>
      </c>
      <c r="F130" s="30">
        <f ca="1" t="array" ref="F130">INDEX(Data_DBD!$F:$F,$A130)</f>
        <v>2</v>
      </c>
      <c r="H130" s="30">
        <v>140</v>
      </c>
      <c r="I130" s="30">
        <v>74</v>
      </c>
      <c r="J130" s="30">
        <v>5</v>
      </c>
      <c r="K130" s="30">
        <v>21</v>
      </c>
      <c r="L130" s="30">
        <v>1</v>
      </c>
      <c r="M130" s="30">
        <v>3</v>
      </c>
    </row>
    <row r="131" spans="1:13">
      <c r="A131" s="30">
        <f ca="1" t="shared" ref="A131:A164" si="2">RANDBETWEEN(2,164)</f>
        <v>76</v>
      </c>
      <c r="B131" s="30">
        <f ca="1" t="array" ref="B131">INDEX(Data_DBD!$B:$B,$A131)</f>
        <v>70</v>
      </c>
      <c r="C131" s="30">
        <f ca="1" t="array" ref="C131">INDEX(Data_DBD!$C:$C,$A131)</f>
        <v>2</v>
      </c>
      <c r="D131" s="30">
        <f ca="1" t="array" ref="D131">INDEX(Data_DBD!$D:$D,$A131)</f>
        <v>10</v>
      </c>
      <c r="E131" s="30">
        <f ca="1" t="array" ref="E131">INDEX(Data_DBD!$E:$E,$A131)</f>
        <v>0</v>
      </c>
      <c r="F131" s="30">
        <f ca="1" t="array" ref="F131">INDEX(Data_DBD!$F:$F,$A131)</f>
        <v>2</v>
      </c>
      <c r="H131" s="30">
        <v>34</v>
      </c>
      <c r="I131" s="30">
        <v>55</v>
      </c>
      <c r="J131" s="30">
        <v>3</v>
      </c>
      <c r="K131" s="30">
        <v>14</v>
      </c>
      <c r="L131" s="30">
        <v>0</v>
      </c>
      <c r="M131" s="30">
        <v>2</v>
      </c>
    </row>
    <row r="132" spans="1:13">
      <c r="A132" s="30">
        <f ca="1" t="shared" si="2"/>
        <v>17</v>
      </c>
      <c r="B132" s="30">
        <f ca="1" t="array" ref="B132">INDEX(Data_DBD!$B:$B,$A132)</f>
        <v>2</v>
      </c>
      <c r="C132" s="30">
        <f ca="1" t="array" ref="C132">INDEX(Data_DBD!$C:$C,$A132)</f>
        <v>3</v>
      </c>
      <c r="D132" s="30">
        <f ca="1" t="array" ref="D132">INDEX(Data_DBD!$D:$D,$A132)</f>
        <v>7</v>
      </c>
      <c r="E132" s="30">
        <f ca="1" t="array" ref="E132">INDEX(Data_DBD!$E:$E,$A132)</f>
        <v>0</v>
      </c>
      <c r="F132" s="30">
        <f ca="1" t="array" ref="F132">INDEX(Data_DBD!$F:$F,$A132)</f>
        <v>1</v>
      </c>
      <c r="H132" s="30">
        <v>31</v>
      </c>
      <c r="I132" s="30">
        <v>64</v>
      </c>
      <c r="J132" s="30">
        <v>4</v>
      </c>
      <c r="K132" s="30">
        <v>14</v>
      </c>
      <c r="L132" s="30">
        <v>1</v>
      </c>
      <c r="M132" s="30">
        <v>2</v>
      </c>
    </row>
    <row r="133" spans="1:13">
      <c r="A133" s="30">
        <f ca="1" t="shared" si="2"/>
        <v>111</v>
      </c>
      <c r="B133" s="30">
        <f ca="1" t="array" ref="B133">INDEX(Data_DBD!$B:$B,$A133)</f>
        <v>25</v>
      </c>
      <c r="C133" s="30">
        <f ca="1" t="array" ref="C133">INDEX(Data_DBD!$C:$C,$A133)</f>
        <v>4</v>
      </c>
      <c r="D133" s="30">
        <f ca="1" t="array" ref="D133">INDEX(Data_DBD!$D:$D,$A133)</f>
        <v>33</v>
      </c>
      <c r="E133" s="30">
        <f ca="1" t="array" ref="E133">INDEX(Data_DBD!$E:$E,$A133)</f>
        <v>0</v>
      </c>
      <c r="F133" s="30">
        <f ca="1" t="array" ref="F133">INDEX(Data_DBD!$F:$F,$A133)</f>
        <v>3</v>
      </c>
      <c r="H133" s="30">
        <v>131</v>
      </c>
      <c r="I133" s="30">
        <v>10</v>
      </c>
      <c r="J133" s="30">
        <v>2</v>
      </c>
      <c r="K133" s="30">
        <v>33</v>
      </c>
      <c r="L133" s="30">
        <v>0</v>
      </c>
      <c r="M133" s="30">
        <v>3</v>
      </c>
    </row>
    <row r="134" spans="1:13">
      <c r="A134" s="30">
        <f ca="1" t="shared" si="2"/>
        <v>64</v>
      </c>
      <c r="B134" s="30">
        <f ca="1" t="array" ref="B134">INDEX(Data_DBD!$B:$B,$A134)</f>
        <v>35</v>
      </c>
      <c r="C134" s="30">
        <f ca="1" t="array" ref="C134">INDEX(Data_DBD!$C:$C,$A134)</f>
        <v>1</v>
      </c>
      <c r="D134" s="30">
        <f ca="1" t="array" ref="D134">INDEX(Data_DBD!$D:$D,$A134)</f>
        <v>15</v>
      </c>
      <c r="E134" s="30">
        <f ca="1" t="array" ref="E134">INDEX(Data_DBD!$E:$E,$A134)</f>
        <v>0</v>
      </c>
      <c r="F134" s="30">
        <f ca="1" t="array" ref="F134">INDEX(Data_DBD!$F:$F,$A134)</f>
        <v>2</v>
      </c>
      <c r="H134" s="30">
        <v>94</v>
      </c>
      <c r="I134" s="30">
        <v>12</v>
      </c>
      <c r="J134" s="30">
        <v>4</v>
      </c>
      <c r="K134" s="30">
        <v>18</v>
      </c>
      <c r="L134" s="30">
        <v>0</v>
      </c>
      <c r="M134" s="30">
        <v>3</v>
      </c>
    </row>
    <row r="135" spans="1:13">
      <c r="A135" s="30">
        <f ca="1" t="shared" si="2"/>
        <v>44</v>
      </c>
      <c r="B135" s="30">
        <f ca="1" t="array" ref="B135">INDEX(Data_DBD!$B:$B,$A135)</f>
        <v>28</v>
      </c>
      <c r="C135" s="30">
        <f ca="1" t="array" ref="C135">INDEX(Data_DBD!$C:$C,$A135)</f>
        <v>5</v>
      </c>
      <c r="D135" s="30">
        <f ca="1" t="array" ref="D135">INDEX(Data_DBD!$D:$D,$A135)</f>
        <v>13</v>
      </c>
      <c r="E135" s="30">
        <f ca="1" t="array" ref="E135">INDEX(Data_DBD!$E:$E,$A135)</f>
        <v>1</v>
      </c>
      <c r="F135" s="30">
        <f ca="1" t="array" ref="F135">INDEX(Data_DBD!$F:$F,$A135)</f>
        <v>2</v>
      </c>
      <c r="H135" s="30">
        <v>108</v>
      </c>
      <c r="I135" s="30">
        <v>69</v>
      </c>
      <c r="J135" s="30">
        <v>7</v>
      </c>
      <c r="K135" s="30">
        <v>33</v>
      </c>
      <c r="L135" s="30">
        <v>1</v>
      </c>
      <c r="M135" s="30">
        <v>3</v>
      </c>
    </row>
    <row r="136" spans="1:13">
      <c r="A136" s="30">
        <f ca="1" t="shared" si="2"/>
        <v>35</v>
      </c>
      <c r="B136" s="30">
        <f ca="1" t="array" ref="B136">INDEX(Data_DBD!$B:$B,$A136)</f>
        <v>40</v>
      </c>
      <c r="C136" s="30">
        <f ca="1" t="array" ref="C136">INDEX(Data_DBD!$C:$C,$A136)</f>
        <v>3</v>
      </c>
      <c r="D136" s="30">
        <f ca="1" t="array" ref="D136">INDEX(Data_DBD!$D:$D,$A136)</f>
        <v>4</v>
      </c>
      <c r="E136" s="30">
        <f ca="1" t="array" ref="E136">INDEX(Data_DBD!$E:$E,$A136)</f>
        <v>1</v>
      </c>
      <c r="F136" s="30">
        <f ca="1" t="array" ref="F136">INDEX(Data_DBD!$F:$F,$A136)</f>
        <v>1</v>
      </c>
      <c r="H136" s="30">
        <v>156</v>
      </c>
      <c r="I136" s="30">
        <v>5</v>
      </c>
      <c r="J136" s="30">
        <v>2</v>
      </c>
      <c r="K136" s="30">
        <v>21</v>
      </c>
      <c r="L136" s="30">
        <v>0</v>
      </c>
      <c r="M136" s="30">
        <v>3</v>
      </c>
    </row>
    <row r="137" spans="1:13">
      <c r="A137" s="30">
        <f ca="1" t="shared" si="2"/>
        <v>85</v>
      </c>
      <c r="B137" s="30">
        <f ca="1" t="array" ref="B137">INDEX(Data_DBD!$B:$B,$A137)</f>
        <v>27</v>
      </c>
      <c r="C137" s="30">
        <f ca="1" t="array" ref="C137">INDEX(Data_DBD!$C:$C,$A137)</f>
        <v>9</v>
      </c>
      <c r="D137" s="30">
        <f ca="1" t="array" ref="D137">INDEX(Data_DBD!$D:$D,$A137)</f>
        <v>13</v>
      </c>
      <c r="E137" s="30">
        <f ca="1" t="array" ref="E137">INDEX(Data_DBD!$E:$E,$A137)</f>
        <v>0</v>
      </c>
      <c r="F137" s="30">
        <f ca="1" t="array" ref="F137">INDEX(Data_DBD!$F:$F,$A137)</f>
        <v>2</v>
      </c>
      <c r="H137" s="30">
        <v>157</v>
      </c>
      <c r="I137" s="30">
        <v>15</v>
      </c>
      <c r="J137" s="30">
        <v>4</v>
      </c>
      <c r="K137" s="30">
        <v>21</v>
      </c>
      <c r="L137" s="30">
        <v>1</v>
      </c>
      <c r="M137" s="30">
        <v>3</v>
      </c>
    </row>
    <row r="138" spans="1:13">
      <c r="A138" s="30">
        <f ca="1" t="shared" si="2"/>
        <v>26</v>
      </c>
      <c r="B138" s="30">
        <f ca="1" t="array" ref="B138">INDEX(Data_DBD!$B:$B,$A138)</f>
        <v>75</v>
      </c>
      <c r="C138" s="30">
        <f ca="1" t="array" ref="C138">INDEX(Data_DBD!$C:$C,$A138)</f>
        <v>4</v>
      </c>
      <c r="D138" s="30">
        <f ca="1" t="array" ref="D138">INDEX(Data_DBD!$D:$D,$A138)</f>
        <v>14</v>
      </c>
      <c r="E138" s="30">
        <f ca="1" t="array" ref="E138">INDEX(Data_DBD!$E:$E,$A138)</f>
        <v>1</v>
      </c>
      <c r="F138" s="30">
        <f ca="1" t="array" ref="F138">INDEX(Data_DBD!$F:$F,$A138)</f>
        <v>2</v>
      </c>
      <c r="H138" s="30">
        <v>154</v>
      </c>
      <c r="I138" s="30">
        <v>18</v>
      </c>
      <c r="J138" s="30">
        <v>5</v>
      </c>
      <c r="K138" s="30">
        <v>21</v>
      </c>
      <c r="L138" s="30">
        <v>1</v>
      </c>
      <c r="M138" s="30">
        <v>3</v>
      </c>
    </row>
    <row r="139" spans="1:13">
      <c r="A139" s="30">
        <f ca="1" t="shared" si="2"/>
        <v>108</v>
      </c>
      <c r="B139" s="30">
        <f ca="1" t="array" ref="B139">INDEX(Data_DBD!$B:$B,$A139)</f>
        <v>69</v>
      </c>
      <c r="C139" s="30">
        <f ca="1" t="array" ref="C139">INDEX(Data_DBD!$C:$C,$A139)</f>
        <v>7</v>
      </c>
      <c r="D139" s="30">
        <f ca="1" t="array" ref="D139">INDEX(Data_DBD!$D:$D,$A139)</f>
        <v>33</v>
      </c>
      <c r="E139" s="30">
        <f ca="1" t="array" ref="E139">INDEX(Data_DBD!$E:$E,$A139)</f>
        <v>1</v>
      </c>
      <c r="F139" s="30">
        <f ca="1" t="array" ref="F139">INDEX(Data_DBD!$F:$F,$A139)</f>
        <v>3</v>
      </c>
      <c r="H139" s="30">
        <v>53</v>
      </c>
      <c r="I139" s="30">
        <v>35</v>
      </c>
      <c r="J139" s="30">
        <v>4</v>
      </c>
      <c r="K139" s="30">
        <v>15</v>
      </c>
      <c r="L139" s="30">
        <v>1</v>
      </c>
      <c r="M139" s="30">
        <v>2</v>
      </c>
    </row>
    <row r="140" spans="1:13">
      <c r="A140" s="30">
        <f ca="1" t="shared" si="2"/>
        <v>96</v>
      </c>
      <c r="B140" s="30">
        <f ca="1" t="array" ref="B140">INDEX(Data_DBD!$B:$B,$A140)</f>
        <v>56</v>
      </c>
      <c r="C140" s="30">
        <f ca="1" t="array" ref="C140">INDEX(Data_DBD!$C:$C,$A140)</f>
        <v>4</v>
      </c>
      <c r="D140" s="30">
        <f ca="1" t="array" ref="D140">INDEX(Data_DBD!$D:$D,$A140)</f>
        <v>18</v>
      </c>
      <c r="E140" s="30">
        <f ca="1" t="array" ref="E140">INDEX(Data_DBD!$E:$E,$A140)</f>
        <v>0</v>
      </c>
      <c r="F140" s="30">
        <f ca="1" t="array" ref="F140">INDEX(Data_DBD!$F:$F,$A140)</f>
        <v>3</v>
      </c>
      <c r="H140" s="30">
        <v>155</v>
      </c>
      <c r="I140" s="30">
        <v>19</v>
      </c>
      <c r="J140" s="30">
        <v>5</v>
      </c>
      <c r="K140" s="30">
        <v>21</v>
      </c>
      <c r="L140" s="30">
        <v>1</v>
      </c>
      <c r="M140" s="30">
        <v>3</v>
      </c>
    </row>
    <row r="141" spans="1:13">
      <c r="A141" s="30">
        <f ca="1" t="shared" si="2"/>
        <v>93</v>
      </c>
      <c r="B141" s="30">
        <f ca="1" t="array" ref="B141">INDEX(Data_DBD!$B:$B,$A141)</f>
        <v>65</v>
      </c>
      <c r="C141" s="30">
        <f ca="1" t="array" ref="C141">INDEX(Data_DBD!$C:$C,$A141)</f>
        <v>4</v>
      </c>
      <c r="D141" s="30">
        <f ca="1" t="array" ref="D141">INDEX(Data_DBD!$D:$D,$A141)</f>
        <v>18</v>
      </c>
      <c r="E141" s="30">
        <f ca="1" t="array" ref="E141">INDEX(Data_DBD!$E:$E,$A141)</f>
        <v>0</v>
      </c>
      <c r="F141" s="30">
        <f ca="1" t="array" ref="F141">INDEX(Data_DBD!$F:$F,$A141)</f>
        <v>3</v>
      </c>
      <c r="H141" s="30">
        <v>50</v>
      </c>
      <c r="I141" s="30">
        <v>19</v>
      </c>
      <c r="J141" s="30">
        <v>5</v>
      </c>
      <c r="K141" s="30">
        <v>13</v>
      </c>
      <c r="L141" s="30">
        <v>0</v>
      </c>
      <c r="M141" s="30">
        <v>2</v>
      </c>
    </row>
    <row r="142" spans="1:13">
      <c r="A142" s="30">
        <f ca="1" t="shared" si="2"/>
        <v>159</v>
      </c>
      <c r="B142" s="30">
        <f ca="1" t="array" ref="B142">INDEX(Data_DBD!$B:$B,$A142)</f>
        <v>17</v>
      </c>
      <c r="C142" s="30">
        <f ca="1" t="array" ref="C142">INDEX(Data_DBD!$C:$C,$A142)</f>
        <v>2</v>
      </c>
      <c r="D142" s="30">
        <f ca="1" t="array" ref="D142">INDEX(Data_DBD!$D:$D,$A142)</f>
        <v>21</v>
      </c>
      <c r="E142" s="30">
        <f ca="1" t="array" ref="E142">INDEX(Data_DBD!$E:$E,$A142)</f>
        <v>0</v>
      </c>
      <c r="F142" s="30">
        <f ca="1" t="array" ref="F142">INDEX(Data_DBD!$F:$F,$A142)</f>
        <v>3</v>
      </c>
      <c r="H142" s="30">
        <v>17</v>
      </c>
      <c r="I142" s="30">
        <v>2</v>
      </c>
      <c r="J142" s="30">
        <v>3</v>
      </c>
      <c r="K142" s="30">
        <v>7</v>
      </c>
      <c r="L142" s="30">
        <v>0</v>
      </c>
      <c r="M142" s="30">
        <v>1</v>
      </c>
    </row>
    <row r="143" spans="1:13">
      <c r="A143" s="30">
        <f ca="1" t="shared" si="2"/>
        <v>16</v>
      </c>
      <c r="B143" s="30">
        <f ca="1" t="array" ref="B143">INDEX(Data_DBD!$B:$B,$A143)</f>
        <v>66</v>
      </c>
      <c r="C143" s="30">
        <f ca="1" t="array" ref="C143">INDEX(Data_DBD!$C:$C,$A143)</f>
        <v>5</v>
      </c>
      <c r="D143" s="30">
        <f ca="1" t="array" ref="D143">INDEX(Data_DBD!$D:$D,$A143)</f>
        <v>7</v>
      </c>
      <c r="E143" s="30">
        <f ca="1" t="array" ref="E143">INDEX(Data_DBD!$E:$E,$A143)</f>
        <v>1</v>
      </c>
      <c r="F143" s="30">
        <f ca="1" t="array" ref="F143">INDEX(Data_DBD!$F:$F,$A143)</f>
        <v>1</v>
      </c>
      <c r="H143" s="30">
        <v>102</v>
      </c>
      <c r="I143" s="30">
        <v>41</v>
      </c>
      <c r="J143" s="30">
        <v>4</v>
      </c>
      <c r="K143" s="30">
        <v>18</v>
      </c>
      <c r="L143" s="30">
        <v>0</v>
      </c>
      <c r="M143" s="30">
        <v>3</v>
      </c>
    </row>
    <row r="144" spans="1:13">
      <c r="A144" s="30">
        <f ca="1" t="shared" si="2"/>
        <v>44</v>
      </c>
      <c r="B144" s="30">
        <f ca="1" t="array" ref="B144">INDEX(Data_DBD!$B:$B,$A144)</f>
        <v>28</v>
      </c>
      <c r="C144" s="30">
        <f ca="1" t="array" ref="C144">INDEX(Data_DBD!$C:$C,$A144)</f>
        <v>5</v>
      </c>
      <c r="D144" s="30">
        <f ca="1" t="array" ref="D144">INDEX(Data_DBD!$D:$D,$A144)</f>
        <v>13</v>
      </c>
      <c r="E144" s="30">
        <f ca="1" t="array" ref="E144">INDEX(Data_DBD!$E:$E,$A144)</f>
        <v>1</v>
      </c>
      <c r="F144" s="30">
        <f ca="1" t="array" ref="F144">INDEX(Data_DBD!$F:$F,$A144)</f>
        <v>2</v>
      </c>
      <c r="H144" s="30">
        <v>142</v>
      </c>
      <c r="I144" s="30">
        <v>39</v>
      </c>
      <c r="J144" s="30">
        <v>2</v>
      </c>
      <c r="K144" s="30">
        <v>21</v>
      </c>
      <c r="L144" s="30">
        <v>1</v>
      </c>
      <c r="M144" s="30">
        <v>3</v>
      </c>
    </row>
    <row r="145" spans="1:13">
      <c r="A145" s="30">
        <f ca="1" t="shared" si="2"/>
        <v>28</v>
      </c>
      <c r="B145" s="30">
        <f ca="1" t="array" ref="B145">INDEX(Data_DBD!$B:$B,$A145)</f>
        <v>22</v>
      </c>
      <c r="C145" s="30">
        <f ca="1" t="array" ref="C145">INDEX(Data_DBD!$C:$C,$A145)</f>
        <v>2</v>
      </c>
      <c r="D145" s="30">
        <f ca="1" t="array" ref="D145">INDEX(Data_DBD!$D:$D,$A145)</f>
        <v>14</v>
      </c>
      <c r="E145" s="30">
        <f ca="1" t="array" ref="E145">INDEX(Data_DBD!$E:$E,$A145)</f>
        <v>1</v>
      </c>
      <c r="F145" s="30">
        <f ca="1" t="array" ref="F145">INDEX(Data_DBD!$F:$F,$A145)</f>
        <v>2</v>
      </c>
      <c r="H145" s="30">
        <v>93</v>
      </c>
      <c r="I145" s="30">
        <v>65</v>
      </c>
      <c r="J145" s="30">
        <v>4</v>
      </c>
      <c r="K145" s="30">
        <v>18</v>
      </c>
      <c r="L145" s="30">
        <v>0</v>
      </c>
      <c r="M145" s="30">
        <v>3</v>
      </c>
    </row>
    <row r="146" spans="1:13">
      <c r="A146" s="30">
        <f ca="1" t="shared" si="2"/>
        <v>98</v>
      </c>
      <c r="B146" s="30">
        <f ca="1" t="array" ref="B146">INDEX(Data_DBD!$B:$B,$A146)</f>
        <v>16</v>
      </c>
      <c r="C146" s="30">
        <f ca="1" t="array" ref="C146">INDEX(Data_DBD!$C:$C,$A146)</f>
        <v>2</v>
      </c>
      <c r="D146" s="30">
        <f ca="1" t="array" ref="D146">INDEX(Data_DBD!$D:$D,$A146)</f>
        <v>18</v>
      </c>
      <c r="E146" s="30">
        <f ca="1" t="array" ref="E146">INDEX(Data_DBD!$E:$E,$A146)</f>
        <v>1</v>
      </c>
      <c r="F146" s="30">
        <f ca="1" t="array" ref="F146">INDEX(Data_DBD!$F:$F,$A146)</f>
        <v>3</v>
      </c>
      <c r="H146" s="30">
        <v>60</v>
      </c>
      <c r="I146" s="30">
        <v>68</v>
      </c>
      <c r="J146" s="30">
        <v>4</v>
      </c>
      <c r="K146" s="30">
        <v>15</v>
      </c>
      <c r="L146" s="30">
        <v>0</v>
      </c>
      <c r="M146" s="30">
        <v>2</v>
      </c>
    </row>
    <row r="147" spans="1:13">
      <c r="A147" s="30">
        <f ca="1" t="shared" si="2"/>
        <v>85</v>
      </c>
      <c r="B147" s="30">
        <f ca="1" t="array" ref="B147">INDEX(Data_DBD!$B:$B,$A147)</f>
        <v>27</v>
      </c>
      <c r="C147" s="30">
        <f ca="1" t="array" ref="C147">INDEX(Data_DBD!$C:$C,$A147)</f>
        <v>9</v>
      </c>
      <c r="D147" s="30">
        <f ca="1" t="array" ref="D147">INDEX(Data_DBD!$D:$D,$A147)</f>
        <v>13</v>
      </c>
      <c r="E147" s="30">
        <f ca="1" t="array" ref="E147">INDEX(Data_DBD!$E:$E,$A147)</f>
        <v>0</v>
      </c>
      <c r="F147" s="30">
        <f ca="1" t="array" ref="F147">INDEX(Data_DBD!$F:$F,$A147)</f>
        <v>2</v>
      </c>
      <c r="H147" s="30">
        <v>55</v>
      </c>
      <c r="I147" s="30">
        <v>7</v>
      </c>
      <c r="J147" s="30">
        <v>4</v>
      </c>
      <c r="K147" s="30">
        <v>15</v>
      </c>
      <c r="L147" s="30">
        <v>1</v>
      </c>
      <c r="M147" s="30">
        <v>2</v>
      </c>
    </row>
    <row r="148" spans="1:13">
      <c r="A148" s="30">
        <f ca="1" t="shared" si="2"/>
        <v>48</v>
      </c>
      <c r="B148" s="30">
        <f ca="1" t="array" ref="B148">INDEX(Data_DBD!$B:$B,$A148)</f>
        <v>50</v>
      </c>
      <c r="C148" s="30">
        <f ca="1" t="array" ref="C148">INDEX(Data_DBD!$C:$C,$A148)</f>
        <v>5</v>
      </c>
      <c r="D148" s="30">
        <f ca="1" t="array" ref="D148">INDEX(Data_DBD!$D:$D,$A148)</f>
        <v>13</v>
      </c>
      <c r="E148" s="30">
        <f ca="1" t="array" ref="E148">INDEX(Data_DBD!$E:$E,$A148)</f>
        <v>1</v>
      </c>
      <c r="F148" s="30">
        <f ca="1" t="array" ref="F148">INDEX(Data_DBD!$F:$F,$A148)</f>
        <v>2</v>
      </c>
      <c r="H148" s="30">
        <v>93</v>
      </c>
      <c r="I148" s="30">
        <v>65</v>
      </c>
      <c r="J148" s="30">
        <v>4</v>
      </c>
      <c r="K148" s="30">
        <v>18</v>
      </c>
      <c r="L148" s="30">
        <v>0</v>
      </c>
      <c r="M148" s="30">
        <v>3</v>
      </c>
    </row>
    <row r="149" spans="1:13">
      <c r="A149" s="30">
        <f ca="1" t="shared" si="2"/>
        <v>155</v>
      </c>
      <c r="B149" s="30">
        <f ca="1" t="array" ref="B149">INDEX(Data_DBD!$B:$B,$A149)</f>
        <v>19</v>
      </c>
      <c r="C149" s="30">
        <f ca="1" t="array" ref="C149">INDEX(Data_DBD!$C:$C,$A149)</f>
        <v>5</v>
      </c>
      <c r="D149" s="30">
        <f ca="1" t="array" ref="D149">INDEX(Data_DBD!$D:$D,$A149)</f>
        <v>21</v>
      </c>
      <c r="E149" s="30">
        <f ca="1" t="array" ref="E149">INDEX(Data_DBD!$E:$E,$A149)</f>
        <v>1</v>
      </c>
      <c r="F149" s="30">
        <f ca="1" t="array" ref="F149">INDEX(Data_DBD!$F:$F,$A149)</f>
        <v>3</v>
      </c>
      <c r="H149" s="30">
        <v>65</v>
      </c>
      <c r="I149" s="30">
        <v>49</v>
      </c>
      <c r="J149" s="30">
        <v>3</v>
      </c>
      <c r="K149" s="30">
        <v>15</v>
      </c>
      <c r="L149" s="30">
        <v>0</v>
      </c>
      <c r="M149" s="30">
        <v>2</v>
      </c>
    </row>
    <row r="150" spans="1:13">
      <c r="A150" s="30">
        <f ca="1" t="shared" si="2"/>
        <v>99</v>
      </c>
      <c r="B150" s="30">
        <f ca="1" t="array" ref="B150">INDEX(Data_DBD!$B:$B,$A150)</f>
        <v>4</v>
      </c>
      <c r="C150" s="30">
        <f ca="1" t="array" ref="C150">INDEX(Data_DBD!$C:$C,$A150)</f>
        <v>2</v>
      </c>
      <c r="D150" s="30">
        <f ca="1" t="array" ref="D150">INDEX(Data_DBD!$D:$D,$A150)</f>
        <v>18</v>
      </c>
      <c r="E150" s="30">
        <f ca="1" t="array" ref="E150">INDEX(Data_DBD!$E:$E,$A150)</f>
        <v>1</v>
      </c>
      <c r="F150" s="30">
        <f ca="1" t="array" ref="F150">INDEX(Data_DBD!$F:$F,$A150)</f>
        <v>3</v>
      </c>
      <c r="H150" s="30">
        <v>83</v>
      </c>
      <c r="I150" s="30">
        <v>50</v>
      </c>
      <c r="J150" s="30">
        <v>3</v>
      </c>
      <c r="K150" s="30">
        <v>13</v>
      </c>
      <c r="L150" s="30">
        <v>0</v>
      </c>
      <c r="M150" s="30">
        <v>2</v>
      </c>
    </row>
    <row r="151" spans="1:13">
      <c r="A151" s="30">
        <f ca="1" t="shared" si="2"/>
        <v>49</v>
      </c>
      <c r="B151" s="30">
        <f ca="1" t="array" ref="B151">INDEX(Data_DBD!$B:$B,$A151)</f>
        <v>64</v>
      </c>
      <c r="C151" s="30">
        <f ca="1" t="array" ref="C151">INDEX(Data_DBD!$C:$C,$A151)</f>
        <v>5</v>
      </c>
      <c r="D151" s="30">
        <f ca="1" t="array" ref="D151">INDEX(Data_DBD!$D:$D,$A151)</f>
        <v>13</v>
      </c>
      <c r="E151" s="30">
        <f ca="1" t="array" ref="E151">INDEX(Data_DBD!$E:$E,$A151)</f>
        <v>0</v>
      </c>
      <c r="F151" s="30">
        <f ca="1" t="array" ref="F151">INDEX(Data_DBD!$F:$F,$A151)</f>
        <v>2</v>
      </c>
      <c r="H151" s="30">
        <v>86</v>
      </c>
      <c r="I151" s="30">
        <v>23</v>
      </c>
      <c r="J151" s="30">
        <v>3</v>
      </c>
      <c r="K151" s="30">
        <v>13</v>
      </c>
      <c r="L151" s="30">
        <v>0</v>
      </c>
      <c r="M151" s="30">
        <v>2</v>
      </c>
    </row>
    <row r="152" spans="1:13">
      <c r="A152" s="30">
        <f ca="1" t="shared" si="2"/>
        <v>136</v>
      </c>
      <c r="B152" s="30">
        <f ca="1" t="array" ref="B152">INDEX(Data_DBD!$B:$B,$A152)</f>
        <v>6</v>
      </c>
      <c r="C152" s="30">
        <f ca="1" t="array" ref="C152">INDEX(Data_DBD!$C:$C,$A152)</f>
        <v>2</v>
      </c>
      <c r="D152" s="30">
        <f ca="1" t="array" ref="D152">INDEX(Data_DBD!$D:$D,$A152)</f>
        <v>33</v>
      </c>
      <c r="E152" s="30">
        <f ca="1" t="array" ref="E152">INDEX(Data_DBD!$E:$E,$A152)</f>
        <v>0</v>
      </c>
      <c r="F152" s="30">
        <f ca="1" t="array" ref="F152">INDEX(Data_DBD!$F:$F,$A152)</f>
        <v>3</v>
      </c>
      <c r="H152" s="30">
        <v>93</v>
      </c>
      <c r="I152" s="30">
        <v>65</v>
      </c>
      <c r="J152" s="30">
        <v>4</v>
      </c>
      <c r="K152" s="30">
        <v>18</v>
      </c>
      <c r="L152" s="30">
        <v>0</v>
      </c>
      <c r="M152" s="30">
        <v>3</v>
      </c>
    </row>
    <row r="153" spans="1:13">
      <c r="A153" s="30">
        <f ca="1" t="shared" si="2"/>
        <v>31</v>
      </c>
      <c r="B153" s="30">
        <f ca="1" t="array" ref="B153">INDEX(Data_DBD!$B:$B,$A153)</f>
        <v>64</v>
      </c>
      <c r="C153" s="30">
        <f ca="1" t="array" ref="C153">INDEX(Data_DBD!$C:$C,$A153)</f>
        <v>4</v>
      </c>
      <c r="D153" s="30">
        <f ca="1" t="array" ref="D153">INDEX(Data_DBD!$D:$D,$A153)</f>
        <v>14</v>
      </c>
      <c r="E153" s="30">
        <f ca="1" t="array" ref="E153">INDEX(Data_DBD!$E:$E,$A153)</f>
        <v>1</v>
      </c>
      <c r="F153" s="30">
        <f ca="1" t="array" ref="F153">INDEX(Data_DBD!$F:$F,$A153)</f>
        <v>2</v>
      </c>
      <c r="H153" s="30">
        <v>32</v>
      </c>
      <c r="I153" s="30">
        <v>54</v>
      </c>
      <c r="J153" s="30">
        <v>4</v>
      </c>
      <c r="K153" s="30">
        <v>14</v>
      </c>
      <c r="L153" s="30">
        <v>0</v>
      </c>
      <c r="M153" s="30">
        <v>2</v>
      </c>
    </row>
    <row r="154" spans="1:13">
      <c r="A154" s="30">
        <f ca="1" t="shared" si="2"/>
        <v>141</v>
      </c>
      <c r="B154" s="30">
        <f ca="1" t="array" ref="B154">INDEX(Data_DBD!$B:$B,$A154)</f>
        <v>36</v>
      </c>
      <c r="C154" s="30">
        <f ca="1" t="array" ref="C154">INDEX(Data_DBD!$C:$C,$A154)</f>
        <v>2</v>
      </c>
      <c r="D154" s="30">
        <f ca="1" t="array" ref="D154">INDEX(Data_DBD!$D:$D,$A154)</f>
        <v>21</v>
      </c>
      <c r="E154" s="30">
        <f ca="1" t="array" ref="E154">INDEX(Data_DBD!$E:$E,$A154)</f>
        <v>0</v>
      </c>
      <c r="F154" s="30">
        <f ca="1" t="array" ref="F154">INDEX(Data_DBD!$F:$F,$A154)</f>
        <v>3</v>
      </c>
      <c r="H154" s="30">
        <v>123</v>
      </c>
      <c r="I154" s="30">
        <v>22</v>
      </c>
      <c r="J154" s="30">
        <v>4</v>
      </c>
      <c r="K154" s="30">
        <v>33</v>
      </c>
      <c r="L154" s="30">
        <v>0</v>
      </c>
      <c r="M154" s="30">
        <v>3</v>
      </c>
    </row>
    <row r="155" spans="1:13">
      <c r="A155" s="30">
        <f ca="1" t="shared" si="2"/>
        <v>11</v>
      </c>
      <c r="B155" s="30">
        <f ca="1" t="array" ref="B155">INDEX(Data_DBD!$B:$B,$A155)</f>
        <v>24</v>
      </c>
      <c r="C155" s="30">
        <f ca="1" t="array" ref="C155">INDEX(Data_DBD!$C:$C,$A155)</f>
        <v>5</v>
      </c>
      <c r="D155" s="30">
        <f ca="1" t="array" ref="D155">INDEX(Data_DBD!$D:$D,$A155)</f>
        <v>12</v>
      </c>
      <c r="E155" s="30">
        <f ca="1" t="array" ref="E155">INDEX(Data_DBD!$E:$E,$A155)</f>
        <v>1</v>
      </c>
      <c r="F155" s="30">
        <f ca="1" t="array" ref="F155">INDEX(Data_DBD!$F:$F,$A155)</f>
        <v>2</v>
      </c>
      <c r="H155" s="30">
        <v>54</v>
      </c>
      <c r="I155" s="30">
        <v>7</v>
      </c>
      <c r="J155" s="30">
        <v>3</v>
      </c>
      <c r="K155" s="30">
        <v>15</v>
      </c>
      <c r="L155" s="30">
        <v>0</v>
      </c>
      <c r="M155" s="30">
        <v>2</v>
      </c>
    </row>
    <row r="156" spans="1:13">
      <c r="A156" s="30">
        <f ca="1" t="shared" si="2"/>
        <v>54</v>
      </c>
      <c r="B156" s="30">
        <f ca="1" t="array" ref="B156">INDEX(Data_DBD!$B:$B,$A156)</f>
        <v>7</v>
      </c>
      <c r="C156" s="30">
        <f ca="1" t="array" ref="C156">INDEX(Data_DBD!$C:$C,$A156)</f>
        <v>3</v>
      </c>
      <c r="D156" s="30">
        <f ca="1" t="array" ref="D156">INDEX(Data_DBD!$D:$D,$A156)</f>
        <v>15</v>
      </c>
      <c r="E156" s="30">
        <f ca="1" t="array" ref="E156">INDEX(Data_DBD!$E:$E,$A156)</f>
        <v>0</v>
      </c>
      <c r="F156" s="30">
        <f ca="1" t="array" ref="F156">INDEX(Data_DBD!$F:$F,$A156)</f>
        <v>2</v>
      </c>
      <c r="H156" s="30">
        <v>145</v>
      </c>
      <c r="I156" s="30">
        <v>28</v>
      </c>
      <c r="J156" s="30">
        <v>4</v>
      </c>
      <c r="K156" s="30">
        <v>21</v>
      </c>
      <c r="L156" s="30">
        <v>1</v>
      </c>
      <c r="M156" s="30">
        <v>3</v>
      </c>
    </row>
    <row r="157" spans="1:13">
      <c r="A157" s="30">
        <f ca="1" t="shared" si="2"/>
        <v>17</v>
      </c>
      <c r="B157" s="30">
        <f ca="1" t="array" ref="B157">INDEX(Data_DBD!$B:$B,$A157)</f>
        <v>2</v>
      </c>
      <c r="C157" s="30">
        <f ca="1" t="array" ref="C157">INDEX(Data_DBD!$C:$C,$A157)</f>
        <v>3</v>
      </c>
      <c r="D157" s="30">
        <f ca="1" t="array" ref="D157">INDEX(Data_DBD!$D:$D,$A157)</f>
        <v>7</v>
      </c>
      <c r="E157" s="30">
        <f ca="1" t="array" ref="E157">INDEX(Data_DBD!$E:$E,$A157)</f>
        <v>0</v>
      </c>
      <c r="F157" s="30">
        <f ca="1" t="array" ref="F157">INDEX(Data_DBD!$F:$F,$A157)</f>
        <v>1</v>
      </c>
      <c r="H157" s="30">
        <v>137</v>
      </c>
      <c r="I157" s="30">
        <v>3.5</v>
      </c>
      <c r="J157" s="30">
        <v>1</v>
      </c>
      <c r="K157" s="30">
        <v>33</v>
      </c>
      <c r="L157" s="30">
        <v>1</v>
      </c>
      <c r="M157" s="30">
        <v>3</v>
      </c>
    </row>
    <row r="158" ht="15.75" spans="1:13">
      <c r="A158" s="30">
        <f ca="1" t="shared" si="2"/>
        <v>14</v>
      </c>
      <c r="B158" s="30">
        <f ca="1" t="array" ref="B158">INDEX(Data_DBD!$B:$B,$A158)</f>
        <v>49</v>
      </c>
      <c r="C158" s="30">
        <f ca="1" t="array" ref="C158">INDEX(Data_DBD!$C:$C,$A158)</f>
        <v>4</v>
      </c>
      <c r="D158" s="30">
        <f ca="1" t="array" ref="D158">INDEX(Data_DBD!$D:$D,$A158)</f>
        <v>7</v>
      </c>
      <c r="E158" s="30">
        <f ca="1" t="array" ref="E158">INDEX(Data_DBD!$E:$E,$A158)</f>
        <v>1</v>
      </c>
      <c r="F158" s="30">
        <f ca="1" t="array" ref="F158">INDEX(Data_DBD!$F:$F,$A158)</f>
        <v>1</v>
      </c>
      <c r="H158" s="30">
        <v>16</v>
      </c>
      <c r="I158" s="30">
        <v>66</v>
      </c>
      <c r="J158" s="30">
        <v>5</v>
      </c>
      <c r="K158" s="30">
        <v>7</v>
      </c>
      <c r="L158" s="38">
        <v>1</v>
      </c>
      <c r="M158" s="30">
        <v>1</v>
      </c>
    </row>
    <row r="159" ht="15.75" spans="1:13">
      <c r="A159" s="30">
        <f ca="1" t="shared" si="2"/>
        <v>93</v>
      </c>
      <c r="B159" s="30">
        <f ca="1" t="array" ref="B159">INDEX(Data_DBD!$B:$B,$A159)</f>
        <v>65</v>
      </c>
      <c r="C159" s="30">
        <f ca="1" t="array" ref="C159">INDEX(Data_DBD!$C:$C,$A159)</f>
        <v>4</v>
      </c>
      <c r="D159" s="30">
        <f ca="1" t="array" ref="D159">INDEX(Data_DBD!$D:$D,$A159)</f>
        <v>18</v>
      </c>
      <c r="E159" s="30">
        <f ca="1" t="array" ref="E159">INDEX(Data_DBD!$E:$E,$A159)</f>
        <v>0</v>
      </c>
      <c r="F159" s="30">
        <f ca="1" t="array" ref="F159">INDEX(Data_DBD!$F:$F,$A159)</f>
        <v>3</v>
      </c>
      <c r="H159" s="30">
        <v>108</v>
      </c>
      <c r="I159" s="30">
        <v>69</v>
      </c>
      <c r="J159" s="30">
        <v>7</v>
      </c>
      <c r="K159" s="30">
        <v>33</v>
      </c>
      <c r="L159" s="39">
        <v>1</v>
      </c>
      <c r="M159" s="30">
        <v>3</v>
      </c>
    </row>
    <row r="160" ht="15.75" spans="1:13">
      <c r="A160" s="30">
        <f ca="1" t="shared" si="2"/>
        <v>149</v>
      </c>
      <c r="B160" s="30">
        <f ca="1" t="array" ref="B160">INDEX(Data_DBD!$B:$B,$A160)</f>
        <v>19</v>
      </c>
      <c r="C160" s="30">
        <f ca="1" t="array" ref="C160">INDEX(Data_DBD!$C:$C,$A160)</f>
        <v>5</v>
      </c>
      <c r="D160" s="30">
        <f ca="1" t="array" ref="D160">INDEX(Data_DBD!$D:$D,$A160)</f>
        <v>21</v>
      </c>
      <c r="E160" s="30">
        <f ca="1" t="array" ref="E160">INDEX(Data_DBD!$E:$E,$A160)</f>
        <v>0</v>
      </c>
      <c r="F160" s="30">
        <f ca="1" t="array" ref="F160">INDEX(Data_DBD!$F:$F,$A160)</f>
        <v>3</v>
      </c>
      <c r="H160" s="30">
        <v>151</v>
      </c>
      <c r="I160" s="30">
        <v>24</v>
      </c>
      <c r="J160" s="30">
        <v>3</v>
      </c>
      <c r="K160" s="30">
        <v>21</v>
      </c>
      <c r="L160" s="40">
        <v>0</v>
      </c>
      <c r="M160" s="30">
        <v>3</v>
      </c>
    </row>
    <row r="161" ht="15.75" spans="1:13">
      <c r="A161" s="30">
        <f ca="1" t="shared" si="2"/>
        <v>48</v>
      </c>
      <c r="B161" s="30">
        <f ca="1" t="array" ref="B161">INDEX(Data_DBD!$B:$B,$A161)</f>
        <v>50</v>
      </c>
      <c r="C161" s="30">
        <f ca="1" t="array" ref="C161">INDEX(Data_DBD!$C:$C,$A161)</f>
        <v>5</v>
      </c>
      <c r="D161" s="30">
        <f ca="1" t="array" ref="D161">INDEX(Data_DBD!$D:$D,$A161)</f>
        <v>13</v>
      </c>
      <c r="E161" s="30">
        <f ca="1" t="array" ref="E161">INDEX(Data_DBD!$E:$E,$A161)</f>
        <v>1</v>
      </c>
      <c r="F161" s="30">
        <f ca="1" t="array" ref="F161">INDEX(Data_DBD!$F:$F,$A161)</f>
        <v>2</v>
      </c>
      <c r="H161" s="30">
        <v>4</v>
      </c>
      <c r="I161" s="30">
        <v>23</v>
      </c>
      <c r="J161" s="30">
        <v>5</v>
      </c>
      <c r="K161" s="30">
        <v>12</v>
      </c>
      <c r="L161" s="40">
        <v>0</v>
      </c>
      <c r="M161" s="30">
        <v>2</v>
      </c>
    </row>
    <row r="162" ht="15.75" spans="1:13">
      <c r="A162" s="30">
        <f ca="1" t="shared" si="2"/>
        <v>54</v>
      </c>
      <c r="B162" s="30">
        <f ca="1" t="array" ref="B162">INDEX(Data_DBD!$B:$B,$A162)</f>
        <v>7</v>
      </c>
      <c r="C162" s="30">
        <f ca="1" t="array" ref="C162">INDEX(Data_DBD!$C:$C,$A162)</f>
        <v>3</v>
      </c>
      <c r="D162" s="30">
        <f ca="1" t="array" ref="D162">INDEX(Data_DBD!$D:$D,$A162)</f>
        <v>15</v>
      </c>
      <c r="E162" s="30">
        <f ca="1" t="array" ref="E162">INDEX(Data_DBD!$E:$E,$A162)</f>
        <v>0</v>
      </c>
      <c r="F162" s="30">
        <f ca="1" t="array" ref="F162">INDEX(Data_DBD!$F:$F,$A162)</f>
        <v>2</v>
      </c>
      <c r="H162" s="30">
        <v>6</v>
      </c>
      <c r="I162" s="30">
        <v>14</v>
      </c>
      <c r="J162" s="30">
        <v>4</v>
      </c>
      <c r="K162" s="30">
        <v>12</v>
      </c>
      <c r="L162" s="39">
        <v>0</v>
      </c>
      <c r="M162" s="30">
        <v>2</v>
      </c>
    </row>
    <row r="163" ht="15.75" spans="1:13">
      <c r="A163" s="30">
        <f ca="1" t="shared" si="2"/>
        <v>162</v>
      </c>
      <c r="B163" s="30">
        <f ca="1" t="array" ref="B163">INDEX(Data_DBD!$B:$B,$A163)</f>
        <v>22</v>
      </c>
      <c r="C163" s="30">
        <f ca="1" t="array" ref="C163">INDEX(Data_DBD!$C:$C,$A163)</f>
        <v>3</v>
      </c>
      <c r="D163" s="30">
        <f ca="1" t="array" ref="D163">INDEX(Data_DBD!$D:$D,$A163)</f>
        <v>3</v>
      </c>
      <c r="E163" s="30">
        <f ca="1" t="array" ref="E163">INDEX(Data_DBD!$E:$E,$A163)</f>
        <v>1</v>
      </c>
      <c r="F163" s="30">
        <f ca="1" t="array" ref="F163">INDEX(Data_DBD!$F:$F,$A163)</f>
        <v>1</v>
      </c>
      <c r="H163" s="30">
        <v>156</v>
      </c>
      <c r="I163" s="30">
        <v>5</v>
      </c>
      <c r="J163" s="30">
        <v>2</v>
      </c>
      <c r="K163" s="30">
        <v>21</v>
      </c>
      <c r="L163" s="40">
        <v>0</v>
      </c>
      <c r="M163" s="30">
        <v>3</v>
      </c>
    </row>
    <row r="164" spans="1:13">
      <c r="A164" s="30">
        <f ca="1" t="shared" si="2"/>
        <v>160</v>
      </c>
      <c r="B164" s="30">
        <f ca="1" t="array" ref="B164">INDEX(Data_DBD!$B:$B,$A164)</f>
        <v>16</v>
      </c>
      <c r="C164" s="30">
        <f ca="1" t="array" ref="C164">INDEX(Data_DBD!$C:$C,$A164)</f>
        <v>3</v>
      </c>
      <c r="D164" s="30">
        <f ca="1" t="array" ref="D164">INDEX(Data_DBD!$D:$D,$A164)</f>
        <v>21</v>
      </c>
      <c r="E164" s="30">
        <f ca="1" t="array" ref="E164">INDEX(Data_DBD!$E:$E,$A164)</f>
        <v>0</v>
      </c>
      <c r="F164" s="30">
        <f ca="1" t="array" ref="F164">INDEX(Data_DBD!$F:$F,$A164)</f>
        <v>3</v>
      </c>
      <c r="H164" s="30">
        <v>126</v>
      </c>
      <c r="I164" s="30">
        <v>51</v>
      </c>
      <c r="J164" s="30">
        <v>3</v>
      </c>
      <c r="K164" s="30">
        <v>33</v>
      </c>
      <c r="L164" s="30">
        <v>1</v>
      </c>
      <c r="M164" s="30">
        <v>3</v>
      </c>
    </row>
    <row r="165" spans="9:12">
      <c r="I165">
        <f>AVERAGE(I2:I164)</f>
        <v>33.590625</v>
      </c>
      <c r="J165">
        <f>AVERAGE(J2:J164)</f>
        <v>3.66257668711656</v>
      </c>
      <c r="K165">
        <f>AVERAGE(K2:K164)</f>
        <v>18.4478527607362</v>
      </c>
      <c r="L165">
        <f>AVERAGE(L2:L164)</f>
        <v>0.515337423312883</v>
      </c>
    </row>
    <row r="166" spans="2:2">
      <c r="B166">
        <v>93</v>
      </c>
    </row>
    <row r="168" spans="5:20">
      <c r="E168" s="35" t="s">
        <v>183</v>
      </c>
      <c r="J168" s="35" t="s">
        <v>184</v>
      </c>
      <c r="O168" s="35" t="s">
        <v>185</v>
      </c>
      <c r="T168" s="35" t="s">
        <v>186</v>
      </c>
    </row>
    <row r="169" spans="5:22">
      <c r="E169" s="30" t="s">
        <v>1</v>
      </c>
      <c r="F169" s="30">
        <f>AVERAGEIF($I$2:$I$164,"&lt;="&amp;$I$165)</f>
        <v>16.0625</v>
      </c>
      <c r="G169" s="30">
        <f>AVERAGEIF($I$2:$I$164,"&gt;"&amp;$I$165)</f>
        <v>55.0138888888889</v>
      </c>
      <c r="J169" s="30" t="s">
        <v>187</v>
      </c>
      <c r="K169" s="30">
        <f>AVERAGEIF($J$2:$J$164,"&lt;="&amp;$J$165)</f>
        <v>2.50602409638554</v>
      </c>
      <c r="L169" s="30">
        <f>AVERAGEIF($J$2:$J$164,"&gt;"&amp;$J$165)</f>
        <v>4.8625</v>
      </c>
      <c r="O169" s="30" t="s">
        <v>188</v>
      </c>
      <c r="P169" s="30">
        <f>AVERAGEIF($K$2:$K$164,"&lt;="&amp;$K$165)</f>
        <v>13.6990291262136</v>
      </c>
      <c r="Q169" s="30">
        <f>AVERAGEIF($K$2:$K$164,"&gt;"&amp;$K$165)</f>
        <v>26.6</v>
      </c>
      <c r="T169" s="30" t="s">
        <v>189</v>
      </c>
      <c r="U169" s="30">
        <f>AVERAGEIF($L$2:$L$164,"&lt;="&amp;$L$165)</f>
        <v>0</v>
      </c>
      <c r="V169" s="30">
        <f>AVERAGEIF($L$2:$L$164,"&gt;"&amp;$L$165)</f>
        <v>1</v>
      </c>
    </row>
    <row r="170" spans="5:22">
      <c r="E170" s="30" t="str">
        <f t="array" ref="E170:E332">IF($I$2:$I$164&lt;$F$169,"kiri",IF($I$2:$I$164&lt;$G$169,"tengah","kanan"))</f>
        <v>tengah</v>
      </c>
      <c r="F170" s="36" t="s">
        <v>207</v>
      </c>
      <c r="G170" s="30"/>
      <c r="J170" s="30" t="str">
        <f t="array" ref="J170:J332">IF($J$2:$J$164&lt;$K$169,"kiri",IF($J$2:$J$164&lt;$L$169,"tengah","kanan"))</f>
        <v>kiri</v>
      </c>
      <c r="K170" s="36" t="s">
        <v>208</v>
      </c>
      <c r="L170" s="30"/>
      <c r="O170" s="30" t="str">
        <f t="array" ref="O170:O332">IF($K$2:$K$164&lt;$P$169,"kiri",IF($K$2:$K$164&lt;$Q$169,"tengah","kanan"))</f>
        <v>kiri</v>
      </c>
      <c r="P170" s="36" t="s">
        <v>221</v>
      </c>
      <c r="Q170" s="30"/>
      <c r="T170" s="30" t="str">
        <f t="array" ref="T170:T332">IF($L$2:$L$164&lt;$U$169,"kiri",IF($L$2:$L$164&lt;$V$169,"tengah","kanan"))</f>
        <v>kanan</v>
      </c>
      <c r="U170" s="30" t="s">
        <v>193</v>
      </c>
      <c r="V170" s="30"/>
    </row>
    <row r="171" spans="5:22">
      <c r="E171" s="30" t="str">
        <v>tengah</v>
      </c>
      <c r="F171" s="30">
        <f>COUNTIFS($E$170:$E$332,"Kanan",$M$2:$M$164,"1")</f>
        <v>1</v>
      </c>
      <c r="G171" s="30">
        <f>F171/37</f>
        <v>0.027027027027027</v>
      </c>
      <c r="J171" s="30" t="str">
        <v>kanan</v>
      </c>
      <c r="K171" s="30">
        <f t="array" ref="K171">SUMPRODUCT((J170:J332="Kanan")*(M2:M164=1))</f>
        <v>6</v>
      </c>
      <c r="L171" s="30">
        <f>K171/39</f>
        <v>0.153846153846154</v>
      </c>
      <c r="O171" s="30" t="str">
        <v>kiri</v>
      </c>
      <c r="P171" s="30">
        <f>COUNTIFS($O$170:$O$332,"Kanan",$M$2:$M$164,"1")</f>
        <v>0</v>
      </c>
      <c r="Q171" s="30">
        <f>P171/28</f>
        <v>0</v>
      </c>
      <c r="T171" s="30" t="str">
        <v>kanan</v>
      </c>
      <c r="U171" s="30">
        <f>COUNTIFS($T$170:$T$332,"Kanan",$M$2:$M$164,"1")</f>
        <v>4</v>
      </c>
      <c r="V171" s="30">
        <f>U171/83</f>
        <v>0.0481927710843374</v>
      </c>
    </row>
    <row r="172" spans="5:22">
      <c r="E172" s="30" t="str">
        <v>kanan</v>
      </c>
      <c r="F172" s="30">
        <f>COUNTIFS($E$170:$E$332,"Kanan",$M$2:$M$164,"2")</f>
        <v>13</v>
      </c>
      <c r="G172" s="30">
        <f t="shared" ref="G172:G173" si="3">F172/37</f>
        <v>0.351351351351351</v>
      </c>
      <c r="J172" s="30" t="str">
        <v>kiri</v>
      </c>
      <c r="K172" s="30">
        <f>COUNTIFS($J$170:$J$332,"Kanan",$M$2:$M$164,"2")</f>
        <v>12</v>
      </c>
      <c r="L172" s="30">
        <f t="shared" ref="L172:L173" si="4">K172/39</f>
        <v>0.307692307692308</v>
      </c>
      <c r="O172" s="30" t="str">
        <v>tengah</v>
      </c>
      <c r="P172" s="30">
        <f>COUNTIFS($O$170:$O$332,"Kanan",$M$2:$M$164,"2")</f>
        <v>0</v>
      </c>
      <c r="Q172" s="30">
        <f t="shared" ref="Q172:Q173" si="5">P172/28</f>
        <v>0</v>
      </c>
      <c r="T172" s="30" t="str">
        <v>kanan</v>
      </c>
      <c r="U172" s="30">
        <f>COUNTIFS($T$170:$T$332,"Kanan",$M$2:$M$164,"2")</f>
        <v>33</v>
      </c>
      <c r="V172" s="30">
        <f t="shared" ref="V172:V173" si="6">U172/83</f>
        <v>0.397590361445783</v>
      </c>
    </row>
    <row r="173" spans="5:22">
      <c r="E173" s="30" t="str">
        <v>kiri</v>
      </c>
      <c r="F173" s="30">
        <f t="array" ref="F173">SUMPRODUCT((E170:E332="KANAN")*(M2:M164=3))</f>
        <v>23</v>
      </c>
      <c r="G173" s="30">
        <f t="shared" si="3"/>
        <v>0.621621621621622</v>
      </c>
      <c r="J173" s="30" t="str">
        <v>kanan</v>
      </c>
      <c r="K173" s="30">
        <f>COUNTIFS($J$170:$J$332,"Kanan",$M$2:$M$164,"3")</f>
        <v>21</v>
      </c>
      <c r="L173" s="30">
        <f t="shared" si="4"/>
        <v>0.538461538461538</v>
      </c>
      <c r="O173" s="30" t="str">
        <v>kiri</v>
      </c>
      <c r="P173" s="30">
        <f>COUNTIFS($O$170:$O$332,"Kanan",$M$2:$M$164,"3")</f>
        <v>28</v>
      </c>
      <c r="Q173" s="30">
        <f t="shared" si="5"/>
        <v>1</v>
      </c>
      <c r="T173" s="30" t="str">
        <v>kanan</v>
      </c>
      <c r="U173" s="30">
        <f>COUNTIFS($T$170:$T$332,"Kanan",$M$2:$M$164,"3")</f>
        <v>47</v>
      </c>
      <c r="V173" s="30">
        <f t="shared" si="6"/>
        <v>0.566265060240964</v>
      </c>
    </row>
    <row r="174" spans="5:22">
      <c r="E174" s="30" t="str">
        <v>tengah</v>
      </c>
      <c r="F174" s="30" t="s">
        <v>194</v>
      </c>
      <c r="G174" s="30">
        <f>-(IFERROR(G171*LOG(G171,2),0)+IFERROR(G172*LOG(G172,2),0)+IFERROR(G173*LOG(G173,2),0))</f>
        <v>1.09735495143583</v>
      </c>
      <c r="J174" s="30" t="str">
        <v>tengah</v>
      </c>
      <c r="K174" s="30" t="s">
        <v>194</v>
      </c>
      <c r="L174" s="30">
        <f>-(IFERROR(L171*LOG(L171,2),0)+IFERROR(L172*LOG(L172,2),0)+IFERROR(L173*LOG(L173,2),0))</f>
        <v>1.41955629857161</v>
      </c>
      <c r="O174" s="30" t="str">
        <v>tengah</v>
      </c>
      <c r="P174" s="30" t="s">
        <v>194</v>
      </c>
      <c r="Q174" s="30">
        <f>-(IFERROR(Q171*LOG(Q171,2),0)+IFERROR(Q172*LOG(Q172,2),0)+IFERROR(Q173*LOG(Q173,2),0))</f>
        <v>0</v>
      </c>
      <c r="T174" s="30" t="str">
        <v>kanan</v>
      </c>
      <c r="U174" s="30" t="s">
        <v>194</v>
      </c>
      <c r="V174" s="30">
        <f>-(IFERROR(V171*LOG(V171,2),0)+IFERROR(V172*LOG(V172,2),0)+IFERROR(V173*LOG(V173,2),0))</f>
        <v>1.20448952127065</v>
      </c>
    </row>
    <row r="175" spans="5:22">
      <c r="E175" s="30" t="str">
        <v>tengah</v>
      </c>
      <c r="F175" s="30"/>
      <c r="G175" s="30">
        <f>SUM(F171:F173)/163</f>
        <v>0.226993865030675</v>
      </c>
      <c r="J175" s="30" t="str">
        <v>tengah</v>
      </c>
      <c r="K175" s="30"/>
      <c r="L175" s="30">
        <f>SUM(K171:K173)/163</f>
        <v>0.239263803680982</v>
      </c>
      <c r="O175" s="30" t="str">
        <v>tengah</v>
      </c>
      <c r="P175" s="30"/>
      <c r="Q175" s="30">
        <f>SUM(P171:P173)/163</f>
        <v>0.171779141104294</v>
      </c>
      <c r="T175" s="30" t="str">
        <v>tengah</v>
      </c>
      <c r="U175" s="30"/>
      <c r="V175" s="30">
        <f>SUM(U171:U173)/163</f>
        <v>0.515337423312883</v>
      </c>
    </row>
    <row r="176" spans="5:22">
      <c r="E176" s="30" t="str">
        <v>kanan</v>
      </c>
      <c r="F176" s="30"/>
      <c r="G176" s="37">
        <f>G174*G175</f>
        <v>0.249092841736967</v>
      </c>
      <c r="J176" s="30" t="str">
        <v>tengah</v>
      </c>
      <c r="K176" s="30"/>
      <c r="L176" s="37">
        <f>L174*L175</f>
        <v>0.339648439535539</v>
      </c>
      <c r="O176" s="30" t="str">
        <v>kanan</v>
      </c>
      <c r="P176" s="30"/>
      <c r="Q176" s="37">
        <f>Q174*Q175</f>
        <v>0</v>
      </c>
      <c r="T176" s="30" t="str">
        <v>kanan</v>
      </c>
      <c r="U176" s="30"/>
      <c r="V176" s="37">
        <f>V174*V175</f>
        <v>0.620718526298984</v>
      </c>
    </row>
    <row r="177" spans="5:22">
      <c r="E177" s="30" t="str">
        <v>kiri</v>
      </c>
      <c r="F177" s="30"/>
      <c r="G177" s="30"/>
      <c r="J177" s="30" t="str">
        <v>kanan</v>
      </c>
      <c r="K177" s="30"/>
      <c r="L177" s="30"/>
      <c r="O177" s="30" t="str">
        <v>kiri</v>
      </c>
      <c r="P177" s="30"/>
      <c r="Q177" s="30"/>
      <c r="T177" s="30" t="str">
        <v>tengah</v>
      </c>
      <c r="U177" s="30"/>
      <c r="V177" s="30"/>
    </row>
    <row r="178" spans="5:22">
      <c r="E178" s="30" t="str">
        <v>kiri</v>
      </c>
      <c r="F178" s="30"/>
      <c r="G178" s="30"/>
      <c r="J178" s="30" t="str">
        <v>kanan</v>
      </c>
      <c r="K178" s="30"/>
      <c r="L178" s="30"/>
      <c r="O178" s="30" t="str">
        <v>kiri</v>
      </c>
      <c r="P178" s="30"/>
      <c r="Q178" s="30"/>
      <c r="T178" s="30" t="str">
        <v>tengah</v>
      </c>
      <c r="U178" s="30"/>
      <c r="V178" s="30"/>
    </row>
    <row r="179" spans="5:22">
      <c r="E179" s="30" t="str">
        <v>tengah</v>
      </c>
      <c r="F179" s="36" t="s">
        <v>210</v>
      </c>
      <c r="G179" s="30"/>
      <c r="J179" s="30" t="str">
        <v>kiri</v>
      </c>
      <c r="K179" s="36" t="s">
        <v>211</v>
      </c>
      <c r="L179" s="30"/>
      <c r="O179" s="30" t="str">
        <v>kiri</v>
      </c>
      <c r="P179" s="36" t="s">
        <v>206</v>
      </c>
      <c r="Q179" s="30"/>
      <c r="T179" s="30" t="str">
        <v>kanan</v>
      </c>
      <c r="U179" s="30" t="s">
        <v>198</v>
      </c>
      <c r="V179" s="30"/>
    </row>
    <row r="180" spans="5:22">
      <c r="E180" s="30" t="str">
        <v>kiri</v>
      </c>
      <c r="F180" s="30">
        <f t="array" ref="F180">SUMPRODUCT((E170:E332="kiri")*(M2:M164=1))</f>
        <v>7</v>
      </c>
      <c r="G180" s="30">
        <f>F180/45</f>
        <v>0.155555555555556</v>
      </c>
      <c r="J180" s="30" t="str">
        <v>kiri</v>
      </c>
      <c r="K180" s="30">
        <f>COUNTIFS($J$170:$J$332,"Kiri",$M$2:$M$164,"1")</f>
        <v>1</v>
      </c>
      <c r="L180" s="30">
        <f>K180/37</f>
        <v>0.027027027027027</v>
      </c>
      <c r="O180" s="30" t="str">
        <v>kiri</v>
      </c>
      <c r="P180" s="30">
        <f>COUNTIFS($O$170:$O$332,"Kiri",$M$2:$M$164,"1")</f>
        <v>11</v>
      </c>
      <c r="Q180" s="30">
        <f>P180/48</f>
        <v>0.229166666666667</v>
      </c>
      <c r="T180" s="30" t="str">
        <v>kanan</v>
      </c>
      <c r="U180" s="30">
        <f>COUNTIFS($T$170:$T$332,"Kiri",$M$2:$M$164,"1")</f>
        <v>0</v>
      </c>
      <c r="V180" s="30">
        <f>U180/57</f>
        <v>0</v>
      </c>
    </row>
    <row r="181" spans="5:22">
      <c r="E181" s="30" t="str">
        <v>tengah</v>
      </c>
      <c r="F181" s="30">
        <f t="array" ref="F181">SUMPRODUCT((E170:E332="kiri")*(M2:M164=2))</f>
        <v>15</v>
      </c>
      <c r="G181" s="30">
        <f t="shared" ref="G181:G182" si="7">F181/45</f>
        <v>0.333333333333333</v>
      </c>
      <c r="J181" s="30" t="str">
        <v>tengah</v>
      </c>
      <c r="K181" s="30">
        <f>COUNTIFS($J$170:$J$332,"Kiri",$M$2:$M$164,"2")</f>
        <v>14</v>
      </c>
      <c r="L181" s="30">
        <f t="shared" ref="L181:L182" si="8">K181/37</f>
        <v>0.378378378378378</v>
      </c>
      <c r="O181" s="30" t="str">
        <v>tengah</v>
      </c>
      <c r="P181" s="30">
        <f>COUNTIFS($O$170:$O$332,"Kiri",$M$2:$M$164,"2")</f>
        <v>37</v>
      </c>
      <c r="Q181" s="30">
        <f t="shared" ref="Q181:Q182" si="9">P181/48</f>
        <v>0.770833333333333</v>
      </c>
      <c r="T181" s="30" t="str">
        <v>tengah</v>
      </c>
      <c r="U181" s="30">
        <f>COUNTIFS($T$170:$T$332,"Kiri",$M$2:$M$164,"2")</f>
        <v>0</v>
      </c>
      <c r="V181" s="30">
        <f>U181/57</f>
        <v>0</v>
      </c>
    </row>
    <row r="182" spans="5:22">
      <c r="E182" s="30" t="str">
        <v>tengah</v>
      </c>
      <c r="F182" s="30">
        <f t="array" ref="F182">SUMPRODUCT((E170:E332="kiri")*(M2:M164=3))</f>
        <v>23</v>
      </c>
      <c r="G182" s="30">
        <f t="shared" si="7"/>
        <v>0.511111111111111</v>
      </c>
      <c r="J182" s="30" t="str">
        <v>kiri</v>
      </c>
      <c r="K182" s="30">
        <f>COUNTIFS($J$170:$J$332,"Kiri",$M$2:$M$164,"3")</f>
        <v>22</v>
      </c>
      <c r="L182" s="30">
        <f t="shared" si="8"/>
        <v>0.594594594594595</v>
      </c>
      <c r="O182" s="30" t="str">
        <v>tengah</v>
      </c>
      <c r="P182" s="30">
        <f>COUNTIFS($O$170:$O$332,"Kiri",$M$2:$M$164,"3")</f>
        <v>0</v>
      </c>
      <c r="Q182" s="30">
        <f t="shared" si="9"/>
        <v>0</v>
      </c>
      <c r="T182" s="30" t="str">
        <v>tengah</v>
      </c>
      <c r="U182" s="30">
        <f>COUNTIFS($T$170:$T$332,"Kiri",$M$2:$M$164,"3")</f>
        <v>0</v>
      </c>
      <c r="V182" s="30">
        <f>U182/57</f>
        <v>0</v>
      </c>
    </row>
    <row r="183" spans="5:22">
      <c r="E183" s="30" t="str">
        <v>tengah</v>
      </c>
      <c r="F183" s="30" t="s">
        <v>194</v>
      </c>
      <c r="G183" s="30">
        <f>-(IFERROR(G180*LOG(G180,2),0)+IFERROR(G181*LOG(G181,2),0)+IFERROR(G182*LOG(G182,2),0))</f>
        <v>1.44081379904429</v>
      </c>
      <c r="J183" s="30" t="str">
        <v>kiri</v>
      </c>
      <c r="K183" s="30" t="s">
        <v>194</v>
      </c>
      <c r="L183" s="30">
        <f>-(IFERROR(L180*LOG(L180,2),0)+IFERROR(L181*LOG(L181,2),0)+IFERROR(L182*LOG(L182,2),0))</f>
        <v>1.1172786489039</v>
      </c>
      <c r="O183" s="30" t="str">
        <v>tengah</v>
      </c>
      <c r="P183" s="30" t="s">
        <v>194</v>
      </c>
      <c r="Q183" s="30">
        <f>-(IFERROR(Q180*LOG(Q180,2),0)+IFERROR(Q181*LOG(Q181,2),0)+IFERROR(Q182*LOG(Q182,2),0))</f>
        <v>0.77655578544446</v>
      </c>
      <c r="T183" s="30" t="str">
        <v>tengah</v>
      </c>
      <c r="U183" s="30" t="s">
        <v>194</v>
      </c>
      <c r="V183" s="30">
        <f>-(IFERROR(V180*LOG(V180,2),0)+IFERROR(V181*LOG(V181,2),0)+IFERROR(V182*LOG(V182,2),0))</f>
        <v>0</v>
      </c>
    </row>
    <row r="184" spans="5:22">
      <c r="E184" s="30" t="str">
        <v>kiri</v>
      </c>
      <c r="F184" s="30"/>
      <c r="G184" s="30">
        <f>SUM(F180:F182)/163</f>
        <v>0.276073619631902</v>
      </c>
      <c r="J184" s="30" t="str">
        <v>kiri</v>
      </c>
      <c r="K184" s="30"/>
      <c r="L184" s="30">
        <f>SUM(K180:K182)/163</f>
        <v>0.226993865030675</v>
      </c>
      <c r="O184" s="30" t="str">
        <v>kanan</v>
      </c>
      <c r="P184" s="30"/>
      <c r="Q184" s="30">
        <f>SUM(P180:P182)/163</f>
        <v>0.294478527607362</v>
      </c>
      <c r="T184" s="30" t="str">
        <v>tengah</v>
      </c>
      <c r="U184" s="30"/>
      <c r="V184" s="30">
        <f>SUM(U180:U182)/163</f>
        <v>0</v>
      </c>
    </row>
    <row r="185" spans="5:22">
      <c r="E185" s="30" t="str">
        <v>tengah</v>
      </c>
      <c r="F185" s="30"/>
      <c r="G185" s="37">
        <f>G183*G184</f>
        <v>0.397770680717749</v>
      </c>
      <c r="J185" s="30" t="str">
        <v>kiri</v>
      </c>
      <c r="K185" s="30"/>
      <c r="L185" s="37">
        <f>L183*L184</f>
        <v>0.253615398830946</v>
      </c>
      <c r="O185" s="30" t="str">
        <v>kiri</v>
      </c>
      <c r="P185" s="30"/>
      <c r="Q185" s="37">
        <f>Q183*Q184</f>
        <v>0.228679004302663</v>
      </c>
      <c r="T185" s="30" t="str">
        <v>kanan</v>
      </c>
      <c r="U185" s="30"/>
      <c r="V185" s="37">
        <f>V183*V184</f>
        <v>0</v>
      </c>
    </row>
    <row r="186" spans="5:22">
      <c r="E186" s="30" t="str">
        <v>tengah</v>
      </c>
      <c r="F186" s="30"/>
      <c r="G186" s="30"/>
      <c r="J186" s="30" t="str">
        <v>kanan</v>
      </c>
      <c r="K186" s="30"/>
      <c r="L186" s="30"/>
      <c r="O186" s="30" t="str">
        <v>kiri</v>
      </c>
      <c r="P186" s="30"/>
      <c r="Q186" s="30"/>
      <c r="T186" s="30" t="str">
        <v>kanan</v>
      </c>
      <c r="U186" s="30"/>
      <c r="V186" s="30"/>
    </row>
    <row r="187" spans="5:22">
      <c r="E187" s="30" t="str">
        <v>kanan</v>
      </c>
      <c r="F187" s="30"/>
      <c r="G187" s="30"/>
      <c r="J187" s="30" t="str">
        <v>tengah</v>
      </c>
      <c r="K187" s="30"/>
      <c r="L187" s="30"/>
      <c r="O187" s="30" t="str">
        <v>tengah</v>
      </c>
      <c r="P187" s="30"/>
      <c r="Q187" s="30"/>
      <c r="T187" s="30" t="str">
        <v>tengah</v>
      </c>
      <c r="U187" s="30"/>
      <c r="V187" s="30"/>
    </row>
    <row r="188" spans="5:22">
      <c r="E188" s="30" t="str">
        <v>kiri</v>
      </c>
      <c r="F188" s="30" t="s">
        <v>199</v>
      </c>
      <c r="G188" s="30"/>
      <c r="J188" s="30" t="str">
        <v>kiri</v>
      </c>
      <c r="K188" s="30" t="s">
        <v>199</v>
      </c>
      <c r="L188" s="30"/>
      <c r="O188" s="30" t="str">
        <v>tengah</v>
      </c>
      <c r="P188" s="30" t="s">
        <v>199</v>
      </c>
      <c r="Q188" s="30"/>
      <c r="T188" s="30" t="str">
        <v>kanan</v>
      </c>
      <c r="U188" s="30" t="s">
        <v>199</v>
      </c>
      <c r="V188" s="30"/>
    </row>
    <row r="189" spans="5:22">
      <c r="E189" s="30" t="str">
        <v>kiri</v>
      </c>
      <c r="F189" s="30">
        <f t="array" ref="F189">SUMPRODUCT((E170:E332="tengah")*(M2:M164=1))</f>
        <v>3</v>
      </c>
      <c r="G189" s="30">
        <f>F189/81</f>
        <v>0.037037037037037</v>
      </c>
      <c r="J189" s="30" t="str">
        <v>kiri</v>
      </c>
      <c r="K189" s="30">
        <f>COUNTIFS($J$170:$J$332,"Tengah",$M$2:$M$164,"1")</f>
        <v>4</v>
      </c>
      <c r="L189" s="30">
        <f>K189/87</f>
        <v>0.0459770114942529</v>
      </c>
      <c r="O189" s="30" t="str">
        <v>kanan</v>
      </c>
      <c r="P189" s="30">
        <f>COUNTIFS($O$170:$O$332,"Tengah",$M$2:$M$164,"1")</f>
        <v>0</v>
      </c>
      <c r="Q189" s="30">
        <f>P189/87</f>
        <v>0</v>
      </c>
      <c r="T189" s="30" t="str">
        <v>kanan</v>
      </c>
      <c r="U189" s="30">
        <f>COUNTIFS($T$170:$T$332,"Tengah",$M$2:$M$164,"1")</f>
        <v>7</v>
      </c>
      <c r="V189" s="30">
        <f>U189/82</f>
        <v>0.0853658536585366</v>
      </c>
    </row>
    <row r="190" spans="5:22">
      <c r="E190" s="30" t="str">
        <v>kiri</v>
      </c>
      <c r="F190" s="30">
        <f t="array" ref="F190">SUMPRODUCT((E170:E332="tengah")*(M2:M164=2))</f>
        <v>39</v>
      </c>
      <c r="G190" s="30">
        <f t="shared" ref="G190:G191" si="10">F190/81</f>
        <v>0.481481481481481</v>
      </c>
      <c r="J190" s="30" t="str">
        <v>tengah</v>
      </c>
      <c r="K190" s="30">
        <f>COUNTIFS($J$170:$J$332,"Tengah",$M$2:$M$164,"2")</f>
        <v>41</v>
      </c>
      <c r="L190" s="30">
        <f t="shared" ref="L190:L191" si="11">K190/87</f>
        <v>0.471264367816092</v>
      </c>
      <c r="O190" s="30" t="str">
        <v>tengah</v>
      </c>
      <c r="P190" s="30">
        <f>COUNTIFS($O$170:$O$332,"Tengah",$M$2:$M$164,"2")</f>
        <v>30</v>
      </c>
      <c r="Q190" s="30">
        <f t="shared" ref="Q190:Q191" si="12">P190/87</f>
        <v>0.344827586206897</v>
      </c>
      <c r="T190" s="30" t="str">
        <v>tengah</v>
      </c>
      <c r="U190" s="30">
        <f>COUNTIFS($T$170:$T$332,"Tengah",$M$2:$M$164,"2")</f>
        <v>34</v>
      </c>
      <c r="V190" s="30">
        <f t="shared" ref="V190:V191" si="13">U190/82</f>
        <v>0.414634146341463</v>
      </c>
    </row>
    <row r="191" spans="5:22">
      <c r="E191" s="30" t="str">
        <v>tengah</v>
      </c>
      <c r="F191" s="30">
        <f t="array" ref="F191">SUMPRODUCT((E170:E332="tengah")*(M2:M164=3))</f>
        <v>39</v>
      </c>
      <c r="G191" s="30">
        <f t="shared" si="10"/>
        <v>0.481481481481481</v>
      </c>
      <c r="J191" s="30" t="str">
        <v>tengah</v>
      </c>
      <c r="K191" s="30">
        <f>COUNTIFS($J$170:$J$332,"Tengah",$M$2:$M$164,"3")</f>
        <v>42</v>
      </c>
      <c r="L191" s="30">
        <f t="shared" si="11"/>
        <v>0.482758620689655</v>
      </c>
      <c r="O191" s="30" t="str">
        <v>tengah</v>
      </c>
      <c r="P191" s="30">
        <f>COUNTIFS($O$170:$O$332,"Tengah",$M$2:$M$164,"3")</f>
        <v>57</v>
      </c>
      <c r="Q191" s="30">
        <f t="shared" si="12"/>
        <v>0.655172413793103</v>
      </c>
      <c r="T191" s="30" t="str">
        <v>tengah</v>
      </c>
      <c r="U191" s="30">
        <f>COUNTIFS($T$170:$T$332,"Tengah",$M$2:$M$164,"3")</f>
        <v>38</v>
      </c>
      <c r="V191" s="30">
        <f t="shared" si="13"/>
        <v>0.463414634146341</v>
      </c>
    </row>
    <row r="192" spans="5:22">
      <c r="E192" s="30" t="str">
        <v>tengah</v>
      </c>
      <c r="F192" s="30" t="s">
        <v>194</v>
      </c>
      <c r="G192" s="30">
        <f>-(IFERROR(G189*LOG(G189,2),0)+IFERROR(G190*LOG(G190,2),0)+IFERROR(G191*LOG(G191,2),0))</f>
        <v>1.19150110691649</v>
      </c>
      <c r="J192" s="30" t="str">
        <v>tengah</v>
      </c>
      <c r="K192" s="30" t="s">
        <v>194</v>
      </c>
      <c r="L192" s="30">
        <f>-(IFERROR(L189*LOG(L189,2),0)+IFERROR(L190*LOG(L190,2),0)+IFERROR(L191*LOG(L191,2),0))</f>
        <v>1.22297839302057</v>
      </c>
      <c r="O192" s="30" t="str">
        <v>tengah</v>
      </c>
      <c r="P192" s="30" t="s">
        <v>194</v>
      </c>
      <c r="Q192" s="30">
        <f>-(IFERROR(Q189*LOG(Q189,2),0)+IFERROR(Q190*LOG(Q190,2),0)+IFERROR(Q191*LOG(Q191,2),0))</f>
        <v>0.929363626013719</v>
      </c>
      <c r="T192" s="30" t="str">
        <v>kanan</v>
      </c>
      <c r="U192" s="30" t="s">
        <v>194</v>
      </c>
      <c r="V192" s="30">
        <f>-(IFERROR(V189*LOG(V189,2),0)+IFERROR(V190*LOG(V190,2),0)+IFERROR(V191*LOG(V191,2),0))</f>
        <v>1.3439041682568</v>
      </c>
    </row>
    <row r="193" spans="5:22">
      <c r="E193" s="30" t="str">
        <v>kiri</v>
      </c>
      <c r="F193" s="30"/>
      <c r="G193" s="30">
        <f>SUM(F189:F191)/163</f>
        <v>0.496932515337423</v>
      </c>
      <c r="J193" s="30" t="str">
        <v>tengah</v>
      </c>
      <c r="K193" s="30"/>
      <c r="L193" s="30">
        <f>SUM(K189:K191)/163</f>
        <v>0.533742331288344</v>
      </c>
      <c r="O193" s="30" t="str">
        <v>kanan</v>
      </c>
      <c r="P193" s="30"/>
      <c r="Q193" s="30">
        <f>SUM(P189:P191)/163</f>
        <v>0.533742331288344</v>
      </c>
      <c r="T193" s="30" t="str">
        <v>tengah</v>
      </c>
      <c r="U193" s="30"/>
      <c r="V193" s="30">
        <f>SUM(U189:U191)/163</f>
        <v>0.484662576687117</v>
      </c>
    </row>
    <row r="194" spans="5:22">
      <c r="E194" s="30" t="str">
        <v>kanan</v>
      </c>
      <c r="F194" s="30"/>
      <c r="G194" s="37">
        <f>G192*G193</f>
        <v>0.592095642087336</v>
      </c>
      <c r="J194" s="30" t="str">
        <v>tengah</v>
      </c>
      <c r="K194" s="30"/>
      <c r="L194" s="37">
        <f>L192*L193</f>
        <v>0.652755338606074</v>
      </c>
      <c r="O194" s="30" t="str">
        <v>kanan</v>
      </c>
      <c r="P194" s="30"/>
      <c r="Q194" s="37">
        <f>Q192*Q193</f>
        <v>0.496040708363151</v>
      </c>
      <c r="T194" s="30" t="str">
        <v>kanan</v>
      </c>
      <c r="U194" s="30"/>
      <c r="V194" s="37">
        <f>V192*V193</f>
        <v>0.651340057007897</v>
      </c>
    </row>
    <row r="195" spans="5:22">
      <c r="E195" s="30" t="str">
        <v>kanan</v>
      </c>
      <c r="F195" s="30"/>
      <c r="G195" s="30"/>
      <c r="J195" s="30" t="str">
        <v>kanan</v>
      </c>
      <c r="K195" s="30"/>
      <c r="L195" s="30"/>
      <c r="O195" s="30" t="str">
        <v>tengah</v>
      </c>
      <c r="P195" s="30"/>
      <c r="Q195" s="30"/>
      <c r="T195" s="30" t="str">
        <v>kanan</v>
      </c>
      <c r="U195" s="30"/>
      <c r="V195" s="30"/>
    </row>
    <row r="196" spans="5:22">
      <c r="E196" s="30" t="str">
        <v>kiri</v>
      </c>
      <c r="F196" s="30" t="s">
        <v>200</v>
      </c>
      <c r="G196" s="36" t="s">
        <v>194</v>
      </c>
      <c r="J196" s="30" t="str">
        <v>kiri</v>
      </c>
      <c r="K196" s="30" t="s">
        <v>200</v>
      </c>
      <c r="L196" s="36" t="s">
        <v>194</v>
      </c>
      <c r="O196" s="30" t="str">
        <v>kanan</v>
      </c>
      <c r="P196" s="30" t="s">
        <v>200</v>
      </c>
      <c r="Q196" s="36" t="s">
        <v>194</v>
      </c>
      <c r="T196" s="30" t="str">
        <v>tengah</v>
      </c>
      <c r="U196" s="30" t="s">
        <v>200</v>
      </c>
      <c r="V196" s="36" t="s">
        <v>194</v>
      </c>
    </row>
    <row r="197" spans="5:22">
      <c r="E197" s="30" t="str">
        <v>kanan</v>
      </c>
      <c r="F197" s="41">
        <f>P5-(G176+G185+G194)</f>
        <v>0.0405668232019969</v>
      </c>
      <c r="G197" s="37">
        <f>(G176+G185+G194)</f>
        <v>1.23895916454205</v>
      </c>
      <c r="J197" s="30" t="str">
        <v>kiri</v>
      </c>
      <c r="K197" s="41">
        <f>P5-(L176+L185+L194)</f>
        <v>0.0335068107714902</v>
      </c>
      <c r="L197" s="37">
        <f>(L176+L185+L194)</f>
        <v>1.24601917697256</v>
      </c>
      <c r="O197" s="30" t="str">
        <v>tengah</v>
      </c>
      <c r="P197" s="41">
        <f>P5-(Q176+Q185+Q194)</f>
        <v>0.554806275078235</v>
      </c>
      <c r="Q197" s="37">
        <f>(Q176+Q185+Q194)</f>
        <v>0.724719712665814</v>
      </c>
      <c r="T197" s="30" t="str">
        <v>kanan</v>
      </c>
      <c r="U197" s="41">
        <f>P5-(V176+V185+V194)</f>
        <v>0.00746740443716787</v>
      </c>
      <c r="V197" s="37">
        <f>(V176+V185+V194)</f>
        <v>1.27205858330688</v>
      </c>
    </row>
    <row r="198" spans="5:22">
      <c r="E198" s="30" t="str">
        <v>tengah</v>
      </c>
      <c r="F198" s="30"/>
      <c r="G198" s="30"/>
      <c r="J198" s="30" t="str">
        <v>tengah</v>
      </c>
      <c r="K198" s="30"/>
      <c r="L198" s="30"/>
      <c r="O198" s="30" t="str">
        <v>kiri</v>
      </c>
      <c r="P198" s="30"/>
      <c r="Q198" s="30"/>
      <c r="T198" s="30" t="str">
        <v>kanan</v>
      </c>
      <c r="U198" s="30"/>
      <c r="V198" s="30"/>
    </row>
    <row r="199" spans="5:22">
      <c r="E199" s="30" t="str">
        <v>kiri</v>
      </c>
      <c r="F199" s="30"/>
      <c r="G199" s="30"/>
      <c r="J199" s="30" t="str">
        <v>tengah</v>
      </c>
      <c r="K199" s="30"/>
      <c r="L199" s="30"/>
      <c r="O199" s="30" t="str">
        <v>tengah</v>
      </c>
      <c r="P199" s="30"/>
      <c r="Q199" s="30"/>
      <c r="T199" s="30" t="str">
        <v>kanan</v>
      </c>
      <c r="U199" s="30"/>
      <c r="V199" s="30"/>
    </row>
    <row r="200" spans="5:22">
      <c r="E200" s="30" t="str">
        <v>tengah</v>
      </c>
      <c r="F200" s="30"/>
      <c r="G200" s="30"/>
      <c r="J200" s="30" t="str">
        <v>tengah</v>
      </c>
      <c r="K200" s="30"/>
      <c r="L200" s="30"/>
      <c r="O200" s="30" t="str">
        <v>kiri</v>
      </c>
      <c r="P200" s="30"/>
      <c r="Q200" s="30"/>
      <c r="T200" s="30" t="str">
        <v>tengah</v>
      </c>
      <c r="U200" s="30"/>
      <c r="V200" s="30"/>
    </row>
    <row r="201" spans="5:22">
      <c r="E201" s="30" t="str">
        <v>tengah</v>
      </c>
      <c r="F201" s="30"/>
      <c r="G201" s="30"/>
      <c r="J201" s="30" t="str">
        <v>kiri</v>
      </c>
      <c r="K201" s="30"/>
      <c r="L201" s="30"/>
      <c r="O201" s="30" t="str">
        <v>kanan</v>
      </c>
      <c r="P201" s="30"/>
      <c r="Q201" s="30"/>
      <c r="T201" s="30" t="str">
        <v>tengah</v>
      </c>
      <c r="U201" s="30"/>
      <c r="V201" s="30"/>
    </row>
    <row r="202" spans="5:22">
      <c r="E202" s="30" t="str">
        <v>tengah</v>
      </c>
      <c r="F202" s="30"/>
      <c r="G202" s="30"/>
      <c r="J202" s="30" t="str">
        <v>tengah</v>
      </c>
      <c r="K202" s="30"/>
      <c r="L202" s="30"/>
      <c r="O202" s="30" t="str">
        <v>kiri</v>
      </c>
      <c r="P202" s="30"/>
      <c r="Q202" s="30"/>
      <c r="T202" s="30" t="str">
        <v>tengah</v>
      </c>
      <c r="U202" s="30"/>
      <c r="V202" s="30"/>
    </row>
    <row r="203" spans="5:22">
      <c r="E203" s="30" t="str">
        <v>tengah</v>
      </c>
      <c r="F203" s="30"/>
      <c r="G203" s="30"/>
      <c r="J203" s="30" t="str">
        <v>tengah</v>
      </c>
      <c r="K203" s="30"/>
      <c r="L203" s="30"/>
      <c r="O203" s="30" t="str">
        <v>kiri</v>
      </c>
      <c r="P203" s="30"/>
      <c r="Q203" s="30"/>
      <c r="T203" s="30" t="str">
        <v>kanan</v>
      </c>
      <c r="U203" s="30"/>
      <c r="V203" s="30"/>
    </row>
    <row r="204" spans="5:22">
      <c r="E204" s="30" t="str">
        <v>kanan</v>
      </c>
      <c r="F204" s="30"/>
      <c r="G204" s="30"/>
      <c r="J204" s="30" t="str">
        <v>tengah</v>
      </c>
      <c r="K204" s="30"/>
      <c r="L204" s="30"/>
      <c r="O204" s="30" t="str">
        <v>tengah</v>
      </c>
      <c r="P204" s="30"/>
      <c r="Q204" s="30"/>
      <c r="T204" s="30" t="str">
        <v>kanan</v>
      </c>
      <c r="U204" s="30"/>
      <c r="V204" s="30"/>
    </row>
    <row r="205" spans="5:22">
      <c r="E205" s="30" t="str">
        <v>tengah</v>
      </c>
      <c r="F205" s="30"/>
      <c r="G205" s="30"/>
      <c r="J205" s="30" t="str">
        <v>tengah</v>
      </c>
      <c r="K205" s="30"/>
      <c r="L205" s="30"/>
      <c r="O205" s="30" t="str">
        <v>tengah</v>
      </c>
      <c r="P205" s="30"/>
      <c r="Q205" s="30"/>
      <c r="T205" s="30" t="str">
        <v>tengah</v>
      </c>
      <c r="U205" s="30"/>
      <c r="V205" s="30"/>
    </row>
    <row r="206" spans="5:22">
      <c r="E206" s="30" t="str">
        <v>tengah</v>
      </c>
      <c r="F206" s="30"/>
      <c r="G206" s="30"/>
      <c r="J206" s="30" t="str">
        <v>tengah</v>
      </c>
      <c r="K206" s="30"/>
      <c r="L206" s="30"/>
      <c r="O206" s="30" t="str">
        <v>tengah</v>
      </c>
      <c r="P206" s="30"/>
      <c r="Q206" s="30"/>
      <c r="T206" s="30" t="str">
        <v>kanan</v>
      </c>
      <c r="U206" s="30"/>
      <c r="V206" s="30"/>
    </row>
    <row r="207" spans="5:22">
      <c r="E207" s="30" t="str">
        <v>kiri</v>
      </c>
      <c r="F207" s="30"/>
      <c r="G207" s="30"/>
      <c r="J207" s="30" t="str">
        <v>kiri</v>
      </c>
      <c r="K207" s="30"/>
      <c r="L207" s="30"/>
      <c r="O207" s="30" t="str">
        <v>kiri</v>
      </c>
      <c r="P207" s="30"/>
      <c r="Q207" s="30"/>
      <c r="T207" s="30" t="str">
        <v>kanan</v>
      </c>
      <c r="U207" s="30"/>
      <c r="V207" s="30"/>
    </row>
    <row r="208" spans="5:22">
      <c r="E208" s="30" t="str">
        <v>tengah</v>
      </c>
      <c r="F208" s="30"/>
      <c r="G208" s="30"/>
      <c r="J208" s="30" t="str">
        <v>kanan</v>
      </c>
      <c r="K208" s="30"/>
      <c r="L208" s="30"/>
      <c r="O208" s="30" t="str">
        <v>tengah</v>
      </c>
      <c r="P208" s="30"/>
      <c r="Q208" s="30"/>
      <c r="T208" s="30" t="str">
        <v>tengah</v>
      </c>
      <c r="U208" s="30"/>
      <c r="V208" s="30"/>
    </row>
    <row r="209" spans="5:22">
      <c r="E209" s="30" t="str">
        <v>tengah</v>
      </c>
      <c r="F209" s="30"/>
      <c r="G209" s="30"/>
      <c r="J209" s="30" t="str">
        <v>kiri</v>
      </c>
      <c r="K209" s="30"/>
      <c r="L209" s="30"/>
      <c r="O209" s="30" t="str">
        <v>tengah</v>
      </c>
      <c r="P209" s="30"/>
      <c r="Q209" s="30"/>
      <c r="T209" s="30" t="str">
        <v>kanan</v>
      </c>
      <c r="U209" s="30"/>
      <c r="V209" s="30"/>
    </row>
    <row r="210" spans="5:22">
      <c r="E210" s="30" t="str">
        <v>kiri</v>
      </c>
      <c r="F210" s="30"/>
      <c r="G210" s="30"/>
      <c r="J210" s="30" t="str">
        <v>tengah</v>
      </c>
      <c r="K210" s="30"/>
      <c r="L210" s="30"/>
      <c r="O210" s="30" t="str">
        <v>kiri</v>
      </c>
      <c r="P210" s="30"/>
      <c r="Q210" s="30"/>
      <c r="T210" s="30" t="str">
        <v>tengah</v>
      </c>
      <c r="U210" s="30"/>
      <c r="V210" s="30"/>
    </row>
    <row r="211" spans="5:22">
      <c r="E211" s="30" t="str">
        <v>kiri</v>
      </c>
      <c r="F211" s="30"/>
      <c r="G211" s="30"/>
      <c r="J211" s="30" t="str">
        <v>kiri</v>
      </c>
      <c r="K211" s="30"/>
      <c r="L211" s="30"/>
      <c r="O211" s="30" t="str">
        <v>kanan</v>
      </c>
      <c r="P211" s="30"/>
      <c r="Q211" s="30"/>
      <c r="T211" s="30" t="str">
        <v>tengah</v>
      </c>
      <c r="U211" s="30"/>
      <c r="V211" s="30"/>
    </row>
    <row r="212" spans="5:22">
      <c r="E212" s="30" t="str">
        <v>tengah</v>
      </c>
      <c r="F212" s="30"/>
      <c r="G212" s="30"/>
      <c r="J212" s="30" t="str">
        <v>tengah</v>
      </c>
      <c r="K212" s="30"/>
      <c r="L212" s="30"/>
      <c r="O212" s="30" t="str">
        <v>tengah</v>
      </c>
      <c r="P212" s="30"/>
      <c r="Q212" s="30"/>
      <c r="T212" s="30" t="str">
        <v>kanan</v>
      </c>
      <c r="U212" s="30"/>
      <c r="V212" s="30"/>
    </row>
    <row r="213" spans="5:22">
      <c r="E213" s="30" t="str">
        <v>tengah</v>
      </c>
      <c r="F213" s="30"/>
      <c r="G213" s="30"/>
      <c r="J213" s="30" t="str">
        <v>tengah</v>
      </c>
      <c r="K213" s="30"/>
      <c r="L213" s="30"/>
      <c r="O213" s="30" t="str">
        <v>tengah</v>
      </c>
      <c r="P213" s="30"/>
      <c r="Q213" s="30"/>
      <c r="T213" s="30" t="str">
        <v>tengah</v>
      </c>
      <c r="U213" s="30"/>
      <c r="V213" s="30"/>
    </row>
    <row r="214" spans="5:22">
      <c r="E214" s="30" t="str">
        <v>kanan</v>
      </c>
      <c r="F214" s="30"/>
      <c r="G214" s="30"/>
      <c r="J214" s="30" t="str">
        <v>kanan</v>
      </c>
      <c r="K214" s="30"/>
      <c r="L214" s="30"/>
      <c r="O214" s="30" t="str">
        <v>tengah</v>
      </c>
      <c r="P214" s="30"/>
      <c r="Q214" s="30"/>
      <c r="T214" s="30" t="str">
        <v>tengah</v>
      </c>
      <c r="U214" s="30"/>
      <c r="V214" s="30"/>
    </row>
    <row r="215" spans="5:22">
      <c r="E215" s="30" t="str">
        <v>kiri</v>
      </c>
      <c r="F215" s="30"/>
      <c r="G215" s="30"/>
      <c r="J215" s="30" t="str">
        <v>tengah</v>
      </c>
      <c r="K215" s="30"/>
      <c r="L215" s="30"/>
      <c r="O215" s="30" t="str">
        <v>kiri</v>
      </c>
      <c r="P215" s="30"/>
      <c r="Q215" s="30"/>
      <c r="T215" s="30" t="str">
        <v>tengah</v>
      </c>
      <c r="U215" s="30"/>
      <c r="V215" s="30"/>
    </row>
    <row r="216" spans="5:22">
      <c r="E216" s="30" t="str">
        <v>tengah</v>
      </c>
      <c r="F216" s="30"/>
      <c r="G216" s="30"/>
      <c r="J216" s="30" t="str">
        <v>tengah</v>
      </c>
      <c r="K216" s="30"/>
      <c r="L216" s="30"/>
      <c r="O216" s="30" t="str">
        <v>tengah</v>
      </c>
      <c r="P216" s="30"/>
      <c r="Q216" s="30"/>
      <c r="T216" s="30" t="str">
        <v>kanan</v>
      </c>
      <c r="U216" s="30"/>
      <c r="V216" s="30"/>
    </row>
    <row r="217" spans="5:22">
      <c r="E217" s="30" t="str">
        <v>kanan</v>
      </c>
      <c r="F217" s="30"/>
      <c r="G217" s="30"/>
      <c r="J217" s="30" t="str">
        <v>tengah</v>
      </c>
      <c r="K217" s="30"/>
      <c r="L217" s="30"/>
      <c r="O217" s="30" t="str">
        <v>tengah</v>
      </c>
      <c r="P217" s="30"/>
      <c r="Q217" s="30"/>
      <c r="T217" s="30" t="str">
        <v>kanan</v>
      </c>
      <c r="U217" s="30"/>
      <c r="V217" s="30"/>
    </row>
    <row r="218" spans="5:22">
      <c r="E218" s="30" t="str">
        <v>kiri</v>
      </c>
      <c r="F218" s="30"/>
      <c r="G218" s="30"/>
      <c r="J218" s="30" t="str">
        <v>tengah</v>
      </c>
      <c r="K218" s="30"/>
      <c r="L218" s="30"/>
      <c r="O218" s="30" t="str">
        <v>tengah</v>
      </c>
      <c r="P218" s="30"/>
      <c r="Q218" s="30"/>
      <c r="T218" s="30" t="str">
        <v>tengah</v>
      </c>
      <c r="U218" s="30"/>
      <c r="V218" s="30"/>
    </row>
    <row r="219" spans="5:22">
      <c r="E219" s="30" t="str">
        <v>kiri</v>
      </c>
      <c r="F219" s="30"/>
      <c r="G219" s="30"/>
      <c r="J219" s="30" t="str">
        <v>tengah</v>
      </c>
      <c r="K219" s="30"/>
      <c r="L219" s="30"/>
      <c r="O219" s="30" t="str">
        <v>tengah</v>
      </c>
      <c r="P219" s="30"/>
      <c r="Q219" s="30"/>
      <c r="T219" s="30" t="str">
        <v>tengah</v>
      </c>
      <c r="U219" s="30"/>
      <c r="V219" s="30"/>
    </row>
    <row r="220" spans="5:22">
      <c r="E220" s="30" t="str">
        <v>kiri</v>
      </c>
      <c r="F220" s="30"/>
      <c r="G220" s="30"/>
      <c r="J220" s="30" t="str">
        <v>kiri</v>
      </c>
      <c r="K220" s="30"/>
      <c r="L220" s="30"/>
      <c r="O220" s="30" t="str">
        <v>tengah</v>
      </c>
      <c r="P220" s="30"/>
      <c r="Q220" s="30"/>
      <c r="T220" s="30" t="str">
        <v>kanan</v>
      </c>
      <c r="U220" s="30"/>
      <c r="V220" s="30"/>
    </row>
    <row r="221" spans="5:22">
      <c r="E221" s="30" t="str">
        <v>kiri</v>
      </c>
      <c r="F221" s="30"/>
      <c r="G221" s="30"/>
      <c r="J221" s="30" t="str">
        <v>kanan</v>
      </c>
      <c r="K221" s="30"/>
      <c r="L221" s="30"/>
      <c r="O221" s="30" t="str">
        <v>kiri</v>
      </c>
      <c r="P221" s="30"/>
      <c r="Q221" s="30"/>
      <c r="T221" s="30" t="str">
        <v>tengah</v>
      </c>
      <c r="U221" s="30"/>
      <c r="V221" s="30"/>
    </row>
    <row r="222" spans="5:22">
      <c r="E222" s="30" t="str">
        <v>tengah</v>
      </c>
      <c r="F222" s="30"/>
      <c r="G222" s="30"/>
      <c r="J222" s="30" t="str">
        <v>kanan</v>
      </c>
      <c r="K222" s="30"/>
      <c r="L222" s="30"/>
      <c r="O222" s="30" t="str">
        <v>tengah</v>
      </c>
      <c r="P222" s="30"/>
      <c r="Q222" s="30"/>
      <c r="T222" s="30" t="str">
        <v>kanan</v>
      </c>
      <c r="U222" s="30"/>
      <c r="V222" s="30"/>
    </row>
    <row r="223" spans="5:22">
      <c r="E223" s="30" t="str">
        <v>kanan</v>
      </c>
      <c r="F223" s="30"/>
      <c r="G223" s="30"/>
      <c r="J223" s="30" t="str">
        <v>kanan</v>
      </c>
      <c r="K223" s="30"/>
      <c r="L223" s="30"/>
      <c r="O223" s="30" t="str">
        <v>tengah</v>
      </c>
      <c r="P223" s="30"/>
      <c r="Q223" s="30"/>
      <c r="T223" s="30" t="str">
        <v>kanan</v>
      </c>
      <c r="U223" s="30"/>
      <c r="V223" s="30"/>
    </row>
    <row r="224" spans="5:22">
      <c r="E224" s="30" t="str">
        <v>tengah</v>
      </c>
      <c r="F224" s="30"/>
      <c r="G224" s="30"/>
      <c r="J224" s="30" t="str">
        <v>tengah</v>
      </c>
      <c r="K224" s="30"/>
      <c r="L224" s="30"/>
      <c r="O224" s="30" t="str">
        <v>tengah</v>
      </c>
      <c r="P224" s="30"/>
      <c r="Q224" s="30"/>
      <c r="T224" s="30" t="str">
        <v>kanan</v>
      </c>
      <c r="U224" s="30"/>
      <c r="V224" s="30"/>
    </row>
    <row r="225" spans="5:22">
      <c r="E225" s="30" t="str">
        <v>kanan</v>
      </c>
      <c r="F225" s="30"/>
      <c r="G225" s="30"/>
      <c r="J225" s="30" t="str">
        <v>tengah</v>
      </c>
      <c r="K225" s="30"/>
      <c r="L225" s="30"/>
      <c r="O225" s="30" t="str">
        <v>tengah</v>
      </c>
      <c r="P225" s="30"/>
      <c r="Q225" s="30"/>
      <c r="T225" s="30" t="str">
        <v>tengah</v>
      </c>
      <c r="U225" s="30"/>
      <c r="V225" s="30"/>
    </row>
    <row r="226" spans="5:22">
      <c r="E226" s="30" t="str">
        <v>tengah</v>
      </c>
      <c r="F226" s="30"/>
      <c r="G226" s="30"/>
      <c r="J226" s="30" t="str">
        <v>tengah</v>
      </c>
      <c r="K226" s="30"/>
      <c r="L226" s="30"/>
      <c r="O226" s="30" t="str">
        <v>kiri</v>
      </c>
      <c r="P226" s="30"/>
      <c r="Q226" s="30"/>
      <c r="T226" s="30" t="str">
        <v>tengah</v>
      </c>
      <c r="U226" s="30"/>
      <c r="V226" s="30"/>
    </row>
    <row r="227" spans="5:22">
      <c r="E227" s="30" t="str">
        <v>tengah</v>
      </c>
      <c r="F227" s="30"/>
      <c r="G227" s="30"/>
      <c r="J227" s="30" t="str">
        <v>kiri</v>
      </c>
      <c r="K227" s="30"/>
      <c r="L227" s="30"/>
      <c r="O227" s="30" t="str">
        <v>tengah</v>
      </c>
      <c r="P227" s="30"/>
      <c r="Q227" s="30"/>
      <c r="T227" s="30" t="str">
        <v>kanan</v>
      </c>
      <c r="U227" s="30"/>
      <c r="V227" s="30"/>
    </row>
    <row r="228" spans="5:22">
      <c r="E228" s="30" t="str">
        <v>tengah</v>
      </c>
      <c r="F228" s="30"/>
      <c r="G228" s="30"/>
      <c r="J228" s="30" t="str">
        <v>kanan</v>
      </c>
      <c r="K228" s="30"/>
      <c r="L228" s="30"/>
      <c r="O228" s="30" t="str">
        <v>kiri</v>
      </c>
      <c r="P228" s="30"/>
      <c r="Q228" s="30"/>
      <c r="T228" s="30" t="str">
        <v>tengah</v>
      </c>
      <c r="U228" s="30"/>
      <c r="V228" s="30"/>
    </row>
    <row r="229" spans="5:22">
      <c r="E229" s="30" t="str">
        <v>tengah</v>
      </c>
      <c r="F229" s="30"/>
      <c r="G229" s="30"/>
      <c r="J229" s="30" t="str">
        <v>kanan</v>
      </c>
      <c r="K229" s="30"/>
      <c r="L229" s="30"/>
      <c r="O229" s="30" t="str">
        <v>tengah</v>
      </c>
      <c r="P229" s="30"/>
      <c r="Q229" s="30"/>
      <c r="T229" s="30" t="str">
        <v>kanan</v>
      </c>
      <c r="U229" s="30"/>
      <c r="V229" s="30"/>
    </row>
    <row r="230" spans="5:22">
      <c r="E230" s="30" t="str">
        <v>tengah</v>
      </c>
      <c r="F230" s="30"/>
      <c r="G230" s="30"/>
      <c r="J230" s="30" t="str">
        <v>tengah</v>
      </c>
      <c r="K230" s="30"/>
      <c r="L230" s="30"/>
      <c r="O230" s="30" t="str">
        <v>kanan</v>
      </c>
      <c r="P230" s="30"/>
      <c r="Q230" s="30"/>
      <c r="T230" s="30" t="str">
        <v>kanan</v>
      </c>
      <c r="U230" s="30"/>
      <c r="V230" s="30"/>
    </row>
    <row r="231" spans="5:22">
      <c r="E231" s="30" t="str">
        <v>tengah</v>
      </c>
      <c r="F231" s="30"/>
      <c r="G231" s="30"/>
      <c r="J231" s="30" t="str">
        <v>kanan</v>
      </c>
      <c r="K231" s="30"/>
      <c r="L231" s="30"/>
      <c r="O231" s="30" t="str">
        <v>kanan</v>
      </c>
      <c r="P231" s="30"/>
      <c r="Q231" s="30"/>
      <c r="T231" s="30" t="str">
        <v>tengah</v>
      </c>
      <c r="U231" s="30"/>
      <c r="V231" s="30"/>
    </row>
    <row r="232" spans="5:22">
      <c r="E232" s="30" t="str">
        <v>kanan</v>
      </c>
      <c r="F232" s="30"/>
      <c r="G232" s="30"/>
      <c r="J232" s="30" t="str">
        <v>kanan</v>
      </c>
      <c r="K232" s="30"/>
      <c r="L232" s="30"/>
      <c r="O232" s="30" t="str">
        <v>kanan</v>
      </c>
      <c r="P232" s="30"/>
      <c r="Q232" s="30"/>
      <c r="T232" s="30" t="str">
        <v>kanan</v>
      </c>
      <c r="U232" s="30"/>
      <c r="V232" s="30"/>
    </row>
    <row r="233" spans="5:22">
      <c r="E233" s="30" t="str">
        <v>kanan</v>
      </c>
      <c r="F233" s="30"/>
      <c r="G233" s="30"/>
      <c r="J233" s="30" t="str">
        <v>tengah</v>
      </c>
      <c r="K233" s="30"/>
      <c r="L233" s="30"/>
      <c r="O233" s="30" t="str">
        <v>kiri</v>
      </c>
      <c r="P233" s="30"/>
      <c r="Q233" s="30"/>
      <c r="T233" s="30" t="str">
        <v>kanan</v>
      </c>
      <c r="U233" s="30"/>
      <c r="V233" s="30"/>
    </row>
    <row r="234" spans="5:22">
      <c r="E234" s="30" t="str">
        <v>tengah</v>
      </c>
      <c r="F234" s="30"/>
      <c r="G234" s="30"/>
      <c r="J234" s="30" t="str">
        <v>tengah</v>
      </c>
      <c r="K234" s="30"/>
      <c r="L234" s="30"/>
      <c r="O234" s="30" t="str">
        <v>tengah</v>
      </c>
      <c r="P234" s="30"/>
      <c r="Q234" s="30"/>
      <c r="T234" s="30" t="str">
        <v>kanan</v>
      </c>
      <c r="U234" s="30"/>
      <c r="V234" s="30"/>
    </row>
    <row r="235" spans="5:22">
      <c r="E235" s="30" t="str">
        <v>tengah</v>
      </c>
      <c r="F235" s="30"/>
      <c r="G235" s="30"/>
      <c r="J235" s="30" t="str">
        <v>tengah</v>
      </c>
      <c r="K235" s="30"/>
      <c r="L235" s="30"/>
      <c r="O235" s="30" t="str">
        <v>kiri</v>
      </c>
      <c r="P235" s="30"/>
      <c r="Q235" s="30"/>
      <c r="T235" s="30" t="str">
        <v>tengah</v>
      </c>
      <c r="U235" s="30"/>
      <c r="V235" s="30"/>
    </row>
    <row r="236" spans="5:22">
      <c r="E236" s="30" t="str">
        <v>tengah</v>
      </c>
      <c r="F236" s="30"/>
      <c r="G236" s="30"/>
      <c r="J236" s="30" t="str">
        <v>kanan</v>
      </c>
      <c r="K236" s="30"/>
      <c r="L236" s="30"/>
      <c r="O236" s="30" t="str">
        <v>tengah</v>
      </c>
      <c r="P236" s="30"/>
      <c r="Q236" s="30"/>
      <c r="T236" s="30" t="str">
        <v>tengah</v>
      </c>
      <c r="U236" s="30"/>
      <c r="V236" s="30"/>
    </row>
    <row r="237" spans="5:22">
      <c r="E237" s="30" t="str">
        <v>tengah</v>
      </c>
      <c r="F237" s="30"/>
      <c r="G237" s="30"/>
      <c r="J237" s="30" t="str">
        <v>kiri</v>
      </c>
      <c r="K237" s="30"/>
      <c r="L237" s="30"/>
      <c r="O237" s="30" t="str">
        <v>kiri</v>
      </c>
      <c r="P237" s="30"/>
      <c r="Q237" s="30"/>
      <c r="T237" s="30" t="str">
        <v>tengah</v>
      </c>
      <c r="U237" s="30"/>
      <c r="V237" s="30"/>
    </row>
    <row r="238" spans="5:22">
      <c r="E238" s="30" t="str">
        <v>tengah</v>
      </c>
      <c r="F238" s="30"/>
      <c r="G238" s="30"/>
      <c r="J238" s="30" t="str">
        <v>tengah</v>
      </c>
      <c r="K238" s="30"/>
      <c r="L238" s="30"/>
      <c r="O238" s="30" t="str">
        <v>tengah</v>
      </c>
      <c r="P238" s="30"/>
      <c r="Q238" s="30"/>
      <c r="T238" s="30" t="str">
        <v>tengah</v>
      </c>
      <c r="U238" s="30"/>
      <c r="V238" s="30"/>
    </row>
    <row r="239" spans="5:22">
      <c r="E239" s="30" t="str">
        <v>kiri</v>
      </c>
      <c r="F239" s="30"/>
      <c r="G239" s="30"/>
      <c r="J239" s="30" t="str">
        <v>tengah</v>
      </c>
      <c r="K239" s="30"/>
      <c r="L239" s="30"/>
      <c r="O239" s="30" t="str">
        <v>kanan</v>
      </c>
      <c r="P239" s="30"/>
      <c r="Q239" s="30"/>
      <c r="T239" s="30" t="str">
        <v>kanan</v>
      </c>
      <c r="U239" s="30"/>
      <c r="V239" s="30"/>
    </row>
    <row r="240" spans="5:22">
      <c r="E240" s="30" t="str">
        <v>tengah</v>
      </c>
      <c r="F240" s="30"/>
      <c r="G240" s="30"/>
      <c r="J240" s="30" t="str">
        <v>kiri</v>
      </c>
      <c r="K240" s="30"/>
      <c r="L240" s="30"/>
      <c r="O240" s="30" t="str">
        <v>tengah</v>
      </c>
      <c r="P240" s="30"/>
      <c r="Q240" s="30"/>
      <c r="T240" s="30" t="str">
        <v>tengah</v>
      </c>
      <c r="U240" s="30"/>
      <c r="V240" s="30"/>
    </row>
    <row r="241" spans="5:22">
      <c r="E241" s="30" t="str">
        <v>kanan</v>
      </c>
      <c r="F241" s="30"/>
      <c r="G241" s="30"/>
      <c r="J241" s="30" t="str">
        <v>tengah</v>
      </c>
      <c r="K241" s="30"/>
      <c r="L241" s="30"/>
      <c r="O241" s="30" t="str">
        <v>tengah</v>
      </c>
      <c r="P241" s="30"/>
      <c r="Q241" s="30"/>
      <c r="T241" s="30" t="str">
        <v>kanan</v>
      </c>
      <c r="U241" s="30"/>
      <c r="V241" s="30"/>
    </row>
    <row r="242" spans="5:22">
      <c r="E242" s="30" t="str">
        <v>kiri</v>
      </c>
      <c r="F242" s="30"/>
      <c r="G242" s="30"/>
      <c r="J242" s="30" t="str">
        <v>kiri</v>
      </c>
      <c r="K242" s="30"/>
      <c r="L242" s="30"/>
      <c r="O242" s="30" t="str">
        <v>kanan</v>
      </c>
      <c r="P242" s="30"/>
      <c r="Q242" s="30"/>
      <c r="T242" s="30" t="str">
        <v>kanan</v>
      </c>
      <c r="U242" s="30"/>
      <c r="V242" s="30"/>
    </row>
    <row r="243" spans="5:22">
      <c r="E243" s="30" t="str">
        <v>tengah</v>
      </c>
      <c r="F243" s="30"/>
      <c r="G243" s="30"/>
      <c r="J243" s="30" t="str">
        <v>tengah</v>
      </c>
      <c r="K243" s="30"/>
      <c r="L243" s="30"/>
      <c r="O243" s="30" t="str">
        <v>tengah</v>
      </c>
      <c r="P243" s="30"/>
      <c r="Q243" s="30"/>
      <c r="T243" s="30" t="str">
        <v>kanan</v>
      </c>
      <c r="U243" s="30"/>
      <c r="V243" s="30"/>
    </row>
    <row r="244" spans="5:22">
      <c r="E244" s="30" t="str">
        <v>kanan</v>
      </c>
      <c r="F244" s="30"/>
      <c r="G244" s="30"/>
      <c r="J244" s="30" t="str">
        <v>kiri</v>
      </c>
      <c r="K244" s="30"/>
      <c r="L244" s="30"/>
      <c r="O244" s="30" t="str">
        <v>tengah</v>
      </c>
      <c r="P244" s="30"/>
      <c r="Q244" s="30"/>
      <c r="T244" s="30" t="str">
        <v>kanan</v>
      </c>
      <c r="U244" s="30"/>
      <c r="V244" s="30"/>
    </row>
    <row r="245" spans="5:22">
      <c r="E245" s="30" t="str">
        <v>kiri</v>
      </c>
      <c r="F245" s="30"/>
      <c r="G245" s="30"/>
      <c r="J245" s="30" t="str">
        <v>kiri</v>
      </c>
      <c r="K245" s="30"/>
      <c r="L245" s="30"/>
      <c r="O245" s="30" t="str">
        <v>kanan</v>
      </c>
      <c r="P245" s="30"/>
      <c r="Q245" s="30"/>
      <c r="T245" s="30" t="str">
        <v>kanan</v>
      </c>
      <c r="U245" s="30"/>
      <c r="V245" s="30"/>
    </row>
    <row r="246" spans="5:22">
      <c r="E246" s="30" t="str">
        <v>kiri</v>
      </c>
      <c r="F246" s="30"/>
      <c r="G246" s="30"/>
      <c r="J246" s="30" t="str">
        <v>tengah</v>
      </c>
      <c r="K246" s="30"/>
      <c r="L246" s="30"/>
      <c r="O246" s="30" t="str">
        <v>tengah</v>
      </c>
      <c r="P246" s="30"/>
      <c r="Q246" s="30"/>
      <c r="T246" s="30" t="str">
        <v>tengah</v>
      </c>
      <c r="U246" s="30"/>
      <c r="V246" s="30"/>
    </row>
    <row r="247" spans="5:22">
      <c r="E247" s="30" t="str">
        <v>tengah</v>
      </c>
      <c r="F247" s="30"/>
      <c r="G247" s="30"/>
      <c r="J247" s="30" t="str">
        <v>kiri</v>
      </c>
      <c r="K247" s="30"/>
      <c r="L247" s="30"/>
      <c r="O247" s="30" t="str">
        <v>tengah</v>
      </c>
      <c r="P247" s="30"/>
      <c r="Q247" s="30"/>
      <c r="T247" s="30" t="str">
        <v>kanan</v>
      </c>
      <c r="U247" s="30"/>
      <c r="V247" s="30"/>
    </row>
    <row r="248" spans="5:22">
      <c r="E248" s="30" t="str">
        <v>tengah</v>
      </c>
      <c r="F248" s="30"/>
      <c r="G248" s="30"/>
      <c r="J248" s="30" t="str">
        <v>kanan</v>
      </c>
      <c r="K248" s="30"/>
      <c r="L248" s="30"/>
      <c r="O248" s="30" t="str">
        <v>tengah</v>
      </c>
      <c r="P248" s="30"/>
      <c r="Q248" s="30"/>
      <c r="T248" s="30" t="str">
        <v>tengah</v>
      </c>
      <c r="U248" s="30"/>
      <c r="V248" s="30"/>
    </row>
    <row r="249" spans="5:22">
      <c r="E249" s="30" t="str">
        <v>tengah</v>
      </c>
      <c r="F249" s="30"/>
      <c r="G249" s="30"/>
      <c r="J249" s="30" t="str">
        <v>tengah</v>
      </c>
      <c r="K249" s="30"/>
      <c r="L249" s="30"/>
      <c r="O249" s="30" t="str">
        <v>kiri</v>
      </c>
      <c r="P249" s="30"/>
      <c r="Q249" s="30"/>
      <c r="T249" s="30" t="str">
        <v>kanan</v>
      </c>
      <c r="U249" s="30"/>
      <c r="V249" s="30"/>
    </row>
    <row r="250" spans="5:22">
      <c r="E250" s="30" t="str">
        <v>kanan</v>
      </c>
      <c r="F250" s="30"/>
      <c r="G250" s="30"/>
      <c r="J250" s="30" t="str">
        <v>tengah</v>
      </c>
      <c r="K250" s="30"/>
      <c r="L250" s="30"/>
      <c r="O250" s="30" t="str">
        <v>kanan</v>
      </c>
      <c r="P250" s="30"/>
      <c r="Q250" s="30"/>
      <c r="T250" s="30" t="str">
        <v>kanan</v>
      </c>
      <c r="U250" s="30"/>
      <c r="V250" s="30"/>
    </row>
    <row r="251" spans="5:22">
      <c r="E251" s="30" t="str">
        <v>kiri</v>
      </c>
      <c r="F251" s="30"/>
      <c r="G251" s="30"/>
      <c r="J251" s="30" t="str">
        <v>kanan</v>
      </c>
      <c r="K251" s="30"/>
      <c r="L251" s="30"/>
      <c r="O251" s="30" t="str">
        <v>kiri</v>
      </c>
      <c r="P251" s="30"/>
      <c r="Q251" s="30"/>
      <c r="T251" s="30" t="str">
        <v>tengah</v>
      </c>
      <c r="U251" s="30"/>
      <c r="V251" s="30"/>
    </row>
    <row r="252" spans="5:22">
      <c r="E252" s="30" t="str">
        <v>kanan</v>
      </c>
      <c r="F252" s="30"/>
      <c r="G252" s="30"/>
      <c r="J252" s="30" t="str">
        <v>tengah</v>
      </c>
      <c r="K252" s="30"/>
      <c r="L252" s="30"/>
      <c r="O252" s="30" t="str">
        <v>tengah</v>
      </c>
      <c r="P252" s="30"/>
      <c r="Q252" s="30"/>
      <c r="T252" s="30" t="str">
        <v>kanan</v>
      </c>
      <c r="U252" s="30"/>
      <c r="V252" s="30"/>
    </row>
    <row r="253" spans="5:22">
      <c r="E253" s="30" t="str">
        <v>kanan</v>
      </c>
      <c r="F253" s="30"/>
      <c r="G253" s="30"/>
      <c r="J253" s="30" t="str">
        <v>tengah</v>
      </c>
      <c r="K253" s="30"/>
      <c r="L253" s="30"/>
      <c r="O253" s="30" t="str">
        <v>kanan</v>
      </c>
      <c r="P253" s="30"/>
      <c r="Q253" s="30"/>
      <c r="T253" s="30" t="str">
        <v>kanan</v>
      </c>
      <c r="U253" s="30"/>
      <c r="V253" s="30"/>
    </row>
    <row r="254" spans="5:22">
      <c r="E254" s="30" t="str">
        <v>kiri</v>
      </c>
      <c r="F254" s="30"/>
      <c r="G254" s="30"/>
      <c r="J254" s="30" t="str">
        <v>tengah</v>
      </c>
      <c r="K254" s="30"/>
      <c r="L254" s="30"/>
      <c r="O254" s="30" t="str">
        <v>tengah</v>
      </c>
      <c r="P254" s="30"/>
      <c r="Q254" s="30"/>
      <c r="T254" s="30" t="str">
        <v>kanan</v>
      </c>
      <c r="U254" s="30"/>
      <c r="V254" s="30"/>
    </row>
    <row r="255" spans="5:22">
      <c r="E255" s="30" t="str">
        <v>tengah</v>
      </c>
      <c r="F255" s="30"/>
      <c r="G255" s="30"/>
      <c r="J255" s="30" t="str">
        <v>tengah</v>
      </c>
      <c r="K255" s="30"/>
      <c r="L255" s="30"/>
      <c r="O255" s="30" t="str">
        <v>kiri</v>
      </c>
      <c r="P255" s="30"/>
      <c r="Q255" s="30"/>
      <c r="T255" s="30" t="str">
        <v>kanan</v>
      </c>
      <c r="U255" s="30"/>
      <c r="V255" s="30"/>
    </row>
    <row r="256" spans="5:22">
      <c r="E256" s="30" t="str">
        <v>tengah</v>
      </c>
      <c r="F256" s="30"/>
      <c r="G256" s="30"/>
      <c r="J256" s="30" t="str">
        <v>tengah</v>
      </c>
      <c r="K256" s="30"/>
      <c r="L256" s="30"/>
      <c r="O256" s="30" t="str">
        <v>kiri</v>
      </c>
      <c r="P256" s="30"/>
      <c r="Q256" s="30"/>
      <c r="T256" s="30" t="str">
        <v>kanan</v>
      </c>
      <c r="U256" s="30"/>
      <c r="V256" s="30"/>
    </row>
    <row r="257" spans="5:22">
      <c r="E257" s="30" t="str">
        <v>tengah</v>
      </c>
      <c r="F257" s="30"/>
      <c r="G257" s="30"/>
      <c r="J257" s="30" t="str">
        <v>tengah</v>
      </c>
      <c r="K257" s="30"/>
      <c r="L257" s="30"/>
      <c r="O257" s="30" t="str">
        <v>kiri</v>
      </c>
      <c r="P257" s="30"/>
      <c r="Q257" s="30"/>
      <c r="T257" s="30" t="str">
        <v>kanan</v>
      </c>
      <c r="U257" s="30"/>
      <c r="V257" s="30"/>
    </row>
    <row r="258" spans="5:22">
      <c r="E258" s="30" t="str">
        <v>kiri</v>
      </c>
      <c r="F258" s="30"/>
      <c r="G258" s="30"/>
      <c r="J258" s="30" t="str">
        <v>tengah</v>
      </c>
      <c r="K258" s="30"/>
      <c r="L258" s="30"/>
      <c r="O258" s="30" t="str">
        <v>tengah</v>
      </c>
      <c r="P258" s="30"/>
      <c r="Q258" s="30"/>
      <c r="T258" s="30" t="str">
        <v>tengah</v>
      </c>
      <c r="U258" s="30"/>
      <c r="V258" s="30"/>
    </row>
    <row r="259" spans="5:22">
      <c r="E259" s="30" t="str">
        <v>kiri</v>
      </c>
      <c r="F259" s="30"/>
      <c r="G259" s="30"/>
      <c r="J259" s="30" t="str">
        <v>tengah</v>
      </c>
      <c r="K259" s="30"/>
      <c r="L259" s="30"/>
      <c r="O259" s="30" t="str">
        <v>kiri</v>
      </c>
      <c r="P259" s="30"/>
      <c r="Q259" s="30"/>
      <c r="T259" s="30" t="str">
        <v>kanan</v>
      </c>
      <c r="U259" s="30"/>
      <c r="V259" s="30"/>
    </row>
    <row r="260" spans="5:22">
      <c r="E260" s="30" t="str">
        <v>tengah</v>
      </c>
      <c r="F260" s="30"/>
      <c r="G260" s="30"/>
      <c r="J260" s="30" t="str">
        <v>kanan</v>
      </c>
      <c r="K260" s="30"/>
      <c r="L260" s="30"/>
      <c r="O260" s="30" t="str">
        <v>tengah</v>
      </c>
      <c r="P260" s="30"/>
      <c r="Q260" s="30"/>
      <c r="T260" s="30" t="str">
        <v>kanan</v>
      </c>
      <c r="U260" s="30"/>
      <c r="V260" s="30"/>
    </row>
    <row r="261" spans="5:22">
      <c r="E261" s="30" t="str">
        <v>kanan</v>
      </c>
      <c r="F261" s="30"/>
      <c r="G261" s="30"/>
      <c r="J261" s="30" t="str">
        <v>tengah</v>
      </c>
      <c r="K261" s="30"/>
      <c r="L261" s="30"/>
      <c r="O261" s="30" t="str">
        <v>tengah</v>
      </c>
      <c r="P261" s="30"/>
      <c r="Q261" s="30"/>
      <c r="T261" s="30" t="str">
        <v>tengah</v>
      </c>
      <c r="U261" s="30"/>
      <c r="V261" s="30"/>
    </row>
    <row r="262" spans="5:22">
      <c r="E262" s="30" t="str">
        <v>tengah</v>
      </c>
      <c r="F262" s="30"/>
      <c r="G262" s="30"/>
      <c r="J262" s="30" t="str">
        <v>kanan</v>
      </c>
      <c r="K262" s="30"/>
      <c r="L262" s="30"/>
      <c r="O262" s="30" t="str">
        <v>kiri</v>
      </c>
      <c r="P262" s="30"/>
      <c r="Q262" s="30"/>
      <c r="T262" s="30" t="str">
        <v>kanan</v>
      </c>
      <c r="U262" s="30"/>
      <c r="V262" s="30"/>
    </row>
    <row r="263" spans="5:22">
      <c r="E263" s="30" t="str">
        <v>kiri</v>
      </c>
      <c r="F263" s="30"/>
      <c r="G263" s="30"/>
      <c r="J263" s="30" t="str">
        <v>kiri</v>
      </c>
      <c r="K263" s="30"/>
      <c r="L263" s="30"/>
      <c r="O263" s="30" t="str">
        <v>kanan</v>
      </c>
      <c r="P263" s="30"/>
      <c r="Q263" s="30"/>
      <c r="T263" s="30" t="str">
        <v>tengah</v>
      </c>
      <c r="U263" s="30"/>
      <c r="V263" s="30"/>
    </row>
    <row r="264" spans="5:22">
      <c r="E264" s="30" t="str">
        <v>kanan</v>
      </c>
      <c r="F264" s="30"/>
      <c r="G264" s="30"/>
      <c r="J264" s="30" t="str">
        <v>kanan</v>
      </c>
      <c r="K264" s="30"/>
      <c r="L264" s="30"/>
      <c r="O264" s="30" t="str">
        <v>kanan</v>
      </c>
      <c r="P264" s="30"/>
      <c r="Q264" s="30"/>
      <c r="T264" s="30" t="str">
        <v>kanan</v>
      </c>
      <c r="U264" s="30"/>
      <c r="V264" s="30"/>
    </row>
    <row r="265" spans="5:22">
      <c r="E265" s="30" t="str">
        <v>kiri</v>
      </c>
      <c r="F265" s="30"/>
      <c r="G265" s="30"/>
      <c r="J265" s="30" t="str">
        <v>kiri</v>
      </c>
      <c r="K265" s="30"/>
      <c r="L265" s="30"/>
      <c r="O265" s="30" t="str">
        <v>tengah</v>
      </c>
      <c r="P265" s="30"/>
      <c r="Q265" s="30"/>
      <c r="T265" s="30" t="str">
        <v>tengah</v>
      </c>
      <c r="U265" s="30"/>
      <c r="V265" s="30"/>
    </row>
    <row r="266" spans="5:22">
      <c r="E266" s="30" t="str">
        <v>kanan</v>
      </c>
      <c r="F266" s="30"/>
      <c r="G266" s="30"/>
      <c r="J266" s="30" t="str">
        <v>tengah</v>
      </c>
      <c r="K266" s="30"/>
      <c r="L266" s="30"/>
      <c r="O266" s="30" t="str">
        <v>tengah</v>
      </c>
      <c r="P266" s="30"/>
      <c r="Q266" s="30"/>
      <c r="T266" s="30" t="str">
        <v>kanan</v>
      </c>
      <c r="U266" s="30"/>
      <c r="V266" s="30"/>
    </row>
    <row r="267" spans="5:22">
      <c r="E267" s="30" t="str">
        <v>tengah</v>
      </c>
      <c r="F267" s="30"/>
      <c r="G267" s="30"/>
      <c r="J267" s="30" t="str">
        <v>kanan</v>
      </c>
      <c r="K267" s="30"/>
      <c r="L267" s="30"/>
      <c r="O267" s="30" t="str">
        <v>tengah</v>
      </c>
      <c r="P267" s="30"/>
      <c r="Q267" s="30"/>
      <c r="T267" s="30" t="str">
        <v>tengah</v>
      </c>
      <c r="U267" s="30"/>
      <c r="V267" s="30"/>
    </row>
    <row r="268" spans="5:22">
      <c r="E268" s="30" t="str">
        <v>tengah</v>
      </c>
      <c r="F268" s="30"/>
      <c r="G268" s="30"/>
      <c r="J268" s="30" t="str">
        <v>kanan</v>
      </c>
      <c r="K268" s="30"/>
      <c r="L268" s="30"/>
      <c r="O268" s="30" t="str">
        <v>kiri</v>
      </c>
      <c r="P268" s="30"/>
      <c r="Q268" s="30"/>
      <c r="T268" s="30" t="str">
        <v>kanan</v>
      </c>
      <c r="U268" s="30"/>
      <c r="V268" s="30"/>
    </row>
    <row r="269" spans="5:22">
      <c r="E269" s="30" t="str">
        <v>kanan</v>
      </c>
      <c r="F269" s="30"/>
      <c r="G269" s="30"/>
      <c r="J269" s="30" t="str">
        <v>tengah</v>
      </c>
      <c r="K269" s="30"/>
      <c r="L269" s="30"/>
      <c r="O269" s="30" t="str">
        <v>tengah</v>
      </c>
      <c r="P269" s="30"/>
      <c r="Q269" s="30"/>
      <c r="T269" s="30" t="str">
        <v>kanan</v>
      </c>
      <c r="U269" s="30"/>
      <c r="V269" s="30"/>
    </row>
    <row r="270" spans="5:22">
      <c r="E270" s="30" t="str">
        <v>kanan</v>
      </c>
      <c r="F270" s="30"/>
      <c r="G270" s="30"/>
      <c r="J270" s="30" t="str">
        <v>tengah</v>
      </c>
      <c r="K270" s="30"/>
      <c r="L270" s="30"/>
      <c r="O270" s="30" t="str">
        <v>kiri</v>
      </c>
      <c r="P270" s="30"/>
      <c r="Q270" s="30"/>
      <c r="T270" s="30" t="str">
        <v>kanan</v>
      </c>
      <c r="U270" s="30"/>
      <c r="V270" s="30"/>
    </row>
    <row r="271" spans="5:22">
      <c r="E271" s="30" t="str">
        <v>kiri</v>
      </c>
      <c r="F271" s="30"/>
      <c r="G271" s="30"/>
      <c r="J271" s="30" t="str">
        <v>tengah</v>
      </c>
      <c r="K271" s="30"/>
      <c r="L271" s="30"/>
      <c r="O271" s="30" t="str">
        <v>kanan</v>
      </c>
      <c r="P271" s="30"/>
      <c r="Q271" s="30"/>
      <c r="T271" s="30" t="str">
        <v>tengah</v>
      </c>
      <c r="U271" s="30"/>
      <c r="V271" s="30"/>
    </row>
    <row r="272" spans="5:22">
      <c r="E272" s="30" t="str">
        <v>tengah</v>
      </c>
      <c r="F272" s="30"/>
      <c r="G272" s="30"/>
      <c r="J272" s="30" t="str">
        <v>tengah</v>
      </c>
      <c r="K272" s="30"/>
      <c r="L272" s="30"/>
      <c r="O272" s="30" t="str">
        <v>kiri</v>
      </c>
      <c r="P272" s="30"/>
      <c r="Q272" s="30"/>
      <c r="T272" s="30" t="str">
        <v>kanan</v>
      </c>
      <c r="U272" s="30"/>
      <c r="V272" s="30"/>
    </row>
    <row r="273" spans="5:22">
      <c r="E273" s="30" t="str">
        <v>kiri</v>
      </c>
      <c r="F273" s="30"/>
      <c r="G273" s="30"/>
      <c r="J273" s="30" t="str">
        <v>kiri</v>
      </c>
      <c r="K273" s="30"/>
      <c r="L273" s="30"/>
      <c r="O273" s="30" t="str">
        <v>tengah</v>
      </c>
      <c r="P273" s="30"/>
      <c r="Q273" s="30"/>
      <c r="T273" s="30" t="str">
        <v>kanan</v>
      </c>
      <c r="U273" s="30"/>
      <c r="V273" s="30"/>
    </row>
    <row r="274" spans="5:22">
      <c r="E274" s="30" t="str">
        <v>kiri</v>
      </c>
      <c r="F274" s="30"/>
      <c r="G274" s="30"/>
      <c r="J274" s="30" t="str">
        <v>kanan</v>
      </c>
      <c r="K274" s="30"/>
      <c r="L274" s="30"/>
      <c r="O274" s="30" t="str">
        <v>kiri</v>
      </c>
      <c r="P274" s="30"/>
      <c r="Q274" s="30"/>
      <c r="T274" s="30" t="str">
        <v>tengah</v>
      </c>
      <c r="U274" s="30"/>
      <c r="V274" s="30"/>
    </row>
    <row r="275" spans="5:22">
      <c r="E275" s="30" t="str">
        <v>kiri</v>
      </c>
      <c r="F275" s="30"/>
      <c r="G275" s="30"/>
      <c r="J275" s="30" t="str">
        <v>tengah</v>
      </c>
      <c r="K275" s="30"/>
      <c r="L275" s="30"/>
      <c r="O275" s="30" t="str">
        <v>tengah</v>
      </c>
      <c r="P275" s="30"/>
      <c r="Q275" s="30"/>
      <c r="T275" s="30" t="str">
        <v>tengah</v>
      </c>
      <c r="U275" s="30"/>
      <c r="V275" s="30"/>
    </row>
    <row r="276" spans="5:22">
      <c r="E276" s="30" t="str">
        <v>kanan</v>
      </c>
      <c r="F276" s="30"/>
      <c r="G276" s="30"/>
      <c r="J276" s="30" t="str">
        <v>kiri</v>
      </c>
      <c r="K276" s="30"/>
      <c r="L276" s="30"/>
      <c r="O276" s="30" t="str">
        <v>kiri</v>
      </c>
      <c r="P276" s="30"/>
      <c r="Q276" s="30"/>
      <c r="T276" s="30" t="str">
        <v>tengah</v>
      </c>
      <c r="U276" s="30"/>
      <c r="V276" s="30"/>
    </row>
    <row r="277" spans="5:22">
      <c r="E277" s="30" t="str">
        <v>tengah</v>
      </c>
      <c r="F277" s="30"/>
      <c r="G277" s="30"/>
      <c r="J277" s="30" t="str">
        <v>kanan</v>
      </c>
      <c r="K277" s="30"/>
      <c r="L277" s="30"/>
      <c r="O277" s="30" t="str">
        <v>kiri</v>
      </c>
      <c r="P277" s="30"/>
      <c r="Q277" s="30"/>
      <c r="T277" s="30" t="str">
        <v>kanan</v>
      </c>
      <c r="U277" s="30"/>
      <c r="V277" s="30"/>
    </row>
    <row r="278" spans="5:22">
      <c r="E278" s="30" t="str">
        <v>tengah</v>
      </c>
      <c r="F278" s="30"/>
      <c r="G278" s="30"/>
      <c r="J278" s="30" t="str">
        <v>kiri</v>
      </c>
      <c r="K278" s="30"/>
      <c r="L278" s="30"/>
      <c r="O278" s="30" t="str">
        <v>tengah</v>
      </c>
      <c r="P278" s="30"/>
      <c r="Q278" s="30"/>
      <c r="T278" s="30" t="str">
        <v>kanan</v>
      </c>
      <c r="U278" s="30"/>
      <c r="V278" s="30"/>
    </row>
    <row r="279" spans="5:22">
      <c r="E279" s="30" t="str">
        <v>tengah</v>
      </c>
      <c r="F279" s="30"/>
      <c r="G279" s="30"/>
      <c r="J279" s="30" t="str">
        <v>kanan</v>
      </c>
      <c r="K279" s="30"/>
      <c r="L279" s="30"/>
      <c r="O279" s="30" t="str">
        <v>tengah</v>
      </c>
      <c r="P279" s="30"/>
      <c r="Q279" s="30"/>
      <c r="T279" s="30" t="str">
        <v>tengah</v>
      </c>
      <c r="U279" s="30"/>
      <c r="V279" s="30"/>
    </row>
    <row r="280" spans="5:22">
      <c r="E280" s="30" t="str">
        <v>tengah</v>
      </c>
      <c r="F280" s="30"/>
      <c r="G280" s="30"/>
      <c r="J280" s="30" t="str">
        <v>kiri</v>
      </c>
      <c r="K280" s="30"/>
      <c r="L280" s="30"/>
      <c r="O280" s="30" t="str">
        <v>kanan</v>
      </c>
      <c r="P280" s="30"/>
      <c r="Q280" s="30"/>
      <c r="T280" s="30" t="str">
        <v>kanan</v>
      </c>
      <c r="U280" s="30"/>
      <c r="V280" s="30"/>
    </row>
    <row r="281" spans="5:22">
      <c r="E281" s="30" t="str">
        <v>tengah</v>
      </c>
      <c r="F281" s="30"/>
      <c r="G281" s="30"/>
      <c r="J281" s="30" t="str">
        <v>tengah</v>
      </c>
      <c r="K281" s="30"/>
      <c r="L281" s="30"/>
      <c r="O281" s="30" t="str">
        <v>kiri</v>
      </c>
      <c r="P281" s="30"/>
      <c r="Q281" s="30"/>
      <c r="T281" s="30" t="str">
        <v>tengah</v>
      </c>
      <c r="U281" s="30"/>
      <c r="V281" s="30"/>
    </row>
    <row r="282" spans="5:22">
      <c r="E282" s="30" t="str">
        <v>tengah</v>
      </c>
      <c r="F282" s="30"/>
      <c r="G282" s="30"/>
      <c r="J282" s="30" t="str">
        <v>tengah</v>
      </c>
      <c r="K282" s="30"/>
      <c r="L282" s="30"/>
      <c r="O282" s="30" t="str">
        <v>tengah</v>
      </c>
      <c r="P282" s="30"/>
      <c r="Q282" s="30"/>
      <c r="T282" s="30" t="str">
        <v>kanan</v>
      </c>
      <c r="U282" s="30"/>
      <c r="V282" s="30"/>
    </row>
    <row r="283" spans="5:22">
      <c r="E283" s="30" t="str">
        <v>tengah</v>
      </c>
      <c r="F283" s="30"/>
      <c r="G283" s="30"/>
      <c r="J283" s="30" t="str">
        <v>kanan</v>
      </c>
      <c r="K283" s="30"/>
      <c r="L283" s="30"/>
      <c r="O283" s="30" t="str">
        <v>tengah</v>
      </c>
      <c r="P283" s="30"/>
      <c r="Q283" s="30"/>
      <c r="T283" s="30" t="str">
        <v>tengah</v>
      </c>
      <c r="U283" s="30"/>
      <c r="V283" s="30"/>
    </row>
    <row r="284" spans="5:22">
      <c r="E284" s="30" t="str">
        <v>tengah</v>
      </c>
      <c r="F284" s="30"/>
      <c r="G284" s="30"/>
      <c r="J284" s="30" t="str">
        <v>tengah</v>
      </c>
      <c r="K284" s="30"/>
      <c r="L284" s="30"/>
      <c r="O284" s="30" t="str">
        <v>tengah</v>
      </c>
      <c r="P284" s="30"/>
      <c r="Q284" s="30"/>
      <c r="T284" s="30" t="str">
        <v>tengah</v>
      </c>
      <c r="U284" s="30"/>
      <c r="V284" s="30"/>
    </row>
    <row r="285" spans="5:22">
      <c r="E285" s="30" t="str">
        <v>tengah</v>
      </c>
      <c r="F285" s="30"/>
      <c r="G285" s="30"/>
      <c r="J285" s="30" t="str">
        <v>kanan</v>
      </c>
      <c r="K285" s="30"/>
      <c r="L285" s="30"/>
      <c r="O285" s="30" t="str">
        <v>tengah</v>
      </c>
      <c r="P285" s="30"/>
      <c r="Q285" s="30"/>
      <c r="T285" s="30" t="str">
        <v>tengah</v>
      </c>
      <c r="U285" s="30"/>
      <c r="V285" s="30"/>
    </row>
    <row r="286" spans="5:22">
      <c r="E286" s="30" t="str">
        <v>tengah</v>
      </c>
      <c r="F286" s="30"/>
      <c r="G286" s="30"/>
      <c r="J286" s="30" t="str">
        <v>tengah</v>
      </c>
      <c r="K286" s="30"/>
      <c r="L286" s="30"/>
      <c r="O286" s="30" t="str">
        <v>kiri</v>
      </c>
      <c r="P286" s="30"/>
      <c r="Q286" s="30"/>
      <c r="T286" s="30" t="str">
        <v>kanan</v>
      </c>
      <c r="U286" s="30"/>
      <c r="V286" s="30"/>
    </row>
    <row r="287" spans="5:22">
      <c r="E287" s="30" t="str">
        <v>tengah</v>
      </c>
      <c r="F287" s="30"/>
      <c r="G287" s="30"/>
      <c r="J287" s="30" t="str">
        <v>kanan</v>
      </c>
      <c r="K287" s="30"/>
      <c r="L287" s="30"/>
      <c r="O287" s="30" t="str">
        <v>tengah</v>
      </c>
      <c r="P287" s="30"/>
      <c r="Q287" s="30"/>
      <c r="T287" s="30" t="str">
        <v>kanan</v>
      </c>
      <c r="U287" s="30"/>
      <c r="V287" s="30"/>
    </row>
    <row r="288" spans="5:22">
      <c r="E288" s="30" t="str">
        <v>kiri</v>
      </c>
      <c r="F288" s="30"/>
      <c r="G288" s="30"/>
      <c r="J288" s="30" t="str">
        <v>tengah</v>
      </c>
      <c r="K288" s="30"/>
      <c r="L288" s="30"/>
      <c r="O288" s="30" t="str">
        <v>tengah</v>
      </c>
      <c r="P288" s="30"/>
      <c r="Q288" s="30"/>
      <c r="T288" s="30" t="str">
        <v>kanan</v>
      </c>
      <c r="U288" s="30"/>
      <c r="V288" s="30"/>
    </row>
    <row r="289" spans="5:22">
      <c r="E289" s="30" t="str">
        <v>kanan</v>
      </c>
      <c r="F289" s="30"/>
      <c r="G289" s="30"/>
      <c r="J289" s="30" t="str">
        <v>tengah</v>
      </c>
      <c r="K289" s="30"/>
      <c r="L289" s="30"/>
      <c r="O289" s="30" t="str">
        <v>tengah</v>
      </c>
      <c r="P289" s="30"/>
      <c r="Q289" s="30"/>
      <c r="T289" s="30" t="str">
        <v>tengah</v>
      </c>
      <c r="U289" s="30"/>
      <c r="V289" s="30"/>
    </row>
    <row r="290" spans="5:22">
      <c r="E290" s="30" t="str">
        <v>kanan</v>
      </c>
      <c r="F290" s="30"/>
      <c r="G290" s="30"/>
      <c r="J290" s="30" t="str">
        <v>kanan</v>
      </c>
      <c r="K290" s="30"/>
      <c r="L290" s="30"/>
      <c r="O290" s="30" t="str">
        <v>tengah</v>
      </c>
      <c r="P290" s="30"/>
      <c r="Q290" s="30"/>
      <c r="T290" s="30" t="str">
        <v>kanan</v>
      </c>
      <c r="U290" s="30"/>
      <c r="V290" s="30"/>
    </row>
    <row r="291" spans="5:22">
      <c r="E291" s="30" t="str">
        <v>tengah</v>
      </c>
      <c r="F291" s="30"/>
      <c r="G291" s="30"/>
      <c r="J291" s="30" t="str">
        <v>tengah</v>
      </c>
      <c r="K291" s="30"/>
      <c r="L291" s="30"/>
      <c r="O291" s="30" t="str">
        <v>kanan</v>
      </c>
      <c r="P291" s="30"/>
      <c r="Q291" s="30"/>
      <c r="T291" s="30" t="str">
        <v>kanan</v>
      </c>
      <c r="U291" s="30"/>
      <c r="V291" s="30"/>
    </row>
    <row r="292" spans="5:22">
      <c r="E292" s="30" t="str">
        <v>kanan</v>
      </c>
      <c r="F292" s="30"/>
      <c r="G292" s="30"/>
      <c r="J292" s="30" t="str">
        <v>kiri</v>
      </c>
      <c r="K292" s="30"/>
      <c r="L292" s="30"/>
      <c r="O292" s="30" t="str">
        <v>kiri</v>
      </c>
      <c r="P292" s="30"/>
      <c r="Q292" s="30"/>
      <c r="T292" s="30" t="str">
        <v>tengah</v>
      </c>
      <c r="U292" s="30"/>
      <c r="V292" s="30"/>
    </row>
    <row r="293" spans="5:22">
      <c r="E293" s="30" t="str">
        <v>tengah</v>
      </c>
      <c r="F293" s="30"/>
      <c r="G293" s="30"/>
      <c r="J293" s="30" t="str">
        <v>tengah</v>
      </c>
      <c r="K293" s="30"/>
      <c r="L293" s="30"/>
      <c r="O293" s="30" t="str">
        <v>kiri</v>
      </c>
      <c r="P293" s="30"/>
      <c r="Q293" s="30"/>
      <c r="T293" s="30" t="str">
        <v>tengah</v>
      </c>
      <c r="U293" s="30"/>
      <c r="V293" s="30"/>
    </row>
    <row r="294" spans="5:22">
      <c r="E294" s="30" t="str">
        <v>tengah</v>
      </c>
      <c r="F294" s="30"/>
      <c r="G294" s="30"/>
      <c r="J294" s="30" t="str">
        <v>tengah</v>
      </c>
      <c r="K294" s="30"/>
      <c r="L294" s="30"/>
      <c r="O294" s="30" t="str">
        <v>tengah</v>
      </c>
      <c r="P294" s="30"/>
      <c r="Q294" s="30"/>
      <c r="T294" s="30" t="str">
        <v>tengah</v>
      </c>
      <c r="U294" s="30"/>
      <c r="V294" s="30"/>
    </row>
    <row r="295" spans="5:22">
      <c r="E295" s="30" t="str">
        <v>tengah</v>
      </c>
      <c r="F295" s="30"/>
      <c r="G295" s="30"/>
      <c r="J295" s="30" t="str">
        <v>kanan</v>
      </c>
      <c r="K295" s="30"/>
      <c r="L295" s="30"/>
      <c r="O295" s="30" t="str">
        <v>kiri</v>
      </c>
      <c r="P295" s="30"/>
      <c r="Q295" s="30"/>
      <c r="T295" s="30" t="str">
        <v>tengah</v>
      </c>
      <c r="U295" s="30"/>
      <c r="V295" s="30"/>
    </row>
    <row r="296" spans="5:22">
      <c r="E296" s="30" t="str">
        <v>kanan</v>
      </c>
      <c r="F296" s="30"/>
      <c r="G296" s="30"/>
      <c r="J296" s="30" t="str">
        <v>tengah</v>
      </c>
      <c r="K296" s="30"/>
      <c r="L296" s="30"/>
      <c r="O296" s="30" t="str">
        <v>kiri</v>
      </c>
      <c r="P296" s="30"/>
      <c r="Q296" s="30"/>
      <c r="T296" s="30" t="str">
        <v>tengah</v>
      </c>
      <c r="U296" s="30"/>
      <c r="V296" s="30"/>
    </row>
    <row r="297" spans="5:22">
      <c r="E297" s="30" t="str">
        <v>kiri</v>
      </c>
      <c r="F297" s="30"/>
      <c r="G297" s="30"/>
      <c r="J297" s="30" t="str">
        <v>kiri</v>
      </c>
      <c r="K297" s="30"/>
      <c r="L297" s="30"/>
      <c r="O297" s="30" t="str">
        <v>kanan</v>
      </c>
      <c r="P297" s="30"/>
      <c r="Q297" s="30"/>
      <c r="T297" s="30" t="str">
        <v>tengah</v>
      </c>
      <c r="U297" s="30"/>
      <c r="V297" s="30"/>
    </row>
    <row r="298" spans="5:22">
      <c r="E298" s="30" t="str">
        <v>kanan</v>
      </c>
      <c r="F298" s="30"/>
      <c r="G298" s="30"/>
      <c r="J298" s="30" t="str">
        <v>kanan</v>
      </c>
      <c r="K298" s="30"/>
      <c r="L298" s="30"/>
      <c r="O298" s="30" t="str">
        <v>tengah</v>
      </c>
      <c r="P298" s="30"/>
      <c r="Q298" s="30"/>
      <c r="T298" s="30" t="str">
        <v>kanan</v>
      </c>
      <c r="U298" s="30"/>
      <c r="V298" s="30"/>
    </row>
    <row r="299" spans="5:22">
      <c r="E299" s="30" t="str">
        <v>tengah</v>
      </c>
      <c r="F299" s="30"/>
      <c r="G299" s="30"/>
      <c r="J299" s="30" t="str">
        <v>tengah</v>
      </c>
      <c r="K299" s="30"/>
      <c r="L299" s="30"/>
      <c r="O299" s="30" t="str">
        <v>tengah</v>
      </c>
      <c r="P299" s="30"/>
      <c r="Q299" s="30"/>
      <c r="T299" s="30" t="str">
        <v>tengah</v>
      </c>
      <c r="U299" s="30"/>
      <c r="V299" s="30"/>
    </row>
    <row r="300" spans="5:22">
      <c r="E300" s="30" t="str">
        <v>kanan</v>
      </c>
      <c r="F300" s="30"/>
      <c r="G300" s="30"/>
      <c r="J300" s="30" t="str">
        <v>tengah</v>
      </c>
      <c r="K300" s="30"/>
      <c r="L300" s="30"/>
      <c r="O300" s="30" t="str">
        <v>tengah</v>
      </c>
      <c r="P300" s="30"/>
      <c r="Q300" s="30"/>
      <c r="T300" s="30" t="str">
        <v>kanan</v>
      </c>
      <c r="U300" s="30"/>
      <c r="V300" s="30"/>
    </row>
    <row r="301" spans="5:22">
      <c r="E301" s="30" t="str">
        <v>kiri</v>
      </c>
      <c r="F301" s="30"/>
      <c r="G301" s="30"/>
      <c r="J301" s="30" t="str">
        <v>kiri</v>
      </c>
      <c r="K301" s="30"/>
      <c r="L301" s="30"/>
      <c r="O301" s="30" t="str">
        <v>kanan</v>
      </c>
      <c r="P301" s="30"/>
      <c r="Q301" s="30"/>
      <c r="T301" s="30" t="str">
        <v>tengah</v>
      </c>
      <c r="U301" s="30"/>
      <c r="V301" s="30"/>
    </row>
    <row r="302" spans="5:22">
      <c r="E302" s="30" t="str">
        <v>kiri</v>
      </c>
      <c r="F302" s="30"/>
      <c r="G302" s="30"/>
      <c r="J302" s="30" t="str">
        <v>tengah</v>
      </c>
      <c r="K302" s="30"/>
      <c r="L302" s="30"/>
      <c r="O302" s="30" t="str">
        <v>tengah</v>
      </c>
      <c r="P302" s="30"/>
      <c r="Q302" s="30"/>
      <c r="T302" s="30" t="str">
        <v>tengah</v>
      </c>
      <c r="U302" s="30"/>
      <c r="V302" s="30"/>
    </row>
    <row r="303" spans="5:22">
      <c r="E303" s="30" t="str">
        <v>kanan</v>
      </c>
      <c r="F303" s="30"/>
      <c r="G303" s="30"/>
      <c r="J303" s="30" t="str">
        <v>kanan</v>
      </c>
      <c r="K303" s="30"/>
      <c r="L303" s="30"/>
      <c r="O303" s="30" t="str">
        <v>kanan</v>
      </c>
      <c r="P303" s="30"/>
      <c r="Q303" s="30"/>
      <c r="T303" s="30" t="str">
        <v>kanan</v>
      </c>
      <c r="U303" s="30"/>
      <c r="V303" s="30"/>
    </row>
    <row r="304" spans="5:22">
      <c r="E304" s="30" t="str">
        <v>kiri</v>
      </c>
      <c r="F304" s="30"/>
      <c r="G304" s="30"/>
      <c r="J304" s="30" t="str">
        <v>kiri</v>
      </c>
      <c r="K304" s="30"/>
      <c r="L304" s="30"/>
      <c r="O304" s="30" t="str">
        <v>tengah</v>
      </c>
      <c r="P304" s="30"/>
      <c r="Q304" s="30"/>
      <c r="T304" s="30" t="str">
        <v>tengah</v>
      </c>
      <c r="U304" s="30"/>
      <c r="V304" s="30"/>
    </row>
    <row r="305" spans="5:22">
      <c r="E305" s="30" t="str">
        <v>kiri</v>
      </c>
      <c r="F305" s="30"/>
      <c r="G305" s="30"/>
      <c r="J305" s="30" t="str">
        <v>tengah</v>
      </c>
      <c r="K305" s="30"/>
      <c r="L305" s="30"/>
      <c r="O305" s="30" t="str">
        <v>tengah</v>
      </c>
      <c r="P305" s="30"/>
      <c r="Q305" s="30"/>
      <c r="T305" s="30" t="str">
        <v>kanan</v>
      </c>
      <c r="U305" s="30"/>
      <c r="V305" s="30"/>
    </row>
    <row r="306" spans="5:22">
      <c r="E306" s="30" t="str">
        <v>tengah</v>
      </c>
      <c r="F306" s="30"/>
      <c r="G306" s="30"/>
      <c r="J306" s="30" t="str">
        <v>kanan</v>
      </c>
      <c r="K306" s="30"/>
      <c r="L306" s="30"/>
      <c r="O306" s="30" t="str">
        <v>tengah</v>
      </c>
      <c r="P306" s="30"/>
      <c r="Q306" s="30"/>
      <c r="T306" s="30" t="str">
        <v>kanan</v>
      </c>
      <c r="U306" s="30"/>
      <c r="V306" s="30"/>
    </row>
    <row r="307" spans="5:22">
      <c r="E307" s="30" t="str">
        <v>tengah</v>
      </c>
      <c r="F307" s="30"/>
      <c r="G307" s="30"/>
      <c r="J307" s="30" t="str">
        <v>tengah</v>
      </c>
      <c r="K307" s="30"/>
      <c r="L307" s="30"/>
      <c r="O307" s="30" t="str">
        <v>tengah</v>
      </c>
      <c r="P307" s="30"/>
      <c r="Q307" s="30"/>
      <c r="T307" s="30" t="str">
        <v>kanan</v>
      </c>
      <c r="U307" s="30"/>
      <c r="V307" s="30"/>
    </row>
    <row r="308" spans="5:22">
      <c r="E308" s="30" t="str">
        <v>tengah</v>
      </c>
      <c r="F308" s="30"/>
      <c r="G308" s="30"/>
      <c r="J308" s="30" t="str">
        <v>kanan</v>
      </c>
      <c r="K308" s="30"/>
      <c r="L308" s="30"/>
      <c r="O308" s="30" t="str">
        <v>tengah</v>
      </c>
      <c r="P308" s="30"/>
      <c r="Q308" s="30"/>
      <c r="T308" s="30" t="str">
        <v>kanan</v>
      </c>
      <c r="U308" s="30"/>
      <c r="V308" s="30"/>
    </row>
    <row r="309" spans="5:22">
      <c r="E309" s="30" t="str">
        <v>tengah</v>
      </c>
      <c r="F309" s="30"/>
      <c r="G309" s="30"/>
      <c r="J309" s="30" t="str">
        <v>kanan</v>
      </c>
      <c r="K309" s="30"/>
      <c r="L309" s="30"/>
      <c r="O309" s="30" t="str">
        <v>kiri</v>
      </c>
      <c r="P309" s="30"/>
      <c r="Q309" s="30"/>
      <c r="T309" s="30" t="str">
        <v>tengah</v>
      </c>
      <c r="U309" s="30"/>
      <c r="V309" s="30"/>
    </row>
    <row r="310" spans="5:22">
      <c r="E310" s="30" t="str">
        <v>kiri</v>
      </c>
      <c r="F310" s="30"/>
      <c r="G310" s="30"/>
      <c r="J310" s="30" t="str">
        <v>tengah</v>
      </c>
      <c r="K310" s="30"/>
      <c r="L310" s="30"/>
      <c r="O310" s="30" t="str">
        <v>kiri</v>
      </c>
      <c r="P310" s="30"/>
      <c r="Q310" s="30"/>
      <c r="T310" s="30" t="str">
        <v>tengah</v>
      </c>
      <c r="U310" s="30"/>
      <c r="V310" s="30"/>
    </row>
    <row r="311" spans="5:22">
      <c r="E311" s="30" t="str">
        <v>tengah</v>
      </c>
      <c r="F311" s="30"/>
      <c r="G311" s="30"/>
      <c r="J311" s="30" t="str">
        <v>tengah</v>
      </c>
      <c r="K311" s="30"/>
      <c r="L311" s="30"/>
      <c r="O311" s="30" t="str">
        <v>tengah</v>
      </c>
      <c r="P311" s="30"/>
      <c r="Q311" s="30"/>
      <c r="T311" s="30" t="str">
        <v>tengah</v>
      </c>
      <c r="U311" s="30"/>
      <c r="V311" s="30"/>
    </row>
    <row r="312" spans="5:22">
      <c r="E312" s="30" t="str">
        <v>tengah</v>
      </c>
      <c r="F312" s="30"/>
      <c r="G312" s="30"/>
      <c r="J312" s="30" t="str">
        <v>kiri</v>
      </c>
      <c r="K312" s="30"/>
      <c r="L312" s="30"/>
      <c r="O312" s="30" t="str">
        <v>tengah</v>
      </c>
      <c r="P312" s="30"/>
      <c r="Q312" s="30"/>
      <c r="T312" s="30" t="str">
        <v>kanan</v>
      </c>
      <c r="U312" s="30"/>
      <c r="V312" s="30"/>
    </row>
    <row r="313" spans="5:22">
      <c r="E313" s="30" t="str">
        <v>kanan</v>
      </c>
      <c r="F313" s="30"/>
      <c r="G313" s="30"/>
      <c r="J313" s="30" t="str">
        <v>tengah</v>
      </c>
      <c r="K313" s="30"/>
      <c r="L313" s="30"/>
      <c r="O313" s="30" t="str">
        <v>tengah</v>
      </c>
      <c r="P313" s="30"/>
      <c r="Q313" s="30"/>
      <c r="T313" s="30" t="str">
        <v>tengah</v>
      </c>
      <c r="U313" s="30"/>
      <c r="V313" s="30"/>
    </row>
    <row r="314" spans="5:22">
      <c r="E314" s="30" t="str">
        <v>kanan</v>
      </c>
      <c r="F314" s="30"/>
      <c r="G314" s="30"/>
      <c r="J314" s="30" t="str">
        <v>tengah</v>
      </c>
      <c r="K314" s="30"/>
      <c r="L314" s="30"/>
      <c r="O314" s="30" t="str">
        <v>tengah</v>
      </c>
      <c r="P314" s="30"/>
      <c r="Q314" s="30"/>
      <c r="T314" s="30" t="str">
        <v>tengah</v>
      </c>
      <c r="U314" s="30"/>
      <c r="V314" s="30"/>
    </row>
    <row r="315" spans="5:22">
      <c r="E315" s="30" t="str">
        <v>kiri</v>
      </c>
      <c r="F315" s="30"/>
      <c r="G315" s="30"/>
      <c r="J315" s="30" t="str">
        <v>tengah</v>
      </c>
      <c r="K315" s="30"/>
      <c r="L315" s="30"/>
      <c r="O315" s="30" t="str">
        <v>tengah</v>
      </c>
      <c r="P315" s="30"/>
      <c r="Q315" s="30"/>
      <c r="T315" s="30" t="str">
        <v>kanan</v>
      </c>
      <c r="U315" s="30"/>
      <c r="V315" s="30"/>
    </row>
    <row r="316" spans="5:22">
      <c r="E316" s="30" t="str">
        <v>kanan</v>
      </c>
      <c r="F316" s="30"/>
      <c r="G316" s="30"/>
      <c r="J316" s="30" t="str">
        <v>tengah</v>
      </c>
      <c r="K316" s="30"/>
      <c r="L316" s="30"/>
      <c r="O316" s="30" t="str">
        <v>tengah</v>
      </c>
      <c r="P316" s="30"/>
      <c r="Q316" s="30"/>
      <c r="T316" s="30" t="str">
        <v>tengah</v>
      </c>
      <c r="U316" s="30"/>
      <c r="V316" s="30"/>
    </row>
    <row r="317" spans="5:22">
      <c r="E317" s="30" t="str">
        <v>tengah</v>
      </c>
      <c r="F317" s="30"/>
      <c r="G317" s="30"/>
      <c r="J317" s="30" t="str">
        <v>tengah</v>
      </c>
      <c r="K317" s="30"/>
      <c r="L317" s="30"/>
      <c r="O317" s="30" t="str">
        <v>tengah</v>
      </c>
      <c r="P317" s="30"/>
      <c r="Q317" s="30"/>
      <c r="T317" s="30" t="str">
        <v>tengah</v>
      </c>
      <c r="U317" s="30"/>
      <c r="V317" s="30"/>
    </row>
    <row r="318" spans="5:22">
      <c r="E318" s="30" t="str">
        <v>tengah</v>
      </c>
      <c r="F318" s="30"/>
      <c r="G318" s="30"/>
      <c r="J318" s="30" t="str">
        <v>tengah</v>
      </c>
      <c r="K318" s="30"/>
      <c r="L318" s="30"/>
      <c r="O318" s="30" t="str">
        <v>kiri</v>
      </c>
      <c r="P318" s="30"/>
      <c r="Q318" s="30"/>
      <c r="T318" s="30" t="str">
        <v>tengah</v>
      </c>
      <c r="U318" s="30"/>
      <c r="V318" s="30"/>
    </row>
    <row r="319" spans="5:22">
      <c r="E319" s="30" t="str">
        <v>tengah</v>
      </c>
      <c r="F319" s="30"/>
      <c r="G319" s="30"/>
      <c r="J319" s="30" t="str">
        <v>tengah</v>
      </c>
      <c r="K319" s="30"/>
      <c r="L319" s="30"/>
      <c r="O319" s="30" t="str">
        <v>kiri</v>
      </c>
      <c r="P319" s="30"/>
      <c r="Q319" s="30"/>
      <c r="T319" s="30" t="str">
        <v>tengah</v>
      </c>
      <c r="U319" s="30"/>
      <c r="V319" s="30"/>
    </row>
    <row r="320" spans="5:22">
      <c r="E320" s="30" t="str">
        <v>kanan</v>
      </c>
      <c r="F320" s="30"/>
      <c r="G320" s="30"/>
      <c r="J320" s="30" t="str">
        <v>tengah</v>
      </c>
      <c r="K320" s="30"/>
      <c r="L320" s="30"/>
      <c r="O320" s="30" t="str">
        <v>tengah</v>
      </c>
      <c r="P320" s="30"/>
      <c r="Q320" s="30"/>
      <c r="T320" s="30" t="str">
        <v>tengah</v>
      </c>
      <c r="U320" s="30"/>
      <c r="V320" s="30"/>
    </row>
    <row r="321" spans="5:22">
      <c r="E321" s="30" t="str">
        <v>tengah</v>
      </c>
      <c r="F321" s="30"/>
      <c r="G321" s="30"/>
      <c r="J321" s="30" t="str">
        <v>tengah</v>
      </c>
      <c r="K321" s="30"/>
      <c r="L321" s="30"/>
      <c r="O321" s="30" t="str">
        <v>tengah</v>
      </c>
      <c r="P321" s="30"/>
      <c r="Q321" s="30"/>
      <c r="T321" s="30" t="str">
        <v>tengah</v>
      </c>
      <c r="U321" s="30"/>
      <c r="V321" s="30"/>
    </row>
    <row r="322" spans="5:22">
      <c r="E322" s="30" t="str">
        <v>tengah</v>
      </c>
      <c r="F322" s="30"/>
      <c r="G322" s="30"/>
      <c r="J322" s="30" t="str">
        <v>tengah</v>
      </c>
      <c r="K322" s="30"/>
      <c r="L322" s="30"/>
      <c r="O322" s="30" t="str">
        <v>kanan</v>
      </c>
      <c r="P322" s="30"/>
      <c r="Q322" s="30"/>
      <c r="T322" s="30" t="str">
        <v>tengah</v>
      </c>
      <c r="U322" s="30"/>
      <c r="V322" s="30"/>
    </row>
    <row r="323" spans="5:22">
      <c r="E323" s="30" t="str">
        <v>kiri</v>
      </c>
      <c r="F323" s="30"/>
      <c r="G323" s="30"/>
      <c r="J323" s="30" t="str">
        <v>tengah</v>
      </c>
      <c r="K323" s="30"/>
      <c r="L323" s="30"/>
      <c r="O323" s="30" t="str">
        <v>tengah</v>
      </c>
      <c r="P323" s="30"/>
      <c r="Q323" s="30"/>
      <c r="T323" s="30" t="str">
        <v>tengah</v>
      </c>
      <c r="U323" s="30"/>
      <c r="V323" s="30"/>
    </row>
    <row r="324" spans="5:22">
      <c r="E324" s="30" t="str">
        <v>tengah</v>
      </c>
      <c r="F324" s="30"/>
      <c r="G324" s="30"/>
      <c r="J324" s="30" t="str">
        <v>tengah</v>
      </c>
      <c r="K324" s="30"/>
      <c r="L324" s="30"/>
      <c r="O324" s="30" t="str">
        <v>tengah</v>
      </c>
      <c r="P324" s="30"/>
      <c r="Q324" s="30"/>
      <c r="T324" s="30" t="str">
        <v>kanan</v>
      </c>
      <c r="U324" s="30"/>
      <c r="V324" s="30"/>
    </row>
    <row r="325" spans="5:22">
      <c r="E325" s="30" t="str">
        <v>kiri</v>
      </c>
      <c r="F325" s="30"/>
      <c r="G325" s="30"/>
      <c r="J325" s="30" t="str">
        <v>kiri</v>
      </c>
      <c r="K325" s="30"/>
      <c r="L325" s="30"/>
      <c r="O325" s="30" t="str">
        <v>kanan</v>
      </c>
      <c r="P325" s="30"/>
      <c r="Q325" s="30"/>
      <c r="T325" s="30" t="str">
        <v>kanan</v>
      </c>
      <c r="U325" s="30"/>
      <c r="V325" s="30"/>
    </row>
    <row r="326" spans="5:22">
      <c r="E326" s="30" t="str">
        <v>kanan</v>
      </c>
      <c r="F326" s="30"/>
      <c r="G326" s="30"/>
      <c r="J326" s="30" t="str">
        <v>kanan</v>
      </c>
      <c r="K326" s="30"/>
      <c r="L326" s="30"/>
      <c r="O326" s="30" t="str">
        <v>kiri</v>
      </c>
      <c r="P326" s="30"/>
      <c r="Q326" s="30"/>
      <c r="T326" s="30" t="str">
        <v>kanan</v>
      </c>
      <c r="U326" s="30"/>
      <c r="V326" s="30"/>
    </row>
    <row r="327" spans="5:22">
      <c r="E327" s="30" t="str">
        <v>kanan</v>
      </c>
      <c r="F327" s="30"/>
      <c r="G327" s="30"/>
      <c r="J327" s="30" t="str">
        <v>kanan</v>
      </c>
      <c r="K327" s="30"/>
      <c r="L327" s="30"/>
      <c r="O327" s="30" t="str">
        <v>kanan</v>
      </c>
      <c r="P327" s="30"/>
      <c r="Q327" s="30"/>
      <c r="T327" s="30" t="str">
        <v>kanan</v>
      </c>
      <c r="U327" s="30"/>
      <c r="V327" s="30"/>
    </row>
    <row r="328" spans="5:22">
      <c r="E328" s="30" t="str">
        <v>tengah</v>
      </c>
      <c r="F328" s="30"/>
      <c r="G328" s="30"/>
      <c r="J328" s="30" t="str">
        <v>tengah</v>
      </c>
      <c r="K328" s="30"/>
      <c r="L328" s="30"/>
      <c r="O328" s="30" t="str">
        <v>tengah</v>
      </c>
      <c r="P328" s="30"/>
      <c r="Q328" s="30"/>
      <c r="T328" s="30" t="str">
        <v>tengah</v>
      </c>
      <c r="U328" s="30"/>
      <c r="V328" s="30"/>
    </row>
    <row r="329" spans="5:22">
      <c r="E329" s="30" t="str">
        <v>tengah</v>
      </c>
      <c r="F329" s="30"/>
      <c r="G329" s="30"/>
      <c r="J329" s="30" t="str">
        <v>kanan</v>
      </c>
      <c r="K329" s="30"/>
      <c r="L329" s="30"/>
      <c r="O329" s="30" t="str">
        <v>kiri</v>
      </c>
      <c r="P329" s="30"/>
      <c r="Q329" s="30"/>
      <c r="T329" s="30" t="str">
        <v>tengah</v>
      </c>
      <c r="U329" s="30"/>
      <c r="V329" s="30"/>
    </row>
    <row r="330" spans="5:22">
      <c r="E330" s="30" t="str">
        <v>kiri</v>
      </c>
      <c r="F330" s="30"/>
      <c r="G330" s="30"/>
      <c r="J330" s="30" t="str">
        <v>tengah</v>
      </c>
      <c r="K330" s="30"/>
      <c r="L330" s="30"/>
      <c r="O330" s="30" t="str">
        <v>kiri</v>
      </c>
      <c r="P330" s="30"/>
      <c r="Q330" s="30"/>
      <c r="T330" s="30" t="str">
        <v>tengah</v>
      </c>
      <c r="U330" s="30"/>
      <c r="V330" s="30"/>
    </row>
    <row r="331" spans="5:22">
      <c r="E331" s="30" t="str">
        <v>kiri</v>
      </c>
      <c r="F331" s="30"/>
      <c r="G331" s="30"/>
      <c r="J331" s="30" t="str">
        <v>kiri</v>
      </c>
      <c r="K331" s="30"/>
      <c r="L331" s="30"/>
      <c r="O331" s="30" t="str">
        <v>tengah</v>
      </c>
      <c r="P331" s="30"/>
      <c r="Q331" s="30"/>
      <c r="T331" s="30" t="str">
        <v>tengah</v>
      </c>
      <c r="U331" s="30"/>
      <c r="V331" s="30"/>
    </row>
    <row r="332" spans="5:22">
      <c r="E332" s="30" t="str">
        <v>tengah</v>
      </c>
      <c r="F332" s="30"/>
      <c r="G332" s="30"/>
      <c r="J332" s="30" t="str">
        <v>tengah</v>
      </c>
      <c r="K332" s="30"/>
      <c r="L332" s="30"/>
      <c r="O332" s="30" t="str">
        <v>kanan</v>
      </c>
      <c r="P332" s="30"/>
      <c r="Q332" s="30"/>
      <c r="T332" s="30" t="str">
        <v>kanan</v>
      </c>
      <c r="U332" s="30"/>
      <c r="V332" s="30"/>
    </row>
  </sheetData>
  <pageMargins left="0.7" right="0.7" top="0.75" bottom="0.75" header="0.3" footer="0.3"/>
  <headerFooter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32"/>
  <sheetViews>
    <sheetView zoomScale="98" zoomScaleNormal="98" topLeftCell="P154" workbookViewId="0">
      <selection activeCell="V164" sqref="V164"/>
    </sheetView>
  </sheetViews>
  <sheetFormatPr defaultColWidth="9" defaultRowHeight="15"/>
  <cols>
    <col min="2" max="2" width="15.8518518518519" customWidth="1"/>
    <col min="3" max="3" width="16.7111111111111" customWidth="1"/>
    <col min="4" max="4" width="13.8518518518519" customWidth="1"/>
    <col min="6" max="6" width="14.4222222222222" customWidth="1"/>
    <col min="8" max="8" width="14.2814814814815" customWidth="1"/>
    <col min="9" max="9" width="13.2814814814815" customWidth="1"/>
    <col min="10" max="10" width="13.8518518518519" customWidth="1"/>
    <col min="11" max="11" width="22" customWidth="1"/>
    <col min="13" max="13" width="14.4222222222222" customWidth="1"/>
    <col min="15" max="15" width="25.2814814814815" customWidth="1"/>
    <col min="16" max="16" width="12.8518518518519" customWidth="1"/>
    <col min="17" max="17" width="11.7111111111111" customWidth="1"/>
    <col min="20" max="20" width="14.4222222222222" customWidth="1"/>
  </cols>
  <sheetData>
    <row r="1" spans="1:17">
      <c r="A1" s="29" t="s">
        <v>175</v>
      </c>
      <c r="B1" s="29" t="s">
        <v>1</v>
      </c>
      <c r="C1" s="29" t="s">
        <v>2</v>
      </c>
      <c r="D1" s="29" t="s">
        <v>171</v>
      </c>
      <c r="E1" s="29" t="s">
        <v>4</v>
      </c>
      <c r="F1" s="29" t="s">
        <v>6</v>
      </c>
      <c r="H1" s="31" t="s">
        <v>175</v>
      </c>
      <c r="I1" s="31" t="s">
        <v>1</v>
      </c>
      <c r="J1" s="31" t="s">
        <v>2</v>
      </c>
      <c r="K1" s="31" t="s">
        <v>171</v>
      </c>
      <c r="L1" s="31" t="s">
        <v>4</v>
      </c>
      <c r="M1" s="31" t="s">
        <v>6</v>
      </c>
      <c r="O1" s="29" t="s">
        <v>176</v>
      </c>
      <c r="P1" s="32"/>
      <c r="Q1" s="32"/>
    </row>
    <row r="2" spans="1:17">
      <c r="A2" s="30">
        <f ca="1">RANDBETWEEN(2,164)</f>
        <v>104</v>
      </c>
      <c r="B2" s="30">
        <f ca="1" t="array" ref="B2">INDEX(Data_DBD!$B:$B,$A2)</f>
        <v>37</v>
      </c>
      <c r="C2" s="30">
        <f ca="1" t="array" ref="C2">INDEX(Data_DBD!$C:$C,$A2)</f>
        <v>4</v>
      </c>
      <c r="D2" s="30">
        <f ca="1" t="array" ref="D2">INDEX(Data_DBD!$D:$D,$A2)</f>
        <v>18</v>
      </c>
      <c r="E2" s="30">
        <f ca="1" t="array" ref="E2">INDEX(Data_DBD!$E:$E,$A2)</f>
        <v>1</v>
      </c>
      <c r="F2" s="30">
        <f ca="1" t="array" ref="F2">INDEX(Data_DBD!$F:$F,$A2)</f>
        <v>3</v>
      </c>
      <c r="H2" s="30">
        <v>53</v>
      </c>
      <c r="I2" s="30">
        <v>35</v>
      </c>
      <c r="J2" s="30">
        <v>4</v>
      </c>
      <c r="K2" s="30">
        <v>15</v>
      </c>
      <c r="L2" s="30">
        <v>1</v>
      </c>
      <c r="M2" s="30">
        <v>2</v>
      </c>
      <c r="O2" s="33">
        <v>1</v>
      </c>
      <c r="P2" s="32">
        <f>COUNTIF(M2:M164,"1")</f>
        <v>18</v>
      </c>
      <c r="Q2" s="32">
        <f>P2/163</f>
        <v>0.110429447852761</v>
      </c>
    </row>
    <row r="3" spans="1:17">
      <c r="A3" s="30">
        <f ca="1" t="shared" ref="A3:A66" si="0">RANDBETWEEN(2,164)</f>
        <v>53</v>
      </c>
      <c r="B3" s="30">
        <f ca="1" t="array" ref="B3">INDEX(Data_DBD!$B:$B,$A3)</f>
        <v>35</v>
      </c>
      <c r="C3" s="30">
        <f ca="1" t="array" ref="C3">INDEX(Data_DBD!$C:$C,$A3)</f>
        <v>4</v>
      </c>
      <c r="D3" s="30">
        <f ca="1" t="array" ref="D3">INDEX(Data_DBD!$D:$D,$A3)</f>
        <v>15</v>
      </c>
      <c r="E3" s="30">
        <f ca="1" t="array" ref="E3">INDEX(Data_DBD!$E:$E,$A3)</f>
        <v>1</v>
      </c>
      <c r="F3" s="30">
        <f ca="1" t="array" ref="F3">INDEX(Data_DBD!$F:$F,$A3)</f>
        <v>2</v>
      </c>
      <c r="H3" s="30">
        <v>78</v>
      </c>
      <c r="I3" s="30">
        <v>6</v>
      </c>
      <c r="J3" s="30">
        <v>3</v>
      </c>
      <c r="K3" s="30">
        <v>13</v>
      </c>
      <c r="L3" s="30">
        <v>0</v>
      </c>
      <c r="M3" s="30">
        <v>2</v>
      </c>
      <c r="O3" s="32">
        <v>2</v>
      </c>
      <c r="P3" s="32">
        <f>COUNTIF(M2:M164,"2")</f>
        <v>71</v>
      </c>
      <c r="Q3" s="32">
        <f>P3/163</f>
        <v>0.43558282208589</v>
      </c>
    </row>
    <row r="4" spans="1:17">
      <c r="A4" s="30">
        <f ca="1" t="shared" si="0"/>
        <v>50</v>
      </c>
      <c r="B4" s="30">
        <f ca="1" t="array" ref="B4">INDEX(Data_DBD!$B:$B,$A4)</f>
        <v>19</v>
      </c>
      <c r="C4" s="30">
        <f ca="1" t="array" ref="C4">INDEX(Data_DBD!$C:$C,$A4)</f>
        <v>5</v>
      </c>
      <c r="D4" s="30">
        <f ca="1" t="array" ref="D4">INDEX(Data_DBD!$D:$D,$A4)</f>
        <v>13</v>
      </c>
      <c r="E4" s="30">
        <f ca="1" t="array" ref="E4">INDEX(Data_DBD!$E:$E,$A4)</f>
        <v>0</v>
      </c>
      <c r="F4" s="30">
        <f ca="1" t="array" ref="F4">INDEX(Data_DBD!$F:$F,$A4)</f>
        <v>2</v>
      </c>
      <c r="H4" s="30">
        <v>103</v>
      </c>
      <c r="I4" s="30">
        <v>22</v>
      </c>
      <c r="J4" s="30">
        <v>5</v>
      </c>
      <c r="K4" s="30">
        <v>18</v>
      </c>
      <c r="L4" s="30">
        <v>0</v>
      </c>
      <c r="M4" s="30">
        <v>3</v>
      </c>
      <c r="O4" s="32">
        <v>3</v>
      </c>
      <c r="P4" s="32">
        <f>COUNTIF(M2:M164,"3")</f>
        <v>74</v>
      </c>
      <c r="Q4" s="32">
        <f>P4/163</f>
        <v>0.45398773006135</v>
      </c>
    </row>
    <row r="5" spans="1:16">
      <c r="A5" s="30">
        <f ca="1" t="shared" si="0"/>
        <v>15</v>
      </c>
      <c r="B5" s="30">
        <f ca="1" t="array" ref="B5">INDEX(Data_DBD!$B:$B,$A5)</f>
        <v>21</v>
      </c>
      <c r="C5" s="30">
        <f ca="1" t="array" ref="C5">INDEX(Data_DBD!$C:$C,$A5)</f>
        <v>2</v>
      </c>
      <c r="D5" s="30">
        <f ca="1" t="array" ref="D5">INDEX(Data_DBD!$D:$D,$A5)</f>
        <v>7</v>
      </c>
      <c r="E5" s="30">
        <f ca="1" t="array" ref="E5">INDEX(Data_DBD!$E:$E,$A5)</f>
        <v>0</v>
      </c>
      <c r="F5" s="30">
        <f ca="1" t="array" ref="F5">INDEX(Data_DBD!$F:$F,$A5)</f>
        <v>1</v>
      </c>
      <c r="H5" s="30">
        <v>84</v>
      </c>
      <c r="I5" s="30">
        <v>42</v>
      </c>
      <c r="J5" s="30">
        <v>4</v>
      </c>
      <c r="K5" s="30">
        <v>13</v>
      </c>
      <c r="L5" s="30">
        <v>1</v>
      </c>
      <c r="M5" s="30">
        <v>2</v>
      </c>
      <c r="O5" s="34" t="s">
        <v>181</v>
      </c>
      <c r="P5">
        <f>-(IFERROR(Q2*LOG(Q2,2),0)+IFERROR(Q3*LOG(Q3,2),0)+IFERROR(Q4*LOG(Q4,2),0))</f>
        <v>1.39050579492227</v>
      </c>
    </row>
    <row r="6" spans="1:13">
      <c r="A6" s="30">
        <f ca="1" t="shared" si="0"/>
        <v>33</v>
      </c>
      <c r="B6" s="30">
        <f ca="1" t="array" ref="B6">INDEX(Data_DBD!$B:$B,$A6)</f>
        <v>19</v>
      </c>
      <c r="C6" s="30">
        <f ca="1" t="array" ref="C6">INDEX(Data_DBD!$C:$C,$A6)</f>
        <v>4</v>
      </c>
      <c r="D6" s="30">
        <f ca="1" t="array" ref="D6">INDEX(Data_DBD!$D:$D,$A6)</f>
        <v>14</v>
      </c>
      <c r="E6" s="30">
        <f ca="1" t="array" ref="E6">INDEX(Data_DBD!$E:$E,$A6)</f>
        <v>1</v>
      </c>
      <c r="F6" s="30">
        <f ca="1" t="array" ref="F6">INDEX(Data_DBD!$F:$F,$A6)</f>
        <v>2</v>
      </c>
      <c r="H6" s="30">
        <v>156</v>
      </c>
      <c r="I6" s="30">
        <v>5</v>
      </c>
      <c r="J6" s="30">
        <v>2</v>
      </c>
      <c r="K6" s="30">
        <v>21</v>
      </c>
      <c r="L6" s="30">
        <v>0</v>
      </c>
      <c r="M6" s="30">
        <v>3</v>
      </c>
    </row>
    <row r="7" spans="1:13">
      <c r="A7" s="30">
        <f ca="1" t="shared" si="0"/>
        <v>160</v>
      </c>
      <c r="B7" s="30">
        <f ca="1" t="array" ref="B7">INDEX(Data_DBD!$B:$B,$A7)</f>
        <v>16</v>
      </c>
      <c r="C7" s="30">
        <f ca="1" t="array" ref="C7">INDEX(Data_DBD!$C:$C,$A7)</f>
        <v>3</v>
      </c>
      <c r="D7" s="30">
        <f ca="1" t="array" ref="D7">INDEX(Data_DBD!$D:$D,$A7)</f>
        <v>21</v>
      </c>
      <c r="E7" s="30">
        <f ca="1" t="array" ref="E7">INDEX(Data_DBD!$E:$E,$A7)</f>
        <v>0</v>
      </c>
      <c r="F7" s="30">
        <f ca="1" t="array" ref="F7">INDEX(Data_DBD!$F:$F,$A7)</f>
        <v>3</v>
      </c>
      <c r="H7" s="30">
        <v>155</v>
      </c>
      <c r="I7" s="30">
        <v>19</v>
      </c>
      <c r="J7" s="30">
        <v>5</v>
      </c>
      <c r="K7" s="30">
        <v>21</v>
      </c>
      <c r="L7" s="30">
        <v>1</v>
      </c>
      <c r="M7" s="30">
        <v>3</v>
      </c>
    </row>
    <row r="8" spans="1:13">
      <c r="A8" s="30">
        <f ca="1" t="shared" si="0"/>
        <v>33</v>
      </c>
      <c r="B8" s="30">
        <f ca="1" t="array" ref="B8">INDEX(Data_DBD!$B:$B,$A8)</f>
        <v>19</v>
      </c>
      <c r="C8" s="30">
        <f ca="1" t="array" ref="C8">INDEX(Data_DBD!$C:$C,$A8)</f>
        <v>4</v>
      </c>
      <c r="D8" s="30">
        <f ca="1" t="array" ref="D8">INDEX(Data_DBD!$D:$D,$A8)</f>
        <v>14</v>
      </c>
      <c r="E8" s="30">
        <f ca="1" t="array" ref="E8">INDEX(Data_DBD!$E:$E,$A8)</f>
        <v>1</v>
      </c>
      <c r="F8" s="30">
        <f ca="1" t="array" ref="F8">INDEX(Data_DBD!$F:$F,$A8)</f>
        <v>2</v>
      </c>
      <c r="H8" s="30">
        <v>76</v>
      </c>
      <c r="I8" s="30">
        <v>70</v>
      </c>
      <c r="J8" s="30">
        <v>2</v>
      </c>
      <c r="K8" s="30">
        <v>10</v>
      </c>
      <c r="L8" s="30">
        <v>0</v>
      </c>
      <c r="M8" s="30">
        <v>2</v>
      </c>
    </row>
    <row r="9" spans="1:13">
      <c r="A9" s="30">
        <f ca="1" t="shared" si="0"/>
        <v>151</v>
      </c>
      <c r="B9" s="30">
        <f ca="1" t="array" ref="B9">INDEX(Data_DBD!$B:$B,$A9)</f>
        <v>24</v>
      </c>
      <c r="C9" s="30">
        <f ca="1" t="array" ref="C9">INDEX(Data_DBD!$C:$C,$A9)</f>
        <v>3</v>
      </c>
      <c r="D9" s="30">
        <f ca="1" t="array" ref="D9">INDEX(Data_DBD!$D:$D,$A9)</f>
        <v>21</v>
      </c>
      <c r="E9" s="30">
        <f ca="1" t="array" ref="E9">INDEX(Data_DBD!$E:$E,$A9)</f>
        <v>0</v>
      </c>
      <c r="F9" s="30">
        <f ca="1" t="array" ref="F9">INDEX(Data_DBD!$F:$F,$A9)</f>
        <v>3</v>
      </c>
      <c r="H9" s="30">
        <v>116</v>
      </c>
      <c r="I9" s="30">
        <v>32</v>
      </c>
      <c r="J9" s="30">
        <v>4</v>
      </c>
      <c r="K9" s="30">
        <v>33</v>
      </c>
      <c r="L9" s="30">
        <v>1</v>
      </c>
      <c r="M9" s="30">
        <v>3</v>
      </c>
    </row>
    <row r="10" spans="1:13">
      <c r="A10" s="30">
        <f ca="1" t="shared" si="0"/>
        <v>100</v>
      </c>
      <c r="B10" s="30">
        <f ca="1" t="array" ref="B10">INDEX(Data_DBD!$B:$B,$A10)</f>
        <v>19</v>
      </c>
      <c r="C10" s="30">
        <f ca="1" t="array" ref="C10">INDEX(Data_DBD!$C:$C,$A10)</f>
        <v>6</v>
      </c>
      <c r="D10" s="30">
        <f ca="1" t="array" ref="D10">INDEX(Data_DBD!$D:$D,$A10)</f>
        <v>18</v>
      </c>
      <c r="E10" s="30">
        <f ca="1" t="array" ref="E10">INDEX(Data_DBD!$E:$E,$A10)</f>
        <v>0</v>
      </c>
      <c r="F10" s="30">
        <f ca="1" t="array" ref="F10">INDEX(Data_DBD!$F:$F,$A10)</f>
        <v>3</v>
      </c>
      <c r="H10" s="30">
        <v>17</v>
      </c>
      <c r="I10" s="30">
        <v>2</v>
      </c>
      <c r="J10" s="30">
        <v>3</v>
      </c>
      <c r="K10" s="30">
        <v>7</v>
      </c>
      <c r="L10" s="30">
        <v>0</v>
      </c>
      <c r="M10" s="30">
        <v>1</v>
      </c>
    </row>
    <row r="11" spans="1:13">
      <c r="A11" s="30">
        <f ca="1" t="shared" si="0"/>
        <v>134</v>
      </c>
      <c r="B11" s="30">
        <f ca="1" t="array" ref="B11">INDEX(Data_DBD!$B:$B,$A11)</f>
        <v>4</v>
      </c>
      <c r="C11" s="30">
        <f ca="1" t="array" ref="C11">INDEX(Data_DBD!$C:$C,$A11)</f>
        <v>2</v>
      </c>
      <c r="D11" s="30">
        <f ca="1" t="array" ref="D11">INDEX(Data_DBD!$D:$D,$A11)</f>
        <v>33</v>
      </c>
      <c r="E11" s="30">
        <f ca="1" t="array" ref="E11">INDEX(Data_DBD!$E:$E,$A11)</f>
        <v>1</v>
      </c>
      <c r="F11" s="30">
        <f ca="1" t="array" ref="F11">INDEX(Data_DBD!$F:$F,$A11)</f>
        <v>3</v>
      </c>
      <c r="H11" s="30">
        <v>156</v>
      </c>
      <c r="I11" s="30">
        <v>5</v>
      </c>
      <c r="J11" s="30">
        <v>2</v>
      </c>
      <c r="K11" s="30">
        <v>21</v>
      </c>
      <c r="L11" s="30">
        <v>0</v>
      </c>
      <c r="M11" s="30">
        <v>3</v>
      </c>
    </row>
    <row r="12" spans="1:13">
      <c r="A12" s="30">
        <f ca="1" t="shared" si="0"/>
        <v>152</v>
      </c>
      <c r="B12" s="30">
        <f ca="1" t="array" ref="B12">INDEX(Data_DBD!$B:$B,$A12)</f>
        <v>47</v>
      </c>
      <c r="C12" s="30">
        <f ca="1" t="array" ref="C12">INDEX(Data_DBD!$C:$C,$A12)</f>
        <v>3</v>
      </c>
      <c r="D12" s="30">
        <f ca="1" t="array" ref="D12">INDEX(Data_DBD!$D:$D,$A12)</f>
        <v>21</v>
      </c>
      <c r="E12" s="30">
        <f ca="1" t="array" ref="E12">INDEX(Data_DBD!$E:$E,$A12)</f>
        <v>1</v>
      </c>
      <c r="F12" s="30">
        <f ca="1" t="array" ref="F12">INDEX(Data_DBD!$F:$F,$A12)</f>
        <v>3</v>
      </c>
      <c r="H12" s="30">
        <v>47</v>
      </c>
      <c r="I12" s="30">
        <v>19</v>
      </c>
      <c r="J12" s="30">
        <v>2</v>
      </c>
      <c r="K12" s="30">
        <v>13</v>
      </c>
      <c r="L12" s="30">
        <v>0</v>
      </c>
      <c r="M12" s="30">
        <v>2</v>
      </c>
    </row>
    <row r="13" spans="1:13">
      <c r="A13" s="30">
        <f ca="1" t="shared" si="0"/>
        <v>85</v>
      </c>
      <c r="B13" s="30">
        <f ca="1" t="array" ref="B13">INDEX(Data_DBD!$B:$B,$A13)</f>
        <v>27</v>
      </c>
      <c r="C13" s="30">
        <f ca="1" t="array" ref="C13">INDEX(Data_DBD!$C:$C,$A13)</f>
        <v>9</v>
      </c>
      <c r="D13" s="30">
        <f ca="1" t="array" ref="D13">INDEX(Data_DBD!$D:$D,$A13)</f>
        <v>13</v>
      </c>
      <c r="E13" s="30">
        <f ca="1" t="array" ref="E13">INDEX(Data_DBD!$E:$E,$A13)</f>
        <v>0</v>
      </c>
      <c r="F13" s="30">
        <f ca="1" t="array" ref="F13">INDEX(Data_DBD!$F:$F,$A13)</f>
        <v>2</v>
      </c>
      <c r="H13" s="30">
        <v>156</v>
      </c>
      <c r="I13" s="30">
        <v>5</v>
      </c>
      <c r="J13" s="30">
        <v>2</v>
      </c>
      <c r="K13" s="30">
        <v>21</v>
      </c>
      <c r="L13" s="30">
        <v>0</v>
      </c>
      <c r="M13" s="30">
        <v>3</v>
      </c>
    </row>
    <row r="14" spans="1:13">
      <c r="A14" s="30">
        <f ca="1" t="shared" si="0"/>
        <v>48</v>
      </c>
      <c r="B14" s="30">
        <f ca="1" t="array" ref="B14">INDEX(Data_DBD!$B:$B,$A14)</f>
        <v>50</v>
      </c>
      <c r="C14" s="30">
        <f ca="1" t="array" ref="C14">INDEX(Data_DBD!$C:$C,$A14)</f>
        <v>5</v>
      </c>
      <c r="D14" s="30">
        <f ca="1" t="array" ref="D14">INDEX(Data_DBD!$D:$D,$A14)</f>
        <v>13</v>
      </c>
      <c r="E14" s="30">
        <f ca="1" t="array" ref="E14">INDEX(Data_DBD!$E:$E,$A14)</f>
        <v>1</v>
      </c>
      <c r="F14" s="30">
        <f ca="1" t="array" ref="F14">INDEX(Data_DBD!$F:$F,$A14)</f>
        <v>2</v>
      </c>
      <c r="H14" s="30">
        <v>158</v>
      </c>
      <c r="I14" s="30">
        <v>5</v>
      </c>
      <c r="J14" s="30">
        <v>2</v>
      </c>
      <c r="K14" s="30">
        <v>21</v>
      </c>
      <c r="L14" s="30">
        <v>0</v>
      </c>
      <c r="M14" s="30">
        <v>3</v>
      </c>
    </row>
    <row r="15" spans="1:13">
      <c r="A15" s="30">
        <f ca="1" t="shared" si="0"/>
        <v>160</v>
      </c>
      <c r="B15" s="30">
        <f ca="1" t="array" ref="B15">INDEX(Data_DBD!$B:$B,$A15)</f>
        <v>16</v>
      </c>
      <c r="C15" s="30">
        <f ca="1" t="array" ref="C15">INDEX(Data_DBD!$C:$C,$A15)</f>
        <v>3</v>
      </c>
      <c r="D15" s="30">
        <f ca="1" t="array" ref="D15">INDEX(Data_DBD!$D:$D,$A15)</f>
        <v>21</v>
      </c>
      <c r="E15" s="30">
        <f ca="1" t="array" ref="E15">INDEX(Data_DBD!$E:$E,$A15)</f>
        <v>0</v>
      </c>
      <c r="F15" s="30">
        <f ca="1" t="array" ref="F15">INDEX(Data_DBD!$F:$F,$A15)</f>
        <v>3</v>
      </c>
      <c r="H15" s="30">
        <v>146</v>
      </c>
      <c r="I15" s="30">
        <v>34</v>
      </c>
      <c r="J15" s="30">
        <v>2</v>
      </c>
      <c r="K15" s="30">
        <v>21</v>
      </c>
      <c r="L15" s="30">
        <v>1</v>
      </c>
      <c r="M15" s="30">
        <v>3</v>
      </c>
    </row>
    <row r="16" spans="1:13">
      <c r="A16" s="30">
        <f ca="1" t="shared" si="0"/>
        <v>134</v>
      </c>
      <c r="B16" s="30">
        <f ca="1" t="array" ref="B16">INDEX(Data_DBD!$B:$B,$A16)</f>
        <v>4</v>
      </c>
      <c r="C16" s="30">
        <f ca="1" t="array" ref="C16">INDEX(Data_DBD!$C:$C,$A16)</f>
        <v>2</v>
      </c>
      <c r="D16" s="30">
        <f ca="1" t="array" ref="D16">INDEX(Data_DBD!$D:$D,$A16)</f>
        <v>33</v>
      </c>
      <c r="E16" s="30">
        <f ca="1" t="array" ref="E16">INDEX(Data_DBD!$E:$E,$A16)</f>
        <v>1</v>
      </c>
      <c r="F16" s="30">
        <f ca="1" t="array" ref="F16">INDEX(Data_DBD!$F:$F,$A16)</f>
        <v>3</v>
      </c>
      <c r="H16" s="30">
        <v>9</v>
      </c>
      <c r="I16" s="30">
        <v>16</v>
      </c>
      <c r="J16" s="30">
        <v>6</v>
      </c>
      <c r="K16" s="30">
        <v>12</v>
      </c>
      <c r="L16" s="30">
        <v>1</v>
      </c>
      <c r="M16" s="30">
        <v>2</v>
      </c>
    </row>
    <row r="17" spans="1:13">
      <c r="A17" s="30">
        <f ca="1" t="shared" si="0"/>
        <v>93</v>
      </c>
      <c r="B17" s="30">
        <f ca="1" t="array" ref="B17">INDEX(Data_DBD!$B:$B,$A17)</f>
        <v>65</v>
      </c>
      <c r="C17" s="30">
        <f ca="1" t="array" ref="C17">INDEX(Data_DBD!$C:$C,$A17)</f>
        <v>4</v>
      </c>
      <c r="D17" s="30">
        <f ca="1" t="array" ref="D17">INDEX(Data_DBD!$D:$D,$A17)</f>
        <v>18</v>
      </c>
      <c r="E17" s="30">
        <f ca="1" t="array" ref="E17">INDEX(Data_DBD!$E:$E,$A17)</f>
        <v>0</v>
      </c>
      <c r="F17" s="30">
        <f ca="1" t="array" ref="F17">INDEX(Data_DBD!$F:$F,$A17)</f>
        <v>3</v>
      </c>
      <c r="H17" s="30">
        <v>37</v>
      </c>
      <c r="I17" s="30">
        <v>28</v>
      </c>
      <c r="J17" s="30">
        <v>4</v>
      </c>
      <c r="K17" s="30">
        <v>4</v>
      </c>
      <c r="L17" s="30">
        <v>1</v>
      </c>
      <c r="M17" s="30">
        <v>1</v>
      </c>
    </row>
    <row r="18" spans="1:13">
      <c r="A18" s="30">
        <f ca="1" t="shared" si="0"/>
        <v>88</v>
      </c>
      <c r="B18" s="30">
        <f ca="1" t="array" ref="B18">INDEX(Data_DBD!$B:$B,$A18)</f>
        <v>20</v>
      </c>
      <c r="C18" s="30">
        <f ca="1" t="array" ref="C18">INDEX(Data_DBD!$C:$C,$A18)</f>
        <v>4</v>
      </c>
      <c r="D18" s="30">
        <f ca="1" t="array" ref="D18">INDEX(Data_DBD!$D:$D,$A18)</f>
        <v>13</v>
      </c>
      <c r="E18" s="30">
        <f ca="1" t="array" ref="E18">INDEX(Data_DBD!$E:$E,$A18)</f>
        <v>1</v>
      </c>
      <c r="F18" s="30">
        <f ca="1" t="array" ref="F18">INDEX(Data_DBD!$F:$F,$A18)</f>
        <v>2</v>
      </c>
      <c r="H18" s="30">
        <v>37</v>
      </c>
      <c r="I18" s="30">
        <v>28</v>
      </c>
      <c r="J18" s="30">
        <v>4</v>
      </c>
      <c r="K18" s="30">
        <v>4</v>
      </c>
      <c r="L18" s="30">
        <v>1</v>
      </c>
      <c r="M18" s="30">
        <v>1</v>
      </c>
    </row>
    <row r="19" spans="1:13">
      <c r="A19" s="30">
        <f ca="1" t="shared" si="0"/>
        <v>100</v>
      </c>
      <c r="B19" s="30">
        <f ca="1" t="array" ref="B19">INDEX(Data_DBD!$B:$B,$A19)</f>
        <v>19</v>
      </c>
      <c r="C19" s="30">
        <f ca="1" t="array" ref="C19">INDEX(Data_DBD!$C:$C,$A19)</f>
        <v>6</v>
      </c>
      <c r="D19" s="30">
        <f ca="1" t="array" ref="D19">INDEX(Data_DBD!$D:$D,$A19)</f>
        <v>18</v>
      </c>
      <c r="E19" s="30">
        <f ca="1" t="array" ref="E19">INDEX(Data_DBD!$E:$E,$A19)</f>
        <v>0</v>
      </c>
      <c r="F19" s="30">
        <f ca="1" t="array" ref="F19">INDEX(Data_DBD!$F:$F,$A19)</f>
        <v>3</v>
      </c>
      <c r="H19" s="30">
        <v>115</v>
      </c>
      <c r="I19" s="30">
        <v>52</v>
      </c>
      <c r="J19" s="30">
        <v>3</v>
      </c>
      <c r="K19" s="30">
        <v>33</v>
      </c>
      <c r="L19" s="30">
        <v>1</v>
      </c>
      <c r="M19" s="30">
        <v>3</v>
      </c>
    </row>
    <row r="20" spans="1:13">
      <c r="A20" s="30">
        <f ca="1" t="shared" si="0"/>
        <v>159</v>
      </c>
      <c r="B20" s="30">
        <f ca="1" t="array" ref="B20">INDEX(Data_DBD!$B:$B,$A20)</f>
        <v>17</v>
      </c>
      <c r="C20" s="30">
        <f ca="1" t="array" ref="C20">INDEX(Data_DBD!$C:$C,$A20)</f>
        <v>2</v>
      </c>
      <c r="D20" s="30">
        <f ca="1" t="array" ref="D20">INDEX(Data_DBD!$D:$D,$A20)</f>
        <v>21</v>
      </c>
      <c r="E20" s="30">
        <f ca="1" t="array" ref="E20">INDEX(Data_DBD!$E:$E,$A20)</f>
        <v>0</v>
      </c>
      <c r="F20" s="30">
        <f ca="1" t="array" ref="F20">INDEX(Data_DBD!$F:$F,$A20)</f>
        <v>3</v>
      </c>
      <c r="H20" s="30">
        <v>50</v>
      </c>
      <c r="I20" s="30">
        <v>19</v>
      </c>
      <c r="J20" s="30">
        <v>5</v>
      </c>
      <c r="K20" s="30">
        <v>13</v>
      </c>
      <c r="L20" s="30">
        <v>0</v>
      </c>
      <c r="M20" s="30">
        <v>2</v>
      </c>
    </row>
    <row r="21" spans="1:13">
      <c r="A21" s="30">
        <f ca="1" t="shared" si="0"/>
        <v>106</v>
      </c>
      <c r="B21" s="30">
        <f ca="1" t="array" ref="B21">INDEX(Data_DBD!$B:$B,$A21)</f>
        <v>23</v>
      </c>
      <c r="C21" s="30">
        <f ca="1" t="array" ref="C21">INDEX(Data_DBD!$C:$C,$A21)</f>
        <v>3</v>
      </c>
      <c r="D21" s="30">
        <f ca="1" t="array" ref="D21">INDEX(Data_DBD!$D:$D,$A21)</f>
        <v>18</v>
      </c>
      <c r="E21" s="30">
        <f ca="1" t="array" ref="E21">INDEX(Data_DBD!$E:$E,$A21)</f>
        <v>1</v>
      </c>
      <c r="F21" s="30">
        <f ca="1" t="array" ref="F21">INDEX(Data_DBD!$F:$F,$A21)</f>
        <v>3</v>
      </c>
      <c r="H21" s="30">
        <v>85</v>
      </c>
      <c r="I21" s="30">
        <v>27</v>
      </c>
      <c r="J21" s="30">
        <v>9</v>
      </c>
      <c r="K21" s="30">
        <v>13</v>
      </c>
      <c r="L21" s="30">
        <v>0</v>
      </c>
      <c r="M21" s="30">
        <v>2</v>
      </c>
    </row>
    <row r="22" spans="1:13">
      <c r="A22" s="30">
        <f ca="1" t="shared" si="0"/>
        <v>103</v>
      </c>
      <c r="B22" s="30">
        <f ca="1" t="array" ref="B22">INDEX(Data_DBD!$B:$B,$A22)</f>
        <v>22</v>
      </c>
      <c r="C22" s="30">
        <f ca="1" t="array" ref="C22">INDEX(Data_DBD!$C:$C,$A22)</f>
        <v>5</v>
      </c>
      <c r="D22" s="30">
        <f ca="1" t="array" ref="D22">INDEX(Data_DBD!$D:$D,$A22)</f>
        <v>18</v>
      </c>
      <c r="E22" s="30">
        <f ca="1" t="array" ref="E22">INDEX(Data_DBD!$E:$E,$A22)</f>
        <v>0</v>
      </c>
      <c r="F22" s="30">
        <f ca="1" t="array" ref="F22">INDEX(Data_DBD!$F:$F,$A22)</f>
        <v>3</v>
      </c>
      <c r="H22" s="30">
        <v>14</v>
      </c>
      <c r="I22" s="30">
        <v>49</v>
      </c>
      <c r="J22" s="30">
        <v>4</v>
      </c>
      <c r="K22" s="30">
        <v>7</v>
      </c>
      <c r="L22" s="30">
        <v>1</v>
      </c>
      <c r="M22" s="30">
        <v>1</v>
      </c>
    </row>
    <row r="23" spans="1:13">
      <c r="A23" s="30">
        <f ca="1" t="shared" si="0"/>
        <v>11</v>
      </c>
      <c r="B23" s="30">
        <f ca="1" t="array" ref="B23">INDEX(Data_DBD!$B:$B,$A23)</f>
        <v>24</v>
      </c>
      <c r="C23" s="30">
        <f ca="1" t="array" ref="C23">INDEX(Data_DBD!$C:$C,$A23)</f>
        <v>5</v>
      </c>
      <c r="D23" s="30">
        <f ca="1" t="array" ref="D23">INDEX(Data_DBD!$D:$D,$A23)</f>
        <v>12</v>
      </c>
      <c r="E23" s="30">
        <f ca="1" t="array" ref="E23">INDEX(Data_DBD!$E:$E,$A23)</f>
        <v>1</v>
      </c>
      <c r="F23" s="30">
        <f ca="1" t="array" ref="F23">INDEX(Data_DBD!$F:$F,$A23)</f>
        <v>2</v>
      </c>
      <c r="H23" s="30">
        <v>33</v>
      </c>
      <c r="I23" s="30">
        <v>19</v>
      </c>
      <c r="J23" s="30">
        <v>4</v>
      </c>
      <c r="K23" s="30">
        <v>14</v>
      </c>
      <c r="L23" s="30">
        <v>1</v>
      </c>
      <c r="M23" s="30">
        <v>2</v>
      </c>
    </row>
    <row r="24" spans="1:13">
      <c r="A24" s="30">
        <f ca="1" t="shared" si="0"/>
        <v>61</v>
      </c>
      <c r="B24" s="30">
        <f ca="1" t="array" ref="B24">INDEX(Data_DBD!$B:$B,$A24)</f>
        <v>29</v>
      </c>
      <c r="C24" s="30">
        <f ca="1" t="array" ref="C24">INDEX(Data_DBD!$C:$C,$A24)</f>
        <v>3</v>
      </c>
      <c r="D24" s="30">
        <f ca="1" t="array" ref="D24">INDEX(Data_DBD!$D:$D,$A24)</f>
        <v>15</v>
      </c>
      <c r="E24" s="30">
        <f ca="1" t="array" ref="E24">INDEX(Data_DBD!$E:$E,$A24)</f>
        <v>1</v>
      </c>
      <c r="F24" s="30">
        <f ca="1" t="array" ref="F24">INDEX(Data_DBD!$F:$F,$A24)</f>
        <v>2</v>
      </c>
      <c r="H24" s="30">
        <v>6</v>
      </c>
      <c r="I24" s="30">
        <v>14</v>
      </c>
      <c r="J24" s="30">
        <v>4</v>
      </c>
      <c r="K24" s="30">
        <v>12</v>
      </c>
      <c r="L24" s="30">
        <v>0</v>
      </c>
      <c r="M24" s="30">
        <v>2</v>
      </c>
    </row>
    <row r="25" spans="1:13">
      <c r="A25" s="30">
        <f ca="1" t="shared" si="0"/>
        <v>129</v>
      </c>
      <c r="B25" s="30">
        <f ca="1" t="array" ref="B25">INDEX(Data_DBD!$B:$B,$A25)</f>
        <v>4.5</v>
      </c>
      <c r="C25" s="30">
        <f ca="1" t="array" ref="C25">INDEX(Data_DBD!$C:$C,$A25)</f>
        <v>3</v>
      </c>
      <c r="D25" s="30">
        <f ca="1" t="array" ref="D25">INDEX(Data_DBD!$D:$D,$A25)</f>
        <v>33</v>
      </c>
      <c r="E25" s="30">
        <f ca="1" t="array" ref="E25">INDEX(Data_DBD!$E:$E,$A25)</f>
        <v>0</v>
      </c>
      <c r="F25" s="30">
        <f ca="1" t="array" ref="F25">INDEX(Data_DBD!$F:$F,$A25)</f>
        <v>3</v>
      </c>
      <c r="H25" s="30">
        <v>4</v>
      </c>
      <c r="I25" s="30">
        <v>23</v>
      </c>
      <c r="J25" s="30">
        <v>5</v>
      </c>
      <c r="K25" s="30">
        <v>12</v>
      </c>
      <c r="L25" s="30">
        <v>0</v>
      </c>
      <c r="M25" s="30">
        <v>2</v>
      </c>
    </row>
    <row r="26" spans="1:13">
      <c r="A26" s="30">
        <f ca="1" t="shared" si="0"/>
        <v>115</v>
      </c>
      <c r="B26" s="30">
        <f ca="1" t="array" ref="B26">INDEX(Data_DBD!$B:$B,$A26)</f>
        <v>52</v>
      </c>
      <c r="C26" s="30">
        <f ca="1" t="array" ref="C26">INDEX(Data_DBD!$C:$C,$A26)</f>
        <v>3</v>
      </c>
      <c r="D26" s="30">
        <f ca="1" t="array" ref="D26">INDEX(Data_DBD!$D:$D,$A26)</f>
        <v>33</v>
      </c>
      <c r="E26" s="30">
        <f ca="1" t="array" ref="E26">INDEX(Data_DBD!$E:$E,$A26)</f>
        <v>1</v>
      </c>
      <c r="F26" s="30">
        <f ca="1" t="array" ref="F26">INDEX(Data_DBD!$F:$F,$A26)</f>
        <v>3</v>
      </c>
      <c r="H26" s="30">
        <v>71</v>
      </c>
      <c r="I26" s="30">
        <v>84</v>
      </c>
      <c r="J26" s="30">
        <v>3</v>
      </c>
      <c r="K26" s="30">
        <v>10</v>
      </c>
      <c r="L26" s="30">
        <v>0</v>
      </c>
      <c r="M26" s="30">
        <v>2</v>
      </c>
    </row>
    <row r="27" spans="1:13">
      <c r="A27" s="30">
        <f ca="1" t="shared" si="0"/>
        <v>42</v>
      </c>
      <c r="B27" s="30">
        <f ca="1" t="array" ref="B27">INDEX(Data_DBD!$B:$B,$A27)</f>
        <v>21</v>
      </c>
      <c r="C27" s="30">
        <f ca="1" t="array" ref="C27">INDEX(Data_DBD!$C:$C,$A27)</f>
        <v>5</v>
      </c>
      <c r="D27" s="30">
        <f ca="1" t="array" ref="D27">INDEX(Data_DBD!$D:$D,$A27)</f>
        <v>13</v>
      </c>
      <c r="E27" s="30">
        <f ca="1" t="array" ref="E27">INDEX(Data_DBD!$E:$E,$A27)</f>
        <v>1</v>
      </c>
      <c r="F27" s="30">
        <f ca="1" t="array" ref="F27">INDEX(Data_DBD!$F:$F,$A27)</f>
        <v>2</v>
      </c>
      <c r="H27" s="30">
        <v>106</v>
      </c>
      <c r="I27" s="30">
        <v>23</v>
      </c>
      <c r="J27" s="30">
        <v>3</v>
      </c>
      <c r="K27" s="30">
        <v>18</v>
      </c>
      <c r="L27" s="30">
        <v>1</v>
      </c>
      <c r="M27" s="30">
        <v>3</v>
      </c>
    </row>
    <row r="28" spans="1:13">
      <c r="A28" s="30">
        <f ca="1" t="shared" si="0"/>
        <v>143</v>
      </c>
      <c r="B28" s="30">
        <f ca="1" t="array" ref="B28">INDEX(Data_DBD!$B:$B,$A28)</f>
        <v>20</v>
      </c>
      <c r="C28" s="30">
        <f ca="1" t="array" ref="C28">INDEX(Data_DBD!$C:$C,$A28)</f>
        <v>4</v>
      </c>
      <c r="D28" s="30">
        <f ca="1" t="array" ref="D28">INDEX(Data_DBD!$D:$D,$A28)</f>
        <v>21</v>
      </c>
      <c r="E28" s="30">
        <f ca="1" t="array" ref="E28">INDEX(Data_DBD!$E:$E,$A28)</f>
        <v>1</v>
      </c>
      <c r="F28" s="30">
        <f ca="1" t="array" ref="F28">INDEX(Data_DBD!$F:$F,$A28)</f>
        <v>3</v>
      </c>
      <c r="H28" s="30">
        <v>50</v>
      </c>
      <c r="I28" s="30">
        <v>19</v>
      </c>
      <c r="J28" s="30">
        <v>5</v>
      </c>
      <c r="K28" s="30">
        <v>13</v>
      </c>
      <c r="L28" s="30">
        <v>0</v>
      </c>
      <c r="M28" s="30">
        <v>2</v>
      </c>
    </row>
    <row r="29" spans="1:13">
      <c r="A29" s="30">
        <f ca="1" t="shared" si="0"/>
        <v>54</v>
      </c>
      <c r="B29" s="30">
        <f ca="1" t="array" ref="B29">INDEX(Data_DBD!$B:$B,$A29)</f>
        <v>7</v>
      </c>
      <c r="C29" s="30">
        <f ca="1" t="array" ref="C29">INDEX(Data_DBD!$C:$C,$A29)</f>
        <v>3</v>
      </c>
      <c r="D29" s="30">
        <f ca="1" t="array" ref="D29">INDEX(Data_DBD!$D:$D,$A29)</f>
        <v>15</v>
      </c>
      <c r="E29" s="30">
        <f ca="1" t="array" ref="E29">INDEX(Data_DBD!$E:$E,$A29)</f>
        <v>0</v>
      </c>
      <c r="F29" s="30">
        <f ca="1" t="array" ref="F29">INDEX(Data_DBD!$F:$F,$A29)</f>
        <v>2</v>
      </c>
      <c r="H29" s="30">
        <v>163</v>
      </c>
      <c r="I29" s="30">
        <v>34</v>
      </c>
      <c r="J29" s="30">
        <v>4</v>
      </c>
      <c r="K29" s="30">
        <v>3</v>
      </c>
      <c r="L29" s="30">
        <v>1</v>
      </c>
      <c r="M29" s="30">
        <v>1</v>
      </c>
    </row>
    <row r="30" spans="1:13">
      <c r="A30" s="30">
        <f ca="1" t="shared" si="0"/>
        <v>96</v>
      </c>
      <c r="B30" s="30">
        <f ca="1" t="array" ref="B30">INDEX(Data_DBD!$B:$B,$A30)</f>
        <v>56</v>
      </c>
      <c r="C30" s="30">
        <f ca="1" t="array" ref="C30">INDEX(Data_DBD!$C:$C,$A30)</f>
        <v>4</v>
      </c>
      <c r="D30" s="30">
        <f ca="1" t="array" ref="D30">INDEX(Data_DBD!$D:$D,$A30)</f>
        <v>18</v>
      </c>
      <c r="E30" s="30">
        <f ca="1" t="array" ref="E30">INDEX(Data_DBD!$E:$E,$A30)</f>
        <v>0</v>
      </c>
      <c r="F30" s="30">
        <f ca="1" t="array" ref="F30">INDEX(Data_DBD!$F:$F,$A30)</f>
        <v>3</v>
      </c>
      <c r="H30" s="30">
        <v>19</v>
      </c>
      <c r="I30" s="30">
        <v>8</v>
      </c>
      <c r="J30" s="30">
        <v>4</v>
      </c>
      <c r="K30" s="30">
        <v>7</v>
      </c>
      <c r="L30" s="30">
        <v>0</v>
      </c>
      <c r="M30" s="30">
        <v>1</v>
      </c>
    </row>
    <row r="31" spans="1:13">
      <c r="A31" s="30">
        <f ca="1" t="shared" si="0"/>
        <v>96</v>
      </c>
      <c r="B31" s="30">
        <f ca="1" t="array" ref="B31">INDEX(Data_DBD!$B:$B,$A31)</f>
        <v>56</v>
      </c>
      <c r="C31" s="30">
        <f ca="1" t="array" ref="C31">INDEX(Data_DBD!$C:$C,$A31)</f>
        <v>4</v>
      </c>
      <c r="D31" s="30">
        <f ca="1" t="array" ref="D31">INDEX(Data_DBD!$D:$D,$A31)</f>
        <v>18</v>
      </c>
      <c r="E31" s="30">
        <f ca="1" t="array" ref="E31">INDEX(Data_DBD!$E:$E,$A31)</f>
        <v>0</v>
      </c>
      <c r="F31" s="30">
        <f ca="1" t="array" ref="F31">INDEX(Data_DBD!$F:$F,$A31)</f>
        <v>3</v>
      </c>
      <c r="H31" s="30">
        <v>4</v>
      </c>
      <c r="I31" s="30">
        <v>23</v>
      </c>
      <c r="J31" s="30">
        <v>5</v>
      </c>
      <c r="K31" s="30">
        <v>12</v>
      </c>
      <c r="L31" s="30">
        <v>0</v>
      </c>
      <c r="M31" s="30">
        <v>2</v>
      </c>
    </row>
    <row r="32" spans="1:13">
      <c r="A32" s="30">
        <f ca="1" t="shared" si="0"/>
        <v>32</v>
      </c>
      <c r="B32" s="30">
        <f ca="1" t="array" ref="B32">INDEX(Data_DBD!$B:$B,$A32)</f>
        <v>54</v>
      </c>
      <c r="C32" s="30">
        <f ca="1" t="array" ref="C32">INDEX(Data_DBD!$C:$C,$A32)</f>
        <v>4</v>
      </c>
      <c r="D32" s="30">
        <f ca="1" t="array" ref="D32">INDEX(Data_DBD!$D:$D,$A32)</f>
        <v>14</v>
      </c>
      <c r="E32" s="30">
        <f ca="1" t="array" ref="E32">INDEX(Data_DBD!$E:$E,$A32)</f>
        <v>0</v>
      </c>
      <c r="F32" s="30">
        <f ca="1" t="array" ref="F32">INDEX(Data_DBD!$F:$F,$A32)</f>
        <v>2</v>
      </c>
      <c r="H32" s="30">
        <v>124</v>
      </c>
      <c r="I32" s="30">
        <v>24</v>
      </c>
      <c r="J32" s="30">
        <v>3</v>
      </c>
      <c r="K32" s="30">
        <v>33</v>
      </c>
      <c r="L32" s="30">
        <v>1</v>
      </c>
      <c r="M32" s="30">
        <v>3</v>
      </c>
    </row>
    <row r="33" spans="1:13">
      <c r="A33" s="30">
        <f ca="1" t="shared" si="0"/>
        <v>43</v>
      </c>
      <c r="B33" s="30">
        <f ca="1" t="array" ref="B33">INDEX(Data_DBD!$B:$B,$A33)</f>
        <v>15</v>
      </c>
      <c r="C33" s="30">
        <f ca="1" t="array" ref="C33">INDEX(Data_DBD!$C:$C,$A33)</f>
        <v>4</v>
      </c>
      <c r="D33" s="30">
        <f ca="1" t="array" ref="D33">INDEX(Data_DBD!$D:$D,$A33)</f>
        <v>13</v>
      </c>
      <c r="E33" s="30">
        <f ca="1" t="array" ref="E33">INDEX(Data_DBD!$E:$E,$A33)</f>
        <v>0</v>
      </c>
      <c r="F33" s="30">
        <f ca="1" t="array" ref="F33">INDEX(Data_DBD!$F:$F,$A33)</f>
        <v>2</v>
      </c>
      <c r="H33" s="30">
        <v>88</v>
      </c>
      <c r="I33" s="30">
        <v>20</v>
      </c>
      <c r="J33" s="30">
        <v>4</v>
      </c>
      <c r="K33" s="30">
        <v>13</v>
      </c>
      <c r="L33" s="30">
        <v>1</v>
      </c>
      <c r="M33" s="30">
        <v>2</v>
      </c>
    </row>
    <row r="34" spans="1:13">
      <c r="A34" s="30">
        <f ca="1" t="shared" si="0"/>
        <v>25</v>
      </c>
      <c r="B34" s="30">
        <f ca="1" t="array" ref="B34">INDEX(Data_DBD!$B:$B,$A34)</f>
        <v>81</v>
      </c>
      <c r="C34" s="30">
        <f ca="1" t="array" ref="C34">INDEX(Data_DBD!$C:$C,$A34)</f>
        <v>5</v>
      </c>
      <c r="D34" s="30">
        <f ca="1" t="array" ref="D34">INDEX(Data_DBD!$D:$D,$A34)</f>
        <v>14</v>
      </c>
      <c r="E34" s="30">
        <f ca="1" t="array" ref="E34">INDEX(Data_DBD!$E:$E,$A34)</f>
        <v>0</v>
      </c>
      <c r="F34" s="30">
        <f ca="1" t="array" ref="F34">INDEX(Data_DBD!$F:$F,$A34)</f>
        <v>2</v>
      </c>
      <c r="H34" s="30">
        <v>44</v>
      </c>
      <c r="I34" s="30">
        <v>28</v>
      </c>
      <c r="J34" s="30">
        <v>5</v>
      </c>
      <c r="K34" s="30">
        <v>13</v>
      </c>
      <c r="L34" s="30">
        <v>1</v>
      </c>
      <c r="M34" s="30">
        <v>2</v>
      </c>
    </row>
    <row r="35" spans="1:13">
      <c r="A35" s="30">
        <f ca="1" t="shared" si="0"/>
        <v>164</v>
      </c>
      <c r="B35" s="30">
        <f ca="1" t="array" ref="B35">INDEX(Data_DBD!$B:$B,$A35)</f>
        <v>10</v>
      </c>
      <c r="C35" s="30">
        <f ca="1" t="array" ref="C35">INDEX(Data_DBD!$C:$C,$A35)</f>
        <v>6</v>
      </c>
      <c r="D35" s="30">
        <f ca="1" t="array" ref="D35">INDEX(Data_DBD!$D:$D,$A35)</f>
        <v>3</v>
      </c>
      <c r="E35" s="30">
        <f ca="1" t="array" ref="E35">INDEX(Data_DBD!$E:$E,$A35)</f>
        <v>0</v>
      </c>
      <c r="F35" s="30">
        <f ca="1" t="array" ref="F35">INDEX(Data_DBD!$F:$F,$A35)</f>
        <v>1</v>
      </c>
      <c r="H35" s="30">
        <v>153</v>
      </c>
      <c r="I35" s="30">
        <v>73</v>
      </c>
      <c r="J35" s="30">
        <v>7</v>
      </c>
      <c r="K35" s="30">
        <v>21</v>
      </c>
      <c r="L35" s="30">
        <v>1</v>
      </c>
      <c r="M35" s="30">
        <v>3</v>
      </c>
    </row>
    <row r="36" spans="1:13">
      <c r="A36" s="30">
        <f ca="1" t="shared" si="0"/>
        <v>99</v>
      </c>
      <c r="B36" s="30">
        <f ca="1" t="array" ref="B36">INDEX(Data_DBD!$B:$B,$A36)</f>
        <v>4</v>
      </c>
      <c r="C36" s="30">
        <f ca="1" t="array" ref="C36">INDEX(Data_DBD!$C:$C,$A36)</f>
        <v>2</v>
      </c>
      <c r="D36" s="30">
        <f ca="1" t="array" ref="D36">INDEX(Data_DBD!$D:$D,$A36)</f>
        <v>18</v>
      </c>
      <c r="E36" s="30">
        <f ca="1" t="array" ref="E36">INDEX(Data_DBD!$E:$E,$A36)</f>
        <v>1</v>
      </c>
      <c r="F36" s="30">
        <f ca="1" t="array" ref="F36">INDEX(Data_DBD!$F:$F,$A36)</f>
        <v>3</v>
      </c>
      <c r="H36" s="30">
        <v>142</v>
      </c>
      <c r="I36" s="30">
        <v>39</v>
      </c>
      <c r="J36" s="30">
        <v>2</v>
      </c>
      <c r="K36" s="30">
        <v>21</v>
      </c>
      <c r="L36" s="30">
        <v>1</v>
      </c>
      <c r="M36" s="30">
        <v>3</v>
      </c>
    </row>
    <row r="37" spans="1:13">
      <c r="A37" s="30">
        <f ca="1" t="shared" si="0"/>
        <v>54</v>
      </c>
      <c r="B37" s="30">
        <f ca="1" t="array" ref="B37">INDEX(Data_DBD!$B:$B,$A37)</f>
        <v>7</v>
      </c>
      <c r="C37" s="30">
        <f ca="1" t="array" ref="C37">INDEX(Data_DBD!$C:$C,$A37)</f>
        <v>3</v>
      </c>
      <c r="D37" s="30">
        <f ca="1" t="array" ref="D37">INDEX(Data_DBD!$D:$D,$A37)</f>
        <v>15</v>
      </c>
      <c r="E37" s="30">
        <f ca="1" t="array" ref="E37">INDEX(Data_DBD!$E:$E,$A37)</f>
        <v>0</v>
      </c>
      <c r="F37" s="30">
        <f ca="1" t="array" ref="F37">INDEX(Data_DBD!$F:$F,$A37)</f>
        <v>2</v>
      </c>
      <c r="H37" s="30">
        <v>50</v>
      </c>
      <c r="I37" s="30">
        <v>19</v>
      </c>
      <c r="J37" s="30">
        <v>5</v>
      </c>
      <c r="K37" s="30">
        <v>13</v>
      </c>
      <c r="L37" s="30">
        <v>0</v>
      </c>
      <c r="M37" s="30">
        <v>2</v>
      </c>
    </row>
    <row r="38" spans="1:13">
      <c r="A38" s="30">
        <f ca="1" t="shared" si="0"/>
        <v>43</v>
      </c>
      <c r="B38" s="30">
        <f ca="1" t="array" ref="B38">INDEX(Data_DBD!$B:$B,$A38)</f>
        <v>15</v>
      </c>
      <c r="C38" s="30">
        <f ca="1" t="array" ref="C38">INDEX(Data_DBD!$C:$C,$A38)</f>
        <v>4</v>
      </c>
      <c r="D38" s="30">
        <f ca="1" t="array" ref="D38">INDEX(Data_DBD!$D:$D,$A38)</f>
        <v>13</v>
      </c>
      <c r="E38" s="30">
        <f ca="1" t="array" ref="E38">INDEX(Data_DBD!$E:$E,$A38)</f>
        <v>0</v>
      </c>
      <c r="F38" s="30">
        <f ca="1" t="array" ref="F38">INDEX(Data_DBD!$F:$F,$A38)</f>
        <v>2</v>
      </c>
      <c r="H38" s="30">
        <v>82</v>
      </c>
      <c r="I38" s="30">
        <v>28</v>
      </c>
      <c r="J38" s="30">
        <v>3</v>
      </c>
      <c r="K38" s="30">
        <v>13</v>
      </c>
      <c r="L38" s="30">
        <v>1</v>
      </c>
      <c r="M38" s="30">
        <v>2</v>
      </c>
    </row>
    <row r="39" spans="1:13">
      <c r="A39" s="30">
        <f ca="1" t="shared" si="0"/>
        <v>133</v>
      </c>
      <c r="B39" s="30">
        <f ca="1" t="array" ref="B39">INDEX(Data_DBD!$B:$B,$A39)</f>
        <v>6</v>
      </c>
      <c r="C39" s="30">
        <f ca="1" t="array" ref="C39">INDEX(Data_DBD!$C:$C,$A39)</f>
        <v>4</v>
      </c>
      <c r="D39" s="30">
        <f ca="1" t="array" ref="D39">INDEX(Data_DBD!$D:$D,$A39)</f>
        <v>33</v>
      </c>
      <c r="E39" s="30">
        <f ca="1" t="array" ref="E39">INDEX(Data_DBD!$E:$E,$A39)</f>
        <v>0</v>
      </c>
      <c r="F39" s="30">
        <f ca="1" t="array" ref="F39">INDEX(Data_DBD!$F:$F,$A39)</f>
        <v>3</v>
      </c>
      <c r="H39" s="30">
        <v>109</v>
      </c>
      <c r="I39" s="30">
        <v>40</v>
      </c>
      <c r="J39" s="30">
        <v>3</v>
      </c>
      <c r="K39" s="30">
        <v>33</v>
      </c>
      <c r="L39" s="30">
        <v>1</v>
      </c>
      <c r="M39" s="30">
        <v>3</v>
      </c>
    </row>
    <row r="40" spans="1:13">
      <c r="A40" s="30">
        <f ca="1" t="shared" si="0"/>
        <v>12</v>
      </c>
      <c r="B40" s="30">
        <f ca="1" t="array" ref="B40">INDEX(Data_DBD!$B:$B,$A40)</f>
        <v>23</v>
      </c>
      <c r="C40" s="30">
        <f ca="1" t="array" ref="C40">INDEX(Data_DBD!$C:$C,$A40)</f>
        <v>3</v>
      </c>
      <c r="D40" s="30">
        <f ca="1" t="array" ref="D40">INDEX(Data_DBD!$D:$D,$A40)</f>
        <v>12</v>
      </c>
      <c r="E40" s="30">
        <f ca="1" t="array" ref="E40">INDEX(Data_DBD!$E:$E,$A40)</f>
        <v>0</v>
      </c>
      <c r="F40" s="30">
        <f ca="1" t="array" ref="F40">INDEX(Data_DBD!$F:$F,$A40)</f>
        <v>2</v>
      </c>
      <c r="H40" s="30">
        <v>4</v>
      </c>
      <c r="I40" s="30">
        <v>23</v>
      </c>
      <c r="J40" s="30">
        <v>5</v>
      </c>
      <c r="K40" s="30">
        <v>12</v>
      </c>
      <c r="L40" s="30">
        <v>0</v>
      </c>
      <c r="M40" s="30">
        <v>2</v>
      </c>
    </row>
    <row r="41" spans="1:13">
      <c r="A41" s="30">
        <f ca="1" t="shared" si="0"/>
        <v>147</v>
      </c>
      <c r="B41" s="30">
        <f ca="1" t="array" ref="B41">INDEX(Data_DBD!$B:$B,$A41)</f>
        <v>66</v>
      </c>
      <c r="C41" s="30">
        <f ca="1" t="array" ref="C41">INDEX(Data_DBD!$C:$C,$A41)</f>
        <v>10</v>
      </c>
      <c r="D41" s="30">
        <f ca="1" t="array" ref="D41">INDEX(Data_DBD!$D:$D,$A41)</f>
        <v>21</v>
      </c>
      <c r="E41" s="30">
        <f ca="1" t="array" ref="E41">INDEX(Data_DBD!$E:$E,$A41)</f>
        <v>1</v>
      </c>
      <c r="F41" s="30">
        <f ca="1" t="array" ref="F41">INDEX(Data_DBD!$F:$F,$A41)</f>
        <v>3</v>
      </c>
      <c r="H41" s="30">
        <v>141</v>
      </c>
      <c r="I41" s="30">
        <v>36</v>
      </c>
      <c r="J41" s="30">
        <v>2</v>
      </c>
      <c r="K41" s="30">
        <v>21</v>
      </c>
      <c r="L41" s="30">
        <v>0</v>
      </c>
      <c r="M41" s="30">
        <v>3</v>
      </c>
    </row>
    <row r="42" spans="1:13">
      <c r="A42" s="30">
        <f ca="1" t="shared" si="0"/>
        <v>112</v>
      </c>
      <c r="B42" s="30">
        <f ca="1" t="array" ref="B42">INDEX(Data_DBD!$B:$B,$A42)</f>
        <v>61</v>
      </c>
      <c r="C42" s="30">
        <f ca="1" t="array" ref="C42">INDEX(Data_DBD!$C:$C,$A42)</f>
        <v>3</v>
      </c>
      <c r="D42" s="30">
        <f ca="1" t="array" ref="D42">INDEX(Data_DBD!$D:$D,$A42)</f>
        <v>33</v>
      </c>
      <c r="E42" s="30">
        <f ca="1" t="array" ref="E42">INDEX(Data_DBD!$E:$E,$A42)</f>
        <v>1</v>
      </c>
      <c r="F42" s="30">
        <f ca="1" t="array" ref="F42">INDEX(Data_DBD!$F:$F,$A42)</f>
        <v>3</v>
      </c>
      <c r="H42" s="30">
        <v>14</v>
      </c>
      <c r="I42" s="30">
        <v>49</v>
      </c>
      <c r="J42" s="30">
        <v>4</v>
      </c>
      <c r="K42" s="30">
        <v>7</v>
      </c>
      <c r="L42" s="30">
        <v>1</v>
      </c>
      <c r="M42" s="30">
        <v>1</v>
      </c>
    </row>
    <row r="43" spans="1:13">
      <c r="A43" s="30">
        <f ca="1" t="shared" si="0"/>
        <v>93</v>
      </c>
      <c r="B43" s="30">
        <f ca="1" t="array" ref="B43">INDEX(Data_DBD!$B:$B,$A43)</f>
        <v>65</v>
      </c>
      <c r="C43" s="30">
        <f ca="1" t="array" ref="C43">INDEX(Data_DBD!$C:$C,$A43)</f>
        <v>4</v>
      </c>
      <c r="D43" s="30">
        <f ca="1" t="array" ref="D43">INDEX(Data_DBD!$D:$D,$A43)</f>
        <v>18</v>
      </c>
      <c r="E43" s="30">
        <f ca="1" t="array" ref="E43">INDEX(Data_DBD!$E:$E,$A43)</f>
        <v>0</v>
      </c>
      <c r="F43" s="30">
        <f ca="1" t="array" ref="F43">INDEX(Data_DBD!$F:$F,$A43)</f>
        <v>3</v>
      </c>
      <c r="H43" s="30">
        <v>96</v>
      </c>
      <c r="I43" s="30">
        <v>56</v>
      </c>
      <c r="J43" s="30">
        <v>4</v>
      </c>
      <c r="K43" s="30">
        <v>18</v>
      </c>
      <c r="L43" s="30">
        <v>0</v>
      </c>
      <c r="M43" s="30">
        <v>3</v>
      </c>
    </row>
    <row r="44" spans="1:13">
      <c r="A44" s="30">
        <f ca="1" t="shared" si="0"/>
        <v>159</v>
      </c>
      <c r="B44" s="30">
        <f ca="1" t="array" ref="B44">INDEX(Data_DBD!$B:$B,$A44)</f>
        <v>17</v>
      </c>
      <c r="C44" s="30">
        <f ca="1" t="array" ref="C44">INDEX(Data_DBD!$C:$C,$A44)</f>
        <v>2</v>
      </c>
      <c r="D44" s="30">
        <f ca="1" t="array" ref="D44">INDEX(Data_DBD!$D:$D,$A44)</f>
        <v>21</v>
      </c>
      <c r="E44" s="30">
        <f ca="1" t="array" ref="E44">INDEX(Data_DBD!$E:$E,$A44)</f>
        <v>0</v>
      </c>
      <c r="F44" s="30">
        <f ca="1" t="array" ref="F44">INDEX(Data_DBD!$F:$F,$A44)</f>
        <v>3</v>
      </c>
      <c r="H44" s="30">
        <v>33</v>
      </c>
      <c r="I44" s="30">
        <v>19</v>
      </c>
      <c r="J44" s="30">
        <v>4</v>
      </c>
      <c r="K44" s="30">
        <v>14</v>
      </c>
      <c r="L44" s="30">
        <v>1</v>
      </c>
      <c r="M44" s="30">
        <v>2</v>
      </c>
    </row>
    <row r="45" spans="1:13">
      <c r="A45" s="30">
        <f ca="1" t="shared" si="0"/>
        <v>23</v>
      </c>
      <c r="B45" s="30">
        <f ca="1" t="array" ref="B45">INDEX(Data_DBD!$B:$B,$A45)</f>
        <v>28</v>
      </c>
      <c r="C45" s="30">
        <f ca="1" t="array" ref="C45">INDEX(Data_DBD!$C:$C,$A45)</f>
        <v>4</v>
      </c>
      <c r="D45" s="30">
        <f ca="1" t="array" ref="D45">INDEX(Data_DBD!$D:$D,$A45)</f>
        <v>14</v>
      </c>
      <c r="E45" s="30">
        <f ca="1" t="array" ref="E45">INDEX(Data_DBD!$E:$E,$A45)</f>
        <v>1</v>
      </c>
      <c r="F45" s="30">
        <f ca="1" t="array" ref="F45">INDEX(Data_DBD!$F:$F,$A45)</f>
        <v>2</v>
      </c>
      <c r="H45" s="30">
        <v>111</v>
      </c>
      <c r="I45" s="30">
        <v>25</v>
      </c>
      <c r="J45" s="30">
        <v>4</v>
      </c>
      <c r="K45" s="30">
        <v>33</v>
      </c>
      <c r="L45" s="30">
        <v>0</v>
      </c>
      <c r="M45" s="30">
        <v>3</v>
      </c>
    </row>
    <row r="46" spans="1:13">
      <c r="A46" s="30">
        <f ca="1" t="shared" si="0"/>
        <v>148</v>
      </c>
      <c r="B46" s="30">
        <f ca="1" t="array" ref="B46">INDEX(Data_DBD!$B:$B,$A46)</f>
        <v>55</v>
      </c>
      <c r="C46" s="30">
        <f ca="1" t="array" ref="C46">INDEX(Data_DBD!$C:$C,$A46)</f>
        <v>3</v>
      </c>
      <c r="D46" s="30">
        <f ca="1" t="array" ref="D46">INDEX(Data_DBD!$D:$D,$A46)</f>
        <v>21</v>
      </c>
      <c r="E46" s="30">
        <f ca="1" t="array" ref="E46">INDEX(Data_DBD!$E:$E,$A46)</f>
        <v>1</v>
      </c>
      <c r="F46" s="30">
        <f ca="1" t="array" ref="F46">INDEX(Data_DBD!$F:$F,$A46)</f>
        <v>3</v>
      </c>
      <c r="H46" s="30">
        <v>161</v>
      </c>
      <c r="I46" s="30">
        <v>12</v>
      </c>
      <c r="J46" s="30">
        <v>3</v>
      </c>
      <c r="K46" s="30">
        <v>21</v>
      </c>
      <c r="L46" s="30">
        <v>1</v>
      </c>
      <c r="M46" s="30">
        <v>3</v>
      </c>
    </row>
    <row r="47" spans="1:13">
      <c r="A47" s="30">
        <f ca="1" t="shared" si="0"/>
        <v>27</v>
      </c>
      <c r="B47" s="30">
        <f ca="1" t="array" ref="B47">INDEX(Data_DBD!$B:$B,$A47)</f>
        <v>37</v>
      </c>
      <c r="C47" s="30">
        <f ca="1" t="array" ref="C47">INDEX(Data_DBD!$C:$C,$A47)</f>
        <v>4</v>
      </c>
      <c r="D47" s="30">
        <f ca="1" t="array" ref="D47">INDEX(Data_DBD!$D:$D,$A47)</f>
        <v>14</v>
      </c>
      <c r="E47" s="30">
        <f ca="1" t="array" ref="E47">INDEX(Data_DBD!$E:$E,$A47)</f>
        <v>1</v>
      </c>
      <c r="F47" s="30">
        <f ca="1" t="array" ref="F47">INDEX(Data_DBD!$F:$F,$A47)</f>
        <v>2</v>
      </c>
      <c r="H47" s="30">
        <v>21</v>
      </c>
      <c r="I47" s="30">
        <v>10</v>
      </c>
      <c r="J47" s="30">
        <v>5</v>
      </c>
      <c r="K47" s="30">
        <v>14</v>
      </c>
      <c r="L47" s="30">
        <v>1</v>
      </c>
      <c r="M47" s="30">
        <v>2</v>
      </c>
    </row>
    <row r="48" spans="1:13">
      <c r="A48" s="30">
        <f ca="1" t="shared" si="0"/>
        <v>108</v>
      </c>
      <c r="B48" s="30">
        <f ca="1" t="array" ref="B48">INDEX(Data_DBD!$B:$B,$A48)</f>
        <v>69</v>
      </c>
      <c r="C48" s="30">
        <f ca="1" t="array" ref="C48">INDEX(Data_DBD!$C:$C,$A48)</f>
        <v>7</v>
      </c>
      <c r="D48" s="30">
        <f ca="1" t="array" ref="D48">INDEX(Data_DBD!$D:$D,$A48)</f>
        <v>33</v>
      </c>
      <c r="E48" s="30">
        <f ca="1" t="array" ref="E48">INDEX(Data_DBD!$E:$E,$A48)</f>
        <v>1</v>
      </c>
      <c r="F48" s="30">
        <f ca="1" t="array" ref="F48">INDEX(Data_DBD!$F:$F,$A48)</f>
        <v>3</v>
      </c>
      <c r="H48" s="30">
        <v>93</v>
      </c>
      <c r="I48" s="30">
        <v>65</v>
      </c>
      <c r="J48" s="30">
        <v>4</v>
      </c>
      <c r="K48" s="30">
        <v>18</v>
      </c>
      <c r="L48" s="30">
        <v>0</v>
      </c>
      <c r="M48" s="30">
        <v>3</v>
      </c>
    </row>
    <row r="49" spans="1:13">
      <c r="A49" s="30">
        <f ca="1" t="shared" si="0"/>
        <v>136</v>
      </c>
      <c r="B49" s="30">
        <f ca="1" t="array" ref="B49">INDEX(Data_DBD!$B:$B,$A49)</f>
        <v>6</v>
      </c>
      <c r="C49" s="30">
        <f ca="1" t="array" ref="C49">INDEX(Data_DBD!$C:$C,$A49)</f>
        <v>2</v>
      </c>
      <c r="D49" s="30">
        <f ca="1" t="array" ref="D49">INDEX(Data_DBD!$D:$D,$A49)</f>
        <v>33</v>
      </c>
      <c r="E49" s="30">
        <f ca="1" t="array" ref="E49">INDEX(Data_DBD!$E:$E,$A49)</f>
        <v>0</v>
      </c>
      <c r="F49" s="30">
        <f ca="1" t="array" ref="F49">INDEX(Data_DBD!$F:$F,$A49)</f>
        <v>3</v>
      </c>
      <c r="H49" s="30">
        <v>127</v>
      </c>
      <c r="I49" s="30">
        <v>21</v>
      </c>
      <c r="J49" s="30">
        <v>2</v>
      </c>
      <c r="K49" s="30">
        <v>33</v>
      </c>
      <c r="L49" s="30">
        <v>0</v>
      </c>
      <c r="M49" s="30">
        <v>3</v>
      </c>
    </row>
    <row r="50" spans="1:13">
      <c r="A50" s="30">
        <f ca="1" t="shared" si="0"/>
        <v>103</v>
      </c>
      <c r="B50" s="30">
        <f ca="1" t="array" ref="B50">INDEX(Data_DBD!$B:$B,$A50)</f>
        <v>22</v>
      </c>
      <c r="C50" s="30">
        <f ca="1" t="array" ref="C50">INDEX(Data_DBD!$C:$C,$A50)</f>
        <v>5</v>
      </c>
      <c r="D50" s="30">
        <f ca="1" t="array" ref="D50">INDEX(Data_DBD!$D:$D,$A50)</f>
        <v>18</v>
      </c>
      <c r="E50" s="30">
        <f ca="1" t="array" ref="E50">INDEX(Data_DBD!$E:$E,$A50)</f>
        <v>0</v>
      </c>
      <c r="F50" s="30">
        <f ca="1" t="array" ref="F50">INDEX(Data_DBD!$F:$F,$A50)</f>
        <v>3</v>
      </c>
      <c r="H50" s="30">
        <v>71</v>
      </c>
      <c r="I50" s="30">
        <v>84</v>
      </c>
      <c r="J50" s="30">
        <v>3</v>
      </c>
      <c r="K50" s="30">
        <v>10</v>
      </c>
      <c r="L50" s="30">
        <v>0</v>
      </c>
      <c r="M50" s="30">
        <v>2</v>
      </c>
    </row>
    <row r="51" spans="1:13">
      <c r="A51" s="30">
        <f ca="1" t="shared" si="0"/>
        <v>135</v>
      </c>
      <c r="B51" s="30">
        <f ca="1" t="array" ref="B51">INDEX(Data_DBD!$B:$B,$A51)</f>
        <v>10</v>
      </c>
      <c r="C51" s="30">
        <f ca="1" t="array" ref="C51">INDEX(Data_DBD!$C:$C,$A51)</f>
        <v>2</v>
      </c>
      <c r="D51" s="30">
        <f ca="1" t="array" ref="D51">INDEX(Data_DBD!$D:$D,$A51)</f>
        <v>33</v>
      </c>
      <c r="E51" s="30">
        <f ca="1" t="array" ref="E51">INDEX(Data_DBD!$E:$E,$A51)</f>
        <v>0</v>
      </c>
      <c r="F51" s="30">
        <f ca="1" t="array" ref="F51">INDEX(Data_DBD!$F:$F,$A51)</f>
        <v>3</v>
      </c>
      <c r="H51" s="30">
        <v>147</v>
      </c>
      <c r="I51" s="30">
        <v>66</v>
      </c>
      <c r="J51" s="30">
        <v>10</v>
      </c>
      <c r="K51" s="30">
        <v>21</v>
      </c>
      <c r="L51" s="30">
        <v>1</v>
      </c>
      <c r="M51" s="30">
        <v>3</v>
      </c>
    </row>
    <row r="52" spans="1:13">
      <c r="A52" s="30">
        <f ca="1" t="shared" si="0"/>
        <v>61</v>
      </c>
      <c r="B52" s="30">
        <f ca="1" t="array" ref="B52">INDEX(Data_DBD!$B:$B,$A52)</f>
        <v>29</v>
      </c>
      <c r="C52" s="30">
        <f ca="1" t="array" ref="C52">INDEX(Data_DBD!$C:$C,$A52)</f>
        <v>3</v>
      </c>
      <c r="D52" s="30">
        <f ca="1" t="array" ref="D52">INDEX(Data_DBD!$D:$D,$A52)</f>
        <v>15</v>
      </c>
      <c r="E52" s="30">
        <f ca="1" t="array" ref="E52">INDEX(Data_DBD!$E:$E,$A52)</f>
        <v>1</v>
      </c>
      <c r="F52" s="30">
        <f ca="1" t="array" ref="F52">INDEX(Data_DBD!$F:$F,$A52)</f>
        <v>2</v>
      </c>
      <c r="H52" s="30">
        <v>86</v>
      </c>
      <c r="I52" s="30">
        <v>23</v>
      </c>
      <c r="J52" s="30">
        <v>3</v>
      </c>
      <c r="K52" s="30">
        <v>13</v>
      </c>
      <c r="L52" s="30">
        <v>0</v>
      </c>
      <c r="M52" s="30">
        <v>2</v>
      </c>
    </row>
    <row r="53" spans="1:13">
      <c r="A53" s="30">
        <f ca="1" t="shared" si="0"/>
        <v>63</v>
      </c>
      <c r="B53" s="30">
        <f ca="1" t="array" ref="B53">INDEX(Data_DBD!$B:$B,$A53)</f>
        <v>25</v>
      </c>
      <c r="C53" s="30">
        <f ca="1" t="array" ref="C53">INDEX(Data_DBD!$C:$C,$A53)</f>
        <v>3</v>
      </c>
      <c r="D53" s="30">
        <f ca="1" t="array" ref="D53">INDEX(Data_DBD!$D:$D,$A53)</f>
        <v>15</v>
      </c>
      <c r="E53" s="30">
        <f ca="1" t="array" ref="E53">INDEX(Data_DBD!$E:$E,$A53)</f>
        <v>0</v>
      </c>
      <c r="F53" s="30">
        <f ca="1" t="array" ref="F53">INDEX(Data_DBD!$F:$F,$A53)</f>
        <v>2</v>
      </c>
      <c r="H53" s="30">
        <v>10</v>
      </c>
      <c r="I53" s="30">
        <v>18</v>
      </c>
      <c r="J53" s="30">
        <v>5</v>
      </c>
      <c r="K53" s="30">
        <v>12</v>
      </c>
      <c r="L53" s="30">
        <v>0</v>
      </c>
      <c r="M53" s="30">
        <v>2</v>
      </c>
    </row>
    <row r="54" spans="1:13">
      <c r="A54" s="30">
        <f ca="1" t="shared" si="0"/>
        <v>153</v>
      </c>
      <c r="B54" s="30">
        <f ca="1" t="array" ref="B54">INDEX(Data_DBD!$B:$B,$A54)</f>
        <v>73</v>
      </c>
      <c r="C54" s="30">
        <f ca="1" t="array" ref="C54">INDEX(Data_DBD!$C:$C,$A54)</f>
        <v>7</v>
      </c>
      <c r="D54" s="30">
        <f ca="1" t="array" ref="D54">INDEX(Data_DBD!$D:$D,$A54)</f>
        <v>21</v>
      </c>
      <c r="E54" s="30">
        <f ca="1" t="array" ref="E54">INDEX(Data_DBD!$E:$E,$A54)</f>
        <v>1</v>
      </c>
      <c r="F54" s="30">
        <f ca="1" t="array" ref="F54">INDEX(Data_DBD!$F:$F,$A54)</f>
        <v>3</v>
      </c>
      <c r="H54" s="30">
        <v>134</v>
      </c>
      <c r="I54" s="30">
        <v>4</v>
      </c>
      <c r="J54" s="30">
        <v>2</v>
      </c>
      <c r="K54" s="30">
        <v>33</v>
      </c>
      <c r="L54" s="30">
        <v>1</v>
      </c>
      <c r="M54" s="30">
        <v>3</v>
      </c>
    </row>
    <row r="55" spans="1:13">
      <c r="A55" s="30">
        <f ca="1" t="shared" si="0"/>
        <v>100</v>
      </c>
      <c r="B55" s="30">
        <f ca="1" t="array" ref="B55">INDEX(Data_DBD!$B:$B,$A55)</f>
        <v>19</v>
      </c>
      <c r="C55" s="30">
        <f ca="1" t="array" ref="C55">INDEX(Data_DBD!$C:$C,$A55)</f>
        <v>6</v>
      </c>
      <c r="D55" s="30">
        <f ca="1" t="array" ref="D55">INDEX(Data_DBD!$D:$D,$A55)</f>
        <v>18</v>
      </c>
      <c r="E55" s="30">
        <f ca="1" t="array" ref="E55">INDEX(Data_DBD!$E:$E,$A55)</f>
        <v>0</v>
      </c>
      <c r="F55" s="30">
        <f ca="1" t="array" ref="F55">INDEX(Data_DBD!$F:$F,$A55)</f>
        <v>3</v>
      </c>
      <c r="H55" s="30">
        <v>43</v>
      </c>
      <c r="I55" s="30">
        <v>15</v>
      </c>
      <c r="J55" s="30">
        <v>4</v>
      </c>
      <c r="K55" s="30">
        <v>13</v>
      </c>
      <c r="L55" s="30">
        <v>0</v>
      </c>
      <c r="M55" s="30">
        <v>2</v>
      </c>
    </row>
    <row r="56" spans="1:13">
      <c r="A56" s="30">
        <f ca="1" t="shared" si="0"/>
        <v>164</v>
      </c>
      <c r="B56" s="30">
        <f ca="1" t="array" ref="B56">INDEX(Data_DBD!$B:$B,$A56)</f>
        <v>10</v>
      </c>
      <c r="C56" s="30">
        <f ca="1" t="array" ref="C56">INDEX(Data_DBD!$C:$C,$A56)</f>
        <v>6</v>
      </c>
      <c r="D56" s="30">
        <f ca="1" t="array" ref="D56">INDEX(Data_DBD!$D:$D,$A56)</f>
        <v>3</v>
      </c>
      <c r="E56" s="30">
        <f ca="1" t="array" ref="E56">INDEX(Data_DBD!$E:$E,$A56)</f>
        <v>0</v>
      </c>
      <c r="F56" s="30">
        <f ca="1" t="array" ref="F56">INDEX(Data_DBD!$F:$F,$A56)</f>
        <v>1</v>
      </c>
      <c r="H56" s="30">
        <v>9</v>
      </c>
      <c r="I56" s="30">
        <v>16</v>
      </c>
      <c r="J56" s="30">
        <v>6</v>
      </c>
      <c r="K56" s="30">
        <v>12</v>
      </c>
      <c r="L56" s="30">
        <v>1</v>
      </c>
      <c r="M56" s="30">
        <v>2</v>
      </c>
    </row>
    <row r="57" spans="1:13">
      <c r="A57" s="30">
        <f ca="1" t="shared" si="0"/>
        <v>61</v>
      </c>
      <c r="B57" s="30">
        <f ca="1" t="array" ref="B57">INDEX(Data_DBD!$B:$B,$A57)</f>
        <v>29</v>
      </c>
      <c r="C57" s="30">
        <f ca="1" t="array" ref="C57">INDEX(Data_DBD!$C:$C,$A57)</f>
        <v>3</v>
      </c>
      <c r="D57" s="30">
        <f ca="1" t="array" ref="D57">INDEX(Data_DBD!$D:$D,$A57)</f>
        <v>15</v>
      </c>
      <c r="E57" s="30">
        <f ca="1" t="array" ref="E57">INDEX(Data_DBD!$E:$E,$A57)</f>
        <v>1</v>
      </c>
      <c r="F57" s="30">
        <f ca="1" t="array" ref="F57">INDEX(Data_DBD!$F:$F,$A57)</f>
        <v>2</v>
      </c>
      <c r="H57" s="30">
        <v>17</v>
      </c>
      <c r="I57" s="30">
        <v>2</v>
      </c>
      <c r="J57" s="30">
        <v>3</v>
      </c>
      <c r="K57" s="30">
        <v>7</v>
      </c>
      <c r="L57" s="30">
        <v>0</v>
      </c>
      <c r="M57" s="30">
        <v>1</v>
      </c>
    </row>
    <row r="58" spans="1:13">
      <c r="A58" s="30">
        <f ca="1" t="shared" si="0"/>
        <v>64</v>
      </c>
      <c r="B58" s="30">
        <f ca="1" t="array" ref="B58">INDEX(Data_DBD!$B:$B,$A58)</f>
        <v>35</v>
      </c>
      <c r="C58" s="30">
        <f ca="1" t="array" ref="C58">INDEX(Data_DBD!$C:$C,$A58)</f>
        <v>1</v>
      </c>
      <c r="D58" s="30">
        <f ca="1" t="array" ref="D58">INDEX(Data_DBD!$D:$D,$A58)</f>
        <v>15</v>
      </c>
      <c r="E58" s="30">
        <f ca="1" t="array" ref="E58">INDEX(Data_DBD!$E:$E,$A58)</f>
        <v>0</v>
      </c>
      <c r="F58" s="30">
        <f ca="1" t="array" ref="F58">INDEX(Data_DBD!$F:$F,$A58)</f>
        <v>2</v>
      </c>
      <c r="H58" s="30">
        <v>119</v>
      </c>
      <c r="I58" s="30">
        <v>30</v>
      </c>
      <c r="J58" s="30">
        <v>7</v>
      </c>
      <c r="K58" s="30">
        <v>33</v>
      </c>
      <c r="L58" s="30">
        <v>0</v>
      </c>
      <c r="M58" s="30">
        <v>3</v>
      </c>
    </row>
    <row r="59" spans="1:13">
      <c r="A59" s="30">
        <f ca="1" t="shared" si="0"/>
        <v>36</v>
      </c>
      <c r="B59" s="30">
        <f ca="1" t="array" ref="B59">INDEX(Data_DBD!$B:$B,$A59)</f>
        <v>27</v>
      </c>
      <c r="C59" s="30">
        <f ca="1" t="array" ref="C59">INDEX(Data_DBD!$C:$C,$A59)</f>
        <v>1</v>
      </c>
      <c r="D59" s="30">
        <f ca="1" t="array" ref="D59">INDEX(Data_DBD!$D:$D,$A59)</f>
        <v>4</v>
      </c>
      <c r="E59" s="30">
        <f ca="1" t="array" ref="E59">INDEX(Data_DBD!$E:$E,$A59)</f>
        <v>1</v>
      </c>
      <c r="F59" s="30">
        <f ca="1" t="array" ref="F59">INDEX(Data_DBD!$F:$F,$A59)</f>
        <v>1</v>
      </c>
      <c r="H59" s="30">
        <v>40</v>
      </c>
      <c r="I59" s="30">
        <v>65</v>
      </c>
      <c r="J59" s="30">
        <v>3</v>
      </c>
      <c r="K59" s="30">
        <v>13</v>
      </c>
      <c r="L59" s="30">
        <v>1</v>
      </c>
      <c r="M59" s="30">
        <v>2</v>
      </c>
    </row>
    <row r="60" spans="1:13">
      <c r="A60" s="30">
        <f ca="1" t="shared" si="0"/>
        <v>61</v>
      </c>
      <c r="B60" s="30">
        <f ca="1" t="array" ref="B60">INDEX(Data_DBD!$B:$B,$A60)</f>
        <v>29</v>
      </c>
      <c r="C60" s="30">
        <f ca="1" t="array" ref="C60">INDEX(Data_DBD!$C:$C,$A60)</f>
        <v>3</v>
      </c>
      <c r="D60" s="30">
        <f ca="1" t="array" ref="D60">INDEX(Data_DBD!$D:$D,$A60)</f>
        <v>15</v>
      </c>
      <c r="E60" s="30">
        <f ca="1" t="array" ref="E60">INDEX(Data_DBD!$E:$E,$A60)</f>
        <v>1</v>
      </c>
      <c r="F60" s="30">
        <f ca="1" t="array" ref="F60">INDEX(Data_DBD!$F:$F,$A60)</f>
        <v>2</v>
      </c>
      <c r="H60" s="30">
        <v>61</v>
      </c>
      <c r="I60" s="30">
        <v>29</v>
      </c>
      <c r="J60" s="30">
        <v>3</v>
      </c>
      <c r="K60" s="30">
        <v>15</v>
      </c>
      <c r="L60" s="30">
        <v>1</v>
      </c>
      <c r="M60" s="30">
        <v>2</v>
      </c>
    </row>
    <row r="61" spans="1:13">
      <c r="A61" s="30">
        <f ca="1" t="shared" si="0"/>
        <v>83</v>
      </c>
      <c r="B61" s="30">
        <f ca="1" t="array" ref="B61">INDEX(Data_DBD!$B:$B,$A61)</f>
        <v>50</v>
      </c>
      <c r="C61" s="30">
        <f ca="1" t="array" ref="C61">INDEX(Data_DBD!$C:$C,$A61)</f>
        <v>3</v>
      </c>
      <c r="D61" s="30">
        <f ca="1" t="array" ref="D61">INDEX(Data_DBD!$D:$D,$A61)</f>
        <v>13</v>
      </c>
      <c r="E61" s="30">
        <f ca="1" t="array" ref="E61">INDEX(Data_DBD!$E:$E,$A61)</f>
        <v>0</v>
      </c>
      <c r="F61" s="30">
        <f ca="1" t="array" ref="F61">INDEX(Data_DBD!$F:$F,$A61)</f>
        <v>2</v>
      </c>
      <c r="H61" s="30">
        <v>11</v>
      </c>
      <c r="I61" s="30">
        <v>24</v>
      </c>
      <c r="J61" s="30">
        <v>5</v>
      </c>
      <c r="K61" s="30">
        <v>12</v>
      </c>
      <c r="L61" s="30">
        <v>1</v>
      </c>
      <c r="M61" s="30">
        <v>2</v>
      </c>
    </row>
    <row r="62" spans="1:13">
      <c r="A62" s="30">
        <f ca="1" t="shared" si="0"/>
        <v>135</v>
      </c>
      <c r="B62" s="30">
        <f ca="1" t="array" ref="B62">INDEX(Data_DBD!$B:$B,$A62)</f>
        <v>10</v>
      </c>
      <c r="C62" s="30">
        <f ca="1" t="array" ref="C62">INDEX(Data_DBD!$C:$C,$A62)</f>
        <v>2</v>
      </c>
      <c r="D62" s="30">
        <f ca="1" t="array" ref="D62">INDEX(Data_DBD!$D:$D,$A62)</f>
        <v>33</v>
      </c>
      <c r="E62" s="30">
        <f ca="1" t="array" ref="E62">INDEX(Data_DBD!$E:$E,$A62)</f>
        <v>0</v>
      </c>
      <c r="F62" s="30">
        <f ca="1" t="array" ref="F62">INDEX(Data_DBD!$F:$F,$A62)</f>
        <v>3</v>
      </c>
      <c r="H62" s="30">
        <v>132</v>
      </c>
      <c r="I62" s="30">
        <v>10</v>
      </c>
      <c r="J62" s="30">
        <v>3</v>
      </c>
      <c r="K62" s="30">
        <v>33</v>
      </c>
      <c r="L62" s="30">
        <v>1</v>
      </c>
      <c r="M62" s="30">
        <v>3</v>
      </c>
    </row>
    <row r="63" spans="1:13">
      <c r="A63" s="30">
        <f ca="1" t="shared" si="0"/>
        <v>152</v>
      </c>
      <c r="B63" s="30">
        <f ca="1" t="array" ref="B63">INDEX(Data_DBD!$B:$B,$A63)</f>
        <v>47</v>
      </c>
      <c r="C63" s="30">
        <f ca="1" t="array" ref="C63">INDEX(Data_DBD!$C:$C,$A63)</f>
        <v>3</v>
      </c>
      <c r="D63" s="30">
        <f ca="1" t="array" ref="D63">INDEX(Data_DBD!$D:$D,$A63)</f>
        <v>21</v>
      </c>
      <c r="E63" s="30">
        <f ca="1" t="array" ref="E63">INDEX(Data_DBD!$E:$E,$A63)</f>
        <v>1</v>
      </c>
      <c r="F63" s="30">
        <f ca="1" t="array" ref="F63">INDEX(Data_DBD!$F:$F,$A63)</f>
        <v>3</v>
      </c>
      <c r="H63" s="30">
        <v>78</v>
      </c>
      <c r="I63" s="30">
        <v>6</v>
      </c>
      <c r="J63" s="30">
        <v>3</v>
      </c>
      <c r="K63" s="30">
        <v>13</v>
      </c>
      <c r="L63" s="30">
        <v>0</v>
      </c>
      <c r="M63" s="30">
        <v>2</v>
      </c>
    </row>
    <row r="64" spans="1:13">
      <c r="A64" s="30">
        <f ca="1" t="shared" si="0"/>
        <v>43</v>
      </c>
      <c r="B64" s="30">
        <f ca="1" t="array" ref="B64">INDEX(Data_DBD!$B:$B,$A64)</f>
        <v>15</v>
      </c>
      <c r="C64" s="30">
        <f ca="1" t="array" ref="C64">INDEX(Data_DBD!$C:$C,$A64)</f>
        <v>4</v>
      </c>
      <c r="D64" s="30">
        <f ca="1" t="array" ref="D64">INDEX(Data_DBD!$D:$D,$A64)</f>
        <v>13</v>
      </c>
      <c r="E64" s="30">
        <f ca="1" t="array" ref="E64">INDEX(Data_DBD!$E:$E,$A64)</f>
        <v>0</v>
      </c>
      <c r="F64" s="30">
        <f ca="1" t="array" ref="F64">INDEX(Data_DBD!$F:$F,$A64)</f>
        <v>2</v>
      </c>
      <c r="H64" s="30">
        <v>141</v>
      </c>
      <c r="I64" s="30">
        <v>36</v>
      </c>
      <c r="J64" s="30">
        <v>2</v>
      </c>
      <c r="K64" s="30">
        <v>21</v>
      </c>
      <c r="L64" s="30">
        <v>0</v>
      </c>
      <c r="M64" s="30">
        <v>3</v>
      </c>
    </row>
    <row r="65" spans="1:13">
      <c r="A65" s="30">
        <f ca="1" t="shared" si="0"/>
        <v>63</v>
      </c>
      <c r="B65" s="30">
        <f ca="1" t="array" ref="B65">INDEX(Data_DBD!$B:$B,$A65)</f>
        <v>25</v>
      </c>
      <c r="C65" s="30">
        <f ca="1" t="array" ref="C65">INDEX(Data_DBD!$C:$C,$A65)</f>
        <v>3</v>
      </c>
      <c r="D65" s="30">
        <f ca="1" t="array" ref="D65">INDEX(Data_DBD!$D:$D,$A65)</f>
        <v>15</v>
      </c>
      <c r="E65" s="30">
        <f ca="1" t="array" ref="E65">INDEX(Data_DBD!$E:$E,$A65)</f>
        <v>0</v>
      </c>
      <c r="F65" s="30">
        <f ca="1" t="array" ref="F65">INDEX(Data_DBD!$F:$F,$A65)</f>
        <v>2</v>
      </c>
      <c r="H65" s="30">
        <v>98</v>
      </c>
      <c r="I65" s="30">
        <v>16</v>
      </c>
      <c r="J65" s="30">
        <v>2</v>
      </c>
      <c r="K65" s="30">
        <v>18</v>
      </c>
      <c r="L65" s="30">
        <v>1</v>
      </c>
      <c r="M65" s="30">
        <v>3</v>
      </c>
    </row>
    <row r="66" spans="1:13">
      <c r="A66" s="30">
        <f ca="1" t="shared" si="0"/>
        <v>102</v>
      </c>
      <c r="B66" s="30">
        <f ca="1" t="array" ref="B66">INDEX(Data_DBD!$B:$B,$A66)</f>
        <v>41</v>
      </c>
      <c r="C66" s="30">
        <f ca="1" t="array" ref="C66">INDEX(Data_DBD!$C:$C,$A66)</f>
        <v>4</v>
      </c>
      <c r="D66" s="30">
        <f ca="1" t="array" ref="D66">INDEX(Data_DBD!$D:$D,$A66)</f>
        <v>18</v>
      </c>
      <c r="E66" s="30">
        <f ca="1" t="array" ref="E66">INDEX(Data_DBD!$E:$E,$A66)</f>
        <v>0</v>
      </c>
      <c r="F66" s="30">
        <f ca="1" t="array" ref="F66">INDEX(Data_DBD!$F:$F,$A66)</f>
        <v>3</v>
      </c>
      <c r="H66" s="30">
        <v>138</v>
      </c>
      <c r="I66" s="30">
        <v>13</v>
      </c>
      <c r="J66" s="30">
        <v>3</v>
      </c>
      <c r="K66" s="30">
        <v>33</v>
      </c>
      <c r="L66" s="30">
        <v>1</v>
      </c>
      <c r="M66" s="30">
        <v>3</v>
      </c>
    </row>
    <row r="67" spans="1:13">
      <c r="A67" s="30">
        <f ca="1" t="shared" ref="A67:A130" si="1">RANDBETWEEN(2,164)</f>
        <v>153</v>
      </c>
      <c r="B67" s="30">
        <f ca="1" t="array" ref="B67">INDEX(Data_DBD!$B:$B,$A67)</f>
        <v>73</v>
      </c>
      <c r="C67" s="30">
        <f ca="1" t="array" ref="C67">INDEX(Data_DBD!$C:$C,$A67)</f>
        <v>7</v>
      </c>
      <c r="D67" s="30">
        <f ca="1" t="array" ref="D67">INDEX(Data_DBD!$D:$D,$A67)</f>
        <v>21</v>
      </c>
      <c r="E67" s="30">
        <f ca="1" t="array" ref="E67">INDEX(Data_DBD!$E:$E,$A67)</f>
        <v>1</v>
      </c>
      <c r="F67" s="30">
        <f ca="1" t="array" ref="F67">INDEX(Data_DBD!$F:$F,$A67)</f>
        <v>3</v>
      </c>
      <c r="H67" s="30">
        <v>106</v>
      </c>
      <c r="I67" s="30">
        <v>23</v>
      </c>
      <c r="J67" s="30">
        <v>3</v>
      </c>
      <c r="K67" s="30">
        <v>18</v>
      </c>
      <c r="L67" s="30">
        <v>1</v>
      </c>
      <c r="M67" s="30">
        <v>3</v>
      </c>
    </row>
    <row r="68" spans="1:13">
      <c r="A68" s="30">
        <f ca="1" t="shared" si="1"/>
        <v>159</v>
      </c>
      <c r="B68" s="30">
        <f ca="1" t="array" ref="B68">INDEX(Data_DBD!$B:$B,$A68)</f>
        <v>17</v>
      </c>
      <c r="C68" s="30">
        <f ca="1" t="array" ref="C68">INDEX(Data_DBD!$C:$C,$A68)</f>
        <v>2</v>
      </c>
      <c r="D68" s="30">
        <f ca="1" t="array" ref="D68">INDEX(Data_DBD!$D:$D,$A68)</f>
        <v>21</v>
      </c>
      <c r="E68" s="30">
        <f ca="1" t="array" ref="E68">INDEX(Data_DBD!$E:$E,$A68)</f>
        <v>0</v>
      </c>
      <c r="F68" s="30">
        <f ca="1" t="array" ref="F68">INDEX(Data_DBD!$F:$F,$A68)</f>
        <v>3</v>
      </c>
      <c r="H68" s="30">
        <v>80</v>
      </c>
      <c r="I68" s="30">
        <v>27</v>
      </c>
      <c r="J68" s="30">
        <v>3</v>
      </c>
      <c r="K68" s="30">
        <v>13</v>
      </c>
      <c r="L68" s="30">
        <v>1</v>
      </c>
      <c r="M68" s="30">
        <v>2</v>
      </c>
    </row>
    <row r="69" spans="1:13">
      <c r="A69" s="30">
        <f ca="1" t="shared" si="1"/>
        <v>35</v>
      </c>
      <c r="B69" s="30">
        <f ca="1" t="array" ref="B69">INDEX(Data_DBD!$B:$B,$A69)</f>
        <v>40</v>
      </c>
      <c r="C69" s="30">
        <f ca="1" t="array" ref="C69">INDEX(Data_DBD!$C:$C,$A69)</f>
        <v>3</v>
      </c>
      <c r="D69" s="30">
        <f ca="1" t="array" ref="D69">INDEX(Data_DBD!$D:$D,$A69)</f>
        <v>4</v>
      </c>
      <c r="E69" s="30">
        <f ca="1" t="array" ref="E69">INDEX(Data_DBD!$E:$E,$A69)</f>
        <v>1</v>
      </c>
      <c r="F69" s="30">
        <f ca="1" t="array" ref="F69">INDEX(Data_DBD!$F:$F,$A69)</f>
        <v>1</v>
      </c>
      <c r="H69" s="30">
        <v>102</v>
      </c>
      <c r="I69" s="30">
        <v>41</v>
      </c>
      <c r="J69" s="30">
        <v>4</v>
      </c>
      <c r="K69" s="30">
        <v>18</v>
      </c>
      <c r="L69" s="30">
        <v>0</v>
      </c>
      <c r="M69" s="30">
        <v>3</v>
      </c>
    </row>
    <row r="70" spans="1:13">
      <c r="A70" s="30">
        <f ca="1" t="shared" si="1"/>
        <v>88</v>
      </c>
      <c r="B70" s="30">
        <f ca="1" t="array" ref="B70">INDEX(Data_DBD!$B:$B,$A70)</f>
        <v>20</v>
      </c>
      <c r="C70" s="30">
        <f ca="1" t="array" ref="C70">INDEX(Data_DBD!$C:$C,$A70)</f>
        <v>4</v>
      </c>
      <c r="D70" s="30">
        <f ca="1" t="array" ref="D70">INDEX(Data_DBD!$D:$D,$A70)</f>
        <v>13</v>
      </c>
      <c r="E70" s="30">
        <f ca="1" t="array" ref="E70">INDEX(Data_DBD!$E:$E,$A70)</f>
        <v>1</v>
      </c>
      <c r="F70" s="30">
        <f ca="1" t="array" ref="F70">INDEX(Data_DBD!$F:$F,$A70)</f>
        <v>2</v>
      </c>
      <c r="H70" s="30">
        <v>22</v>
      </c>
      <c r="I70" s="30">
        <v>6</v>
      </c>
      <c r="J70" s="30">
        <v>3</v>
      </c>
      <c r="K70" s="30">
        <v>14</v>
      </c>
      <c r="L70" s="30">
        <v>0</v>
      </c>
      <c r="M70" s="30">
        <v>2</v>
      </c>
    </row>
    <row r="71" spans="1:13">
      <c r="A71" s="30">
        <f ca="1" t="shared" si="1"/>
        <v>17</v>
      </c>
      <c r="B71" s="30">
        <f ca="1" t="array" ref="B71">INDEX(Data_DBD!$B:$B,$A71)</f>
        <v>2</v>
      </c>
      <c r="C71" s="30">
        <f ca="1" t="array" ref="C71">INDEX(Data_DBD!$C:$C,$A71)</f>
        <v>3</v>
      </c>
      <c r="D71" s="30">
        <f ca="1" t="array" ref="D71">INDEX(Data_DBD!$D:$D,$A71)</f>
        <v>7</v>
      </c>
      <c r="E71" s="30">
        <f ca="1" t="array" ref="E71">INDEX(Data_DBD!$E:$E,$A71)</f>
        <v>0</v>
      </c>
      <c r="F71" s="30">
        <f ca="1" t="array" ref="F71">INDEX(Data_DBD!$F:$F,$A71)</f>
        <v>1</v>
      </c>
      <c r="H71" s="30">
        <v>152</v>
      </c>
      <c r="I71" s="30">
        <v>47</v>
      </c>
      <c r="J71" s="30">
        <v>3</v>
      </c>
      <c r="K71" s="30">
        <v>21</v>
      </c>
      <c r="L71" s="30">
        <v>1</v>
      </c>
      <c r="M71" s="30">
        <v>3</v>
      </c>
    </row>
    <row r="72" spans="1:13">
      <c r="A72" s="30">
        <f ca="1" t="shared" si="1"/>
        <v>82</v>
      </c>
      <c r="B72" s="30">
        <f ca="1" t="array" ref="B72">INDEX(Data_DBD!$B:$B,$A72)</f>
        <v>28</v>
      </c>
      <c r="C72" s="30">
        <f ca="1" t="array" ref="C72">INDEX(Data_DBD!$C:$C,$A72)</f>
        <v>3</v>
      </c>
      <c r="D72" s="30">
        <f ca="1" t="array" ref="D72">INDEX(Data_DBD!$D:$D,$A72)</f>
        <v>13</v>
      </c>
      <c r="E72" s="30">
        <f ca="1" t="array" ref="E72">INDEX(Data_DBD!$E:$E,$A72)</f>
        <v>1</v>
      </c>
      <c r="F72" s="30">
        <f ca="1" t="array" ref="F72">INDEX(Data_DBD!$F:$F,$A72)</f>
        <v>2</v>
      </c>
      <c r="H72" s="30">
        <v>81</v>
      </c>
      <c r="I72" s="30">
        <v>23</v>
      </c>
      <c r="J72" s="30">
        <v>5</v>
      </c>
      <c r="K72" s="30">
        <v>13</v>
      </c>
      <c r="L72" s="30">
        <v>1</v>
      </c>
      <c r="M72" s="30">
        <v>2</v>
      </c>
    </row>
    <row r="73" spans="1:13">
      <c r="A73" s="30">
        <f ca="1" t="shared" si="1"/>
        <v>35</v>
      </c>
      <c r="B73" s="30">
        <f ca="1" t="array" ref="B73">INDEX(Data_DBD!$B:$B,$A73)</f>
        <v>40</v>
      </c>
      <c r="C73" s="30">
        <f ca="1" t="array" ref="C73">INDEX(Data_DBD!$C:$C,$A73)</f>
        <v>3</v>
      </c>
      <c r="D73" s="30">
        <f ca="1" t="array" ref="D73">INDEX(Data_DBD!$D:$D,$A73)</f>
        <v>4</v>
      </c>
      <c r="E73" s="30">
        <f ca="1" t="array" ref="E73">INDEX(Data_DBD!$E:$E,$A73)</f>
        <v>1</v>
      </c>
      <c r="F73" s="30">
        <f ca="1" t="array" ref="F73">INDEX(Data_DBD!$F:$F,$A73)</f>
        <v>1</v>
      </c>
      <c r="H73" s="30">
        <v>21</v>
      </c>
      <c r="I73" s="30">
        <v>10</v>
      </c>
      <c r="J73" s="30">
        <v>5</v>
      </c>
      <c r="K73" s="30">
        <v>14</v>
      </c>
      <c r="L73" s="30">
        <v>1</v>
      </c>
      <c r="M73" s="30">
        <v>2</v>
      </c>
    </row>
    <row r="74" spans="1:13">
      <c r="A74" s="30">
        <f ca="1" t="shared" si="1"/>
        <v>81</v>
      </c>
      <c r="B74" s="30">
        <f ca="1" t="array" ref="B74">INDEX(Data_DBD!$B:$B,$A74)</f>
        <v>23</v>
      </c>
      <c r="C74" s="30">
        <f ca="1" t="array" ref="C74">INDEX(Data_DBD!$C:$C,$A74)</f>
        <v>5</v>
      </c>
      <c r="D74" s="30">
        <f ca="1" t="array" ref="D74">INDEX(Data_DBD!$D:$D,$A74)</f>
        <v>13</v>
      </c>
      <c r="E74" s="30">
        <f ca="1" t="array" ref="E74">INDEX(Data_DBD!$E:$E,$A74)</f>
        <v>1</v>
      </c>
      <c r="F74" s="30">
        <f ca="1" t="array" ref="F74">INDEX(Data_DBD!$F:$F,$A74)</f>
        <v>2</v>
      </c>
      <c r="H74" s="30">
        <v>161</v>
      </c>
      <c r="I74" s="30">
        <v>12</v>
      </c>
      <c r="J74" s="30">
        <v>3</v>
      </c>
      <c r="K74" s="30">
        <v>21</v>
      </c>
      <c r="L74" s="30">
        <v>1</v>
      </c>
      <c r="M74" s="30">
        <v>3</v>
      </c>
    </row>
    <row r="75" spans="1:13">
      <c r="A75" s="30">
        <f ca="1" t="shared" si="1"/>
        <v>44</v>
      </c>
      <c r="B75" s="30">
        <f ca="1" t="array" ref="B75">INDEX(Data_DBD!$B:$B,$A75)</f>
        <v>28</v>
      </c>
      <c r="C75" s="30">
        <f ca="1" t="array" ref="C75">INDEX(Data_DBD!$C:$C,$A75)</f>
        <v>5</v>
      </c>
      <c r="D75" s="30">
        <f ca="1" t="array" ref="D75">INDEX(Data_DBD!$D:$D,$A75)</f>
        <v>13</v>
      </c>
      <c r="E75" s="30">
        <f ca="1" t="array" ref="E75">INDEX(Data_DBD!$E:$E,$A75)</f>
        <v>1</v>
      </c>
      <c r="F75" s="30">
        <f ca="1" t="array" ref="F75">INDEX(Data_DBD!$F:$F,$A75)</f>
        <v>2</v>
      </c>
      <c r="H75" s="30">
        <v>85</v>
      </c>
      <c r="I75" s="30">
        <v>27</v>
      </c>
      <c r="J75" s="30">
        <v>9</v>
      </c>
      <c r="K75" s="30">
        <v>13</v>
      </c>
      <c r="L75" s="30">
        <v>0</v>
      </c>
      <c r="M75" s="30">
        <v>2</v>
      </c>
    </row>
    <row r="76" spans="1:13">
      <c r="A76" s="30">
        <f ca="1" t="shared" si="1"/>
        <v>159</v>
      </c>
      <c r="B76" s="30">
        <f ca="1" t="array" ref="B76">INDEX(Data_DBD!$B:$B,$A76)</f>
        <v>17</v>
      </c>
      <c r="C76" s="30">
        <f ca="1" t="array" ref="C76">INDEX(Data_DBD!$C:$C,$A76)</f>
        <v>2</v>
      </c>
      <c r="D76" s="30">
        <f ca="1" t="array" ref="D76">INDEX(Data_DBD!$D:$D,$A76)</f>
        <v>21</v>
      </c>
      <c r="E76" s="30">
        <f ca="1" t="array" ref="E76">INDEX(Data_DBD!$E:$E,$A76)</f>
        <v>0</v>
      </c>
      <c r="F76" s="30">
        <f ca="1" t="array" ref="F76">INDEX(Data_DBD!$F:$F,$A76)</f>
        <v>3</v>
      </c>
      <c r="H76" s="30">
        <v>145</v>
      </c>
      <c r="I76" s="30">
        <v>28</v>
      </c>
      <c r="J76" s="30">
        <v>4</v>
      </c>
      <c r="K76" s="30">
        <v>21</v>
      </c>
      <c r="L76" s="30">
        <v>1</v>
      </c>
      <c r="M76" s="30">
        <v>3</v>
      </c>
    </row>
    <row r="77" spans="1:13">
      <c r="A77" s="30">
        <f ca="1" t="shared" si="1"/>
        <v>54</v>
      </c>
      <c r="B77" s="30">
        <f ca="1" t="array" ref="B77">INDEX(Data_DBD!$B:$B,$A77)</f>
        <v>7</v>
      </c>
      <c r="C77" s="30">
        <f ca="1" t="array" ref="C77">INDEX(Data_DBD!$C:$C,$A77)</f>
        <v>3</v>
      </c>
      <c r="D77" s="30">
        <f ca="1" t="array" ref="D77">INDEX(Data_DBD!$D:$D,$A77)</f>
        <v>15</v>
      </c>
      <c r="E77" s="30">
        <f ca="1" t="array" ref="E77">INDEX(Data_DBD!$E:$E,$A77)</f>
        <v>0</v>
      </c>
      <c r="F77" s="30">
        <f ca="1" t="array" ref="F77">INDEX(Data_DBD!$F:$F,$A77)</f>
        <v>2</v>
      </c>
      <c r="H77" s="30">
        <v>36</v>
      </c>
      <c r="I77" s="30">
        <v>27</v>
      </c>
      <c r="J77" s="30">
        <v>1</v>
      </c>
      <c r="K77" s="30">
        <v>4</v>
      </c>
      <c r="L77" s="30">
        <v>1</v>
      </c>
      <c r="M77" s="30">
        <v>1</v>
      </c>
    </row>
    <row r="78" spans="1:13">
      <c r="A78" s="30">
        <f ca="1" t="shared" si="1"/>
        <v>20</v>
      </c>
      <c r="B78" s="30">
        <f ca="1" t="array" ref="B78">INDEX(Data_DBD!$B:$B,$A78)</f>
        <v>15</v>
      </c>
      <c r="C78" s="30">
        <f ca="1" t="array" ref="C78">INDEX(Data_DBD!$C:$C,$A78)</f>
        <v>5</v>
      </c>
      <c r="D78" s="30">
        <f ca="1" t="array" ref="D78">INDEX(Data_DBD!$D:$D,$A78)</f>
        <v>7</v>
      </c>
      <c r="E78" s="30">
        <f ca="1" t="array" ref="E78">INDEX(Data_DBD!$E:$E,$A78)</f>
        <v>0</v>
      </c>
      <c r="F78" s="30">
        <f ca="1" t="array" ref="F78">INDEX(Data_DBD!$F:$F,$A78)</f>
        <v>1</v>
      </c>
      <c r="H78" s="30">
        <v>14</v>
      </c>
      <c r="I78" s="30">
        <v>49</v>
      </c>
      <c r="J78" s="30">
        <v>4</v>
      </c>
      <c r="K78" s="30">
        <v>7</v>
      </c>
      <c r="L78" s="30">
        <v>1</v>
      </c>
      <c r="M78" s="30">
        <v>1</v>
      </c>
    </row>
    <row r="79" spans="1:13">
      <c r="A79" s="30">
        <f ca="1" t="shared" si="1"/>
        <v>157</v>
      </c>
      <c r="B79" s="30">
        <f ca="1" t="array" ref="B79">INDEX(Data_DBD!$B:$B,$A79)</f>
        <v>15</v>
      </c>
      <c r="C79" s="30">
        <f ca="1" t="array" ref="C79">INDEX(Data_DBD!$C:$C,$A79)</f>
        <v>4</v>
      </c>
      <c r="D79" s="30">
        <f ca="1" t="array" ref="D79">INDEX(Data_DBD!$D:$D,$A79)</f>
        <v>21</v>
      </c>
      <c r="E79" s="30">
        <f ca="1" t="array" ref="E79">INDEX(Data_DBD!$E:$E,$A79)</f>
        <v>1</v>
      </c>
      <c r="F79" s="30">
        <f ca="1" t="array" ref="F79">INDEX(Data_DBD!$F:$F,$A79)</f>
        <v>3</v>
      </c>
      <c r="H79" s="30">
        <v>138</v>
      </c>
      <c r="I79" s="30">
        <v>13</v>
      </c>
      <c r="J79" s="30">
        <v>3</v>
      </c>
      <c r="K79" s="30">
        <v>33</v>
      </c>
      <c r="L79" s="30">
        <v>1</v>
      </c>
      <c r="M79" s="30">
        <v>3</v>
      </c>
    </row>
    <row r="80" spans="1:13">
      <c r="A80" s="30">
        <f ca="1" t="shared" si="1"/>
        <v>46</v>
      </c>
      <c r="B80" s="30">
        <f ca="1" t="array" ref="B80">INDEX(Data_DBD!$B:$B,$A80)</f>
        <v>62</v>
      </c>
      <c r="C80" s="30">
        <f ca="1" t="array" ref="C80">INDEX(Data_DBD!$C:$C,$A80)</f>
        <v>2</v>
      </c>
      <c r="D80" s="30">
        <f ca="1" t="array" ref="D80">INDEX(Data_DBD!$D:$D,$A80)</f>
        <v>13</v>
      </c>
      <c r="E80" s="30">
        <f ca="1" t="array" ref="E80">INDEX(Data_DBD!$E:$E,$A80)</f>
        <v>0</v>
      </c>
      <c r="F80" s="30">
        <f ca="1" t="array" ref="F80">INDEX(Data_DBD!$F:$F,$A80)</f>
        <v>2</v>
      </c>
      <c r="H80" s="30">
        <v>46</v>
      </c>
      <c r="I80" s="30">
        <v>62</v>
      </c>
      <c r="J80" s="30">
        <v>2</v>
      </c>
      <c r="K80" s="30">
        <v>13</v>
      </c>
      <c r="L80" s="30">
        <v>0</v>
      </c>
      <c r="M80" s="30">
        <v>2</v>
      </c>
    </row>
    <row r="81" spans="1:13">
      <c r="A81" s="30">
        <f ca="1" t="shared" si="1"/>
        <v>15</v>
      </c>
      <c r="B81" s="30">
        <f ca="1" t="array" ref="B81">INDEX(Data_DBD!$B:$B,$A81)</f>
        <v>21</v>
      </c>
      <c r="C81" s="30">
        <f ca="1" t="array" ref="C81">INDEX(Data_DBD!$C:$C,$A81)</f>
        <v>2</v>
      </c>
      <c r="D81" s="30">
        <f ca="1" t="array" ref="D81">INDEX(Data_DBD!$D:$D,$A81)</f>
        <v>7</v>
      </c>
      <c r="E81" s="30">
        <f ca="1" t="array" ref="E81">INDEX(Data_DBD!$E:$E,$A81)</f>
        <v>0</v>
      </c>
      <c r="F81" s="30">
        <f ca="1" t="array" ref="F81">INDEX(Data_DBD!$F:$F,$A81)</f>
        <v>1</v>
      </c>
      <c r="H81" s="30">
        <v>41</v>
      </c>
      <c r="I81" s="30">
        <v>8</v>
      </c>
      <c r="J81" s="30">
        <v>4</v>
      </c>
      <c r="K81" s="30">
        <v>13</v>
      </c>
      <c r="L81" s="30">
        <v>0</v>
      </c>
      <c r="M81" s="30">
        <v>2</v>
      </c>
    </row>
    <row r="82" spans="1:13">
      <c r="A82" s="30">
        <f ca="1" t="shared" si="1"/>
        <v>11</v>
      </c>
      <c r="B82" s="30">
        <f ca="1" t="array" ref="B82">INDEX(Data_DBD!$B:$B,$A82)</f>
        <v>24</v>
      </c>
      <c r="C82" s="30">
        <f ca="1" t="array" ref="C82">INDEX(Data_DBD!$C:$C,$A82)</f>
        <v>5</v>
      </c>
      <c r="D82" s="30">
        <f ca="1" t="array" ref="D82">INDEX(Data_DBD!$D:$D,$A82)</f>
        <v>12</v>
      </c>
      <c r="E82" s="30">
        <f ca="1" t="array" ref="E82">INDEX(Data_DBD!$E:$E,$A82)</f>
        <v>1</v>
      </c>
      <c r="F82" s="30">
        <f ca="1" t="array" ref="F82">INDEX(Data_DBD!$F:$F,$A82)</f>
        <v>2</v>
      </c>
      <c r="H82" s="30">
        <v>132</v>
      </c>
      <c r="I82" s="30">
        <v>10</v>
      </c>
      <c r="J82" s="30">
        <v>3</v>
      </c>
      <c r="K82" s="30">
        <v>33</v>
      </c>
      <c r="L82" s="30">
        <v>1</v>
      </c>
      <c r="M82" s="30">
        <v>3</v>
      </c>
    </row>
    <row r="83" spans="1:13">
      <c r="A83" s="30">
        <f ca="1" t="shared" si="1"/>
        <v>141</v>
      </c>
      <c r="B83" s="30">
        <f ca="1" t="array" ref="B83">INDEX(Data_DBD!$B:$B,$A83)</f>
        <v>36</v>
      </c>
      <c r="C83" s="30">
        <f ca="1" t="array" ref="C83">INDEX(Data_DBD!$C:$C,$A83)</f>
        <v>2</v>
      </c>
      <c r="D83" s="30">
        <f ca="1" t="array" ref="D83">INDEX(Data_DBD!$D:$D,$A83)</f>
        <v>21</v>
      </c>
      <c r="E83" s="30">
        <f ca="1" t="array" ref="E83">INDEX(Data_DBD!$E:$E,$A83)</f>
        <v>0</v>
      </c>
      <c r="F83" s="30">
        <f ca="1" t="array" ref="F83">INDEX(Data_DBD!$F:$F,$A83)</f>
        <v>3</v>
      </c>
      <c r="H83" s="30">
        <v>71</v>
      </c>
      <c r="I83" s="30">
        <v>84</v>
      </c>
      <c r="J83" s="30">
        <v>3</v>
      </c>
      <c r="K83" s="30">
        <v>10</v>
      </c>
      <c r="L83" s="30">
        <v>0</v>
      </c>
      <c r="M83" s="30">
        <v>2</v>
      </c>
    </row>
    <row r="84" spans="1:13">
      <c r="A84" s="30">
        <f ca="1" t="shared" si="1"/>
        <v>36</v>
      </c>
      <c r="B84" s="30">
        <f ca="1" t="array" ref="B84">INDEX(Data_DBD!$B:$B,$A84)</f>
        <v>27</v>
      </c>
      <c r="C84" s="30">
        <f ca="1" t="array" ref="C84">INDEX(Data_DBD!$C:$C,$A84)</f>
        <v>1</v>
      </c>
      <c r="D84" s="30">
        <f ca="1" t="array" ref="D84">INDEX(Data_DBD!$D:$D,$A84)</f>
        <v>4</v>
      </c>
      <c r="E84" s="30">
        <f ca="1" t="array" ref="E84">INDEX(Data_DBD!$E:$E,$A84)</f>
        <v>1</v>
      </c>
      <c r="F84" s="30">
        <f ca="1" t="array" ref="F84">INDEX(Data_DBD!$F:$F,$A84)</f>
        <v>1</v>
      </c>
      <c r="H84" s="30">
        <v>85</v>
      </c>
      <c r="I84" s="30">
        <v>27</v>
      </c>
      <c r="J84" s="30">
        <v>9</v>
      </c>
      <c r="K84" s="30">
        <v>13</v>
      </c>
      <c r="L84" s="30">
        <v>0</v>
      </c>
      <c r="M84" s="30">
        <v>2</v>
      </c>
    </row>
    <row r="85" spans="1:13">
      <c r="A85" s="30">
        <f ca="1" t="shared" si="1"/>
        <v>26</v>
      </c>
      <c r="B85" s="30">
        <f ca="1" t="array" ref="B85">INDEX(Data_DBD!$B:$B,$A85)</f>
        <v>75</v>
      </c>
      <c r="C85" s="30">
        <f ca="1" t="array" ref="C85">INDEX(Data_DBD!$C:$C,$A85)</f>
        <v>4</v>
      </c>
      <c r="D85" s="30">
        <f ca="1" t="array" ref="D85">INDEX(Data_DBD!$D:$D,$A85)</f>
        <v>14</v>
      </c>
      <c r="E85" s="30">
        <f ca="1" t="array" ref="E85">INDEX(Data_DBD!$E:$E,$A85)</f>
        <v>1</v>
      </c>
      <c r="F85" s="30">
        <f ca="1" t="array" ref="F85">INDEX(Data_DBD!$F:$F,$A85)</f>
        <v>2</v>
      </c>
      <c r="H85" s="30">
        <v>98</v>
      </c>
      <c r="I85" s="30">
        <v>16</v>
      </c>
      <c r="J85" s="30">
        <v>2</v>
      </c>
      <c r="K85" s="30">
        <v>18</v>
      </c>
      <c r="L85" s="30">
        <v>1</v>
      </c>
      <c r="M85" s="30">
        <v>3</v>
      </c>
    </row>
    <row r="86" spans="1:13">
      <c r="A86" s="30">
        <f ca="1" t="shared" si="1"/>
        <v>109</v>
      </c>
      <c r="B86" s="30">
        <f ca="1" t="array" ref="B86">INDEX(Data_DBD!$B:$B,$A86)</f>
        <v>40</v>
      </c>
      <c r="C86" s="30">
        <f ca="1" t="array" ref="C86">INDEX(Data_DBD!$C:$C,$A86)</f>
        <v>3</v>
      </c>
      <c r="D86" s="30">
        <f ca="1" t="array" ref="D86">INDEX(Data_DBD!$D:$D,$A86)</f>
        <v>33</v>
      </c>
      <c r="E86" s="30">
        <f ca="1" t="array" ref="E86">INDEX(Data_DBD!$E:$E,$A86)</f>
        <v>1</v>
      </c>
      <c r="F86" s="30">
        <f ca="1" t="array" ref="F86">INDEX(Data_DBD!$F:$F,$A86)</f>
        <v>3</v>
      </c>
      <c r="H86" s="30">
        <v>24</v>
      </c>
      <c r="I86" s="30">
        <v>60</v>
      </c>
      <c r="J86" s="30">
        <v>4</v>
      </c>
      <c r="K86" s="30">
        <v>14</v>
      </c>
      <c r="L86" s="30">
        <v>0</v>
      </c>
      <c r="M86" s="30">
        <v>2</v>
      </c>
    </row>
    <row r="87" spans="1:13">
      <c r="A87" s="30">
        <f ca="1" t="shared" si="1"/>
        <v>43</v>
      </c>
      <c r="B87" s="30">
        <f ca="1" t="array" ref="B87">INDEX(Data_DBD!$B:$B,$A87)</f>
        <v>15</v>
      </c>
      <c r="C87" s="30">
        <f ca="1" t="array" ref="C87">INDEX(Data_DBD!$C:$C,$A87)</f>
        <v>4</v>
      </c>
      <c r="D87" s="30">
        <f ca="1" t="array" ref="D87">INDEX(Data_DBD!$D:$D,$A87)</f>
        <v>13</v>
      </c>
      <c r="E87" s="30">
        <f ca="1" t="array" ref="E87">INDEX(Data_DBD!$E:$E,$A87)</f>
        <v>0</v>
      </c>
      <c r="F87" s="30">
        <f ca="1" t="array" ref="F87">INDEX(Data_DBD!$F:$F,$A87)</f>
        <v>2</v>
      </c>
      <c r="H87" s="30">
        <v>135</v>
      </c>
      <c r="I87" s="30">
        <v>10</v>
      </c>
      <c r="J87" s="30">
        <v>2</v>
      </c>
      <c r="K87" s="30">
        <v>33</v>
      </c>
      <c r="L87" s="30">
        <v>0</v>
      </c>
      <c r="M87" s="30">
        <v>3</v>
      </c>
    </row>
    <row r="88" spans="1:13">
      <c r="A88" s="30">
        <f ca="1" t="shared" si="1"/>
        <v>61</v>
      </c>
      <c r="B88" s="30">
        <f ca="1" t="array" ref="B88">INDEX(Data_DBD!$B:$B,$A88)</f>
        <v>29</v>
      </c>
      <c r="C88" s="30">
        <f ca="1" t="array" ref="C88">INDEX(Data_DBD!$C:$C,$A88)</f>
        <v>3</v>
      </c>
      <c r="D88" s="30">
        <f ca="1" t="array" ref="D88">INDEX(Data_DBD!$D:$D,$A88)</f>
        <v>15</v>
      </c>
      <c r="E88" s="30">
        <f ca="1" t="array" ref="E88">INDEX(Data_DBD!$E:$E,$A88)</f>
        <v>1</v>
      </c>
      <c r="F88" s="30">
        <f ca="1" t="array" ref="F88">INDEX(Data_DBD!$F:$F,$A88)</f>
        <v>2</v>
      </c>
      <c r="H88" s="30">
        <v>120</v>
      </c>
      <c r="I88" s="30">
        <v>26</v>
      </c>
      <c r="J88" s="30">
        <v>4</v>
      </c>
      <c r="K88" s="30">
        <v>33</v>
      </c>
      <c r="L88" s="30">
        <v>1</v>
      </c>
      <c r="M88" s="30">
        <v>3</v>
      </c>
    </row>
    <row r="89" spans="1:13">
      <c r="A89" s="30">
        <f ca="1" t="shared" si="1"/>
        <v>12</v>
      </c>
      <c r="B89" s="30">
        <f ca="1" t="array" ref="B89">INDEX(Data_DBD!$B:$B,$A89)</f>
        <v>23</v>
      </c>
      <c r="C89" s="30">
        <f ca="1" t="array" ref="C89">INDEX(Data_DBD!$C:$C,$A89)</f>
        <v>3</v>
      </c>
      <c r="D89" s="30">
        <f ca="1" t="array" ref="D89">INDEX(Data_DBD!$D:$D,$A89)</f>
        <v>12</v>
      </c>
      <c r="E89" s="30">
        <f ca="1" t="array" ref="E89">INDEX(Data_DBD!$E:$E,$A89)</f>
        <v>0</v>
      </c>
      <c r="F89" s="30">
        <f ca="1" t="array" ref="F89">INDEX(Data_DBD!$F:$F,$A89)</f>
        <v>2</v>
      </c>
      <c r="H89" s="30">
        <v>141</v>
      </c>
      <c r="I89" s="30">
        <v>36</v>
      </c>
      <c r="J89" s="30">
        <v>2</v>
      </c>
      <c r="K89" s="30">
        <v>21</v>
      </c>
      <c r="L89" s="30">
        <v>0</v>
      </c>
      <c r="M89" s="30">
        <v>3</v>
      </c>
    </row>
    <row r="90" spans="1:13">
      <c r="A90" s="30">
        <f ca="1" t="shared" si="1"/>
        <v>96</v>
      </c>
      <c r="B90" s="30">
        <f ca="1" t="array" ref="B90">INDEX(Data_DBD!$B:$B,$A90)</f>
        <v>56</v>
      </c>
      <c r="C90" s="30">
        <f ca="1" t="array" ref="C90">INDEX(Data_DBD!$C:$C,$A90)</f>
        <v>4</v>
      </c>
      <c r="D90" s="30">
        <f ca="1" t="array" ref="D90">INDEX(Data_DBD!$D:$D,$A90)</f>
        <v>18</v>
      </c>
      <c r="E90" s="30">
        <f ca="1" t="array" ref="E90">INDEX(Data_DBD!$E:$E,$A90)</f>
        <v>0</v>
      </c>
      <c r="F90" s="30">
        <f ca="1" t="array" ref="F90">INDEX(Data_DBD!$F:$F,$A90)</f>
        <v>3</v>
      </c>
      <c r="H90" s="30">
        <v>41</v>
      </c>
      <c r="I90" s="30">
        <v>8</v>
      </c>
      <c r="J90" s="30">
        <v>4</v>
      </c>
      <c r="K90" s="30">
        <v>13</v>
      </c>
      <c r="L90" s="30">
        <v>0</v>
      </c>
      <c r="M90" s="30">
        <v>2</v>
      </c>
    </row>
    <row r="91" spans="1:13">
      <c r="A91" s="30">
        <f ca="1" t="shared" si="1"/>
        <v>42</v>
      </c>
      <c r="B91" s="30">
        <f ca="1" t="array" ref="B91">INDEX(Data_DBD!$B:$B,$A91)</f>
        <v>21</v>
      </c>
      <c r="C91" s="30">
        <f ca="1" t="array" ref="C91">INDEX(Data_DBD!$C:$C,$A91)</f>
        <v>5</v>
      </c>
      <c r="D91" s="30">
        <f ca="1" t="array" ref="D91">INDEX(Data_DBD!$D:$D,$A91)</f>
        <v>13</v>
      </c>
      <c r="E91" s="30">
        <f ca="1" t="array" ref="E91">INDEX(Data_DBD!$E:$E,$A91)</f>
        <v>1</v>
      </c>
      <c r="F91" s="30">
        <f ca="1" t="array" ref="F91">INDEX(Data_DBD!$F:$F,$A91)</f>
        <v>2</v>
      </c>
      <c r="H91" s="30">
        <v>94</v>
      </c>
      <c r="I91" s="30">
        <v>12</v>
      </c>
      <c r="J91" s="30">
        <v>4</v>
      </c>
      <c r="K91" s="30">
        <v>18</v>
      </c>
      <c r="L91" s="30">
        <v>0</v>
      </c>
      <c r="M91" s="30">
        <v>3</v>
      </c>
    </row>
    <row r="92" spans="1:13">
      <c r="A92" s="30">
        <f ca="1" t="shared" si="1"/>
        <v>115</v>
      </c>
      <c r="B92" s="30">
        <f ca="1" t="array" ref="B92">INDEX(Data_DBD!$B:$B,$A92)</f>
        <v>52</v>
      </c>
      <c r="C92" s="30">
        <f ca="1" t="array" ref="C92">INDEX(Data_DBD!$C:$C,$A92)</f>
        <v>3</v>
      </c>
      <c r="D92" s="30">
        <f ca="1" t="array" ref="D92">INDEX(Data_DBD!$D:$D,$A92)</f>
        <v>33</v>
      </c>
      <c r="E92" s="30">
        <f ca="1" t="array" ref="E92">INDEX(Data_DBD!$E:$E,$A92)</f>
        <v>1</v>
      </c>
      <c r="F92" s="30">
        <f ca="1" t="array" ref="F92">INDEX(Data_DBD!$F:$F,$A92)</f>
        <v>3</v>
      </c>
      <c r="H92" s="30">
        <v>140</v>
      </c>
      <c r="I92" s="30">
        <v>74</v>
      </c>
      <c r="J92" s="30">
        <v>5</v>
      </c>
      <c r="K92" s="30">
        <v>21</v>
      </c>
      <c r="L92" s="30">
        <v>1</v>
      </c>
      <c r="M92" s="30">
        <v>3</v>
      </c>
    </row>
    <row r="93" spans="1:13">
      <c r="A93" s="30">
        <f ca="1" t="shared" si="1"/>
        <v>133</v>
      </c>
      <c r="B93" s="30">
        <f ca="1" t="array" ref="B93">INDEX(Data_DBD!$B:$B,$A93)</f>
        <v>6</v>
      </c>
      <c r="C93" s="30">
        <f ca="1" t="array" ref="C93">INDEX(Data_DBD!$C:$C,$A93)</f>
        <v>4</v>
      </c>
      <c r="D93" s="30">
        <f ca="1" t="array" ref="D93">INDEX(Data_DBD!$D:$D,$A93)</f>
        <v>33</v>
      </c>
      <c r="E93" s="30">
        <f ca="1" t="array" ref="E93">INDEX(Data_DBD!$E:$E,$A93)</f>
        <v>0</v>
      </c>
      <c r="F93" s="30">
        <f ca="1" t="array" ref="F93">INDEX(Data_DBD!$F:$F,$A93)</f>
        <v>3</v>
      </c>
      <c r="H93" s="30">
        <v>32</v>
      </c>
      <c r="I93" s="30">
        <v>54</v>
      </c>
      <c r="J93" s="30">
        <v>4</v>
      </c>
      <c r="K93" s="30">
        <v>14</v>
      </c>
      <c r="L93" s="30">
        <v>0</v>
      </c>
      <c r="M93" s="30">
        <v>2</v>
      </c>
    </row>
    <row r="94" spans="1:13">
      <c r="A94" s="30">
        <f ca="1" t="shared" si="1"/>
        <v>36</v>
      </c>
      <c r="B94" s="30">
        <f ca="1" t="array" ref="B94">INDEX(Data_DBD!$B:$B,$A94)</f>
        <v>27</v>
      </c>
      <c r="C94" s="30">
        <f ca="1" t="array" ref="C94">INDEX(Data_DBD!$C:$C,$A94)</f>
        <v>1</v>
      </c>
      <c r="D94" s="30">
        <f ca="1" t="array" ref="D94">INDEX(Data_DBD!$D:$D,$A94)</f>
        <v>4</v>
      </c>
      <c r="E94" s="30">
        <f ca="1" t="array" ref="E94">INDEX(Data_DBD!$E:$E,$A94)</f>
        <v>1</v>
      </c>
      <c r="F94" s="30">
        <f ca="1" t="array" ref="F94">INDEX(Data_DBD!$F:$F,$A94)</f>
        <v>1</v>
      </c>
      <c r="H94" s="30">
        <v>97</v>
      </c>
      <c r="I94" s="30">
        <v>16</v>
      </c>
      <c r="J94" s="30">
        <v>2</v>
      </c>
      <c r="K94" s="30">
        <v>18</v>
      </c>
      <c r="L94" s="30">
        <v>1</v>
      </c>
      <c r="M94" s="30">
        <v>3</v>
      </c>
    </row>
    <row r="95" spans="1:13">
      <c r="A95" s="30">
        <f ca="1" t="shared" si="1"/>
        <v>54</v>
      </c>
      <c r="B95" s="30">
        <f ca="1" t="array" ref="B95">INDEX(Data_DBD!$B:$B,$A95)</f>
        <v>7</v>
      </c>
      <c r="C95" s="30">
        <f ca="1" t="array" ref="C95">INDEX(Data_DBD!$C:$C,$A95)</f>
        <v>3</v>
      </c>
      <c r="D95" s="30">
        <f ca="1" t="array" ref="D95">INDEX(Data_DBD!$D:$D,$A95)</f>
        <v>15</v>
      </c>
      <c r="E95" s="30">
        <f ca="1" t="array" ref="E95">INDEX(Data_DBD!$E:$E,$A95)</f>
        <v>0</v>
      </c>
      <c r="F95" s="30">
        <f ca="1" t="array" ref="F95">INDEX(Data_DBD!$F:$F,$A95)</f>
        <v>2</v>
      </c>
      <c r="H95" s="30">
        <v>128</v>
      </c>
      <c r="I95" s="30">
        <v>38</v>
      </c>
      <c r="J95" s="30">
        <v>2</v>
      </c>
      <c r="K95" s="30">
        <v>33</v>
      </c>
      <c r="L95" s="30">
        <v>0</v>
      </c>
      <c r="M95" s="30">
        <v>3</v>
      </c>
    </row>
    <row r="96" spans="1:13">
      <c r="A96" s="30">
        <f ca="1" t="shared" si="1"/>
        <v>141</v>
      </c>
      <c r="B96" s="30">
        <f ca="1" t="array" ref="B96">INDEX(Data_DBD!$B:$B,$A96)</f>
        <v>36</v>
      </c>
      <c r="C96" s="30">
        <f ca="1" t="array" ref="C96">INDEX(Data_DBD!$C:$C,$A96)</f>
        <v>2</v>
      </c>
      <c r="D96" s="30">
        <f ca="1" t="array" ref="D96">INDEX(Data_DBD!$D:$D,$A96)</f>
        <v>21</v>
      </c>
      <c r="E96" s="30">
        <f ca="1" t="array" ref="E96">INDEX(Data_DBD!$E:$E,$A96)</f>
        <v>0</v>
      </c>
      <c r="F96" s="30">
        <f ca="1" t="array" ref="F96">INDEX(Data_DBD!$F:$F,$A96)</f>
        <v>3</v>
      </c>
      <c r="H96" s="30">
        <v>33</v>
      </c>
      <c r="I96" s="30">
        <v>19</v>
      </c>
      <c r="J96" s="30">
        <v>4</v>
      </c>
      <c r="K96" s="30">
        <v>14</v>
      </c>
      <c r="L96" s="30">
        <v>1</v>
      </c>
      <c r="M96" s="30">
        <v>2</v>
      </c>
    </row>
    <row r="97" spans="1:13">
      <c r="A97" s="30">
        <f ca="1" t="shared" si="1"/>
        <v>15</v>
      </c>
      <c r="B97" s="30">
        <f ca="1" t="array" ref="B97">INDEX(Data_DBD!$B:$B,$A97)</f>
        <v>21</v>
      </c>
      <c r="C97" s="30">
        <f ca="1" t="array" ref="C97">INDEX(Data_DBD!$C:$C,$A97)</f>
        <v>2</v>
      </c>
      <c r="D97" s="30">
        <f ca="1" t="array" ref="D97">INDEX(Data_DBD!$D:$D,$A97)</f>
        <v>7</v>
      </c>
      <c r="E97" s="30">
        <f ca="1" t="array" ref="E97">INDEX(Data_DBD!$E:$E,$A97)</f>
        <v>0</v>
      </c>
      <c r="F97" s="30">
        <f ca="1" t="array" ref="F97">INDEX(Data_DBD!$F:$F,$A97)</f>
        <v>1</v>
      </c>
      <c r="H97" s="30">
        <v>106</v>
      </c>
      <c r="I97" s="30">
        <v>23</v>
      </c>
      <c r="J97" s="30">
        <v>3</v>
      </c>
      <c r="K97" s="30">
        <v>18</v>
      </c>
      <c r="L97" s="30">
        <v>1</v>
      </c>
      <c r="M97" s="30">
        <v>3</v>
      </c>
    </row>
    <row r="98" spans="1:13">
      <c r="A98" s="30">
        <f ca="1" t="shared" si="1"/>
        <v>53</v>
      </c>
      <c r="B98" s="30">
        <f ca="1" t="array" ref="B98">INDEX(Data_DBD!$B:$B,$A98)</f>
        <v>35</v>
      </c>
      <c r="C98" s="30">
        <f ca="1" t="array" ref="C98">INDEX(Data_DBD!$C:$C,$A98)</f>
        <v>4</v>
      </c>
      <c r="D98" s="30">
        <f ca="1" t="array" ref="D98">INDEX(Data_DBD!$D:$D,$A98)</f>
        <v>15</v>
      </c>
      <c r="E98" s="30">
        <f ca="1" t="array" ref="E98">INDEX(Data_DBD!$E:$E,$A98)</f>
        <v>1</v>
      </c>
      <c r="F98" s="30">
        <f ca="1" t="array" ref="F98">INDEX(Data_DBD!$F:$F,$A98)</f>
        <v>2</v>
      </c>
      <c r="H98" s="30">
        <v>37</v>
      </c>
      <c r="I98" s="30">
        <v>28</v>
      </c>
      <c r="J98" s="30">
        <v>4</v>
      </c>
      <c r="K98" s="30">
        <v>4</v>
      </c>
      <c r="L98" s="30">
        <v>1</v>
      </c>
      <c r="M98" s="30">
        <v>1</v>
      </c>
    </row>
    <row r="99" spans="1:13">
      <c r="A99" s="30">
        <f ca="1" t="shared" si="1"/>
        <v>86</v>
      </c>
      <c r="B99" s="30">
        <f ca="1" t="array" ref="B99">INDEX(Data_DBD!$B:$B,$A99)</f>
        <v>23</v>
      </c>
      <c r="C99" s="30">
        <f ca="1" t="array" ref="C99">INDEX(Data_DBD!$C:$C,$A99)</f>
        <v>3</v>
      </c>
      <c r="D99" s="30">
        <f ca="1" t="array" ref="D99">INDEX(Data_DBD!$D:$D,$A99)</f>
        <v>13</v>
      </c>
      <c r="E99" s="30">
        <f ca="1" t="array" ref="E99">INDEX(Data_DBD!$E:$E,$A99)</f>
        <v>0</v>
      </c>
      <c r="F99" s="30">
        <f ca="1" t="array" ref="F99">INDEX(Data_DBD!$F:$F,$A99)</f>
        <v>2</v>
      </c>
      <c r="H99" s="30">
        <v>68</v>
      </c>
      <c r="I99" s="30">
        <v>44</v>
      </c>
      <c r="J99" s="30">
        <v>5</v>
      </c>
      <c r="K99" s="30">
        <v>10</v>
      </c>
      <c r="L99" s="30">
        <v>0</v>
      </c>
      <c r="M99" s="30">
        <v>2</v>
      </c>
    </row>
    <row r="100" spans="1:13">
      <c r="A100" s="30">
        <f ca="1" t="shared" si="1"/>
        <v>94</v>
      </c>
      <c r="B100" s="30">
        <f ca="1" t="array" ref="B100">INDEX(Data_DBD!$B:$B,$A100)</f>
        <v>12</v>
      </c>
      <c r="C100" s="30">
        <f ca="1" t="array" ref="C100">INDEX(Data_DBD!$C:$C,$A100)</f>
        <v>4</v>
      </c>
      <c r="D100" s="30">
        <f ca="1" t="array" ref="D100">INDEX(Data_DBD!$D:$D,$A100)</f>
        <v>18</v>
      </c>
      <c r="E100" s="30">
        <f ca="1" t="array" ref="E100">INDEX(Data_DBD!$E:$E,$A100)</f>
        <v>0</v>
      </c>
      <c r="F100" s="30">
        <f ca="1" t="array" ref="F100">INDEX(Data_DBD!$F:$F,$A100)</f>
        <v>3</v>
      </c>
      <c r="H100" s="30">
        <v>88</v>
      </c>
      <c r="I100" s="30">
        <v>20</v>
      </c>
      <c r="J100" s="30">
        <v>4</v>
      </c>
      <c r="K100" s="30">
        <v>13</v>
      </c>
      <c r="L100" s="30">
        <v>1</v>
      </c>
      <c r="M100" s="30">
        <v>2</v>
      </c>
    </row>
    <row r="101" spans="1:13">
      <c r="A101" s="30">
        <f ca="1" t="shared" si="1"/>
        <v>158</v>
      </c>
      <c r="B101" s="30">
        <f ca="1" t="array" ref="B101">INDEX(Data_DBD!$B:$B,$A101)</f>
        <v>5</v>
      </c>
      <c r="C101" s="30">
        <f ca="1" t="array" ref="C101">INDEX(Data_DBD!$C:$C,$A101)</f>
        <v>2</v>
      </c>
      <c r="D101" s="30">
        <f ca="1" t="array" ref="D101">INDEX(Data_DBD!$D:$D,$A101)</f>
        <v>21</v>
      </c>
      <c r="E101" s="30">
        <f ca="1" t="array" ref="E101">INDEX(Data_DBD!$E:$E,$A101)</f>
        <v>0</v>
      </c>
      <c r="F101" s="30">
        <f ca="1" t="array" ref="F101">INDEX(Data_DBD!$F:$F,$A101)</f>
        <v>3</v>
      </c>
      <c r="H101" s="30">
        <v>95</v>
      </c>
      <c r="I101" s="30">
        <v>11</v>
      </c>
      <c r="J101" s="30">
        <v>3</v>
      </c>
      <c r="K101" s="30">
        <v>18</v>
      </c>
      <c r="L101" s="30">
        <v>1</v>
      </c>
      <c r="M101" s="30">
        <v>3</v>
      </c>
    </row>
    <row r="102" spans="1:13">
      <c r="A102" s="30">
        <f ca="1" t="shared" si="1"/>
        <v>102</v>
      </c>
      <c r="B102" s="30">
        <f ca="1" t="array" ref="B102">INDEX(Data_DBD!$B:$B,$A102)</f>
        <v>41</v>
      </c>
      <c r="C102" s="30">
        <f ca="1" t="array" ref="C102">INDEX(Data_DBD!$C:$C,$A102)</f>
        <v>4</v>
      </c>
      <c r="D102" s="30">
        <f ca="1" t="array" ref="D102">INDEX(Data_DBD!$D:$D,$A102)</f>
        <v>18</v>
      </c>
      <c r="E102" s="30">
        <f ca="1" t="array" ref="E102">INDEX(Data_DBD!$E:$E,$A102)</f>
        <v>0</v>
      </c>
      <c r="F102" s="30">
        <f ca="1" t="array" ref="F102">INDEX(Data_DBD!$F:$F,$A102)</f>
        <v>3</v>
      </c>
      <c r="H102" s="30">
        <v>86</v>
      </c>
      <c r="I102" s="30">
        <v>23</v>
      </c>
      <c r="J102" s="30">
        <v>3</v>
      </c>
      <c r="K102" s="30">
        <v>13</v>
      </c>
      <c r="L102" s="30">
        <v>0</v>
      </c>
      <c r="M102" s="30">
        <v>2</v>
      </c>
    </row>
    <row r="103" spans="1:13">
      <c r="A103" s="30">
        <f ca="1" t="shared" si="1"/>
        <v>142</v>
      </c>
      <c r="B103" s="30">
        <f ca="1" t="array" ref="B103">INDEX(Data_DBD!$B:$B,$A103)</f>
        <v>39</v>
      </c>
      <c r="C103" s="30">
        <f ca="1" t="array" ref="C103">INDEX(Data_DBD!$C:$C,$A103)</f>
        <v>2</v>
      </c>
      <c r="D103" s="30">
        <f ca="1" t="array" ref="D103">INDEX(Data_DBD!$D:$D,$A103)</f>
        <v>21</v>
      </c>
      <c r="E103" s="30">
        <f ca="1" t="array" ref="E103">INDEX(Data_DBD!$E:$E,$A103)</f>
        <v>1</v>
      </c>
      <c r="F103" s="30">
        <f ca="1" t="array" ref="F103">INDEX(Data_DBD!$F:$F,$A103)</f>
        <v>3</v>
      </c>
      <c r="H103" s="30">
        <v>23</v>
      </c>
      <c r="I103" s="30">
        <v>28</v>
      </c>
      <c r="J103" s="30">
        <v>4</v>
      </c>
      <c r="K103" s="30">
        <v>14</v>
      </c>
      <c r="L103" s="30">
        <v>1</v>
      </c>
      <c r="M103" s="30">
        <v>2</v>
      </c>
    </row>
    <row r="104" spans="1:13">
      <c r="A104" s="30">
        <f ca="1" t="shared" si="1"/>
        <v>76</v>
      </c>
      <c r="B104" s="30">
        <f ca="1" t="array" ref="B104">INDEX(Data_DBD!$B:$B,$A104)</f>
        <v>70</v>
      </c>
      <c r="C104" s="30">
        <f ca="1" t="array" ref="C104">INDEX(Data_DBD!$C:$C,$A104)</f>
        <v>2</v>
      </c>
      <c r="D104" s="30">
        <f ca="1" t="array" ref="D104">INDEX(Data_DBD!$D:$D,$A104)</f>
        <v>10</v>
      </c>
      <c r="E104" s="30">
        <f ca="1" t="array" ref="E104">INDEX(Data_DBD!$E:$E,$A104)</f>
        <v>0</v>
      </c>
      <c r="F104" s="30">
        <f ca="1" t="array" ref="F104">INDEX(Data_DBD!$F:$F,$A104)</f>
        <v>2</v>
      </c>
      <c r="H104" s="30">
        <v>27</v>
      </c>
      <c r="I104" s="30">
        <v>37</v>
      </c>
      <c r="J104" s="30">
        <v>4</v>
      </c>
      <c r="K104" s="30">
        <v>14</v>
      </c>
      <c r="L104" s="30">
        <v>1</v>
      </c>
      <c r="M104" s="30">
        <v>2</v>
      </c>
    </row>
    <row r="105" spans="1:13">
      <c r="A105" s="30">
        <f ca="1" t="shared" si="1"/>
        <v>45</v>
      </c>
      <c r="B105" s="30">
        <f ca="1" t="array" ref="B105">INDEX(Data_DBD!$B:$B,$A105)</f>
        <v>75</v>
      </c>
      <c r="C105" s="30">
        <f ca="1" t="array" ref="C105">INDEX(Data_DBD!$C:$C,$A105)</f>
        <v>3</v>
      </c>
      <c r="D105" s="30">
        <f ca="1" t="array" ref="D105">INDEX(Data_DBD!$D:$D,$A105)</f>
        <v>13</v>
      </c>
      <c r="E105" s="30">
        <f ca="1" t="array" ref="E105">INDEX(Data_DBD!$E:$E,$A105)</f>
        <v>1</v>
      </c>
      <c r="F105" s="30">
        <f ca="1" t="array" ref="F105">INDEX(Data_DBD!$F:$F,$A105)</f>
        <v>2</v>
      </c>
      <c r="H105" s="30">
        <v>140</v>
      </c>
      <c r="I105" s="30">
        <v>74</v>
      </c>
      <c r="J105" s="30">
        <v>5</v>
      </c>
      <c r="K105" s="30">
        <v>21</v>
      </c>
      <c r="L105" s="30">
        <v>1</v>
      </c>
      <c r="M105" s="30">
        <v>3</v>
      </c>
    </row>
    <row r="106" spans="1:13">
      <c r="A106" s="30">
        <f ca="1" t="shared" si="1"/>
        <v>106</v>
      </c>
      <c r="B106" s="30">
        <f ca="1" t="array" ref="B106">INDEX(Data_DBD!$B:$B,$A106)</f>
        <v>23</v>
      </c>
      <c r="C106" s="30">
        <f ca="1" t="array" ref="C106">INDEX(Data_DBD!$C:$C,$A106)</f>
        <v>3</v>
      </c>
      <c r="D106" s="30">
        <f ca="1" t="array" ref="D106">INDEX(Data_DBD!$D:$D,$A106)</f>
        <v>18</v>
      </c>
      <c r="E106" s="30">
        <f ca="1" t="array" ref="E106">INDEX(Data_DBD!$E:$E,$A106)</f>
        <v>1</v>
      </c>
      <c r="F106" s="30">
        <f ca="1" t="array" ref="F106">INDEX(Data_DBD!$F:$F,$A106)</f>
        <v>3</v>
      </c>
      <c r="H106" s="30">
        <v>134</v>
      </c>
      <c r="I106" s="30">
        <v>4</v>
      </c>
      <c r="J106" s="30">
        <v>2</v>
      </c>
      <c r="K106" s="30">
        <v>33</v>
      </c>
      <c r="L106" s="30">
        <v>1</v>
      </c>
      <c r="M106" s="30">
        <v>3</v>
      </c>
    </row>
    <row r="107" spans="1:13">
      <c r="A107" s="30">
        <f ca="1" t="shared" si="1"/>
        <v>50</v>
      </c>
      <c r="B107" s="30">
        <f ca="1" t="array" ref="B107">INDEX(Data_DBD!$B:$B,$A107)</f>
        <v>19</v>
      </c>
      <c r="C107" s="30">
        <f ca="1" t="array" ref="C107">INDEX(Data_DBD!$C:$C,$A107)</f>
        <v>5</v>
      </c>
      <c r="D107" s="30">
        <f ca="1" t="array" ref="D107">INDEX(Data_DBD!$D:$D,$A107)</f>
        <v>13</v>
      </c>
      <c r="E107" s="30">
        <f ca="1" t="array" ref="E107">INDEX(Data_DBD!$E:$E,$A107)</f>
        <v>0</v>
      </c>
      <c r="F107" s="30">
        <f ca="1" t="array" ref="F107">INDEX(Data_DBD!$F:$F,$A107)</f>
        <v>2</v>
      </c>
      <c r="H107" s="30">
        <v>104</v>
      </c>
      <c r="I107" s="30">
        <v>37</v>
      </c>
      <c r="J107" s="30">
        <v>4</v>
      </c>
      <c r="K107" s="30">
        <v>18</v>
      </c>
      <c r="L107" s="30">
        <v>1</v>
      </c>
      <c r="M107" s="30">
        <v>3</v>
      </c>
    </row>
    <row r="108" spans="1:13">
      <c r="A108" s="30">
        <f ca="1" t="shared" si="1"/>
        <v>12</v>
      </c>
      <c r="B108" s="30">
        <f ca="1" t="array" ref="B108">INDEX(Data_DBD!$B:$B,$A108)</f>
        <v>23</v>
      </c>
      <c r="C108" s="30">
        <f ca="1" t="array" ref="C108">INDEX(Data_DBD!$C:$C,$A108)</f>
        <v>3</v>
      </c>
      <c r="D108" s="30">
        <f ca="1" t="array" ref="D108">INDEX(Data_DBD!$D:$D,$A108)</f>
        <v>12</v>
      </c>
      <c r="E108" s="30">
        <f ca="1" t="array" ref="E108">INDEX(Data_DBD!$E:$E,$A108)</f>
        <v>0</v>
      </c>
      <c r="F108" s="30">
        <f ca="1" t="array" ref="F108">INDEX(Data_DBD!$F:$F,$A108)</f>
        <v>2</v>
      </c>
      <c r="H108" s="30">
        <v>33</v>
      </c>
      <c r="I108" s="30">
        <v>19</v>
      </c>
      <c r="J108" s="30">
        <v>4</v>
      </c>
      <c r="K108" s="30">
        <v>14</v>
      </c>
      <c r="L108" s="30">
        <v>1</v>
      </c>
      <c r="M108" s="30">
        <v>2</v>
      </c>
    </row>
    <row r="109" spans="1:13">
      <c r="A109" s="30">
        <f ca="1" t="shared" si="1"/>
        <v>44</v>
      </c>
      <c r="B109" s="30">
        <f ca="1" t="array" ref="B109">INDEX(Data_DBD!$B:$B,$A109)</f>
        <v>28</v>
      </c>
      <c r="C109" s="30">
        <f ca="1" t="array" ref="C109">INDEX(Data_DBD!$C:$C,$A109)</f>
        <v>5</v>
      </c>
      <c r="D109" s="30">
        <f ca="1" t="array" ref="D109">INDEX(Data_DBD!$D:$D,$A109)</f>
        <v>13</v>
      </c>
      <c r="E109" s="30">
        <f ca="1" t="array" ref="E109">INDEX(Data_DBD!$E:$E,$A109)</f>
        <v>1</v>
      </c>
      <c r="F109" s="30">
        <f ca="1" t="array" ref="F109">INDEX(Data_DBD!$F:$F,$A109)</f>
        <v>2</v>
      </c>
      <c r="H109" s="30">
        <v>60</v>
      </c>
      <c r="I109" s="30">
        <v>68</v>
      </c>
      <c r="J109" s="30">
        <v>4</v>
      </c>
      <c r="K109" s="30">
        <v>15</v>
      </c>
      <c r="L109" s="30">
        <v>0</v>
      </c>
      <c r="M109" s="30">
        <v>2</v>
      </c>
    </row>
    <row r="110" spans="1:13">
      <c r="A110" s="30">
        <f ca="1" t="shared" si="1"/>
        <v>164</v>
      </c>
      <c r="B110" s="30">
        <f ca="1" t="array" ref="B110">INDEX(Data_DBD!$B:$B,$A110)</f>
        <v>10</v>
      </c>
      <c r="C110" s="30">
        <f ca="1" t="array" ref="C110">INDEX(Data_DBD!$C:$C,$A110)</f>
        <v>6</v>
      </c>
      <c r="D110" s="30">
        <f ca="1" t="array" ref="D110">INDEX(Data_DBD!$D:$D,$A110)</f>
        <v>3</v>
      </c>
      <c r="E110" s="30">
        <f ca="1" t="array" ref="E110">INDEX(Data_DBD!$E:$E,$A110)</f>
        <v>0</v>
      </c>
      <c r="F110" s="30">
        <f ca="1" t="array" ref="F110">INDEX(Data_DBD!$F:$F,$A110)</f>
        <v>1</v>
      </c>
      <c r="H110" s="30">
        <v>104</v>
      </c>
      <c r="I110" s="30">
        <v>37</v>
      </c>
      <c r="J110" s="30">
        <v>4</v>
      </c>
      <c r="K110" s="30">
        <v>18</v>
      </c>
      <c r="L110" s="30">
        <v>1</v>
      </c>
      <c r="M110" s="30">
        <v>3</v>
      </c>
    </row>
    <row r="111" spans="1:13">
      <c r="A111" s="30">
        <f ca="1" t="shared" si="1"/>
        <v>44</v>
      </c>
      <c r="B111" s="30">
        <f ca="1" t="array" ref="B111">INDEX(Data_DBD!$B:$B,$A111)</f>
        <v>28</v>
      </c>
      <c r="C111" s="30">
        <f ca="1" t="array" ref="C111">INDEX(Data_DBD!$C:$C,$A111)</f>
        <v>5</v>
      </c>
      <c r="D111" s="30">
        <f ca="1" t="array" ref="D111">INDEX(Data_DBD!$D:$D,$A111)</f>
        <v>13</v>
      </c>
      <c r="E111" s="30">
        <f ca="1" t="array" ref="E111">INDEX(Data_DBD!$E:$E,$A111)</f>
        <v>1</v>
      </c>
      <c r="F111" s="30">
        <f ca="1" t="array" ref="F111">INDEX(Data_DBD!$F:$F,$A111)</f>
        <v>2</v>
      </c>
      <c r="H111" s="30">
        <v>113</v>
      </c>
      <c r="I111" s="30">
        <v>69</v>
      </c>
      <c r="J111" s="30">
        <v>1</v>
      </c>
      <c r="K111" s="30">
        <v>33</v>
      </c>
      <c r="L111" s="30">
        <v>1</v>
      </c>
      <c r="M111" s="30">
        <v>3</v>
      </c>
    </row>
    <row r="112" spans="1:13">
      <c r="A112" s="30">
        <f ca="1" t="shared" si="1"/>
        <v>64</v>
      </c>
      <c r="B112" s="30">
        <f ca="1" t="array" ref="B112">INDEX(Data_DBD!$B:$B,$A112)</f>
        <v>35</v>
      </c>
      <c r="C112" s="30">
        <f ca="1" t="array" ref="C112">INDEX(Data_DBD!$C:$C,$A112)</f>
        <v>1</v>
      </c>
      <c r="D112" s="30">
        <f ca="1" t="array" ref="D112">INDEX(Data_DBD!$D:$D,$A112)</f>
        <v>15</v>
      </c>
      <c r="E112" s="30">
        <f ca="1" t="array" ref="E112">INDEX(Data_DBD!$E:$E,$A112)</f>
        <v>0</v>
      </c>
      <c r="F112" s="30">
        <f ca="1" t="array" ref="F112">INDEX(Data_DBD!$F:$F,$A112)</f>
        <v>2</v>
      </c>
      <c r="H112" s="30">
        <v>12</v>
      </c>
      <c r="I112" s="30">
        <v>23</v>
      </c>
      <c r="J112" s="30">
        <v>3</v>
      </c>
      <c r="K112" s="30">
        <v>12</v>
      </c>
      <c r="L112" s="30">
        <v>0</v>
      </c>
      <c r="M112" s="30">
        <v>2</v>
      </c>
    </row>
    <row r="113" spans="1:13">
      <c r="A113" s="30">
        <f ca="1" t="shared" si="1"/>
        <v>112</v>
      </c>
      <c r="B113" s="30">
        <f ca="1" t="array" ref="B113">INDEX(Data_DBD!$B:$B,$A113)</f>
        <v>61</v>
      </c>
      <c r="C113" s="30">
        <f ca="1" t="array" ref="C113">INDEX(Data_DBD!$C:$C,$A113)</f>
        <v>3</v>
      </c>
      <c r="D113" s="30">
        <f ca="1" t="array" ref="D113">INDEX(Data_DBD!$D:$D,$A113)</f>
        <v>33</v>
      </c>
      <c r="E113" s="30">
        <f ca="1" t="array" ref="E113">INDEX(Data_DBD!$E:$E,$A113)</f>
        <v>1</v>
      </c>
      <c r="F113" s="30">
        <f ca="1" t="array" ref="F113">INDEX(Data_DBD!$F:$F,$A113)</f>
        <v>3</v>
      </c>
      <c r="H113" s="30">
        <v>132</v>
      </c>
      <c r="I113" s="30">
        <v>10</v>
      </c>
      <c r="J113" s="30">
        <v>3</v>
      </c>
      <c r="K113" s="30">
        <v>33</v>
      </c>
      <c r="L113" s="30">
        <v>1</v>
      </c>
      <c r="M113" s="30">
        <v>3</v>
      </c>
    </row>
    <row r="114" spans="1:13">
      <c r="A114" s="30">
        <f ca="1" t="shared" si="1"/>
        <v>128</v>
      </c>
      <c r="B114" s="30">
        <f ca="1" t="array" ref="B114">INDEX(Data_DBD!$B:$B,$A114)</f>
        <v>38</v>
      </c>
      <c r="C114" s="30">
        <f ca="1" t="array" ref="C114">INDEX(Data_DBD!$C:$C,$A114)</f>
        <v>2</v>
      </c>
      <c r="D114" s="30">
        <f ca="1" t="array" ref="D114">INDEX(Data_DBD!$D:$D,$A114)</f>
        <v>33</v>
      </c>
      <c r="E114" s="30">
        <f ca="1" t="array" ref="E114">INDEX(Data_DBD!$E:$E,$A114)</f>
        <v>0</v>
      </c>
      <c r="F114" s="30">
        <f ca="1" t="array" ref="F114">INDEX(Data_DBD!$F:$F,$A114)</f>
        <v>3</v>
      </c>
      <c r="H114" s="30">
        <v>92</v>
      </c>
      <c r="I114" s="30">
        <v>55</v>
      </c>
      <c r="J114" s="30">
        <v>7</v>
      </c>
      <c r="K114" s="30">
        <v>18</v>
      </c>
      <c r="L114" s="30">
        <v>0</v>
      </c>
      <c r="M114" s="30">
        <v>3</v>
      </c>
    </row>
    <row r="115" spans="1:13">
      <c r="A115" s="30">
        <f ca="1" t="shared" si="1"/>
        <v>54</v>
      </c>
      <c r="B115" s="30">
        <f ca="1" t="array" ref="B115">INDEX(Data_DBD!$B:$B,$A115)</f>
        <v>7</v>
      </c>
      <c r="C115" s="30">
        <f ca="1" t="array" ref="C115">INDEX(Data_DBD!$C:$C,$A115)</f>
        <v>3</v>
      </c>
      <c r="D115" s="30">
        <f ca="1" t="array" ref="D115">INDEX(Data_DBD!$D:$D,$A115)</f>
        <v>15</v>
      </c>
      <c r="E115" s="30">
        <f ca="1" t="array" ref="E115">INDEX(Data_DBD!$E:$E,$A115)</f>
        <v>0</v>
      </c>
      <c r="F115" s="30">
        <f ca="1" t="array" ref="F115">INDEX(Data_DBD!$F:$F,$A115)</f>
        <v>2</v>
      </c>
      <c r="H115" s="30">
        <v>106</v>
      </c>
      <c r="I115" s="30">
        <v>23</v>
      </c>
      <c r="J115" s="30">
        <v>3</v>
      </c>
      <c r="K115" s="30">
        <v>18</v>
      </c>
      <c r="L115" s="30">
        <v>1</v>
      </c>
      <c r="M115" s="30">
        <v>3</v>
      </c>
    </row>
    <row r="116" spans="1:13">
      <c r="A116" s="30">
        <f ca="1" t="shared" si="1"/>
        <v>44</v>
      </c>
      <c r="B116" s="30">
        <f ca="1" t="array" ref="B116">INDEX(Data_DBD!$B:$B,$A116)</f>
        <v>28</v>
      </c>
      <c r="C116" s="30">
        <f ca="1" t="array" ref="C116">INDEX(Data_DBD!$C:$C,$A116)</f>
        <v>5</v>
      </c>
      <c r="D116" s="30">
        <f ca="1" t="array" ref="D116">INDEX(Data_DBD!$D:$D,$A116)</f>
        <v>13</v>
      </c>
      <c r="E116" s="30">
        <f ca="1" t="array" ref="E116">INDEX(Data_DBD!$E:$E,$A116)</f>
        <v>1</v>
      </c>
      <c r="F116" s="30">
        <f ca="1" t="array" ref="F116">INDEX(Data_DBD!$F:$F,$A116)</f>
        <v>2</v>
      </c>
      <c r="H116" s="30">
        <v>64</v>
      </c>
      <c r="I116" s="30">
        <v>35</v>
      </c>
      <c r="J116" s="30">
        <v>1</v>
      </c>
      <c r="K116" s="30">
        <v>15</v>
      </c>
      <c r="L116" s="30">
        <v>0</v>
      </c>
      <c r="M116" s="30">
        <v>2</v>
      </c>
    </row>
    <row r="117" spans="1:13">
      <c r="A117" s="30">
        <f ca="1" t="shared" si="1"/>
        <v>11</v>
      </c>
      <c r="B117" s="30">
        <f ca="1" t="array" ref="B117">INDEX(Data_DBD!$B:$B,$A117)</f>
        <v>24</v>
      </c>
      <c r="C117" s="30">
        <f ca="1" t="array" ref="C117">INDEX(Data_DBD!$C:$C,$A117)</f>
        <v>5</v>
      </c>
      <c r="D117" s="30">
        <f ca="1" t="array" ref="D117">INDEX(Data_DBD!$D:$D,$A117)</f>
        <v>12</v>
      </c>
      <c r="E117" s="30">
        <f ca="1" t="array" ref="E117">INDEX(Data_DBD!$E:$E,$A117)</f>
        <v>1</v>
      </c>
      <c r="F117" s="30">
        <f ca="1" t="array" ref="F117">INDEX(Data_DBD!$F:$F,$A117)</f>
        <v>2</v>
      </c>
      <c r="H117" s="30">
        <v>29</v>
      </c>
      <c r="I117" s="30">
        <v>19</v>
      </c>
      <c r="J117" s="30">
        <v>2</v>
      </c>
      <c r="K117" s="30">
        <v>14</v>
      </c>
      <c r="L117" s="30">
        <v>1</v>
      </c>
      <c r="M117" s="30">
        <v>2</v>
      </c>
    </row>
    <row r="118" spans="1:13">
      <c r="A118" s="30">
        <f ca="1" t="shared" si="1"/>
        <v>96</v>
      </c>
      <c r="B118" s="30">
        <f ca="1" t="array" ref="B118">INDEX(Data_DBD!$B:$B,$A118)</f>
        <v>56</v>
      </c>
      <c r="C118" s="30">
        <f ca="1" t="array" ref="C118">INDEX(Data_DBD!$C:$C,$A118)</f>
        <v>4</v>
      </c>
      <c r="D118" s="30">
        <f ca="1" t="array" ref="D118">INDEX(Data_DBD!$D:$D,$A118)</f>
        <v>18</v>
      </c>
      <c r="E118" s="30">
        <f ca="1" t="array" ref="E118">INDEX(Data_DBD!$E:$E,$A118)</f>
        <v>0</v>
      </c>
      <c r="F118" s="30">
        <f ca="1" t="array" ref="F118">INDEX(Data_DBD!$F:$F,$A118)</f>
        <v>3</v>
      </c>
      <c r="H118" s="30">
        <v>55</v>
      </c>
      <c r="I118" s="30">
        <v>7</v>
      </c>
      <c r="J118" s="30">
        <v>4</v>
      </c>
      <c r="K118" s="30">
        <v>15</v>
      </c>
      <c r="L118" s="30">
        <v>1</v>
      </c>
      <c r="M118" s="30">
        <v>2</v>
      </c>
    </row>
    <row r="119" spans="1:13">
      <c r="A119" s="30">
        <f ca="1" t="shared" si="1"/>
        <v>53</v>
      </c>
      <c r="B119" s="30">
        <f ca="1" t="array" ref="B119">INDEX(Data_DBD!$B:$B,$A119)</f>
        <v>35</v>
      </c>
      <c r="C119" s="30">
        <f ca="1" t="array" ref="C119">INDEX(Data_DBD!$C:$C,$A119)</f>
        <v>4</v>
      </c>
      <c r="D119" s="30">
        <f ca="1" t="array" ref="D119">INDEX(Data_DBD!$D:$D,$A119)</f>
        <v>15</v>
      </c>
      <c r="E119" s="30">
        <f ca="1" t="array" ref="E119">INDEX(Data_DBD!$E:$E,$A119)</f>
        <v>1</v>
      </c>
      <c r="F119" s="30">
        <f ca="1" t="array" ref="F119">INDEX(Data_DBD!$F:$F,$A119)</f>
        <v>2</v>
      </c>
      <c r="H119" s="30">
        <v>112</v>
      </c>
      <c r="I119" s="30">
        <v>61</v>
      </c>
      <c r="J119" s="30">
        <v>3</v>
      </c>
      <c r="K119" s="30">
        <v>33</v>
      </c>
      <c r="L119" s="30">
        <v>1</v>
      </c>
      <c r="M119" s="30">
        <v>3</v>
      </c>
    </row>
    <row r="120" spans="1:13">
      <c r="A120" s="30">
        <f ca="1" t="shared" si="1"/>
        <v>23</v>
      </c>
      <c r="B120" s="30">
        <f ca="1" t="array" ref="B120">INDEX(Data_DBD!$B:$B,$A120)</f>
        <v>28</v>
      </c>
      <c r="C120" s="30">
        <f ca="1" t="array" ref="C120">INDEX(Data_DBD!$C:$C,$A120)</f>
        <v>4</v>
      </c>
      <c r="D120" s="30">
        <f ca="1" t="array" ref="D120">INDEX(Data_DBD!$D:$D,$A120)</f>
        <v>14</v>
      </c>
      <c r="E120" s="30">
        <f ca="1" t="array" ref="E120">INDEX(Data_DBD!$E:$E,$A120)</f>
        <v>1</v>
      </c>
      <c r="F120" s="30">
        <f ca="1" t="array" ref="F120">INDEX(Data_DBD!$F:$F,$A120)</f>
        <v>2</v>
      </c>
      <c r="H120" s="30">
        <v>46</v>
      </c>
      <c r="I120" s="30">
        <v>62</v>
      </c>
      <c r="J120" s="30">
        <v>2</v>
      </c>
      <c r="K120" s="30">
        <v>13</v>
      </c>
      <c r="L120" s="30">
        <v>0</v>
      </c>
      <c r="M120" s="30">
        <v>2</v>
      </c>
    </row>
    <row r="121" spans="1:13">
      <c r="A121" s="30">
        <f ca="1" t="shared" si="1"/>
        <v>163</v>
      </c>
      <c r="B121" s="30">
        <f ca="1" t="array" ref="B121">INDEX(Data_DBD!$B:$B,$A121)</f>
        <v>34</v>
      </c>
      <c r="C121" s="30">
        <f ca="1" t="array" ref="C121">INDEX(Data_DBD!$C:$C,$A121)</f>
        <v>4</v>
      </c>
      <c r="D121" s="30">
        <f ca="1" t="array" ref="D121">INDEX(Data_DBD!$D:$D,$A121)</f>
        <v>3</v>
      </c>
      <c r="E121" s="30">
        <f ca="1" t="array" ref="E121">INDEX(Data_DBD!$E:$E,$A121)</f>
        <v>1</v>
      </c>
      <c r="F121" s="30">
        <f ca="1" t="array" ref="F121">INDEX(Data_DBD!$F:$F,$A121)</f>
        <v>1</v>
      </c>
      <c r="H121" s="30">
        <v>39</v>
      </c>
      <c r="I121" s="30">
        <v>12</v>
      </c>
      <c r="J121" s="30">
        <v>5</v>
      </c>
      <c r="K121" s="30">
        <v>13</v>
      </c>
      <c r="L121" s="30">
        <v>1</v>
      </c>
      <c r="M121" s="30">
        <v>2</v>
      </c>
    </row>
    <row r="122" spans="1:13">
      <c r="A122" s="30">
        <f ca="1" t="shared" si="1"/>
        <v>30</v>
      </c>
      <c r="B122" s="30" t="str">
        <f ca="1" t="array" ref="B122">INDEX(Data_DBD!$B:$B,$A122)</f>
        <v>2,8</v>
      </c>
      <c r="C122" s="30">
        <f ca="1" t="array" ref="C122">INDEX(Data_DBD!$C:$C,$A122)</f>
        <v>2</v>
      </c>
      <c r="D122" s="30">
        <f ca="1" t="array" ref="D122">INDEX(Data_DBD!$D:$D,$A122)</f>
        <v>14</v>
      </c>
      <c r="E122" s="30">
        <f ca="1" t="array" ref="E122">INDEX(Data_DBD!$E:$E,$A122)</f>
        <v>1</v>
      </c>
      <c r="F122" s="30">
        <f ca="1" t="array" ref="F122">INDEX(Data_DBD!$F:$F,$A122)</f>
        <v>2</v>
      </c>
      <c r="H122" s="30">
        <v>41</v>
      </c>
      <c r="I122" s="30">
        <v>8</v>
      </c>
      <c r="J122" s="30">
        <v>4</v>
      </c>
      <c r="K122" s="30">
        <v>13</v>
      </c>
      <c r="L122" s="30">
        <v>0</v>
      </c>
      <c r="M122" s="30">
        <v>2</v>
      </c>
    </row>
    <row r="123" spans="1:13">
      <c r="A123" s="30">
        <f ca="1" t="shared" si="1"/>
        <v>48</v>
      </c>
      <c r="B123" s="30">
        <f ca="1" t="array" ref="B123">INDEX(Data_DBD!$B:$B,$A123)</f>
        <v>50</v>
      </c>
      <c r="C123" s="30">
        <f ca="1" t="array" ref="C123">INDEX(Data_DBD!$C:$C,$A123)</f>
        <v>5</v>
      </c>
      <c r="D123" s="30">
        <f ca="1" t="array" ref="D123">INDEX(Data_DBD!$D:$D,$A123)</f>
        <v>13</v>
      </c>
      <c r="E123" s="30">
        <f ca="1" t="array" ref="E123">INDEX(Data_DBD!$E:$E,$A123)</f>
        <v>1</v>
      </c>
      <c r="F123" s="30">
        <f ca="1" t="array" ref="F123">INDEX(Data_DBD!$F:$F,$A123)</f>
        <v>2</v>
      </c>
      <c r="H123" s="30">
        <v>73</v>
      </c>
      <c r="I123" s="30">
        <v>15</v>
      </c>
      <c r="J123" s="30">
        <v>3</v>
      </c>
      <c r="K123" s="30">
        <v>10</v>
      </c>
      <c r="L123" s="30">
        <v>1</v>
      </c>
      <c r="M123" s="30">
        <v>2</v>
      </c>
    </row>
    <row r="124" spans="1:13">
      <c r="A124" s="30">
        <f ca="1" t="shared" si="1"/>
        <v>25</v>
      </c>
      <c r="B124" s="30">
        <f ca="1" t="array" ref="B124">INDEX(Data_DBD!$B:$B,$A124)</f>
        <v>81</v>
      </c>
      <c r="C124" s="30">
        <f ca="1" t="array" ref="C124">INDEX(Data_DBD!$C:$C,$A124)</f>
        <v>5</v>
      </c>
      <c r="D124" s="30">
        <f ca="1" t="array" ref="D124">INDEX(Data_DBD!$D:$D,$A124)</f>
        <v>14</v>
      </c>
      <c r="E124" s="30">
        <f ca="1" t="array" ref="E124">INDEX(Data_DBD!$E:$E,$A124)</f>
        <v>0</v>
      </c>
      <c r="F124" s="30">
        <f ca="1" t="array" ref="F124">INDEX(Data_DBD!$F:$F,$A124)</f>
        <v>2</v>
      </c>
      <c r="H124" s="30">
        <v>125</v>
      </c>
      <c r="I124" s="30">
        <v>39</v>
      </c>
      <c r="J124" s="30">
        <v>4</v>
      </c>
      <c r="K124" s="30">
        <v>33</v>
      </c>
      <c r="L124" s="30">
        <v>0</v>
      </c>
      <c r="M124" s="30">
        <v>3</v>
      </c>
    </row>
    <row r="125" spans="1:13">
      <c r="A125" s="30">
        <f ca="1" t="shared" si="1"/>
        <v>27</v>
      </c>
      <c r="B125" s="30">
        <f ca="1" t="array" ref="B125">INDEX(Data_DBD!$B:$B,$A125)</f>
        <v>37</v>
      </c>
      <c r="C125" s="30">
        <f ca="1" t="array" ref="C125">INDEX(Data_DBD!$C:$C,$A125)</f>
        <v>4</v>
      </c>
      <c r="D125" s="30">
        <f ca="1" t="array" ref="D125">INDEX(Data_DBD!$D:$D,$A125)</f>
        <v>14</v>
      </c>
      <c r="E125" s="30">
        <f ca="1" t="array" ref="E125">INDEX(Data_DBD!$E:$E,$A125)</f>
        <v>1</v>
      </c>
      <c r="F125" s="30">
        <f ca="1" t="array" ref="F125">INDEX(Data_DBD!$F:$F,$A125)</f>
        <v>2</v>
      </c>
      <c r="H125" s="30">
        <v>140</v>
      </c>
      <c r="I125" s="30">
        <v>74</v>
      </c>
      <c r="J125" s="30">
        <v>5</v>
      </c>
      <c r="K125" s="30">
        <v>21</v>
      </c>
      <c r="L125" s="30">
        <v>1</v>
      </c>
      <c r="M125" s="30">
        <v>3</v>
      </c>
    </row>
    <row r="126" spans="1:13">
      <c r="A126" s="30">
        <f ca="1" t="shared" si="1"/>
        <v>43</v>
      </c>
      <c r="B126" s="30">
        <f ca="1" t="array" ref="B126">INDEX(Data_DBD!$B:$B,$A126)</f>
        <v>15</v>
      </c>
      <c r="C126" s="30">
        <f ca="1" t="array" ref="C126">INDEX(Data_DBD!$C:$C,$A126)</f>
        <v>4</v>
      </c>
      <c r="D126" s="30">
        <f ca="1" t="array" ref="D126">INDEX(Data_DBD!$D:$D,$A126)</f>
        <v>13</v>
      </c>
      <c r="E126" s="30">
        <f ca="1" t="array" ref="E126">INDEX(Data_DBD!$E:$E,$A126)</f>
        <v>0</v>
      </c>
      <c r="F126" s="30">
        <f ca="1" t="array" ref="F126">INDEX(Data_DBD!$F:$F,$A126)</f>
        <v>2</v>
      </c>
      <c r="H126" s="30">
        <v>100</v>
      </c>
      <c r="I126" s="30">
        <v>19</v>
      </c>
      <c r="J126" s="30">
        <v>6</v>
      </c>
      <c r="K126" s="30">
        <v>18</v>
      </c>
      <c r="L126" s="30">
        <v>0</v>
      </c>
      <c r="M126" s="30">
        <v>3</v>
      </c>
    </row>
    <row r="127" spans="1:13">
      <c r="A127" s="30">
        <f ca="1" t="shared" si="1"/>
        <v>61</v>
      </c>
      <c r="B127" s="30">
        <f ca="1" t="array" ref="B127">INDEX(Data_DBD!$B:$B,$A127)</f>
        <v>29</v>
      </c>
      <c r="C127" s="30">
        <f ca="1" t="array" ref="C127">INDEX(Data_DBD!$C:$C,$A127)</f>
        <v>3</v>
      </c>
      <c r="D127" s="30">
        <f ca="1" t="array" ref="D127">INDEX(Data_DBD!$D:$D,$A127)</f>
        <v>15</v>
      </c>
      <c r="E127" s="30">
        <f ca="1" t="array" ref="E127">INDEX(Data_DBD!$E:$E,$A127)</f>
        <v>1</v>
      </c>
      <c r="F127" s="30">
        <f ca="1" t="array" ref="F127">INDEX(Data_DBD!$F:$F,$A127)</f>
        <v>2</v>
      </c>
      <c r="H127" s="30">
        <v>107</v>
      </c>
      <c r="I127" s="30">
        <v>48</v>
      </c>
      <c r="J127" s="30">
        <v>5</v>
      </c>
      <c r="K127" s="30">
        <v>18</v>
      </c>
      <c r="L127" s="30">
        <v>0</v>
      </c>
      <c r="M127" s="30">
        <v>3</v>
      </c>
    </row>
    <row r="128" spans="1:13">
      <c r="A128" s="30">
        <f ca="1" t="shared" si="1"/>
        <v>42</v>
      </c>
      <c r="B128" s="30">
        <f ca="1" t="array" ref="B128">INDEX(Data_DBD!$B:$B,$A128)</f>
        <v>21</v>
      </c>
      <c r="C128" s="30">
        <f ca="1" t="array" ref="C128">INDEX(Data_DBD!$C:$C,$A128)</f>
        <v>5</v>
      </c>
      <c r="D128" s="30">
        <f ca="1" t="array" ref="D128">INDEX(Data_DBD!$D:$D,$A128)</f>
        <v>13</v>
      </c>
      <c r="E128" s="30">
        <f ca="1" t="array" ref="E128">INDEX(Data_DBD!$E:$E,$A128)</f>
        <v>1</v>
      </c>
      <c r="F128" s="30">
        <f ca="1" t="array" ref="F128">INDEX(Data_DBD!$F:$F,$A128)</f>
        <v>2</v>
      </c>
      <c r="H128" s="30">
        <v>21</v>
      </c>
      <c r="I128" s="30">
        <v>10</v>
      </c>
      <c r="J128" s="30">
        <v>5</v>
      </c>
      <c r="K128" s="30">
        <v>14</v>
      </c>
      <c r="L128" s="30">
        <v>1</v>
      </c>
      <c r="M128" s="30">
        <v>2</v>
      </c>
    </row>
    <row r="129" spans="1:13">
      <c r="A129" s="30">
        <f ca="1" t="shared" si="1"/>
        <v>27</v>
      </c>
      <c r="B129" s="30">
        <f ca="1" t="array" ref="B129">INDEX(Data_DBD!$B:$B,$A129)</f>
        <v>37</v>
      </c>
      <c r="C129" s="30">
        <f ca="1" t="array" ref="C129">INDEX(Data_DBD!$C:$C,$A129)</f>
        <v>4</v>
      </c>
      <c r="D129" s="30">
        <f ca="1" t="array" ref="D129">INDEX(Data_DBD!$D:$D,$A129)</f>
        <v>14</v>
      </c>
      <c r="E129" s="30">
        <f ca="1" t="array" ref="E129">INDEX(Data_DBD!$E:$E,$A129)</f>
        <v>1</v>
      </c>
      <c r="F129" s="30">
        <f ca="1" t="array" ref="F129">INDEX(Data_DBD!$F:$F,$A129)</f>
        <v>2</v>
      </c>
      <c r="H129" s="30">
        <v>53</v>
      </c>
      <c r="I129" s="30">
        <v>35</v>
      </c>
      <c r="J129" s="30">
        <v>4</v>
      </c>
      <c r="K129" s="30">
        <v>15</v>
      </c>
      <c r="L129" s="30">
        <v>1</v>
      </c>
      <c r="M129" s="30">
        <v>2</v>
      </c>
    </row>
    <row r="130" spans="1:13">
      <c r="A130" s="30">
        <f ca="1" t="shared" si="1"/>
        <v>63</v>
      </c>
      <c r="B130" s="30">
        <f ca="1" t="array" ref="B130">INDEX(Data_DBD!$B:$B,$A130)</f>
        <v>25</v>
      </c>
      <c r="C130" s="30">
        <f ca="1" t="array" ref="C130">INDEX(Data_DBD!$C:$C,$A130)</f>
        <v>3</v>
      </c>
      <c r="D130" s="30">
        <f ca="1" t="array" ref="D130">INDEX(Data_DBD!$D:$D,$A130)</f>
        <v>15</v>
      </c>
      <c r="E130" s="30">
        <f ca="1" t="array" ref="E130">INDEX(Data_DBD!$E:$E,$A130)</f>
        <v>0</v>
      </c>
      <c r="F130" s="30">
        <f ca="1" t="array" ref="F130">INDEX(Data_DBD!$F:$F,$A130)</f>
        <v>2</v>
      </c>
      <c r="H130" s="30">
        <v>22</v>
      </c>
      <c r="I130" s="30">
        <v>6</v>
      </c>
      <c r="J130" s="30">
        <v>3</v>
      </c>
      <c r="K130" s="30">
        <v>14</v>
      </c>
      <c r="L130" s="30">
        <v>0</v>
      </c>
      <c r="M130" s="30">
        <v>2</v>
      </c>
    </row>
    <row r="131" spans="1:13">
      <c r="A131" s="30">
        <f ca="1" t="shared" ref="A131:A164" si="2">RANDBETWEEN(2,164)</f>
        <v>153</v>
      </c>
      <c r="B131" s="30">
        <f ca="1" t="array" ref="B131">INDEX(Data_DBD!$B:$B,$A131)</f>
        <v>73</v>
      </c>
      <c r="C131" s="30">
        <f ca="1" t="array" ref="C131">INDEX(Data_DBD!$C:$C,$A131)</f>
        <v>7</v>
      </c>
      <c r="D131" s="30">
        <f ca="1" t="array" ref="D131">INDEX(Data_DBD!$D:$D,$A131)</f>
        <v>21</v>
      </c>
      <c r="E131" s="30">
        <f ca="1" t="array" ref="E131">INDEX(Data_DBD!$E:$E,$A131)</f>
        <v>1</v>
      </c>
      <c r="F131" s="30">
        <f ca="1" t="array" ref="F131">INDEX(Data_DBD!$F:$F,$A131)</f>
        <v>3</v>
      </c>
      <c r="H131" s="30">
        <v>19</v>
      </c>
      <c r="I131" s="30">
        <v>8</v>
      </c>
      <c r="J131" s="30">
        <v>4</v>
      </c>
      <c r="K131" s="30">
        <v>7</v>
      </c>
      <c r="L131" s="30">
        <v>0</v>
      </c>
      <c r="M131" s="30">
        <v>1</v>
      </c>
    </row>
    <row r="132" spans="1:13">
      <c r="A132" s="30">
        <f ca="1" t="shared" si="2"/>
        <v>35</v>
      </c>
      <c r="B132" s="30">
        <f ca="1" t="array" ref="B132">INDEX(Data_DBD!$B:$B,$A132)</f>
        <v>40</v>
      </c>
      <c r="C132" s="30">
        <f ca="1" t="array" ref="C132">INDEX(Data_DBD!$C:$C,$A132)</f>
        <v>3</v>
      </c>
      <c r="D132" s="30">
        <f ca="1" t="array" ref="D132">INDEX(Data_DBD!$D:$D,$A132)</f>
        <v>4</v>
      </c>
      <c r="E132" s="30">
        <f ca="1" t="array" ref="E132">INDEX(Data_DBD!$E:$E,$A132)</f>
        <v>1</v>
      </c>
      <c r="F132" s="30">
        <f ca="1" t="array" ref="F132">INDEX(Data_DBD!$F:$F,$A132)</f>
        <v>1</v>
      </c>
      <c r="H132" s="30">
        <v>101</v>
      </c>
      <c r="I132" s="30">
        <v>42</v>
      </c>
      <c r="J132" s="30">
        <v>5</v>
      </c>
      <c r="K132" s="30">
        <v>18</v>
      </c>
      <c r="L132" s="30">
        <v>0</v>
      </c>
      <c r="M132" s="30">
        <v>3</v>
      </c>
    </row>
    <row r="133" spans="1:13">
      <c r="A133" s="30">
        <f ca="1" t="shared" si="2"/>
        <v>69</v>
      </c>
      <c r="B133" s="30">
        <f ca="1" t="array" ref="B133">INDEX(Data_DBD!$B:$B,$A133)</f>
        <v>24</v>
      </c>
      <c r="C133" s="30">
        <f ca="1" t="array" ref="C133">INDEX(Data_DBD!$C:$C,$A133)</f>
        <v>4</v>
      </c>
      <c r="D133" s="30">
        <f ca="1" t="array" ref="D133">INDEX(Data_DBD!$D:$D,$A133)</f>
        <v>10</v>
      </c>
      <c r="E133" s="30">
        <f ca="1" t="array" ref="E133">INDEX(Data_DBD!$E:$E,$A133)</f>
        <v>1</v>
      </c>
      <c r="F133" s="30">
        <f ca="1" t="array" ref="F133">INDEX(Data_DBD!$F:$F,$A133)</f>
        <v>2</v>
      </c>
      <c r="H133" s="30">
        <v>39</v>
      </c>
      <c r="I133" s="30">
        <v>12</v>
      </c>
      <c r="J133" s="30">
        <v>5</v>
      </c>
      <c r="K133" s="30">
        <v>13</v>
      </c>
      <c r="L133" s="30">
        <v>1</v>
      </c>
      <c r="M133" s="30">
        <v>2</v>
      </c>
    </row>
    <row r="134" spans="1:13">
      <c r="A134" s="30">
        <f ca="1" t="shared" si="2"/>
        <v>54</v>
      </c>
      <c r="B134" s="30">
        <f ca="1" t="array" ref="B134">INDEX(Data_DBD!$B:$B,$A134)</f>
        <v>7</v>
      </c>
      <c r="C134" s="30">
        <f ca="1" t="array" ref="C134">INDEX(Data_DBD!$C:$C,$A134)</f>
        <v>3</v>
      </c>
      <c r="D134" s="30">
        <f ca="1" t="array" ref="D134">INDEX(Data_DBD!$D:$D,$A134)</f>
        <v>15</v>
      </c>
      <c r="E134" s="30">
        <f ca="1" t="array" ref="E134">INDEX(Data_DBD!$E:$E,$A134)</f>
        <v>0</v>
      </c>
      <c r="F134" s="30">
        <f ca="1" t="array" ref="F134">INDEX(Data_DBD!$F:$F,$A134)</f>
        <v>2</v>
      </c>
      <c r="H134" s="30">
        <v>130</v>
      </c>
      <c r="I134" s="30">
        <v>12</v>
      </c>
      <c r="J134" s="30">
        <v>4</v>
      </c>
      <c r="K134" s="30">
        <v>33</v>
      </c>
      <c r="L134" s="30">
        <v>0</v>
      </c>
      <c r="M134" s="30">
        <v>3</v>
      </c>
    </row>
    <row r="135" spans="1:13">
      <c r="A135" s="30">
        <f ca="1" t="shared" si="2"/>
        <v>30</v>
      </c>
      <c r="B135" s="30" t="str">
        <f ca="1" t="array" ref="B135">INDEX(Data_DBD!$B:$B,$A135)</f>
        <v>2,8</v>
      </c>
      <c r="C135" s="30">
        <f ca="1" t="array" ref="C135">INDEX(Data_DBD!$C:$C,$A135)</f>
        <v>2</v>
      </c>
      <c r="D135" s="30">
        <f ca="1" t="array" ref="D135">INDEX(Data_DBD!$D:$D,$A135)</f>
        <v>14</v>
      </c>
      <c r="E135" s="30">
        <f ca="1" t="array" ref="E135">INDEX(Data_DBD!$E:$E,$A135)</f>
        <v>1</v>
      </c>
      <c r="F135" s="30">
        <f ca="1" t="array" ref="F135">INDEX(Data_DBD!$F:$F,$A135)</f>
        <v>2</v>
      </c>
      <c r="H135" s="30">
        <v>105</v>
      </c>
      <c r="I135" s="30">
        <v>61</v>
      </c>
      <c r="J135" s="30">
        <v>3</v>
      </c>
      <c r="K135" s="30">
        <v>18</v>
      </c>
      <c r="L135" s="30">
        <v>1</v>
      </c>
      <c r="M135" s="30">
        <v>3</v>
      </c>
    </row>
    <row r="136" spans="1:13">
      <c r="A136" s="30">
        <f ca="1" t="shared" si="2"/>
        <v>69</v>
      </c>
      <c r="B136" s="30">
        <f ca="1" t="array" ref="B136">INDEX(Data_DBD!$B:$B,$A136)</f>
        <v>24</v>
      </c>
      <c r="C136" s="30">
        <f ca="1" t="array" ref="C136">INDEX(Data_DBD!$C:$C,$A136)</f>
        <v>4</v>
      </c>
      <c r="D136" s="30">
        <f ca="1" t="array" ref="D136">INDEX(Data_DBD!$D:$D,$A136)</f>
        <v>10</v>
      </c>
      <c r="E136" s="30">
        <f ca="1" t="array" ref="E136">INDEX(Data_DBD!$E:$E,$A136)</f>
        <v>1</v>
      </c>
      <c r="F136" s="30">
        <f ca="1" t="array" ref="F136">INDEX(Data_DBD!$F:$F,$A136)</f>
        <v>2</v>
      </c>
      <c r="H136" s="30">
        <v>91</v>
      </c>
      <c r="I136" s="30">
        <v>35</v>
      </c>
      <c r="J136" s="30">
        <v>1</v>
      </c>
      <c r="K136" s="30">
        <v>18</v>
      </c>
      <c r="L136" s="30">
        <v>1</v>
      </c>
      <c r="M136" s="30">
        <v>3</v>
      </c>
    </row>
    <row r="137" spans="1:13">
      <c r="A137" s="30">
        <f ca="1" t="shared" si="2"/>
        <v>26</v>
      </c>
      <c r="B137" s="30">
        <f ca="1" t="array" ref="B137">INDEX(Data_DBD!$B:$B,$A137)</f>
        <v>75</v>
      </c>
      <c r="C137" s="30">
        <f ca="1" t="array" ref="C137">INDEX(Data_DBD!$C:$C,$A137)</f>
        <v>4</v>
      </c>
      <c r="D137" s="30">
        <f ca="1" t="array" ref="D137">INDEX(Data_DBD!$D:$D,$A137)</f>
        <v>14</v>
      </c>
      <c r="E137" s="30">
        <f ca="1" t="array" ref="E137">INDEX(Data_DBD!$E:$E,$A137)</f>
        <v>1</v>
      </c>
      <c r="F137" s="30">
        <f ca="1" t="array" ref="F137">INDEX(Data_DBD!$F:$F,$A137)</f>
        <v>2</v>
      </c>
      <c r="H137" s="30">
        <v>162</v>
      </c>
      <c r="I137" s="30">
        <v>22</v>
      </c>
      <c r="J137" s="30">
        <v>3</v>
      </c>
      <c r="K137" s="30">
        <v>3</v>
      </c>
      <c r="L137" s="30">
        <v>1</v>
      </c>
      <c r="M137" s="30">
        <v>1</v>
      </c>
    </row>
    <row r="138" spans="1:13">
      <c r="A138" s="30">
        <f ca="1" t="shared" si="2"/>
        <v>115</v>
      </c>
      <c r="B138" s="30">
        <f ca="1" t="array" ref="B138">INDEX(Data_DBD!$B:$B,$A138)</f>
        <v>52</v>
      </c>
      <c r="C138" s="30">
        <f ca="1" t="array" ref="C138">INDEX(Data_DBD!$C:$C,$A138)</f>
        <v>3</v>
      </c>
      <c r="D138" s="30">
        <f ca="1" t="array" ref="D138">INDEX(Data_DBD!$D:$D,$A138)</f>
        <v>33</v>
      </c>
      <c r="E138" s="30">
        <f ca="1" t="array" ref="E138">INDEX(Data_DBD!$E:$E,$A138)</f>
        <v>1</v>
      </c>
      <c r="F138" s="30">
        <f ca="1" t="array" ref="F138">INDEX(Data_DBD!$F:$F,$A138)</f>
        <v>3</v>
      </c>
      <c r="H138" s="30">
        <v>134</v>
      </c>
      <c r="I138" s="30">
        <v>4</v>
      </c>
      <c r="J138" s="30">
        <v>2</v>
      </c>
      <c r="K138" s="30">
        <v>33</v>
      </c>
      <c r="L138" s="30">
        <v>1</v>
      </c>
      <c r="M138" s="30">
        <v>3</v>
      </c>
    </row>
    <row r="139" spans="1:13">
      <c r="A139" s="30">
        <f ca="1" t="shared" si="2"/>
        <v>82</v>
      </c>
      <c r="B139" s="30">
        <f ca="1" t="array" ref="B139">INDEX(Data_DBD!$B:$B,$A139)</f>
        <v>28</v>
      </c>
      <c r="C139" s="30">
        <f ca="1" t="array" ref="C139">INDEX(Data_DBD!$C:$C,$A139)</f>
        <v>3</v>
      </c>
      <c r="D139" s="30">
        <f ca="1" t="array" ref="D139">INDEX(Data_DBD!$D:$D,$A139)</f>
        <v>13</v>
      </c>
      <c r="E139" s="30">
        <f ca="1" t="array" ref="E139">INDEX(Data_DBD!$E:$E,$A139)</f>
        <v>1</v>
      </c>
      <c r="F139" s="30">
        <f ca="1" t="array" ref="F139">INDEX(Data_DBD!$F:$F,$A139)</f>
        <v>2</v>
      </c>
      <c r="H139" s="30">
        <v>144</v>
      </c>
      <c r="I139" s="30">
        <v>61</v>
      </c>
      <c r="J139" s="30">
        <v>4</v>
      </c>
      <c r="K139" s="30">
        <v>21</v>
      </c>
      <c r="L139" s="30">
        <v>1</v>
      </c>
      <c r="M139" s="30">
        <v>3</v>
      </c>
    </row>
    <row r="140" spans="1:13">
      <c r="A140" s="30">
        <f ca="1" t="shared" si="2"/>
        <v>114</v>
      </c>
      <c r="B140" s="30">
        <f ca="1" t="array" ref="B140">INDEX(Data_DBD!$B:$B,$A140)</f>
        <v>14</v>
      </c>
      <c r="C140" s="30">
        <f ca="1" t="array" ref="C140">INDEX(Data_DBD!$C:$C,$A140)</f>
        <v>2</v>
      </c>
      <c r="D140" s="30">
        <f ca="1" t="array" ref="D140">INDEX(Data_DBD!$D:$D,$A140)</f>
        <v>33</v>
      </c>
      <c r="E140" s="30">
        <f ca="1" t="array" ref="E140">INDEX(Data_DBD!$E:$E,$A140)</f>
        <v>1</v>
      </c>
      <c r="F140" s="30">
        <f ca="1" t="array" ref="F140">INDEX(Data_DBD!$F:$F,$A140)</f>
        <v>3</v>
      </c>
      <c r="H140" s="30">
        <v>4</v>
      </c>
      <c r="I140" s="30">
        <v>23</v>
      </c>
      <c r="J140" s="30">
        <v>5</v>
      </c>
      <c r="K140" s="30">
        <v>12</v>
      </c>
      <c r="L140" s="30">
        <v>0</v>
      </c>
      <c r="M140" s="30">
        <v>2</v>
      </c>
    </row>
    <row r="141" spans="1:13">
      <c r="A141" s="30">
        <f ca="1" t="shared" si="2"/>
        <v>61</v>
      </c>
      <c r="B141" s="30">
        <f ca="1" t="array" ref="B141">INDEX(Data_DBD!$B:$B,$A141)</f>
        <v>29</v>
      </c>
      <c r="C141" s="30">
        <f ca="1" t="array" ref="C141">INDEX(Data_DBD!$C:$C,$A141)</f>
        <v>3</v>
      </c>
      <c r="D141" s="30">
        <f ca="1" t="array" ref="D141">INDEX(Data_DBD!$D:$D,$A141)</f>
        <v>15</v>
      </c>
      <c r="E141" s="30">
        <f ca="1" t="array" ref="E141">INDEX(Data_DBD!$E:$E,$A141)</f>
        <v>1</v>
      </c>
      <c r="F141" s="30">
        <f ca="1" t="array" ref="F141">INDEX(Data_DBD!$F:$F,$A141)</f>
        <v>2</v>
      </c>
      <c r="H141" s="30">
        <v>158</v>
      </c>
      <c r="I141" s="30">
        <v>5</v>
      </c>
      <c r="J141" s="30">
        <v>2</v>
      </c>
      <c r="K141" s="30">
        <v>21</v>
      </c>
      <c r="L141" s="30">
        <v>0</v>
      </c>
      <c r="M141" s="30">
        <v>3</v>
      </c>
    </row>
    <row r="142" spans="1:13">
      <c r="A142" s="30">
        <f ca="1" t="shared" si="2"/>
        <v>164</v>
      </c>
      <c r="B142" s="30">
        <f ca="1" t="array" ref="B142">INDEX(Data_DBD!$B:$B,$A142)</f>
        <v>10</v>
      </c>
      <c r="C142" s="30">
        <f ca="1" t="array" ref="C142">INDEX(Data_DBD!$C:$C,$A142)</f>
        <v>6</v>
      </c>
      <c r="D142" s="30">
        <f ca="1" t="array" ref="D142">INDEX(Data_DBD!$D:$D,$A142)</f>
        <v>3</v>
      </c>
      <c r="E142" s="30">
        <f ca="1" t="array" ref="E142">INDEX(Data_DBD!$E:$E,$A142)</f>
        <v>0</v>
      </c>
      <c r="F142" s="30">
        <f ca="1" t="array" ref="F142">INDEX(Data_DBD!$F:$F,$A142)</f>
        <v>1</v>
      </c>
      <c r="H142" s="30">
        <v>6</v>
      </c>
      <c r="I142" s="30">
        <v>14</v>
      </c>
      <c r="J142" s="30">
        <v>4</v>
      </c>
      <c r="K142" s="30">
        <v>12</v>
      </c>
      <c r="L142" s="30">
        <v>0</v>
      </c>
      <c r="M142" s="30">
        <v>2</v>
      </c>
    </row>
    <row r="143" spans="1:13">
      <c r="A143" s="30">
        <f ca="1" t="shared" si="2"/>
        <v>45</v>
      </c>
      <c r="B143" s="30">
        <f ca="1" t="array" ref="B143">INDEX(Data_DBD!$B:$B,$A143)</f>
        <v>75</v>
      </c>
      <c r="C143" s="30">
        <f ca="1" t="array" ref="C143">INDEX(Data_DBD!$C:$C,$A143)</f>
        <v>3</v>
      </c>
      <c r="D143" s="30">
        <f ca="1" t="array" ref="D143">INDEX(Data_DBD!$D:$D,$A143)</f>
        <v>13</v>
      </c>
      <c r="E143" s="30">
        <f ca="1" t="array" ref="E143">INDEX(Data_DBD!$E:$E,$A143)</f>
        <v>1</v>
      </c>
      <c r="F143" s="30">
        <f ca="1" t="array" ref="F143">INDEX(Data_DBD!$F:$F,$A143)</f>
        <v>2</v>
      </c>
      <c r="H143" s="30">
        <v>160</v>
      </c>
      <c r="I143" s="30">
        <v>16</v>
      </c>
      <c r="J143" s="30">
        <v>3</v>
      </c>
      <c r="K143" s="30">
        <v>21</v>
      </c>
      <c r="L143" s="30">
        <v>0</v>
      </c>
      <c r="M143" s="30">
        <v>3</v>
      </c>
    </row>
    <row r="144" spans="1:13">
      <c r="A144" s="30">
        <f ca="1" t="shared" si="2"/>
        <v>74</v>
      </c>
      <c r="B144" s="30">
        <f ca="1" t="array" ref="B144">INDEX(Data_DBD!$B:$B,$A144)</f>
        <v>9</v>
      </c>
      <c r="C144" s="30">
        <f ca="1" t="array" ref="C144">INDEX(Data_DBD!$C:$C,$A144)</f>
        <v>4</v>
      </c>
      <c r="D144" s="30">
        <f ca="1" t="array" ref="D144">INDEX(Data_DBD!$D:$D,$A144)</f>
        <v>10</v>
      </c>
      <c r="E144" s="30">
        <f ca="1" t="array" ref="E144">INDEX(Data_DBD!$E:$E,$A144)</f>
        <v>0</v>
      </c>
      <c r="F144" s="30">
        <f ca="1" t="array" ref="F144">INDEX(Data_DBD!$F:$F,$A144)</f>
        <v>2</v>
      </c>
      <c r="H144" s="30">
        <v>36</v>
      </c>
      <c r="I144" s="30">
        <v>27</v>
      </c>
      <c r="J144" s="30">
        <v>1</v>
      </c>
      <c r="K144" s="30">
        <v>4</v>
      </c>
      <c r="L144" s="30">
        <v>1</v>
      </c>
      <c r="M144" s="30">
        <v>1</v>
      </c>
    </row>
    <row r="145" spans="1:13">
      <c r="A145" s="30">
        <f ca="1" t="shared" si="2"/>
        <v>15</v>
      </c>
      <c r="B145" s="30">
        <f ca="1" t="array" ref="B145">INDEX(Data_DBD!$B:$B,$A145)</f>
        <v>21</v>
      </c>
      <c r="C145" s="30">
        <f ca="1" t="array" ref="C145">INDEX(Data_DBD!$C:$C,$A145)</f>
        <v>2</v>
      </c>
      <c r="D145" s="30">
        <f ca="1" t="array" ref="D145">INDEX(Data_DBD!$D:$D,$A145)</f>
        <v>7</v>
      </c>
      <c r="E145" s="30">
        <f ca="1" t="array" ref="E145">INDEX(Data_DBD!$E:$E,$A145)</f>
        <v>0</v>
      </c>
      <c r="F145" s="30">
        <f ca="1" t="array" ref="F145">INDEX(Data_DBD!$F:$F,$A145)</f>
        <v>1</v>
      </c>
      <c r="H145" s="30">
        <v>14</v>
      </c>
      <c r="I145" s="30">
        <v>49</v>
      </c>
      <c r="J145" s="30">
        <v>4</v>
      </c>
      <c r="K145" s="30">
        <v>7</v>
      </c>
      <c r="L145" s="30">
        <v>1</v>
      </c>
      <c r="M145" s="30">
        <v>1</v>
      </c>
    </row>
    <row r="146" spans="1:13">
      <c r="A146" s="30">
        <f ca="1" t="shared" si="2"/>
        <v>126</v>
      </c>
      <c r="B146" s="30">
        <f ca="1" t="array" ref="B146">INDEX(Data_DBD!$B:$B,$A146)</f>
        <v>51</v>
      </c>
      <c r="C146" s="30">
        <f ca="1" t="array" ref="C146">INDEX(Data_DBD!$C:$C,$A146)</f>
        <v>3</v>
      </c>
      <c r="D146" s="30">
        <f ca="1" t="array" ref="D146">INDEX(Data_DBD!$D:$D,$A146)</f>
        <v>33</v>
      </c>
      <c r="E146" s="30">
        <f ca="1" t="array" ref="E146">INDEX(Data_DBD!$E:$E,$A146)</f>
        <v>1</v>
      </c>
      <c r="F146" s="30">
        <f ca="1" t="array" ref="F146">INDEX(Data_DBD!$F:$F,$A146)</f>
        <v>3</v>
      </c>
      <c r="H146" s="30">
        <v>19</v>
      </c>
      <c r="I146" s="30">
        <v>8</v>
      </c>
      <c r="J146" s="30">
        <v>4</v>
      </c>
      <c r="K146" s="30">
        <v>7</v>
      </c>
      <c r="L146" s="30">
        <v>0</v>
      </c>
      <c r="M146" s="30">
        <v>1</v>
      </c>
    </row>
    <row r="147" spans="1:13">
      <c r="A147" s="30">
        <f ca="1" t="shared" si="2"/>
        <v>126</v>
      </c>
      <c r="B147" s="30">
        <f ca="1" t="array" ref="B147">INDEX(Data_DBD!$B:$B,$A147)</f>
        <v>51</v>
      </c>
      <c r="C147" s="30">
        <f ca="1" t="array" ref="C147">INDEX(Data_DBD!$C:$C,$A147)</f>
        <v>3</v>
      </c>
      <c r="D147" s="30">
        <f ca="1" t="array" ref="D147">INDEX(Data_DBD!$D:$D,$A147)</f>
        <v>33</v>
      </c>
      <c r="E147" s="30">
        <f ca="1" t="array" ref="E147">INDEX(Data_DBD!$E:$E,$A147)</f>
        <v>1</v>
      </c>
      <c r="F147" s="30">
        <f ca="1" t="array" ref="F147">INDEX(Data_DBD!$F:$F,$A147)</f>
        <v>3</v>
      </c>
      <c r="H147" s="30">
        <v>82</v>
      </c>
      <c r="I147" s="30">
        <v>28</v>
      </c>
      <c r="J147" s="30">
        <v>3</v>
      </c>
      <c r="K147" s="30">
        <v>13</v>
      </c>
      <c r="L147" s="30">
        <v>1</v>
      </c>
      <c r="M147" s="30">
        <v>2</v>
      </c>
    </row>
    <row r="148" spans="1:13">
      <c r="A148" s="30">
        <f ca="1" t="shared" si="2"/>
        <v>12</v>
      </c>
      <c r="B148" s="30">
        <f ca="1" t="array" ref="B148">INDEX(Data_DBD!$B:$B,$A148)</f>
        <v>23</v>
      </c>
      <c r="C148" s="30">
        <f ca="1" t="array" ref="C148">INDEX(Data_DBD!$C:$C,$A148)</f>
        <v>3</v>
      </c>
      <c r="D148" s="30">
        <f ca="1" t="array" ref="D148">INDEX(Data_DBD!$D:$D,$A148)</f>
        <v>12</v>
      </c>
      <c r="E148" s="30">
        <f ca="1" t="array" ref="E148">INDEX(Data_DBD!$E:$E,$A148)</f>
        <v>0</v>
      </c>
      <c r="F148" s="30">
        <f ca="1" t="array" ref="F148">INDEX(Data_DBD!$F:$F,$A148)</f>
        <v>2</v>
      </c>
      <c r="H148" s="30">
        <v>27</v>
      </c>
      <c r="I148" s="30">
        <v>37</v>
      </c>
      <c r="J148" s="30">
        <v>4</v>
      </c>
      <c r="K148" s="30">
        <v>14</v>
      </c>
      <c r="L148" s="30">
        <v>1</v>
      </c>
      <c r="M148" s="30">
        <v>2</v>
      </c>
    </row>
    <row r="149" spans="1:13">
      <c r="A149" s="30">
        <f ca="1" t="shared" si="2"/>
        <v>17</v>
      </c>
      <c r="B149" s="30">
        <f ca="1" t="array" ref="B149">INDEX(Data_DBD!$B:$B,$A149)</f>
        <v>2</v>
      </c>
      <c r="C149" s="30">
        <f ca="1" t="array" ref="C149">INDEX(Data_DBD!$C:$C,$A149)</f>
        <v>3</v>
      </c>
      <c r="D149" s="30">
        <f ca="1" t="array" ref="D149">INDEX(Data_DBD!$D:$D,$A149)</f>
        <v>7</v>
      </c>
      <c r="E149" s="30">
        <f ca="1" t="array" ref="E149">INDEX(Data_DBD!$E:$E,$A149)</f>
        <v>0</v>
      </c>
      <c r="F149" s="30">
        <f ca="1" t="array" ref="F149">INDEX(Data_DBD!$F:$F,$A149)</f>
        <v>1</v>
      </c>
      <c r="H149" s="30">
        <v>59</v>
      </c>
      <c r="I149" s="30">
        <v>28</v>
      </c>
      <c r="J149" s="30">
        <v>4</v>
      </c>
      <c r="K149" s="30">
        <v>15</v>
      </c>
      <c r="L149" s="30">
        <v>0</v>
      </c>
      <c r="M149" s="30">
        <v>2</v>
      </c>
    </row>
    <row r="150" spans="1:13">
      <c r="A150" s="30">
        <f ca="1" t="shared" si="2"/>
        <v>81</v>
      </c>
      <c r="B150" s="30">
        <f ca="1" t="array" ref="B150">INDEX(Data_DBD!$B:$B,$A150)</f>
        <v>23</v>
      </c>
      <c r="C150" s="30">
        <f ca="1" t="array" ref="C150">INDEX(Data_DBD!$C:$C,$A150)</f>
        <v>5</v>
      </c>
      <c r="D150" s="30">
        <f ca="1" t="array" ref="D150">INDEX(Data_DBD!$D:$D,$A150)</f>
        <v>13</v>
      </c>
      <c r="E150" s="30">
        <f ca="1" t="array" ref="E150">INDEX(Data_DBD!$E:$E,$A150)</f>
        <v>1</v>
      </c>
      <c r="F150" s="30">
        <f ca="1" t="array" ref="F150">INDEX(Data_DBD!$F:$F,$A150)</f>
        <v>2</v>
      </c>
      <c r="H150" s="30">
        <v>97</v>
      </c>
      <c r="I150" s="30">
        <v>16</v>
      </c>
      <c r="J150" s="30">
        <v>2</v>
      </c>
      <c r="K150" s="30">
        <v>18</v>
      </c>
      <c r="L150" s="30">
        <v>1</v>
      </c>
      <c r="M150" s="30">
        <v>3</v>
      </c>
    </row>
    <row r="151" spans="1:13">
      <c r="A151" s="30">
        <f ca="1" t="shared" si="2"/>
        <v>42</v>
      </c>
      <c r="B151" s="30">
        <f ca="1" t="array" ref="B151">INDEX(Data_DBD!$B:$B,$A151)</f>
        <v>21</v>
      </c>
      <c r="C151" s="30">
        <f ca="1" t="array" ref="C151">INDEX(Data_DBD!$C:$C,$A151)</f>
        <v>5</v>
      </c>
      <c r="D151" s="30">
        <f ca="1" t="array" ref="D151">INDEX(Data_DBD!$D:$D,$A151)</f>
        <v>13</v>
      </c>
      <c r="E151" s="30">
        <f ca="1" t="array" ref="E151">INDEX(Data_DBD!$E:$E,$A151)</f>
        <v>1</v>
      </c>
      <c r="F151" s="30">
        <f ca="1" t="array" ref="F151">INDEX(Data_DBD!$F:$F,$A151)</f>
        <v>2</v>
      </c>
      <c r="H151" s="30">
        <v>29</v>
      </c>
      <c r="I151" s="30">
        <v>19</v>
      </c>
      <c r="J151" s="30">
        <v>2</v>
      </c>
      <c r="K151" s="30">
        <v>14</v>
      </c>
      <c r="L151" s="30">
        <v>1</v>
      </c>
      <c r="M151" s="30">
        <v>2</v>
      </c>
    </row>
    <row r="152" spans="1:13">
      <c r="A152" s="30">
        <f ca="1" t="shared" si="2"/>
        <v>46</v>
      </c>
      <c r="B152" s="30">
        <f ca="1" t="array" ref="B152">INDEX(Data_DBD!$B:$B,$A152)</f>
        <v>62</v>
      </c>
      <c r="C152" s="30">
        <f ca="1" t="array" ref="C152">INDEX(Data_DBD!$C:$C,$A152)</f>
        <v>2</v>
      </c>
      <c r="D152" s="30">
        <f ca="1" t="array" ref="D152">INDEX(Data_DBD!$D:$D,$A152)</f>
        <v>13</v>
      </c>
      <c r="E152" s="30">
        <f ca="1" t="array" ref="E152">INDEX(Data_DBD!$E:$E,$A152)</f>
        <v>0</v>
      </c>
      <c r="F152" s="30">
        <f ca="1" t="array" ref="F152">INDEX(Data_DBD!$F:$F,$A152)</f>
        <v>2</v>
      </c>
      <c r="H152" s="30">
        <v>27</v>
      </c>
      <c r="I152" s="30">
        <v>37</v>
      </c>
      <c r="J152" s="30">
        <v>4</v>
      </c>
      <c r="K152" s="30">
        <v>14</v>
      </c>
      <c r="L152" s="30">
        <v>1</v>
      </c>
      <c r="M152" s="30">
        <v>2</v>
      </c>
    </row>
    <row r="153" spans="1:13">
      <c r="A153" s="30">
        <f ca="1" t="shared" si="2"/>
        <v>99</v>
      </c>
      <c r="B153" s="30">
        <f ca="1" t="array" ref="B153">INDEX(Data_DBD!$B:$B,$A153)</f>
        <v>4</v>
      </c>
      <c r="C153" s="30">
        <f ca="1" t="array" ref="C153">INDEX(Data_DBD!$C:$C,$A153)</f>
        <v>2</v>
      </c>
      <c r="D153" s="30">
        <f ca="1" t="array" ref="D153">INDEX(Data_DBD!$D:$D,$A153)</f>
        <v>18</v>
      </c>
      <c r="E153" s="30">
        <f ca="1" t="array" ref="E153">INDEX(Data_DBD!$E:$E,$A153)</f>
        <v>1</v>
      </c>
      <c r="F153" s="30">
        <f ca="1" t="array" ref="F153">INDEX(Data_DBD!$F:$F,$A153)</f>
        <v>3</v>
      </c>
      <c r="H153" s="30">
        <v>29</v>
      </c>
      <c r="I153" s="30">
        <v>19</v>
      </c>
      <c r="J153" s="30">
        <v>2</v>
      </c>
      <c r="K153" s="30">
        <v>14</v>
      </c>
      <c r="L153" s="30">
        <v>1</v>
      </c>
      <c r="M153" s="30">
        <v>2</v>
      </c>
    </row>
    <row r="154" spans="1:13">
      <c r="A154" s="30">
        <f ca="1" t="shared" si="2"/>
        <v>109</v>
      </c>
      <c r="B154" s="30">
        <f ca="1" t="array" ref="B154">INDEX(Data_DBD!$B:$B,$A154)</f>
        <v>40</v>
      </c>
      <c r="C154" s="30">
        <f ca="1" t="array" ref="C154">INDEX(Data_DBD!$C:$C,$A154)</f>
        <v>3</v>
      </c>
      <c r="D154" s="30">
        <f ca="1" t="array" ref="D154">INDEX(Data_DBD!$D:$D,$A154)</f>
        <v>33</v>
      </c>
      <c r="E154" s="30">
        <f ca="1" t="array" ref="E154">INDEX(Data_DBD!$E:$E,$A154)</f>
        <v>1</v>
      </c>
      <c r="F154" s="30">
        <f ca="1" t="array" ref="F154">INDEX(Data_DBD!$F:$F,$A154)</f>
        <v>3</v>
      </c>
      <c r="H154" s="30">
        <v>154</v>
      </c>
      <c r="I154" s="30">
        <v>18</v>
      </c>
      <c r="J154" s="30">
        <v>5</v>
      </c>
      <c r="K154" s="30">
        <v>21</v>
      </c>
      <c r="L154" s="30">
        <v>1</v>
      </c>
      <c r="M154" s="30">
        <v>3</v>
      </c>
    </row>
    <row r="155" spans="1:13">
      <c r="A155" s="30">
        <f ca="1" t="shared" si="2"/>
        <v>133</v>
      </c>
      <c r="B155" s="30">
        <f ca="1" t="array" ref="B155">INDEX(Data_DBD!$B:$B,$A155)</f>
        <v>6</v>
      </c>
      <c r="C155" s="30">
        <f ca="1" t="array" ref="C155">INDEX(Data_DBD!$C:$C,$A155)</f>
        <v>4</v>
      </c>
      <c r="D155" s="30">
        <f ca="1" t="array" ref="D155">INDEX(Data_DBD!$D:$D,$A155)</f>
        <v>33</v>
      </c>
      <c r="E155" s="30">
        <f ca="1" t="array" ref="E155">INDEX(Data_DBD!$E:$E,$A155)</f>
        <v>0</v>
      </c>
      <c r="F155" s="30">
        <f ca="1" t="array" ref="F155">INDEX(Data_DBD!$F:$F,$A155)</f>
        <v>3</v>
      </c>
      <c r="H155" s="30">
        <v>100</v>
      </c>
      <c r="I155" s="30">
        <v>19</v>
      </c>
      <c r="J155" s="30">
        <v>6</v>
      </c>
      <c r="K155" s="30">
        <v>18</v>
      </c>
      <c r="L155" s="30">
        <v>0</v>
      </c>
      <c r="M155" s="30">
        <v>3</v>
      </c>
    </row>
    <row r="156" spans="1:13">
      <c r="A156" s="30">
        <f ca="1" t="shared" si="2"/>
        <v>44</v>
      </c>
      <c r="B156" s="30">
        <f ca="1" t="array" ref="B156">INDEX(Data_DBD!$B:$B,$A156)</f>
        <v>28</v>
      </c>
      <c r="C156" s="30">
        <f ca="1" t="array" ref="C156">INDEX(Data_DBD!$C:$C,$A156)</f>
        <v>5</v>
      </c>
      <c r="D156" s="30">
        <f ca="1" t="array" ref="D156">INDEX(Data_DBD!$D:$D,$A156)</f>
        <v>13</v>
      </c>
      <c r="E156" s="30">
        <f ca="1" t="array" ref="E156">INDEX(Data_DBD!$E:$E,$A156)</f>
        <v>1</v>
      </c>
      <c r="F156" s="30">
        <f ca="1" t="array" ref="F156">INDEX(Data_DBD!$F:$F,$A156)</f>
        <v>2</v>
      </c>
      <c r="H156" s="30">
        <v>163</v>
      </c>
      <c r="I156" s="30">
        <v>34</v>
      </c>
      <c r="J156" s="30">
        <v>4</v>
      </c>
      <c r="K156" s="30">
        <v>3</v>
      </c>
      <c r="L156" s="30">
        <v>1</v>
      </c>
      <c r="M156" s="30">
        <v>1</v>
      </c>
    </row>
    <row r="157" spans="1:13">
      <c r="A157" s="30">
        <f ca="1" t="shared" si="2"/>
        <v>36</v>
      </c>
      <c r="B157" s="30">
        <f ca="1" t="array" ref="B157">INDEX(Data_DBD!$B:$B,$A157)</f>
        <v>27</v>
      </c>
      <c r="C157" s="30">
        <f ca="1" t="array" ref="C157">INDEX(Data_DBD!$C:$C,$A157)</f>
        <v>1</v>
      </c>
      <c r="D157" s="30">
        <f ca="1" t="array" ref="D157">INDEX(Data_DBD!$D:$D,$A157)</f>
        <v>4</v>
      </c>
      <c r="E157" s="30">
        <f ca="1" t="array" ref="E157">INDEX(Data_DBD!$E:$E,$A157)</f>
        <v>1</v>
      </c>
      <c r="F157" s="30">
        <f ca="1" t="array" ref="F157">INDEX(Data_DBD!$F:$F,$A157)</f>
        <v>1</v>
      </c>
      <c r="H157" s="30">
        <v>146</v>
      </c>
      <c r="I157" s="30">
        <v>34</v>
      </c>
      <c r="J157" s="30">
        <v>2</v>
      </c>
      <c r="K157" s="30">
        <v>21</v>
      </c>
      <c r="L157" s="30">
        <v>1</v>
      </c>
      <c r="M157" s="30">
        <v>3</v>
      </c>
    </row>
    <row r="158" ht="15.75" spans="1:13">
      <c r="A158" s="30">
        <f ca="1" t="shared" si="2"/>
        <v>48</v>
      </c>
      <c r="B158" s="30">
        <f ca="1" t="array" ref="B158">INDEX(Data_DBD!$B:$B,$A158)</f>
        <v>50</v>
      </c>
      <c r="C158" s="30">
        <f ca="1" t="array" ref="C158">INDEX(Data_DBD!$C:$C,$A158)</f>
        <v>5</v>
      </c>
      <c r="D158" s="30">
        <f ca="1" t="array" ref="D158">INDEX(Data_DBD!$D:$D,$A158)</f>
        <v>13</v>
      </c>
      <c r="E158" s="30">
        <f ca="1" t="array" ref="E158">INDEX(Data_DBD!$E:$E,$A158)</f>
        <v>1</v>
      </c>
      <c r="F158" s="30">
        <f ca="1" t="array" ref="F158">INDEX(Data_DBD!$F:$F,$A158)</f>
        <v>2</v>
      </c>
      <c r="H158" s="30">
        <v>131</v>
      </c>
      <c r="I158" s="30">
        <v>10</v>
      </c>
      <c r="J158" s="30">
        <v>2</v>
      </c>
      <c r="K158" s="30">
        <v>33</v>
      </c>
      <c r="L158" s="38">
        <v>0</v>
      </c>
      <c r="M158" s="30">
        <v>3</v>
      </c>
    </row>
    <row r="159" ht="15.75" spans="1:13">
      <c r="A159" s="30">
        <f ca="1" t="shared" si="2"/>
        <v>111</v>
      </c>
      <c r="B159" s="30">
        <f ca="1" t="array" ref="B159">INDEX(Data_DBD!$B:$B,$A159)</f>
        <v>25</v>
      </c>
      <c r="C159" s="30">
        <f ca="1" t="array" ref="C159">INDEX(Data_DBD!$C:$C,$A159)</f>
        <v>4</v>
      </c>
      <c r="D159" s="30">
        <f ca="1" t="array" ref="D159">INDEX(Data_DBD!$D:$D,$A159)</f>
        <v>33</v>
      </c>
      <c r="E159" s="30">
        <f ca="1" t="array" ref="E159">INDEX(Data_DBD!$E:$E,$A159)</f>
        <v>0</v>
      </c>
      <c r="F159" s="30">
        <f ca="1" t="array" ref="F159">INDEX(Data_DBD!$F:$F,$A159)</f>
        <v>3</v>
      </c>
      <c r="H159" s="30">
        <v>129</v>
      </c>
      <c r="I159" s="30">
        <v>4.5</v>
      </c>
      <c r="J159" s="30">
        <v>3</v>
      </c>
      <c r="K159" s="30">
        <v>33</v>
      </c>
      <c r="L159" s="39">
        <v>0</v>
      </c>
      <c r="M159" s="30">
        <v>3</v>
      </c>
    </row>
    <row r="160" ht="15.75" spans="1:13">
      <c r="A160" s="30">
        <f ca="1" t="shared" si="2"/>
        <v>6</v>
      </c>
      <c r="B160" s="30">
        <f ca="1" t="array" ref="B160">INDEX(Data_DBD!$B:$B,$A160)</f>
        <v>14</v>
      </c>
      <c r="C160" s="30">
        <f ca="1" t="array" ref="C160">INDEX(Data_DBD!$C:$C,$A160)</f>
        <v>4</v>
      </c>
      <c r="D160" s="30">
        <f ca="1" t="array" ref="D160">INDEX(Data_DBD!$D:$D,$A160)</f>
        <v>12</v>
      </c>
      <c r="E160" s="30">
        <f ca="1" t="array" ref="E160">INDEX(Data_DBD!$E:$E,$A160)</f>
        <v>0</v>
      </c>
      <c r="F160" s="30">
        <f ca="1" t="array" ref="F160">INDEX(Data_DBD!$F:$F,$A160)</f>
        <v>2</v>
      </c>
      <c r="H160" s="30">
        <v>115</v>
      </c>
      <c r="I160" s="30">
        <v>52</v>
      </c>
      <c r="J160" s="30">
        <v>3</v>
      </c>
      <c r="K160" s="30">
        <v>33</v>
      </c>
      <c r="L160" s="40">
        <v>1</v>
      </c>
      <c r="M160" s="30">
        <v>3</v>
      </c>
    </row>
    <row r="161" ht="15.75" spans="1:13">
      <c r="A161" s="30">
        <f ca="1" t="shared" si="2"/>
        <v>65</v>
      </c>
      <c r="B161" s="30">
        <f ca="1" t="array" ref="B161">INDEX(Data_DBD!$B:$B,$A161)</f>
        <v>49</v>
      </c>
      <c r="C161" s="30">
        <f ca="1" t="array" ref="C161">INDEX(Data_DBD!$C:$C,$A161)</f>
        <v>3</v>
      </c>
      <c r="D161" s="30">
        <f ca="1" t="array" ref="D161">INDEX(Data_DBD!$D:$D,$A161)</f>
        <v>15</v>
      </c>
      <c r="E161" s="30">
        <f ca="1" t="array" ref="E161">INDEX(Data_DBD!$E:$E,$A161)</f>
        <v>0</v>
      </c>
      <c r="F161" s="30">
        <f ca="1" t="array" ref="F161">INDEX(Data_DBD!$F:$F,$A161)</f>
        <v>2</v>
      </c>
      <c r="H161" s="30">
        <v>37</v>
      </c>
      <c r="I161" s="30">
        <v>28</v>
      </c>
      <c r="J161" s="30">
        <v>4</v>
      </c>
      <c r="K161" s="30">
        <v>4</v>
      </c>
      <c r="L161" s="40">
        <v>1</v>
      </c>
      <c r="M161" s="30">
        <v>1</v>
      </c>
    </row>
    <row r="162" ht="15.75" spans="1:13">
      <c r="A162" s="30">
        <f ca="1" t="shared" si="2"/>
        <v>158</v>
      </c>
      <c r="B162" s="30">
        <f ca="1" t="array" ref="B162">INDEX(Data_DBD!$B:$B,$A162)</f>
        <v>5</v>
      </c>
      <c r="C162" s="30">
        <f ca="1" t="array" ref="C162">INDEX(Data_DBD!$C:$C,$A162)</f>
        <v>2</v>
      </c>
      <c r="D162" s="30">
        <f ca="1" t="array" ref="D162">INDEX(Data_DBD!$D:$D,$A162)</f>
        <v>21</v>
      </c>
      <c r="E162" s="30">
        <f ca="1" t="array" ref="E162">INDEX(Data_DBD!$E:$E,$A162)</f>
        <v>0</v>
      </c>
      <c r="F162" s="30">
        <f ca="1" t="array" ref="F162">INDEX(Data_DBD!$F:$F,$A162)</f>
        <v>3</v>
      </c>
      <c r="H162" s="30">
        <v>98</v>
      </c>
      <c r="I162" s="30">
        <v>16</v>
      </c>
      <c r="J162" s="30">
        <v>2</v>
      </c>
      <c r="K162" s="30">
        <v>18</v>
      </c>
      <c r="L162" s="39">
        <v>1</v>
      </c>
      <c r="M162" s="30">
        <v>3</v>
      </c>
    </row>
    <row r="163" ht="15.75" spans="1:13">
      <c r="A163" s="30">
        <f ca="1" t="shared" si="2"/>
        <v>25</v>
      </c>
      <c r="B163" s="30">
        <f ca="1" t="array" ref="B163">INDEX(Data_DBD!$B:$B,$A163)</f>
        <v>81</v>
      </c>
      <c r="C163" s="30">
        <f ca="1" t="array" ref="C163">INDEX(Data_DBD!$C:$C,$A163)</f>
        <v>5</v>
      </c>
      <c r="D163" s="30">
        <f ca="1" t="array" ref="D163">INDEX(Data_DBD!$D:$D,$A163)</f>
        <v>14</v>
      </c>
      <c r="E163" s="30">
        <f ca="1" t="array" ref="E163">INDEX(Data_DBD!$E:$E,$A163)</f>
        <v>0</v>
      </c>
      <c r="F163" s="30">
        <f ca="1" t="array" ref="F163">INDEX(Data_DBD!$F:$F,$A163)</f>
        <v>2</v>
      </c>
      <c r="H163" s="30">
        <v>119</v>
      </c>
      <c r="I163" s="30">
        <v>30</v>
      </c>
      <c r="J163" s="30">
        <v>7</v>
      </c>
      <c r="K163" s="30">
        <v>33</v>
      </c>
      <c r="L163" s="40">
        <v>0</v>
      </c>
      <c r="M163" s="30">
        <v>3</v>
      </c>
    </row>
    <row r="164" spans="1:13">
      <c r="A164" s="30">
        <f ca="1" t="shared" si="2"/>
        <v>147</v>
      </c>
      <c r="B164" s="30">
        <f ca="1" t="array" ref="B164">INDEX(Data_DBD!$B:$B,$A164)</f>
        <v>66</v>
      </c>
      <c r="C164" s="30">
        <f ca="1" t="array" ref="C164">INDEX(Data_DBD!$C:$C,$A164)</f>
        <v>10</v>
      </c>
      <c r="D164" s="30">
        <f ca="1" t="array" ref="D164">INDEX(Data_DBD!$D:$D,$A164)</f>
        <v>21</v>
      </c>
      <c r="E164" s="30">
        <f ca="1" t="array" ref="E164">INDEX(Data_DBD!$E:$E,$A164)</f>
        <v>1</v>
      </c>
      <c r="F164" s="30">
        <f ca="1" t="array" ref="F164">INDEX(Data_DBD!$F:$F,$A164)</f>
        <v>3</v>
      </c>
      <c r="H164" s="30">
        <v>22</v>
      </c>
      <c r="I164" s="30">
        <v>6</v>
      </c>
      <c r="J164" s="30">
        <v>3</v>
      </c>
      <c r="K164" s="30">
        <v>14</v>
      </c>
      <c r="L164" s="30">
        <v>0</v>
      </c>
      <c r="M164" s="30">
        <v>2</v>
      </c>
    </row>
    <row r="165" spans="9:12">
      <c r="I165">
        <f>AVERAGE(I2:I164)</f>
        <v>28.3527607361963</v>
      </c>
      <c r="J165">
        <f>AVERAGE(J2:J164)</f>
        <v>3.69325153374233</v>
      </c>
      <c r="K165">
        <f>AVERAGE(K2:K164)</f>
        <v>17.2822085889571</v>
      </c>
      <c r="L165">
        <f>AVERAGE(L2:L164)</f>
        <v>0.558282208588957</v>
      </c>
    </row>
    <row r="166" spans="2:2">
      <c r="B166">
        <v>9352</v>
      </c>
    </row>
    <row r="168" spans="5:20">
      <c r="E168" s="35" t="s">
        <v>183</v>
      </c>
      <c r="J168" s="35" t="s">
        <v>184</v>
      </c>
      <c r="O168" s="35" t="s">
        <v>185</v>
      </c>
      <c r="T168" s="35" t="s">
        <v>186</v>
      </c>
    </row>
    <row r="169" spans="5:22">
      <c r="E169" s="30" t="s">
        <v>1</v>
      </c>
      <c r="F169" s="30">
        <f>AVERAGEIF($I$2:$I$164,"&lt;="&amp;$I$165)</f>
        <v>16.4714285714286</v>
      </c>
      <c r="G169" s="30">
        <f>AVERAGEIF($I$2:$I$164,"&gt;"&amp;$I$165)</f>
        <v>49.8620689655172</v>
      </c>
      <c r="J169" s="30" t="s">
        <v>187</v>
      </c>
      <c r="K169" s="30">
        <f>AVERAGEIF($J$2:$J$164,"&lt;="&amp;$J$165)</f>
        <v>2.47368421052632</v>
      </c>
      <c r="L169" s="30">
        <f>AVERAGEIF($J$2:$J$164,"&gt;"&amp;$J$165)</f>
        <v>4.75862068965517</v>
      </c>
      <c r="O169" s="30" t="s">
        <v>188</v>
      </c>
      <c r="P169" s="30">
        <f>AVERAGEIF($K$2:$K$164,"&lt;="&amp;$K$165)</f>
        <v>11.4943820224719</v>
      </c>
      <c r="Q169" s="30">
        <f>AVERAGEIF($K$2:$K$164,"&gt;"&amp;$K$165)</f>
        <v>24.2432432432432</v>
      </c>
      <c r="T169" s="30" t="s">
        <v>189</v>
      </c>
      <c r="U169" s="30">
        <f>AVERAGEIF($L$2:$L$164,"&lt;="&amp;$L$165)</f>
        <v>0</v>
      </c>
      <c r="V169" s="30">
        <f>AVERAGEIF($L$2:$L$164,"&gt;"&amp;$L$165)</f>
        <v>1</v>
      </c>
    </row>
    <row r="170" spans="5:22">
      <c r="E170" s="30" t="str">
        <f t="array" ref="E170:E332">IF($I$2:$I$164&lt;$F$169,"kiri",IF($I$2:$I$164&lt;$G$169,"tengah","kanan"))</f>
        <v>tengah</v>
      </c>
      <c r="F170" s="36" t="s">
        <v>207</v>
      </c>
      <c r="G170" s="30"/>
      <c r="J170" s="30" t="str">
        <f t="array" ref="J170:J332">IF($J$2:$J$164&lt;$K$169,"kiri",IF($J$2:$J$164&lt;$L$169,"tengah","kanan"))</f>
        <v>tengah</v>
      </c>
      <c r="K170" s="36" t="s">
        <v>208</v>
      </c>
      <c r="L170" s="30"/>
      <c r="O170" s="30" t="str">
        <f t="array" ref="O170:O332">IF($K$2:$K$164&lt;$P$169,"kiri",IF($K$2:$K$164&lt;$Q$169,"tengah","kanan"))</f>
        <v>tengah</v>
      </c>
      <c r="P170" s="36" t="s">
        <v>222</v>
      </c>
      <c r="Q170" s="30"/>
      <c r="T170" s="30" t="str">
        <f t="array" ref="T170:T332">IF($L$2:$L$164&lt;$U$169,"kiri",IF($L$2:$L$164&lt;$V$169,"tengah","kanan"))</f>
        <v>kanan</v>
      </c>
      <c r="U170" s="30" t="s">
        <v>193</v>
      </c>
      <c r="V170" s="30"/>
    </row>
    <row r="171" spans="5:22">
      <c r="E171" s="30" t="str">
        <v>kiri</v>
      </c>
      <c r="F171" s="30">
        <f>COUNTIFS($E$170:$E$332,"Kanan",$M$2:$M$164,"1")</f>
        <v>0</v>
      </c>
      <c r="G171" s="30">
        <f>F171/24</f>
        <v>0</v>
      </c>
      <c r="J171" s="30" t="str">
        <v>tengah</v>
      </c>
      <c r="K171" s="30">
        <f t="array" ref="K171">SUMPRODUCT((J170:J332="Kanan")*(M2:M164=1))</f>
        <v>0</v>
      </c>
      <c r="L171" s="30">
        <f>K171/37</f>
        <v>0</v>
      </c>
      <c r="O171" s="30" t="str">
        <v>tengah</v>
      </c>
      <c r="P171" s="30">
        <f>COUNTIFS($O$170:$O$332,"Kanan",$M$2:$M$164,"1")</f>
        <v>0</v>
      </c>
      <c r="Q171" s="30">
        <f>P171/26</f>
        <v>0</v>
      </c>
      <c r="T171" s="30" t="str">
        <v>tengah</v>
      </c>
      <c r="U171" s="30">
        <f>COUNTIFS($T$170:$T$332,"Kanan",$M$2:$M$164,"1")</f>
        <v>13</v>
      </c>
      <c r="V171" s="30">
        <f>U171/83</f>
        <v>0.156626506024096</v>
      </c>
    </row>
    <row r="172" spans="5:22">
      <c r="E172" s="30" t="str">
        <v>tengah</v>
      </c>
      <c r="F172" s="30">
        <f>COUNTIFS($E$170:$E$332,"Kanan",$M$2:$M$164,"2")</f>
        <v>10</v>
      </c>
      <c r="G172" s="30">
        <f t="shared" ref="G172:G173" si="3">F172/24</f>
        <v>0.416666666666667</v>
      </c>
      <c r="J172" s="30" t="str">
        <v>kanan</v>
      </c>
      <c r="K172" s="30">
        <f>COUNTIFS($J$170:$J$332,"Kanan",$M$2:$M$164,"2")</f>
        <v>22</v>
      </c>
      <c r="L172" s="30">
        <f t="shared" ref="L172:L173" si="4">K172/37</f>
        <v>0.594594594594595</v>
      </c>
      <c r="O172" s="30" t="str">
        <v>tengah</v>
      </c>
      <c r="P172" s="30">
        <f>COUNTIFS($O$170:$O$332,"Kanan",$M$2:$M$164,"2")</f>
        <v>0</v>
      </c>
      <c r="Q172" s="30">
        <f t="shared" ref="Q172:Q173" si="5">P172/26</f>
        <v>0</v>
      </c>
      <c r="T172" s="30" t="str">
        <v>tengah</v>
      </c>
      <c r="U172" s="30">
        <f>COUNTIFS($T$170:$T$332,"Kanan",$M$2:$M$164,"2")</f>
        <v>33</v>
      </c>
      <c r="V172" s="30">
        <f t="shared" ref="V172:V173" si="6">U172/83</f>
        <v>0.397590361445783</v>
      </c>
    </row>
    <row r="173" spans="5:22">
      <c r="E173" s="30" t="str">
        <v>tengah</v>
      </c>
      <c r="F173" s="30">
        <f t="array" ref="F173">SUMPRODUCT((E170:E332="KANAN")*(M2:M164=3))</f>
        <v>14</v>
      </c>
      <c r="G173" s="30">
        <f t="shared" si="3"/>
        <v>0.583333333333333</v>
      </c>
      <c r="J173" s="30" t="str">
        <v>tengah</v>
      </c>
      <c r="K173" s="30">
        <f>COUNTIFS($J$170:$J$332,"Kanan",$M$2:$M$164,"3")</f>
        <v>15</v>
      </c>
      <c r="L173" s="30">
        <f t="shared" si="4"/>
        <v>0.405405405405405</v>
      </c>
      <c r="O173" s="30" t="str">
        <v>tengah</v>
      </c>
      <c r="P173" s="30">
        <f>COUNTIFS($O$170:$O$332,"Kanan",$M$2:$M$164,"3")</f>
        <v>26</v>
      </c>
      <c r="Q173" s="30">
        <f t="shared" si="5"/>
        <v>1</v>
      </c>
      <c r="T173" s="30" t="str">
        <v>kanan</v>
      </c>
      <c r="U173" s="30">
        <f>COUNTIFS($T$170:$T$332,"Kanan",$M$2:$M$164,"3")</f>
        <v>45</v>
      </c>
      <c r="V173" s="30">
        <f t="shared" si="6"/>
        <v>0.542168674698795</v>
      </c>
    </row>
    <row r="174" spans="5:22">
      <c r="E174" s="30" t="str">
        <v>kiri</v>
      </c>
      <c r="F174" s="30" t="s">
        <v>194</v>
      </c>
      <c r="G174" s="30">
        <f>-(IFERROR(G171*LOG(G171,2),0)+IFERROR(G172*LOG(G172,2),0)+IFERROR(G173*LOG(G173,2),0))</f>
        <v>0.979868756651153</v>
      </c>
      <c r="J174" s="30" t="str">
        <v>kiri</v>
      </c>
      <c r="K174" s="30" t="s">
        <v>194</v>
      </c>
      <c r="L174" s="30">
        <f>-(IFERROR(L171*LOG(L171,2),0)+IFERROR(L172*LOG(L172,2),0)+IFERROR(L173*LOG(L173,2),0))</f>
        <v>0.974024864435752</v>
      </c>
      <c r="O174" s="30" t="str">
        <v>tengah</v>
      </c>
      <c r="P174" s="30" t="s">
        <v>194</v>
      </c>
      <c r="Q174" s="30">
        <f>-(IFERROR(Q171*LOG(Q171,2),0)+IFERROR(Q172*LOG(Q172,2),0)+IFERROR(Q173*LOG(Q173,2),0))</f>
        <v>0</v>
      </c>
      <c r="T174" s="30" t="str">
        <v>tengah</v>
      </c>
      <c r="U174" s="30" t="s">
        <v>194</v>
      </c>
      <c r="V174" s="30">
        <f>-(IFERROR(V171*LOG(V171,2),0)+IFERROR(V172*LOG(V172,2),0)+IFERROR(V173*LOG(V173,2),0))</f>
        <v>1.4268009234105</v>
      </c>
    </row>
    <row r="175" spans="5:22">
      <c r="E175" s="30" t="str">
        <v>tengah</v>
      </c>
      <c r="F175" s="30"/>
      <c r="G175" s="30">
        <f>SUM(F171:F173)/163</f>
        <v>0.147239263803681</v>
      </c>
      <c r="J175" s="30" t="str">
        <v>kanan</v>
      </c>
      <c r="K175" s="30"/>
      <c r="L175" s="30">
        <f>SUM(K171:K173)/163</f>
        <v>0.226993865030675</v>
      </c>
      <c r="O175" s="30" t="str">
        <v>tengah</v>
      </c>
      <c r="P175" s="30"/>
      <c r="Q175" s="30">
        <f>SUM(P171:P173)/163</f>
        <v>0.159509202453988</v>
      </c>
      <c r="T175" s="30" t="str">
        <v>kanan</v>
      </c>
      <c r="U175" s="30"/>
      <c r="V175" s="30">
        <f>SUM(U171:U173)/163</f>
        <v>0.558282208588957</v>
      </c>
    </row>
    <row r="176" spans="5:22">
      <c r="E176" s="30" t="str">
        <v>kanan</v>
      </c>
      <c r="F176" s="30"/>
      <c r="G176" s="37">
        <f>G174*G175</f>
        <v>0.144275154353544</v>
      </c>
      <c r="J176" s="30" t="str">
        <v>kiri</v>
      </c>
      <c r="K176" s="30"/>
      <c r="L176" s="37">
        <f>L174*L175</f>
        <v>0.22109766861425</v>
      </c>
      <c r="O176" s="30" t="str">
        <v>kiri</v>
      </c>
      <c r="P176" s="30"/>
      <c r="Q176" s="37">
        <f>Q174*Q175</f>
        <v>0</v>
      </c>
      <c r="T176" s="30" t="str">
        <v>tengah</v>
      </c>
      <c r="U176" s="30"/>
      <c r="V176" s="37">
        <f>V174*V175</f>
        <v>0.796557570738378</v>
      </c>
    </row>
    <row r="177" spans="5:22">
      <c r="E177" s="30" t="str">
        <v>tengah</v>
      </c>
      <c r="F177" s="30"/>
      <c r="G177" s="30"/>
      <c r="J177" s="30" t="str">
        <v>tengah</v>
      </c>
      <c r="K177" s="30"/>
      <c r="L177" s="30"/>
      <c r="O177" s="30" t="str">
        <v>kanan</v>
      </c>
      <c r="P177" s="30"/>
      <c r="Q177" s="30"/>
      <c r="T177" s="30" t="str">
        <v>kanan</v>
      </c>
      <c r="U177" s="30"/>
      <c r="V177" s="30"/>
    </row>
    <row r="178" spans="5:22">
      <c r="E178" s="30" t="str">
        <v>kiri</v>
      </c>
      <c r="F178" s="30"/>
      <c r="G178" s="30"/>
      <c r="J178" s="30" t="str">
        <v>tengah</v>
      </c>
      <c r="K178" s="30"/>
      <c r="L178" s="30"/>
      <c r="O178" s="30" t="str">
        <v>kiri</v>
      </c>
      <c r="P178" s="30"/>
      <c r="Q178" s="30"/>
      <c r="T178" s="30" t="str">
        <v>tengah</v>
      </c>
      <c r="U178" s="30"/>
      <c r="V178" s="30"/>
    </row>
    <row r="179" spans="5:22">
      <c r="E179" s="30" t="str">
        <v>kiri</v>
      </c>
      <c r="F179" s="36" t="s">
        <v>210</v>
      </c>
      <c r="G179" s="30"/>
      <c r="J179" s="30" t="str">
        <v>kiri</v>
      </c>
      <c r="K179" s="36" t="s">
        <v>211</v>
      </c>
      <c r="L179" s="30"/>
      <c r="O179" s="30" t="str">
        <v>tengah</v>
      </c>
      <c r="P179" s="36" t="s">
        <v>215</v>
      </c>
      <c r="Q179" s="30"/>
      <c r="T179" s="30" t="str">
        <v>tengah</v>
      </c>
      <c r="U179" s="30" t="s">
        <v>198</v>
      </c>
      <c r="V179" s="30"/>
    </row>
    <row r="180" spans="5:22">
      <c r="E180" s="30" t="str">
        <v>tengah</v>
      </c>
      <c r="F180" s="30">
        <f t="array" ref="F180">SUMPRODUCT((E170:E332="kiri")*(M2:M164=1))</f>
        <v>5</v>
      </c>
      <c r="G180" s="30">
        <f>F180/52</f>
        <v>0.0961538461538462</v>
      </c>
      <c r="J180" s="30" t="str">
        <v>kiri</v>
      </c>
      <c r="K180" s="30">
        <f>COUNTIFS($J$170:$J$332,"Kiri",$M$2:$M$164,"1")</f>
        <v>2</v>
      </c>
      <c r="L180" s="30">
        <f>K180/35</f>
        <v>0.0571428571428571</v>
      </c>
      <c r="O180" s="30" t="str">
        <v>tengah</v>
      </c>
      <c r="P180" s="30">
        <f>COUNTIFS($O$170:$O$332,"Kiri",$M$2:$M$164,"1")</f>
        <v>18</v>
      </c>
      <c r="Q180" s="30">
        <f>P180/34</f>
        <v>0.529411764705882</v>
      </c>
      <c r="T180" s="30" t="str">
        <v>tengah</v>
      </c>
      <c r="U180" s="30">
        <f>COUNTIFS($T$170:$T$332,"Kiri",$M$2:$M$164,"1")</f>
        <v>0</v>
      </c>
      <c r="V180" s="30">
        <f>U180/57</f>
        <v>0</v>
      </c>
    </row>
    <row r="181" spans="5:22">
      <c r="E181" s="30" t="str">
        <v>kiri</v>
      </c>
      <c r="F181" s="30">
        <f t="array" ref="F181">SUMPRODUCT((E170:E332="kiri")*(M2:M164=2))</f>
        <v>20</v>
      </c>
      <c r="G181" s="30">
        <f t="shared" ref="G181:G182" si="7">F181/52</f>
        <v>0.384615384615385</v>
      </c>
      <c r="J181" s="30" t="str">
        <v>kiri</v>
      </c>
      <c r="K181" s="30">
        <f>COUNTIFS($J$170:$J$332,"Kiri",$M$2:$M$164,"2")</f>
        <v>8</v>
      </c>
      <c r="L181" s="30">
        <f t="shared" ref="L181:L182" si="8">K181/35</f>
        <v>0.228571428571429</v>
      </c>
      <c r="O181" s="30" t="str">
        <v>tengah</v>
      </c>
      <c r="P181" s="30">
        <f>COUNTIFS($O$170:$O$332,"Kiri",$M$2:$M$164,"2")</f>
        <v>6</v>
      </c>
      <c r="Q181" s="30">
        <f t="shared" ref="Q181:Q182" si="9">P181/34</f>
        <v>0.176470588235294</v>
      </c>
      <c r="T181" s="30" t="str">
        <v>tengah</v>
      </c>
      <c r="U181" s="30">
        <f>COUNTIFS($T$170:$T$332,"Kiri",$M$2:$M$164,"2")</f>
        <v>0</v>
      </c>
      <c r="V181" s="30">
        <f>U181/57</f>
        <v>0</v>
      </c>
    </row>
    <row r="182" spans="5:22">
      <c r="E182" s="30" t="str">
        <v>kiri</v>
      </c>
      <c r="F182" s="30">
        <f t="array" ref="F182">SUMPRODUCT((E170:E332="kiri")*(M2:M164=3))</f>
        <v>27</v>
      </c>
      <c r="G182" s="30">
        <f t="shared" si="7"/>
        <v>0.519230769230769</v>
      </c>
      <c r="J182" s="30" t="str">
        <v>kiri</v>
      </c>
      <c r="K182" s="30">
        <f>COUNTIFS($J$170:$J$332,"Kiri",$M$2:$M$164,"3")</f>
        <v>25</v>
      </c>
      <c r="L182" s="30">
        <f t="shared" si="8"/>
        <v>0.714285714285714</v>
      </c>
      <c r="O182" s="30" t="str">
        <v>tengah</v>
      </c>
      <c r="P182" s="30">
        <f>COUNTIFS($O$170:$O$332,"Kiri",$M$2:$M$164,"3")</f>
        <v>0</v>
      </c>
      <c r="Q182" s="30">
        <f t="shared" si="9"/>
        <v>0</v>
      </c>
      <c r="T182" s="30" t="str">
        <v>tengah</v>
      </c>
      <c r="U182" s="30">
        <f>COUNTIFS($T$170:$T$332,"Kiri",$M$2:$M$164,"3")</f>
        <v>0</v>
      </c>
      <c r="V182" s="30">
        <f>U182/57</f>
        <v>0</v>
      </c>
    </row>
    <row r="183" spans="5:22">
      <c r="E183" s="30" t="str">
        <v>tengah</v>
      </c>
      <c r="F183" s="30" t="s">
        <v>194</v>
      </c>
      <c r="G183" s="30">
        <f>-(IFERROR(G180*LOG(G180,2),0)+IFERROR(G181*LOG(G181,2),0)+IFERROR(G182*LOG(G182,2),0))</f>
        <v>1.34601346947575</v>
      </c>
      <c r="J183" s="30" t="str">
        <v>kiri</v>
      </c>
      <c r="K183" s="30" t="s">
        <v>194</v>
      </c>
      <c r="L183" s="30">
        <f>-(IFERROR(L180*LOG(L180,2),0)+IFERROR(L181*LOG(L181,2),0)+IFERROR(L182*LOG(L182,2),0))</f>
        <v>1.06938573853445</v>
      </c>
      <c r="O183" s="30" t="str">
        <v>tengah</v>
      </c>
      <c r="P183" s="30" t="s">
        <v>194</v>
      </c>
      <c r="Q183" s="30">
        <f>-(IFERROR(Q180*LOG(Q180,2),0)+IFERROR(Q181*LOG(Q181,2),0)+IFERROR(Q182*LOG(Q182,2),0))</f>
        <v>0.9273730341094</v>
      </c>
      <c r="T183" s="30" t="str">
        <v>kanan</v>
      </c>
      <c r="U183" s="30" t="s">
        <v>194</v>
      </c>
      <c r="V183" s="30">
        <f>-(IFERROR(V180*LOG(V180,2),0)+IFERROR(V181*LOG(V181,2),0)+IFERROR(V182*LOG(V182,2),0))</f>
        <v>0</v>
      </c>
    </row>
    <row r="184" spans="5:22">
      <c r="E184" s="30" t="str">
        <v>kiri</v>
      </c>
      <c r="F184" s="30"/>
      <c r="G184" s="30">
        <f>SUM(F180:F182)/163</f>
        <v>0.319018404907975</v>
      </c>
      <c r="J184" s="30" t="str">
        <v>kanan</v>
      </c>
      <c r="K184" s="30"/>
      <c r="L184" s="30">
        <f>SUM(K180:K182)/163</f>
        <v>0.214723926380368</v>
      </c>
      <c r="O184" s="30" t="str">
        <v>tengah</v>
      </c>
      <c r="P184" s="30"/>
      <c r="Q184" s="30">
        <f>SUM(P180:P182)/163</f>
        <v>0.147239263803681</v>
      </c>
      <c r="T184" s="30" t="str">
        <v>kanan</v>
      </c>
      <c r="U184" s="30"/>
      <c r="V184" s="30">
        <f>SUM(U180:U182)/163</f>
        <v>0</v>
      </c>
    </row>
    <row r="185" spans="5:22">
      <c r="E185" s="30" t="str">
        <v>tengah</v>
      </c>
      <c r="F185" s="30"/>
      <c r="G185" s="37">
        <f>G183*G184</f>
        <v>0.429403070016804</v>
      </c>
      <c r="J185" s="30" t="str">
        <v>tengah</v>
      </c>
      <c r="K185" s="30"/>
      <c r="L185" s="37">
        <f>L183*L184</f>
        <v>0.229622704593287</v>
      </c>
      <c r="O185" s="30" t="str">
        <v>kiri</v>
      </c>
      <c r="P185" s="30"/>
      <c r="Q185" s="37">
        <f>Q183*Q184</f>
        <v>0.136545722813654</v>
      </c>
      <c r="T185" s="30" t="str">
        <v>kanan</v>
      </c>
      <c r="U185" s="30"/>
      <c r="V185" s="37">
        <f>V183*V184</f>
        <v>0</v>
      </c>
    </row>
    <row r="186" spans="5:22">
      <c r="E186" s="30" t="str">
        <v>tengah</v>
      </c>
      <c r="F186" s="30"/>
      <c r="G186" s="30"/>
      <c r="J186" s="30" t="str">
        <v>tengah</v>
      </c>
      <c r="K186" s="30"/>
      <c r="L186" s="30"/>
      <c r="O186" s="30" t="str">
        <v>kiri</v>
      </c>
      <c r="P186" s="30"/>
      <c r="Q186" s="30"/>
      <c r="T186" s="30" t="str">
        <v>kanan</v>
      </c>
      <c r="U186" s="30"/>
      <c r="V186" s="30"/>
    </row>
    <row r="187" spans="5:22">
      <c r="E187" s="30" t="str">
        <v>kanan</v>
      </c>
      <c r="F187" s="30"/>
      <c r="G187" s="30"/>
      <c r="J187" s="30" t="str">
        <v>tengah</v>
      </c>
      <c r="K187" s="30"/>
      <c r="L187" s="30"/>
      <c r="O187" s="30" t="str">
        <v>kanan</v>
      </c>
      <c r="P187" s="30"/>
      <c r="Q187" s="30"/>
      <c r="T187" s="30" t="str">
        <v>kanan</v>
      </c>
      <c r="U187" s="30"/>
      <c r="V187" s="30"/>
    </row>
    <row r="188" spans="5:22">
      <c r="E188" s="30" t="str">
        <v>tengah</v>
      </c>
      <c r="F188" s="30" t="s">
        <v>199</v>
      </c>
      <c r="G188" s="30"/>
      <c r="J188" s="30" t="str">
        <v>kanan</v>
      </c>
      <c r="K188" s="30" t="s">
        <v>199</v>
      </c>
      <c r="L188" s="30"/>
      <c r="O188" s="30" t="str">
        <v>tengah</v>
      </c>
      <c r="P188" s="30" t="s">
        <v>199</v>
      </c>
      <c r="Q188" s="30"/>
      <c r="T188" s="30" t="str">
        <v>tengah</v>
      </c>
      <c r="U188" s="30" t="s">
        <v>199</v>
      </c>
      <c r="V188" s="30"/>
    </row>
    <row r="189" spans="5:22">
      <c r="E189" s="30" t="str">
        <v>tengah</v>
      </c>
      <c r="F189" s="30">
        <f t="array" ref="F189">SUMPRODUCT((E170:E332="tengah")*(M2:M164=1))</f>
        <v>13</v>
      </c>
      <c r="G189" s="30">
        <f>F189/87</f>
        <v>0.149425287356322</v>
      </c>
      <c r="J189" s="30" t="str">
        <v>kanan</v>
      </c>
      <c r="K189" s="30">
        <f>COUNTIFS($J$170:$J$332,"Tengah",$M$2:$M$164,"1")</f>
        <v>16</v>
      </c>
      <c r="L189" s="30">
        <f>K189/91</f>
        <v>0.175824175824176</v>
      </c>
      <c r="O189" s="30" t="str">
        <v>tengah</v>
      </c>
      <c r="P189" s="30">
        <f>COUNTIFS($O$170:$O$332,"Tengah",$M$2:$M$164,"1")</f>
        <v>0</v>
      </c>
      <c r="Q189" s="30">
        <f>P189/113</f>
        <v>0</v>
      </c>
      <c r="T189" s="30" t="str">
        <v>tengah</v>
      </c>
      <c r="U189" s="30">
        <f>COUNTIFS($T$170:$T$332,"Tengah",$M$2:$M$164,"1")</f>
        <v>5</v>
      </c>
      <c r="V189" s="30">
        <f>U189/82</f>
        <v>0.0609756097560976</v>
      </c>
    </row>
    <row r="190" spans="5:22">
      <c r="E190" s="30" t="str">
        <v>tengah</v>
      </c>
      <c r="F190" s="30">
        <f t="array" ref="F190">SUMPRODUCT((E170:E332="tengah")*(M2:M164=2))</f>
        <v>41</v>
      </c>
      <c r="G190" s="30">
        <f t="shared" ref="G190:G191" si="10">F190/87</f>
        <v>0.471264367816092</v>
      </c>
      <c r="J190" s="30" t="str">
        <v>tengah</v>
      </c>
      <c r="K190" s="30">
        <f>COUNTIFS($J$170:$J$332,"Tengah",$M$2:$M$164,"2")</f>
        <v>41</v>
      </c>
      <c r="L190" s="30">
        <f t="shared" ref="L190:L191" si="11">K190/91</f>
        <v>0.450549450549451</v>
      </c>
      <c r="O190" s="30" t="str">
        <v>kiri</v>
      </c>
      <c r="P190" s="30">
        <f>COUNTIFS($O$170:$O$332,"Tengah",$M$2:$M$164,"2")</f>
        <v>65</v>
      </c>
      <c r="Q190" s="30">
        <f t="shared" ref="Q190:Q191" si="12">P190/113</f>
        <v>0.575221238938053</v>
      </c>
      <c r="T190" s="30" t="str">
        <v>kanan</v>
      </c>
      <c r="U190" s="30">
        <f>COUNTIFS($T$170:$T$332,"Tengah",$M$2:$M$164,"2")</f>
        <v>38</v>
      </c>
      <c r="V190" s="30">
        <f t="shared" ref="V190:V191" si="13">U190/82</f>
        <v>0.463414634146341</v>
      </c>
    </row>
    <row r="191" spans="5:22">
      <c r="E191" s="30" t="str">
        <v>tengah</v>
      </c>
      <c r="F191" s="30">
        <f t="array" ref="F191">SUMPRODUCT((E170:E332="tengah")*(M2:M164=3))</f>
        <v>33</v>
      </c>
      <c r="G191" s="30">
        <f t="shared" si="10"/>
        <v>0.379310344827586</v>
      </c>
      <c r="J191" s="30" t="str">
        <v>tengah</v>
      </c>
      <c r="K191" s="30">
        <f>COUNTIFS($J$170:$J$332,"Tengah",$M$2:$M$164,"3")</f>
        <v>34</v>
      </c>
      <c r="L191" s="30">
        <f t="shared" si="11"/>
        <v>0.373626373626374</v>
      </c>
      <c r="O191" s="30" t="str">
        <v>tengah</v>
      </c>
      <c r="P191" s="30">
        <f>COUNTIFS($O$170:$O$332,"Tengah",$M$2:$M$164,"3")</f>
        <v>48</v>
      </c>
      <c r="Q191" s="30">
        <f t="shared" si="12"/>
        <v>0.424778761061947</v>
      </c>
      <c r="T191" s="30" t="str">
        <v>kanan</v>
      </c>
      <c r="U191" s="30">
        <f>COUNTIFS($T$170:$T$332,"Tengah",$M$2:$M$164,"3")</f>
        <v>29</v>
      </c>
      <c r="V191" s="30">
        <f t="shared" si="13"/>
        <v>0.353658536585366</v>
      </c>
    </row>
    <row r="192" spans="5:22">
      <c r="E192" s="30" t="str">
        <v>kiri</v>
      </c>
      <c r="F192" s="30" t="s">
        <v>194</v>
      </c>
      <c r="G192" s="30">
        <f>-(IFERROR(G189*LOG(G189,2),0)+IFERROR(G190*LOG(G190,2),0)+IFERROR(G191*LOG(G191,2),0))</f>
        <v>1.45178999626247</v>
      </c>
      <c r="J192" s="30" t="str">
        <v>tengah</v>
      </c>
      <c r="K192" s="30" t="s">
        <v>194</v>
      </c>
      <c r="L192" s="30">
        <f>-(IFERROR(L189*LOG(L189,2),0)+IFERROR(L190*LOG(L190,2),0)+IFERROR(L191*LOG(L191,2),0))</f>
        <v>1.48984553259592</v>
      </c>
      <c r="O192" s="30" t="str">
        <v>tengah</v>
      </c>
      <c r="P192" s="30" t="s">
        <v>194</v>
      </c>
      <c r="Q192" s="30">
        <f>-(IFERROR(Q189*LOG(Q189,2),0)+IFERROR(Q190*LOG(Q190,2),0)+IFERROR(Q191*LOG(Q191,2),0))</f>
        <v>0.983611636030541</v>
      </c>
      <c r="T192" s="30" t="str">
        <v>tengah</v>
      </c>
      <c r="U192" s="30" t="s">
        <v>194</v>
      </c>
      <c r="V192" s="30">
        <f>-(IFERROR(V189*LOG(V189,2),0)+IFERROR(V190*LOG(V190,2),0)+IFERROR(V191*LOG(V191,2),0))</f>
        <v>1.29062694498182</v>
      </c>
    </row>
    <row r="193" spans="5:22">
      <c r="E193" s="30" t="str">
        <v>tengah</v>
      </c>
      <c r="F193" s="30"/>
      <c r="G193" s="30">
        <f>SUM(F189:F191)/163</f>
        <v>0.533742331288344</v>
      </c>
      <c r="J193" s="30" t="str">
        <v>kanan</v>
      </c>
      <c r="K193" s="30"/>
      <c r="L193" s="30">
        <f>SUM(K189:K191)/163</f>
        <v>0.558282208588957</v>
      </c>
      <c r="O193" s="30" t="str">
        <v>tengah</v>
      </c>
      <c r="P193" s="30"/>
      <c r="Q193" s="30">
        <f>SUM(P189:P191)/163</f>
        <v>0.693251533742331</v>
      </c>
      <c r="T193" s="30" t="str">
        <v>tengah</v>
      </c>
      <c r="U193" s="30"/>
      <c r="V193" s="30">
        <f>SUM(U189:U191)/163</f>
        <v>0.441717791411043</v>
      </c>
    </row>
    <row r="194" spans="5:22">
      <c r="E194" s="30" t="str">
        <v>kanan</v>
      </c>
      <c r="F194" s="30"/>
      <c r="G194" s="37">
        <f>G192*G193</f>
        <v>0.774881777146226</v>
      </c>
      <c r="J194" s="30" t="str">
        <v>tengah</v>
      </c>
      <c r="K194" s="30"/>
      <c r="L194" s="37">
        <f>L192*L193</f>
        <v>0.831754254394039</v>
      </c>
      <c r="O194" s="30" t="str">
        <v>kiri</v>
      </c>
      <c r="P194" s="30"/>
      <c r="Q194" s="37">
        <f>Q192*Q193</f>
        <v>0.681890275284976</v>
      </c>
      <c r="T194" s="30" t="str">
        <v>tengah</v>
      </c>
      <c r="U194" s="30"/>
      <c r="V194" s="37">
        <f>V192*V193</f>
        <v>0.570092883672952</v>
      </c>
    </row>
    <row r="195" spans="5:22">
      <c r="E195" s="30" t="str">
        <v>tengah</v>
      </c>
      <c r="F195" s="30"/>
      <c r="G195" s="30"/>
      <c r="J195" s="30" t="str">
        <v>tengah</v>
      </c>
      <c r="K195" s="30"/>
      <c r="L195" s="30"/>
      <c r="O195" s="30" t="str">
        <v>tengah</v>
      </c>
      <c r="P195" s="30"/>
      <c r="Q195" s="30"/>
      <c r="T195" s="30" t="str">
        <v>kanan</v>
      </c>
      <c r="U195" s="30"/>
      <c r="V195" s="30"/>
    </row>
    <row r="196" spans="5:22">
      <c r="E196" s="30" t="str">
        <v>tengah</v>
      </c>
      <c r="F196" s="30" t="s">
        <v>200</v>
      </c>
      <c r="G196" s="36" t="s">
        <v>194</v>
      </c>
      <c r="J196" s="30" t="str">
        <v>kanan</v>
      </c>
      <c r="K196" s="30" t="s">
        <v>200</v>
      </c>
      <c r="L196" s="36" t="s">
        <v>194</v>
      </c>
      <c r="O196" s="30" t="str">
        <v>tengah</v>
      </c>
      <c r="P196" s="30" t="s">
        <v>200</v>
      </c>
      <c r="Q196" s="36" t="s">
        <v>194</v>
      </c>
      <c r="T196" s="30" t="str">
        <v>tengah</v>
      </c>
      <c r="U196" s="30" t="s">
        <v>200</v>
      </c>
      <c r="V196" s="36" t="s">
        <v>194</v>
      </c>
    </row>
    <row r="197" spans="5:22">
      <c r="E197" s="30" t="str">
        <v>tengah</v>
      </c>
      <c r="F197" s="41">
        <f>P5-(G176+G185+G194)</f>
        <v>0.0419457934056919</v>
      </c>
      <c r="G197" s="37">
        <f>(G176+G185+G194)</f>
        <v>1.34856000151657</v>
      </c>
      <c r="J197" s="30" t="str">
        <v>tengah</v>
      </c>
      <c r="K197" s="41">
        <f>P5-(L176+L185+L194)</f>
        <v>0.10803116732069</v>
      </c>
      <c r="L197" s="37">
        <f>(L176+L185+L194)</f>
        <v>1.28247462760158</v>
      </c>
      <c r="O197" s="30" t="str">
        <v>kiri</v>
      </c>
      <c r="P197" s="41">
        <f>P5-(Q176+Q185+Q194)</f>
        <v>0.572069796823635</v>
      </c>
      <c r="Q197" s="37">
        <f>(Q176+Q185+Q194)</f>
        <v>0.81843599809863</v>
      </c>
      <c r="T197" s="30" t="str">
        <v>kanan</v>
      </c>
      <c r="U197" s="41">
        <f>P5-(V176+V185+V194)</f>
        <v>0.0238553405109359</v>
      </c>
      <c r="V197" s="37">
        <f>(V176+V185+V194)</f>
        <v>1.36665045441133</v>
      </c>
    </row>
    <row r="198" spans="5:22">
      <c r="E198" s="30" t="str">
        <v>kiri</v>
      </c>
      <c r="F198" s="30"/>
      <c r="G198" s="30"/>
      <c r="J198" s="30" t="str">
        <v>tengah</v>
      </c>
      <c r="K198" s="30"/>
      <c r="L198" s="30"/>
      <c r="O198" s="30" t="str">
        <v>kiri</v>
      </c>
      <c r="P198" s="30"/>
      <c r="Q198" s="30"/>
      <c r="T198" s="30" t="str">
        <v>tengah</v>
      </c>
      <c r="U198" s="30"/>
      <c r="V198" s="30"/>
    </row>
    <row r="199" spans="5:22">
      <c r="E199" s="30" t="str">
        <v>tengah</v>
      </c>
      <c r="F199" s="30"/>
      <c r="G199" s="30"/>
      <c r="J199" s="30" t="str">
        <v>kanan</v>
      </c>
      <c r="K199" s="30"/>
      <c r="L199" s="30"/>
      <c r="O199" s="30" t="str">
        <v>tengah</v>
      </c>
      <c r="P199" s="30"/>
      <c r="Q199" s="30"/>
      <c r="T199" s="30" t="str">
        <v>tengah</v>
      </c>
      <c r="U199" s="30"/>
      <c r="V199" s="30"/>
    </row>
    <row r="200" spans="5:22">
      <c r="E200" s="30" t="str">
        <v>tengah</v>
      </c>
      <c r="F200" s="30"/>
      <c r="G200" s="30"/>
      <c r="J200" s="30" t="str">
        <v>tengah</v>
      </c>
      <c r="K200" s="30"/>
      <c r="L200" s="30"/>
      <c r="O200" s="30" t="str">
        <v>kanan</v>
      </c>
      <c r="P200" s="30"/>
      <c r="Q200" s="30"/>
      <c r="T200" s="30" t="str">
        <v>kanan</v>
      </c>
      <c r="U200" s="30"/>
      <c r="V200" s="30"/>
    </row>
    <row r="201" spans="5:22">
      <c r="E201" s="30" t="str">
        <v>tengah</v>
      </c>
      <c r="F201" s="30"/>
      <c r="G201" s="30"/>
      <c r="J201" s="30" t="str">
        <v>tengah</v>
      </c>
      <c r="K201" s="30"/>
      <c r="L201" s="30"/>
      <c r="O201" s="30" t="str">
        <v>tengah</v>
      </c>
      <c r="P201" s="30"/>
      <c r="Q201" s="30"/>
      <c r="T201" s="30" t="str">
        <v>kanan</v>
      </c>
      <c r="U201" s="30"/>
      <c r="V201" s="30"/>
    </row>
    <row r="202" spans="5:22">
      <c r="E202" s="30" t="str">
        <v>tengah</v>
      </c>
      <c r="F202" s="30"/>
      <c r="G202" s="30"/>
      <c r="J202" s="30" t="str">
        <v>kanan</v>
      </c>
      <c r="K202" s="30"/>
      <c r="L202" s="30"/>
      <c r="O202" s="30" t="str">
        <v>tengah</v>
      </c>
      <c r="P202" s="30"/>
      <c r="Q202" s="30"/>
      <c r="T202" s="30" t="str">
        <v>kanan</v>
      </c>
      <c r="U202" s="30"/>
      <c r="V202" s="30"/>
    </row>
    <row r="203" spans="5:22">
      <c r="E203" s="30" t="str">
        <v>kanan</v>
      </c>
      <c r="F203" s="30"/>
      <c r="G203" s="30"/>
      <c r="J203" s="30" t="str">
        <v>kanan</v>
      </c>
      <c r="K203" s="30"/>
      <c r="L203" s="30"/>
      <c r="O203" s="30" t="str">
        <v>tengah</v>
      </c>
      <c r="P203" s="30"/>
      <c r="Q203" s="30"/>
      <c r="T203" s="30" t="str">
        <v>kanan</v>
      </c>
      <c r="U203" s="30"/>
      <c r="V203" s="30"/>
    </row>
    <row r="204" spans="5:22">
      <c r="E204" s="30" t="str">
        <v>tengah</v>
      </c>
      <c r="F204" s="30"/>
      <c r="G204" s="30"/>
      <c r="J204" s="30" t="str">
        <v>kiri</v>
      </c>
      <c r="K204" s="30"/>
      <c r="L204" s="30"/>
      <c r="O204" s="30" t="str">
        <v>tengah</v>
      </c>
      <c r="P204" s="30"/>
      <c r="Q204" s="30"/>
      <c r="T204" s="30" t="str">
        <v>kanan</v>
      </c>
      <c r="U204" s="30"/>
      <c r="V204" s="30"/>
    </row>
    <row r="205" spans="5:22">
      <c r="E205" s="30" t="str">
        <v>tengah</v>
      </c>
      <c r="F205" s="30"/>
      <c r="G205" s="30"/>
      <c r="J205" s="30" t="str">
        <v>kanan</v>
      </c>
      <c r="K205" s="30"/>
      <c r="L205" s="30"/>
      <c r="O205" s="30" t="str">
        <v>tengah</v>
      </c>
      <c r="P205" s="30"/>
      <c r="Q205" s="30"/>
      <c r="T205" s="30" t="str">
        <v>tengah</v>
      </c>
      <c r="U205" s="30"/>
      <c r="V205" s="30"/>
    </row>
    <row r="206" spans="5:22">
      <c r="E206" s="30" t="str">
        <v>tengah</v>
      </c>
      <c r="F206" s="30"/>
      <c r="G206" s="30"/>
      <c r="J206" s="30" t="str">
        <v>tengah</v>
      </c>
      <c r="K206" s="30"/>
      <c r="L206" s="30"/>
      <c r="O206" s="30" t="str">
        <v>tengah</v>
      </c>
      <c r="P206" s="30"/>
      <c r="Q206" s="30"/>
      <c r="T206" s="30" t="str">
        <v>kanan</v>
      </c>
      <c r="U206" s="30"/>
      <c r="V206" s="30"/>
    </row>
    <row r="207" spans="5:22">
      <c r="E207" s="30" t="str">
        <v>tengah</v>
      </c>
      <c r="F207" s="30"/>
      <c r="G207" s="30"/>
      <c r="J207" s="30" t="str">
        <v>tengah</v>
      </c>
      <c r="K207" s="30"/>
      <c r="L207" s="30"/>
      <c r="O207" s="30" t="str">
        <v>kanan</v>
      </c>
      <c r="P207" s="30"/>
      <c r="Q207" s="30"/>
      <c r="T207" s="30" t="str">
        <v>kanan</v>
      </c>
      <c r="U207" s="30"/>
      <c r="V207" s="30"/>
    </row>
    <row r="208" spans="5:22">
      <c r="E208" s="30" t="str">
        <v>tengah</v>
      </c>
      <c r="F208" s="30"/>
      <c r="G208" s="30"/>
      <c r="J208" s="30" t="str">
        <v>kanan</v>
      </c>
      <c r="K208" s="30"/>
      <c r="L208" s="30"/>
      <c r="O208" s="30" t="str">
        <v>tengah</v>
      </c>
      <c r="P208" s="30"/>
      <c r="Q208" s="30"/>
      <c r="T208" s="30" t="str">
        <v>tengah</v>
      </c>
      <c r="U208" s="30"/>
      <c r="V208" s="30"/>
    </row>
    <row r="209" spans="5:22">
      <c r="E209" s="30" t="str">
        <v>tengah</v>
      </c>
      <c r="F209" s="30"/>
      <c r="G209" s="30"/>
      <c r="J209" s="30" t="str">
        <v>kiri</v>
      </c>
      <c r="K209" s="30"/>
      <c r="L209" s="30"/>
      <c r="O209" s="30" t="str">
        <v>tengah</v>
      </c>
      <c r="P209" s="30"/>
      <c r="Q209" s="30"/>
      <c r="T209" s="30" t="str">
        <v>tengah</v>
      </c>
      <c r="U209" s="30"/>
      <c r="V209" s="30"/>
    </row>
    <row r="210" spans="5:22">
      <c r="E210" s="30" t="str">
        <v>tengah</v>
      </c>
      <c r="F210" s="30"/>
      <c r="G210" s="30"/>
      <c r="J210" s="30" t="str">
        <v>tengah</v>
      </c>
      <c r="K210" s="30"/>
      <c r="L210" s="30"/>
      <c r="O210" s="30" t="str">
        <v>kiri</v>
      </c>
      <c r="P210" s="30"/>
      <c r="Q210" s="30"/>
      <c r="T210" s="30" t="str">
        <v>kanan</v>
      </c>
      <c r="U210" s="30"/>
      <c r="V210" s="30"/>
    </row>
    <row r="211" spans="5:22">
      <c r="E211" s="30" t="str">
        <v>kanan</v>
      </c>
      <c r="F211" s="30"/>
      <c r="G211" s="30"/>
      <c r="J211" s="30" t="str">
        <v>tengah</v>
      </c>
      <c r="K211" s="30"/>
      <c r="L211" s="30"/>
      <c r="O211" s="30" t="str">
        <v>tengah</v>
      </c>
      <c r="P211" s="30"/>
      <c r="Q211" s="30"/>
      <c r="T211" s="30" t="str">
        <v>tengah</v>
      </c>
      <c r="U211" s="30"/>
      <c r="V211" s="30"/>
    </row>
    <row r="212" spans="5:22">
      <c r="E212" s="30" t="str">
        <v>tengah</v>
      </c>
      <c r="F212" s="30"/>
      <c r="G212" s="30"/>
      <c r="J212" s="30" t="str">
        <v>tengah</v>
      </c>
      <c r="K212" s="30"/>
      <c r="L212" s="30"/>
      <c r="O212" s="30" t="str">
        <v>tengah</v>
      </c>
      <c r="P212" s="30"/>
      <c r="Q212" s="30"/>
      <c r="T212" s="30" t="str">
        <v>kanan</v>
      </c>
      <c r="U212" s="30"/>
      <c r="V212" s="30"/>
    </row>
    <row r="213" spans="5:22">
      <c r="E213" s="30" t="str">
        <v>tengah</v>
      </c>
      <c r="F213" s="30"/>
      <c r="G213" s="30"/>
      <c r="J213" s="30" t="str">
        <v>tengah</v>
      </c>
      <c r="K213" s="30"/>
      <c r="L213" s="30"/>
      <c r="O213" s="30" t="str">
        <v>kanan</v>
      </c>
      <c r="P213" s="30"/>
      <c r="Q213" s="30"/>
      <c r="T213" s="30" t="str">
        <v>tengah</v>
      </c>
      <c r="U213" s="30"/>
      <c r="V213" s="30"/>
    </row>
    <row r="214" spans="5:22">
      <c r="E214" s="30" t="str">
        <v>kiri</v>
      </c>
      <c r="F214" s="30"/>
      <c r="G214" s="30"/>
      <c r="J214" s="30" t="str">
        <v>tengah</v>
      </c>
      <c r="K214" s="30"/>
      <c r="L214" s="30"/>
      <c r="O214" s="30" t="str">
        <v>tengah</v>
      </c>
      <c r="P214" s="30"/>
      <c r="Q214" s="30"/>
      <c r="T214" s="30" t="str">
        <v>kanan</v>
      </c>
      <c r="U214" s="30"/>
      <c r="V214" s="30"/>
    </row>
    <row r="215" spans="5:22">
      <c r="E215" s="30" t="str">
        <v>kiri</v>
      </c>
      <c r="F215" s="30"/>
      <c r="G215" s="30"/>
      <c r="J215" s="30" t="str">
        <v>kanan</v>
      </c>
      <c r="K215" s="30"/>
      <c r="L215" s="30"/>
      <c r="O215" s="30" t="str">
        <v>tengah</v>
      </c>
      <c r="P215" s="30"/>
      <c r="Q215" s="30"/>
      <c r="T215" s="30" t="str">
        <v>kanan</v>
      </c>
      <c r="U215" s="30"/>
      <c r="V215" s="30"/>
    </row>
    <row r="216" spans="5:22">
      <c r="E216" s="30" t="str">
        <v>kanan</v>
      </c>
      <c r="F216" s="30"/>
      <c r="G216" s="30"/>
      <c r="J216" s="30" t="str">
        <v>tengah</v>
      </c>
      <c r="K216" s="30"/>
      <c r="L216" s="30"/>
      <c r="O216" s="30" t="str">
        <v>tengah</v>
      </c>
      <c r="P216" s="30"/>
      <c r="Q216" s="30"/>
      <c r="T216" s="30" t="str">
        <v>tengah</v>
      </c>
      <c r="U216" s="30"/>
      <c r="V216" s="30"/>
    </row>
    <row r="217" spans="5:22">
      <c r="E217" s="30" t="str">
        <v>tengah</v>
      </c>
      <c r="F217" s="30"/>
      <c r="G217" s="30"/>
      <c r="J217" s="30" t="str">
        <v>kiri</v>
      </c>
      <c r="K217" s="30"/>
      <c r="L217" s="30"/>
      <c r="O217" s="30" t="str">
        <v>kanan</v>
      </c>
      <c r="P217" s="30"/>
      <c r="Q217" s="30"/>
      <c r="T217" s="30" t="str">
        <v>tengah</v>
      </c>
      <c r="U217" s="30"/>
      <c r="V217" s="30"/>
    </row>
    <row r="218" spans="5:22">
      <c r="E218" s="30" t="str">
        <v>kanan</v>
      </c>
      <c r="F218" s="30"/>
      <c r="G218" s="30"/>
      <c r="J218" s="30" t="str">
        <v>tengah</v>
      </c>
      <c r="K218" s="30"/>
      <c r="L218" s="30"/>
      <c r="O218" s="30" t="str">
        <v>kiri</v>
      </c>
      <c r="P218" s="30"/>
      <c r="Q218" s="30"/>
      <c r="T218" s="30" t="str">
        <v>tengah</v>
      </c>
      <c r="U218" s="30"/>
      <c r="V218" s="30"/>
    </row>
    <row r="219" spans="5:22">
      <c r="E219" s="30" t="str">
        <v>kanan</v>
      </c>
      <c r="F219" s="30"/>
      <c r="G219" s="30"/>
      <c r="J219" s="30" t="str">
        <v>kanan</v>
      </c>
      <c r="K219" s="30"/>
      <c r="L219" s="30"/>
      <c r="O219" s="30" t="str">
        <v>tengah</v>
      </c>
      <c r="P219" s="30"/>
      <c r="Q219" s="30"/>
      <c r="T219" s="30" t="str">
        <v>kanan</v>
      </c>
      <c r="U219" s="30"/>
      <c r="V219" s="30"/>
    </row>
    <row r="220" spans="5:22">
      <c r="E220" s="30" t="str">
        <v>tengah</v>
      </c>
      <c r="F220" s="30"/>
      <c r="G220" s="30"/>
      <c r="J220" s="30" t="str">
        <v>tengah</v>
      </c>
      <c r="K220" s="30"/>
      <c r="L220" s="30"/>
      <c r="O220" s="30" t="str">
        <v>tengah</v>
      </c>
      <c r="P220" s="30"/>
      <c r="Q220" s="30"/>
      <c r="T220" s="30" t="str">
        <v>tengah</v>
      </c>
      <c r="U220" s="30"/>
      <c r="V220" s="30"/>
    </row>
    <row r="221" spans="5:22">
      <c r="E221" s="30" t="str">
        <v>tengah</v>
      </c>
      <c r="F221" s="30"/>
      <c r="G221" s="30"/>
      <c r="J221" s="30" t="str">
        <v>kanan</v>
      </c>
      <c r="K221" s="30"/>
      <c r="L221" s="30"/>
      <c r="O221" s="30" t="str">
        <v>tengah</v>
      </c>
      <c r="P221" s="30"/>
      <c r="Q221" s="30"/>
      <c r="T221" s="30" t="str">
        <v>tengah</v>
      </c>
      <c r="U221" s="30"/>
      <c r="V221" s="30"/>
    </row>
    <row r="222" spans="5:22">
      <c r="E222" s="30" t="str">
        <v>kiri</v>
      </c>
      <c r="F222" s="30"/>
      <c r="G222" s="30"/>
      <c r="J222" s="30" t="str">
        <v>kiri</v>
      </c>
      <c r="K222" s="30"/>
      <c r="L222" s="30"/>
      <c r="O222" s="30" t="str">
        <v>kanan</v>
      </c>
      <c r="P222" s="30"/>
      <c r="Q222" s="30"/>
      <c r="T222" s="30" t="str">
        <v>kanan</v>
      </c>
      <c r="U222" s="30"/>
      <c r="V222" s="30"/>
    </row>
    <row r="223" spans="5:22">
      <c r="E223" s="30" t="str">
        <v>kiri</v>
      </c>
      <c r="F223" s="30"/>
      <c r="G223" s="30"/>
      <c r="J223" s="30" t="str">
        <v>tengah</v>
      </c>
      <c r="K223" s="30"/>
      <c r="L223" s="30"/>
      <c r="O223" s="30" t="str">
        <v>tengah</v>
      </c>
      <c r="P223" s="30"/>
      <c r="Q223" s="30"/>
      <c r="T223" s="30" t="str">
        <v>tengah</v>
      </c>
      <c r="U223" s="30"/>
      <c r="V223" s="30"/>
    </row>
    <row r="224" spans="5:22">
      <c r="E224" s="30" t="str">
        <v>kiri</v>
      </c>
      <c r="F224" s="30"/>
      <c r="G224" s="30"/>
      <c r="J224" s="30" t="str">
        <v>kanan</v>
      </c>
      <c r="K224" s="30"/>
      <c r="L224" s="30"/>
      <c r="O224" s="30" t="str">
        <v>tengah</v>
      </c>
      <c r="P224" s="30"/>
      <c r="Q224" s="30"/>
      <c r="T224" s="30" t="str">
        <v>kanan</v>
      </c>
      <c r="U224" s="30"/>
      <c r="V224" s="30"/>
    </row>
    <row r="225" spans="5:22">
      <c r="E225" s="30" t="str">
        <v>kiri</v>
      </c>
      <c r="F225" s="30"/>
      <c r="G225" s="30"/>
      <c r="J225" s="30" t="str">
        <v>tengah</v>
      </c>
      <c r="K225" s="30"/>
      <c r="L225" s="30"/>
      <c r="O225" s="30" t="str">
        <v>kiri</v>
      </c>
      <c r="P225" s="30"/>
      <c r="Q225" s="30"/>
      <c r="T225" s="30" t="str">
        <v>tengah</v>
      </c>
      <c r="U225" s="30"/>
      <c r="V225" s="30"/>
    </row>
    <row r="226" spans="5:22">
      <c r="E226" s="30" t="str">
        <v>tengah</v>
      </c>
      <c r="F226" s="30"/>
      <c r="G226" s="30"/>
      <c r="J226" s="30" t="str">
        <v>kanan</v>
      </c>
      <c r="K226" s="30"/>
      <c r="L226" s="30"/>
      <c r="O226" s="30" t="str">
        <v>kanan</v>
      </c>
      <c r="P226" s="30"/>
      <c r="Q226" s="30"/>
      <c r="T226" s="30" t="str">
        <v>tengah</v>
      </c>
      <c r="U226" s="30"/>
      <c r="V226" s="30"/>
    </row>
    <row r="227" spans="5:22">
      <c r="E227" s="30" t="str">
        <v>kanan</v>
      </c>
      <c r="F227" s="30"/>
      <c r="G227" s="30"/>
      <c r="J227" s="30" t="str">
        <v>tengah</v>
      </c>
      <c r="K227" s="30"/>
      <c r="L227" s="30"/>
      <c r="O227" s="30" t="str">
        <v>tengah</v>
      </c>
      <c r="P227" s="30"/>
      <c r="Q227" s="30"/>
      <c r="T227" s="30" t="str">
        <v>kanan</v>
      </c>
      <c r="U227" s="30"/>
      <c r="V227" s="30"/>
    </row>
    <row r="228" spans="5:22">
      <c r="E228" s="30" t="str">
        <v>tengah</v>
      </c>
      <c r="F228" s="30"/>
      <c r="G228" s="30"/>
      <c r="J228" s="30" t="str">
        <v>tengah</v>
      </c>
      <c r="K228" s="30"/>
      <c r="L228" s="30"/>
      <c r="O228" s="30" t="str">
        <v>tengah</v>
      </c>
      <c r="P228" s="30"/>
      <c r="Q228" s="30"/>
      <c r="T228" s="30" t="str">
        <v>kanan</v>
      </c>
      <c r="U228" s="30"/>
      <c r="V228" s="30"/>
    </row>
    <row r="229" spans="5:22">
      <c r="E229" s="30" t="str">
        <v>tengah</v>
      </c>
      <c r="F229" s="30"/>
      <c r="G229" s="30"/>
      <c r="J229" s="30" t="str">
        <v>kanan</v>
      </c>
      <c r="K229" s="30"/>
      <c r="L229" s="30"/>
      <c r="O229" s="30" t="str">
        <v>tengah</v>
      </c>
      <c r="P229" s="30"/>
      <c r="Q229" s="30"/>
      <c r="T229" s="30" t="str">
        <v>kanan</v>
      </c>
      <c r="U229" s="30"/>
      <c r="V229" s="30"/>
    </row>
    <row r="230" spans="5:22">
      <c r="E230" s="30" t="str">
        <v>kiri</v>
      </c>
      <c r="F230" s="30"/>
      <c r="G230" s="30"/>
      <c r="J230" s="30" t="str">
        <v>tengah</v>
      </c>
      <c r="K230" s="30"/>
      <c r="L230" s="30"/>
      <c r="O230" s="30" t="str">
        <v>kanan</v>
      </c>
      <c r="P230" s="30"/>
      <c r="Q230" s="30"/>
      <c r="T230" s="30" t="str">
        <v>kanan</v>
      </c>
      <c r="U230" s="30"/>
      <c r="V230" s="30"/>
    </row>
    <row r="231" spans="5:22">
      <c r="E231" s="30" t="str">
        <v>kiri</v>
      </c>
      <c r="F231" s="30"/>
      <c r="G231" s="30"/>
      <c r="J231" s="30" t="str">
        <v>tengah</v>
      </c>
      <c r="K231" s="30"/>
      <c r="L231" s="30"/>
      <c r="O231" s="30" t="str">
        <v>tengah</v>
      </c>
      <c r="P231" s="30"/>
      <c r="Q231" s="30"/>
      <c r="T231" s="30" t="str">
        <v>tengah</v>
      </c>
      <c r="U231" s="30"/>
      <c r="V231" s="30"/>
    </row>
    <row r="232" spans="5:22">
      <c r="E232" s="30" t="str">
        <v>tengah</v>
      </c>
      <c r="F232" s="30"/>
      <c r="G232" s="30"/>
      <c r="J232" s="30" t="str">
        <v>kiri</v>
      </c>
      <c r="K232" s="30"/>
      <c r="L232" s="30"/>
      <c r="O232" s="30" t="str">
        <v>tengah</v>
      </c>
      <c r="P232" s="30"/>
      <c r="Q232" s="30"/>
      <c r="T232" s="30" t="str">
        <v>tengah</v>
      </c>
      <c r="U232" s="30"/>
      <c r="V232" s="30"/>
    </row>
    <row r="233" spans="5:22">
      <c r="E233" s="30" t="str">
        <v>kiri</v>
      </c>
      <c r="F233" s="30"/>
      <c r="G233" s="30"/>
      <c r="J233" s="30" t="str">
        <v>kiri</v>
      </c>
      <c r="K233" s="30"/>
      <c r="L233" s="30"/>
      <c r="O233" s="30" t="str">
        <v>tengah</v>
      </c>
      <c r="P233" s="30"/>
      <c r="Q233" s="30"/>
      <c r="T233" s="30" t="str">
        <v>kanan</v>
      </c>
      <c r="U233" s="30"/>
      <c r="V233" s="30"/>
    </row>
    <row r="234" spans="5:22">
      <c r="E234" s="30" t="str">
        <v>kiri</v>
      </c>
      <c r="F234" s="30"/>
      <c r="G234" s="30"/>
      <c r="J234" s="30" t="str">
        <v>tengah</v>
      </c>
      <c r="K234" s="30"/>
      <c r="L234" s="30"/>
      <c r="O234" s="30" t="str">
        <v>kanan</v>
      </c>
      <c r="P234" s="30"/>
      <c r="Q234" s="30"/>
      <c r="T234" s="30" t="str">
        <v>kanan</v>
      </c>
      <c r="U234" s="30"/>
      <c r="V234" s="30"/>
    </row>
    <row r="235" spans="5:22">
      <c r="E235" s="30" t="str">
        <v>tengah</v>
      </c>
      <c r="F235" s="30"/>
      <c r="G235" s="30"/>
      <c r="J235" s="30" t="str">
        <v>tengah</v>
      </c>
      <c r="K235" s="30"/>
      <c r="L235" s="30"/>
      <c r="O235" s="30" t="str">
        <v>tengah</v>
      </c>
      <c r="P235" s="30"/>
      <c r="Q235" s="30"/>
      <c r="T235" s="30" t="str">
        <v>kanan</v>
      </c>
      <c r="U235" s="30"/>
      <c r="V235" s="30"/>
    </row>
    <row r="236" spans="5:22">
      <c r="E236" s="30" t="str">
        <v>tengah</v>
      </c>
      <c r="F236" s="30"/>
      <c r="G236" s="30"/>
      <c r="J236" s="30" t="str">
        <v>tengah</v>
      </c>
      <c r="K236" s="30"/>
      <c r="L236" s="30"/>
      <c r="O236" s="30" t="str">
        <v>tengah</v>
      </c>
      <c r="P236" s="30"/>
      <c r="Q236" s="30"/>
      <c r="T236" s="30" t="str">
        <v>kanan</v>
      </c>
      <c r="U236" s="30"/>
      <c r="V236" s="30"/>
    </row>
    <row r="237" spans="5:22">
      <c r="E237" s="30" t="str">
        <v>tengah</v>
      </c>
      <c r="F237" s="30"/>
      <c r="G237" s="30"/>
      <c r="J237" s="30" t="str">
        <v>tengah</v>
      </c>
      <c r="K237" s="30"/>
      <c r="L237" s="30"/>
      <c r="O237" s="30" t="str">
        <v>tengah</v>
      </c>
      <c r="P237" s="30"/>
      <c r="Q237" s="30"/>
      <c r="T237" s="30" t="str">
        <v>tengah</v>
      </c>
      <c r="U237" s="30"/>
      <c r="V237" s="30"/>
    </row>
    <row r="238" spans="5:22">
      <c r="E238" s="30" t="str">
        <v>kiri</v>
      </c>
      <c r="F238" s="30"/>
      <c r="G238" s="30"/>
      <c r="J238" s="30" t="str">
        <v>tengah</v>
      </c>
      <c r="K238" s="30"/>
      <c r="L238" s="30"/>
      <c r="O238" s="30" t="str">
        <v>tengah</v>
      </c>
      <c r="P238" s="30"/>
      <c r="Q238" s="30"/>
      <c r="T238" s="30" t="str">
        <v>tengah</v>
      </c>
      <c r="U238" s="30"/>
      <c r="V238" s="30"/>
    </row>
    <row r="239" spans="5:22">
      <c r="E239" s="30" t="str">
        <v>tengah</v>
      </c>
      <c r="F239" s="30"/>
      <c r="G239" s="30"/>
      <c r="J239" s="30" t="str">
        <v>tengah</v>
      </c>
      <c r="K239" s="30"/>
      <c r="L239" s="30"/>
      <c r="O239" s="30" t="str">
        <v>tengah</v>
      </c>
      <c r="P239" s="30"/>
      <c r="Q239" s="30"/>
      <c r="T239" s="30" t="str">
        <v>kanan</v>
      </c>
      <c r="U239" s="30"/>
      <c r="V239" s="30"/>
    </row>
    <row r="240" spans="5:22">
      <c r="E240" s="30" t="str">
        <v>tengah</v>
      </c>
      <c r="F240" s="30"/>
      <c r="G240" s="30"/>
      <c r="J240" s="30" t="str">
        <v>kanan</v>
      </c>
      <c r="K240" s="30"/>
      <c r="L240" s="30"/>
      <c r="O240" s="30" t="str">
        <v>tengah</v>
      </c>
      <c r="P240" s="30"/>
      <c r="Q240" s="30"/>
      <c r="T240" s="30" t="str">
        <v>kanan</v>
      </c>
      <c r="U240" s="30"/>
      <c r="V240" s="30"/>
    </row>
    <row r="241" spans="5:22">
      <c r="E241" s="30" t="str">
        <v>kiri</v>
      </c>
      <c r="F241" s="30"/>
      <c r="G241" s="30"/>
      <c r="J241" s="30" t="str">
        <v>kanan</v>
      </c>
      <c r="K241" s="30"/>
      <c r="L241" s="30"/>
      <c r="O241" s="30" t="str">
        <v>tengah</v>
      </c>
      <c r="P241" s="30"/>
      <c r="Q241" s="30"/>
      <c r="T241" s="30" t="str">
        <v>kanan</v>
      </c>
      <c r="U241" s="30"/>
      <c r="V241" s="30"/>
    </row>
    <row r="242" spans="5:22">
      <c r="E242" s="30" t="str">
        <v>kiri</v>
      </c>
      <c r="F242" s="30"/>
      <c r="G242" s="30"/>
      <c r="J242" s="30" t="str">
        <v>tengah</v>
      </c>
      <c r="K242" s="30"/>
      <c r="L242" s="30"/>
      <c r="O242" s="30" t="str">
        <v>tengah</v>
      </c>
      <c r="P242" s="30"/>
      <c r="Q242" s="30"/>
      <c r="T242" s="30" t="str">
        <v>kanan</v>
      </c>
      <c r="U242" s="30"/>
      <c r="V242" s="30"/>
    </row>
    <row r="243" spans="5:22">
      <c r="E243" s="30" t="str">
        <v>tengah</v>
      </c>
      <c r="F243" s="30"/>
      <c r="G243" s="30"/>
      <c r="J243" s="30" t="str">
        <v>kanan</v>
      </c>
      <c r="K243" s="30"/>
      <c r="L243" s="30"/>
      <c r="O243" s="30" t="str">
        <v>tengah</v>
      </c>
      <c r="P243" s="30"/>
      <c r="Q243" s="30"/>
      <c r="T243" s="30" t="str">
        <v>tengah</v>
      </c>
      <c r="U243" s="30"/>
      <c r="V243" s="30"/>
    </row>
    <row r="244" spans="5:22">
      <c r="E244" s="30" t="str">
        <v>tengah</v>
      </c>
      <c r="F244" s="30"/>
      <c r="G244" s="30"/>
      <c r="J244" s="30" t="str">
        <v>tengah</v>
      </c>
      <c r="K244" s="30"/>
      <c r="L244" s="30"/>
      <c r="O244" s="30" t="str">
        <v>tengah</v>
      </c>
      <c r="P244" s="30"/>
      <c r="Q244" s="30"/>
      <c r="T244" s="30" t="str">
        <v>kanan</v>
      </c>
      <c r="U244" s="30"/>
      <c r="V244" s="30"/>
    </row>
    <row r="245" spans="5:22">
      <c r="E245" s="30" t="str">
        <v>tengah</v>
      </c>
      <c r="F245" s="30"/>
      <c r="G245" s="30"/>
      <c r="J245" s="30" t="str">
        <v>kiri</v>
      </c>
      <c r="K245" s="30"/>
      <c r="L245" s="30"/>
      <c r="O245" s="30" t="str">
        <v>kiri</v>
      </c>
      <c r="P245" s="30"/>
      <c r="Q245" s="30"/>
      <c r="T245" s="30" t="str">
        <v>kanan</v>
      </c>
      <c r="U245" s="30"/>
      <c r="V245" s="30"/>
    </row>
    <row r="246" spans="5:22">
      <c r="E246" s="30" t="str">
        <v>tengah</v>
      </c>
      <c r="F246" s="30"/>
      <c r="G246" s="30"/>
      <c r="J246" s="30" t="str">
        <v>tengah</v>
      </c>
      <c r="K246" s="30"/>
      <c r="L246" s="30"/>
      <c r="O246" s="30" t="str">
        <v>kiri</v>
      </c>
      <c r="P246" s="30"/>
      <c r="Q246" s="30"/>
      <c r="T246" s="30" t="str">
        <v>kanan</v>
      </c>
      <c r="U246" s="30"/>
      <c r="V246" s="30"/>
    </row>
    <row r="247" spans="5:22">
      <c r="E247" s="30" t="str">
        <v>kiri</v>
      </c>
      <c r="F247" s="30"/>
      <c r="G247" s="30"/>
      <c r="J247" s="30" t="str">
        <v>tengah</v>
      </c>
      <c r="K247" s="30"/>
      <c r="L247" s="30"/>
      <c r="O247" s="30" t="str">
        <v>kanan</v>
      </c>
      <c r="P247" s="30"/>
      <c r="Q247" s="30"/>
      <c r="T247" s="30" t="str">
        <v>kanan</v>
      </c>
      <c r="U247" s="30"/>
      <c r="V247" s="30"/>
    </row>
    <row r="248" spans="5:22">
      <c r="E248" s="30" t="str">
        <v>kanan</v>
      </c>
      <c r="F248" s="30"/>
      <c r="G248" s="30"/>
      <c r="J248" s="30" t="str">
        <v>kiri</v>
      </c>
      <c r="K248" s="30"/>
      <c r="L248" s="30"/>
      <c r="O248" s="30" t="str">
        <v>tengah</v>
      </c>
      <c r="P248" s="30"/>
      <c r="Q248" s="30"/>
      <c r="T248" s="30" t="str">
        <v>tengah</v>
      </c>
      <c r="U248" s="30"/>
      <c r="V248" s="30"/>
    </row>
    <row r="249" spans="5:22">
      <c r="E249" s="30" t="str">
        <v>kiri</v>
      </c>
      <c r="F249" s="30"/>
      <c r="G249" s="30"/>
      <c r="J249" s="30" t="str">
        <v>tengah</v>
      </c>
      <c r="K249" s="30"/>
      <c r="L249" s="30"/>
      <c r="O249" s="30" t="str">
        <v>tengah</v>
      </c>
      <c r="P249" s="30"/>
      <c r="Q249" s="30"/>
      <c r="T249" s="30" t="str">
        <v>tengah</v>
      </c>
      <c r="U249" s="30"/>
      <c r="V249" s="30"/>
    </row>
    <row r="250" spans="5:22">
      <c r="E250" s="30" t="str">
        <v>kiri</v>
      </c>
      <c r="F250" s="30"/>
      <c r="G250" s="30"/>
      <c r="J250" s="30" t="str">
        <v>tengah</v>
      </c>
      <c r="K250" s="30"/>
      <c r="L250" s="30"/>
      <c r="O250" s="30" t="str">
        <v>kanan</v>
      </c>
      <c r="P250" s="30"/>
      <c r="Q250" s="30"/>
      <c r="T250" s="30" t="str">
        <v>kanan</v>
      </c>
      <c r="U250" s="30"/>
      <c r="V250" s="30"/>
    </row>
    <row r="251" spans="5:22">
      <c r="E251" s="30" t="str">
        <v>kanan</v>
      </c>
      <c r="F251" s="30"/>
      <c r="G251" s="30"/>
      <c r="J251" s="30" t="str">
        <v>tengah</v>
      </c>
      <c r="K251" s="30"/>
      <c r="L251" s="30"/>
      <c r="O251" s="30" t="str">
        <v>kiri</v>
      </c>
      <c r="P251" s="30"/>
      <c r="Q251" s="30"/>
      <c r="T251" s="30" t="str">
        <v>tengah</v>
      </c>
      <c r="U251" s="30"/>
      <c r="V251" s="30"/>
    </row>
    <row r="252" spans="5:22">
      <c r="E252" s="30" t="str">
        <v>tengah</v>
      </c>
      <c r="F252" s="30"/>
      <c r="G252" s="30"/>
      <c r="J252" s="30" t="str">
        <v>kanan</v>
      </c>
      <c r="K252" s="30"/>
      <c r="L252" s="30"/>
      <c r="O252" s="30" t="str">
        <v>tengah</v>
      </c>
      <c r="P252" s="30"/>
      <c r="Q252" s="30"/>
      <c r="T252" s="30" t="str">
        <v>tengah</v>
      </c>
      <c r="U252" s="30"/>
      <c r="V252" s="30"/>
    </row>
    <row r="253" spans="5:22">
      <c r="E253" s="30" t="str">
        <v>kiri</v>
      </c>
      <c r="F253" s="30"/>
      <c r="G253" s="30"/>
      <c r="J253" s="30" t="str">
        <v>kiri</v>
      </c>
      <c r="K253" s="30"/>
      <c r="L253" s="30"/>
      <c r="O253" s="30" t="str">
        <v>tengah</v>
      </c>
      <c r="P253" s="30"/>
      <c r="Q253" s="30"/>
      <c r="T253" s="30" t="str">
        <v>kanan</v>
      </c>
      <c r="U253" s="30"/>
      <c r="V253" s="30"/>
    </row>
    <row r="254" spans="5:22">
      <c r="E254" s="30" t="str">
        <v>kanan</v>
      </c>
      <c r="F254" s="30"/>
      <c r="G254" s="30"/>
      <c r="J254" s="30" t="str">
        <v>tengah</v>
      </c>
      <c r="K254" s="30"/>
      <c r="L254" s="30"/>
      <c r="O254" s="30" t="str">
        <v>tengah</v>
      </c>
      <c r="P254" s="30"/>
      <c r="Q254" s="30"/>
      <c r="T254" s="30" t="str">
        <v>tengah</v>
      </c>
      <c r="U254" s="30"/>
      <c r="V254" s="30"/>
    </row>
    <row r="255" spans="5:22">
      <c r="E255" s="30" t="str">
        <v>kiri</v>
      </c>
      <c r="F255" s="30"/>
      <c r="G255" s="30"/>
      <c r="J255" s="30" t="str">
        <v>kiri</v>
      </c>
      <c r="K255" s="30"/>
      <c r="L255" s="30"/>
      <c r="O255" s="30" t="str">
        <v>kanan</v>
      </c>
      <c r="P255" s="30"/>
      <c r="Q255" s="30"/>
      <c r="T255" s="30" t="str">
        <v>tengah</v>
      </c>
      <c r="U255" s="30"/>
      <c r="V255" s="30"/>
    </row>
    <row r="256" spans="5:22">
      <c r="E256" s="30" t="str">
        <v>tengah</v>
      </c>
      <c r="F256" s="30"/>
      <c r="G256" s="30"/>
      <c r="J256" s="30" t="str">
        <v>tengah</v>
      </c>
      <c r="K256" s="30"/>
      <c r="L256" s="30"/>
      <c r="O256" s="30" t="str">
        <v>kanan</v>
      </c>
      <c r="P256" s="30"/>
      <c r="Q256" s="30"/>
      <c r="T256" s="30" t="str">
        <v>kanan</v>
      </c>
      <c r="U256" s="30"/>
      <c r="V256" s="30"/>
    </row>
    <row r="257" spans="5:22">
      <c r="E257" s="30" t="str">
        <v>tengah</v>
      </c>
      <c r="F257" s="30"/>
      <c r="G257" s="30"/>
      <c r="J257" s="30" t="str">
        <v>kiri</v>
      </c>
      <c r="K257" s="30"/>
      <c r="L257" s="30"/>
      <c r="O257" s="30" t="str">
        <v>tengah</v>
      </c>
      <c r="P257" s="30"/>
      <c r="Q257" s="30"/>
      <c r="T257" s="30" t="str">
        <v>tengah</v>
      </c>
      <c r="U257" s="30"/>
      <c r="V257" s="30"/>
    </row>
    <row r="258" spans="5:22">
      <c r="E258" s="30" t="str">
        <v>kiri</v>
      </c>
      <c r="F258" s="30"/>
      <c r="G258" s="30"/>
      <c r="J258" s="30" t="str">
        <v>tengah</v>
      </c>
      <c r="K258" s="30"/>
      <c r="L258" s="30"/>
      <c r="O258" s="30" t="str">
        <v>tengah</v>
      </c>
      <c r="P258" s="30"/>
      <c r="Q258" s="30"/>
      <c r="T258" s="30" t="str">
        <v>tengah</v>
      </c>
      <c r="U258" s="30"/>
      <c r="V258" s="30"/>
    </row>
    <row r="259" spans="5:22">
      <c r="E259" s="30" t="str">
        <v>kiri</v>
      </c>
      <c r="F259" s="30"/>
      <c r="G259" s="30"/>
      <c r="J259" s="30" t="str">
        <v>tengah</v>
      </c>
      <c r="K259" s="30"/>
      <c r="L259" s="30"/>
      <c r="O259" s="30" t="str">
        <v>tengah</v>
      </c>
      <c r="P259" s="30"/>
      <c r="Q259" s="30"/>
      <c r="T259" s="30" t="str">
        <v>tengah</v>
      </c>
      <c r="U259" s="30"/>
      <c r="V259" s="30"/>
    </row>
    <row r="260" spans="5:22">
      <c r="E260" s="30" t="str">
        <v>kanan</v>
      </c>
      <c r="F260" s="30"/>
      <c r="G260" s="30"/>
      <c r="J260" s="30" t="str">
        <v>kanan</v>
      </c>
      <c r="K260" s="30"/>
      <c r="L260" s="30"/>
      <c r="O260" s="30" t="str">
        <v>tengah</v>
      </c>
      <c r="P260" s="30"/>
      <c r="Q260" s="30"/>
      <c r="T260" s="30" t="str">
        <v>kanan</v>
      </c>
      <c r="U260" s="30"/>
      <c r="V260" s="30"/>
    </row>
    <row r="261" spans="5:22">
      <c r="E261" s="30" t="str">
        <v>kanan</v>
      </c>
      <c r="F261" s="30"/>
      <c r="G261" s="30"/>
      <c r="J261" s="30" t="str">
        <v>tengah</v>
      </c>
      <c r="K261" s="30"/>
      <c r="L261" s="30"/>
      <c r="O261" s="30" t="str">
        <v>tengah</v>
      </c>
      <c r="P261" s="30"/>
      <c r="Q261" s="30"/>
      <c r="T261" s="30" t="str">
        <v>tengah</v>
      </c>
      <c r="U261" s="30"/>
      <c r="V261" s="30"/>
    </row>
    <row r="262" spans="5:22">
      <c r="E262" s="30" t="str">
        <v>kiri</v>
      </c>
      <c r="F262" s="30"/>
      <c r="G262" s="30"/>
      <c r="J262" s="30" t="str">
        <v>kiri</v>
      </c>
      <c r="K262" s="30"/>
      <c r="L262" s="30"/>
      <c r="O262" s="30" t="str">
        <v>tengah</v>
      </c>
      <c r="P262" s="30"/>
      <c r="Q262" s="30"/>
      <c r="T262" s="30" t="str">
        <v>kanan</v>
      </c>
      <c r="U262" s="30"/>
      <c r="V262" s="30"/>
    </row>
    <row r="263" spans="5:22">
      <c r="E263" s="30" t="str">
        <v>tengah</v>
      </c>
      <c r="F263" s="30"/>
      <c r="G263" s="30"/>
      <c r="J263" s="30" t="str">
        <v>kiri</v>
      </c>
      <c r="K263" s="30"/>
      <c r="L263" s="30"/>
      <c r="O263" s="30" t="str">
        <v>kanan</v>
      </c>
      <c r="P263" s="30"/>
      <c r="Q263" s="30"/>
      <c r="T263" s="30" t="str">
        <v>tengah</v>
      </c>
      <c r="U263" s="30"/>
      <c r="V263" s="30"/>
    </row>
    <row r="264" spans="5:22">
      <c r="E264" s="30" t="str">
        <v>tengah</v>
      </c>
      <c r="F264" s="30"/>
      <c r="G264" s="30"/>
      <c r="J264" s="30" t="str">
        <v>tengah</v>
      </c>
      <c r="K264" s="30"/>
      <c r="L264" s="30"/>
      <c r="O264" s="30" t="str">
        <v>tengah</v>
      </c>
      <c r="P264" s="30"/>
      <c r="Q264" s="30"/>
      <c r="T264" s="30" t="str">
        <v>kanan</v>
      </c>
      <c r="U264" s="30"/>
      <c r="V264" s="30"/>
    </row>
    <row r="265" spans="5:22">
      <c r="E265" s="30" t="str">
        <v>tengah</v>
      </c>
      <c r="F265" s="30"/>
      <c r="G265" s="30"/>
      <c r="J265" s="30" t="str">
        <v>tengah</v>
      </c>
      <c r="K265" s="30"/>
      <c r="L265" s="30"/>
      <c r="O265" s="30" t="str">
        <v>tengah</v>
      </c>
      <c r="P265" s="30"/>
      <c r="Q265" s="30"/>
      <c r="T265" s="30" t="str">
        <v>kanan</v>
      </c>
      <c r="U265" s="30"/>
      <c r="V265" s="30"/>
    </row>
    <row r="266" spans="5:22">
      <c r="E266" s="30" t="str">
        <v>tengah</v>
      </c>
      <c r="F266" s="30"/>
      <c r="G266" s="30"/>
      <c r="J266" s="30" t="str">
        <v>tengah</v>
      </c>
      <c r="K266" s="30"/>
      <c r="L266" s="30"/>
      <c r="O266" s="30" t="str">
        <v>kiri</v>
      </c>
      <c r="P266" s="30"/>
      <c r="Q266" s="30"/>
      <c r="T266" s="30" t="str">
        <v>kanan</v>
      </c>
      <c r="U266" s="30"/>
      <c r="V266" s="30"/>
    </row>
    <row r="267" spans="5:22">
      <c r="E267" s="30" t="str">
        <v>tengah</v>
      </c>
      <c r="F267" s="30"/>
      <c r="G267" s="30"/>
      <c r="J267" s="30" t="str">
        <v>kanan</v>
      </c>
      <c r="K267" s="30"/>
      <c r="L267" s="30"/>
      <c r="O267" s="30" t="str">
        <v>kiri</v>
      </c>
      <c r="P267" s="30"/>
      <c r="Q267" s="30"/>
      <c r="T267" s="30" t="str">
        <v>tengah</v>
      </c>
      <c r="U267" s="30"/>
      <c r="V267" s="30"/>
    </row>
    <row r="268" spans="5:22">
      <c r="E268" s="30" t="str">
        <v>tengah</v>
      </c>
      <c r="F268" s="30"/>
      <c r="G268" s="30"/>
      <c r="J268" s="30" t="str">
        <v>tengah</v>
      </c>
      <c r="K268" s="30"/>
      <c r="L268" s="30"/>
      <c r="O268" s="30" t="str">
        <v>tengah</v>
      </c>
      <c r="P268" s="30"/>
      <c r="Q268" s="30"/>
      <c r="T268" s="30" t="str">
        <v>kanan</v>
      </c>
      <c r="U268" s="30"/>
      <c r="V268" s="30"/>
    </row>
    <row r="269" spans="5:22">
      <c r="E269" s="30" t="str">
        <v>kiri</v>
      </c>
      <c r="F269" s="30"/>
      <c r="G269" s="30"/>
      <c r="J269" s="30" t="str">
        <v>tengah</v>
      </c>
      <c r="K269" s="30"/>
      <c r="L269" s="30"/>
      <c r="O269" s="30" t="str">
        <v>tengah</v>
      </c>
      <c r="P269" s="30"/>
      <c r="Q269" s="30"/>
      <c r="T269" s="30" t="str">
        <v>kanan</v>
      </c>
      <c r="U269" s="30"/>
      <c r="V269" s="30"/>
    </row>
    <row r="270" spans="5:22">
      <c r="E270" s="30" t="str">
        <v>tengah</v>
      </c>
      <c r="F270" s="30"/>
      <c r="G270" s="30"/>
      <c r="J270" s="30" t="str">
        <v>tengah</v>
      </c>
      <c r="K270" s="30"/>
      <c r="L270" s="30"/>
      <c r="O270" s="30" t="str">
        <v>tengah</v>
      </c>
      <c r="P270" s="30"/>
      <c r="Q270" s="30"/>
      <c r="T270" s="30" t="str">
        <v>tengah</v>
      </c>
      <c r="U270" s="30"/>
      <c r="V270" s="30"/>
    </row>
    <row r="271" spans="5:22">
      <c r="E271" s="30" t="str">
        <v>tengah</v>
      </c>
      <c r="F271" s="30"/>
      <c r="G271" s="30"/>
      <c r="J271" s="30" t="str">
        <v>tengah</v>
      </c>
      <c r="K271" s="30"/>
      <c r="L271" s="30"/>
      <c r="O271" s="30" t="str">
        <v>tengah</v>
      </c>
      <c r="P271" s="30"/>
      <c r="Q271" s="30"/>
      <c r="T271" s="30" t="str">
        <v>kanan</v>
      </c>
      <c r="U271" s="30"/>
      <c r="V271" s="30"/>
    </row>
    <row r="272" spans="5:22">
      <c r="E272" s="30" t="str">
        <v>tengah</v>
      </c>
      <c r="F272" s="30"/>
      <c r="G272" s="30"/>
      <c r="J272" s="30" t="str">
        <v>tengah</v>
      </c>
      <c r="K272" s="30"/>
      <c r="L272" s="30"/>
      <c r="O272" s="30" t="str">
        <v>tengah</v>
      </c>
      <c r="P272" s="30"/>
      <c r="Q272" s="30"/>
      <c r="T272" s="30" t="str">
        <v>kanan</v>
      </c>
      <c r="U272" s="30"/>
      <c r="V272" s="30"/>
    </row>
    <row r="273" spans="5:22">
      <c r="E273" s="30" t="str">
        <v>kanan</v>
      </c>
      <c r="F273" s="30"/>
      <c r="G273" s="30"/>
      <c r="J273" s="30" t="str">
        <v>kanan</v>
      </c>
      <c r="K273" s="30"/>
      <c r="L273" s="30"/>
      <c r="O273" s="30" t="str">
        <v>tengah</v>
      </c>
      <c r="P273" s="30"/>
      <c r="Q273" s="30"/>
      <c r="T273" s="30" t="str">
        <v>kanan</v>
      </c>
      <c r="U273" s="30"/>
      <c r="V273" s="30"/>
    </row>
    <row r="274" spans="5:22">
      <c r="E274" s="30" t="str">
        <v>kiri</v>
      </c>
      <c r="F274" s="30"/>
      <c r="G274" s="30"/>
      <c r="J274" s="30" t="str">
        <v>kiri</v>
      </c>
      <c r="K274" s="30"/>
      <c r="L274" s="30"/>
      <c r="O274" s="30" t="str">
        <v>kanan</v>
      </c>
      <c r="P274" s="30"/>
      <c r="Q274" s="30"/>
      <c r="T274" s="30" t="str">
        <v>kanan</v>
      </c>
      <c r="U274" s="30"/>
      <c r="V274" s="30"/>
    </row>
    <row r="275" spans="5:22">
      <c r="E275" s="30" t="str">
        <v>tengah</v>
      </c>
      <c r="F275" s="30"/>
      <c r="G275" s="30"/>
      <c r="J275" s="30" t="str">
        <v>tengah</v>
      </c>
      <c r="K275" s="30"/>
      <c r="L275" s="30"/>
      <c r="O275" s="30" t="str">
        <v>tengah</v>
      </c>
      <c r="P275" s="30"/>
      <c r="Q275" s="30"/>
      <c r="T275" s="30" t="str">
        <v>kanan</v>
      </c>
      <c r="U275" s="30"/>
      <c r="V275" s="30"/>
    </row>
    <row r="276" spans="5:22">
      <c r="E276" s="30" t="str">
        <v>tengah</v>
      </c>
      <c r="F276" s="30"/>
      <c r="G276" s="30"/>
      <c r="J276" s="30" t="str">
        <v>tengah</v>
      </c>
      <c r="K276" s="30"/>
      <c r="L276" s="30"/>
      <c r="O276" s="30" t="str">
        <v>tengah</v>
      </c>
      <c r="P276" s="30"/>
      <c r="Q276" s="30"/>
      <c r="T276" s="30" t="str">
        <v>kanan</v>
      </c>
      <c r="U276" s="30"/>
      <c r="V276" s="30"/>
    </row>
    <row r="277" spans="5:22">
      <c r="E277" s="30" t="str">
        <v>kanan</v>
      </c>
      <c r="F277" s="30"/>
      <c r="G277" s="30"/>
      <c r="J277" s="30" t="str">
        <v>tengah</v>
      </c>
      <c r="K277" s="30"/>
      <c r="L277" s="30"/>
      <c r="O277" s="30" t="str">
        <v>tengah</v>
      </c>
      <c r="P277" s="30"/>
      <c r="Q277" s="30"/>
      <c r="T277" s="30" t="str">
        <v>tengah</v>
      </c>
      <c r="U277" s="30"/>
      <c r="V277" s="30"/>
    </row>
    <row r="278" spans="5:22">
      <c r="E278" s="30" t="str">
        <v>tengah</v>
      </c>
      <c r="F278" s="30"/>
      <c r="G278" s="30"/>
      <c r="J278" s="30" t="str">
        <v>tengah</v>
      </c>
      <c r="K278" s="30"/>
      <c r="L278" s="30"/>
      <c r="O278" s="30" t="str">
        <v>tengah</v>
      </c>
      <c r="P278" s="30"/>
      <c r="Q278" s="30"/>
      <c r="T278" s="30" t="str">
        <v>kanan</v>
      </c>
      <c r="U278" s="30"/>
      <c r="V278" s="30"/>
    </row>
    <row r="279" spans="5:22">
      <c r="E279" s="30" t="str">
        <v>kanan</v>
      </c>
      <c r="F279" s="30"/>
      <c r="G279" s="30"/>
      <c r="J279" s="30" t="str">
        <v>kiri</v>
      </c>
      <c r="K279" s="30"/>
      <c r="L279" s="30"/>
      <c r="O279" s="30" t="str">
        <v>kanan</v>
      </c>
      <c r="P279" s="30"/>
      <c r="Q279" s="30"/>
      <c r="T279" s="30" t="str">
        <v>kanan</v>
      </c>
      <c r="U279" s="30"/>
      <c r="V279" s="30"/>
    </row>
    <row r="280" spans="5:22">
      <c r="E280" s="30" t="str">
        <v>tengah</v>
      </c>
      <c r="F280" s="30"/>
      <c r="G280" s="30"/>
      <c r="J280" s="30" t="str">
        <v>tengah</v>
      </c>
      <c r="K280" s="30"/>
      <c r="L280" s="30"/>
      <c r="O280" s="30" t="str">
        <v>tengah</v>
      </c>
      <c r="P280" s="30"/>
      <c r="Q280" s="30"/>
      <c r="T280" s="30" t="str">
        <v>tengah</v>
      </c>
      <c r="U280" s="30"/>
      <c r="V280" s="30"/>
    </row>
    <row r="281" spans="5:22">
      <c r="E281" s="30" t="str">
        <v>kiri</v>
      </c>
      <c r="F281" s="30"/>
      <c r="G281" s="30"/>
      <c r="J281" s="30" t="str">
        <v>tengah</v>
      </c>
      <c r="K281" s="30"/>
      <c r="L281" s="30"/>
      <c r="O281" s="30" t="str">
        <v>kanan</v>
      </c>
      <c r="P281" s="30"/>
      <c r="Q281" s="30"/>
      <c r="T281" s="30" t="str">
        <v>kanan</v>
      </c>
      <c r="U281" s="30"/>
      <c r="V281" s="30"/>
    </row>
    <row r="282" spans="5:22">
      <c r="E282" s="30" t="str">
        <v>kanan</v>
      </c>
      <c r="F282" s="30"/>
      <c r="G282" s="30"/>
      <c r="J282" s="30" t="str">
        <v>kanan</v>
      </c>
      <c r="K282" s="30"/>
      <c r="L282" s="30"/>
      <c r="O282" s="30" t="str">
        <v>tengah</v>
      </c>
      <c r="P282" s="30"/>
      <c r="Q282" s="30"/>
      <c r="T282" s="30" t="str">
        <v>tengah</v>
      </c>
      <c r="U282" s="30"/>
      <c r="V282" s="30"/>
    </row>
    <row r="283" spans="5:22">
      <c r="E283" s="30" t="str">
        <v>tengah</v>
      </c>
      <c r="F283" s="30"/>
      <c r="G283" s="30"/>
      <c r="J283" s="30" t="str">
        <v>tengah</v>
      </c>
      <c r="K283" s="30"/>
      <c r="L283" s="30"/>
      <c r="O283" s="30" t="str">
        <v>tengah</v>
      </c>
      <c r="P283" s="30"/>
      <c r="Q283" s="30"/>
      <c r="T283" s="30" t="str">
        <v>kanan</v>
      </c>
      <c r="U283" s="30"/>
      <c r="V283" s="30"/>
    </row>
    <row r="284" spans="5:22">
      <c r="E284" s="30" t="str">
        <v>tengah</v>
      </c>
      <c r="F284" s="30"/>
      <c r="G284" s="30"/>
      <c r="J284" s="30" t="str">
        <v>kiri</v>
      </c>
      <c r="K284" s="30"/>
      <c r="L284" s="30"/>
      <c r="O284" s="30" t="str">
        <v>tengah</v>
      </c>
      <c r="P284" s="30"/>
      <c r="Q284" s="30"/>
      <c r="T284" s="30" t="str">
        <v>tengah</v>
      </c>
      <c r="U284" s="30"/>
      <c r="V284" s="30"/>
    </row>
    <row r="285" spans="5:22">
      <c r="E285" s="30" t="str">
        <v>tengah</v>
      </c>
      <c r="F285" s="30"/>
      <c r="G285" s="30"/>
      <c r="J285" s="30" t="str">
        <v>kiri</v>
      </c>
      <c r="K285" s="30"/>
      <c r="L285" s="30"/>
      <c r="O285" s="30" t="str">
        <v>tengah</v>
      </c>
      <c r="P285" s="30"/>
      <c r="Q285" s="30"/>
      <c r="T285" s="30" t="str">
        <v>kanan</v>
      </c>
      <c r="U285" s="30"/>
      <c r="V285" s="30"/>
    </row>
    <row r="286" spans="5:22">
      <c r="E286" s="30" t="str">
        <v>kiri</v>
      </c>
      <c r="F286" s="30"/>
      <c r="G286" s="30"/>
      <c r="J286" s="30" t="str">
        <v>tengah</v>
      </c>
      <c r="K286" s="30"/>
      <c r="L286" s="30"/>
      <c r="O286" s="30" t="str">
        <v>tengah</v>
      </c>
      <c r="P286" s="30"/>
      <c r="Q286" s="30"/>
      <c r="T286" s="30" t="str">
        <v>kanan</v>
      </c>
      <c r="U286" s="30"/>
      <c r="V286" s="30"/>
    </row>
    <row r="287" spans="5:22">
      <c r="E287" s="30" t="str">
        <v>kanan</v>
      </c>
      <c r="F287" s="30"/>
      <c r="G287" s="30"/>
      <c r="J287" s="30" t="str">
        <v>tengah</v>
      </c>
      <c r="K287" s="30"/>
      <c r="L287" s="30"/>
      <c r="O287" s="30" t="str">
        <v>kanan</v>
      </c>
      <c r="P287" s="30"/>
      <c r="Q287" s="30"/>
      <c r="T287" s="30" t="str">
        <v>kanan</v>
      </c>
      <c r="U287" s="30"/>
      <c r="V287" s="30"/>
    </row>
    <row r="288" spans="5:22">
      <c r="E288" s="30" t="str">
        <v>kanan</v>
      </c>
      <c r="F288" s="30"/>
      <c r="G288" s="30"/>
      <c r="J288" s="30" t="str">
        <v>kiri</v>
      </c>
      <c r="K288" s="30"/>
      <c r="L288" s="30"/>
      <c r="O288" s="30" t="str">
        <v>tengah</v>
      </c>
      <c r="P288" s="30"/>
      <c r="Q288" s="30"/>
      <c r="T288" s="30" t="str">
        <v>tengah</v>
      </c>
      <c r="U288" s="30"/>
      <c r="V288" s="30"/>
    </row>
    <row r="289" spans="5:22">
      <c r="E289" s="30" t="str">
        <v>kiri</v>
      </c>
      <c r="F289" s="30"/>
      <c r="G289" s="30"/>
      <c r="J289" s="30" t="str">
        <v>kanan</v>
      </c>
      <c r="K289" s="30"/>
      <c r="L289" s="30"/>
      <c r="O289" s="30" t="str">
        <v>tengah</v>
      </c>
      <c r="P289" s="30"/>
      <c r="Q289" s="30"/>
      <c r="T289" s="30" t="str">
        <v>kanan</v>
      </c>
      <c r="U289" s="30"/>
      <c r="V289" s="30"/>
    </row>
    <row r="290" spans="5:22">
      <c r="E290" s="30" t="str">
        <v>kiri</v>
      </c>
      <c r="F290" s="30"/>
      <c r="G290" s="30"/>
      <c r="J290" s="30" t="str">
        <v>tengah</v>
      </c>
      <c r="K290" s="30"/>
      <c r="L290" s="30"/>
      <c r="O290" s="30" t="str">
        <v>tengah</v>
      </c>
      <c r="P290" s="30"/>
      <c r="Q290" s="30"/>
      <c r="T290" s="30" t="str">
        <v>tengah</v>
      </c>
      <c r="U290" s="30"/>
      <c r="V290" s="30"/>
    </row>
    <row r="291" spans="5:22">
      <c r="E291" s="30" t="str">
        <v>kiri</v>
      </c>
      <c r="F291" s="30"/>
      <c r="G291" s="30"/>
      <c r="J291" s="30" t="str">
        <v>tengah</v>
      </c>
      <c r="K291" s="30"/>
      <c r="L291" s="30"/>
      <c r="O291" s="30" t="str">
        <v>kiri</v>
      </c>
      <c r="P291" s="30"/>
      <c r="Q291" s="30"/>
      <c r="T291" s="30" t="str">
        <v>kanan</v>
      </c>
      <c r="U291" s="30"/>
      <c r="V291" s="30"/>
    </row>
    <row r="292" spans="5:22">
      <c r="E292" s="30" t="str">
        <v>tengah</v>
      </c>
      <c r="F292" s="30"/>
      <c r="G292" s="30"/>
      <c r="J292" s="30" t="str">
        <v>tengah</v>
      </c>
      <c r="K292" s="30"/>
      <c r="L292" s="30"/>
      <c r="O292" s="30" t="str">
        <v>kanan</v>
      </c>
      <c r="P292" s="30"/>
      <c r="Q292" s="30"/>
      <c r="T292" s="30" t="str">
        <v>tengah</v>
      </c>
      <c r="U292" s="30"/>
      <c r="V292" s="30"/>
    </row>
    <row r="293" spans="5:22">
      <c r="E293" s="30" t="str">
        <v>kanan</v>
      </c>
      <c r="F293" s="30"/>
      <c r="G293" s="30"/>
      <c r="J293" s="30" t="str">
        <v>kanan</v>
      </c>
      <c r="K293" s="30"/>
      <c r="L293" s="30"/>
      <c r="O293" s="30" t="str">
        <v>tengah</v>
      </c>
      <c r="P293" s="30"/>
      <c r="Q293" s="30"/>
      <c r="T293" s="30" t="str">
        <v>kanan</v>
      </c>
      <c r="U293" s="30"/>
      <c r="V293" s="30"/>
    </row>
    <row r="294" spans="5:22">
      <c r="E294" s="30" t="str">
        <v>tengah</v>
      </c>
      <c r="F294" s="30"/>
      <c r="G294" s="30"/>
      <c r="J294" s="30" t="str">
        <v>kanan</v>
      </c>
      <c r="K294" s="30"/>
      <c r="L294" s="30"/>
      <c r="O294" s="30" t="str">
        <v>tengah</v>
      </c>
      <c r="P294" s="30"/>
      <c r="Q294" s="30"/>
      <c r="T294" s="30" t="str">
        <v>tengah</v>
      </c>
      <c r="U294" s="30"/>
      <c r="V294" s="30"/>
    </row>
    <row r="295" spans="5:22">
      <c r="E295" s="30" t="str">
        <v>tengah</v>
      </c>
      <c r="F295" s="30"/>
      <c r="G295" s="30"/>
      <c r="J295" s="30" t="str">
        <v>kanan</v>
      </c>
      <c r="K295" s="30"/>
      <c r="L295" s="30"/>
      <c r="O295" s="30" t="str">
        <v>tengah</v>
      </c>
      <c r="P295" s="30"/>
      <c r="Q295" s="30"/>
      <c r="T295" s="30" t="str">
        <v>tengah</v>
      </c>
      <c r="U295" s="30"/>
      <c r="V295" s="30"/>
    </row>
    <row r="296" spans="5:22">
      <c r="E296" s="30" t="str">
        <v>kiri</v>
      </c>
      <c r="F296" s="30"/>
      <c r="G296" s="30"/>
      <c r="J296" s="30" t="str">
        <v>kanan</v>
      </c>
      <c r="K296" s="30"/>
      <c r="L296" s="30"/>
      <c r="O296" s="30" t="str">
        <v>tengah</v>
      </c>
      <c r="P296" s="30"/>
      <c r="Q296" s="30"/>
      <c r="T296" s="30" t="str">
        <v>kanan</v>
      </c>
      <c r="U296" s="30"/>
      <c r="V296" s="30"/>
    </row>
    <row r="297" spans="5:22">
      <c r="E297" s="30" t="str">
        <v>tengah</v>
      </c>
      <c r="F297" s="30"/>
      <c r="G297" s="30"/>
      <c r="J297" s="30" t="str">
        <v>tengah</v>
      </c>
      <c r="K297" s="30"/>
      <c r="L297" s="30"/>
      <c r="O297" s="30" t="str">
        <v>tengah</v>
      </c>
      <c r="P297" s="30"/>
      <c r="Q297" s="30"/>
      <c r="T297" s="30" t="str">
        <v>kanan</v>
      </c>
      <c r="U297" s="30"/>
      <c r="V297" s="30"/>
    </row>
    <row r="298" spans="5:22">
      <c r="E298" s="30" t="str">
        <v>kiri</v>
      </c>
      <c r="F298" s="30"/>
      <c r="G298" s="30"/>
      <c r="J298" s="30" t="str">
        <v>tengah</v>
      </c>
      <c r="K298" s="30"/>
      <c r="L298" s="30"/>
      <c r="O298" s="30" t="str">
        <v>tengah</v>
      </c>
      <c r="P298" s="30"/>
      <c r="Q298" s="30"/>
      <c r="T298" s="30" t="str">
        <v>tengah</v>
      </c>
      <c r="U298" s="30"/>
      <c r="V298" s="30"/>
    </row>
    <row r="299" spans="5:22">
      <c r="E299" s="30" t="str">
        <v>kiri</v>
      </c>
      <c r="F299" s="30"/>
      <c r="G299" s="30"/>
      <c r="J299" s="30" t="str">
        <v>tengah</v>
      </c>
      <c r="K299" s="30"/>
      <c r="L299" s="30"/>
      <c r="O299" s="30" t="str">
        <v>kiri</v>
      </c>
      <c r="P299" s="30"/>
      <c r="Q299" s="30"/>
      <c r="T299" s="30" t="str">
        <v>tengah</v>
      </c>
      <c r="U299" s="30"/>
      <c r="V299" s="30"/>
    </row>
    <row r="300" spans="5:22">
      <c r="E300" s="30" t="str">
        <v>tengah</v>
      </c>
      <c r="F300" s="30"/>
      <c r="G300" s="30"/>
      <c r="J300" s="30" t="str">
        <v>kanan</v>
      </c>
      <c r="K300" s="30"/>
      <c r="L300" s="30"/>
      <c r="O300" s="30" t="str">
        <v>tengah</v>
      </c>
      <c r="P300" s="30"/>
      <c r="Q300" s="30"/>
      <c r="T300" s="30" t="str">
        <v>tengah</v>
      </c>
      <c r="U300" s="30"/>
      <c r="V300" s="30"/>
    </row>
    <row r="301" spans="5:22">
      <c r="E301" s="30" t="str">
        <v>kiri</v>
      </c>
      <c r="F301" s="30"/>
      <c r="G301" s="30"/>
      <c r="J301" s="30" t="str">
        <v>kanan</v>
      </c>
      <c r="K301" s="30"/>
      <c r="L301" s="30"/>
      <c r="O301" s="30" t="str">
        <v>tengah</v>
      </c>
      <c r="P301" s="30"/>
      <c r="Q301" s="30"/>
      <c r="T301" s="30" t="str">
        <v>kanan</v>
      </c>
      <c r="U301" s="30"/>
      <c r="V301" s="30"/>
    </row>
    <row r="302" spans="5:22">
      <c r="E302" s="30" t="str">
        <v>kiri</v>
      </c>
      <c r="F302" s="30"/>
      <c r="G302" s="30"/>
      <c r="J302" s="30" t="str">
        <v>tengah</v>
      </c>
      <c r="K302" s="30"/>
      <c r="L302" s="30"/>
      <c r="O302" s="30" t="str">
        <v>kanan</v>
      </c>
      <c r="P302" s="30"/>
      <c r="Q302" s="30"/>
      <c r="T302" s="30" t="str">
        <v>tengah</v>
      </c>
      <c r="U302" s="30"/>
      <c r="V302" s="30"/>
    </row>
    <row r="303" spans="5:22">
      <c r="E303" s="30" t="str">
        <v>kanan</v>
      </c>
      <c r="F303" s="30"/>
      <c r="G303" s="30"/>
      <c r="J303" s="30" t="str">
        <v>tengah</v>
      </c>
      <c r="K303" s="30"/>
      <c r="L303" s="30"/>
      <c r="O303" s="30" t="str">
        <v>tengah</v>
      </c>
      <c r="P303" s="30"/>
      <c r="Q303" s="30"/>
      <c r="T303" s="30" t="str">
        <v>kanan</v>
      </c>
      <c r="U303" s="30"/>
      <c r="V303" s="30"/>
    </row>
    <row r="304" spans="5:22">
      <c r="E304" s="30" t="str">
        <v>tengah</v>
      </c>
      <c r="F304" s="30"/>
      <c r="G304" s="30"/>
      <c r="J304" s="30" t="str">
        <v>kiri</v>
      </c>
      <c r="K304" s="30"/>
      <c r="L304" s="30"/>
      <c r="O304" s="30" t="str">
        <v>tengah</v>
      </c>
      <c r="P304" s="30"/>
      <c r="Q304" s="30"/>
      <c r="T304" s="30" t="str">
        <v>kanan</v>
      </c>
      <c r="U304" s="30"/>
      <c r="V304" s="30"/>
    </row>
    <row r="305" spans="5:22">
      <c r="E305" s="30" t="str">
        <v>tengah</v>
      </c>
      <c r="F305" s="30"/>
      <c r="G305" s="30"/>
      <c r="J305" s="30" t="str">
        <v>tengah</v>
      </c>
      <c r="K305" s="30"/>
      <c r="L305" s="30"/>
      <c r="O305" s="30" t="str">
        <v>kiri</v>
      </c>
      <c r="P305" s="30"/>
      <c r="Q305" s="30"/>
      <c r="T305" s="30" t="str">
        <v>kanan</v>
      </c>
      <c r="U305" s="30"/>
      <c r="V305" s="30"/>
    </row>
    <row r="306" spans="5:22">
      <c r="E306" s="30" t="str">
        <v>kiri</v>
      </c>
      <c r="F306" s="30"/>
      <c r="G306" s="30"/>
      <c r="J306" s="30" t="str">
        <v>kiri</v>
      </c>
      <c r="K306" s="30"/>
      <c r="L306" s="30"/>
      <c r="O306" s="30" t="str">
        <v>kanan</v>
      </c>
      <c r="P306" s="30"/>
      <c r="Q306" s="30"/>
      <c r="T306" s="30" t="str">
        <v>kanan</v>
      </c>
      <c r="U306" s="30"/>
      <c r="V306" s="30"/>
    </row>
    <row r="307" spans="5:22">
      <c r="E307" s="30" t="str">
        <v>kanan</v>
      </c>
      <c r="F307" s="30"/>
      <c r="G307" s="30"/>
      <c r="J307" s="30" t="str">
        <v>tengah</v>
      </c>
      <c r="K307" s="30"/>
      <c r="L307" s="30"/>
      <c r="O307" s="30" t="str">
        <v>tengah</v>
      </c>
      <c r="P307" s="30"/>
      <c r="Q307" s="30"/>
      <c r="T307" s="30" t="str">
        <v>kanan</v>
      </c>
      <c r="U307" s="30"/>
      <c r="V307" s="30"/>
    </row>
    <row r="308" spans="5:22">
      <c r="E308" s="30" t="str">
        <v>tengah</v>
      </c>
      <c r="F308" s="30"/>
      <c r="G308" s="30"/>
      <c r="J308" s="30" t="str">
        <v>kanan</v>
      </c>
      <c r="K308" s="30"/>
      <c r="L308" s="30"/>
      <c r="O308" s="30" t="str">
        <v>tengah</v>
      </c>
      <c r="P308" s="30"/>
      <c r="Q308" s="30"/>
      <c r="T308" s="30" t="str">
        <v>tengah</v>
      </c>
      <c r="U308" s="30"/>
      <c r="V308" s="30"/>
    </row>
    <row r="309" spans="5:22">
      <c r="E309" s="30" t="str">
        <v>kiri</v>
      </c>
      <c r="F309" s="30"/>
      <c r="G309" s="30"/>
      <c r="J309" s="30" t="str">
        <v>kiri</v>
      </c>
      <c r="K309" s="30"/>
      <c r="L309" s="30"/>
      <c r="O309" s="30" t="str">
        <v>tengah</v>
      </c>
      <c r="P309" s="30"/>
      <c r="Q309" s="30"/>
      <c r="T309" s="30" t="str">
        <v>tengah</v>
      </c>
      <c r="U309" s="30"/>
      <c r="V309" s="30"/>
    </row>
    <row r="310" spans="5:22">
      <c r="E310" s="30" t="str">
        <v>kiri</v>
      </c>
      <c r="F310" s="30"/>
      <c r="G310" s="30"/>
      <c r="J310" s="30" t="str">
        <v>tengah</v>
      </c>
      <c r="K310" s="30"/>
      <c r="L310" s="30"/>
      <c r="O310" s="30" t="str">
        <v>tengah</v>
      </c>
      <c r="P310" s="30"/>
      <c r="Q310" s="30"/>
      <c r="T310" s="30" t="str">
        <v>tengah</v>
      </c>
      <c r="U310" s="30"/>
      <c r="V310" s="30"/>
    </row>
    <row r="311" spans="5:22">
      <c r="E311" s="30" t="str">
        <v>kiri</v>
      </c>
      <c r="F311" s="30"/>
      <c r="G311" s="30"/>
      <c r="J311" s="30" t="str">
        <v>tengah</v>
      </c>
      <c r="K311" s="30"/>
      <c r="L311" s="30"/>
      <c r="O311" s="30" t="str">
        <v>tengah</v>
      </c>
      <c r="P311" s="30"/>
      <c r="Q311" s="30"/>
      <c r="T311" s="30" t="str">
        <v>tengah</v>
      </c>
      <c r="U311" s="30"/>
      <c r="V311" s="30"/>
    </row>
    <row r="312" spans="5:22">
      <c r="E312" s="30" t="str">
        <v>tengah</v>
      </c>
      <c r="F312" s="30"/>
      <c r="G312" s="30"/>
      <c r="J312" s="30" t="str">
        <v>kiri</v>
      </c>
      <c r="K312" s="30"/>
      <c r="L312" s="30"/>
      <c r="O312" s="30" t="str">
        <v>kiri</v>
      </c>
      <c r="P312" s="30"/>
      <c r="Q312" s="30"/>
      <c r="T312" s="30" t="str">
        <v>kanan</v>
      </c>
      <c r="U312" s="30"/>
      <c r="V312" s="30"/>
    </row>
    <row r="313" spans="5:22">
      <c r="E313" s="30" t="str">
        <v>tengah</v>
      </c>
      <c r="F313" s="30"/>
      <c r="G313" s="30"/>
      <c r="J313" s="30" t="str">
        <v>tengah</v>
      </c>
      <c r="K313" s="30"/>
      <c r="L313" s="30"/>
      <c r="O313" s="30" t="str">
        <v>kiri</v>
      </c>
      <c r="P313" s="30"/>
      <c r="Q313" s="30"/>
      <c r="T313" s="30" t="str">
        <v>kanan</v>
      </c>
      <c r="U313" s="30"/>
      <c r="V313" s="30"/>
    </row>
    <row r="314" spans="5:22">
      <c r="E314" s="30" t="str">
        <v>kiri</v>
      </c>
      <c r="F314" s="30"/>
      <c r="G314" s="30"/>
      <c r="J314" s="30" t="str">
        <v>tengah</v>
      </c>
      <c r="K314" s="30"/>
      <c r="L314" s="30"/>
      <c r="O314" s="30" t="str">
        <v>kiri</v>
      </c>
      <c r="P314" s="30"/>
      <c r="Q314" s="30"/>
      <c r="T314" s="30" t="str">
        <v>tengah</v>
      </c>
      <c r="U314" s="30"/>
      <c r="V314" s="30"/>
    </row>
    <row r="315" spans="5:22">
      <c r="E315" s="30" t="str">
        <v>tengah</v>
      </c>
      <c r="F315" s="30"/>
      <c r="G315" s="30"/>
      <c r="J315" s="30" t="str">
        <v>tengah</v>
      </c>
      <c r="K315" s="30"/>
      <c r="L315" s="30"/>
      <c r="O315" s="30" t="str">
        <v>tengah</v>
      </c>
      <c r="P315" s="30"/>
      <c r="Q315" s="30"/>
      <c r="T315" s="30" t="str">
        <v>kanan</v>
      </c>
      <c r="U315" s="30"/>
      <c r="V315" s="30"/>
    </row>
    <row r="316" spans="5:22">
      <c r="E316" s="30" t="str">
        <v>tengah</v>
      </c>
      <c r="F316" s="30"/>
      <c r="G316" s="30"/>
      <c r="J316" s="30" t="str">
        <v>tengah</v>
      </c>
      <c r="K316" s="30"/>
      <c r="L316" s="30"/>
      <c r="O316" s="30" t="str">
        <v>tengah</v>
      </c>
      <c r="P316" s="30"/>
      <c r="Q316" s="30"/>
      <c r="T316" s="30" t="str">
        <v>kanan</v>
      </c>
      <c r="U316" s="30"/>
      <c r="V316" s="30"/>
    </row>
    <row r="317" spans="5:22">
      <c r="E317" s="30" t="str">
        <v>tengah</v>
      </c>
      <c r="F317" s="30"/>
      <c r="G317" s="30"/>
      <c r="J317" s="30" t="str">
        <v>tengah</v>
      </c>
      <c r="K317" s="30"/>
      <c r="L317" s="30"/>
      <c r="O317" s="30" t="str">
        <v>tengah</v>
      </c>
      <c r="P317" s="30"/>
      <c r="Q317" s="30"/>
      <c r="T317" s="30" t="str">
        <v>tengah</v>
      </c>
      <c r="U317" s="30"/>
      <c r="V317" s="30"/>
    </row>
    <row r="318" spans="5:22">
      <c r="E318" s="30" t="str">
        <v>kiri</v>
      </c>
      <c r="F318" s="30"/>
      <c r="G318" s="30"/>
      <c r="J318" s="30" t="str">
        <v>kiri</v>
      </c>
      <c r="K318" s="30"/>
      <c r="L318" s="30"/>
      <c r="O318" s="30" t="str">
        <v>tengah</v>
      </c>
      <c r="P318" s="30"/>
      <c r="Q318" s="30"/>
      <c r="T318" s="30" t="str">
        <v>kanan</v>
      </c>
      <c r="U318" s="30"/>
      <c r="V318" s="30"/>
    </row>
    <row r="319" spans="5:22">
      <c r="E319" s="30" t="str">
        <v>tengah</v>
      </c>
      <c r="F319" s="30"/>
      <c r="G319" s="30"/>
      <c r="J319" s="30" t="str">
        <v>kiri</v>
      </c>
      <c r="K319" s="30"/>
      <c r="L319" s="30"/>
      <c r="O319" s="30" t="str">
        <v>tengah</v>
      </c>
      <c r="P319" s="30"/>
      <c r="Q319" s="30"/>
      <c r="T319" s="30" t="str">
        <v>kanan</v>
      </c>
      <c r="U319" s="30"/>
      <c r="V319" s="30"/>
    </row>
    <row r="320" spans="5:22">
      <c r="E320" s="30" t="str">
        <v>tengah</v>
      </c>
      <c r="F320" s="30"/>
      <c r="G320" s="30"/>
      <c r="J320" s="30" t="str">
        <v>tengah</v>
      </c>
      <c r="K320" s="30"/>
      <c r="L320" s="30"/>
      <c r="O320" s="30" t="str">
        <v>tengah</v>
      </c>
      <c r="P320" s="30"/>
      <c r="Q320" s="30"/>
      <c r="T320" s="30" t="str">
        <v>kanan</v>
      </c>
      <c r="U320" s="30"/>
      <c r="V320" s="30"/>
    </row>
    <row r="321" spans="5:22">
      <c r="E321" s="30" t="str">
        <v>tengah</v>
      </c>
      <c r="F321" s="30"/>
      <c r="G321" s="30"/>
      <c r="J321" s="30" t="str">
        <v>kiri</v>
      </c>
      <c r="K321" s="30"/>
      <c r="L321" s="30"/>
      <c r="O321" s="30" t="str">
        <v>tengah</v>
      </c>
      <c r="P321" s="30"/>
      <c r="Q321" s="30"/>
      <c r="T321" s="30" t="str">
        <v>kanan</v>
      </c>
      <c r="U321" s="30"/>
      <c r="V321" s="30"/>
    </row>
    <row r="322" spans="5:22">
      <c r="E322" s="30" t="str">
        <v>tengah</v>
      </c>
      <c r="F322" s="30"/>
      <c r="G322" s="30"/>
      <c r="J322" s="30" t="str">
        <v>kanan</v>
      </c>
      <c r="K322" s="30"/>
      <c r="L322" s="30"/>
      <c r="O322" s="30" t="str">
        <v>tengah</v>
      </c>
      <c r="P322" s="30"/>
      <c r="Q322" s="30"/>
      <c r="T322" s="30" t="str">
        <v>kanan</v>
      </c>
      <c r="U322" s="30"/>
      <c r="V322" s="30"/>
    </row>
    <row r="323" spans="5:22">
      <c r="E323" s="30" t="str">
        <v>tengah</v>
      </c>
      <c r="F323" s="30"/>
      <c r="G323" s="30"/>
      <c r="J323" s="30" t="str">
        <v>kanan</v>
      </c>
      <c r="K323" s="30"/>
      <c r="L323" s="30"/>
      <c r="O323" s="30" t="str">
        <v>tengah</v>
      </c>
      <c r="P323" s="30"/>
      <c r="Q323" s="30"/>
      <c r="T323" s="30" t="str">
        <v>tengah</v>
      </c>
      <c r="U323" s="30"/>
      <c r="V323" s="30"/>
    </row>
    <row r="324" spans="5:22">
      <c r="E324" s="30" t="str">
        <v>tengah</v>
      </c>
      <c r="F324" s="30"/>
      <c r="G324" s="30"/>
      <c r="J324" s="30" t="str">
        <v>tengah</v>
      </c>
      <c r="K324" s="30"/>
      <c r="L324" s="30"/>
      <c r="O324" s="30" t="str">
        <v>kiri</v>
      </c>
      <c r="P324" s="30"/>
      <c r="Q324" s="30"/>
      <c r="T324" s="30" t="str">
        <v>kanan</v>
      </c>
      <c r="U324" s="30"/>
      <c r="V324" s="30"/>
    </row>
    <row r="325" spans="5:22">
      <c r="E325" s="30" t="str">
        <v>tengah</v>
      </c>
      <c r="F325" s="30"/>
      <c r="G325" s="30"/>
      <c r="J325" s="30" t="str">
        <v>kiri</v>
      </c>
      <c r="K325" s="30"/>
      <c r="L325" s="30"/>
      <c r="O325" s="30" t="str">
        <v>tengah</v>
      </c>
      <c r="P325" s="30"/>
      <c r="Q325" s="30"/>
      <c r="T325" s="30" t="str">
        <v>kanan</v>
      </c>
      <c r="U325" s="30"/>
      <c r="V325" s="30"/>
    </row>
    <row r="326" spans="5:22">
      <c r="E326" s="30" t="str">
        <v>kiri</v>
      </c>
      <c r="F326" s="30"/>
      <c r="G326" s="30"/>
      <c r="J326" s="30" t="str">
        <v>kiri</v>
      </c>
      <c r="K326" s="30"/>
      <c r="L326" s="30"/>
      <c r="O326" s="30" t="str">
        <v>kanan</v>
      </c>
      <c r="P326" s="30"/>
      <c r="Q326" s="30"/>
      <c r="T326" s="30" t="str">
        <v>tengah</v>
      </c>
      <c r="U326" s="30"/>
      <c r="V326" s="30"/>
    </row>
    <row r="327" spans="5:22">
      <c r="E327" s="30" t="str">
        <v>kiri</v>
      </c>
      <c r="F327" s="30"/>
      <c r="G327" s="30"/>
      <c r="J327" s="30" t="str">
        <v>tengah</v>
      </c>
      <c r="K327" s="30"/>
      <c r="L327" s="30"/>
      <c r="O327" s="30" t="str">
        <v>kanan</v>
      </c>
      <c r="P327" s="30"/>
      <c r="Q327" s="30"/>
      <c r="T327" s="30" t="str">
        <v>tengah</v>
      </c>
      <c r="U327" s="30"/>
      <c r="V327" s="30"/>
    </row>
    <row r="328" spans="5:22">
      <c r="E328" s="30" t="str">
        <v>kanan</v>
      </c>
      <c r="F328" s="30"/>
      <c r="G328" s="30"/>
      <c r="J328" s="30" t="str">
        <v>tengah</v>
      </c>
      <c r="K328" s="30"/>
      <c r="L328" s="30"/>
      <c r="O328" s="30" t="str">
        <v>kanan</v>
      </c>
      <c r="P328" s="30"/>
      <c r="Q328" s="30"/>
      <c r="T328" s="30" t="str">
        <v>kanan</v>
      </c>
      <c r="U328" s="30"/>
      <c r="V328" s="30"/>
    </row>
    <row r="329" spans="5:22">
      <c r="E329" s="30" t="str">
        <v>tengah</v>
      </c>
      <c r="F329" s="30"/>
      <c r="G329" s="30"/>
      <c r="J329" s="30" t="str">
        <v>tengah</v>
      </c>
      <c r="K329" s="30"/>
      <c r="L329" s="30"/>
      <c r="O329" s="30" t="str">
        <v>kiri</v>
      </c>
      <c r="P329" s="30"/>
      <c r="Q329" s="30"/>
      <c r="T329" s="30" t="str">
        <v>kanan</v>
      </c>
      <c r="U329" s="30"/>
      <c r="V329" s="30"/>
    </row>
    <row r="330" spans="5:22">
      <c r="E330" s="30" t="str">
        <v>kiri</v>
      </c>
      <c r="F330" s="30"/>
      <c r="G330" s="30"/>
      <c r="J330" s="30" t="str">
        <v>kiri</v>
      </c>
      <c r="K330" s="30"/>
      <c r="L330" s="30"/>
      <c r="O330" s="30" t="str">
        <v>tengah</v>
      </c>
      <c r="P330" s="30"/>
      <c r="Q330" s="30"/>
      <c r="T330" s="30" t="str">
        <v>kanan</v>
      </c>
      <c r="U330" s="30"/>
      <c r="V330" s="30"/>
    </row>
    <row r="331" spans="5:22">
      <c r="E331" s="30" t="str">
        <v>tengah</v>
      </c>
      <c r="F331" s="30"/>
      <c r="G331" s="30"/>
      <c r="J331" s="30" t="str">
        <v>kanan</v>
      </c>
      <c r="K331" s="30"/>
      <c r="L331" s="30"/>
      <c r="O331" s="30" t="str">
        <v>kanan</v>
      </c>
      <c r="P331" s="30"/>
      <c r="Q331" s="30"/>
      <c r="T331" s="30" t="str">
        <v>tengah</v>
      </c>
      <c r="U331" s="30"/>
      <c r="V331" s="30"/>
    </row>
    <row r="332" spans="5:22">
      <c r="E332" s="30" t="str">
        <v>kiri</v>
      </c>
      <c r="F332" s="30"/>
      <c r="G332" s="30"/>
      <c r="J332" s="30" t="str">
        <v>tengah</v>
      </c>
      <c r="K332" s="30"/>
      <c r="L332" s="30"/>
      <c r="O332" s="30" t="str">
        <v>tengah</v>
      </c>
      <c r="P332" s="30"/>
      <c r="Q332" s="30"/>
      <c r="T332" s="30" t="str">
        <v>tengah</v>
      </c>
      <c r="U332" s="30"/>
      <c r="V332" s="30"/>
    </row>
  </sheetData>
  <pageMargins left="0.7" right="0.7" top="0.75" bottom="0.75" header="0.3" footer="0.3"/>
  <headerFooter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32"/>
  <sheetViews>
    <sheetView zoomScale="98" zoomScaleNormal="98" topLeftCell="O154" workbookViewId="0">
      <selection activeCell="V165" sqref="V165"/>
    </sheetView>
  </sheetViews>
  <sheetFormatPr defaultColWidth="9" defaultRowHeight="15"/>
  <cols>
    <col min="2" max="2" width="15.8518518518519" customWidth="1"/>
    <col min="3" max="3" width="16.7111111111111" customWidth="1"/>
    <col min="4" max="4" width="13.8518518518519" customWidth="1"/>
    <col min="6" max="6" width="14.4222222222222" customWidth="1"/>
    <col min="8" max="8" width="14.2814814814815" customWidth="1"/>
    <col min="9" max="9" width="13.2814814814815" customWidth="1"/>
    <col min="10" max="10" width="13.8518518518519" customWidth="1"/>
    <col min="11" max="11" width="22" customWidth="1"/>
    <col min="13" max="13" width="14.4222222222222" customWidth="1"/>
    <col min="15" max="15" width="25.2814814814815" customWidth="1"/>
    <col min="16" max="16" width="12.8518518518519" customWidth="1"/>
    <col min="17" max="17" width="11.7111111111111" customWidth="1"/>
    <col min="20" max="20" width="14.4222222222222" customWidth="1"/>
  </cols>
  <sheetData>
    <row r="1" spans="1:17">
      <c r="A1" s="29" t="s">
        <v>175</v>
      </c>
      <c r="B1" s="29" t="s">
        <v>1</v>
      </c>
      <c r="C1" s="29" t="s">
        <v>2</v>
      </c>
      <c r="D1" s="29" t="s">
        <v>171</v>
      </c>
      <c r="E1" s="29" t="s">
        <v>4</v>
      </c>
      <c r="F1" s="29" t="s">
        <v>6</v>
      </c>
      <c r="H1" s="31" t="s">
        <v>175</v>
      </c>
      <c r="I1" s="31" t="s">
        <v>1</v>
      </c>
      <c r="J1" s="31" t="s">
        <v>2</v>
      </c>
      <c r="K1" s="31" t="s">
        <v>171</v>
      </c>
      <c r="L1" s="31" t="s">
        <v>4</v>
      </c>
      <c r="M1" s="31" t="s">
        <v>6</v>
      </c>
      <c r="O1" s="29" t="s">
        <v>176</v>
      </c>
      <c r="P1" s="32"/>
      <c r="Q1" s="32"/>
    </row>
    <row r="2" spans="1:17">
      <c r="A2" s="30">
        <f ca="1">RANDBETWEEN(2,164)</f>
        <v>12</v>
      </c>
      <c r="B2" s="30">
        <f ca="1" t="array" ref="B2">INDEX(Data_DBD!$B:$B,$A2)</f>
        <v>23</v>
      </c>
      <c r="C2" s="30">
        <f ca="1" t="array" ref="C2">INDEX(Data_DBD!$C:$C,$A2)</f>
        <v>3</v>
      </c>
      <c r="D2" s="30">
        <f ca="1" t="array" ref="D2">INDEX(Data_DBD!$D:$D,$A2)</f>
        <v>12</v>
      </c>
      <c r="E2" s="30">
        <f ca="1" t="array" ref="E2">INDEX(Data_DBD!$E:$E,$A2)</f>
        <v>0</v>
      </c>
      <c r="F2" s="30">
        <f ca="1" t="array" ref="F2">INDEX(Data_DBD!$F:$F,$A2)</f>
        <v>2</v>
      </c>
      <c r="H2" s="30">
        <v>68</v>
      </c>
      <c r="I2" s="30">
        <v>44</v>
      </c>
      <c r="J2" s="30">
        <v>5</v>
      </c>
      <c r="K2" s="30">
        <v>10</v>
      </c>
      <c r="L2" s="30">
        <v>0</v>
      </c>
      <c r="M2" s="30">
        <v>2</v>
      </c>
      <c r="O2" s="33">
        <v>1</v>
      </c>
      <c r="P2" s="32">
        <f>COUNTIF(M2:M164,"1")</f>
        <v>8</v>
      </c>
      <c r="Q2" s="32">
        <f>P2/163</f>
        <v>0.049079754601227</v>
      </c>
    </row>
    <row r="3" spans="1:17">
      <c r="A3" s="30">
        <f ca="1" t="shared" ref="A3:A66" si="0">RANDBETWEEN(2,164)</f>
        <v>27</v>
      </c>
      <c r="B3" s="30">
        <f ca="1" t="array" ref="B3">INDEX(Data_DBD!$B:$B,$A3)</f>
        <v>37</v>
      </c>
      <c r="C3" s="30">
        <f ca="1" t="array" ref="C3">INDEX(Data_DBD!$C:$C,$A3)</f>
        <v>4</v>
      </c>
      <c r="D3" s="30">
        <f ca="1" t="array" ref="D3">INDEX(Data_DBD!$D:$D,$A3)</f>
        <v>14</v>
      </c>
      <c r="E3" s="30">
        <f ca="1" t="array" ref="E3">INDEX(Data_DBD!$E:$E,$A3)</f>
        <v>1</v>
      </c>
      <c r="F3" s="30">
        <f ca="1" t="array" ref="F3">INDEX(Data_DBD!$F:$F,$A3)</f>
        <v>2</v>
      </c>
      <c r="H3" s="30">
        <v>127</v>
      </c>
      <c r="I3" s="30">
        <v>21</v>
      </c>
      <c r="J3" s="30">
        <v>2</v>
      </c>
      <c r="K3" s="30">
        <v>33</v>
      </c>
      <c r="L3" s="30">
        <v>0</v>
      </c>
      <c r="M3" s="30">
        <v>3</v>
      </c>
      <c r="O3" s="32">
        <v>2</v>
      </c>
      <c r="P3" s="32">
        <f>COUNTIF(M2:M164,"2")</f>
        <v>91</v>
      </c>
      <c r="Q3" s="32">
        <f>P3/163</f>
        <v>0.558282208588957</v>
      </c>
    </row>
    <row r="4" spans="1:17">
      <c r="A4" s="30">
        <f ca="1" t="shared" si="0"/>
        <v>111</v>
      </c>
      <c r="B4" s="30">
        <f ca="1" t="array" ref="B4">INDEX(Data_DBD!$B:$B,$A4)</f>
        <v>25</v>
      </c>
      <c r="C4" s="30">
        <f ca="1" t="array" ref="C4">INDEX(Data_DBD!$C:$C,$A4)</f>
        <v>4</v>
      </c>
      <c r="D4" s="30">
        <f ca="1" t="array" ref="D4">INDEX(Data_DBD!$D:$D,$A4)</f>
        <v>33</v>
      </c>
      <c r="E4" s="30">
        <f ca="1" t="array" ref="E4">INDEX(Data_DBD!$E:$E,$A4)</f>
        <v>0</v>
      </c>
      <c r="F4" s="30">
        <f ca="1" t="array" ref="F4">INDEX(Data_DBD!$F:$F,$A4)</f>
        <v>3</v>
      </c>
      <c r="H4" s="30">
        <v>5</v>
      </c>
      <c r="I4" s="30">
        <v>18</v>
      </c>
      <c r="J4" s="30">
        <v>2</v>
      </c>
      <c r="K4" s="30">
        <v>12</v>
      </c>
      <c r="L4" s="30">
        <v>1</v>
      </c>
      <c r="M4" s="30">
        <v>2</v>
      </c>
      <c r="O4" s="32">
        <v>3</v>
      </c>
      <c r="P4" s="32">
        <f>COUNTIF(M2:M164,"3")</f>
        <v>64</v>
      </c>
      <c r="Q4" s="32">
        <f>P4/163</f>
        <v>0.392638036809816</v>
      </c>
    </row>
    <row r="5" spans="1:16">
      <c r="A5" s="30">
        <f ca="1" t="shared" si="0"/>
        <v>148</v>
      </c>
      <c r="B5" s="30">
        <f ca="1" t="array" ref="B5">INDEX(Data_DBD!$B:$B,$A5)</f>
        <v>55</v>
      </c>
      <c r="C5" s="30">
        <f ca="1" t="array" ref="C5">INDEX(Data_DBD!$C:$C,$A5)</f>
        <v>3</v>
      </c>
      <c r="D5" s="30">
        <f ca="1" t="array" ref="D5">INDEX(Data_DBD!$D:$D,$A5)</f>
        <v>21</v>
      </c>
      <c r="E5" s="30">
        <f ca="1" t="array" ref="E5">INDEX(Data_DBD!$E:$E,$A5)</f>
        <v>1</v>
      </c>
      <c r="F5" s="30">
        <f ca="1" t="array" ref="F5">INDEX(Data_DBD!$F:$F,$A5)</f>
        <v>3</v>
      </c>
      <c r="H5" s="30">
        <v>74</v>
      </c>
      <c r="I5" s="30">
        <v>9</v>
      </c>
      <c r="J5" s="30">
        <v>4</v>
      </c>
      <c r="K5" s="30">
        <v>10</v>
      </c>
      <c r="L5" s="30">
        <v>0</v>
      </c>
      <c r="M5" s="30">
        <v>2</v>
      </c>
      <c r="O5" s="34" t="s">
        <v>181</v>
      </c>
      <c r="P5">
        <f>-(IFERROR(Q2*LOG(Q2,2),0)+IFERROR(Q3*LOG(Q3,2),0)+IFERROR(Q4*LOG(Q4,2),0))</f>
        <v>1.212474704795</v>
      </c>
    </row>
    <row r="6" spans="1:13">
      <c r="A6" s="30">
        <f ca="1" t="shared" si="0"/>
        <v>67</v>
      </c>
      <c r="B6" s="30">
        <f ca="1" t="array" ref="B6">INDEX(Data_DBD!$B:$B,$A6)</f>
        <v>21</v>
      </c>
      <c r="C6" s="30">
        <f ca="1" t="array" ref="C6">INDEX(Data_DBD!$C:$C,$A6)</f>
        <v>3</v>
      </c>
      <c r="D6" s="30">
        <f ca="1" t="array" ref="D6">INDEX(Data_DBD!$D:$D,$A6)</f>
        <v>10</v>
      </c>
      <c r="E6" s="30">
        <f ca="1" t="array" ref="E6">INDEX(Data_DBD!$E:$E,$A6)</f>
        <v>1</v>
      </c>
      <c r="F6" s="30">
        <f ca="1" t="array" ref="F6">INDEX(Data_DBD!$F:$F,$A6)</f>
        <v>2</v>
      </c>
      <c r="H6" s="30">
        <v>122</v>
      </c>
      <c r="I6" s="30">
        <v>28</v>
      </c>
      <c r="J6" s="30">
        <v>3</v>
      </c>
      <c r="K6" s="30">
        <v>33</v>
      </c>
      <c r="L6" s="30">
        <v>1</v>
      </c>
      <c r="M6" s="30">
        <v>3</v>
      </c>
    </row>
    <row r="7" spans="1:13">
      <c r="A7" s="30">
        <f ca="1" t="shared" si="0"/>
        <v>14</v>
      </c>
      <c r="B7" s="30">
        <f ca="1" t="array" ref="B7">INDEX(Data_DBD!$B:$B,$A7)</f>
        <v>49</v>
      </c>
      <c r="C7" s="30">
        <f ca="1" t="array" ref="C7">INDEX(Data_DBD!$C:$C,$A7)</f>
        <v>4</v>
      </c>
      <c r="D7" s="30">
        <f ca="1" t="array" ref="D7">INDEX(Data_DBD!$D:$D,$A7)</f>
        <v>7</v>
      </c>
      <c r="E7" s="30">
        <f ca="1" t="array" ref="E7">INDEX(Data_DBD!$E:$E,$A7)</f>
        <v>1</v>
      </c>
      <c r="F7" s="30">
        <f ca="1" t="array" ref="F7">INDEX(Data_DBD!$F:$F,$A7)</f>
        <v>1</v>
      </c>
      <c r="H7" s="30">
        <v>136</v>
      </c>
      <c r="I7" s="30">
        <v>6</v>
      </c>
      <c r="J7" s="30">
        <v>2</v>
      </c>
      <c r="K7" s="30">
        <v>33</v>
      </c>
      <c r="L7" s="30">
        <v>0</v>
      </c>
      <c r="M7" s="30">
        <v>3</v>
      </c>
    </row>
    <row r="8" spans="1:13">
      <c r="A8" s="30">
        <f ca="1" t="shared" si="0"/>
        <v>93</v>
      </c>
      <c r="B8" s="30">
        <f ca="1" t="array" ref="B8">INDEX(Data_DBD!$B:$B,$A8)</f>
        <v>65</v>
      </c>
      <c r="C8" s="30">
        <f ca="1" t="array" ref="C8">INDEX(Data_DBD!$C:$C,$A8)</f>
        <v>4</v>
      </c>
      <c r="D8" s="30">
        <f ca="1" t="array" ref="D8">INDEX(Data_DBD!$D:$D,$A8)</f>
        <v>18</v>
      </c>
      <c r="E8" s="30">
        <f ca="1" t="array" ref="E8">INDEX(Data_DBD!$E:$E,$A8)</f>
        <v>0</v>
      </c>
      <c r="F8" s="30">
        <f ca="1" t="array" ref="F8">INDEX(Data_DBD!$F:$F,$A8)</f>
        <v>3</v>
      </c>
      <c r="H8" s="30">
        <v>97</v>
      </c>
      <c r="I8" s="30">
        <v>16</v>
      </c>
      <c r="J8" s="30">
        <v>2</v>
      </c>
      <c r="K8" s="30">
        <v>18</v>
      </c>
      <c r="L8" s="30">
        <v>1</v>
      </c>
      <c r="M8" s="30">
        <v>3</v>
      </c>
    </row>
    <row r="9" spans="1:13">
      <c r="A9" s="30">
        <f ca="1" t="shared" si="0"/>
        <v>149</v>
      </c>
      <c r="B9" s="30">
        <f ca="1" t="array" ref="B9">INDEX(Data_DBD!$B:$B,$A9)</f>
        <v>19</v>
      </c>
      <c r="C9" s="30">
        <f ca="1" t="array" ref="C9">INDEX(Data_DBD!$C:$C,$A9)</f>
        <v>5</v>
      </c>
      <c r="D9" s="30">
        <f ca="1" t="array" ref="D9">INDEX(Data_DBD!$D:$D,$A9)</f>
        <v>21</v>
      </c>
      <c r="E9" s="30">
        <f ca="1" t="array" ref="E9">INDEX(Data_DBD!$E:$E,$A9)</f>
        <v>0</v>
      </c>
      <c r="F9" s="30">
        <f ca="1" t="array" ref="F9">INDEX(Data_DBD!$F:$F,$A9)</f>
        <v>3</v>
      </c>
      <c r="H9" s="30">
        <v>30</v>
      </c>
      <c r="I9" s="30" t="s">
        <v>36</v>
      </c>
      <c r="J9" s="30">
        <v>2</v>
      </c>
      <c r="K9" s="30">
        <v>14</v>
      </c>
      <c r="L9" s="30">
        <v>1</v>
      </c>
      <c r="M9" s="30">
        <v>2</v>
      </c>
    </row>
    <row r="10" spans="1:13">
      <c r="A10" s="30">
        <f ca="1" t="shared" si="0"/>
        <v>87</v>
      </c>
      <c r="B10" s="30">
        <f ca="1" t="array" ref="B10">INDEX(Data_DBD!$B:$B,$A10)</f>
        <v>21</v>
      </c>
      <c r="C10" s="30">
        <f ca="1" t="array" ref="C10">INDEX(Data_DBD!$C:$C,$A10)</f>
        <v>3</v>
      </c>
      <c r="D10" s="30">
        <f ca="1" t="array" ref="D10">INDEX(Data_DBD!$D:$D,$A10)</f>
        <v>13</v>
      </c>
      <c r="E10" s="30">
        <f ca="1" t="array" ref="E10">INDEX(Data_DBD!$E:$E,$A10)</f>
        <v>0</v>
      </c>
      <c r="F10" s="30">
        <f ca="1" t="array" ref="F10">INDEX(Data_DBD!$F:$F,$A10)</f>
        <v>2</v>
      </c>
      <c r="H10" s="30">
        <v>31</v>
      </c>
      <c r="I10" s="30">
        <v>64</v>
      </c>
      <c r="J10" s="30">
        <v>4</v>
      </c>
      <c r="K10" s="30">
        <v>14</v>
      </c>
      <c r="L10" s="30">
        <v>1</v>
      </c>
      <c r="M10" s="30">
        <v>2</v>
      </c>
    </row>
    <row r="11" spans="1:13">
      <c r="A11" s="30">
        <f ca="1" t="shared" si="0"/>
        <v>44</v>
      </c>
      <c r="B11" s="30">
        <f ca="1" t="array" ref="B11">INDEX(Data_DBD!$B:$B,$A11)</f>
        <v>28</v>
      </c>
      <c r="C11" s="30">
        <f ca="1" t="array" ref="C11">INDEX(Data_DBD!$C:$C,$A11)</f>
        <v>5</v>
      </c>
      <c r="D11" s="30">
        <f ca="1" t="array" ref="D11">INDEX(Data_DBD!$D:$D,$A11)</f>
        <v>13</v>
      </c>
      <c r="E11" s="30">
        <f ca="1" t="array" ref="E11">INDEX(Data_DBD!$E:$E,$A11)</f>
        <v>1</v>
      </c>
      <c r="F11" s="30">
        <f ca="1" t="array" ref="F11">INDEX(Data_DBD!$F:$F,$A11)</f>
        <v>2</v>
      </c>
      <c r="H11" s="30">
        <v>51</v>
      </c>
      <c r="I11" s="30">
        <v>48</v>
      </c>
      <c r="J11" s="30">
        <v>4</v>
      </c>
      <c r="K11" s="30">
        <v>13</v>
      </c>
      <c r="L11" s="30">
        <v>0</v>
      </c>
      <c r="M11" s="30">
        <v>2</v>
      </c>
    </row>
    <row r="12" spans="1:13">
      <c r="A12" s="30">
        <f ca="1" t="shared" si="0"/>
        <v>26</v>
      </c>
      <c r="B12" s="30">
        <f ca="1" t="array" ref="B12">INDEX(Data_DBD!$B:$B,$A12)</f>
        <v>75</v>
      </c>
      <c r="C12" s="30">
        <f ca="1" t="array" ref="C12">INDEX(Data_DBD!$C:$C,$A12)</f>
        <v>4</v>
      </c>
      <c r="D12" s="30">
        <f ca="1" t="array" ref="D12">INDEX(Data_DBD!$D:$D,$A12)</f>
        <v>14</v>
      </c>
      <c r="E12" s="30">
        <f ca="1" t="array" ref="E12">INDEX(Data_DBD!$E:$E,$A12)</f>
        <v>1</v>
      </c>
      <c r="F12" s="30">
        <f ca="1" t="array" ref="F12">INDEX(Data_DBD!$F:$F,$A12)</f>
        <v>2</v>
      </c>
      <c r="H12" s="30">
        <v>34</v>
      </c>
      <c r="I12" s="30">
        <v>55</v>
      </c>
      <c r="J12" s="30">
        <v>3</v>
      </c>
      <c r="K12" s="30">
        <v>14</v>
      </c>
      <c r="L12" s="30">
        <v>0</v>
      </c>
      <c r="M12" s="30">
        <v>2</v>
      </c>
    </row>
    <row r="13" spans="1:13">
      <c r="A13" s="30">
        <f ca="1" t="shared" si="0"/>
        <v>83</v>
      </c>
      <c r="B13" s="30">
        <f ca="1" t="array" ref="B13">INDEX(Data_DBD!$B:$B,$A13)</f>
        <v>50</v>
      </c>
      <c r="C13" s="30">
        <f ca="1" t="array" ref="C13">INDEX(Data_DBD!$C:$C,$A13)</f>
        <v>3</v>
      </c>
      <c r="D13" s="30">
        <f ca="1" t="array" ref="D13">INDEX(Data_DBD!$D:$D,$A13)</f>
        <v>13</v>
      </c>
      <c r="E13" s="30">
        <f ca="1" t="array" ref="E13">INDEX(Data_DBD!$E:$E,$A13)</f>
        <v>0</v>
      </c>
      <c r="F13" s="30">
        <f ca="1" t="array" ref="F13">INDEX(Data_DBD!$F:$F,$A13)</f>
        <v>2</v>
      </c>
      <c r="H13" s="30">
        <v>96</v>
      </c>
      <c r="I13" s="30">
        <v>56</v>
      </c>
      <c r="J13" s="30">
        <v>4</v>
      </c>
      <c r="K13" s="30">
        <v>18</v>
      </c>
      <c r="L13" s="30">
        <v>0</v>
      </c>
      <c r="M13" s="30">
        <v>3</v>
      </c>
    </row>
    <row r="14" spans="1:13">
      <c r="A14" s="30">
        <f ca="1" t="shared" si="0"/>
        <v>115</v>
      </c>
      <c r="B14" s="30">
        <f ca="1" t="array" ref="B14">INDEX(Data_DBD!$B:$B,$A14)</f>
        <v>52</v>
      </c>
      <c r="C14" s="30">
        <f ca="1" t="array" ref="C14">INDEX(Data_DBD!$C:$C,$A14)</f>
        <v>3</v>
      </c>
      <c r="D14" s="30">
        <f ca="1" t="array" ref="D14">INDEX(Data_DBD!$D:$D,$A14)</f>
        <v>33</v>
      </c>
      <c r="E14" s="30">
        <f ca="1" t="array" ref="E14">INDEX(Data_DBD!$E:$E,$A14)</f>
        <v>1</v>
      </c>
      <c r="F14" s="30">
        <f ca="1" t="array" ref="F14">INDEX(Data_DBD!$F:$F,$A14)</f>
        <v>3</v>
      </c>
      <c r="H14" s="30">
        <v>46</v>
      </c>
      <c r="I14" s="30">
        <v>62</v>
      </c>
      <c r="J14" s="30">
        <v>2</v>
      </c>
      <c r="K14" s="30">
        <v>13</v>
      </c>
      <c r="L14" s="30">
        <v>0</v>
      </c>
      <c r="M14" s="30">
        <v>2</v>
      </c>
    </row>
    <row r="15" spans="1:13">
      <c r="A15" s="30">
        <f ca="1" t="shared" si="0"/>
        <v>95</v>
      </c>
      <c r="B15" s="30">
        <f ca="1" t="array" ref="B15">INDEX(Data_DBD!$B:$B,$A15)</f>
        <v>11</v>
      </c>
      <c r="C15" s="30">
        <f ca="1" t="array" ref="C15">INDEX(Data_DBD!$C:$C,$A15)</f>
        <v>3</v>
      </c>
      <c r="D15" s="30">
        <f ca="1" t="array" ref="D15">INDEX(Data_DBD!$D:$D,$A15)</f>
        <v>18</v>
      </c>
      <c r="E15" s="30">
        <f ca="1" t="array" ref="E15">INDEX(Data_DBD!$E:$E,$A15)</f>
        <v>1</v>
      </c>
      <c r="F15" s="30">
        <f ca="1" t="array" ref="F15">INDEX(Data_DBD!$F:$F,$A15)</f>
        <v>3</v>
      </c>
      <c r="H15" s="30">
        <v>98</v>
      </c>
      <c r="I15" s="30">
        <v>16</v>
      </c>
      <c r="J15" s="30">
        <v>2</v>
      </c>
      <c r="K15" s="30">
        <v>18</v>
      </c>
      <c r="L15" s="30">
        <v>1</v>
      </c>
      <c r="M15" s="30">
        <v>3</v>
      </c>
    </row>
    <row r="16" spans="1:13">
      <c r="A16" s="30">
        <f ca="1" t="shared" si="0"/>
        <v>27</v>
      </c>
      <c r="B16" s="30">
        <f ca="1" t="array" ref="B16">INDEX(Data_DBD!$B:$B,$A16)</f>
        <v>37</v>
      </c>
      <c r="C16" s="30">
        <f ca="1" t="array" ref="C16">INDEX(Data_DBD!$C:$C,$A16)</f>
        <v>4</v>
      </c>
      <c r="D16" s="30">
        <f ca="1" t="array" ref="D16">INDEX(Data_DBD!$D:$D,$A16)</f>
        <v>14</v>
      </c>
      <c r="E16" s="30">
        <f ca="1" t="array" ref="E16">INDEX(Data_DBD!$E:$E,$A16)</f>
        <v>1</v>
      </c>
      <c r="F16" s="30">
        <f ca="1" t="array" ref="F16">INDEX(Data_DBD!$F:$F,$A16)</f>
        <v>2</v>
      </c>
      <c r="H16" s="30">
        <v>69</v>
      </c>
      <c r="I16" s="30">
        <v>24</v>
      </c>
      <c r="J16" s="30">
        <v>4</v>
      </c>
      <c r="K16" s="30">
        <v>10</v>
      </c>
      <c r="L16" s="30">
        <v>1</v>
      </c>
      <c r="M16" s="30">
        <v>2</v>
      </c>
    </row>
    <row r="17" spans="1:13">
      <c r="A17" s="30">
        <f ca="1" t="shared" si="0"/>
        <v>132</v>
      </c>
      <c r="B17" s="30">
        <f ca="1" t="array" ref="B17">INDEX(Data_DBD!$B:$B,$A17)</f>
        <v>10</v>
      </c>
      <c r="C17" s="30">
        <f ca="1" t="array" ref="C17">INDEX(Data_DBD!$C:$C,$A17)</f>
        <v>3</v>
      </c>
      <c r="D17" s="30">
        <f ca="1" t="array" ref="D17">INDEX(Data_DBD!$D:$D,$A17)</f>
        <v>33</v>
      </c>
      <c r="E17" s="30">
        <f ca="1" t="array" ref="E17">INDEX(Data_DBD!$E:$E,$A17)</f>
        <v>1</v>
      </c>
      <c r="F17" s="30">
        <f ca="1" t="array" ref="F17">INDEX(Data_DBD!$F:$F,$A17)</f>
        <v>3</v>
      </c>
      <c r="H17" s="30">
        <v>91</v>
      </c>
      <c r="I17" s="30">
        <v>35</v>
      </c>
      <c r="J17" s="30">
        <v>1</v>
      </c>
      <c r="K17" s="30">
        <v>18</v>
      </c>
      <c r="L17" s="30">
        <v>1</v>
      </c>
      <c r="M17" s="30">
        <v>3</v>
      </c>
    </row>
    <row r="18" spans="1:13">
      <c r="A18" s="30">
        <f ca="1" t="shared" si="0"/>
        <v>93</v>
      </c>
      <c r="B18" s="30">
        <f ca="1" t="array" ref="B18">INDEX(Data_DBD!$B:$B,$A18)</f>
        <v>65</v>
      </c>
      <c r="C18" s="30">
        <f ca="1" t="array" ref="C18">INDEX(Data_DBD!$C:$C,$A18)</f>
        <v>4</v>
      </c>
      <c r="D18" s="30">
        <f ca="1" t="array" ref="D18">INDEX(Data_DBD!$D:$D,$A18)</f>
        <v>18</v>
      </c>
      <c r="E18" s="30">
        <f ca="1" t="array" ref="E18">INDEX(Data_DBD!$E:$E,$A18)</f>
        <v>0</v>
      </c>
      <c r="F18" s="30">
        <f ca="1" t="array" ref="F18">INDEX(Data_DBD!$F:$F,$A18)</f>
        <v>3</v>
      </c>
      <c r="H18" s="30">
        <v>10</v>
      </c>
      <c r="I18" s="30">
        <v>18</v>
      </c>
      <c r="J18" s="30">
        <v>5</v>
      </c>
      <c r="K18" s="30">
        <v>12</v>
      </c>
      <c r="L18" s="30">
        <v>0</v>
      </c>
      <c r="M18" s="30">
        <v>2</v>
      </c>
    </row>
    <row r="19" spans="1:13">
      <c r="A19" s="30">
        <f ca="1" t="shared" si="0"/>
        <v>14</v>
      </c>
      <c r="B19" s="30">
        <f ca="1" t="array" ref="B19">INDEX(Data_DBD!$B:$B,$A19)</f>
        <v>49</v>
      </c>
      <c r="C19" s="30">
        <f ca="1" t="array" ref="C19">INDEX(Data_DBD!$C:$C,$A19)</f>
        <v>4</v>
      </c>
      <c r="D19" s="30">
        <f ca="1" t="array" ref="D19">INDEX(Data_DBD!$D:$D,$A19)</f>
        <v>7</v>
      </c>
      <c r="E19" s="30">
        <f ca="1" t="array" ref="E19">INDEX(Data_DBD!$E:$E,$A19)</f>
        <v>1</v>
      </c>
      <c r="F19" s="30">
        <f ca="1" t="array" ref="F19">INDEX(Data_DBD!$F:$F,$A19)</f>
        <v>1</v>
      </c>
      <c r="H19" s="30">
        <v>47</v>
      </c>
      <c r="I19" s="30">
        <v>19</v>
      </c>
      <c r="J19" s="30">
        <v>2</v>
      </c>
      <c r="K19" s="30">
        <v>13</v>
      </c>
      <c r="L19" s="30">
        <v>0</v>
      </c>
      <c r="M19" s="30">
        <v>2</v>
      </c>
    </row>
    <row r="20" spans="1:13">
      <c r="A20" s="30">
        <f ca="1" t="shared" si="0"/>
        <v>36</v>
      </c>
      <c r="B20" s="30">
        <f ca="1" t="array" ref="B20">INDEX(Data_DBD!$B:$B,$A20)</f>
        <v>27</v>
      </c>
      <c r="C20" s="30">
        <f ca="1" t="array" ref="C20">INDEX(Data_DBD!$C:$C,$A20)</f>
        <v>1</v>
      </c>
      <c r="D20" s="30">
        <f ca="1" t="array" ref="D20">INDEX(Data_DBD!$D:$D,$A20)</f>
        <v>4</v>
      </c>
      <c r="E20" s="30">
        <f ca="1" t="array" ref="E20">INDEX(Data_DBD!$E:$E,$A20)</f>
        <v>1</v>
      </c>
      <c r="F20" s="30">
        <f ca="1" t="array" ref="F20">INDEX(Data_DBD!$F:$F,$A20)</f>
        <v>1</v>
      </c>
      <c r="H20" s="30">
        <v>14</v>
      </c>
      <c r="I20" s="30">
        <v>49</v>
      </c>
      <c r="J20" s="30">
        <v>4</v>
      </c>
      <c r="K20" s="30">
        <v>7</v>
      </c>
      <c r="L20" s="30">
        <v>1</v>
      </c>
      <c r="M20" s="30">
        <v>1</v>
      </c>
    </row>
    <row r="21" spans="1:13">
      <c r="A21" s="30">
        <f ca="1" t="shared" si="0"/>
        <v>135</v>
      </c>
      <c r="B21" s="30">
        <f ca="1" t="array" ref="B21">INDEX(Data_DBD!$B:$B,$A21)</f>
        <v>10</v>
      </c>
      <c r="C21" s="30">
        <f ca="1" t="array" ref="C21">INDEX(Data_DBD!$C:$C,$A21)</f>
        <v>2</v>
      </c>
      <c r="D21" s="30">
        <f ca="1" t="array" ref="D21">INDEX(Data_DBD!$D:$D,$A21)</f>
        <v>33</v>
      </c>
      <c r="E21" s="30">
        <f ca="1" t="array" ref="E21">INDEX(Data_DBD!$E:$E,$A21)</f>
        <v>0</v>
      </c>
      <c r="F21" s="30">
        <f ca="1" t="array" ref="F21">INDEX(Data_DBD!$F:$F,$A21)</f>
        <v>3</v>
      </c>
      <c r="H21" s="30">
        <v>47</v>
      </c>
      <c r="I21" s="30">
        <v>19</v>
      </c>
      <c r="J21" s="30">
        <v>2</v>
      </c>
      <c r="K21" s="30">
        <v>13</v>
      </c>
      <c r="L21" s="30">
        <v>0</v>
      </c>
      <c r="M21" s="30">
        <v>2</v>
      </c>
    </row>
    <row r="22" spans="1:13">
      <c r="A22" s="30">
        <f ca="1" t="shared" si="0"/>
        <v>76</v>
      </c>
      <c r="B22" s="30">
        <f ca="1" t="array" ref="B22">INDEX(Data_DBD!$B:$B,$A22)</f>
        <v>70</v>
      </c>
      <c r="C22" s="30">
        <f ca="1" t="array" ref="C22">INDEX(Data_DBD!$C:$C,$A22)</f>
        <v>2</v>
      </c>
      <c r="D22" s="30">
        <f ca="1" t="array" ref="D22">INDEX(Data_DBD!$D:$D,$A22)</f>
        <v>10</v>
      </c>
      <c r="E22" s="30">
        <f ca="1" t="array" ref="E22">INDEX(Data_DBD!$E:$E,$A22)</f>
        <v>0</v>
      </c>
      <c r="F22" s="30">
        <f ca="1" t="array" ref="F22">INDEX(Data_DBD!$F:$F,$A22)</f>
        <v>2</v>
      </c>
      <c r="H22" s="30">
        <v>54</v>
      </c>
      <c r="I22" s="30">
        <v>7</v>
      </c>
      <c r="J22" s="30">
        <v>3</v>
      </c>
      <c r="K22" s="30">
        <v>15</v>
      </c>
      <c r="L22" s="30">
        <v>0</v>
      </c>
      <c r="M22" s="30">
        <v>2</v>
      </c>
    </row>
    <row r="23" spans="1:13">
      <c r="A23" s="30">
        <f ca="1" t="shared" si="0"/>
        <v>61</v>
      </c>
      <c r="B23" s="30">
        <f ca="1" t="array" ref="B23">INDEX(Data_DBD!$B:$B,$A23)</f>
        <v>29</v>
      </c>
      <c r="C23" s="30">
        <f ca="1" t="array" ref="C23">INDEX(Data_DBD!$C:$C,$A23)</f>
        <v>3</v>
      </c>
      <c r="D23" s="30">
        <f ca="1" t="array" ref="D23">INDEX(Data_DBD!$D:$D,$A23)</f>
        <v>15</v>
      </c>
      <c r="E23" s="30">
        <f ca="1" t="array" ref="E23">INDEX(Data_DBD!$E:$E,$A23)</f>
        <v>1</v>
      </c>
      <c r="F23" s="30">
        <f ca="1" t="array" ref="F23">INDEX(Data_DBD!$F:$F,$A23)</f>
        <v>2</v>
      </c>
      <c r="H23" s="30">
        <v>93</v>
      </c>
      <c r="I23" s="30">
        <v>65</v>
      </c>
      <c r="J23" s="30">
        <v>4</v>
      </c>
      <c r="K23" s="30">
        <v>18</v>
      </c>
      <c r="L23" s="30">
        <v>0</v>
      </c>
      <c r="M23" s="30">
        <v>3</v>
      </c>
    </row>
    <row r="24" spans="1:13">
      <c r="A24" s="30">
        <f ca="1" t="shared" si="0"/>
        <v>50</v>
      </c>
      <c r="B24" s="30">
        <f ca="1" t="array" ref="B24">INDEX(Data_DBD!$B:$B,$A24)</f>
        <v>19</v>
      </c>
      <c r="C24" s="30">
        <f ca="1" t="array" ref="C24">INDEX(Data_DBD!$C:$C,$A24)</f>
        <v>5</v>
      </c>
      <c r="D24" s="30">
        <f ca="1" t="array" ref="D24">INDEX(Data_DBD!$D:$D,$A24)</f>
        <v>13</v>
      </c>
      <c r="E24" s="30">
        <f ca="1" t="array" ref="E24">INDEX(Data_DBD!$E:$E,$A24)</f>
        <v>0</v>
      </c>
      <c r="F24" s="30">
        <f ca="1" t="array" ref="F24">INDEX(Data_DBD!$F:$F,$A24)</f>
        <v>2</v>
      </c>
      <c r="H24" s="30">
        <v>160</v>
      </c>
      <c r="I24" s="30">
        <v>16</v>
      </c>
      <c r="J24" s="30">
        <v>3</v>
      </c>
      <c r="K24" s="30">
        <v>21</v>
      </c>
      <c r="L24" s="30">
        <v>0</v>
      </c>
      <c r="M24" s="30">
        <v>3</v>
      </c>
    </row>
    <row r="25" spans="1:13">
      <c r="A25" s="30">
        <f ca="1" t="shared" si="0"/>
        <v>10</v>
      </c>
      <c r="B25" s="30">
        <f ca="1" t="array" ref="B25">INDEX(Data_DBD!$B:$B,$A25)</f>
        <v>18</v>
      </c>
      <c r="C25" s="30">
        <f ca="1" t="array" ref="C25">INDEX(Data_DBD!$C:$C,$A25)</f>
        <v>5</v>
      </c>
      <c r="D25" s="30">
        <f ca="1" t="array" ref="D25">INDEX(Data_DBD!$D:$D,$A25)</f>
        <v>12</v>
      </c>
      <c r="E25" s="30">
        <f ca="1" t="array" ref="E25">INDEX(Data_DBD!$E:$E,$A25)</f>
        <v>0</v>
      </c>
      <c r="F25" s="30">
        <f ca="1" t="array" ref="F25">INDEX(Data_DBD!$F:$F,$A25)</f>
        <v>2</v>
      </c>
      <c r="H25" s="30">
        <v>118</v>
      </c>
      <c r="I25" s="30">
        <v>67</v>
      </c>
      <c r="J25" s="30">
        <v>4</v>
      </c>
      <c r="K25" s="30">
        <v>33</v>
      </c>
      <c r="L25" s="30">
        <v>1</v>
      </c>
      <c r="M25" s="30">
        <v>3</v>
      </c>
    </row>
    <row r="26" spans="1:13">
      <c r="A26" s="30">
        <f ca="1" t="shared" si="0"/>
        <v>44</v>
      </c>
      <c r="B26" s="30">
        <f ca="1" t="array" ref="B26">INDEX(Data_DBD!$B:$B,$A26)</f>
        <v>28</v>
      </c>
      <c r="C26" s="30">
        <f ca="1" t="array" ref="C26">INDEX(Data_DBD!$C:$C,$A26)</f>
        <v>5</v>
      </c>
      <c r="D26" s="30">
        <f ca="1" t="array" ref="D26">INDEX(Data_DBD!$D:$D,$A26)</f>
        <v>13</v>
      </c>
      <c r="E26" s="30">
        <f ca="1" t="array" ref="E26">INDEX(Data_DBD!$E:$E,$A26)</f>
        <v>1</v>
      </c>
      <c r="F26" s="30">
        <f ca="1" t="array" ref="F26">INDEX(Data_DBD!$F:$F,$A26)</f>
        <v>2</v>
      </c>
      <c r="H26" s="30">
        <v>107</v>
      </c>
      <c r="I26" s="30">
        <v>48</v>
      </c>
      <c r="J26" s="30">
        <v>5</v>
      </c>
      <c r="K26" s="30">
        <v>18</v>
      </c>
      <c r="L26" s="30">
        <v>0</v>
      </c>
      <c r="M26" s="30">
        <v>3</v>
      </c>
    </row>
    <row r="27" spans="1:13">
      <c r="A27" s="30">
        <f ca="1" t="shared" si="0"/>
        <v>152</v>
      </c>
      <c r="B27" s="30">
        <f ca="1" t="array" ref="B27">INDEX(Data_DBD!$B:$B,$A27)</f>
        <v>47</v>
      </c>
      <c r="C27" s="30">
        <f ca="1" t="array" ref="C27">INDEX(Data_DBD!$C:$C,$A27)</f>
        <v>3</v>
      </c>
      <c r="D27" s="30">
        <f ca="1" t="array" ref="D27">INDEX(Data_DBD!$D:$D,$A27)</f>
        <v>21</v>
      </c>
      <c r="E27" s="30">
        <f ca="1" t="array" ref="E27">INDEX(Data_DBD!$E:$E,$A27)</f>
        <v>1</v>
      </c>
      <c r="F27" s="30">
        <f ca="1" t="array" ref="F27">INDEX(Data_DBD!$F:$F,$A27)</f>
        <v>3</v>
      </c>
      <c r="H27" s="30">
        <v>7</v>
      </c>
      <c r="I27" s="30">
        <v>12</v>
      </c>
      <c r="J27" s="30">
        <v>1</v>
      </c>
      <c r="K27" s="30">
        <v>12</v>
      </c>
      <c r="L27" s="30">
        <v>1</v>
      </c>
      <c r="M27" s="30">
        <v>2</v>
      </c>
    </row>
    <row r="28" spans="1:13">
      <c r="A28" s="30">
        <f ca="1" t="shared" si="0"/>
        <v>20</v>
      </c>
      <c r="B28" s="30">
        <f ca="1" t="array" ref="B28">INDEX(Data_DBD!$B:$B,$A28)</f>
        <v>15</v>
      </c>
      <c r="C28" s="30">
        <f ca="1" t="array" ref="C28">INDEX(Data_DBD!$C:$C,$A28)</f>
        <v>5</v>
      </c>
      <c r="D28" s="30">
        <f ca="1" t="array" ref="D28">INDEX(Data_DBD!$D:$D,$A28)</f>
        <v>7</v>
      </c>
      <c r="E28" s="30">
        <f ca="1" t="array" ref="E28">INDEX(Data_DBD!$E:$E,$A28)</f>
        <v>0</v>
      </c>
      <c r="F28" s="30">
        <f ca="1" t="array" ref="F28">INDEX(Data_DBD!$F:$F,$A28)</f>
        <v>1</v>
      </c>
      <c r="H28" s="30">
        <v>72</v>
      </c>
      <c r="I28" s="30">
        <v>3</v>
      </c>
      <c r="J28" s="30">
        <v>5</v>
      </c>
      <c r="K28" s="30">
        <v>10</v>
      </c>
      <c r="L28" s="30">
        <v>1</v>
      </c>
      <c r="M28" s="30">
        <v>2</v>
      </c>
    </row>
    <row r="29" spans="1:13">
      <c r="A29" s="30">
        <f ca="1" t="shared" si="0"/>
        <v>128</v>
      </c>
      <c r="B29" s="30">
        <f ca="1" t="array" ref="B29">INDEX(Data_DBD!$B:$B,$A29)</f>
        <v>38</v>
      </c>
      <c r="C29" s="30">
        <f ca="1" t="array" ref="C29">INDEX(Data_DBD!$C:$C,$A29)</f>
        <v>2</v>
      </c>
      <c r="D29" s="30">
        <f ca="1" t="array" ref="D29">INDEX(Data_DBD!$D:$D,$A29)</f>
        <v>33</v>
      </c>
      <c r="E29" s="30">
        <f ca="1" t="array" ref="E29">INDEX(Data_DBD!$E:$E,$A29)</f>
        <v>0</v>
      </c>
      <c r="F29" s="30">
        <f ca="1" t="array" ref="F29">INDEX(Data_DBD!$F:$F,$A29)</f>
        <v>3</v>
      </c>
      <c r="H29" s="30">
        <v>153</v>
      </c>
      <c r="I29" s="30">
        <v>73</v>
      </c>
      <c r="J29" s="30">
        <v>7</v>
      </c>
      <c r="K29" s="30">
        <v>21</v>
      </c>
      <c r="L29" s="30">
        <v>1</v>
      </c>
      <c r="M29" s="30">
        <v>3</v>
      </c>
    </row>
    <row r="30" spans="1:13">
      <c r="A30" s="30">
        <f ca="1" t="shared" si="0"/>
        <v>142</v>
      </c>
      <c r="B30" s="30">
        <f ca="1" t="array" ref="B30">INDEX(Data_DBD!$B:$B,$A30)</f>
        <v>39</v>
      </c>
      <c r="C30" s="30">
        <f ca="1" t="array" ref="C30">INDEX(Data_DBD!$C:$C,$A30)</f>
        <v>2</v>
      </c>
      <c r="D30" s="30">
        <f ca="1" t="array" ref="D30">INDEX(Data_DBD!$D:$D,$A30)</f>
        <v>21</v>
      </c>
      <c r="E30" s="30">
        <f ca="1" t="array" ref="E30">INDEX(Data_DBD!$E:$E,$A30)</f>
        <v>1</v>
      </c>
      <c r="F30" s="30">
        <f ca="1" t="array" ref="F30">INDEX(Data_DBD!$F:$F,$A30)</f>
        <v>3</v>
      </c>
      <c r="H30" s="30">
        <v>60</v>
      </c>
      <c r="I30" s="30">
        <v>68</v>
      </c>
      <c r="J30" s="30">
        <v>4</v>
      </c>
      <c r="K30" s="30">
        <v>15</v>
      </c>
      <c r="L30" s="30">
        <v>0</v>
      </c>
      <c r="M30" s="30">
        <v>2</v>
      </c>
    </row>
    <row r="31" spans="1:13">
      <c r="A31" s="30">
        <f ca="1" t="shared" si="0"/>
        <v>54</v>
      </c>
      <c r="B31" s="30">
        <f ca="1" t="array" ref="B31">INDEX(Data_DBD!$B:$B,$A31)</f>
        <v>7</v>
      </c>
      <c r="C31" s="30">
        <f ca="1" t="array" ref="C31">INDEX(Data_DBD!$C:$C,$A31)</f>
        <v>3</v>
      </c>
      <c r="D31" s="30">
        <f ca="1" t="array" ref="D31">INDEX(Data_DBD!$D:$D,$A31)</f>
        <v>15</v>
      </c>
      <c r="E31" s="30">
        <f ca="1" t="array" ref="E31">INDEX(Data_DBD!$E:$E,$A31)</f>
        <v>0</v>
      </c>
      <c r="F31" s="30">
        <f ca="1" t="array" ref="F31">INDEX(Data_DBD!$F:$F,$A31)</f>
        <v>2</v>
      </c>
      <c r="H31" s="30">
        <v>53</v>
      </c>
      <c r="I31" s="30">
        <v>35</v>
      </c>
      <c r="J31" s="30">
        <v>4</v>
      </c>
      <c r="K31" s="30">
        <v>15</v>
      </c>
      <c r="L31" s="30">
        <v>1</v>
      </c>
      <c r="M31" s="30">
        <v>2</v>
      </c>
    </row>
    <row r="32" spans="1:13">
      <c r="A32" s="30">
        <f ca="1" t="shared" si="0"/>
        <v>72</v>
      </c>
      <c r="B32" s="30">
        <f ca="1" t="array" ref="B32">INDEX(Data_DBD!$B:$B,$A32)</f>
        <v>3</v>
      </c>
      <c r="C32" s="30">
        <f ca="1" t="array" ref="C32">INDEX(Data_DBD!$C:$C,$A32)</f>
        <v>5</v>
      </c>
      <c r="D32" s="30">
        <f ca="1" t="array" ref="D32">INDEX(Data_DBD!$D:$D,$A32)</f>
        <v>10</v>
      </c>
      <c r="E32" s="30">
        <f ca="1" t="array" ref="E32">INDEX(Data_DBD!$E:$E,$A32)</f>
        <v>1</v>
      </c>
      <c r="F32" s="30">
        <f ca="1" t="array" ref="F32">INDEX(Data_DBD!$F:$F,$A32)</f>
        <v>2</v>
      </c>
      <c r="H32" s="30">
        <v>135</v>
      </c>
      <c r="I32" s="30">
        <v>10</v>
      </c>
      <c r="J32" s="30">
        <v>2</v>
      </c>
      <c r="K32" s="30">
        <v>33</v>
      </c>
      <c r="L32" s="30">
        <v>0</v>
      </c>
      <c r="M32" s="30">
        <v>3</v>
      </c>
    </row>
    <row r="33" spans="1:13">
      <c r="A33" s="30">
        <f ca="1" t="shared" si="0"/>
        <v>162</v>
      </c>
      <c r="B33" s="30">
        <f ca="1" t="array" ref="B33">INDEX(Data_DBD!$B:$B,$A33)</f>
        <v>22</v>
      </c>
      <c r="C33" s="30">
        <f ca="1" t="array" ref="C33">INDEX(Data_DBD!$C:$C,$A33)</f>
        <v>3</v>
      </c>
      <c r="D33" s="30">
        <f ca="1" t="array" ref="D33">INDEX(Data_DBD!$D:$D,$A33)</f>
        <v>3</v>
      </c>
      <c r="E33" s="30">
        <f ca="1" t="array" ref="E33">INDEX(Data_DBD!$E:$E,$A33)</f>
        <v>1</v>
      </c>
      <c r="F33" s="30">
        <f ca="1" t="array" ref="F33">INDEX(Data_DBD!$F:$F,$A33)</f>
        <v>1</v>
      </c>
      <c r="H33" s="30">
        <v>151</v>
      </c>
      <c r="I33" s="30">
        <v>24</v>
      </c>
      <c r="J33" s="30">
        <v>3</v>
      </c>
      <c r="K33" s="30">
        <v>21</v>
      </c>
      <c r="L33" s="30">
        <v>0</v>
      </c>
      <c r="M33" s="30">
        <v>3</v>
      </c>
    </row>
    <row r="34" spans="1:13">
      <c r="A34" s="30">
        <f ca="1" t="shared" si="0"/>
        <v>118</v>
      </c>
      <c r="B34" s="30">
        <f ca="1" t="array" ref="B34">INDEX(Data_DBD!$B:$B,$A34)</f>
        <v>67</v>
      </c>
      <c r="C34" s="30">
        <f ca="1" t="array" ref="C34">INDEX(Data_DBD!$C:$C,$A34)</f>
        <v>4</v>
      </c>
      <c r="D34" s="30">
        <f ca="1" t="array" ref="D34">INDEX(Data_DBD!$D:$D,$A34)</f>
        <v>33</v>
      </c>
      <c r="E34" s="30">
        <f ca="1" t="array" ref="E34">INDEX(Data_DBD!$E:$E,$A34)</f>
        <v>1</v>
      </c>
      <c r="F34" s="30">
        <f ca="1" t="array" ref="F34">INDEX(Data_DBD!$F:$F,$A34)</f>
        <v>3</v>
      </c>
      <c r="H34" s="30">
        <v>137</v>
      </c>
      <c r="I34" s="30">
        <v>3.5</v>
      </c>
      <c r="J34" s="30">
        <v>1</v>
      </c>
      <c r="K34" s="30">
        <v>33</v>
      </c>
      <c r="L34" s="30">
        <v>1</v>
      </c>
      <c r="M34" s="30">
        <v>3</v>
      </c>
    </row>
    <row r="35" spans="1:13">
      <c r="A35" s="30">
        <f ca="1" t="shared" si="0"/>
        <v>109</v>
      </c>
      <c r="B35" s="30">
        <f ca="1" t="array" ref="B35">INDEX(Data_DBD!$B:$B,$A35)</f>
        <v>40</v>
      </c>
      <c r="C35" s="30">
        <f ca="1" t="array" ref="C35">INDEX(Data_DBD!$C:$C,$A35)</f>
        <v>3</v>
      </c>
      <c r="D35" s="30">
        <f ca="1" t="array" ref="D35">INDEX(Data_DBD!$D:$D,$A35)</f>
        <v>33</v>
      </c>
      <c r="E35" s="30">
        <f ca="1" t="array" ref="E35">INDEX(Data_DBD!$E:$E,$A35)</f>
        <v>1</v>
      </c>
      <c r="F35" s="30">
        <f ca="1" t="array" ref="F35">INDEX(Data_DBD!$F:$F,$A35)</f>
        <v>3</v>
      </c>
      <c r="H35" s="30">
        <v>29</v>
      </c>
      <c r="I35" s="30">
        <v>19</v>
      </c>
      <c r="J35" s="30">
        <v>2</v>
      </c>
      <c r="K35" s="30">
        <v>14</v>
      </c>
      <c r="L35" s="30">
        <v>1</v>
      </c>
      <c r="M35" s="30">
        <v>2</v>
      </c>
    </row>
    <row r="36" spans="1:13">
      <c r="A36" s="30">
        <f ca="1" t="shared" si="0"/>
        <v>93</v>
      </c>
      <c r="B36" s="30">
        <f ca="1" t="array" ref="B36">INDEX(Data_DBD!$B:$B,$A36)</f>
        <v>65</v>
      </c>
      <c r="C36" s="30">
        <f ca="1" t="array" ref="C36">INDEX(Data_DBD!$C:$C,$A36)</f>
        <v>4</v>
      </c>
      <c r="D36" s="30">
        <f ca="1" t="array" ref="D36">INDEX(Data_DBD!$D:$D,$A36)</f>
        <v>18</v>
      </c>
      <c r="E36" s="30">
        <f ca="1" t="array" ref="E36">INDEX(Data_DBD!$E:$E,$A36)</f>
        <v>0</v>
      </c>
      <c r="F36" s="30">
        <f ca="1" t="array" ref="F36">INDEX(Data_DBD!$F:$F,$A36)</f>
        <v>3</v>
      </c>
      <c r="H36" s="30">
        <v>62</v>
      </c>
      <c r="I36" s="30">
        <v>43</v>
      </c>
      <c r="J36" s="30">
        <v>4</v>
      </c>
      <c r="K36" s="30">
        <v>15</v>
      </c>
      <c r="L36" s="30">
        <v>1</v>
      </c>
      <c r="M36" s="30">
        <v>2</v>
      </c>
    </row>
    <row r="37" spans="1:13">
      <c r="A37" s="30">
        <f ca="1" t="shared" si="0"/>
        <v>63</v>
      </c>
      <c r="B37" s="30">
        <f ca="1" t="array" ref="B37">INDEX(Data_DBD!$B:$B,$A37)</f>
        <v>25</v>
      </c>
      <c r="C37" s="30">
        <f ca="1" t="array" ref="C37">INDEX(Data_DBD!$C:$C,$A37)</f>
        <v>3</v>
      </c>
      <c r="D37" s="30">
        <f ca="1" t="array" ref="D37">INDEX(Data_DBD!$D:$D,$A37)</f>
        <v>15</v>
      </c>
      <c r="E37" s="30">
        <f ca="1" t="array" ref="E37">INDEX(Data_DBD!$E:$E,$A37)</f>
        <v>0</v>
      </c>
      <c r="F37" s="30">
        <f ca="1" t="array" ref="F37">INDEX(Data_DBD!$F:$F,$A37)</f>
        <v>2</v>
      </c>
      <c r="H37" s="30">
        <v>60</v>
      </c>
      <c r="I37" s="30">
        <v>68</v>
      </c>
      <c r="J37" s="30">
        <v>4</v>
      </c>
      <c r="K37" s="30">
        <v>15</v>
      </c>
      <c r="L37" s="30">
        <v>0</v>
      </c>
      <c r="M37" s="30">
        <v>2</v>
      </c>
    </row>
    <row r="38" spans="1:13">
      <c r="A38" s="30">
        <f ca="1" t="shared" si="0"/>
        <v>43</v>
      </c>
      <c r="B38" s="30">
        <f ca="1" t="array" ref="B38">INDEX(Data_DBD!$B:$B,$A38)</f>
        <v>15</v>
      </c>
      <c r="C38" s="30">
        <f ca="1" t="array" ref="C38">INDEX(Data_DBD!$C:$C,$A38)</f>
        <v>4</v>
      </c>
      <c r="D38" s="30">
        <f ca="1" t="array" ref="D38">INDEX(Data_DBD!$D:$D,$A38)</f>
        <v>13</v>
      </c>
      <c r="E38" s="30">
        <f ca="1" t="array" ref="E38">INDEX(Data_DBD!$E:$E,$A38)</f>
        <v>0</v>
      </c>
      <c r="F38" s="30">
        <f ca="1" t="array" ref="F38">INDEX(Data_DBD!$F:$F,$A38)</f>
        <v>2</v>
      </c>
      <c r="H38" s="30">
        <v>34</v>
      </c>
      <c r="I38" s="30">
        <v>55</v>
      </c>
      <c r="J38" s="30">
        <v>3</v>
      </c>
      <c r="K38" s="30">
        <v>14</v>
      </c>
      <c r="L38" s="30">
        <v>0</v>
      </c>
      <c r="M38" s="30">
        <v>2</v>
      </c>
    </row>
    <row r="39" spans="1:13">
      <c r="A39" s="30">
        <f ca="1" t="shared" si="0"/>
        <v>98</v>
      </c>
      <c r="B39" s="30">
        <f ca="1" t="array" ref="B39">INDEX(Data_DBD!$B:$B,$A39)</f>
        <v>16</v>
      </c>
      <c r="C39" s="30">
        <f ca="1" t="array" ref="C39">INDEX(Data_DBD!$C:$C,$A39)</f>
        <v>2</v>
      </c>
      <c r="D39" s="30">
        <f ca="1" t="array" ref="D39">INDEX(Data_DBD!$D:$D,$A39)</f>
        <v>18</v>
      </c>
      <c r="E39" s="30">
        <f ca="1" t="array" ref="E39">INDEX(Data_DBD!$E:$E,$A39)</f>
        <v>1</v>
      </c>
      <c r="F39" s="30">
        <f ca="1" t="array" ref="F39">INDEX(Data_DBD!$F:$F,$A39)</f>
        <v>3</v>
      </c>
      <c r="H39" s="30">
        <v>55</v>
      </c>
      <c r="I39" s="30">
        <v>7</v>
      </c>
      <c r="J39" s="30">
        <v>4</v>
      </c>
      <c r="K39" s="30">
        <v>15</v>
      </c>
      <c r="L39" s="30">
        <v>1</v>
      </c>
      <c r="M39" s="30">
        <v>2</v>
      </c>
    </row>
    <row r="40" spans="1:13">
      <c r="A40" s="30">
        <f ca="1" t="shared" si="0"/>
        <v>149</v>
      </c>
      <c r="B40" s="30">
        <f ca="1" t="array" ref="B40">INDEX(Data_DBD!$B:$B,$A40)</f>
        <v>19</v>
      </c>
      <c r="C40" s="30">
        <f ca="1" t="array" ref="C40">INDEX(Data_DBD!$C:$C,$A40)</f>
        <v>5</v>
      </c>
      <c r="D40" s="30">
        <f ca="1" t="array" ref="D40">INDEX(Data_DBD!$D:$D,$A40)</f>
        <v>21</v>
      </c>
      <c r="E40" s="30">
        <f ca="1" t="array" ref="E40">INDEX(Data_DBD!$E:$E,$A40)</f>
        <v>0</v>
      </c>
      <c r="F40" s="30">
        <f ca="1" t="array" ref="F40">INDEX(Data_DBD!$F:$F,$A40)</f>
        <v>3</v>
      </c>
      <c r="H40" s="30">
        <v>33</v>
      </c>
      <c r="I40" s="30">
        <v>19</v>
      </c>
      <c r="J40" s="30">
        <v>4</v>
      </c>
      <c r="K40" s="30">
        <v>14</v>
      </c>
      <c r="L40" s="30">
        <v>1</v>
      </c>
      <c r="M40" s="30">
        <v>2</v>
      </c>
    </row>
    <row r="41" spans="1:13">
      <c r="A41" s="30">
        <f ca="1" t="shared" si="0"/>
        <v>27</v>
      </c>
      <c r="B41" s="30">
        <f ca="1" t="array" ref="B41">INDEX(Data_DBD!$B:$B,$A41)</f>
        <v>37</v>
      </c>
      <c r="C41" s="30">
        <f ca="1" t="array" ref="C41">INDEX(Data_DBD!$C:$C,$A41)</f>
        <v>4</v>
      </c>
      <c r="D41" s="30">
        <f ca="1" t="array" ref="D41">INDEX(Data_DBD!$D:$D,$A41)</f>
        <v>14</v>
      </c>
      <c r="E41" s="30">
        <f ca="1" t="array" ref="E41">INDEX(Data_DBD!$E:$E,$A41)</f>
        <v>1</v>
      </c>
      <c r="F41" s="30">
        <f ca="1" t="array" ref="F41">INDEX(Data_DBD!$F:$F,$A41)</f>
        <v>2</v>
      </c>
      <c r="H41" s="30">
        <v>12</v>
      </c>
      <c r="I41" s="30">
        <v>23</v>
      </c>
      <c r="J41" s="30">
        <v>3</v>
      </c>
      <c r="K41" s="30">
        <v>12</v>
      </c>
      <c r="L41" s="30">
        <v>0</v>
      </c>
      <c r="M41" s="30">
        <v>2</v>
      </c>
    </row>
    <row r="42" spans="1:13">
      <c r="A42" s="30">
        <f ca="1" t="shared" si="0"/>
        <v>132</v>
      </c>
      <c r="B42" s="30">
        <f ca="1" t="array" ref="B42">INDEX(Data_DBD!$B:$B,$A42)</f>
        <v>10</v>
      </c>
      <c r="C42" s="30">
        <f ca="1" t="array" ref="C42">INDEX(Data_DBD!$C:$C,$A42)</f>
        <v>3</v>
      </c>
      <c r="D42" s="30">
        <f ca="1" t="array" ref="D42">INDEX(Data_DBD!$D:$D,$A42)</f>
        <v>33</v>
      </c>
      <c r="E42" s="30">
        <f ca="1" t="array" ref="E42">INDEX(Data_DBD!$E:$E,$A42)</f>
        <v>1</v>
      </c>
      <c r="F42" s="30">
        <f ca="1" t="array" ref="F42">INDEX(Data_DBD!$F:$F,$A42)</f>
        <v>3</v>
      </c>
      <c r="H42" s="30">
        <v>81</v>
      </c>
      <c r="I42" s="30">
        <v>23</v>
      </c>
      <c r="J42" s="30">
        <v>5</v>
      </c>
      <c r="K42" s="30">
        <v>13</v>
      </c>
      <c r="L42" s="30">
        <v>1</v>
      </c>
      <c r="M42" s="30">
        <v>2</v>
      </c>
    </row>
    <row r="43" spans="1:13">
      <c r="A43" s="30">
        <f ca="1" t="shared" si="0"/>
        <v>54</v>
      </c>
      <c r="B43" s="30">
        <f ca="1" t="array" ref="B43">INDEX(Data_DBD!$B:$B,$A43)</f>
        <v>7</v>
      </c>
      <c r="C43" s="30">
        <f ca="1" t="array" ref="C43">INDEX(Data_DBD!$C:$C,$A43)</f>
        <v>3</v>
      </c>
      <c r="D43" s="30">
        <f ca="1" t="array" ref="D43">INDEX(Data_DBD!$D:$D,$A43)</f>
        <v>15</v>
      </c>
      <c r="E43" s="30">
        <f ca="1" t="array" ref="E43">INDEX(Data_DBD!$E:$E,$A43)</f>
        <v>0</v>
      </c>
      <c r="F43" s="30">
        <f ca="1" t="array" ref="F43">INDEX(Data_DBD!$F:$F,$A43)</f>
        <v>2</v>
      </c>
      <c r="H43" s="30">
        <v>101</v>
      </c>
      <c r="I43" s="30">
        <v>42</v>
      </c>
      <c r="J43" s="30">
        <v>5</v>
      </c>
      <c r="K43" s="30">
        <v>18</v>
      </c>
      <c r="L43" s="30">
        <v>0</v>
      </c>
      <c r="M43" s="30">
        <v>3</v>
      </c>
    </row>
    <row r="44" spans="1:13">
      <c r="A44" s="30">
        <f ca="1" t="shared" si="0"/>
        <v>12</v>
      </c>
      <c r="B44" s="30">
        <f ca="1" t="array" ref="B44">INDEX(Data_DBD!$B:$B,$A44)</f>
        <v>23</v>
      </c>
      <c r="C44" s="30">
        <f ca="1" t="array" ref="C44">INDEX(Data_DBD!$C:$C,$A44)</f>
        <v>3</v>
      </c>
      <c r="D44" s="30">
        <f ca="1" t="array" ref="D44">INDEX(Data_DBD!$D:$D,$A44)</f>
        <v>12</v>
      </c>
      <c r="E44" s="30">
        <f ca="1" t="array" ref="E44">INDEX(Data_DBD!$E:$E,$A44)</f>
        <v>0</v>
      </c>
      <c r="F44" s="30">
        <f ca="1" t="array" ref="F44">INDEX(Data_DBD!$F:$F,$A44)</f>
        <v>2</v>
      </c>
      <c r="H44" s="30">
        <v>52</v>
      </c>
      <c r="I44" s="30">
        <v>59</v>
      </c>
      <c r="J44" s="30">
        <v>4</v>
      </c>
      <c r="K44" s="30">
        <v>15</v>
      </c>
      <c r="L44" s="30">
        <v>1</v>
      </c>
      <c r="M44" s="30">
        <v>2</v>
      </c>
    </row>
    <row r="45" spans="1:13">
      <c r="A45" s="30">
        <f ca="1" t="shared" si="0"/>
        <v>93</v>
      </c>
      <c r="B45" s="30">
        <f ca="1" t="array" ref="B45">INDEX(Data_DBD!$B:$B,$A45)</f>
        <v>65</v>
      </c>
      <c r="C45" s="30">
        <f ca="1" t="array" ref="C45">INDEX(Data_DBD!$C:$C,$A45)</f>
        <v>4</v>
      </c>
      <c r="D45" s="30">
        <f ca="1" t="array" ref="D45">INDEX(Data_DBD!$D:$D,$A45)</f>
        <v>18</v>
      </c>
      <c r="E45" s="30">
        <f ca="1" t="array" ref="E45">INDEX(Data_DBD!$E:$E,$A45)</f>
        <v>0</v>
      </c>
      <c r="F45" s="30">
        <f ca="1" t="array" ref="F45">INDEX(Data_DBD!$F:$F,$A45)</f>
        <v>3</v>
      </c>
      <c r="H45" s="30">
        <v>78</v>
      </c>
      <c r="I45" s="30">
        <v>6</v>
      </c>
      <c r="J45" s="30">
        <v>3</v>
      </c>
      <c r="K45" s="30">
        <v>13</v>
      </c>
      <c r="L45" s="30">
        <v>0</v>
      </c>
      <c r="M45" s="30">
        <v>2</v>
      </c>
    </row>
    <row r="46" spans="1:13">
      <c r="A46" s="30">
        <f ca="1" t="shared" si="0"/>
        <v>26</v>
      </c>
      <c r="B46" s="30">
        <f ca="1" t="array" ref="B46">INDEX(Data_DBD!$B:$B,$A46)</f>
        <v>75</v>
      </c>
      <c r="C46" s="30">
        <f ca="1" t="array" ref="C46">INDEX(Data_DBD!$C:$C,$A46)</f>
        <v>4</v>
      </c>
      <c r="D46" s="30">
        <f ca="1" t="array" ref="D46">INDEX(Data_DBD!$D:$D,$A46)</f>
        <v>14</v>
      </c>
      <c r="E46" s="30">
        <f ca="1" t="array" ref="E46">INDEX(Data_DBD!$E:$E,$A46)</f>
        <v>1</v>
      </c>
      <c r="F46" s="30">
        <f ca="1" t="array" ref="F46">INDEX(Data_DBD!$F:$F,$A46)</f>
        <v>2</v>
      </c>
      <c r="H46" s="30">
        <v>41</v>
      </c>
      <c r="I46" s="30">
        <v>8</v>
      </c>
      <c r="J46" s="30">
        <v>4</v>
      </c>
      <c r="K46" s="30">
        <v>13</v>
      </c>
      <c r="L46" s="30">
        <v>0</v>
      </c>
      <c r="M46" s="30">
        <v>2</v>
      </c>
    </row>
    <row r="47" spans="1:13">
      <c r="A47" s="30">
        <f ca="1" t="shared" si="0"/>
        <v>133</v>
      </c>
      <c r="B47" s="30">
        <f ca="1" t="array" ref="B47">INDEX(Data_DBD!$B:$B,$A47)</f>
        <v>6</v>
      </c>
      <c r="C47" s="30">
        <f ca="1" t="array" ref="C47">INDEX(Data_DBD!$C:$C,$A47)</f>
        <v>4</v>
      </c>
      <c r="D47" s="30">
        <f ca="1" t="array" ref="D47">INDEX(Data_DBD!$D:$D,$A47)</f>
        <v>33</v>
      </c>
      <c r="E47" s="30">
        <f ca="1" t="array" ref="E47">INDEX(Data_DBD!$E:$E,$A47)</f>
        <v>0</v>
      </c>
      <c r="F47" s="30">
        <f ca="1" t="array" ref="F47">INDEX(Data_DBD!$F:$F,$A47)</f>
        <v>3</v>
      </c>
      <c r="H47" s="30">
        <v>23</v>
      </c>
      <c r="I47" s="30">
        <v>28</v>
      </c>
      <c r="J47" s="30">
        <v>4</v>
      </c>
      <c r="K47" s="30">
        <v>14</v>
      </c>
      <c r="L47" s="30">
        <v>1</v>
      </c>
      <c r="M47" s="30">
        <v>2</v>
      </c>
    </row>
    <row r="48" spans="1:13">
      <c r="A48" s="30">
        <f ca="1" t="shared" si="0"/>
        <v>127</v>
      </c>
      <c r="B48" s="30">
        <f ca="1" t="array" ref="B48">INDEX(Data_DBD!$B:$B,$A48)</f>
        <v>21</v>
      </c>
      <c r="C48" s="30">
        <f ca="1" t="array" ref="C48">INDEX(Data_DBD!$C:$C,$A48)</f>
        <v>2</v>
      </c>
      <c r="D48" s="30">
        <f ca="1" t="array" ref="D48">INDEX(Data_DBD!$D:$D,$A48)</f>
        <v>33</v>
      </c>
      <c r="E48" s="30">
        <f ca="1" t="array" ref="E48">INDEX(Data_DBD!$E:$E,$A48)</f>
        <v>0</v>
      </c>
      <c r="F48" s="30">
        <f ca="1" t="array" ref="F48">INDEX(Data_DBD!$F:$F,$A48)</f>
        <v>3</v>
      </c>
      <c r="H48" s="30">
        <v>22</v>
      </c>
      <c r="I48" s="30">
        <v>6</v>
      </c>
      <c r="J48" s="30">
        <v>3</v>
      </c>
      <c r="K48" s="30">
        <v>14</v>
      </c>
      <c r="L48" s="30">
        <v>0</v>
      </c>
      <c r="M48" s="30">
        <v>2</v>
      </c>
    </row>
    <row r="49" spans="1:13">
      <c r="A49" s="30">
        <f ca="1" t="shared" si="0"/>
        <v>45</v>
      </c>
      <c r="B49" s="30">
        <f ca="1" t="array" ref="B49">INDEX(Data_DBD!$B:$B,$A49)</f>
        <v>75</v>
      </c>
      <c r="C49" s="30">
        <f ca="1" t="array" ref="C49">INDEX(Data_DBD!$C:$C,$A49)</f>
        <v>3</v>
      </c>
      <c r="D49" s="30">
        <f ca="1" t="array" ref="D49">INDEX(Data_DBD!$D:$D,$A49)</f>
        <v>13</v>
      </c>
      <c r="E49" s="30">
        <f ca="1" t="array" ref="E49">INDEX(Data_DBD!$E:$E,$A49)</f>
        <v>1</v>
      </c>
      <c r="F49" s="30">
        <f ca="1" t="array" ref="F49">INDEX(Data_DBD!$F:$F,$A49)</f>
        <v>2</v>
      </c>
      <c r="H49" s="30">
        <v>64</v>
      </c>
      <c r="I49" s="30">
        <v>35</v>
      </c>
      <c r="J49" s="30">
        <v>1</v>
      </c>
      <c r="K49" s="30">
        <v>15</v>
      </c>
      <c r="L49" s="30">
        <v>0</v>
      </c>
      <c r="M49" s="30">
        <v>2</v>
      </c>
    </row>
    <row r="50" spans="1:13">
      <c r="A50" s="30">
        <f ca="1" t="shared" si="0"/>
        <v>143</v>
      </c>
      <c r="B50" s="30">
        <f ca="1" t="array" ref="B50">INDEX(Data_DBD!$B:$B,$A50)</f>
        <v>20</v>
      </c>
      <c r="C50" s="30">
        <f ca="1" t="array" ref="C50">INDEX(Data_DBD!$C:$C,$A50)</f>
        <v>4</v>
      </c>
      <c r="D50" s="30">
        <f ca="1" t="array" ref="D50">INDEX(Data_DBD!$D:$D,$A50)</f>
        <v>21</v>
      </c>
      <c r="E50" s="30">
        <f ca="1" t="array" ref="E50">INDEX(Data_DBD!$E:$E,$A50)</f>
        <v>1</v>
      </c>
      <c r="F50" s="30">
        <f ca="1" t="array" ref="F50">INDEX(Data_DBD!$F:$F,$A50)</f>
        <v>3</v>
      </c>
      <c r="H50" s="30">
        <v>152</v>
      </c>
      <c r="I50" s="30">
        <v>47</v>
      </c>
      <c r="J50" s="30">
        <v>3</v>
      </c>
      <c r="K50" s="30">
        <v>21</v>
      </c>
      <c r="L50" s="30">
        <v>1</v>
      </c>
      <c r="M50" s="30">
        <v>3</v>
      </c>
    </row>
    <row r="51" spans="1:13">
      <c r="A51" s="30">
        <f ca="1" t="shared" si="0"/>
        <v>10</v>
      </c>
      <c r="B51" s="30">
        <f ca="1" t="array" ref="B51">INDEX(Data_DBD!$B:$B,$A51)</f>
        <v>18</v>
      </c>
      <c r="C51" s="30">
        <f ca="1" t="array" ref="C51">INDEX(Data_DBD!$C:$C,$A51)</f>
        <v>5</v>
      </c>
      <c r="D51" s="30">
        <f ca="1" t="array" ref="D51">INDEX(Data_DBD!$D:$D,$A51)</f>
        <v>12</v>
      </c>
      <c r="E51" s="30">
        <f ca="1" t="array" ref="E51">INDEX(Data_DBD!$E:$E,$A51)</f>
        <v>0</v>
      </c>
      <c r="F51" s="30">
        <f ca="1" t="array" ref="F51">INDEX(Data_DBD!$F:$F,$A51)</f>
        <v>2</v>
      </c>
      <c r="H51" s="30">
        <v>71</v>
      </c>
      <c r="I51" s="30">
        <v>84</v>
      </c>
      <c r="J51" s="30">
        <v>3</v>
      </c>
      <c r="K51" s="30">
        <v>10</v>
      </c>
      <c r="L51" s="30">
        <v>0</v>
      </c>
      <c r="M51" s="30">
        <v>2</v>
      </c>
    </row>
    <row r="52" spans="1:13">
      <c r="A52" s="30">
        <f ca="1" t="shared" si="0"/>
        <v>10</v>
      </c>
      <c r="B52" s="30">
        <f ca="1" t="array" ref="B52">INDEX(Data_DBD!$B:$B,$A52)</f>
        <v>18</v>
      </c>
      <c r="C52" s="30">
        <f ca="1" t="array" ref="C52">INDEX(Data_DBD!$C:$C,$A52)</f>
        <v>5</v>
      </c>
      <c r="D52" s="30">
        <f ca="1" t="array" ref="D52">INDEX(Data_DBD!$D:$D,$A52)</f>
        <v>12</v>
      </c>
      <c r="E52" s="30">
        <f ca="1" t="array" ref="E52">INDEX(Data_DBD!$E:$E,$A52)</f>
        <v>0</v>
      </c>
      <c r="F52" s="30">
        <f ca="1" t="array" ref="F52">INDEX(Data_DBD!$F:$F,$A52)</f>
        <v>2</v>
      </c>
      <c r="H52" s="30">
        <v>23</v>
      </c>
      <c r="I52" s="30">
        <v>28</v>
      </c>
      <c r="J52" s="30">
        <v>4</v>
      </c>
      <c r="K52" s="30">
        <v>14</v>
      </c>
      <c r="L52" s="30">
        <v>1</v>
      </c>
      <c r="M52" s="30">
        <v>2</v>
      </c>
    </row>
    <row r="53" spans="1:13">
      <c r="A53" s="30">
        <f ca="1" t="shared" si="0"/>
        <v>6</v>
      </c>
      <c r="B53" s="30">
        <f ca="1" t="array" ref="B53">INDEX(Data_DBD!$B:$B,$A53)</f>
        <v>14</v>
      </c>
      <c r="C53" s="30">
        <f ca="1" t="array" ref="C53">INDEX(Data_DBD!$C:$C,$A53)</f>
        <v>4</v>
      </c>
      <c r="D53" s="30">
        <f ca="1" t="array" ref="D53">INDEX(Data_DBD!$D:$D,$A53)</f>
        <v>12</v>
      </c>
      <c r="E53" s="30">
        <f ca="1" t="array" ref="E53">INDEX(Data_DBD!$E:$E,$A53)</f>
        <v>0</v>
      </c>
      <c r="F53" s="30">
        <f ca="1" t="array" ref="F53">INDEX(Data_DBD!$F:$F,$A53)</f>
        <v>2</v>
      </c>
      <c r="H53" s="30">
        <v>105</v>
      </c>
      <c r="I53" s="30">
        <v>61</v>
      </c>
      <c r="J53" s="30">
        <v>3</v>
      </c>
      <c r="K53" s="30">
        <v>18</v>
      </c>
      <c r="L53" s="30">
        <v>1</v>
      </c>
      <c r="M53" s="30">
        <v>3</v>
      </c>
    </row>
    <row r="54" spans="1:13">
      <c r="A54" s="30">
        <f ca="1" t="shared" si="0"/>
        <v>119</v>
      </c>
      <c r="B54" s="30">
        <f ca="1" t="array" ref="B54">INDEX(Data_DBD!$B:$B,$A54)</f>
        <v>30</v>
      </c>
      <c r="C54" s="30">
        <f ca="1" t="array" ref="C54">INDEX(Data_DBD!$C:$C,$A54)</f>
        <v>7</v>
      </c>
      <c r="D54" s="30">
        <f ca="1" t="array" ref="D54">INDEX(Data_DBD!$D:$D,$A54)</f>
        <v>33</v>
      </c>
      <c r="E54" s="30">
        <f ca="1" t="array" ref="E54">INDEX(Data_DBD!$E:$E,$A54)</f>
        <v>0</v>
      </c>
      <c r="F54" s="30">
        <f ca="1" t="array" ref="F54">INDEX(Data_DBD!$F:$F,$A54)</f>
        <v>3</v>
      </c>
      <c r="H54" s="30">
        <v>109</v>
      </c>
      <c r="I54" s="30">
        <v>40</v>
      </c>
      <c r="J54" s="30">
        <v>3</v>
      </c>
      <c r="K54" s="30">
        <v>33</v>
      </c>
      <c r="L54" s="30">
        <v>1</v>
      </c>
      <c r="M54" s="30">
        <v>3</v>
      </c>
    </row>
    <row r="55" spans="1:13">
      <c r="A55" s="30">
        <f ca="1" t="shared" si="0"/>
        <v>98</v>
      </c>
      <c r="B55" s="30">
        <f ca="1" t="array" ref="B55">INDEX(Data_DBD!$B:$B,$A55)</f>
        <v>16</v>
      </c>
      <c r="C55" s="30">
        <f ca="1" t="array" ref="C55">INDEX(Data_DBD!$C:$C,$A55)</f>
        <v>2</v>
      </c>
      <c r="D55" s="30">
        <f ca="1" t="array" ref="D55">INDEX(Data_DBD!$D:$D,$A55)</f>
        <v>18</v>
      </c>
      <c r="E55" s="30">
        <f ca="1" t="array" ref="E55">INDEX(Data_DBD!$E:$E,$A55)</f>
        <v>1</v>
      </c>
      <c r="F55" s="30">
        <f ca="1" t="array" ref="F55">INDEX(Data_DBD!$F:$F,$A55)</f>
        <v>3</v>
      </c>
      <c r="H55" s="30">
        <v>161</v>
      </c>
      <c r="I55" s="30">
        <v>12</v>
      </c>
      <c r="J55" s="30">
        <v>3</v>
      </c>
      <c r="K55" s="30">
        <v>21</v>
      </c>
      <c r="L55" s="30">
        <v>1</v>
      </c>
      <c r="M55" s="30">
        <v>3</v>
      </c>
    </row>
    <row r="56" spans="1:13">
      <c r="A56" s="30">
        <f ca="1" t="shared" si="0"/>
        <v>158</v>
      </c>
      <c r="B56" s="30">
        <f ca="1" t="array" ref="B56">INDEX(Data_DBD!$B:$B,$A56)</f>
        <v>5</v>
      </c>
      <c r="C56" s="30">
        <f ca="1" t="array" ref="C56">INDEX(Data_DBD!$C:$C,$A56)</f>
        <v>2</v>
      </c>
      <c r="D56" s="30">
        <f ca="1" t="array" ref="D56">INDEX(Data_DBD!$D:$D,$A56)</f>
        <v>21</v>
      </c>
      <c r="E56" s="30">
        <f ca="1" t="array" ref="E56">INDEX(Data_DBD!$E:$E,$A56)</f>
        <v>0</v>
      </c>
      <c r="F56" s="30">
        <f ca="1" t="array" ref="F56">INDEX(Data_DBD!$F:$F,$A56)</f>
        <v>3</v>
      </c>
      <c r="H56" s="30">
        <v>58</v>
      </c>
      <c r="I56" s="30">
        <v>17</v>
      </c>
      <c r="J56" s="30">
        <v>3</v>
      </c>
      <c r="K56" s="30">
        <v>15</v>
      </c>
      <c r="L56" s="30">
        <v>0</v>
      </c>
      <c r="M56" s="30">
        <v>2</v>
      </c>
    </row>
    <row r="57" spans="1:13">
      <c r="A57" s="30">
        <f ca="1" t="shared" si="0"/>
        <v>153</v>
      </c>
      <c r="B57" s="30">
        <f ca="1" t="array" ref="B57">INDEX(Data_DBD!$B:$B,$A57)</f>
        <v>73</v>
      </c>
      <c r="C57" s="30">
        <f ca="1" t="array" ref="C57">INDEX(Data_DBD!$C:$C,$A57)</f>
        <v>7</v>
      </c>
      <c r="D57" s="30">
        <f ca="1" t="array" ref="D57">INDEX(Data_DBD!$D:$D,$A57)</f>
        <v>21</v>
      </c>
      <c r="E57" s="30">
        <f ca="1" t="array" ref="E57">INDEX(Data_DBD!$E:$E,$A57)</f>
        <v>1</v>
      </c>
      <c r="F57" s="30">
        <f ca="1" t="array" ref="F57">INDEX(Data_DBD!$F:$F,$A57)</f>
        <v>3</v>
      </c>
      <c r="H57" s="30">
        <v>28</v>
      </c>
      <c r="I57" s="30">
        <v>22</v>
      </c>
      <c r="J57" s="30">
        <v>2</v>
      </c>
      <c r="K57" s="30">
        <v>14</v>
      </c>
      <c r="L57" s="30">
        <v>1</v>
      </c>
      <c r="M57" s="30">
        <v>2</v>
      </c>
    </row>
    <row r="58" spans="1:13">
      <c r="A58" s="30">
        <f ca="1" t="shared" si="0"/>
        <v>132</v>
      </c>
      <c r="B58" s="30">
        <f ca="1" t="array" ref="B58">INDEX(Data_DBD!$B:$B,$A58)</f>
        <v>10</v>
      </c>
      <c r="C58" s="30">
        <f ca="1" t="array" ref="C58">INDEX(Data_DBD!$C:$C,$A58)</f>
        <v>3</v>
      </c>
      <c r="D58" s="30">
        <f ca="1" t="array" ref="D58">INDEX(Data_DBD!$D:$D,$A58)</f>
        <v>33</v>
      </c>
      <c r="E58" s="30">
        <f ca="1" t="array" ref="E58">INDEX(Data_DBD!$E:$E,$A58)</f>
        <v>1</v>
      </c>
      <c r="F58" s="30">
        <f ca="1" t="array" ref="F58">INDEX(Data_DBD!$F:$F,$A58)</f>
        <v>3</v>
      </c>
      <c r="H58" s="30">
        <v>58</v>
      </c>
      <c r="I58" s="30">
        <v>17</v>
      </c>
      <c r="J58" s="30">
        <v>3</v>
      </c>
      <c r="K58" s="30">
        <v>15</v>
      </c>
      <c r="L58" s="30">
        <v>0</v>
      </c>
      <c r="M58" s="30">
        <v>2</v>
      </c>
    </row>
    <row r="59" spans="1:13">
      <c r="A59" s="30">
        <f ca="1" t="shared" si="0"/>
        <v>115</v>
      </c>
      <c r="B59" s="30">
        <f ca="1" t="array" ref="B59">INDEX(Data_DBD!$B:$B,$A59)</f>
        <v>52</v>
      </c>
      <c r="C59" s="30">
        <f ca="1" t="array" ref="C59">INDEX(Data_DBD!$C:$C,$A59)</f>
        <v>3</v>
      </c>
      <c r="D59" s="30">
        <f ca="1" t="array" ref="D59">INDEX(Data_DBD!$D:$D,$A59)</f>
        <v>33</v>
      </c>
      <c r="E59" s="30">
        <f ca="1" t="array" ref="E59">INDEX(Data_DBD!$E:$E,$A59)</f>
        <v>1</v>
      </c>
      <c r="F59" s="30">
        <f ca="1" t="array" ref="F59">INDEX(Data_DBD!$F:$F,$A59)</f>
        <v>3</v>
      </c>
      <c r="H59" s="30">
        <v>145</v>
      </c>
      <c r="I59" s="30">
        <v>28</v>
      </c>
      <c r="J59" s="30">
        <v>4</v>
      </c>
      <c r="K59" s="30">
        <v>21</v>
      </c>
      <c r="L59" s="30">
        <v>1</v>
      </c>
      <c r="M59" s="30">
        <v>3</v>
      </c>
    </row>
    <row r="60" spans="1:13">
      <c r="A60" s="30">
        <f ca="1" t="shared" si="0"/>
        <v>99</v>
      </c>
      <c r="B60" s="30">
        <f ca="1" t="array" ref="B60">INDEX(Data_DBD!$B:$B,$A60)</f>
        <v>4</v>
      </c>
      <c r="C60" s="30">
        <f ca="1" t="array" ref="C60">INDEX(Data_DBD!$C:$C,$A60)</f>
        <v>2</v>
      </c>
      <c r="D60" s="30">
        <f ca="1" t="array" ref="D60">INDEX(Data_DBD!$D:$D,$A60)</f>
        <v>18</v>
      </c>
      <c r="E60" s="30">
        <f ca="1" t="array" ref="E60">INDEX(Data_DBD!$E:$E,$A60)</f>
        <v>1</v>
      </c>
      <c r="F60" s="30">
        <f ca="1" t="array" ref="F60">INDEX(Data_DBD!$F:$F,$A60)</f>
        <v>3</v>
      </c>
      <c r="H60" s="30">
        <v>51</v>
      </c>
      <c r="I60" s="30">
        <v>48</v>
      </c>
      <c r="J60" s="30">
        <v>4</v>
      </c>
      <c r="K60" s="30">
        <v>13</v>
      </c>
      <c r="L60" s="30">
        <v>0</v>
      </c>
      <c r="M60" s="30">
        <v>2</v>
      </c>
    </row>
    <row r="61" spans="1:13">
      <c r="A61" s="30">
        <f ca="1" t="shared" si="0"/>
        <v>67</v>
      </c>
      <c r="B61" s="30">
        <f ca="1" t="array" ref="B61">INDEX(Data_DBD!$B:$B,$A61)</f>
        <v>21</v>
      </c>
      <c r="C61" s="30">
        <f ca="1" t="array" ref="C61">INDEX(Data_DBD!$C:$C,$A61)</f>
        <v>3</v>
      </c>
      <c r="D61" s="30">
        <f ca="1" t="array" ref="D61">INDEX(Data_DBD!$D:$D,$A61)</f>
        <v>10</v>
      </c>
      <c r="E61" s="30">
        <f ca="1" t="array" ref="E61">INDEX(Data_DBD!$E:$E,$A61)</f>
        <v>1</v>
      </c>
      <c r="F61" s="30">
        <f ca="1" t="array" ref="F61">INDEX(Data_DBD!$F:$F,$A61)</f>
        <v>2</v>
      </c>
      <c r="H61" s="30">
        <v>97</v>
      </c>
      <c r="I61" s="30">
        <v>16</v>
      </c>
      <c r="J61" s="30">
        <v>2</v>
      </c>
      <c r="K61" s="30">
        <v>18</v>
      </c>
      <c r="L61" s="30">
        <v>1</v>
      </c>
      <c r="M61" s="30">
        <v>3</v>
      </c>
    </row>
    <row r="62" spans="1:13">
      <c r="A62" s="30">
        <f ca="1" t="shared" si="0"/>
        <v>64</v>
      </c>
      <c r="B62" s="30">
        <f ca="1" t="array" ref="B62">INDEX(Data_DBD!$B:$B,$A62)</f>
        <v>35</v>
      </c>
      <c r="C62" s="30">
        <f ca="1" t="array" ref="C62">INDEX(Data_DBD!$C:$C,$A62)</f>
        <v>1</v>
      </c>
      <c r="D62" s="30">
        <f ca="1" t="array" ref="D62">INDEX(Data_DBD!$D:$D,$A62)</f>
        <v>15</v>
      </c>
      <c r="E62" s="30">
        <f ca="1" t="array" ref="E62">INDEX(Data_DBD!$E:$E,$A62)</f>
        <v>0</v>
      </c>
      <c r="F62" s="30">
        <f ca="1" t="array" ref="F62">INDEX(Data_DBD!$F:$F,$A62)</f>
        <v>2</v>
      </c>
      <c r="H62" s="30">
        <v>30</v>
      </c>
      <c r="I62" s="30" t="s">
        <v>36</v>
      </c>
      <c r="J62" s="30">
        <v>2</v>
      </c>
      <c r="K62" s="30">
        <v>14</v>
      </c>
      <c r="L62" s="30">
        <v>1</v>
      </c>
      <c r="M62" s="30">
        <v>2</v>
      </c>
    </row>
    <row r="63" spans="1:13">
      <c r="A63" s="30">
        <f ca="1" t="shared" si="0"/>
        <v>30</v>
      </c>
      <c r="B63" s="30" t="str">
        <f ca="1" t="array" ref="B63">INDEX(Data_DBD!$B:$B,$A63)</f>
        <v>2,8</v>
      </c>
      <c r="C63" s="30">
        <f ca="1" t="array" ref="C63">INDEX(Data_DBD!$C:$C,$A63)</f>
        <v>2</v>
      </c>
      <c r="D63" s="30">
        <f ca="1" t="array" ref="D63">INDEX(Data_DBD!$D:$D,$A63)</f>
        <v>14</v>
      </c>
      <c r="E63" s="30">
        <f ca="1" t="array" ref="E63">INDEX(Data_DBD!$E:$E,$A63)</f>
        <v>1</v>
      </c>
      <c r="F63" s="30">
        <f ca="1" t="array" ref="F63">INDEX(Data_DBD!$F:$F,$A63)</f>
        <v>2</v>
      </c>
      <c r="H63" s="30">
        <v>33</v>
      </c>
      <c r="I63" s="30">
        <v>19</v>
      </c>
      <c r="J63" s="30">
        <v>4</v>
      </c>
      <c r="K63" s="30">
        <v>14</v>
      </c>
      <c r="L63" s="30">
        <v>1</v>
      </c>
      <c r="M63" s="30">
        <v>2</v>
      </c>
    </row>
    <row r="64" spans="1:13">
      <c r="A64" s="30">
        <f ca="1" t="shared" si="0"/>
        <v>127</v>
      </c>
      <c r="B64" s="30">
        <f ca="1" t="array" ref="B64">INDEX(Data_DBD!$B:$B,$A64)</f>
        <v>21</v>
      </c>
      <c r="C64" s="30">
        <f ca="1" t="array" ref="C64">INDEX(Data_DBD!$C:$C,$A64)</f>
        <v>2</v>
      </c>
      <c r="D64" s="30">
        <f ca="1" t="array" ref="D64">INDEX(Data_DBD!$D:$D,$A64)</f>
        <v>33</v>
      </c>
      <c r="E64" s="30">
        <f ca="1" t="array" ref="E64">INDEX(Data_DBD!$E:$E,$A64)</f>
        <v>0</v>
      </c>
      <c r="F64" s="30">
        <f ca="1" t="array" ref="F64">INDEX(Data_DBD!$F:$F,$A64)</f>
        <v>3</v>
      </c>
      <c r="H64" s="30">
        <v>77</v>
      </c>
      <c r="I64" s="30">
        <v>16</v>
      </c>
      <c r="J64" s="30">
        <v>4</v>
      </c>
      <c r="K64" s="30">
        <v>13</v>
      </c>
      <c r="L64" s="30">
        <v>1</v>
      </c>
      <c r="M64" s="30">
        <v>2</v>
      </c>
    </row>
    <row r="65" spans="1:13">
      <c r="A65" s="30">
        <f ca="1" t="shared" si="0"/>
        <v>104</v>
      </c>
      <c r="B65" s="30">
        <f ca="1" t="array" ref="B65">INDEX(Data_DBD!$B:$B,$A65)</f>
        <v>37</v>
      </c>
      <c r="C65" s="30">
        <f ca="1" t="array" ref="C65">INDEX(Data_DBD!$C:$C,$A65)</f>
        <v>4</v>
      </c>
      <c r="D65" s="30">
        <f ca="1" t="array" ref="D65">INDEX(Data_DBD!$D:$D,$A65)</f>
        <v>18</v>
      </c>
      <c r="E65" s="30">
        <f ca="1" t="array" ref="E65">INDEX(Data_DBD!$E:$E,$A65)</f>
        <v>1</v>
      </c>
      <c r="F65" s="30">
        <f ca="1" t="array" ref="F65">INDEX(Data_DBD!$F:$F,$A65)</f>
        <v>3</v>
      </c>
      <c r="H65" s="30">
        <v>82</v>
      </c>
      <c r="I65" s="30">
        <v>28</v>
      </c>
      <c r="J65" s="30">
        <v>3</v>
      </c>
      <c r="K65" s="30">
        <v>13</v>
      </c>
      <c r="L65" s="30">
        <v>1</v>
      </c>
      <c r="M65" s="30">
        <v>2</v>
      </c>
    </row>
    <row r="66" spans="1:13">
      <c r="A66" s="30">
        <f ca="1" t="shared" si="0"/>
        <v>29</v>
      </c>
      <c r="B66" s="30">
        <f ca="1" t="array" ref="B66">INDEX(Data_DBD!$B:$B,$A66)</f>
        <v>19</v>
      </c>
      <c r="C66" s="30">
        <f ca="1" t="array" ref="C66">INDEX(Data_DBD!$C:$C,$A66)</f>
        <v>2</v>
      </c>
      <c r="D66" s="30">
        <f ca="1" t="array" ref="D66">INDEX(Data_DBD!$D:$D,$A66)</f>
        <v>14</v>
      </c>
      <c r="E66" s="30">
        <f ca="1" t="array" ref="E66">INDEX(Data_DBD!$E:$E,$A66)</f>
        <v>1</v>
      </c>
      <c r="F66" s="30">
        <f ca="1" t="array" ref="F66">INDEX(Data_DBD!$F:$F,$A66)</f>
        <v>2</v>
      </c>
      <c r="H66" s="30">
        <v>37</v>
      </c>
      <c r="I66" s="30">
        <v>28</v>
      </c>
      <c r="J66" s="30">
        <v>4</v>
      </c>
      <c r="K66" s="30">
        <v>4</v>
      </c>
      <c r="L66" s="30">
        <v>1</v>
      </c>
      <c r="M66" s="30">
        <v>1</v>
      </c>
    </row>
    <row r="67" spans="1:13">
      <c r="A67" s="30">
        <f ca="1" t="shared" ref="A67:A130" si="1">RANDBETWEEN(2,164)</f>
        <v>53</v>
      </c>
      <c r="B67" s="30">
        <f ca="1" t="array" ref="B67">INDEX(Data_DBD!$B:$B,$A67)</f>
        <v>35</v>
      </c>
      <c r="C67" s="30">
        <f ca="1" t="array" ref="C67">INDEX(Data_DBD!$C:$C,$A67)</f>
        <v>4</v>
      </c>
      <c r="D67" s="30">
        <f ca="1" t="array" ref="D67">INDEX(Data_DBD!$D:$D,$A67)</f>
        <v>15</v>
      </c>
      <c r="E67" s="30">
        <f ca="1" t="array" ref="E67">INDEX(Data_DBD!$E:$E,$A67)</f>
        <v>1</v>
      </c>
      <c r="F67" s="30">
        <f ca="1" t="array" ref="F67">INDEX(Data_DBD!$F:$F,$A67)</f>
        <v>2</v>
      </c>
      <c r="H67" s="30">
        <v>144</v>
      </c>
      <c r="I67" s="30">
        <v>61</v>
      </c>
      <c r="J67" s="30">
        <v>4</v>
      </c>
      <c r="K67" s="30">
        <v>21</v>
      </c>
      <c r="L67" s="30">
        <v>1</v>
      </c>
      <c r="M67" s="30">
        <v>3</v>
      </c>
    </row>
    <row r="68" spans="1:13">
      <c r="A68" s="30">
        <f ca="1" t="shared" si="1"/>
        <v>35</v>
      </c>
      <c r="B68" s="30">
        <f ca="1" t="array" ref="B68">INDEX(Data_DBD!$B:$B,$A68)</f>
        <v>40</v>
      </c>
      <c r="C68" s="30">
        <f ca="1" t="array" ref="C68">INDEX(Data_DBD!$C:$C,$A68)</f>
        <v>3</v>
      </c>
      <c r="D68" s="30">
        <f ca="1" t="array" ref="D68">INDEX(Data_DBD!$D:$D,$A68)</f>
        <v>4</v>
      </c>
      <c r="E68" s="30">
        <f ca="1" t="array" ref="E68">INDEX(Data_DBD!$E:$E,$A68)</f>
        <v>1</v>
      </c>
      <c r="F68" s="30">
        <f ca="1" t="array" ref="F68">INDEX(Data_DBD!$F:$F,$A68)</f>
        <v>1</v>
      </c>
      <c r="H68" s="30">
        <v>27</v>
      </c>
      <c r="I68" s="30">
        <v>37</v>
      </c>
      <c r="J68" s="30">
        <v>4</v>
      </c>
      <c r="K68" s="30">
        <v>14</v>
      </c>
      <c r="L68" s="30">
        <v>1</v>
      </c>
      <c r="M68" s="30">
        <v>2</v>
      </c>
    </row>
    <row r="69" spans="1:13">
      <c r="A69" s="30">
        <f ca="1" t="shared" si="1"/>
        <v>162</v>
      </c>
      <c r="B69" s="30">
        <f ca="1" t="array" ref="B69">INDEX(Data_DBD!$B:$B,$A69)</f>
        <v>22</v>
      </c>
      <c r="C69" s="30">
        <f ca="1" t="array" ref="C69">INDEX(Data_DBD!$C:$C,$A69)</f>
        <v>3</v>
      </c>
      <c r="D69" s="30">
        <f ca="1" t="array" ref="D69">INDEX(Data_DBD!$D:$D,$A69)</f>
        <v>3</v>
      </c>
      <c r="E69" s="30">
        <f ca="1" t="array" ref="E69">INDEX(Data_DBD!$E:$E,$A69)</f>
        <v>1</v>
      </c>
      <c r="F69" s="30">
        <f ca="1" t="array" ref="F69">INDEX(Data_DBD!$F:$F,$A69)</f>
        <v>1</v>
      </c>
      <c r="H69" s="30">
        <v>126</v>
      </c>
      <c r="I69" s="30">
        <v>51</v>
      </c>
      <c r="J69" s="30">
        <v>3</v>
      </c>
      <c r="K69" s="30">
        <v>33</v>
      </c>
      <c r="L69" s="30">
        <v>1</v>
      </c>
      <c r="M69" s="30">
        <v>3</v>
      </c>
    </row>
    <row r="70" spans="1:13">
      <c r="A70" s="30">
        <f ca="1" t="shared" si="1"/>
        <v>104</v>
      </c>
      <c r="B70" s="30">
        <f ca="1" t="array" ref="B70">INDEX(Data_DBD!$B:$B,$A70)</f>
        <v>37</v>
      </c>
      <c r="C70" s="30">
        <f ca="1" t="array" ref="C70">INDEX(Data_DBD!$C:$C,$A70)</f>
        <v>4</v>
      </c>
      <c r="D70" s="30">
        <f ca="1" t="array" ref="D70">INDEX(Data_DBD!$D:$D,$A70)</f>
        <v>18</v>
      </c>
      <c r="E70" s="30">
        <f ca="1" t="array" ref="E70">INDEX(Data_DBD!$E:$E,$A70)</f>
        <v>1</v>
      </c>
      <c r="F70" s="30">
        <f ca="1" t="array" ref="F70">INDEX(Data_DBD!$F:$F,$A70)</f>
        <v>3</v>
      </c>
      <c r="H70" s="30">
        <v>119</v>
      </c>
      <c r="I70" s="30">
        <v>30</v>
      </c>
      <c r="J70" s="30">
        <v>7</v>
      </c>
      <c r="K70" s="30">
        <v>33</v>
      </c>
      <c r="L70" s="30">
        <v>0</v>
      </c>
      <c r="M70" s="30">
        <v>3</v>
      </c>
    </row>
    <row r="71" spans="1:13">
      <c r="A71" s="30">
        <f ca="1" t="shared" si="1"/>
        <v>69</v>
      </c>
      <c r="B71" s="30">
        <f ca="1" t="array" ref="B71">INDEX(Data_DBD!$B:$B,$A71)</f>
        <v>24</v>
      </c>
      <c r="C71" s="30">
        <f ca="1" t="array" ref="C71">INDEX(Data_DBD!$C:$C,$A71)</f>
        <v>4</v>
      </c>
      <c r="D71" s="30">
        <f ca="1" t="array" ref="D71">INDEX(Data_DBD!$D:$D,$A71)</f>
        <v>10</v>
      </c>
      <c r="E71" s="30">
        <f ca="1" t="array" ref="E71">INDEX(Data_DBD!$E:$E,$A71)</f>
        <v>1</v>
      </c>
      <c r="F71" s="30">
        <f ca="1" t="array" ref="F71">INDEX(Data_DBD!$F:$F,$A71)</f>
        <v>2</v>
      </c>
      <c r="H71" s="30">
        <v>11</v>
      </c>
      <c r="I71" s="30">
        <v>24</v>
      </c>
      <c r="J71" s="30">
        <v>5</v>
      </c>
      <c r="K71" s="30">
        <v>12</v>
      </c>
      <c r="L71" s="30">
        <v>1</v>
      </c>
      <c r="M71" s="30">
        <v>2</v>
      </c>
    </row>
    <row r="72" spans="1:13">
      <c r="A72" s="30">
        <f ca="1" t="shared" si="1"/>
        <v>143</v>
      </c>
      <c r="B72" s="30">
        <f ca="1" t="array" ref="B72">INDEX(Data_DBD!$B:$B,$A72)</f>
        <v>20</v>
      </c>
      <c r="C72" s="30">
        <f ca="1" t="array" ref="C72">INDEX(Data_DBD!$C:$C,$A72)</f>
        <v>4</v>
      </c>
      <c r="D72" s="30">
        <f ca="1" t="array" ref="D72">INDEX(Data_DBD!$D:$D,$A72)</f>
        <v>21</v>
      </c>
      <c r="E72" s="30">
        <f ca="1" t="array" ref="E72">INDEX(Data_DBD!$E:$E,$A72)</f>
        <v>1</v>
      </c>
      <c r="F72" s="30">
        <f ca="1" t="array" ref="F72">INDEX(Data_DBD!$F:$F,$A72)</f>
        <v>3</v>
      </c>
      <c r="H72" s="30">
        <v>22</v>
      </c>
      <c r="I72" s="30">
        <v>6</v>
      </c>
      <c r="J72" s="30">
        <v>3</v>
      </c>
      <c r="K72" s="30">
        <v>14</v>
      </c>
      <c r="L72" s="30">
        <v>0</v>
      </c>
      <c r="M72" s="30">
        <v>2</v>
      </c>
    </row>
    <row r="73" spans="1:13">
      <c r="A73" s="30">
        <f ca="1" t="shared" si="1"/>
        <v>127</v>
      </c>
      <c r="B73" s="30">
        <f ca="1" t="array" ref="B73">INDEX(Data_DBD!$B:$B,$A73)</f>
        <v>21</v>
      </c>
      <c r="C73" s="30">
        <f ca="1" t="array" ref="C73">INDEX(Data_DBD!$C:$C,$A73)</f>
        <v>2</v>
      </c>
      <c r="D73" s="30">
        <f ca="1" t="array" ref="D73">INDEX(Data_DBD!$D:$D,$A73)</f>
        <v>33</v>
      </c>
      <c r="E73" s="30">
        <f ca="1" t="array" ref="E73">INDEX(Data_DBD!$E:$E,$A73)</f>
        <v>0</v>
      </c>
      <c r="F73" s="30">
        <f ca="1" t="array" ref="F73">INDEX(Data_DBD!$F:$F,$A73)</f>
        <v>3</v>
      </c>
      <c r="H73" s="30">
        <v>47</v>
      </c>
      <c r="I73" s="30">
        <v>19</v>
      </c>
      <c r="J73" s="30">
        <v>2</v>
      </c>
      <c r="K73" s="30">
        <v>13</v>
      </c>
      <c r="L73" s="30">
        <v>0</v>
      </c>
      <c r="M73" s="30">
        <v>2</v>
      </c>
    </row>
    <row r="74" spans="1:13">
      <c r="A74" s="30">
        <f ca="1" t="shared" si="1"/>
        <v>129</v>
      </c>
      <c r="B74" s="30">
        <f ca="1" t="array" ref="B74">INDEX(Data_DBD!$B:$B,$A74)</f>
        <v>4.5</v>
      </c>
      <c r="C74" s="30">
        <f ca="1" t="array" ref="C74">INDEX(Data_DBD!$C:$C,$A74)</f>
        <v>3</v>
      </c>
      <c r="D74" s="30">
        <f ca="1" t="array" ref="D74">INDEX(Data_DBD!$D:$D,$A74)</f>
        <v>33</v>
      </c>
      <c r="E74" s="30">
        <f ca="1" t="array" ref="E74">INDEX(Data_DBD!$E:$E,$A74)</f>
        <v>0</v>
      </c>
      <c r="F74" s="30">
        <f ca="1" t="array" ref="F74">INDEX(Data_DBD!$F:$F,$A74)</f>
        <v>3</v>
      </c>
      <c r="H74" s="30">
        <v>52</v>
      </c>
      <c r="I74" s="30">
        <v>59</v>
      </c>
      <c r="J74" s="30">
        <v>4</v>
      </c>
      <c r="K74" s="30">
        <v>15</v>
      </c>
      <c r="L74" s="30">
        <v>1</v>
      </c>
      <c r="M74" s="30">
        <v>2</v>
      </c>
    </row>
    <row r="75" spans="1:13">
      <c r="A75" s="30">
        <f ca="1" t="shared" si="1"/>
        <v>133</v>
      </c>
      <c r="B75" s="30">
        <f ca="1" t="array" ref="B75">INDEX(Data_DBD!$B:$B,$A75)</f>
        <v>6</v>
      </c>
      <c r="C75" s="30">
        <f ca="1" t="array" ref="C75">INDEX(Data_DBD!$C:$C,$A75)</f>
        <v>4</v>
      </c>
      <c r="D75" s="30">
        <f ca="1" t="array" ref="D75">INDEX(Data_DBD!$D:$D,$A75)</f>
        <v>33</v>
      </c>
      <c r="E75" s="30">
        <f ca="1" t="array" ref="E75">INDEX(Data_DBD!$E:$E,$A75)</f>
        <v>0</v>
      </c>
      <c r="F75" s="30">
        <f ca="1" t="array" ref="F75">INDEX(Data_DBD!$F:$F,$A75)</f>
        <v>3</v>
      </c>
      <c r="H75" s="30">
        <v>149</v>
      </c>
      <c r="I75" s="30">
        <v>19</v>
      </c>
      <c r="J75" s="30">
        <v>5</v>
      </c>
      <c r="K75" s="30">
        <v>21</v>
      </c>
      <c r="L75" s="30">
        <v>0</v>
      </c>
      <c r="M75" s="30">
        <v>3</v>
      </c>
    </row>
    <row r="76" spans="1:13">
      <c r="A76" s="30">
        <f ca="1" t="shared" si="1"/>
        <v>148</v>
      </c>
      <c r="B76" s="30">
        <f ca="1" t="array" ref="B76">INDEX(Data_DBD!$B:$B,$A76)</f>
        <v>55</v>
      </c>
      <c r="C76" s="30">
        <f ca="1" t="array" ref="C76">INDEX(Data_DBD!$C:$C,$A76)</f>
        <v>3</v>
      </c>
      <c r="D76" s="30">
        <f ca="1" t="array" ref="D76">INDEX(Data_DBD!$D:$D,$A76)</f>
        <v>21</v>
      </c>
      <c r="E76" s="30">
        <f ca="1" t="array" ref="E76">INDEX(Data_DBD!$E:$E,$A76)</f>
        <v>1</v>
      </c>
      <c r="F76" s="30">
        <f ca="1" t="array" ref="F76">INDEX(Data_DBD!$F:$F,$A76)</f>
        <v>3</v>
      </c>
      <c r="H76" s="30">
        <v>162</v>
      </c>
      <c r="I76" s="30">
        <v>22</v>
      </c>
      <c r="J76" s="30">
        <v>3</v>
      </c>
      <c r="K76" s="30">
        <v>3</v>
      </c>
      <c r="L76" s="30">
        <v>1</v>
      </c>
      <c r="M76" s="30">
        <v>1</v>
      </c>
    </row>
    <row r="77" spans="1:13">
      <c r="A77" s="30">
        <f ca="1" t="shared" si="1"/>
        <v>158</v>
      </c>
      <c r="B77" s="30">
        <f ca="1" t="array" ref="B77">INDEX(Data_DBD!$B:$B,$A77)</f>
        <v>5</v>
      </c>
      <c r="C77" s="30">
        <f ca="1" t="array" ref="C77">INDEX(Data_DBD!$C:$C,$A77)</f>
        <v>2</v>
      </c>
      <c r="D77" s="30">
        <f ca="1" t="array" ref="D77">INDEX(Data_DBD!$D:$D,$A77)</f>
        <v>21</v>
      </c>
      <c r="E77" s="30">
        <f ca="1" t="array" ref="E77">INDEX(Data_DBD!$E:$E,$A77)</f>
        <v>0</v>
      </c>
      <c r="F77" s="30">
        <f ca="1" t="array" ref="F77">INDEX(Data_DBD!$F:$F,$A77)</f>
        <v>3</v>
      </c>
      <c r="H77" s="30">
        <v>66</v>
      </c>
      <c r="I77" s="30">
        <v>21</v>
      </c>
      <c r="J77" s="30">
        <v>5</v>
      </c>
      <c r="K77" s="30">
        <v>15</v>
      </c>
      <c r="L77" s="30">
        <v>1</v>
      </c>
      <c r="M77" s="30">
        <v>2</v>
      </c>
    </row>
    <row r="78" spans="1:13">
      <c r="A78" s="30">
        <f ca="1" t="shared" si="1"/>
        <v>95</v>
      </c>
      <c r="B78" s="30">
        <f ca="1" t="array" ref="B78">INDEX(Data_DBD!$B:$B,$A78)</f>
        <v>11</v>
      </c>
      <c r="C78" s="30">
        <f ca="1" t="array" ref="C78">INDEX(Data_DBD!$C:$C,$A78)</f>
        <v>3</v>
      </c>
      <c r="D78" s="30">
        <f ca="1" t="array" ref="D78">INDEX(Data_DBD!$D:$D,$A78)</f>
        <v>18</v>
      </c>
      <c r="E78" s="30">
        <f ca="1" t="array" ref="E78">INDEX(Data_DBD!$E:$E,$A78)</f>
        <v>1</v>
      </c>
      <c r="F78" s="30">
        <f ca="1" t="array" ref="F78">INDEX(Data_DBD!$F:$F,$A78)</f>
        <v>3</v>
      </c>
      <c r="H78" s="30">
        <v>133</v>
      </c>
      <c r="I78" s="30">
        <v>6</v>
      </c>
      <c r="J78" s="30">
        <v>4</v>
      </c>
      <c r="K78" s="30">
        <v>33</v>
      </c>
      <c r="L78" s="30">
        <v>0</v>
      </c>
      <c r="M78" s="30">
        <v>3</v>
      </c>
    </row>
    <row r="79" spans="1:13">
      <c r="A79" s="30">
        <f ca="1" t="shared" si="1"/>
        <v>109</v>
      </c>
      <c r="B79" s="30">
        <f ca="1" t="array" ref="B79">INDEX(Data_DBD!$B:$B,$A79)</f>
        <v>40</v>
      </c>
      <c r="C79" s="30">
        <f ca="1" t="array" ref="C79">INDEX(Data_DBD!$C:$C,$A79)</f>
        <v>3</v>
      </c>
      <c r="D79" s="30">
        <f ca="1" t="array" ref="D79">INDEX(Data_DBD!$D:$D,$A79)</f>
        <v>33</v>
      </c>
      <c r="E79" s="30">
        <f ca="1" t="array" ref="E79">INDEX(Data_DBD!$E:$E,$A79)</f>
        <v>1</v>
      </c>
      <c r="F79" s="30">
        <f ca="1" t="array" ref="F79">INDEX(Data_DBD!$F:$F,$A79)</f>
        <v>3</v>
      </c>
      <c r="H79" s="30">
        <v>104</v>
      </c>
      <c r="I79" s="30">
        <v>37</v>
      </c>
      <c r="J79" s="30">
        <v>4</v>
      </c>
      <c r="K79" s="30">
        <v>18</v>
      </c>
      <c r="L79" s="30">
        <v>1</v>
      </c>
      <c r="M79" s="30">
        <v>3</v>
      </c>
    </row>
    <row r="80" spans="1:13">
      <c r="A80" s="30">
        <f ca="1" t="shared" si="1"/>
        <v>10</v>
      </c>
      <c r="B80" s="30">
        <f ca="1" t="array" ref="B80">INDEX(Data_DBD!$B:$B,$A80)</f>
        <v>18</v>
      </c>
      <c r="C80" s="30">
        <f ca="1" t="array" ref="C80">INDEX(Data_DBD!$C:$C,$A80)</f>
        <v>5</v>
      </c>
      <c r="D80" s="30">
        <f ca="1" t="array" ref="D80">INDEX(Data_DBD!$D:$D,$A80)</f>
        <v>12</v>
      </c>
      <c r="E80" s="30">
        <f ca="1" t="array" ref="E80">INDEX(Data_DBD!$E:$E,$A80)</f>
        <v>0</v>
      </c>
      <c r="F80" s="30">
        <f ca="1" t="array" ref="F80">INDEX(Data_DBD!$F:$F,$A80)</f>
        <v>2</v>
      </c>
      <c r="H80" s="30">
        <v>87</v>
      </c>
      <c r="I80" s="30">
        <v>21</v>
      </c>
      <c r="J80" s="30">
        <v>3</v>
      </c>
      <c r="K80" s="30">
        <v>13</v>
      </c>
      <c r="L80" s="30">
        <v>0</v>
      </c>
      <c r="M80" s="30">
        <v>2</v>
      </c>
    </row>
    <row r="81" spans="1:13">
      <c r="A81" s="30">
        <f ca="1" t="shared" si="1"/>
        <v>83</v>
      </c>
      <c r="B81" s="30">
        <f ca="1" t="array" ref="B81">INDEX(Data_DBD!$B:$B,$A81)</f>
        <v>50</v>
      </c>
      <c r="C81" s="30">
        <f ca="1" t="array" ref="C81">INDEX(Data_DBD!$C:$C,$A81)</f>
        <v>3</v>
      </c>
      <c r="D81" s="30">
        <f ca="1" t="array" ref="D81">INDEX(Data_DBD!$D:$D,$A81)</f>
        <v>13</v>
      </c>
      <c r="E81" s="30">
        <f ca="1" t="array" ref="E81">INDEX(Data_DBD!$E:$E,$A81)</f>
        <v>0</v>
      </c>
      <c r="F81" s="30">
        <f ca="1" t="array" ref="F81">INDEX(Data_DBD!$F:$F,$A81)</f>
        <v>2</v>
      </c>
      <c r="H81" s="30">
        <v>130</v>
      </c>
      <c r="I81" s="30">
        <v>12</v>
      </c>
      <c r="J81" s="30">
        <v>4</v>
      </c>
      <c r="K81" s="30">
        <v>33</v>
      </c>
      <c r="L81" s="30">
        <v>0</v>
      </c>
      <c r="M81" s="30">
        <v>3</v>
      </c>
    </row>
    <row r="82" spans="1:13">
      <c r="A82" s="30">
        <f ca="1" t="shared" si="1"/>
        <v>127</v>
      </c>
      <c r="B82" s="30">
        <f ca="1" t="array" ref="B82">INDEX(Data_DBD!$B:$B,$A82)</f>
        <v>21</v>
      </c>
      <c r="C82" s="30">
        <f ca="1" t="array" ref="C82">INDEX(Data_DBD!$C:$C,$A82)</f>
        <v>2</v>
      </c>
      <c r="D82" s="30">
        <f ca="1" t="array" ref="D82">INDEX(Data_DBD!$D:$D,$A82)</f>
        <v>33</v>
      </c>
      <c r="E82" s="30">
        <f ca="1" t="array" ref="E82">INDEX(Data_DBD!$E:$E,$A82)</f>
        <v>0</v>
      </c>
      <c r="F82" s="30">
        <f ca="1" t="array" ref="F82">INDEX(Data_DBD!$F:$F,$A82)</f>
        <v>3</v>
      </c>
      <c r="H82" s="30">
        <v>93</v>
      </c>
      <c r="I82" s="30">
        <v>65</v>
      </c>
      <c r="J82" s="30">
        <v>4</v>
      </c>
      <c r="K82" s="30">
        <v>18</v>
      </c>
      <c r="L82" s="30">
        <v>0</v>
      </c>
      <c r="M82" s="30">
        <v>3</v>
      </c>
    </row>
    <row r="83" spans="1:13">
      <c r="A83" s="30">
        <f ca="1" t="shared" si="1"/>
        <v>26</v>
      </c>
      <c r="B83" s="30">
        <f ca="1" t="array" ref="B83">INDEX(Data_DBD!$B:$B,$A83)</f>
        <v>75</v>
      </c>
      <c r="C83" s="30">
        <f ca="1" t="array" ref="C83">INDEX(Data_DBD!$C:$C,$A83)</f>
        <v>4</v>
      </c>
      <c r="D83" s="30">
        <f ca="1" t="array" ref="D83">INDEX(Data_DBD!$D:$D,$A83)</f>
        <v>14</v>
      </c>
      <c r="E83" s="30">
        <f ca="1" t="array" ref="E83">INDEX(Data_DBD!$E:$E,$A83)</f>
        <v>1</v>
      </c>
      <c r="F83" s="30">
        <f ca="1" t="array" ref="F83">INDEX(Data_DBD!$F:$F,$A83)</f>
        <v>2</v>
      </c>
      <c r="H83" s="30">
        <v>79</v>
      </c>
      <c r="I83" s="30">
        <v>29</v>
      </c>
      <c r="J83" s="30">
        <v>3</v>
      </c>
      <c r="K83" s="30">
        <v>13</v>
      </c>
      <c r="L83" s="30">
        <v>0</v>
      </c>
      <c r="M83" s="30">
        <v>2</v>
      </c>
    </row>
    <row r="84" spans="1:13">
      <c r="A84" s="30">
        <f ca="1" t="shared" si="1"/>
        <v>111</v>
      </c>
      <c r="B84" s="30">
        <f ca="1" t="array" ref="B84">INDEX(Data_DBD!$B:$B,$A84)</f>
        <v>25</v>
      </c>
      <c r="C84" s="30">
        <f ca="1" t="array" ref="C84">INDEX(Data_DBD!$C:$C,$A84)</f>
        <v>4</v>
      </c>
      <c r="D84" s="30">
        <f ca="1" t="array" ref="D84">INDEX(Data_DBD!$D:$D,$A84)</f>
        <v>33</v>
      </c>
      <c r="E84" s="30">
        <f ca="1" t="array" ref="E84">INDEX(Data_DBD!$E:$E,$A84)</f>
        <v>0</v>
      </c>
      <c r="F84" s="30">
        <f ca="1" t="array" ref="F84">INDEX(Data_DBD!$F:$F,$A84)</f>
        <v>3</v>
      </c>
      <c r="H84" s="30">
        <v>106</v>
      </c>
      <c r="I84" s="30">
        <v>23</v>
      </c>
      <c r="J84" s="30">
        <v>3</v>
      </c>
      <c r="K84" s="30">
        <v>18</v>
      </c>
      <c r="L84" s="30">
        <v>1</v>
      </c>
      <c r="M84" s="30">
        <v>3</v>
      </c>
    </row>
    <row r="85" spans="1:13">
      <c r="A85" s="30">
        <f ca="1" t="shared" si="1"/>
        <v>72</v>
      </c>
      <c r="B85" s="30">
        <f ca="1" t="array" ref="B85">INDEX(Data_DBD!$B:$B,$A85)</f>
        <v>3</v>
      </c>
      <c r="C85" s="30">
        <f ca="1" t="array" ref="C85">INDEX(Data_DBD!$C:$C,$A85)</f>
        <v>5</v>
      </c>
      <c r="D85" s="30">
        <f ca="1" t="array" ref="D85">INDEX(Data_DBD!$D:$D,$A85)</f>
        <v>10</v>
      </c>
      <c r="E85" s="30">
        <f ca="1" t="array" ref="E85">INDEX(Data_DBD!$E:$E,$A85)</f>
        <v>1</v>
      </c>
      <c r="F85" s="30">
        <f ca="1" t="array" ref="F85">INDEX(Data_DBD!$F:$F,$A85)</f>
        <v>2</v>
      </c>
      <c r="H85" s="30">
        <v>54</v>
      </c>
      <c r="I85" s="30">
        <v>7</v>
      </c>
      <c r="J85" s="30">
        <v>3</v>
      </c>
      <c r="K85" s="30">
        <v>15</v>
      </c>
      <c r="L85" s="30">
        <v>0</v>
      </c>
      <c r="M85" s="30">
        <v>2</v>
      </c>
    </row>
    <row r="86" spans="1:13">
      <c r="A86" s="30">
        <f ca="1" t="shared" si="1"/>
        <v>2</v>
      </c>
      <c r="B86" s="30">
        <f ca="1" t="array" ref="B86">INDEX(Data_DBD!$B:$B,$A86)</f>
        <v>34</v>
      </c>
      <c r="C86" s="30">
        <f ca="1" t="array" ref="C86">INDEX(Data_DBD!$C:$C,$A86)</f>
        <v>3</v>
      </c>
      <c r="D86" s="30">
        <f ca="1" t="array" ref="D86">INDEX(Data_DBD!$D:$D,$A86)</f>
        <v>12</v>
      </c>
      <c r="E86" s="30">
        <f ca="1" t="array" ref="E86">INDEX(Data_DBD!$E:$E,$A86)</f>
        <v>0</v>
      </c>
      <c r="F86" s="30">
        <f ca="1" t="array" ref="F86">INDEX(Data_DBD!$F:$F,$A86)</f>
        <v>2</v>
      </c>
      <c r="H86" s="30">
        <v>145</v>
      </c>
      <c r="I86" s="30">
        <v>28</v>
      </c>
      <c r="J86" s="30">
        <v>4</v>
      </c>
      <c r="K86" s="30">
        <v>21</v>
      </c>
      <c r="L86" s="30">
        <v>1</v>
      </c>
      <c r="M86" s="30">
        <v>3</v>
      </c>
    </row>
    <row r="87" spans="1:13">
      <c r="A87" s="30">
        <f ca="1" t="shared" si="1"/>
        <v>141</v>
      </c>
      <c r="B87" s="30">
        <f ca="1" t="array" ref="B87">INDEX(Data_DBD!$B:$B,$A87)</f>
        <v>36</v>
      </c>
      <c r="C87" s="30">
        <f ca="1" t="array" ref="C87">INDEX(Data_DBD!$C:$C,$A87)</f>
        <v>2</v>
      </c>
      <c r="D87" s="30">
        <f ca="1" t="array" ref="D87">INDEX(Data_DBD!$D:$D,$A87)</f>
        <v>21</v>
      </c>
      <c r="E87" s="30">
        <f ca="1" t="array" ref="E87">INDEX(Data_DBD!$E:$E,$A87)</f>
        <v>0</v>
      </c>
      <c r="F87" s="30">
        <f ca="1" t="array" ref="F87">INDEX(Data_DBD!$F:$F,$A87)</f>
        <v>3</v>
      </c>
      <c r="H87" s="30">
        <v>53</v>
      </c>
      <c r="I87" s="30">
        <v>35</v>
      </c>
      <c r="J87" s="30">
        <v>4</v>
      </c>
      <c r="K87" s="30">
        <v>15</v>
      </c>
      <c r="L87" s="30">
        <v>1</v>
      </c>
      <c r="M87" s="30">
        <v>2</v>
      </c>
    </row>
    <row r="88" spans="1:13">
      <c r="A88" s="30">
        <f ca="1" t="shared" si="1"/>
        <v>36</v>
      </c>
      <c r="B88" s="30">
        <f ca="1" t="array" ref="B88">INDEX(Data_DBD!$B:$B,$A88)</f>
        <v>27</v>
      </c>
      <c r="C88" s="30">
        <f ca="1" t="array" ref="C88">INDEX(Data_DBD!$C:$C,$A88)</f>
        <v>1</v>
      </c>
      <c r="D88" s="30">
        <f ca="1" t="array" ref="D88">INDEX(Data_DBD!$D:$D,$A88)</f>
        <v>4</v>
      </c>
      <c r="E88" s="30">
        <f ca="1" t="array" ref="E88">INDEX(Data_DBD!$E:$E,$A88)</f>
        <v>1</v>
      </c>
      <c r="F88" s="30">
        <f ca="1" t="array" ref="F88">INDEX(Data_DBD!$F:$F,$A88)</f>
        <v>1</v>
      </c>
      <c r="H88" s="30">
        <v>154</v>
      </c>
      <c r="I88" s="30">
        <v>18</v>
      </c>
      <c r="J88" s="30">
        <v>5</v>
      </c>
      <c r="K88" s="30">
        <v>21</v>
      </c>
      <c r="L88" s="30">
        <v>1</v>
      </c>
      <c r="M88" s="30">
        <v>3</v>
      </c>
    </row>
    <row r="89" spans="1:13">
      <c r="A89" s="30">
        <f ca="1" t="shared" si="1"/>
        <v>44</v>
      </c>
      <c r="B89" s="30">
        <f ca="1" t="array" ref="B89">INDEX(Data_DBD!$B:$B,$A89)</f>
        <v>28</v>
      </c>
      <c r="C89" s="30">
        <f ca="1" t="array" ref="C89">INDEX(Data_DBD!$C:$C,$A89)</f>
        <v>5</v>
      </c>
      <c r="D89" s="30">
        <f ca="1" t="array" ref="D89">INDEX(Data_DBD!$D:$D,$A89)</f>
        <v>13</v>
      </c>
      <c r="E89" s="30">
        <f ca="1" t="array" ref="E89">INDEX(Data_DBD!$E:$E,$A89)</f>
        <v>1</v>
      </c>
      <c r="F89" s="30">
        <f ca="1" t="array" ref="F89">INDEX(Data_DBD!$F:$F,$A89)</f>
        <v>2</v>
      </c>
      <c r="H89" s="30">
        <v>138</v>
      </c>
      <c r="I89" s="30">
        <v>13</v>
      </c>
      <c r="J89" s="30">
        <v>3</v>
      </c>
      <c r="K89" s="30">
        <v>33</v>
      </c>
      <c r="L89" s="30">
        <v>1</v>
      </c>
      <c r="M89" s="30">
        <v>3</v>
      </c>
    </row>
    <row r="90" spans="1:13">
      <c r="A90" s="30">
        <f ca="1" t="shared" si="1"/>
        <v>130</v>
      </c>
      <c r="B90" s="30">
        <f ca="1" t="array" ref="B90">INDEX(Data_DBD!$B:$B,$A90)</f>
        <v>12</v>
      </c>
      <c r="C90" s="30">
        <f ca="1" t="array" ref="C90">INDEX(Data_DBD!$C:$C,$A90)</f>
        <v>4</v>
      </c>
      <c r="D90" s="30">
        <f ca="1" t="array" ref="D90">INDEX(Data_DBD!$D:$D,$A90)</f>
        <v>33</v>
      </c>
      <c r="E90" s="30">
        <f ca="1" t="array" ref="E90">INDEX(Data_DBD!$E:$E,$A90)</f>
        <v>0</v>
      </c>
      <c r="F90" s="30">
        <f ca="1" t="array" ref="F90">INDEX(Data_DBD!$F:$F,$A90)</f>
        <v>3</v>
      </c>
      <c r="H90" s="30">
        <v>39</v>
      </c>
      <c r="I90" s="30">
        <v>12</v>
      </c>
      <c r="J90" s="30">
        <v>5</v>
      </c>
      <c r="K90" s="30">
        <v>13</v>
      </c>
      <c r="L90" s="30">
        <v>1</v>
      </c>
      <c r="M90" s="30">
        <v>2</v>
      </c>
    </row>
    <row r="91" spans="1:13">
      <c r="A91" s="30">
        <f ca="1" t="shared" si="1"/>
        <v>30</v>
      </c>
      <c r="B91" s="30" t="str">
        <f ca="1" t="array" ref="B91">INDEX(Data_DBD!$B:$B,$A91)</f>
        <v>2,8</v>
      </c>
      <c r="C91" s="30">
        <f ca="1" t="array" ref="C91">INDEX(Data_DBD!$C:$C,$A91)</f>
        <v>2</v>
      </c>
      <c r="D91" s="30">
        <f ca="1" t="array" ref="D91">INDEX(Data_DBD!$D:$D,$A91)</f>
        <v>14</v>
      </c>
      <c r="E91" s="30">
        <f ca="1" t="array" ref="E91">INDEX(Data_DBD!$E:$E,$A91)</f>
        <v>1</v>
      </c>
      <c r="F91" s="30">
        <f ca="1" t="array" ref="F91">INDEX(Data_DBD!$F:$F,$A91)</f>
        <v>2</v>
      </c>
      <c r="H91" s="30">
        <v>33</v>
      </c>
      <c r="I91" s="30">
        <v>19</v>
      </c>
      <c r="J91" s="30">
        <v>4</v>
      </c>
      <c r="K91" s="30">
        <v>14</v>
      </c>
      <c r="L91" s="30">
        <v>1</v>
      </c>
      <c r="M91" s="30">
        <v>2</v>
      </c>
    </row>
    <row r="92" spans="1:13">
      <c r="A92" s="30">
        <f ca="1" t="shared" si="1"/>
        <v>14</v>
      </c>
      <c r="B92" s="30">
        <f ca="1" t="array" ref="B92">INDEX(Data_DBD!$B:$B,$A92)</f>
        <v>49</v>
      </c>
      <c r="C92" s="30">
        <f ca="1" t="array" ref="C92">INDEX(Data_DBD!$C:$C,$A92)</f>
        <v>4</v>
      </c>
      <c r="D92" s="30">
        <f ca="1" t="array" ref="D92">INDEX(Data_DBD!$D:$D,$A92)</f>
        <v>7</v>
      </c>
      <c r="E92" s="30">
        <f ca="1" t="array" ref="E92">INDEX(Data_DBD!$E:$E,$A92)</f>
        <v>1</v>
      </c>
      <c r="F92" s="30">
        <f ca="1" t="array" ref="F92">INDEX(Data_DBD!$F:$F,$A92)</f>
        <v>1</v>
      </c>
      <c r="H92" s="30">
        <v>47</v>
      </c>
      <c r="I92" s="30">
        <v>19</v>
      </c>
      <c r="J92" s="30">
        <v>2</v>
      </c>
      <c r="K92" s="30">
        <v>13</v>
      </c>
      <c r="L92" s="30">
        <v>0</v>
      </c>
      <c r="M92" s="30">
        <v>2</v>
      </c>
    </row>
    <row r="93" spans="1:13">
      <c r="A93" s="30">
        <f ca="1" t="shared" si="1"/>
        <v>4</v>
      </c>
      <c r="B93" s="30">
        <f ca="1" t="array" ref="B93">INDEX(Data_DBD!$B:$B,$A93)</f>
        <v>23</v>
      </c>
      <c r="C93" s="30">
        <f ca="1" t="array" ref="C93">INDEX(Data_DBD!$C:$C,$A93)</f>
        <v>5</v>
      </c>
      <c r="D93" s="30">
        <f ca="1" t="array" ref="D93">INDEX(Data_DBD!$D:$D,$A93)</f>
        <v>12</v>
      </c>
      <c r="E93" s="30">
        <f ca="1" t="array" ref="E93">INDEX(Data_DBD!$E:$E,$A93)</f>
        <v>0</v>
      </c>
      <c r="F93" s="30">
        <f ca="1" t="array" ref="F93">INDEX(Data_DBD!$F:$F,$A93)</f>
        <v>2</v>
      </c>
      <c r="H93" s="30">
        <v>137</v>
      </c>
      <c r="I93" s="30">
        <v>3.5</v>
      </c>
      <c r="J93" s="30">
        <v>1</v>
      </c>
      <c r="K93" s="30">
        <v>33</v>
      </c>
      <c r="L93" s="30">
        <v>1</v>
      </c>
      <c r="M93" s="30">
        <v>3</v>
      </c>
    </row>
    <row r="94" spans="1:13">
      <c r="A94" s="30">
        <f ca="1" t="shared" si="1"/>
        <v>54</v>
      </c>
      <c r="B94" s="30">
        <f ca="1" t="array" ref="B94">INDEX(Data_DBD!$B:$B,$A94)</f>
        <v>7</v>
      </c>
      <c r="C94" s="30">
        <f ca="1" t="array" ref="C94">INDEX(Data_DBD!$C:$C,$A94)</f>
        <v>3</v>
      </c>
      <c r="D94" s="30">
        <f ca="1" t="array" ref="D94">INDEX(Data_DBD!$D:$D,$A94)</f>
        <v>15</v>
      </c>
      <c r="E94" s="30">
        <f ca="1" t="array" ref="E94">INDEX(Data_DBD!$E:$E,$A94)</f>
        <v>0</v>
      </c>
      <c r="F94" s="30">
        <f ca="1" t="array" ref="F94">INDEX(Data_DBD!$F:$F,$A94)</f>
        <v>2</v>
      </c>
      <c r="H94" s="30">
        <v>146</v>
      </c>
      <c r="I94" s="30">
        <v>34</v>
      </c>
      <c r="J94" s="30">
        <v>2</v>
      </c>
      <c r="K94" s="30">
        <v>21</v>
      </c>
      <c r="L94" s="30">
        <v>1</v>
      </c>
      <c r="M94" s="30">
        <v>3</v>
      </c>
    </row>
    <row r="95" spans="1:13">
      <c r="A95" s="30">
        <f ca="1" t="shared" si="1"/>
        <v>149</v>
      </c>
      <c r="B95" s="30">
        <f ca="1" t="array" ref="B95">INDEX(Data_DBD!$B:$B,$A95)</f>
        <v>19</v>
      </c>
      <c r="C95" s="30">
        <f ca="1" t="array" ref="C95">INDEX(Data_DBD!$C:$C,$A95)</f>
        <v>5</v>
      </c>
      <c r="D95" s="30">
        <f ca="1" t="array" ref="D95">INDEX(Data_DBD!$D:$D,$A95)</f>
        <v>21</v>
      </c>
      <c r="E95" s="30">
        <f ca="1" t="array" ref="E95">INDEX(Data_DBD!$E:$E,$A95)</f>
        <v>0</v>
      </c>
      <c r="F95" s="30">
        <f ca="1" t="array" ref="F95">INDEX(Data_DBD!$F:$F,$A95)</f>
        <v>3</v>
      </c>
      <c r="H95" s="30">
        <v>58</v>
      </c>
      <c r="I95" s="30">
        <v>17</v>
      </c>
      <c r="J95" s="30">
        <v>3</v>
      </c>
      <c r="K95" s="30">
        <v>15</v>
      </c>
      <c r="L95" s="30">
        <v>0</v>
      </c>
      <c r="M95" s="30">
        <v>2</v>
      </c>
    </row>
    <row r="96" spans="1:13">
      <c r="A96" s="30">
        <f ca="1" t="shared" si="1"/>
        <v>129</v>
      </c>
      <c r="B96" s="30">
        <f ca="1" t="array" ref="B96">INDEX(Data_DBD!$B:$B,$A96)</f>
        <v>4.5</v>
      </c>
      <c r="C96" s="30">
        <f ca="1" t="array" ref="C96">INDEX(Data_DBD!$C:$C,$A96)</f>
        <v>3</v>
      </c>
      <c r="D96" s="30">
        <f ca="1" t="array" ref="D96">INDEX(Data_DBD!$D:$D,$A96)</f>
        <v>33</v>
      </c>
      <c r="E96" s="30">
        <f ca="1" t="array" ref="E96">INDEX(Data_DBD!$E:$E,$A96)</f>
        <v>0</v>
      </c>
      <c r="F96" s="30">
        <f ca="1" t="array" ref="F96">INDEX(Data_DBD!$F:$F,$A96)</f>
        <v>3</v>
      </c>
      <c r="H96" s="30">
        <v>31</v>
      </c>
      <c r="I96" s="30">
        <v>64</v>
      </c>
      <c r="J96" s="30">
        <v>4</v>
      </c>
      <c r="K96" s="30">
        <v>14</v>
      </c>
      <c r="L96" s="30">
        <v>1</v>
      </c>
      <c r="M96" s="30">
        <v>2</v>
      </c>
    </row>
    <row r="97" spans="1:13">
      <c r="A97" s="30">
        <f ca="1" t="shared" si="1"/>
        <v>141</v>
      </c>
      <c r="B97" s="30">
        <f ca="1" t="array" ref="B97">INDEX(Data_DBD!$B:$B,$A97)</f>
        <v>36</v>
      </c>
      <c r="C97" s="30">
        <f ca="1" t="array" ref="C97">INDEX(Data_DBD!$C:$C,$A97)</f>
        <v>2</v>
      </c>
      <c r="D97" s="30">
        <f ca="1" t="array" ref="D97">INDEX(Data_DBD!$D:$D,$A97)</f>
        <v>21</v>
      </c>
      <c r="E97" s="30">
        <f ca="1" t="array" ref="E97">INDEX(Data_DBD!$E:$E,$A97)</f>
        <v>0</v>
      </c>
      <c r="F97" s="30">
        <f ca="1" t="array" ref="F97">INDEX(Data_DBD!$F:$F,$A97)</f>
        <v>3</v>
      </c>
      <c r="H97" s="30">
        <v>73</v>
      </c>
      <c r="I97" s="30">
        <v>15</v>
      </c>
      <c r="J97" s="30">
        <v>3</v>
      </c>
      <c r="K97" s="30">
        <v>10</v>
      </c>
      <c r="L97" s="30">
        <v>1</v>
      </c>
      <c r="M97" s="30">
        <v>2</v>
      </c>
    </row>
    <row r="98" spans="1:13">
      <c r="A98" s="30">
        <f ca="1" t="shared" si="1"/>
        <v>14</v>
      </c>
      <c r="B98" s="30">
        <f ca="1" t="array" ref="B98">INDEX(Data_DBD!$B:$B,$A98)</f>
        <v>49</v>
      </c>
      <c r="C98" s="30">
        <f ca="1" t="array" ref="C98">INDEX(Data_DBD!$C:$C,$A98)</f>
        <v>4</v>
      </c>
      <c r="D98" s="30">
        <f ca="1" t="array" ref="D98">INDEX(Data_DBD!$D:$D,$A98)</f>
        <v>7</v>
      </c>
      <c r="E98" s="30">
        <f ca="1" t="array" ref="E98">INDEX(Data_DBD!$E:$E,$A98)</f>
        <v>1</v>
      </c>
      <c r="F98" s="30">
        <f ca="1" t="array" ref="F98">INDEX(Data_DBD!$F:$F,$A98)</f>
        <v>1</v>
      </c>
      <c r="H98" s="30">
        <v>22</v>
      </c>
      <c r="I98" s="30">
        <v>6</v>
      </c>
      <c r="J98" s="30">
        <v>3</v>
      </c>
      <c r="K98" s="30">
        <v>14</v>
      </c>
      <c r="L98" s="30">
        <v>0</v>
      </c>
      <c r="M98" s="30">
        <v>2</v>
      </c>
    </row>
    <row r="99" spans="1:13">
      <c r="A99" s="30">
        <f ca="1" t="shared" si="1"/>
        <v>42</v>
      </c>
      <c r="B99" s="30">
        <f ca="1" t="array" ref="B99">INDEX(Data_DBD!$B:$B,$A99)</f>
        <v>21</v>
      </c>
      <c r="C99" s="30">
        <f ca="1" t="array" ref="C99">INDEX(Data_DBD!$C:$C,$A99)</f>
        <v>5</v>
      </c>
      <c r="D99" s="30">
        <f ca="1" t="array" ref="D99">INDEX(Data_DBD!$D:$D,$A99)</f>
        <v>13</v>
      </c>
      <c r="E99" s="30">
        <f ca="1" t="array" ref="E99">INDEX(Data_DBD!$E:$E,$A99)</f>
        <v>1</v>
      </c>
      <c r="F99" s="30">
        <f ca="1" t="array" ref="F99">INDEX(Data_DBD!$F:$F,$A99)</f>
        <v>2</v>
      </c>
      <c r="H99" s="30">
        <v>19</v>
      </c>
      <c r="I99" s="30">
        <v>8</v>
      </c>
      <c r="J99" s="30">
        <v>4</v>
      </c>
      <c r="K99" s="30">
        <v>7</v>
      </c>
      <c r="L99" s="30">
        <v>0</v>
      </c>
      <c r="M99" s="30">
        <v>1</v>
      </c>
    </row>
    <row r="100" spans="1:13">
      <c r="A100" s="30">
        <f ca="1" t="shared" si="1"/>
        <v>72</v>
      </c>
      <c r="B100" s="30">
        <f ca="1" t="array" ref="B100">INDEX(Data_DBD!$B:$B,$A100)</f>
        <v>3</v>
      </c>
      <c r="C100" s="30">
        <f ca="1" t="array" ref="C100">INDEX(Data_DBD!$C:$C,$A100)</f>
        <v>5</v>
      </c>
      <c r="D100" s="30">
        <f ca="1" t="array" ref="D100">INDEX(Data_DBD!$D:$D,$A100)</f>
        <v>10</v>
      </c>
      <c r="E100" s="30">
        <f ca="1" t="array" ref="E100">INDEX(Data_DBD!$E:$E,$A100)</f>
        <v>1</v>
      </c>
      <c r="F100" s="30">
        <f ca="1" t="array" ref="F100">INDEX(Data_DBD!$F:$F,$A100)</f>
        <v>2</v>
      </c>
      <c r="H100" s="30">
        <v>96</v>
      </c>
      <c r="I100" s="30">
        <v>56</v>
      </c>
      <c r="J100" s="30">
        <v>4</v>
      </c>
      <c r="K100" s="30">
        <v>18</v>
      </c>
      <c r="L100" s="30">
        <v>0</v>
      </c>
      <c r="M100" s="30">
        <v>3</v>
      </c>
    </row>
    <row r="101" spans="1:13">
      <c r="A101" s="30">
        <f ca="1" t="shared" si="1"/>
        <v>147</v>
      </c>
      <c r="B101" s="30">
        <f ca="1" t="array" ref="B101">INDEX(Data_DBD!$B:$B,$A101)</f>
        <v>66</v>
      </c>
      <c r="C101" s="30">
        <f ca="1" t="array" ref="C101">INDEX(Data_DBD!$C:$C,$A101)</f>
        <v>10</v>
      </c>
      <c r="D101" s="30">
        <f ca="1" t="array" ref="D101">INDEX(Data_DBD!$D:$D,$A101)</f>
        <v>21</v>
      </c>
      <c r="E101" s="30">
        <f ca="1" t="array" ref="E101">INDEX(Data_DBD!$E:$E,$A101)</f>
        <v>1</v>
      </c>
      <c r="F101" s="30">
        <f ca="1" t="array" ref="F101">INDEX(Data_DBD!$F:$F,$A101)</f>
        <v>3</v>
      </c>
      <c r="H101" s="30">
        <v>127</v>
      </c>
      <c r="I101" s="30">
        <v>21</v>
      </c>
      <c r="J101" s="30">
        <v>2</v>
      </c>
      <c r="K101" s="30">
        <v>33</v>
      </c>
      <c r="L101" s="30">
        <v>0</v>
      </c>
      <c r="M101" s="30">
        <v>3</v>
      </c>
    </row>
    <row r="102" spans="1:13">
      <c r="A102" s="30">
        <f ca="1" t="shared" si="1"/>
        <v>40</v>
      </c>
      <c r="B102" s="30">
        <f ca="1" t="array" ref="B102">INDEX(Data_DBD!$B:$B,$A102)</f>
        <v>65</v>
      </c>
      <c r="C102" s="30">
        <f ca="1" t="array" ref="C102">INDEX(Data_DBD!$C:$C,$A102)</f>
        <v>3</v>
      </c>
      <c r="D102" s="30">
        <f ca="1" t="array" ref="D102">INDEX(Data_DBD!$D:$D,$A102)</f>
        <v>13</v>
      </c>
      <c r="E102" s="30">
        <f ca="1" t="array" ref="E102">INDEX(Data_DBD!$E:$E,$A102)</f>
        <v>1</v>
      </c>
      <c r="F102" s="30">
        <f ca="1" t="array" ref="F102">INDEX(Data_DBD!$F:$F,$A102)</f>
        <v>2</v>
      </c>
      <c r="H102" s="30">
        <v>84</v>
      </c>
      <c r="I102" s="30">
        <v>42</v>
      </c>
      <c r="J102" s="30">
        <v>4</v>
      </c>
      <c r="K102" s="30">
        <v>13</v>
      </c>
      <c r="L102" s="30">
        <v>1</v>
      </c>
      <c r="M102" s="30">
        <v>2</v>
      </c>
    </row>
    <row r="103" spans="1:13">
      <c r="A103" s="30">
        <f ca="1" t="shared" si="1"/>
        <v>58</v>
      </c>
      <c r="B103" s="30">
        <f ca="1" t="array" ref="B103">INDEX(Data_DBD!$B:$B,$A103)</f>
        <v>17</v>
      </c>
      <c r="C103" s="30">
        <f ca="1" t="array" ref="C103">INDEX(Data_DBD!$C:$C,$A103)</f>
        <v>3</v>
      </c>
      <c r="D103" s="30">
        <f ca="1" t="array" ref="D103">INDEX(Data_DBD!$D:$D,$A103)</f>
        <v>15</v>
      </c>
      <c r="E103" s="30">
        <f ca="1" t="array" ref="E103">INDEX(Data_DBD!$E:$E,$A103)</f>
        <v>0</v>
      </c>
      <c r="F103" s="30">
        <f ca="1" t="array" ref="F103">INDEX(Data_DBD!$F:$F,$A103)</f>
        <v>2</v>
      </c>
      <c r="H103" s="30">
        <v>80</v>
      </c>
      <c r="I103" s="30">
        <v>27</v>
      </c>
      <c r="J103" s="30">
        <v>3</v>
      </c>
      <c r="K103" s="30">
        <v>13</v>
      </c>
      <c r="L103" s="30">
        <v>1</v>
      </c>
      <c r="M103" s="30">
        <v>2</v>
      </c>
    </row>
    <row r="104" spans="1:13">
      <c r="A104" s="30">
        <f ca="1" t="shared" si="1"/>
        <v>53</v>
      </c>
      <c r="B104" s="30">
        <f ca="1" t="array" ref="B104">INDEX(Data_DBD!$B:$B,$A104)</f>
        <v>35</v>
      </c>
      <c r="C104" s="30">
        <f ca="1" t="array" ref="C104">INDEX(Data_DBD!$C:$C,$A104)</f>
        <v>4</v>
      </c>
      <c r="D104" s="30">
        <f ca="1" t="array" ref="D104">INDEX(Data_DBD!$D:$D,$A104)</f>
        <v>15</v>
      </c>
      <c r="E104" s="30">
        <f ca="1" t="array" ref="E104">INDEX(Data_DBD!$E:$E,$A104)</f>
        <v>1</v>
      </c>
      <c r="F104" s="30">
        <f ca="1" t="array" ref="F104">INDEX(Data_DBD!$F:$F,$A104)</f>
        <v>2</v>
      </c>
      <c r="H104" s="30">
        <v>115</v>
      </c>
      <c r="I104" s="30">
        <v>52</v>
      </c>
      <c r="J104" s="30">
        <v>3</v>
      </c>
      <c r="K104" s="30">
        <v>33</v>
      </c>
      <c r="L104" s="30">
        <v>1</v>
      </c>
      <c r="M104" s="30">
        <v>3</v>
      </c>
    </row>
    <row r="105" spans="1:13">
      <c r="A105" s="30">
        <f ca="1" t="shared" si="1"/>
        <v>54</v>
      </c>
      <c r="B105" s="30">
        <f ca="1" t="array" ref="B105">INDEX(Data_DBD!$B:$B,$A105)</f>
        <v>7</v>
      </c>
      <c r="C105" s="30">
        <f ca="1" t="array" ref="C105">INDEX(Data_DBD!$C:$C,$A105)</f>
        <v>3</v>
      </c>
      <c r="D105" s="30">
        <f ca="1" t="array" ref="D105">INDEX(Data_DBD!$D:$D,$A105)</f>
        <v>15</v>
      </c>
      <c r="E105" s="30">
        <f ca="1" t="array" ref="E105">INDEX(Data_DBD!$E:$E,$A105)</f>
        <v>0</v>
      </c>
      <c r="F105" s="30">
        <f ca="1" t="array" ref="F105">INDEX(Data_DBD!$F:$F,$A105)</f>
        <v>2</v>
      </c>
      <c r="H105" s="30">
        <v>104</v>
      </c>
      <c r="I105" s="30">
        <v>37</v>
      </c>
      <c r="J105" s="30">
        <v>4</v>
      </c>
      <c r="K105" s="30">
        <v>18</v>
      </c>
      <c r="L105" s="30">
        <v>1</v>
      </c>
      <c r="M105" s="30">
        <v>3</v>
      </c>
    </row>
    <row r="106" spans="1:13">
      <c r="A106" s="30">
        <f ca="1" t="shared" si="1"/>
        <v>106</v>
      </c>
      <c r="B106" s="30">
        <f ca="1" t="array" ref="B106">INDEX(Data_DBD!$B:$B,$A106)</f>
        <v>23</v>
      </c>
      <c r="C106" s="30">
        <f ca="1" t="array" ref="C106">INDEX(Data_DBD!$C:$C,$A106)</f>
        <v>3</v>
      </c>
      <c r="D106" s="30">
        <f ca="1" t="array" ref="D106">INDEX(Data_DBD!$D:$D,$A106)</f>
        <v>18</v>
      </c>
      <c r="E106" s="30">
        <f ca="1" t="array" ref="E106">INDEX(Data_DBD!$E:$E,$A106)</f>
        <v>1</v>
      </c>
      <c r="F106" s="30">
        <f ca="1" t="array" ref="F106">INDEX(Data_DBD!$F:$F,$A106)</f>
        <v>3</v>
      </c>
      <c r="H106" s="30">
        <v>90</v>
      </c>
      <c r="I106" s="30">
        <v>47</v>
      </c>
      <c r="J106" s="30">
        <v>3</v>
      </c>
      <c r="K106" s="30">
        <v>18</v>
      </c>
      <c r="L106" s="30">
        <v>0</v>
      </c>
      <c r="M106" s="30">
        <v>3</v>
      </c>
    </row>
    <row r="107" spans="1:13">
      <c r="A107" s="30">
        <f ca="1" t="shared" si="1"/>
        <v>162</v>
      </c>
      <c r="B107" s="30">
        <f ca="1" t="array" ref="B107">INDEX(Data_DBD!$B:$B,$A107)</f>
        <v>22</v>
      </c>
      <c r="C107" s="30">
        <f ca="1" t="array" ref="C107">INDEX(Data_DBD!$C:$C,$A107)</f>
        <v>3</v>
      </c>
      <c r="D107" s="30">
        <f ca="1" t="array" ref="D107">INDEX(Data_DBD!$D:$D,$A107)</f>
        <v>3</v>
      </c>
      <c r="E107" s="30">
        <f ca="1" t="array" ref="E107">INDEX(Data_DBD!$E:$E,$A107)</f>
        <v>1</v>
      </c>
      <c r="F107" s="30">
        <f ca="1" t="array" ref="F107">INDEX(Data_DBD!$F:$F,$A107)</f>
        <v>1</v>
      </c>
      <c r="H107" s="30">
        <v>42</v>
      </c>
      <c r="I107" s="30">
        <v>21</v>
      </c>
      <c r="J107" s="30">
        <v>5</v>
      </c>
      <c r="K107" s="30">
        <v>13</v>
      </c>
      <c r="L107" s="30">
        <v>1</v>
      </c>
      <c r="M107" s="30">
        <v>2</v>
      </c>
    </row>
    <row r="108" spans="1:13">
      <c r="A108" s="30">
        <f ca="1" t="shared" si="1"/>
        <v>69</v>
      </c>
      <c r="B108" s="30">
        <f ca="1" t="array" ref="B108">INDEX(Data_DBD!$B:$B,$A108)</f>
        <v>24</v>
      </c>
      <c r="C108" s="30">
        <f ca="1" t="array" ref="C108">INDEX(Data_DBD!$C:$C,$A108)</f>
        <v>4</v>
      </c>
      <c r="D108" s="30">
        <f ca="1" t="array" ref="D108">INDEX(Data_DBD!$D:$D,$A108)</f>
        <v>10</v>
      </c>
      <c r="E108" s="30">
        <f ca="1" t="array" ref="E108">INDEX(Data_DBD!$E:$E,$A108)</f>
        <v>1</v>
      </c>
      <c r="F108" s="30">
        <f ca="1" t="array" ref="F108">INDEX(Data_DBD!$F:$F,$A108)</f>
        <v>2</v>
      </c>
      <c r="H108" s="30">
        <v>97</v>
      </c>
      <c r="I108" s="30">
        <v>16</v>
      </c>
      <c r="J108" s="30">
        <v>2</v>
      </c>
      <c r="K108" s="30">
        <v>18</v>
      </c>
      <c r="L108" s="30">
        <v>1</v>
      </c>
      <c r="M108" s="30">
        <v>3</v>
      </c>
    </row>
    <row r="109" spans="1:13">
      <c r="A109" s="30">
        <f ca="1" t="shared" si="1"/>
        <v>36</v>
      </c>
      <c r="B109" s="30">
        <f ca="1" t="array" ref="B109">INDEX(Data_DBD!$B:$B,$A109)</f>
        <v>27</v>
      </c>
      <c r="C109" s="30">
        <f ca="1" t="array" ref="C109">INDEX(Data_DBD!$C:$C,$A109)</f>
        <v>1</v>
      </c>
      <c r="D109" s="30">
        <f ca="1" t="array" ref="D109">INDEX(Data_DBD!$D:$D,$A109)</f>
        <v>4</v>
      </c>
      <c r="E109" s="30">
        <f ca="1" t="array" ref="E109">INDEX(Data_DBD!$E:$E,$A109)</f>
        <v>1</v>
      </c>
      <c r="F109" s="30">
        <f ca="1" t="array" ref="F109">INDEX(Data_DBD!$F:$F,$A109)</f>
        <v>1</v>
      </c>
      <c r="H109" s="30">
        <v>10</v>
      </c>
      <c r="I109" s="30">
        <v>18</v>
      </c>
      <c r="J109" s="30">
        <v>5</v>
      </c>
      <c r="K109" s="30">
        <v>12</v>
      </c>
      <c r="L109" s="30">
        <v>0</v>
      </c>
      <c r="M109" s="30">
        <v>2</v>
      </c>
    </row>
    <row r="110" spans="1:13">
      <c r="A110" s="30">
        <f ca="1" t="shared" si="1"/>
        <v>116</v>
      </c>
      <c r="B110" s="30">
        <f ca="1" t="array" ref="B110">INDEX(Data_DBD!$B:$B,$A110)</f>
        <v>32</v>
      </c>
      <c r="C110" s="30">
        <f ca="1" t="array" ref="C110">INDEX(Data_DBD!$C:$C,$A110)</f>
        <v>4</v>
      </c>
      <c r="D110" s="30">
        <f ca="1" t="array" ref="D110">INDEX(Data_DBD!$D:$D,$A110)</f>
        <v>33</v>
      </c>
      <c r="E110" s="30">
        <f ca="1" t="array" ref="E110">INDEX(Data_DBD!$E:$E,$A110)</f>
        <v>1</v>
      </c>
      <c r="F110" s="30">
        <f ca="1" t="array" ref="F110">INDEX(Data_DBD!$F:$F,$A110)</f>
        <v>3</v>
      </c>
      <c r="H110" s="30">
        <v>39</v>
      </c>
      <c r="I110" s="30">
        <v>12</v>
      </c>
      <c r="J110" s="30">
        <v>5</v>
      </c>
      <c r="K110" s="30">
        <v>13</v>
      </c>
      <c r="L110" s="30">
        <v>1</v>
      </c>
      <c r="M110" s="30">
        <v>2</v>
      </c>
    </row>
    <row r="111" spans="1:13">
      <c r="A111" s="30">
        <f ca="1" t="shared" si="1"/>
        <v>36</v>
      </c>
      <c r="B111" s="30">
        <f ca="1" t="array" ref="B111">INDEX(Data_DBD!$B:$B,$A111)</f>
        <v>27</v>
      </c>
      <c r="C111" s="30">
        <f ca="1" t="array" ref="C111">INDEX(Data_DBD!$C:$C,$A111)</f>
        <v>1</v>
      </c>
      <c r="D111" s="30">
        <f ca="1" t="array" ref="D111">INDEX(Data_DBD!$D:$D,$A111)</f>
        <v>4</v>
      </c>
      <c r="E111" s="30">
        <f ca="1" t="array" ref="E111">INDEX(Data_DBD!$E:$E,$A111)</f>
        <v>1</v>
      </c>
      <c r="F111" s="30">
        <f ca="1" t="array" ref="F111">INDEX(Data_DBD!$F:$F,$A111)</f>
        <v>1</v>
      </c>
      <c r="H111" s="30">
        <v>61</v>
      </c>
      <c r="I111" s="30">
        <v>29</v>
      </c>
      <c r="J111" s="30">
        <v>3</v>
      </c>
      <c r="K111" s="30">
        <v>15</v>
      </c>
      <c r="L111" s="30">
        <v>1</v>
      </c>
      <c r="M111" s="30">
        <v>2</v>
      </c>
    </row>
    <row r="112" spans="1:13">
      <c r="A112" s="30">
        <f ca="1" t="shared" si="1"/>
        <v>111</v>
      </c>
      <c r="B112" s="30">
        <f ca="1" t="array" ref="B112">INDEX(Data_DBD!$B:$B,$A112)</f>
        <v>25</v>
      </c>
      <c r="C112" s="30">
        <f ca="1" t="array" ref="C112">INDEX(Data_DBD!$C:$C,$A112)</f>
        <v>4</v>
      </c>
      <c r="D112" s="30">
        <f ca="1" t="array" ref="D112">INDEX(Data_DBD!$D:$D,$A112)</f>
        <v>33</v>
      </c>
      <c r="E112" s="30">
        <f ca="1" t="array" ref="E112">INDEX(Data_DBD!$E:$E,$A112)</f>
        <v>0</v>
      </c>
      <c r="F112" s="30">
        <f ca="1" t="array" ref="F112">INDEX(Data_DBD!$F:$F,$A112)</f>
        <v>3</v>
      </c>
      <c r="H112" s="30">
        <v>73</v>
      </c>
      <c r="I112" s="30">
        <v>15</v>
      </c>
      <c r="J112" s="30">
        <v>3</v>
      </c>
      <c r="K112" s="30">
        <v>10</v>
      </c>
      <c r="L112" s="30">
        <v>1</v>
      </c>
      <c r="M112" s="30">
        <v>2</v>
      </c>
    </row>
    <row r="113" spans="1:13">
      <c r="A113" s="30">
        <f ca="1" t="shared" si="1"/>
        <v>15</v>
      </c>
      <c r="B113" s="30">
        <f ca="1" t="array" ref="B113">INDEX(Data_DBD!$B:$B,$A113)</f>
        <v>21</v>
      </c>
      <c r="C113" s="30">
        <f ca="1" t="array" ref="C113">INDEX(Data_DBD!$C:$C,$A113)</f>
        <v>2</v>
      </c>
      <c r="D113" s="30">
        <f ca="1" t="array" ref="D113">INDEX(Data_DBD!$D:$D,$A113)</f>
        <v>7</v>
      </c>
      <c r="E113" s="30">
        <f ca="1" t="array" ref="E113">INDEX(Data_DBD!$E:$E,$A113)</f>
        <v>0</v>
      </c>
      <c r="F113" s="30">
        <f ca="1" t="array" ref="F113">INDEX(Data_DBD!$F:$F,$A113)</f>
        <v>1</v>
      </c>
      <c r="H113" s="30">
        <v>40</v>
      </c>
      <c r="I113" s="30">
        <v>65</v>
      </c>
      <c r="J113" s="30">
        <v>3</v>
      </c>
      <c r="K113" s="30">
        <v>13</v>
      </c>
      <c r="L113" s="30">
        <v>1</v>
      </c>
      <c r="M113" s="30">
        <v>2</v>
      </c>
    </row>
    <row r="114" spans="1:13">
      <c r="A114" s="30">
        <f ca="1" t="shared" si="1"/>
        <v>6</v>
      </c>
      <c r="B114" s="30">
        <f ca="1" t="array" ref="B114">INDEX(Data_DBD!$B:$B,$A114)</f>
        <v>14</v>
      </c>
      <c r="C114" s="30">
        <f ca="1" t="array" ref="C114">INDEX(Data_DBD!$C:$C,$A114)</f>
        <v>4</v>
      </c>
      <c r="D114" s="30">
        <f ca="1" t="array" ref="D114">INDEX(Data_DBD!$D:$D,$A114)</f>
        <v>12</v>
      </c>
      <c r="E114" s="30">
        <f ca="1" t="array" ref="E114">INDEX(Data_DBD!$E:$E,$A114)</f>
        <v>0</v>
      </c>
      <c r="F114" s="30">
        <f ca="1" t="array" ref="F114">INDEX(Data_DBD!$F:$F,$A114)</f>
        <v>2</v>
      </c>
      <c r="H114" s="30">
        <v>148</v>
      </c>
      <c r="I114" s="30">
        <v>55</v>
      </c>
      <c r="J114" s="30">
        <v>3</v>
      </c>
      <c r="K114" s="30">
        <v>21</v>
      </c>
      <c r="L114" s="30">
        <v>1</v>
      </c>
      <c r="M114" s="30">
        <v>3</v>
      </c>
    </row>
    <row r="115" spans="1:13">
      <c r="A115" s="30">
        <f ca="1" t="shared" si="1"/>
        <v>54</v>
      </c>
      <c r="B115" s="30">
        <f ca="1" t="array" ref="B115">INDEX(Data_DBD!$B:$B,$A115)</f>
        <v>7</v>
      </c>
      <c r="C115" s="30">
        <f ca="1" t="array" ref="C115">INDEX(Data_DBD!$C:$C,$A115)</f>
        <v>3</v>
      </c>
      <c r="D115" s="30">
        <f ca="1" t="array" ref="D115">INDEX(Data_DBD!$D:$D,$A115)</f>
        <v>15</v>
      </c>
      <c r="E115" s="30">
        <f ca="1" t="array" ref="E115">INDEX(Data_DBD!$E:$E,$A115)</f>
        <v>0</v>
      </c>
      <c r="F115" s="30">
        <f ca="1" t="array" ref="F115">INDEX(Data_DBD!$F:$F,$A115)</f>
        <v>2</v>
      </c>
      <c r="H115" s="30">
        <v>27</v>
      </c>
      <c r="I115" s="30">
        <v>37</v>
      </c>
      <c r="J115" s="30">
        <v>4</v>
      </c>
      <c r="K115" s="30">
        <v>14</v>
      </c>
      <c r="L115" s="30">
        <v>1</v>
      </c>
      <c r="M115" s="30">
        <v>2</v>
      </c>
    </row>
    <row r="116" spans="1:13">
      <c r="A116" s="30">
        <f ca="1" t="shared" si="1"/>
        <v>93</v>
      </c>
      <c r="B116" s="30">
        <f ca="1" t="array" ref="B116">INDEX(Data_DBD!$B:$B,$A116)</f>
        <v>65</v>
      </c>
      <c r="C116" s="30">
        <f ca="1" t="array" ref="C116">INDEX(Data_DBD!$C:$C,$A116)</f>
        <v>4</v>
      </c>
      <c r="D116" s="30">
        <f ca="1" t="array" ref="D116">INDEX(Data_DBD!$D:$D,$A116)</f>
        <v>18</v>
      </c>
      <c r="E116" s="30">
        <f ca="1" t="array" ref="E116">INDEX(Data_DBD!$E:$E,$A116)</f>
        <v>0</v>
      </c>
      <c r="F116" s="30">
        <f ca="1" t="array" ref="F116">INDEX(Data_DBD!$F:$F,$A116)</f>
        <v>3</v>
      </c>
      <c r="H116" s="30">
        <v>127</v>
      </c>
      <c r="I116" s="30">
        <v>21</v>
      </c>
      <c r="J116" s="30">
        <v>2</v>
      </c>
      <c r="K116" s="30">
        <v>33</v>
      </c>
      <c r="L116" s="30">
        <v>0</v>
      </c>
      <c r="M116" s="30">
        <v>3</v>
      </c>
    </row>
    <row r="117" spans="1:13">
      <c r="A117" s="30">
        <f ca="1" t="shared" si="1"/>
        <v>44</v>
      </c>
      <c r="B117" s="30">
        <f ca="1" t="array" ref="B117">INDEX(Data_DBD!$B:$B,$A117)</f>
        <v>28</v>
      </c>
      <c r="C117" s="30">
        <f ca="1" t="array" ref="C117">INDEX(Data_DBD!$C:$C,$A117)</f>
        <v>5</v>
      </c>
      <c r="D117" s="30">
        <f ca="1" t="array" ref="D117">INDEX(Data_DBD!$D:$D,$A117)</f>
        <v>13</v>
      </c>
      <c r="E117" s="30">
        <f ca="1" t="array" ref="E117">INDEX(Data_DBD!$E:$E,$A117)</f>
        <v>1</v>
      </c>
      <c r="F117" s="30">
        <f ca="1" t="array" ref="F117">INDEX(Data_DBD!$F:$F,$A117)</f>
        <v>2</v>
      </c>
      <c r="H117" s="30">
        <v>37</v>
      </c>
      <c r="I117" s="30">
        <v>28</v>
      </c>
      <c r="J117" s="30">
        <v>4</v>
      </c>
      <c r="K117" s="30">
        <v>4</v>
      </c>
      <c r="L117" s="30">
        <v>1</v>
      </c>
      <c r="M117" s="30">
        <v>1</v>
      </c>
    </row>
    <row r="118" spans="1:13">
      <c r="A118" s="30">
        <f ca="1" t="shared" si="1"/>
        <v>132</v>
      </c>
      <c r="B118" s="30">
        <f ca="1" t="array" ref="B118">INDEX(Data_DBD!$B:$B,$A118)</f>
        <v>10</v>
      </c>
      <c r="C118" s="30">
        <f ca="1" t="array" ref="C118">INDEX(Data_DBD!$C:$C,$A118)</f>
        <v>3</v>
      </c>
      <c r="D118" s="30">
        <f ca="1" t="array" ref="D118">INDEX(Data_DBD!$D:$D,$A118)</f>
        <v>33</v>
      </c>
      <c r="E118" s="30">
        <f ca="1" t="array" ref="E118">INDEX(Data_DBD!$E:$E,$A118)</f>
        <v>1</v>
      </c>
      <c r="F118" s="30">
        <f ca="1" t="array" ref="F118">INDEX(Data_DBD!$F:$F,$A118)</f>
        <v>3</v>
      </c>
      <c r="H118" s="30">
        <v>71</v>
      </c>
      <c r="I118" s="30">
        <v>84</v>
      </c>
      <c r="J118" s="30">
        <v>3</v>
      </c>
      <c r="K118" s="30">
        <v>10</v>
      </c>
      <c r="L118" s="30">
        <v>0</v>
      </c>
      <c r="M118" s="30">
        <v>2</v>
      </c>
    </row>
    <row r="119" spans="1:13">
      <c r="A119" s="30">
        <f ca="1" t="shared" si="1"/>
        <v>12</v>
      </c>
      <c r="B119" s="30">
        <f ca="1" t="array" ref="B119">INDEX(Data_DBD!$B:$B,$A119)</f>
        <v>23</v>
      </c>
      <c r="C119" s="30">
        <f ca="1" t="array" ref="C119">INDEX(Data_DBD!$C:$C,$A119)</f>
        <v>3</v>
      </c>
      <c r="D119" s="30">
        <f ca="1" t="array" ref="D119">INDEX(Data_DBD!$D:$D,$A119)</f>
        <v>12</v>
      </c>
      <c r="E119" s="30">
        <f ca="1" t="array" ref="E119">INDEX(Data_DBD!$E:$E,$A119)</f>
        <v>0</v>
      </c>
      <c r="F119" s="30">
        <f ca="1" t="array" ref="F119">INDEX(Data_DBD!$F:$F,$A119)</f>
        <v>2</v>
      </c>
      <c r="H119" s="30">
        <v>120</v>
      </c>
      <c r="I119" s="30">
        <v>26</v>
      </c>
      <c r="J119" s="30">
        <v>4</v>
      </c>
      <c r="K119" s="30">
        <v>33</v>
      </c>
      <c r="L119" s="30">
        <v>1</v>
      </c>
      <c r="M119" s="30">
        <v>3</v>
      </c>
    </row>
    <row r="120" spans="1:13">
      <c r="A120" s="30">
        <f ca="1" t="shared" si="1"/>
        <v>14</v>
      </c>
      <c r="B120" s="30">
        <f ca="1" t="array" ref="B120">INDEX(Data_DBD!$B:$B,$A120)</f>
        <v>49</v>
      </c>
      <c r="C120" s="30">
        <f ca="1" t="array" ref="C120">INDEX(Data_DBD!$C:$C,$A120)</f>
        <v>4</v>
      </c>
      <c r="D120" s="30">
        <f ca="1" t="array" ref="D120">INDEX(Data_DBD!$D:$D,$A120)</f>
        <v>7</v>
      </c>
      <c r="E120" s="30">
        <f ca="1" t="array" ref="E120">INDEX(Data_DBD!$E:$E,$A120)</f>
        <v>1</v>
      </c>
      <c r="F120" s="30">
        <f ca="1" t="array" ref="F120">INDEX(Data_DBD!$F:$F,$A120)</f>
        <v>1</v>
      </c>
      <c r="H120" s="30">
        <v>94</v>
      </c>
      <c r="I120" s="30">
        <v>12</v>
      </c>
      <c r="J120" s="30">
        <v>4</v>
      </c>
      <c r="K120" s="30">
        <v>18</v>
      </c>
      <c r="L120" s="30">
        <v>0</v>
      </c>
      <c r="M120" s="30">
        <v>3</v>
      </c>
    </row>
    <row r="121" spans="1:13">
      <c r="A121" s="30">
        <f ca="1" t="shared" si="1"/>
        <v>53</v>
      </c>
      <c r="B121" s="30">
        <f ca="1" t="array" ref="B121">INDEX(Data_DBD!$B:$B,$A121)</f>
        <v>35</v>
      </c>
      <c r="C121" s="30">
        <f ca="1" t="array" ref="C121">INDEX(Data_DBD!$C:$C,$A121)</f>
        <v>4</v>
      </c>
      <c r="D121" s="30">
        <f ca="1" t="array" ref="D121">INDEX(Data_DBD!$D:$D,$A121)</f>
        <v>15</v>
      </c>
      <c r="E121" s="30">
        <f ca="1" t="array" ref="E121">INDEX(Data_DBD!$E:$E,$A121)</f>
        <v>1</v>
      </c>
      <c r="F121" s="30">
        <f ca="1" t="array" ref="F121">INDEX(Data_DBD!$F:$F,$A121)</f>
        <v>2</v>
      </c>
      <c r="H121" s="30">
        <v>91</v>
      </c>
      <c r="I121" s="30">
        <v>35</v>
      </c>
      <c r="J121" s="30">
        <v>1</v>
      </c>
      <c r="K121" s="30">
        <v>18</v>
      </c>
      <c r="L121" s="30">
        <v>1</v>
      </c>
      <c r="M121" s="30">
        <v>3</v>
      </c>
    </row>
    <row r="122" spans="1:13">
      <c r="A122" s="30">
        <f ca="1" t="shared" si="1"/>
        <v>2</v>
      </c>
      <c r="B122" s="30">
        <f ca="1" t="array" ref="B122">INDEX(Data_DBD!$B:$B,$A122)</f>
        <v>34</v>
      </c>
      <c r="C122" s="30">
        <f ca="1" t="array" ref="C122">INDEX(Data_DBD!$C:$C,$A122)</f>
        <v>3</v>
      </c>
      <c r="D122" s="30">
        <f ca="1" t="array" ref="D122">INDEX(Data_DBD!$D:$D,$A122)</f>
        <v>12</v>
      </c>
      <c r="E122" s="30">
        <f ca="1" t="array" ref="E122">INDEX(Data_DBD!$E:$E,$A122)</f>
        <v>0</v>
      </c>
      <c r="F122" s="30">
        <f ca="1" t="array" ref="F122">INDEX(Data_DBD!$F:$F,$A122)</f>
        <v>2</v>
      </c>
      <c r="H122" s="30">
        <v>12</v>
      </c>
      <c r="I122" s="30">
        <v>23</v>
      </c>
      <c r="J122" s="30">
        <v>3</v>
      </c>
      <c r="K122" s="30">
        <v>12</v>
      </c>
      <c r="L122" s="30">
        <v>0</v>
      </c>
      <c r="M122" s="30">
        <v>2</v>
      </c>
    </row>
    <row r="123" spans="1:13">
      <c r="A123" s="30">
        <f ca="1" t="shared" si="1"/>
        <v>130</v>
      </c>
      <c r="B123" s="30">
        <f ca="1" t="array" ref="B123">INDEX(Data_DBD!$B:$B,$A123)</f>
        <v>12</v>
      </c>
      <c r="C123" s="30">
        <f ca="1" t="array" ref="C123">INDEX(Data_DBD!$C:$C,$A123)</f>
        <v>4</v>
      </c>
      <c r="D123" s="30">
        <f ca="1" t="array" ref="D123">INDEX(Data_DBD!$D:$D,$A123)</f>
        <v>33</v>
      </c>
      <c r="E123" s="30">
        <f ca="1" t="array" ref="E123">INDEX(Data_DBD!$E:$E,$A123)</f>
        <v>0</v>
      </c>
      <c r="F123" s="30">
        <f ca="1" t="array" ref="F123">INDEX(Data_DBD!$F:$F,$A123)</f>
        <v>3</v>
      </c>
      <c r="H123" s="30">
        <v>157</v>
      </c>
      <c r="I123" s="30">
        <v>15</v>
      </c>
      <c r="J123" s="30">
        <v>4</v>
      </c>
      <c r="K123" s="30">
        <v>21</v>
      </c>
      <c r="L123" s="30">
        <v>1</v>
      </c>
      <c r="M123" s="30">
        <v>3</v>
      </c>
    </row>
    <row r="124" spans="1:13">
      <c r="A124" s="30">
        <f ca="1" t="shared" si="1"/>
        <v>158</v>
      </c>
      <c r="B124" s="30">
        <f ca="1" t="array" ref="B124">INDEX(Data_DBD!$B:$B,$A124)</f>
        <v>5</v>
      </c>
      <c r="C124" s="30">
        <f ca="1" t="array" ref="C124">INDEX(Data_DBD!$C:$C,$A124)</f>
        <v>2</v>
      </c>
      <c r="D124" s="30">
        <f ca="1" t="array" ref="D124">INDEX(Data_DBD!$D:$D,$A124)</f>
        <v>21</v>
      </c>
      <c r="E124" s="30">
        <f ca="1" t="array" ref="E124">INDEX(Data_DBD!$E:$E,$A124)</f>
        <v>0</v>
      </c>
      <c r="F124" s="30">
        <f ca="1" t="array" ref="F124">INDEX(Data_DBD!$F:$F,$A124)</f>
        <v>3</v>
      </c>
      <c r="H124" s="30">
        <v>2</v>
      </c>
      <c r="I124" s="30">
        <v>34</v>
      </c>
      <c r="J124" s="30">
        <v>3</v>
      </c>
      <c r="K124" s="30">
        <v>12</v>
      </c>
      <c r="L124" s="30">
        <v>0</v>
      </c>
      <c r="M124" s="30">
        <v>2</v>
      </c>
    </row>
    <row r="125" spans="1:13">
      <c r="A125" s="30">
        <f ca="1" t="shared" si="1"/>
        <v>25</v>
      </c>
      <c r="B125" s="30">
        <f ca="1" t="array" ref="B125">INDEX(Data_DBD!$B:$B,$A125)</f>
        <v>81</v>
      </c>
      <c r="C125" s="30">
        <f ca="1" t="array" ref="C125">INDEX(Data_DBD!$C:$C,$A125)</f>
        <v>5</v>
      </c>
      <c r="D125" s="30">
        <f ca="1" t="array" ref="D125">INDEX(Data_DBD!$D:$D,$A125)</f>
        <v>14</v>
      </c>
      <c r="E125" s="30">
        <f ca="1" t="array" ref="E125">INDEX(Data_DBD!$E:$E,$A125)</f>
        <v>0</v>
      </c>
      <c r="F125" s="30">
        <f ca="1" t="array" ref="F125">INDEX(Data_DBD!$F:$F,$A125)</f>
        <v>2</v>
      </c>
      <c r="H125" s="30">
        <v>121</v>
      </c>
      <c r="I125" s="30">
        <v>82</v>
      </c>
      <c r="J125" s="30">
        <v>5</v>
      </c>
      <c r="K125" s="30">
        <v>33</v>
      </c>
      <c r="L125" s="30">
        <v>1</v>
      </c>
      <c r="M125" s="30">
        <v>3</v>
      </c>
    </row>
    <row r="126" spans="1:13">
      <c r="A126" s="30">
        <f ca="1" t="shared" si="1"/>
        <v>61</v>
      </c>
      <c r="B126" s="30">
        <f ca="1" t="array" ref="B126">INDEX(Data_DBD!$B:$B,$A126)</f>
        <v>29</v>
      </c>
      <c r="C126" s="30">
        <f ca="1" t="array" ref="C126">INDEX(Data_DBD!$C:$C,$A126)</f>
        <v>3</v>
      </c>
      <c r="D126" s="30">
        <f ca="1" t="array" ref="D126">INDEX(Data_DBD!$D:$D,$A126)</f>
        <v>15</v>
      </c>
      <c r="E126" s="30">
        <f ca="1" t="array" ref="E126">INDEX(Data_DBD!$E:$E,$A126)</f>
        <v>1</v>
      </c>
      <c r="F126" s="30">
        <f ca="1" t="array" ref="F126">INDEX(Data_DBD!$F:$F,$A126)</f>
        <v>2</v>
      </c>
      <c r="H126" s="30">
        <v>2</v>
      </c>
      <c r="I126" s="30">
        <v>34</v>
      </c>
      <c r="J126" s="30">
        <v>3</v>
      </c>
      <c r="K126" s="30">
        <v>12</v>
      </c>
      <c r="L126" s="30">
        <v>0</v>
      </c>
      <c r="M126" s="30">
        <v>2</v>
      </c>
    </row>
    <row r="127" spans="1:13">
      <c r="A127" s="30">
        <f ca="1" t="shared" si="1"/>
        <v>148</v>
      </c>
      <c r="B127" s="30">
        <f ca="1" t="array" ref="B127">INDEX(Data_DBD!$B:$B,$A127)</f>
        <v>55</v>
      </c>
      <c r="C127" s="30">
        <f ca="1" t="array" ref="C127">INDEX(Data_DBD!$C:$C,$A127)</f>
        <v>3</v>
      </c>
      <c r="D127" s="30">
        <f ca="1" t="array" ref="D127">INDEX(Data_DBD!$D:$D,$A127)</f>
        <v>21</v>
      </c>
      <c r="E127" s="30">
        <f ca="1" t="array" ref="E127">INDEX(Data_DBD!$E:$E,$A127)</f>
        <v>1</v>
      </c>
      <c r="F127" s="30">
        <f ca="1" t="array" ref="F127">INDEX(Data_DBD!$F:$F,$A127)</f>
        <v>3</v>
      </c>
      <c r="H127" s="30">
        <v>81</v>
      </c>
      <c r="I127" s="30">
        <v>23</v>
      </c>
      <c r="J127" s="30">
        <v>5</v>
      </c>
      <c r="K127" s="30">
        <v>13</v>
      </c>
      <c r="L127" s="30">
        <v>1</v>
      </c>
      <c r="M127" s="30">
        <v>2</v>
      </c>
    </row>
    <row r="128" spans="1:13">
      <c r="A128" s="30">
        <f ca="1" t="shared" si="1"/>
        <v>153</v>
      </c>
      <c r="B128" s="30">
        <f ca="1" t="array" ref="B128">INDEX(Data_DBD!$B:$B,$A128)</f>
        <v>73</v>
      </c>
      <c r="C128" s="30">
        <f ca="1" t="array" ref="C128">INDEX(Data_DBD!$C:$C,$A128)</f>
        <v>7</v>
      </c>
      <c r="D128" s="30">
        <f ca="1" t="array" ref="D128">INDEX(Data_DBD!$D:$D,$A128)</f>
        <v>21</v>
      </c>
      <c r="E128" s="30">
        <f ca="1" t="array" ref="E128">INDEX(Data_DBD!$E:$E,$A128)</f>
        <v>1</v>
      </c>
      <c r="F128" s="30">
        <f ca="1" t="array" ref="F128">INDEX(Data_DBD!$F:$F,$A128)</f>
        <v>3</v>
      </c>
      <c r="H128" s="30">
        <v>164</v>
      </c>
      <c r="I128" s="30">
        <v>10</v>
      </c>
      <c r="J128" s="30">
        <v>6</v>
      </c>
      <c r="K128" s="30">
        <v>3</v>
      </c>
      <c r="L128" s="30">
        <v>0</v>
      </c>
      <c r="M128" s="30">
        <v>1</v>
      </c>
    </row>
    <row r="129" spans="1:13">
      <c r="A129" s="30">
        <f ca="1" t="shared" si="1"/>
        <v>14</v>
      </c>
      <c r="B129" s="30">
        <f ca="1" t="array" ref="B129">INDEX(Data_DBD!$B:$B,$A129)</f>
        <v>49</v>
      </c>
      <c r="C129" s="30">
        <f ca="1" t="array" ref="C129">INDEX(Data_DBD!$C:$C,$A129)</f>
        <v>4</v>
      </c>
      <c r="D129" s="30">
        <f ca="1" t="array" ref="D129">INDEX(Data_DBD!$D:$D,$A129)</f>
        <v>7</v>
      </c>
      <c r="E129" s="30">
        <f ca="1" t="array" ref="E129">INDEX(Data_DBD!$E:$E,$A129)</f>
        <v>1</v>
      </c>
      <c r="F129" s="30">
        <f ca="1" t="array" ref="F129">INDEX(Data_DBD!$F:$F,$A129)</f>
        <v>1</v>
      </c>
      <c r="H129" s="30">
        <v>80</v>
      </c>
      <c r="I129" s="30">
        <v>27</v>
      </c>
      <c r="J129" s="30">
        <v>3</v>
      </c>
      <c r="K129" s="30">
        <v>13</v>
      </c>
      <c r="L129" s="30">
        <v>1</v>
      </c>
      <c r="M129" s="30">
        <v>2</v>
      </c>
    </row>
    <row r="130" spans="1:13">
      <c r="A130" s="30">
        <f ca="1" t="shared" si="1"/>
        <v>41</v>
      </c>
      <c r="B130" s="30">
        <f ca="1" t="array" ref="B130">INDEX(Data_DBD!$B:$B,$A130)</f>
        <v>8</v>
      </c>
      <c r="C130" s="30">
        <f ca="1" t="array" ref="C130">INDEX(Data_DBD!$C:$C,$A130)</f>
        <v>4</v>
      </c>
      <c r="D130" s="30">
        <f ca="1" t="array" ref="D130">INDEX(Data_DBD!$D:$D,$A130)</f>
        <v>13</v>
      </c>
      <c r="E130" s="30">
        <f ca="1" t="array" ref="E130">INDEX(Data_DBD!$E:$E,$A130)</f>
        <v>0</v>
      </c>
      <c r="F130" s="30">
        <f ca="1" t="array" ref="F130">INDEX(Data_DBD!$F:$F,$A130)</f>
        <v>2</v>
      </c>
      <c r="H130" s="30">
        <v>8</v>
      </c>
      <c r="I130" s="30">
        <v>4</v>
      </c>
      <c r="J130" s="30">
        <v>2</v>
      </c>
      <c r="K130" s="30">
        <v>12</v>
      </c>
      <c r="L130" s="30">
        <v>0</v>
      </c>
      <c r="M130" s="30">
        <v>2</v>
      </c>
    </row>
    <row r="131" spans="1:13">
      <c r="A131" s="30">
        <f ca="1" t="shared" ref="A131:A164" si="2">RANDBETWEEN(2,164)</f>
        <v>149</v>
      </c>
      <c r="B131" s="30">
        <f ca="1" t="array" ref="B131">INDEX(Data_DBD!$B:$B,$A131)</f>
        <v>19</v>
      </c>
      <c r="C131" s="30">
        <f ca="1" t="array" ref="C131">INDEX(Data_DBD!$C:$C,$A131)</f>
        <v>5</v>
      </c>
      <c r="D131" s="30">
        <f ca="1" t="array" ref="D131">INDEX(Data_DBD!$D:$D,$A131)</f>
        <v>21</v>
      </c>
      <c r="E131" s="30">
        <f ca="1" t="array" ref="E131">INDEX(Data_DBD!$E:$E,$A131)</f>
        <v>0</v>
      </c>
      <c r="F131" s="30">
        <f ca="1" t="array" ref="F131">INDEX(Data_DBD!$F:$F,$A131)</f>
        <v>3</v>
      </c>
      <c r="H131" s="30">
        <v>87</v>
      </c>
      <c r="I131" s="30">
        <v>21</v>
      </c>
      <c r="J131" s="30">
        <v>3</v>
      </c>
      <c r="K131" s="30">
        <v>13</v>
      </c>
      <c r="L131" s="30">
        <v>0</v>
      </c>
      <c r="M131" s="30">
        <v>2</v>
      </c>
    </row>
    <row r="132" spans="1:13">
      <c r="A132" s="30">
        <f ca="1" t="shared" si="2"/>
        <v>38</v>
      </c>
      <c r="B132" s="30">
        <f ca="1" t="array" ref="B132">INDEX(Data_DBD!$B:$B,$A132)</f>
        <v>52</v>
      </c>
      <c r="C132" s="30">
        <f ca="1" t="array" ref="C132">INDEX(Data_DBD!$C:$C,$A132)</f>
        <v>3</v>
      </c>
      <c r="D132" s="30">
        <f ca="1" t="array" ref="D132">INDEX(Data_DBD!$D:$D,$A132)</f>
        <v>4</v>
      </c>
      <c r="E132" s="30">
        <f ca="1" t="array" ref="E132">INDEX(Data_DBD!$E:$E,$A132)</f>
        <v>1</v>
      </c>
      <c r="F132" s="30">
        <f ca="1" t="array" ref="F132">INDEX(Data_DBD!$F:$F,$A132)</f>
        <v>1</v>
      </c>
      <c r="H132" s="30">
        <v>141</v>
      </c>
      <c r="I132" s="30">
        <v>36</v>
      </c>
      <c r="J132" s="30">
        <v>2</v>
      </c>
      <c r="K132" s="30">
        <v>21</v>
      </c>
      <c r="L132" s="30">
        <v>0</v>
      </c>
      <c r="M132" s="30">
        <v>3</v>
      </c>
    </row>
    <row r="133" spans="1:13">
      <c r="A133" s="30">
        <f ca="1" t="shared" si="2"/>
        <v>104</v>
      </c>
      <c r="B133" s="30">
        <f ca="1" t="array" ref="B133">INDEX(Data_DBD!$B:$B,$A133)</f>
        <v>37</v>
      </c>
      <c r="C133" s="30">
        <f ca="1" t="array" ref="C133">INDEX(Data_DBD!$C:$C,$A133)</f>
        <v>4</v>
      </c>
      <c r="D133" s="30">
        <f ca="1" t="array" ref="D133">INDEX(Data_DBD!$D:$D,$A133)</f>
        <v>18</v>
      </c>
      <c r="E133" s="30">
        <f ca="1" t="array" ref="E133">INDEX(Data_DBD!$E:$E,$A133)</f>
        <v>1</v>
      </c>
      <c r="F133" s="30">
        <f ca="1" t="array" ref="F133">INDEX(Data_DBD!$F:$F,$A133)</f>
        <v>3</v>
      </c>
      <c r="H133" s="30">
        <v>130</v>
      </c>
      <c r="I133" s="30">
        <v>12</v>
      </c>
      <c r="J133" s="30">
        <v>4</v>
      </c>
      <c r="K133" s="30">
        <v>33</v>
      </c>
      <c r="L133" s="30">
        <v>0</v>
      </c>
      <c r="M133" s="30">
        <v>3</v>
      </c>
    </row>
    <row r="134" spans="1:13">
      <c r="A134" s="30">
        <f ca="1" t="shared" si="2"/>
        <v>55</v>
      </c>
      <c r="B134" s="30">
        <f ca="1" t="array" ref="B134">INDEX(Data_DBD!$B:$B,$A134)</f>
        <v>7</v>
      </c>
      <c r="C134" s="30">
        <f ca="1" t="array" ref="C134">INDEX(Data_DBD!$C:$C,$A134)</f>
        <v>4</v>
      </c>
      <c r="D134" s="30">
        <f ca="1" t="array" ref="D134">INDEX(Data_DBD!$D:$D,$A134)</f>
        <v>15</v>
      </c>
      <c r="E134" s="30">
        <f ca="1" t="array" ref="E134">INDEX(Data_DBD!$E:$E,$A134)</f>
        <v>1</v>
      </c>
      <c r="F134" s="30">
        <f ca="1" t="array" ref="F134">INDEX(Data_DBD!$F:$F,$A134)</f>
        <v>2</v>
      </c>
      <c r="H134" s="30">
        <v>10</v>
      </c>
      <c r="I134" s="30">
        <v>18</v>
      </c>
      <c r="J134" s="30">
        <v>5</v>
      </c>
      <c r="K134" s="30">
        <v>12</v>
      </c>
      <c r="L134" s="30">
        <v>0</v>
      </c>
      <c r="M134" s="30">
        <v>2</v>
      </c>
    </row>
    <row r="135" spans="1:13">
      <c r="A135" s="30">
        <f ca="1" t="shared" si="2"/>
        <v>98</v>
      </c>
      <c r="B135" s="30">
        <f ca="1" t="array" ref="B135">INDEX(Data_DBD!$B:$B,$A135)</f>
        <v>16</v>
      </c>
      <c r="C135" s="30">
        <f ca="1" t="array" ref="C135">INDEX(Data_DBD!$C:$C,$A135)</f>
        <v>2</v>
      </c>
      <c r="D135" s="30">
        <f ca="1" t="array" ref="D135">INDEX(Data_DBD!$D:$D,$A135)</f>
        <v>18</v>
      </c>
      <c r="E135" s="30">
        <f ca="1" t="array" ref="E135">INDEX(Data_DBD!$E:$E,$A135)</f>
        <v>1</v>
      </c>
      <c r="F135" s="30">
        <f ca="1" t="array" ref="F135">INDEX(Data_DBD!$F:$F,$A135)</f>
        <v>3</v>
      </c>
      <c r="H135" s="30">
        <v>85</v>
      </c>
      <c r="I135" s="30">
        <v>27</v>
      </c>
      <c r="J135" s="30">
        <v>9</v>
      </c>
      <c r="K135" s="30">
        <v>13</v>
      </c>
      <c r="L135" s="30">
        <v>0</v>
      </c>
      <c r="M135" s="30">
        <v>2</v>
      </c>
    </row>
    <row r="136" spans="1:13">
      <c r="A136" s="30">
        <f ca="1" t="shared" si="2"/>
        <v>17</v>
      </c>
      <c r="B136" s="30">
        <f ca="1" t="array" ref="B136">INDEX(Data_DBD!$B:$B,$A136)</f>
        <v>2</v>
      </c>
      <c r="C136" s="30">
        <f ca="1" t="array" ref="C136">INDEX(Data_DBD!$C:$C,$A136)</f>
        <v>3</v>
      </c>
      <c r="D136" s="30">
        <f ca="1" t="array" ref="D136">INDEX(Data_DBD!$D:$D,$A136)</f>
        <v>7</v>
      </c>
      <c r="E136" s="30">
        <f ca="1" t="array" ref="E136">INDEX(Data_DBD!$E:$E,$A136)</f>
        <v>0</v>
      </c>
      <c r="F136" s="30">
        <f ca="1" t="array" ref="F136">INDEX(Data_DBD!$F:$F,$A136)</f>
        <v>1</v>
      </c>
      <c r="H136" s="30">
        <v>117</v>
      </c>
      <c r="I136" s="30">
        <v>49</v>
      </c>
      <c r="J136" s="30">
        <v>4</v>
      </c>
      <c r="K136" s="30">
        <v>33</v>
      </c>
      <c r="L136" s="30">
        <v>1</v>
      </c>
      <c r="M136" s="30">
        <v>3</v>
      </c>
    </row>
    <row r="137" spans="1:13">
      <c r="A137" s="30">
        <f ca="1" t="shared" si="2"/>
        <v>81</v>
      </c>
      <c r="B137" s="30">
        <f ca="1" t="array" ref="B137">INDEX(Data_DBD!$B:$B,$A137)</f>
        <v>23</v>
      </c>
      <c r="C137" s="30">
        <f ca="1" t="array" ref="C137">INDEX(Data_DBD!$C:$C,$A137)</f>
        <v>5</v>
      </c>
      <c r="D137" s="30">
        <f ca="1" t="array" ref="D137">INDEX(Data_DBD!$D:$D,$A137)</f>
        <v>13</v>
      </c>
      <c r="E137" s="30">
        <f ca="1" t="array" ref="E137">INDEX(Data_DBD!$E:$E,$A137)</f>
        <v>1</v>
      </c>
      <c r="F137" s="30">
        <f ca="1" t="array" ref="F137">INDEX(Data_DBD!$F:$F,$A137)</f>
        <v>2</v>
      </c>
      <c r="H137" s="30">
        <v>89</v>
      </c>
      <c r="I137" s="30">
        <v>32</v>
      </c>
      <c r="J137" s="30">
        <v>4</v>
      </c>
      <c r="K137" s="30">
        <v>13</v>
      </c>
      <c r="L137" s="30">
        <v>0</v>
      </c>
      <c r="M137" s="30">
        <v>2</v>
      </c>
    </row>
    <row r="138" spans="1:13">
      <c r="A138" s="30">
        <f ca="1" t="shared" si="2"/>
        <v>93</v>
      </c>
      <c r="B138" s="30">
        <f ca="1" t="array" ref="B138">INDEX(Data_DBD!$B:$B,$A138)</f>
        <v>65</v>
      </c>
      <c r="C138" s="30">
        <f ca="1" t="array" ref="C138">INDEX(Data_DBD!$C:$C,$A138)</f>
        <v>4</v>
      </c>
      <c r="D138" s="30">
        <f ca="1" t="array" ref="D138">INDEX(Data_DBD!$D:$D,$A138)</f>
        <v>18</v>
      </c>
      <c r="E138" s="30">
        <f ca="1" t="array" ref="E138">INDEX(Data_DBD!$E:$E,$A138)</f>
        <v>0</v>
      </c>
      <c r="F138" s="30">
        <f ca="1" t="array" ref="F138">INDEX(Data_DBD!$F:$F,$A138)</f>
        <v>3</v>
      </c>
      <c r="H138" s="30">
        <v>21</v>
      </c>
      <c r="I138" s="30">
        <v>10</v>
      </c>
      <c r="J138" s="30">
        <v>5</v>
      </c>
      <c r="K138" s="30">
        <v>14</v>
      </c>
      <c r="L138" s="30">
        <v>1</v>
      </c>
      <c r="M138" s="30">
        <v>2</v>
      </c>
    </row>
    <row r="139" spans="1:13">
      <c r="A139" s="30">
        <f ca="1" t="shared" si="2"/>
        <v>152</v>
      </c>
      <c r="B139" s="30">
        <f ca="1" t="array" ref="B139">INDEX(Data_DBD!$B:$B,$A139)</f>
        <v>47</v>
      </c>
      <c r="C139" s="30">
        <f ca="1" t="array" ref="C139">INDEX(Data_DBD!$C:$C,$A139)</f>
        <v>3</v>
      </c>
      <c r="D139" s="30">
        <f ca="1" t="array" ref="D139">INDEX(Data_DBD!$D:$D,$A139)</f>
        <v>21</v>
      </c>
      <c r="E139" s="30">
        <f ca="1" t="array" ref="E139">INDEX(Data_DBD!$E:$E,$A139)</f>
        <v>1</v>
      </c>
      <c r="F139" s="30">
        <f ca="1" t="array" ref="F139">INDEX(Data_DBD!$F:$F,$A139)</f>
        <v>3</v>
      </c>
      <c r="H139" s="30">
        <v>99</v>
      </c>
      <c r="I139" s="30">
        <v>4</v>
      </c>
      <c r="J139" s="30">
        <v>2</v>
      </c>
      <c r="K139" s="30">
        <v>18</v>
      </c>
      <c r="L139" s="30">
        <v>1</v>
      </c>
      <c r="M139" s="30">
        <v>3</v>
      </c>
    </row>
    <row r="140" spans="1:13">
      <c r="A140" s="30">
        <f ca="1" t="shared" si="2"/>
        <v>14</v>
      </c>
      <c r="B140" s="30">
        <f ca="1" t="array" ref="B140">INDEX(Data_DBD!$B:$B,$A140)</f>
        <v>49</v>
      </c>
      <c r="C140" s="30">
        <f ca="1" t="array" ref="C140">INDEX(Data_DBD!$C:$C,$A140)</f>
        <v>4</v>
      </c>
      <c r="D140" s="30">
        <f ca="1" t="array" ref="D140">INDEX(Data_DBD!$D:$D,$A140)</f>
        <v>7</v>
      </c>
      <c r="E140" s="30">
        <f ca="1" t="array" ref="E140">INDEX(Data_DBD!$E:$E,$A140)</f>
        <v>1</v>
      </c>
      <c r="F140" s="30">
        <f ca="1" t="array" ref="F140">INDEX(Data_DBD!$F:$F,$A140)</f>
        <v>1</v>
      </c>
      <c r="H140" s="30">
        <v>130</v>
      </c>
      <c r="I140" s="30">
        <v>12</v>
      </c>
      <c r="J140" s="30">
        <v>4</v>
      </c>
      <c r="K140" s="30">
        <v>33</v>
      </c>
      <c r="L140" s="30">
        <v>0</v>
      </c>
      <c r="M140" s="30">
        <v>3</v>
      </c>
    </row>
    <row r="141" spans="1:13">
      <c r="A141" s="30">
        <f ca="1" t="shared" si="2"/>
        <v>106</v>
      </c>
      <c r="B141" s="30">
        <f ca="1" t="array" ref="B141">INDEX(Data_DBD!$B:$B,$A141)</f>
        <v>23</v>
      </c>
      <c r="C141" s="30">
        <f ca="1" t="array" ref="C141">INDEX(Data_DBD!$C:$C,$A141)</f>
        <v>3</v>
      </c>
      <c r="D141" s="30">
        <f ca="1" t="array" ref="D141">INDEX(Data_DBD!$D:$D,$A141)</f>
        <v>18</v>
      </c>
      <c r="E141" s="30">
        <f ca="1" t="array" ref="E141">INDEX(Data_DBD!$E:$E,$A141)</f>
        <v>1</v>
      </c>
      <c r="F141" s="30">
        <f ca="1" t="array" ref="F141">INDEX(Data_DBD!$F:$F,$A141)</f>
        <v>3</v>
      </c>
      <c r="H141" s="30">
        <v>81</v>
      </c>
      <c r="I141" s="30">
        <v>23</v>
      </c>
      <c r="J141" s="30">
        <v>5</v>
      </c>
      <c r="K141" s="30">
        <v>13</v>
      </c>
      <c r="L141" s="30">
        <v>1</v>
      </c>
      <c r="M141" s="30">
        <v>2</v>
      </c>
    </row>
    <row r="142" spans="1:13">
      <c r="A142" s="30">
        <f ca="1" t="shared" si="2"/>
        <v>46</v>
      </c>
      <c r="B142" s="30">
        <f ca="1" t="array" ref="B142">INDEX(Data_DBD!$B:$B,$A142)</f>
        <v>62</v>
      </c>
      <c r="C142" s="30">
        <f ca="1" t="array" ref="C142">INDEX(Data_DBD!$C:$C,$A142)</f>
        <v>2</v>
      </c>
      <c r="D142" s="30">
        <f ca="1" t="array" ref="D142">INDEX(Data_DBD!$D:$D,$A142)</f>
        <v>13</v>
      </c>
      <c r="E142" s="30">
        <f ca="1" t="array" ref="E142">INDEX(Data_DBD!$E:$E,$A142)</f>
        <v>0</v>
      </c>
      <c r="F142" s="30">
        <f ca="1" t="array" ref="F142">INDEX(Data_DBD!$F:$F,$A142)</f>
        <v>2</v>
      </c>
      <c r="H142" s="30">
        <v>146</v>
      </c>
      <c r="I142" s="30">
        <v>34</v>
      </c>
      <c r="J142" s="30">
        <v>2</v>
      </c>
      <c r="K142" s="30">
        <v>21</v>
      </c>
      <c r="L142" s="30">
        <v>1</v>
      </c>
      <c r="M142" s="30">
        <v>3</v>
      </c>
    </row>
    <row r="143" spans="1:13">
      <c r="A143" s="30">
        <f ca="1" t="shared" si="2"/>
        <v>64</v>
      </c>
      <c r="B143" s="30">
        <f ca="1" t="array" ref="B143">INDEX(Data_DBD!$B:$B,$A143)</f>
        <v>35</v>
      </c>
      <c r="C143" s="30">
        <f ca="1" t="array" ref="C143">INDEX(Data_DBD!$C:$C,$A143)</f>
        <v>1</v>
      </c>
      <c r="D143" s="30">
        <f ca="1" t="array" ref="D143">INDEX(Data_DBD!$D:$D,$A143)</f>
        <v>15</v>
      </c>
      <c r="E143" s="30">
        <f ca="1" t="array" ref="E143">INDEX(Data_DBD!$E:$E,$A143)</f>
        <v>0</v>
      </c>
      <c r="F143" s="30">
        <f ca="1" t="array" ref="F143">INDEX(Data_DBD!$F:$F,$A143)</f>
        <v>2</v>
      </c>
      <c r="H143" s="30">
        <v>105</v>
      </c>
      <c r="I143" s="30">
        <v>61</v>
      </c>
      <c r="J143" s="30">
        <v>3</v>
      </c>
      <c r="K143" s="30">
        <v>18</v>
      </c>
      <c r="L143" s="30">
        <v>1</v>
      </c>
      <c r="M143" s="30">
        <v>3</v>
      </c>
    </row>
    <row r="144" spans="1:13">
      <c r="A144" s="30">
        <f ca="1" t="shared" si="2"/>
        <v>3</v>
      </c>
      <c r="B144" s="30">
        <f ca="1" t="array" ref="B144">INDEX(Data_DBD!$B:$B,$A144)</f>
        <v>43</v>
      </c>
      <c r="C144" s="30">
        <f ca="1" t="array" ref="C144">INDEX(Data_DBD!$C:$C,$A144)</f>
        <v>3</v>
      </c>
      <c r="D144" s="30">
        <f ca="1" t="array" ref="D144">INDEX(Data_DBD!$D:$D,$A144)</f>
        <v>12</v>
      </c>
      <c r="E144" s="30">
        <f ca="1" t="array" ref="E144">INDEX(Data_DBD!$E:$E,$A144)</f>
        <v>1</v>
      </c>
      <c r="F144" s="30">
        <f ca="1" t="array" ref="F144">INDEX(Data_DBD!$F:$F,$A144)</f>
        <v>2</v>
      </c>
      <c r="H144" s="30">
        <v>3</v>
      </c>
      <c r="I144" s="30">
        <v>43</v>
      </c>
      <c r="J144" s="30">
        <v>3</v>
      </c>
      <c r="K144" s="30">
        <v>12</v>
      </c>
      <c r="L144" s="30">
        <v>1</v>
      </c>
      <c r="M144" s="30">
        <v>2</v>
      </c>
    </row>
    <row r="145" spans="1:13">
      <c r="A145" s="30">
        <f ca="1" t="shared" si="2"/>
        <v>129</v>
      </c>
      <c r="B145" s="30">
        <f ca="1" t="array" ref="B145">INDEX(Data_DBD!$B:$B,$A145)</f>
        <v>4.5</v>
      </c>
      <c r="C145" s="30">
        <f ca="1" t="array" ref="C145">INDEX(Data_DBD!$C:$C,$A145)</f>
        <v>3</v>
      </c>
      <c r="D145" s="30">
        <f ca="1" t="array" ref="D145">INDEX(Data_DBD!$D:$D,$A145)</f>
        <v>33</v>
      </c>
      <c r="E145" s="30">
        <f ca="1" t="array" ref="E145">INDEX(Data_DBD!$E:$E,$A145)</f>
        <v>0</v>
      </c>
      <c r="F145" s="30">
        <f ca="1" t="array" ref="F145">INDEX(Data_DBD!$F:$F,$A145)</f>
        <v>3</v>
      </c>
      <c r="H145" s="30">
        <v>10</v>
      </c>
      <c r="I145" s="30">
        <v>18</v>
      </c>
      <c r="J145" s="30">
        <v>5</v>
      </c>
      <c r="K145" s="30">
        <v>12</v>
      </c>
      <c r="L145" s="30">
        <v>0</v>
      </c>
      <c r="M145" s="30">
        <v>2</v>
      </c>
    </row>
    <row r="146" spans="1:13">
      <c r="A146" s="30">
        <f ca="1" t="shared" si="2"/>
        <v>109</v>
      </c>
      <c r="B146" s="30">
        <f ca="1" t="array" ref="B146">INDEX(Data_DBD!$B:$B,$A146)</f>
        <v>40</v>
      </c>
      <c r="C146" s="30">
        <f ca="1" t="array" ref="C146">INDEX(Data_DBD!$C:$C,$A146)</f>
        <v>3</v>
      </c>
      <c r="D146" s="30">
        <f ca="1" t="array" ref="D146">INDEX(Data_DBD!$D:$D,$A146)</f>
        <v>33</v>
      </c>
      <c r="E146" s="30">
        <f ca="1" t="array" ref="E146">INDEX(Data_DBD!$E:$E,$A146)</f>
        <v>1</v>
      </c>
      <c r="F146" s="30">
        <f ca="1" t="array" ref="F146">INDEX(Data_DBD!$F:$F,$A146)</f>
        <v>3</v>
      </c>
      <c r="H146" s="30">
        <v>152</v>
      </c>
      <c r="I146" s="30">
        <v>47</v>
      </c>
      <c r="J146" s="30">
        <v>3</v>
      </c>
      <c r="K146" s="30">
        <v>21</v>
      </c>
      <c r="L146" s="30">
        <v>1</v>
      </c>
      <c r="M146" s="30">
        <v>3</v>
      </c>
    </row>
    <row r="147" spans="1:13">
      <c r="A147" s="30">
        <f ca="1" t="shared" si="2"/>
        <v>141</v>
      </c>
      <c r="B147" s="30">
        <f ca="1" t="array" ref="B147">INDEX(Data_DBD!$B:$B,$A147)</f>
        <v>36</v>
      </c>
      <c r="C147" s="30">
        <f ca="1" t="array" ref="C147">INDEX(Data_DBD!$C:$C,$A147)</f>
        <v>2</v>
      </c>
      <c r="D147" s="30">
        <f ca="1" t="array" ref="D147">INDEX(Data_DBD!$D:$D,$A147)</f>
        <v>21</v>
      </c>
      <c r="E147" s="30">
        <f ca="1" t="array" ref="E147">INDEX(Data_DBD!$E:$E,$A147)</f>
        <v>0</v>
      </c>
      <c r="F147" s="30">
        <f ca="1" t="array" ref="F147">INDEX(Data_DBD!$F:$F,$A147)</f>
        <v>3</v>
      </c>
      <c r="H147" s="30">
        <v>67</v>
      </c>
      <c r="I147" s="30">
        <v>21</v>
      </c>
      <c r="J147" s="30">
        <v>3</v>
      </c>
      <c r="K147" s="30">
        <v>10</v>
      </c>
      <c r="L147" s="30">
        <v>1</v>
      </c>
      <c r="M147" s="30">
        <v>2</v>
      </c>
    </row>
    <row r="148" spans="1:13">
      <c r="A148" s="30">
        <f ca="1" t="shared" si="2"/>
        <v>76</v>
      </c>
      <c r="B148" s="30">
        <f ca="1" t="array" ref="B148">INDEX(Data_DBD!$B:$B,$A148)</f>
        <v>70</v>
      </c>
      <c r="C148" s="30">
        <f ca="1" t="array" ref="C148">INDEX(Data_DBD!$C:$C,$A148)</f>
        <v>2</v>
      </c>
      <c r="D148" s="30">
        <f ca="1" t="array" ref="D148">INDEX(Data_DBD!$D:$D,$A148)</f>
        <v>10</v>
      </c>
      <c r="E148" s="30">
        <f ca="1" t="array" ref="E148">INDEX(Data_DBD!$E:$E,$A148)</f>
        <v>0</v>
      </c>
      <c r="F148" s="30">
        <f ca="1" t="array" ref="F148">INDEX(Data_DBD!$F:$F,$A148)</f>
        <v>2</v>
      </c>
      <c r="H148" s="30">
        <v>19</v>
      </c>
      <c r="I148" s="30">
        <v>8</v>
      </c>
      <c r="J148" s="30">
        <v>4</v>
      </c>
      <c r="K148" s="30">
        <v>7</v>
      </c>
      <c r="L148" s="30">
        <v>0</v>
      </c>
      <c r="M148" s="30">
        <v>1</v>
      </c>
    </row>
    <row r="149" spans="1:13">
      <c r="A149" s="30">
        <f ca="1" t="shared" si="2"/>
        <v>30</v>
      </c>
      <c r="B149" s="30" t="str">
        <f ca="1" t="array" ref="B149">INDEX(Data_DBD!$B:$B,$A149)</f>
        <v>2,8</v>
      </c>
      <c r="C149" s="30">
        <f ca="1" t="array" ref="C149">INDEX(Data_DBD!$C:$C,$A149)</f>
        <v>2</v>
      </c>
      <c r="D149" s="30">
        <f ca="1" t="array" ref="D149">INDEX(Data_DBD!$D:$D,$A149)</f>
        <v>14</v>
      </c>
      <c r="E149" s="30">
        <f ca="1" t="array" ref="E149">INDEX(Data_DBD!$E:$E,$A149)</f>
        <v>1</v>
      </c>
      <c r="F149" s="30">
        <f ca="1" t="array" ref="F149">INDEX(Data_DBD!$F:$F,$A149)</f>
        <v>2</v>
      </c>
      <c r="H149" s="30">
        <v>133</v>
      </c>
      <c r="I149" s="30">
        <v>6</v>
      </c>
      <c r="J149" s="30">
        <v>4</v>
      </c>
      <c r="K149" s="30">
        <v>33</v>
      </c>
      <c r="L149" s="30">
        <v>0</v>
      </c>
      <c r="M149" s="30">
        <v>3</v>
      </c>
    </row>
    <row r="150" spans="1:13">
      <c r="A150" s="30">
        <f ca="1" t="shared" si="2"/>
        <v>69</v>
      </c>
      <c r="B150" s="30">
        <f ca="1" t="array" ref="B150">INDEX(Data_DBD!$B:$B,$A150)</f>
        <v>24</v>
      </c>
      <c r="C150" s="30">
        <f ca="1" t="array" ref="C150">INDEX(Data_DBD!$C:$C,$A150)</f>
        <v>4</v>
      </c>
      <c r="D150" s="30">
        <f ca="1" t="array" ref="D150">INDEX(Data_DBD!$D:$D,$A150)</f>
        <v>10</v>
      </c>
      <c r="E150" s="30">
        <f ca="1" t="array" ref="E150">INDEX(Data_DBD!$E:$E,$A150)</f>
        <v>1</v>
      </c>
      <c r="F150" s="30">
        <f ca="1" t="array" ref="F150">INDEX(Data_DBD!$F:$F,$A150)</f>
        <v>2</v>
      </c>
      <c r="H150" s="30">
        <v>80</v>
      </c>
      <c r="I150" s="30">
        <v>27</v>
      </c>
      <c r="J150" s="30">
        <v>3</v>
      </c>
      <c r="K150" s="30">
        <v>13</v>
      </c>
      <c r="L150" s="30">
        <v>1</v>
      </c>
      <c r="M150" s="30">
        <v>2</v>
      </c>
    </row>
    <row r="151" spans="1:13">
      <c r="A151" s="30">
        <f ca="1" t="shared" si="2"/>
        <v>111</v>
      </c>
      <c r="B151" s="30">
        <f ca="1" t="array" ref="B151">INDEX(Data_DBD!$B:$B,$A151)</f>
        <v>25</v>
      </c>
      <c r="C151" s="30">
        <f ca="1" t="array" ref="C151">INDEX(Data_DBD!$C:$C,$A151)</f>
        <v>4</v>
      </c>
      <c r="D151" s="30">
        <f ca="1" t="array" ref="D151">INDEX(Data_DBD!$D:$D,$A151)</f>
        <v>33</v>
      </c>
      <c r="E151" s="30">
        <f ca="1" t="array" ref="E151">INDEX(Data_DBD!$E:$E,$A151)</f>
        <v>0</v>
      </c>
      <c r="F151" s="30">
        <f ca="1" t="array" ref="F151">INDEX(Data_DBD!$F:$F,$A151)</f>
        <v>3</v>
      </c>
      <c r="H151" s="30">
        <v>71</v>
      </c>
      <c r="I151" s="30">
        <v>84</v>
      </c>
      <c r="J151" s="30">
        <v>3</v>
      </c>
      <c r="K151" s="30">
        <v>10</v>
      </c>
      <c r="L151" s="30">
        <v>0</v>
      </c>
      <c r="M151" s="30">
        <v>2</v>
      </c>
    </row>
    <row r="152" spans="1:13">
      <c r="A152" s="30">
        <f ca="1" t="shared" si="2"/>
        <v>54</v>
      </c>
      <c r="B152" s="30">
        <f ca="1" t="array" ref="B152">INDEX(Data_DBD!$B:$B,$A152)</f>
        <v>7</v>
      </c>
      <c r="C152" s="30">
        <f ca="1" t="array" ref="C152">INDEX(Data_DBD!$C:$C,$A152)</f>
        <v>3</v>
      </c>
      <c r="D152" s="30">
        <f ca="1" t="array" ref="D152">INDEX(Data_DBD!$D:$D,$A152)</f>
        <v>15</v>
      </c>
      <c r="E152" s="30">
        <f ca="1" t="array" ref="E152">INDEX(Data_DBD!$E:$E,$A152)</f>
        <v>0</v>
      </c>
      <c r="F152" s="30">
        <f ca="1" t="array" ref="F152">INDEX(Data_DBD!$F:$F,$A152)</f>
        <v>2</v>
      </c>
      <c r="H152" s="30">
        <v>33</v>
      </c>
      <c r="I152" s="30">
        <v>19</v>
      </c>
      <c r="J152" s="30">
        <v>4</v>
      </c>
      <c r="K152" s="30">
        <v>14</v>
      </c>
      <c r="L152" s="30">
        <v>1</v>
      </c>
      <c r="M152" s="30">
        <v>2</v>
      </c>
    </row>
    <row r="153" spans="1:13">
      <c r="A153" s="30">
        <f ca="1" t="shared" si="2"/>
        <v>162</v>
      </c>
      <c r="B153" s="30">
        <f ca="1" t="array" ref="B153">INDEX(Data_DBD!$B:$B,$A153)</f>
        <v>22</v>
      </c>
      <c r="C153" s="30">
        <f ca="1" t="array" ref="C153">INDEX(Data_DBD!$C:$C,$A153)</f>
        <v>3</v>
      </c>
      <c r="D153" s="30">
        <f ca="1" t="array" ref="D153">INDEX(Data_DBD!$D:$D,$A153)</f>
        <v>3</v>
      </c>
      <c r="E153" s="30">
        <f ca="1" t="array" ref="E153">INDEX(Data_DBD!$E:$E,$A153)</f>
        <v>1</v>
      </c>
      <c r="F153" s="30">
        <f ca="1" t="array" ref="F153">INDEX(Data_DBD!$F:$F,$A153)</f>
        <v>1</v>
      </c>
      <c r="H153" s="30">
        <v>9</v>
      </c>
      <c r="I153" s="30">
        <v>16</v>
      </c>
      <c r="J153" s="30">
        <v>6</v>
      </c>
      <c r="K153" s="30">
        <v>12</v>
      </c>
      <c r="L153" s="30">
        <v>1</v>
      </c>
      <c r="M153" s="30">
        <v>2</v>
      </c>
    </row>
    <row r="154" spans="1:13">
      <c r="A154" s="30">
        <f ca="1" t="shared" si="2"/>
        <v>33</v>
      </c>
      <c r="B154" s="30">
        <f ca="1" t="array" ref="B154">INDEX(Data_DBD!$B:$B,$A154)</f>
        <v>19</v>
      </c>
      <c r="C154" s="30">
        <f ca="1" t="array" ref="C154">INDEX(Data_DBD!$C:$C,$A154)</f>
        <v>4</v>
      </c>
      <c r="D154" s="30">
        <f ca="1" t="array" ref="D154">INDEX(Data_DBD!$D:$D,$A154)</f>
        <v>14</v>
      </c>
      <c r="E154" s="30">
        <f ca="1" t="array" ref="E154">INDEX(Data_DBD!$E:$E,$A154)</f>
        <v>1</v>
      </c>
      <c r="F154" s="30">
        <f ca="1" t="array" ref="F154">INDEX(Data_DBD!$F:$F,$A154)</f>
        <v>2</v>
      </c>
      <c r="H154" s="30">
        <v>116</v>
      </c>
      <c r="I154" s="30">
        <v>32</v>
      </c>
      <c r="J154" s="30">
        <v>4</v>
      </c>
      <c r="K154" s="30">
        <v>33</v>
      </c>
      <c r="L154" s="30">
        <v>1</v>
      </c>
      <c r="M154" s="30">
        <v>3</v>
      </c>
    </row>
    <row r="155" spans="1:13">
      <c r="A155" s="30">
        <f ca="1" t="shared" si="2"/>
        <v>20</v>
      </c>
      <c r="B155" s="30">
        <f ca="1" t="array" ref="B155">INDEX(Data_DBD!$B:$B,$A155)</f>
        <v>15</v>
      </c>
      <c r="C155" s="30">
        <f ca="1" t="array" ref="C155">INDEX(Data_DBD!$C:$C,$A155)</f>
        <v>5</v>
      </c>
      <c r="D155" s="30">
        <f ca="1" t="array" ref="D155">INDEX(Data_DBD!$D:$D,$A155)</f>
        <v>7</v>
      </c>
      <c r="E155" s="30">
        <f ca="1" t="array" ref="E155">INDEX(Data_DBD!$E:$E,$A155)</f>
        <v>0</v>
      </c>
      <c r="F155" s="30">
        <f ca="1" t="array" ref="F155">INDEX(Data_DBD!$F:$F,$A155)</f>
        <v>1</v>
      </c>
      <c r="H155" s="30">
        <v>157</v>
      </c>
      <c r="I155" s="30">
        <v>15</v>
      </c>
      <c r="J155" s="30">
        <v>4</v>
      </c>
      <c r="K155" s="30">
        <v>21</v>
      </c>
      <c r="L155" s="30">
        <v>1</v>
      </c>
      <c r="M155" s="30">
        <v>3</v>
      </c>
    </row>
    <row r="156" spans="1:13">
      <c r="A156" s="30">
        <f ca="1" t="shared" si="2"/>
        <v>142</v>
      </c>
      <c r="B156" s="30">
        <f ca="1" t="array" ref="B156">INDEX(Data_DBD!$B:$B,$A156)</f>
        <v>39</v>
      </c>
      <c r="C156" s="30">
        <f ca="1" t="array" ref="C156">INDEX(Data_DBD!$C:$C,$A156)</f>
        <v>2</v>
      </c>
      <c r="D156" s="30">
        <f ca="1" t="array" ref="D156">INDEX(Data_DBD!$D:$D,$A156)</f>
        <v>21</v>
      </c>
      <c r="E156" s="30">
        <f ca="1" t="array" ref="E156">INDEX(Data_DBD!$E:$E,$A156)</f>
        <v>1</v>
      </c>
      <c r="F156" s="30">
        <f ca="1" t="array" ref="F156">INDEX(Data_DBD!$F:$F,$A156)</f>
        <v>3</v>
      </c>
      <c r="H156" s="30">
        <v>67</v>
      </c>
      <c r="I156" s="30">
        <v>21</v>
      </c>
      <c r="J156" s="30">
        <v>3</v>
      </c>
      <c r="K156" s="30">
        <v>10</v>
      </c>
      <c r="L156" s="30">
        <v>1</v>
      </c>
      <c r="M156" s="30">
        <v>2</v>
      </c>
    </row>
    <row r="157" spans="1:13">
      <c r="A157" s="30">
        <f ca="1" t="shared" si="2"/>
        <v>97</v>
      </c>
      <c r="B157" s="30">
        <f ca="1" t="array" ref="B157">INDEX(Data_DBD!$B:$B,$A157)</f>
        <v>16</v>
      </c>
      <c r="C157" s="30">
        <f ca="1" t="array" ref="C157">INDEX(Data_DBD!$C:$C,$A157)</f>
        <v>2</v>
      </c>
      <c r="D157" s="30">
        <f ca="1" t="array" ref="D157">INDEX(Data_DBD!$D:$D,$A157)</f>
        <v>18</v>
      </c>
      <c r="E157" s="30">
        <f ca="1" t="array" ref="E157">INDEX(Data_DBD!$E:$E,$A157)</f>
        <v>1</v>
      </c>
      <c r="F157" s="30">
        <f ca="1" t="array" ref="F157">INDEX(Data_DBD!$F:$F,$A157)</f>
        <v>3</v>
      </c>
      <c r="H157" s="30">
        <v>82</v>
      </c>
      <c r="I157" s="30">
        <v>28</v>
      </c>
      <c r="J157" s="30">
        <v>3</v>
      </c>
      <c r="K157" s="30">
        <v>13</v>
      </c>
      <c r="L157" s="30">
        <v>1</v>
      </c>
      <c r="M157" s="30">
        <v>2</v>
      </c>
    </row>
    <row r="158" ht="15.75" spans="1:13">
      <c r="A158" s="30">
        <f ca="1" t="shared" si="2"/>
        <v>42</v>
      </c>
      <c r="B158" s="30">
        <f ca="1" t="array" ref="B158">INDEX(Data_DBD!$B:$B,$A158)</f>
        <v>21</v>
      </c>
      <c r="C158" s="30">
        <f ca="1" t="array" ref="C158">INDEX(Data_DBD!$C:$C,$A158)</f>
        <v>5</v>
      </c>
      <c r="D158" s="30">
        <f ca="1" t="array" ref="D158">INDEX(Data_DBD!$D:$D,$A158)</f>
        <v>13</v>
      </c>
      <c r="E158" s="30">
        <f ca="1" t="array" ref="E158">INDEX(Data_DBD!$E:$E,$A158)</f>
        <v>1</v>
      </c>
      <c r="F158" s="30">
        <f ca="1" t="array" ref="F158">INDEX(Data_DBD!$F:$F,$A158)</f>
        <v>2</v>
      </c>
      <c r="H158" s="30">
        <v>149</v>
      </c>
      <c r="I158" s="30">
        <v>19</v>
      </c>
      <c r="J158" s="30">
        <v>5</v>
      </c>
      <c r="K158" s="30">
        <v>21</v>
      </c>
      <c r="L158" s="38">
        <v>0</v>
      </c>
      <c r="M158" s="30">
        <v>3</v>
      </c>
    </row>
    <row r="159" ht="15.75" spans="1:13">
      <c r="A159" s="30">
        <f ca="1" t="shared" si="2"/>
        <v>77</v>
      </c>
      <c r="B159" s="30">
        <f ca="1" t="array" ref="B159">INDEX(Data_DBD!$B:$B,$A159)</f>
        <v>16</v>
      </c>
      <c r="C159" s="30">
        <f ca="1" t="array" ref="C159">INDEX(Data_DBD!$C:$C,$A159)</f>
        <v>4</v>
      </c>
      <c r="D159" s="30">
        <f ca="1" t="array" ref="D159">INDEX(Data_DBD!$D:$D,$A159)</f>
        <v>13</v>
      </c>
      <c r="E159" s="30">
        <f ca="1" t="array" ref="E159">INDEX(Data_DBD!$E:$E,$A159)</f>
        <v>1</v>
      </c>
      <c r="F159" s="30">
        <f ca="1" t="array" ref="F159">INDEX(Data_DBD!$F:$F,$A159)</f>
        <v>2</v>
      </c>
      <c r="H159" s="30">
        <v>140</v>
      </c>
      <c r="I159" s="30">
        <v>74</v>
      </c>
      <c r="J159" s="30">
        <v>5</v>
      </c>
      <c r="K159" s="30">
        <v>21</v>
      </c>
      <c r="L159" s="39">
        <v>1</v>
      </c>
      <c r="M159" s="30">
        <v>3</v>
      </c>
    </row>
    <row r="160" ht="15.75" spans="1:13">
      <c r="A160" s="30">
        <f ca="1" t="shared" si="2"/>
        <v>54</v>
      </c>
      <c r="B160" s="30">
        <f ca="1" t="array" ref="B160">INDEX(Data_DBD!$B:$B,$A160)</f>
        <v>7</v>
      </c>
      <c r="C160" s="30">
        <f ca="1" t="array" ref="C160">INDEX(Data_DBD!$C:$C,$A160)</f>
        <v>3</v>
      </c>
      <c r="D160" s="30">
        <f ca="1" t="array" ref="D160">INDEX(Data_DBD!$D:$D,$A160)</f>
        <v>15</v>
      </c>
      <c r="E160" s="30">
        <f ca="1" t="array" ref="E160">INDEX(Data_DBD!$E:$E,$A160)</f>
        <v>0</v>
      </c>
      <c r="F160" s="30">
        <f ca="1" t="array" ref="F160">INDEX(Data_DBD!$F:$F,$A160)</f>
        <v>2</v>
      </c>
      <c r="H160" s="30">
        <v>19</v>
      </c>
      <c r="I160" s="30">
        <v>8</v>
      </c>
      <c r="J160" s="30">
        <v>4</v>
      </c>
      <c r="K160" s="30">
        <v>7</v>
      </c>
      <c r="L160" s="40">
        <v>0</v>
      </c>
      <c r="M160" s="30">
        <v>1</v>
      </c>
    </row>
    <row r="161" ht="15.75" spans="1:13">
      <c r="A161" s="30">
        <f ca="1" t="shared" si="2"/>
        <v>44</v>
      </c>
      <c r="B161" s="30">
        <f ca="1" t="array" ref="B161">INDEX(Data_DBD!$B:$B,$A161)</f>
        <v>28</v>
      </c>
      <c r="C161" s="30">
        <f ca="1" t="array" ref="C161">INDEX(Data_DBD!$C:$C,$A161)</f>
        <v>5</v>
      </c>
      <c r="D161" s="30">
        <f ca="1" t="array" ref="D161">INDEX(Data_DBD!$D:$D,$A161)</f>
        <v>13</v>
      </c>
      <c r="E161" s="30">
        <f ca="1" t="array" ref="E161">INDEX(Data_DBD!$E:$E,$A161)</f>
        <v>1</v>
      </c>
      <c r="F161" s="30">
        <f ca="1" t="array" ref="F161">INDEX(Data_DBD!$F:$F,$A161)</f>
        <v>2</v>
      </c>
      <c r="H161" s="30">
        <v>137</v>
      </c>
      <c r="I161" s="30">
        <v>3.5</v>
      </c>
      <c r="J161" s="30">
        <v>1</v>
      </c>
      <c r="K161" s="30">
        <v>33</v>
      </c>
      <c r="L161" s="40">
        <v>1</v>
      </c>
      <c r="M161" s="30">
        <v>3</v>
      </c>
    </row>
    <row r="162" ht="15.75" spans="1:13">
      <c r="A162" s="30">
        <f ca="1" t="shared" si="2"/>
        <v>83</v>
      </c>
      <c r="B162" s="30">
        <f ca="1" t="array" ref="B162">INDEX(Data_DBD!$B:$B,$A162)</f>
        <v>50</v>
      </c>
      <c r="C162" s="30">
        <f ca="1" t="array" ref="C162">INDEX(Data_DBD!$C:$C,$A162)</f>
        <v>3</v>
      </c>
      <c r="D162" s="30">
        <f ca="1" t="array" ref="D162">INDEX(Data_DBD!$D:$D,$A162)</f>
        <v>13</v>
      </c>
      <c r="E162" s="30">
        <f ca="1" t="array" ref="E162">INDEX(Data_DBD!$E:$E,$A162)</f>
        <v>0</v>
      </c>
      <c r="F162" s="30">
        <f ca="1" t="array" ref="F162">INDEX(Data_DBD!$F:$F,$A162)</f>
        <v>2</v>
      </c>
      <c r="H162" s="30">
        <v>78</v>
      </c>
      <c r="I162" s="30">
        <v>6</v>
      </c>
      <c r="J162" s="30">
        <v>3</v>
      </c>
      <c r="K162" s="30">
        <v>13</v>
      </c>
      <c r="L162" s="39">
        <v>0</v>
      </c>
      <c r="M162" s="30">
        <v>2</v>
      </c>
    </row>
    <row r="163" ht="15.75" spans="1:13">
      <c r="A163" s="30">
        <f ca="1" t="shared" si="2"/>
        <v>44</v>
      </c>
      <c r="B163" s="30">
        <f ca="1" t="array" ref="B163">INDEX(Data_DBD!$B:$B,$A163)</f>
        <v>28</v>
      </c>
      <c r="C163" s="30">
        <f ca="1" t="array" ref="C163">INDEX(Data_DBD!$C:$C,$A163)</f>
        <v>5</v>
      </c>
      <c r="D163" s="30">
        <f ca="1" t="array" ref="D163">INDEX(Data_DBD!$D:$D,$A163)</f>
        <v>13</v>
      </c>
      <c r="E163" s="30">
        <f ca="1" t="array" ref="E163">INDEX(Data_DBD!$E:$E,$A163)</f>
        <v>1</v>
      </c>
      <c r="F163" s="30">
        <f ca="1" t="array" ref="F163">INDEX(Data_DBD!$F:$F,$A163)</f>
        <v>2</v>
      </c>
      <c r="H163" s="30">
        <v>119</v>
      </c>
      <c r="I163" s="30">
        <v>30</v>
      </c>
      <c r="J163" s="30">
        <v>7</v>
      </c>
      <c r="K163" s="30">
        <v>33</v>
      </c>
      <c r="L163" s="40">
        <v>0</v>
      </c>
      <c r="M163" s="30">
        <v>3</v>
      </c>
    </row>
    <row r="164" spans="1:13">
      <c r="A164" s="30">
        <f ca="1" t="shared" si="2"/>
        <v>100</v>
      </c>
      <c r="B164" s="30">
        <f ca="1" t="array" ref="B164">INDEX(Data_DBD!$B:$B,$A164)</f>
        <v>19</v>
      </c>
      <c r="C164" s="30">
        <f ca="1" t="array" ref="C164">INDEX(Data_DBD!$C:$C,$A164)</f>
        <v>6</v>
      </c>
      <c r="D164" s="30">
        <f ca="1" t="array" ref="D164">INDEX(Data_DBD!$D:$D,$A164)</f>
        <v>18</v>
      </c>
      <c r="E164" s="30">
        <f ca="1" t="array" ref="E164">INDEX(Data_DBD!$E:$E,$A164)</f>
        <v>0</v>
      </c>
      <c r="F164" s="30">
        <f ca="1" t="array" ref="F164">INDEX(Data_DBD!$F:$F,$A164)</f>
        <v>3</v>
      </c>
      <c r="H164" s="30">
        <v>5</v>
      </c>
      <c r="I164" s="30">
        <v>18</v>
      </c>
      <c r="J164" s="30">
        <v>2</v>
      </c>
      <c r="K164" s="30">
        <v>12</v>
      </c>
      <c r="L164" s="30">
        <v>1</v>
      </c>
      <c r="M164" s="30">
        <v>2</v>
      </c>
    </row>
    <row r="165" spans="9:12">
      <c r="I165">
        <f>AVERAGE(I2:I164)</f>
        <v>29.3260869565217</v>
      </c>
      <c r="J165">
        <f>AVERAGE(J2:J164)</f>
        <v>3.50306748466258</v>
      </c>
      <c r="K165">
        <f>AVERAGE(K2:K164)</f>
        <v>17.2576687116564</v>
      </c>
      <c r="L165">
        <f>AVERAGE(L2:L164)</f>
        <v>0.56441717791411</v>
      </c>
    </row>
    <row r="166" spans="2:2">
      <c r="B166">
        <v>9890</v>
      </c>
    </row>
    <row r="168" spans="5:20">
      <c r="E168" s="35" t="s">
        <v>183</v>
      </c>
      <c r="J168" s="35" t="s">
        <v>184</v>
      </c>
      <c r="O168" s="35" t="s">
        <v>185</v>
      </c>
      <c r="T168" s="35" t="s">
        <v>186</v>
      </c>
    </row>
    <row r="169" spans="5:22">
      <c r="E169" s="30" t="s">
        <v>1</v>
      </c>
      <c r="F169" s="30">
        <f>AVERAGEIF($I$2:$I$164,"&lt;="&amp;$I$165)</f>
        <v>16.8186274509804</v>
      </c>
      <c r="G169" s="30">
        <f>AVERAGEIF($I$2:$I$164,"&gt;"&amp;$I$165)</f>
        <v>50.9491525423729</v>
      </c>
      <c r="J169" s="30" t="s">
        <v>187</v>
      </c>
      <c r="K169" s="30">
        <f>AVERAGEIF($J$2:$J$164,"&lt;="&amp;$J$165)</f>
        <v>2.52439024390244</v>
      </c>
      <c r="L169" s="30">
        <f>AVERAGEIF($J$2:$J$164,"&gt;"&amp;$J$165)</f>
        <v>4.49382716049383</v>
      </c>
      <c r="O169" s="30" t="s">
        <v>188</v>
      </c>
      <c r="P169" s="30">
        <f>AVERAGEIF($K$2:$K$164,"&lt;="&amp;$K$165)</f>
        <v>12.4141414141414</v>
      </c>
      <c r="Q169" s="30">
        <f>AVERAGEIF($K$2:$K$164,"&gt;"&amp;$K$165)</f>
        <v>24.75</v>
      </c>
      <c r="T169" s="30" t="s">
        <v>189</v>
      </c>
      <c r="U169" s="30">
        <f>AVERAGEIF($L$2:$L$164,"&lt;="&amp;$L$165)</f>
        <v>0</v>
      </c>
      <c r="V169" s="30">
        <f>AVERAGEIF($L$2:$L$164,"&gt;"&amp;$L$165)</f>
        <v>1</v>
      </c>
    </row>
    <row r="170" spans="5:22">
      <c r="E170" s="30" t="str">
        <f t="array" ref="E170:E332">IF($I$2:$I$164&lt;$F$169,"kiri",IF($I$2:$I$164&lt;$G$169,"tengah","kanan"))</f>
        <v>tengah</v>
      </c>
      <c r="F170" s="36" t="s">
        <v>207</v>
      </c>
      <c r="G170" s="30"/>
      <c r="J170" s="30" t="str">
        <f t="array" ref="J170:J332">IF($J$2:$J$164&lt;$K$169,"kiri",IF($J$2:$J$164&lt;$L$169,"tengah","kanan"))</f>
        <v>kanan</v>
      </c>
      <c r="K170" s="36" t="s">
        <v>208</v>
      </c>
      <c r="L170" s="30"/>
      <c r="O170" s="30" t="str">
        <f t="array" ref="O170:O332">IF($K$2:$K$164&lt;$P$169,"kiri",IF($K$2:$K$164&lt;$Q$169,"tengah","kanan"))</f>
        <v>kiri</v>
      </c>
      <c r="P170" s="36" t="s">
        <v>222</v>
      </c>
      <c r="Q170" s="30"/>
      <c r="T170" s="30" t="str">
        <f t="array" ref="T170:T332">IF($L$2:$L$164&lt;$U$169,"kiri",IF($L$2:$L$164&lt;$V$169,"tengah","kanan"))</f>
        <v>tengah</v>
      </c>
      <c r="U170" s="30" t="s">
        <v>193</v>
      </c>
      <c r="V170" s="30"/>
    </row>
    <row r="171" spans="5:22">
      <c r="E171" s="30" t="str">
        <v>tengah</v>
      </c>
      <c r="F171" s="30">
        <f>COUNTIFS($E$170:$E$332,"Kanan",$M$2:$M$164,"1")</f>
        <v>0</v>
      </c>
      <c r="G171" s="30">
        <f>F171/29</f>
        <v>0</v>
      </c>
      <c r="J171" s="30" t="str">
        <v>kiri</v>
      </c>
      <c r="K171" s="30">
        <f t="array" ref="K171">SUMPRODUCT((J170:J332="Kanan")*(M2:M164=1))</f>
        <v>1</v>
      </c>
      <c r="L171" s="30">
        <f>K171/28</f>
        <v>0.0357142857142857</v>
      </c>
      <c r="O171" s="30" t="str">
        <v>kanan</v>
      </c>
      <c r="P171" s="30">
        <f>COUNTIFS($O$170:$O$332,"Kanan",$M$2:$M$164,"1")</f>
        <v>0</v>
      </c>
      <c r="Q171" s="30">
        <f>P171/25</f>
        <v>0</v>
      </c>
      <c r="T171" s="30" t="str">
        <v>tengah</v>
      </c>
      <c r="U171" s="30">
        <f>COUNTIFS($T$170:$T$332,"Kanan",$M$2:$M$164,"1")</f>
        <v>4</v>
      </c>
      <c r="V171" s="30">
        <f>U171/83</f>
        <v>0.0481927710843374</v>
      </c>
    </row>
    <row r="172" spans="5:22">
      <c r="E172" s="30" t="str">
        <v>tengah</v>
      </c>
      <c r="F172" s="30">
        <f>COUNTIFS($E$170:$E$332,"Kanan",$M$2:$M$164,"2")</f>
        <v>15</v>
      </c>
      <c r="G172" s="30">
        <f t="shared" ref="G172:G173" si="3">F172/29</f>
        <v>0.517241379310345</v>
      </c>
      <c r="J172" s="30" t="str">
        <v>kiri</v>
      </c>
      <c r="K172" s="30">
        <f>COUNTIFS($J$170:$J$332,"Kanan",$M$2:$M$164,"2")</f>
        <v>17</v>
      </c>
      <c r="L172" s="30">
        <f t="shared" ref="L172:L173" si="4">K172/28</f>
        <v>0.607142857142857</v>
      </c>
      <c r="O172" s="30" t="str">
        <v>kiri</v>
      </c>
      <c r="P172" s="30">
        <f>COUNTIFS($O$170:$O$332,"Kanan",$M$2:$M$164,"2")</f>
        <v>0</v>
      </c>
      <c r="Q172" s="30">
        <f t="shared" ref="Q172:Q173" si="5">P172/25</f>
        <v>0</v>
      </c>
      <c r="T172" s="30" t="str">
        <v>kanan</v>
      </c>
      <c r="U172" s="30">
        <f>COUNTIFS($T$170:$T$332,"Kanan",$M$2:$M$164,"2")</f>
        <v>49</v>
      </c>
      <c r="V172" s="30">
        <f t="shared" ref="V172:V173" si="6">U172/83</f>
        <v>0.590361445783133</v>
      </c>
    </row>
    <row r="173" spans="5:22">
      <c r="E173" s="30" t="str">
        <v>kiri</v>
      </c>
      <c r="F173" s="30">
        <f t="array" ref="F173">SUMPRODUCT((E170:E332="KANAN")*(M2:M164=3))</f>
        <v>14</v>
      </c>
      <c r="G173" s="30">
        <f t="shared" si="3"/>
        <v>0.482758620689655</v>
      </c>
      <c r="J173" s="30" t="str">
        <v>tengah</v>
      </c>
      <c r="K173" s="30">
        <f>COUNTIFS($J$170:$J$332,"Kanan",$M$2:$M$164,"3")</f>
        <v>10</v>
      </c>
      <c r="L173" s="30">
        <f t="shared" si="4"/>
        <v>0.357142857142857</v>
      </c>
      <c r="O173" s="30" t="str">
        <v>kiri</v>
      </c>
      <c r="P173" s="30">
        <f>COUNTIFS($O$170:$O$332,"Kanan",$M$2:$M$164,"3")</f>
        <v>25</v>
      </c>
      <c r="Q173" s="30">
        <f t="shared" si="5"/>
        <v>1</v>
      </c>
      <c r="T173" s="30" t="str">
        <v>tengah</v>
      </c>
      <c r="U173" s="30">
        <f>COUNTIFS($T$170:$T$332,"Kanan",$M$2:$M$164,"3")</f>
        <v>39</v>
      </c>
      <c r="V173" s="30">
        <f t="shared" si="6"/>
        <v>0.469879518072289</v>
      </c>
    </row>
    <row r="174" spans="5:22">
      <c r="E174" s="30" t="str">
        <v>tengah</v>
      </c>
      <c r="F174" s="30" t="s">
        <v>194</v>
      </c>
      <c r="G174" s="30">
        <f>-(IFERROR(G171*LOG(G171,2),0)+IFERROR(G172*LOG(G172,2),0)+IFERROR(G173*LOG(G173,2),0))</f>
        <v>0.999142103991909</v>
      </c>
      <c r="J174" s="30" t="str">
        <v>tengah</v>
      </c>
      <c r="K174" s="30" t="s">
        <v>194</v>
      </c>
      <c r="L174" s="30">
        <f>-(IFERROR(L171*LOG(L171,2),0)+IFERROR(L172*LOG(L172,2),0)+IFERROR(L173*LOG(L173,2),0))</f>
        <v>1.13927816312441</v>
      </c>
      <c r="O174" s="30" t="str">
        <v>kanan</v>
      </c>
      <c r="P174" s="30" t="s">
        <v>194</v>
      </c>
      <c r="Q174" s="30">
        <f>-(IFERROR(Q171*LOG(Q171,2),0)+IFERROR(Q172*LOG(Q172,2),0)+IFERROR(Q173*LOG(Q173,2),0))</f>
        <v>0</v>
      </c>
      <c r="T174" s="30" t="str">
        <v>kanan</v>
      </c>
      <c r="U174" s="30" t="s">
        <v>194</v>
      </c>
      <c r="V174" s="30">
        <f>-(IFERROR(V171*LOG(V171,2),0)+IFERROR(V172*LOG(V172,2),0)+IFERROR(V173*LOG(V173,2),0))</f>
        <v>1.17171275646559</v>
      </c>
    </row>
    <row r="175" spans="5:22">
      <c r="E175" s="30" t="str">
        <v>kiri</v>
      </c>
      <c r="F175" s="30"/>
      <c r="G175" s="30">
        <f>SUM(F171:F173)/163</f>
        <v>0.177914110429448</v>
      </c>
      <c r="J175" s="30" t="str">
        <v>kiri</v>
      </c>
      <c r="K175" s="30"/>
      <c r="L175" s="30">
        <f>SUM(K171:K173)/163</f>
        <v>0.171779141104294</v>
      </c>
      <c r="O175" s="30" t="str">
        <v>kanan</v>
      </c>
      <c r="P175" s="30"/>
      <c r="Q175" s="30">
        <f>SUM(P171:P173)/163</f>
        <v>0.153374233128834</v>
      </c>
      <c r="T175" s="30" t="str">
        <v>tengah</v>
      </c>
      <c r="U175" s="30"/>
      <c r="V175" s="30">
        <f>SUM(U171:U173)/163</f>
        <v>0.56441717791411</v>
      </c>
    </row>
    <row r="176" spans="5:22">
      <c r="E176" s="30" t="str">
        <v>kiri</v>
      </c>
      <c r="F176" s="30"/>
      <c r="G176" s="37">
        <f>G174*G175</f>
        <v>0.177761478624327</v>
      </c>
      <c r="J176" s="30" t="str">
        <v>kiri</v>
      </c>
      <c r="K176" s="30"/>
      <c r="L176" s="37">
        <f>L174*L175</f>
        <v>0.19570422434039</v>
      </c>
      <c r="O176" s="30" t="str">
        <v>tengah</v>
      </c>
      <c r="P176" s="30"/>
      <c r="Q176" s="37">
        <f>Q174*Q175</f>
        <v>0</v>
      </c>
      <c r="T176" s="30" t="str">
        <v>kanan</v>
      </c>
      <c r="U176" s="30"/>
      <c r="V176" s="37">
        <f>V174*V175</f>
        <v>0.661334807330273</v>
      </c>
    </row>
    <row r="177" spans="5:22">
      <c r="E177" s="30" t="str">
        <v>kanan</v>
      </c>
      <c r="F177" s="30"/>
      <c r="G177" s="30"/>
      <c r="J177" s="30" t="str">
        <v>kiri</v>
      </c>
      <c r="K177" s="30"/>
      <c r="L177" s="30"/>
      <c r="O177" s="30" t="str">
        <v>tengah</v>
      </c>
      <c r="P177" s="30"/>
      <c r="Q177" s="30"/>
      <c r="T177" s="30" t="str">
        <v>kanan</v>
      </c>
      <c r="U177" s="30"/>
      <c r="V177" s="30"/>
    </row>
    <row r="178" spans="5:22">
      <c r="E178" s="30" t="str">
        <v>kanan</v>
      </c>
      <c r="F178" s="30"/>
      <c r="G178" s="30"/>
      <c r="J178" s="30" t="str">
        <v>tengah</v>
      </c>
      <c r="K178" s="30"/>
      <c r="L178" s="30"/>
      <c r="O178" s="30" t="str">
        <v>tengah</v>
      </c>
      <c r="P178" s="30"/>
      <c r="Q178" s="30"/>
      <c r="T178" s="30" t="str">
        <v>kanan</v>
      </c>
      <c r="U178" s="30"/>
      <c r="V178" s="30"/>
    </row>
    <row r="179" spans="5:22">
      <c r="E179" s="30" t="str">
        <v>tengah</v>
      </c>
      <c r="F179" s="36" t="s">
        <v>210</v>
      </c>
      <c r="G179" s="30"/>
      <c r="J179" s="30" t="str">
        <v>tengah</v>
      </c>
      <c r="K179" s="36" t="s">
        <v>211</v>
      </c>
      <c r="L179" s="30"/>
      <c r="O179" s="30" t="str">
        <v>tengah</v>
      </c>
      <c r="P179" s="36" t="s">
        <v>219</v>
      </c>
      <c r="Q179" s="30"/>
      <c r="T179" s="30" t="str">
        <v>tengah</v>
      </c>
      <c r="U179" s="30" t="s">
        <v>198</v>
      </c>
      <c r="V179" s="30"/>
    </row>
    <row r="180" spans="5:22">
      <c r="E180" s="30" t="str">
        <v>kanan</v>
      </c>
      <c r="F180" s="30">
        <f t="array" ref="F180">SUMPRODUCT((E170:E332="kiri")*(M2:M164=1))</f>
        <v>4</v>
      </c>
      <c r="G180" s="30">
        <f>F180/45</f>
        <v>0.0888888888888889</v>
      </c>
      <c r="J180" s="30" t="str">
        <v>tengah</v>
      </c>
      <c r="K180" s="30">
        <f>COUNTIFS($J$170:$J$332,"Kiri",$M$2:$M$164,"1")</f>
        <v>0</v>
      </c>
      <c r="L180" s="30">
        <f>K180/32</f>
        <v>0</v>
      </c>
      <c r="O180" s="30" t="str">
        <v>tengah</v>
      </c>
      <c r="P180" s="30">
        <f>COUNTIFS($O$170:$O$332,"Kiri",$M$2:$M$164,"1")</f>
        <v>8</v>
      </c>
      <c r="Q180" s="30">
        <f>P180/34</f>
        <v>0.235294117647059</v>
      </c>
      <c r="T180" s="30" t="str">
        <v>tengah</v>
      </c>
      <c r="U180" s="30">
        <f>COUNTIFS($T$170:$T$332,"Kiri",$M$2:$M$164,"1")</f>
        <v>0</v>
      </c>
      <c r="V180" s="30">
        <f>U180/57</f>
        <v>0</v>
      </c>
    </row>
    <row r="181" spans="5:22">
      <c r="E181" s="30" t="str">
        <v>kanan</v>
      </c>
      <c r="F181" s="30">
        <f t="array" ref="F181">SUMPRODUCT((E170:E332="kiri")*(M2:M164=2))</f>
        <v>20</v>
      </c>
      <c r="G181" s="30">
        <f t="shared" ref="G181:G182" si="7">F181/45</f>
        <v>0.444444444444444</v>
      </c>
      <c r="J181" s="30" t="str">
        <v>tengah</v>
      </c>
      <c r="K181" s="30">
        <f>COUNTIFS($J$170:$J$332,"Kiri",$M$2:$M$164,"2")</f>
        <v>14</v>
      </c>
      <c r="L181" s="30">
        <f t="shared" ref="L181:L182" si="8">K181/32</f>
        <v>0.4375</v>
      </c>
      <c r="O181" s="30" t="str">
        <v>tengah</v>
      </c>
      <c r="P181" s="30">
        <f>COUNTIFS($O$170:$O$332,"Kiri",$M$2:$M$164,"2")</f>
        <v>26</v>
      </c>
      <c r="Q181" s="30">
        <f t="shared" ref="Q181:Q182" si="9">P181/34</f>
        <v>0.764705882352941</v>
      </c>
      <c r="T181" s="30" t="str">
        <v>tengah</v>
      </c>
      <c r="U181" s="30">
        <f>COUNTIFS($T$170:$T$332,"Kiri",$M$2:$M$164,"2")</f>
        <v>0</v>
      </c>
      <c r="V181" s="30">
        <f>U181/57</f>
        <v>0</v>
      </c>
    </row>
    <row r="182" spans="5:22">
      <c r="E182" s="30" t="str">
        <v>kanan</v>
      </c>
      <c r="F182" s="30">
        <f t="array" ref="F182">SUMPRODUCT((E170:E332="kiri")*(M2:M164=3))</f>
        <v>21</v>
      </c>
      <c r="G182" s="30">
        <f t="shared" si="7"/>
        <v>0.466666666666667</v>
      </c>
      <c r="J182" s="30" t="str">
        <v>kiri</v>
      </c>
      <c r="K182" s="30">
        <f>COUNTIFS($J$170:$J$332,"Kiri",$M$2:$M$164,"3")</f>
        <v>18</v>
      </c>
      <c r="L182" s="30">
        <f t="shared" si="8"/>
        <v>0.5625</v>
      </c>
      <c r="O182" s="30" t="str">
        <v>tengah</v>
      </c>
      <c r="P182" s="30">
        <f>COUNTIFS($O$170:$O$332,"Kiri",$M$2:$M$164,"3")</f>
        <v>0</v>
      </c>
      <c r="Q182" s="30">
        <f t="shared" si="9"/>
        <v>0</v>
      </c>
      <c r="T182" s="30" t="str">
        <v>tengah</v>
      </c>
      <c r="U182" s="30">
        <f>COUNTIFS($T$170:$T$332,"Kiri",$M$2:$M$164,"3")</f>
        <v>0</v>
      </c>
      <c r="V182" s="30">
        <f>U182/57</f>
        <v>0</v>
      </c>
    </row>
    <row r="183" spans="5:22">
      <c r="E183" s="30" t="str">
        <v>kiri</v>
      </c>
      <c r="F183" s="30" t="s">
        <v>194</v>
      </c>
      <c r="G183" s="30">
        <f>-(IFERROR(G180*LOG(G180,2),0)+IFERROR(G181*LOG(G181,2),0)+IFERROR(G182*LOG(G182,2),0))</f>
        <v>1.34347025686076</v>
      </c>
      <c r="J183" s="30" t="str">
        <v>kiri</v>
      </c>
      <c r="K183" s="30" t="s">
        <v>194</v>
      </c>
      <c r="L183" s="30">
        <f>-(IFERROR(L180*LOG(L180,2),0)+IFERROR(L181*LOG(L181,2),0)+IFERROR(L182*LOG(L182,2),0))</f>
        <v>0.988699408288497</v>
      </c>
      <c r="O183" s="30" t="str">
        <v>tengah</v>
      </c>
      <c r="P183" s="30" t="s">
        <v>194</v>
      </c>
      <c r="Q183" s="30">
        <f>-(IFERROR(Q180*LOG(Q180,2),0)+IFERROR(Q181*LOG(Q181,2),0)+IFERROR(Q182*LOG(Q182,2),0))</f>
        <v>0.787126586201269</v>
      </c>
      <c r="T183" s="30" t="str">
        <v>kanan</v>
      </c>
      <c r="U183" s="30" t="s">
        <v>194</v>
      </c>
      <c r="V183" s="30">
        <f>-(IFERROR(V180*LOG(V180,2),0)+IFERROR(V181*LOG(V181,2),0)+IFERROR(V182*LOG(V182,2),0))</f>
        <v>0</v>
      </c>
    </row>
    <row r="184" spans="5:22">
      <c r="E184" s="30" t="str">
        <v>tengah</v>
      </c>
      <c r="F184" s="30"/>
      <c r="G184" s="30">
        <f>SUM(F180:F182)/163</f>
        <v>0.276073619631902</v>
      </c>
      <c r="J184" s="30" t="str">
        <v>tengah</v>
      </c>
      <c r="K184" s="30"/>
      <c r="L184" s="30">
        <f>SUM(K180:K182)/163</f>
        <v>0.196319018404908</v>
      </c>
      <c r="O184" s="30" t="str">
        <v>kiri</v>
      </c>
      <c r="P184" s="30"/>
      <c r="Q184" s="30">
        <f>SUM(P180:P182)/163</f>
        <v>0.208588957055215</v>
      </c>
      <c r="T184" s="30" t="str">
        <v>kanan</v>
      </c>
      <c r="U184" s="30"/>
      <c r="V184" s="30">
        <f>SUM(U180:U182)/163</f>
        <v>0</v>
      </c>
    </row>
    <row r="185" spans="5:22">
      <c r="E185" s="30" t="str">
        <v>tengah</v>
      </c>
      <c r="F185" s="30"/>
      <c r="G185" s="37">
        <f>G183*G184</f>
        <v>0.370896696679351</v>
      </c>
      <c r="J185" s="30" t="str">
        <v>kiri</v>
      </c>
      <c r="K185" s="30"/>
      <c r="L185" s="37">
        <f>L183*L184</f>
        <v>0.194100497332711</v>
      </c>
      <c r="O185" s="30" t="str">
        <v>tengah</v>
      </c>
      <c r="P185" s="30"/>
      <c r="Q185" s="37">
        <f>Q183*Q184</f>
        <v>0.164185913686154</v>
      </c>
      <c r="T185" s="30" t="str">
        <v>kanan</v>
      </c>
      <c r="U185" s="30"/>
      <c r="V185" s="37">
        <f>V183*V184</f>
        <v>0</v>
      </c>
    </row>
    <row r="186" spans="5:22">
      <c r="E186" s="30" t="str">
        <v>tengah</v>
      </c>
      <c r="F186" s="30"/>
      <c r="G186" s="30"/>
      <c r="J186" s="30" t="str">
        <v>kanan</v>
      </c>
      <c r="K186" s="30"/>
      <c r="L186" s="30"/>
      <c r="O186" s="30" t="str">
        <v>kiri</v>
      </c>
      <c r="P186" s="30"/>
      <c r="Q186" s="30"/>
      <c r="T186" s="30" t="str">
        <v>tengah</v>
      </c>
      <c r="U186" s="30"/>
      <c r="V186" s="30"/>
    </row>
    <row r="187" spans="5:22">
      <c r="E187" s="30" t="str">
        <v>tengah</v>
      </c>
      <c r="F187" s="30"/>
      <c r="G187" s="30"/>
      <c r="J187" s="30" t="str">
        <v>kiri</v>
      </c>
      <c r="K187" s="30"/>
      <c r="L187" s="30"/>
      <c r="O187" s="30" t="str">
        <v>tengah</v>
      </c>
      <c r="P187" s="30"/>
      <c r="Q187" s="30"/>
      <c r="T187" s="30" t="str">
        <v>tengah</v>
      </c>
      <c r="U187" s="30"/>
      <c r="V187" s="30"/>
    </row>
    <row r="188" spans="5:22">
      <c r="E188" s="30" t="str">
        <v>tengah</v>
      </c>
      <c r="F188" s="30" t="s">
        <v>199</v>
      </c>
      <c r="G188" s="30"/>
      <c r="J188" s="30" t="str">
        <v>tengah</v>
      </c>
      <c r="K188" s="30" t="s">
        <v>199</v>
      </c>
      <c r="L188" s="30"/>
      <c r="O188" s="30" t="str">
        <v>kiri</v>
      </c>
      <c r="P188" s="30" t="s">
        <v>199</v>
      </c>
      <c r="Q188" s="30"/>
      <c r="T188" s="30" t="str">
        <v>kanan</v>
      </c>
      <c r="U188" s="30" t="s">
        <v>199</v>
      </c>
      <c r="V188" s="30"/>
    </row>
    <row r="189" spans="5:22">
      <c r="E189" s="30" t="str">
        <v>tengah</v>
      </c>
      <c r="F189" s="30">
        <f t="array" ref="F189">SUMPRODUCT((E170:E332="tengah")*(M2:M164=1))</f>
        <v>4</v>
      </c>
      <c r="G189" s="30">
        <f>F189/89</f>
        <v>0.0449438202247191</v>
      </c>
      <c r="J189" s="30" t="str">
        <v>kiri</v>
      </c>
      <c r="K189" s="30">
        <f>COUNTIFS($J$170:$J$332,"Tengah",$M$2:$M$164,"1")</f>
        <v>7</v>
      </c>
      <c r="L189" s="30">
        <f>K189/103</f>
        <v>0.0679611650485437</v>
      </c>
      <c r="O189" s="30" t="str">
        <v>tengah</v>
      </c>
      <c r="P189" s="30">
        <f>COUNTIFS($O$170:$O$332,"Tengah",$M$2:$M$164,"1")</f>
        <v>0</v>
      </c>
      <c r="Q189" s="30">
        <f>P189/104</f>
        <v>0</v>
      </c>
      <c r="T189" s="30" t="str">
        <v>tengah</v>
      </c>
      <c r="U189" s="30">
        <f>COUNTIFS($T$170:$T$332,"Tengah",$M$2:$M$164,"1")</f>
        <v>4</v>
      </c>
      <c r="V189" s="30">
        <f>U189/82</f>
        <v>0.0487804878048781</v>
      </c>
    </row>
    <row r="190" spans="5:22">
      <c r="E190" s="30" t="str">
        <v>kiri</v>
      </c>
      <c r="F190" s="30">
        <f t="array" ref="F190">SUMPRODUCT((E170:E332="tengah")*(M2:M164=2))</f>
        <v>56</v>
      </c>
      <c r="G190" s="30">
        <f t="shared" ref="G190:G191" si="10">F190/89</f>
        <v>0.629213483146067</v>
      </c>
      <c r="J190" s="30" t="str">
        <v>tengah</v>
      </c>
      <c r="K190" s="30">
        <f>COUNTIFS($J$170:$J$332,"Tengah",$M$2:$M$164,"2")</f>
        <v>60</v>
      </c>
      <c r="L190" s="30">
        <f t="shared" ref="L190:L191" si="11">K190/103</f>
        <v>0.58252427184466</v>
      </c>
      <c r="O190" s="30" t="str">
        <v>tengah</v>
      </c>
      <c r="P190" s="30">
        <f>COUNTIFS($O$170:$O$332,"Tengah",$M$2:$M$164,"2")</f>
        <v>65</v>
      </c>
      <c r="Q190" s="30">
        <f t="shared" ref="Q190:Q191" si="12">P190/104</f>
        <v>0.625</v>
      </c>
      <c r="T190" s="30" t="str">
        <v>tengah</v>
      </c>
      <c r="U190" s="30">
        <f>COUNTIFS($T$170:$T$332,"Tengah",$M$2:$M$164,"2")</f>
        <v>42</v>
      </c>
      <c r="V190" s="30">
        <f t="shared" ref="V190:V191" si="13">U190/82</f>
        <v>0.51219512195122</v>
      </c>
    </row>
    <row r="191" spans="5:22">
      <c r="E191" s="30" t="str">
        <v>kanan</v>
      </c>
      <c r="F191" s="30">
        <f t="array" ref="F191">SUMPRODUCT((E170:E332="tengah")*(M2:M164=3))</f>
        <v>29</v>
      </c>
      <c r="G191" s="30">
        <f t="shared" si="10"/>
        <v>0.325842696629214</v>
      </c>
      <c r="J191" s="30" t="str">
        <v>tengah</v>
      </c>
      <c r="K191" s="30">
        <f>COUNTIFS($J$170:$J$332,"Tengah",$M$2:$M$164,"3")</f>
        <v>36</v>
      </c>
      <c r="L191" s="30">
        <f t="shared" si="11"/>
        <v>0.349514563106796</v>
      </c>
      <c r="O191" s="30" t="str">
        <v>tengah</v>
      </c>
      <c r="P191" s="30">
        <f>COUNTIFS($O$170:$O$332,"Tengah",$M$2:$M$164,"3")</f>
        <v>39</v>
      </c>
      <c r="Q191" s="30">
        <f t="shared" si="12"/>
        <v>0.375</v>
      </c>
      <c r="T191" s="30" t="str">
        <v>tengah</v>
      </c>
      <c r="U191" s="30">
        <f>COUNTIFS($T$170:$T$332,"Tengah",$M$2:$M$164,"3")</f>
        <v>25</v>
      </c>
      <c r="V191" s="30">
        <f t="shared" si="13"/>
        <v>0.304878048780488</v>
      </c>
    </row>
    <row r="192" spans="5:22">
      <c r="E192" s="30" t="str">
        <v>kiri</v>
      </c>
      <c r="F192" s="30" t="s">
        <v>194</v>
      </c>
      <c r="G192" s="30">
        <f>-(IFERROR(G189*LOG(G189,2),0)+IFERROR(G190*LOG(G190,2),0)+IFERROR(G191*LOG(G191,2),0))</f>
        <v>1.1488421445178</v>
      </c>
      <c r="J192" s="30" t="str">
        <v>tengah</v>
      </c>
      <c r="K192" s="30" t="s">
        <v>194</v>
      </c>
      <c r="L192" s="30">
        <f>-(IFERROR(L189*LOG(L189,2),0)+IFERROR(L190*LOG(L190,2),0)+IFERROR(L191*LOG(L191,2),0))</f>
        <v>1.24783819472848</v>
      </c>
      <c r="O192" s="30" t="str">
        <v>tengah</v>
      </c>
      <c r="P192" s="30" t="s">
        <v>194</v>
      </c>
      <c r="Q192" s="30">
        <f>-(IFERROR(Q189*LOG(Q189,2),0)+IFERROR(Q190*LOG(Q190,2),0)+IFERROR(Q191*LOG(Q191,2),0))</f>
        <v>0.954434002924965</v>
      </c>
      <c r="T192" s="30" t="str">
        <v>tengah</v>
      </c>
      <c r="U192" s="30" t="s">
        <v>194</v>
      </c>
      <c r="V192" s="30">
        <f>-(IFERROR(V189*LOG(V189,2),0)+IFERROR(V190*LOG(V190,2),0)+IFERROR(V191*LOG(V191,2),0))</f>
        <v>1.22942019300985</v>
      </c>
    </row>
    <row r="193" spans="5:22">
      <c r="E193" s="30" t="str">
        <v>kanan</v>
      </c>
      <c r="F193" s="30"/>
      <c r="G193" s="30">
        <f>SUM(F189:F191)/163</f>
        <v>0.54601226993865</v>
      </c>
      <c r="J193" s="30" t="str">
        <v>tengah</v>
      </c>
      <c r="K193" s="30"/>
      <c r="L193" s="30">
        <f>SUM(K189:K191)/163</f>
        <v>0.631901840490798</v>
      </c>
      <c r="O193" s="30" t="str">
        <v>kanan</v>
      </c>
      <c r="P193" s="30"/>
      <c r="Q193" s="30">
        <f>SUM(P189:P191)/163</f>
        <v>0.638036809815951</v>
      </c>
      <c r="T193" s="30" t="str">
        <v>kanan</v>
      </c>
      <c r="U193" s="30"/>
      <c r="V193" s="30">
        <f>SUM(U189:U191)/163</f>
        <v>0.43558282208589</v>
      </c>
    </row>
    <row r="194" spans="5:22">
      <c r="E194" s="30" t="str">
        <v>tengah</v>
      </c>
      <c r="F194" s="30"/>
      <c r="G194" s="37">
        <f>G192*G193</f>
        <v>0.62728190712935</v>
      </c>
      <c r="J194" s="30" t="str">
        <v>kanan</v>
      </c>
      <c r="K194" s="30"/>
      <c r="L194" s="37">
        <f>L192*L193</f>
        <v>0.788511251883644</v>
      </c>
      <c r="O194" s="30" t="str">
        <v>tengah</v>
      </c>
      <c r="P194" s="30"/>
      <c r="Q194" s="37">
        <f>Q192*Q193</f>
        <v>0.608964026406113</v>
      </c>
      <c r="T194" s="30" t="str">
        <v>tengah</v>
      </c>
      <c r="U194" s="30"/>
      <c r="V194" s="37">
        <f>V192*V193</f>
        <v>0.53551431720061</v>
      </c>
    </row>
    <row r="195" spans="5:22">
      <c r="E195" s="30" t="str">
        <v>kiri</v>
      </c>
      <c r="F195" s="30"/>
      <c r="G195" s="30"/>
      <c r="J195" s="30" t="str">
        <v>kiri</v>
      </c>
      <c r="K195" s="30"/>
      <c r="L195" s="30"/>
      <c r="O195" s="30" t="str">
        <v>kiri</v>
      </c>
      <c r="P195" s="30"/>
      <c r="Q195" s="30"/>
      <c r="T195" s="30" t="str">
        <v>kanan</v>
      </c>
      <c r="U195" s="30"/>
      <c r="V195" s="30"/>
    </row>
    <row r="196" spans="5:22">
      <c r="E196" s="30" t="str">
        <v>kiri</v>
      </c>
      <c r="F196" s="30" t="s">
        <v>200</v>
      </c>
      <c r="G196" s="36" t="s">
        <v>194</v>
      </c>
      <c r="J196" s="30" t="str">
        <v>kanan</v>
      </c>
      <c r="K196" s="30" t="s">
        <v>200</v>
      </c>
      <c r="L196" s="36" t="s">
        <v>194</v>
      </c>
      <c r="O196" s="30" t="str">
        <v>kiri</v>
      </c>
      <c r="P196" s="30" t="s">
        <v>200</v>
      </c>
      <c r="Q196" s="36" t="s">
        <v>194</v>
      </c>
      <c r="T196" s="30" t="str">
        <v>kanan</v>
      </c>
      <c r="U196" s="30" t="s">
        <v>200</v>
      </c>
      <c r="V196" s="36" t="s">
        <v>194</v>
      </c>
    </row>
    <row r="197" spans="5:22">
      <c r="E197" s="30" t="str">
        <v>kanan</v>
      </c>
      <c r="F197" s="41">
        <f>P5-(G176+G185+G194)</f>
        <v>0.0365346223619682</v>
      </c>
      <c r="G197" s="37">
        <f>(G176+G185+G194)</f>
        <v>1.17594008243303</v>
      </c>
      <c r="J197" s="30" t="str">
        <v>kanan</v>
      </c>
      <c r="K197" s="41">
        <f>P5-(L176+L185+L194)</f>
        <v>0.0341587312382512</v>
      </c>
      <c r="L197" s="37">
        <f>(L176+L185+L194)</f>
        <v>1.17831597355674</v>
      </c>
      <c r="O197" s="30" t="str">
        <v>tengah</v>
      </c>
      <c r="P197" s="41">
        <f>P5-(Q176+Q185+Q194)</f>
        <v>0.439324764702729</v>
      </c>
      <c r="Q197" s="37">
        <f>(Q176+Q185+Q194)</f>
        <v>0.773149940092267</v>
      </c>
      <c r="T197" s="30" t="str">
        <v>kanan</v>
      </c>
      <c r="U197" s="41">
        <f>P5-(V176+V185+V194)</f>
        <v>0.0156255802641119</v>
      </c>
      <c r="V197" s="37">
        <f>(V176+V185+V194)</f>
        <v>1.19684912453088</v>
      </c>
    </row>
    <row r="198" spans="5:22">
      <c r="E198" s="30" t="str">
        <v>kanan</v>
      </c>
      <c r="F198" s="30"/>
      <c r="G198" s="30"/>
      <c r="J198" s="30" t="str">
        <v>tengah</v>
      </c>
      <c r="K198" s="30"/>
      <c r="L198" s="30"/>
      <c r="O198" s="30" t="str">
        <v>tengah</v>
      </c>
      <c r="P198" s="30"/>
      <c r="Q198" s="30"/>
      <c r="T198" s="30" t="str">
        <v>tengah</v>
      </c>
      <c r="U198" s="30"/>
      <c r="V198" s="30"/>
    </row>
    <row r="199" spans="5:22">
      <c r="E199" s="30" t="str">
        <v>tengah</v>
      </c>
      <c r="F199" s="30"/>
      <c r="G199" s="30"/>
      <c r="J199" s="30" t="str">
        <v>tengah</v>
      </c>
      <c r="K199" s="30"/>
      <c r="L199" s="30"/>
      <c r="O199" s="30" t="str">
        <v>tengah</v>
      </c>
      <c r="P199" s="30"/>
      <c r="Q199" s="30"/>
      <c r="T199" s="30" t="str">
        <v>kanan</v>
      </c>
      <c r="U199" s="30"/>
      <c r="V199" s="30"/>
    </row>
    <row r="200" spans="5:22">
      <c r="E200" s="30" t="str">
        <v>kiri</v>
      </c>
      <c r="F200" s="30"/>
      <c r="G200" s="30"/>
      <c r="J200" s="30" t="str">
        <v>kiri</v>
      </c>
      <c r="K200" s="30"/>
      <c r="L200" s="30"/>
      <c r="O200" s="30" t="str">
        <v>kanan</v>
      </c>
      <c r="P200" s="30"/>
      <c r="Q200" s="30"/>
      <c r="T200" s="30" t="str">
        <v>tengah</v>
      </c>
      <c r="U200" s="30"/>
      <c r="V200" s="30"/>
    </row>
    <row r="201" spans="5:22">
      <c r="E201" s="30" t="str">
        <v>tengah</v>
      </c>
      <c r="F201" s="30"/>
      <c r="G201" s="30"/>
      <c r="J201" s="30" t="str">
        <v>tengah</v>
      </c>
      <c r="K201" s="30"/>
      <c r="L201" s="30"/>
      <c r="O201" s="30" t="str">
        <v>tengah</v>
      </c>
      <c r="P201" s="30"/>
      <c r="Q201" s="30"/>
      <c r="T201" s="30" t="str">
        <v>tengah</v>
      </c>
      <c r="U201" s="30"/>
      <c r="V201" s="30"/>
    </row>
    <row r="202" spans="5:22">
      <c r="E202" s="30" t="str">
        <v>kiri</v>
      </c>
      <c r="F202" s="30"/>
      <c r="G202" s="30"/>
      <c r="J202" s="30" t="str">
        <v>kiri</v>
      </c>
      <c r="K202" s="30"/>
      <c r="L202" s="30"/>
      <c r="O202" s="30" t="str">
        <v>kanan</v>
      </c>
      <c r="P202" s="30"/>
      <c r="Q202" s="30"/>
      <c r="T202" s="30" t="str">
        <v>kanan</v>
      </c>
      <c r="U202" s="30"/>
      <c r="V202" s="30"/>
    </row>
    <row r="203" spans="5:22">
      <c r="E203" s="30" t="str">
        <v>tengah</v>
      </c>
      <c r="F203" s="30"/>
      <c r="G203" s="30"/>
      <c r="J203" s="30" t="str">
        <v>kiri</v>
      </c>
      <c r="K203" s="30"/>
      <c r="L203" s="30"/>
      <c r="O203" s="30" t="str">
        <v>tengah</v>
      </c>
      <c r="P203" s="30"/>
      <c r="Q203" s="30"/>
      <c r="T203" s="30" t="str">
        <v>kanan</v>
      </c>
      <c r="U203" s="30"/>
      <c r="V203" s="30"/>
    </row>
    <row r="204" spans="5:22">
      <c r="E204" s="30" t="str">
        <v>tengah</v>
      </c>
      <c r="F204" s="30"/>
      <c r="G204" s="30"/>
      <c r="J204" s="30" t="str">
        <v>tengah</v>
      </c>
      <c r="K204" s="30"/>
      <c r="L204" s="30"/>
      <c r="O204" s="30" t="str">
        <v>tengah</v>
      </c>
      <c r="P204" s="30"/>
      <c r="Q204" s="30"/>
      <c r="T204" s="30" t="str">
        <v>kanan</v>
      </c>
      <c r="U204" s="30"/>
      <c r="V204" s="30"/>
    </row>
    <row r="205" spans="5:22">
      <c r="E205" s="30" t="str">
        <v>kanan</v>
      </c>
      <c r="F205" s="30"/>
      <c r="G205" s="30"/>
      <c r="J205" s="30" t="str">
        <v>tengah</v>
      </c>
      <c r="K205" s="30"/>
      <c r="L205" s="30"/>
      <c r="O205" s="30" t="str">
        <v>tengah</v>
      </c>
      <c r="P205" s="30"/>
      <c r="Q205" s="30"/>
      <c r="T205" s="30" t="str">
        <v>tengah</v>
      </c>
      <c r="U205" s="30"/>
      <c r="V205" s="30"/>
    </row>
    <row r="206" spans="5:22">
      <c r="E206" s="30" t="str">
        <v>kanan</v>
      </c>
      <c r="F206" s="30"/>
      <c r="G206" s="30"/>
      <c r="J206" s="30" t="str">
        <v>tengah</v>
      </c>
      <c r="K206" s="30"/>
      <c r="L206" s="30"/>
      <c r="O206" s="30" t="str">
        <v>tengah</v>
      </c>
      <c r="P206" s="30"/>
      <c r="Q206" s="30"/>
      <c r="T206" s="30" t="str">
        <v>tengah</v>
      </c>
      <c r="U206" s="30"/>
      <c r="V206" s="30"/>
    </row>
    <row r="207" spans="5:22">
      <c r="E207" s="30" t="str">
        <v>kiri</v>
      </c>
      <c r="F207" s="30"/>
      <c r="G207" s="30"/>
      <c r="J207" s="30" t="str">
        <v>tengah</v>
      </c>
      <c r="K207" s="30"/>
      <c r="L207" s="30"/>
      <c r="O207" s="30" t="str">
        <v>tengah</v>
      </c>
      <c r="P207" s="30"/>
      <c r="Q207" s="30"/>
      <c r="T207" s="30" t="str">
        <v>kanan</v>
      </c>
      <c r="U207" s="30"/>
      <c r="V207" s="30"/>
    </row>
    <row r="208" spans="5:22">
      <c r="E208" s="30" t="str">
        <v>tengah</v>
      </c>
      <c r="F208" s="30"/>
      <c r="G208" s="30"/>
      <c r="J208" s="30" t="str">
        <v>tengah</v>
      </c>
      <c r="K208" s="30"/>
      <c r="L208" s="30"/>
      <c r="O208" s="30" t="str">
        <v>tengah</v>
      </c>
      <c r="P208" s="30"/>
      <c r="Q208" s="30"/>
      <c r="T208" s="30" t="str">
        <v>kanan</v>
      </c>
      <c r="U208" s="30"/>
      <c r="V208" s="30"/>
    </row>
    <row r="209" spans="5:22">
      <c r="E209" s="30" t="str">
        <v>tengah</v>
      </c>
      <c r="F209" s="30"/>
      <c r="G209" s="30"/>
      <c r="J209" s="30" t="str">
        <v>tengah</v>
      </c>
      <c r="K209" s="30"/>
      <c r="L209" s="30"/>
      <c r="O209" s="30" t="str">
        <v>kiri</v>
      </c>
      <c r="P209" s="30"/>
      <c r="Q209" s="30"/>
      <c r="T209" s="30" t="str">
        <v>tengah</v>
      </c>
      <c r="U209" s="30"/>
      <c r="V209" s="30"/>
    </row>
    <row r="210" spans="5:22">
      <c r="E210" s="30" t="str">
        <v>tengah</v>
      </c>
      <c r="F210" s="30"/>
      <c r="G210" s="30"/>
      <c r="J210" s="30" t="str">
        <v>kanan</v>
      </c>
      <c r="K210" s="30"/>
      <c r="L210" s="30"/>
      <c r="O210" s="30" t="str">
        <v>tengah</v>
      </c>
      <c r="P210" s="30"/>
      <c r="Q210" s="30"/>
      <c r="T210" s="30" t="str">
        <v>kanan</v>
      </c>
      <c r="U210" s="30"/>
      <c r="V210" s="30"/>
    </row>
    <row r="211" spans="5:22">
      <c r="E211" s="30" t="str">
        <v>tengah</v>
      </c>
      <c r="F211" s="30"/>
      <c r="G211" s="30"/>
      <c r="J211" s="30" t="str">
        <v>kanan</v>
      </c>
      <c r="K211" s="30"/>
      <c r="L211" s="30"/>
      <c r="O211" s="30" t="str">
        <v>tengah</v>
      </c>
      <c r="P211" s="30"/>
      <c r="Q211" s="30"/>
      <c r="T211" s="30" t="str">
        <v>tengah</v>
      </c>
      <c r="U211" s="30"/>
      <c r="V211" s="30"/>
    </row>
    <row r="212" spans="5:22">
      <c r="E212" s="30" t="str">
        <v>kanan</v>
      </c>
      <c r="F212" s="30"/>
      <c r="G212" s="30"/>
      <c r="J212" s="30" t="str">
        <v>tengah</v>
      </c>
      <c r="K212" s="30"/>
      <c r="L212" s="30"/>
      <c r="O212" s="30" t="str">
        <v>tengah</v>
      </c>
      <c r="P212" s="30"/>
      <c r="Q212" s="30"/>
      <c r="T212" s="30" t="str">
        <v>kanan</v>
      </c>
      <c r="U212" s="30"/>
      <c r="V212" s="30"/>
    </row>
    <row r="213" spans="5:22">
      <c r="E213" s="30" t="str">
        <v>kiri</v>
      </c>
      <c r="F213" s="30"/>
      <c r="G213" s="30"/>
      <c r="J213" s="30" t="str">
        <v>tengah</v>
      </c>
      <c r="K213" s="30"/>
      <c r="L213" s="30"/>
      <c r="O213" s="30" t="str">
        <v>tengah</v>
      </c>
      <c r="P213" s="30"/>
      <c r="Q213" s="30"/>
      <c r="T213" s="30" t="str">
        <v>tengah</v>
      </c>
      <c r="U213" s="30"/>
      <c r="V213" s="30"/>
    </row>
    <row r="214" spans="5:22">
      <c r="E214" s="30" t="str">
        <v>kiri</v>
      </c>
      <c r="F214" s="30"/>
      <c r="G214" s="30"/>
      <c r="J214" s="30" t="str">
        <v>tengah</v>
      </c>
      <c r="K214" s="30"/>
      <c r="L214" s="30"/>
      <c r="O214" s="30" t="str">
        <v>tengah</v>
      </c>
      <c r="P214" s="30"/>
      <c r="Q214" s="30"/>
      <c r="T214" s="30" t="str">
        <v>tengah</v>
      </c>
      <c r="U214" s="30"/>
      <c r="V214" s="30"/>
    </row>
    <row r="215" spans="5:22">
      <c r="E215" s="30" t="str">
        <v>tengah</v>
      </c>
      <c r="F215" s="30"/>
      <c r="G215" s="30"/>
      <c r="J215" s="30" t="str">
        <v>tengah</v>
      </c>
      <c r="K215" s="30"/>
      <c r="L215" s="30"/>
      <c r="O215" s="30" t="str">
        <v>tengah</v>
      </c>
      <c r="P215" s="30"/>
      <c r="Q215" s="30"/>
      <c r="T215" s="30" t="str">
        <v>kanan</v>
      </c>
      <c r="U215" s="30"/>
      <c r="V215" s="30"/>
    </row>
    <row r="216" spans="5:22">
      <c r="E216" s="30" t="str">
        <v>kiri</v>
      </c>
      <c r="F216" s="30"/>
      <c r="G216" s="30"/>
      <c r="J216" s="30" t="str">
        <v>tengah</v>
      </c>
      <c r="K216" s="30"/>
      <c r="L216" s="30"/>
      <c r="O216" s="30" t="str">
        <v>tengah</v>
      </c>
      <c r="P216" s="30"/>
      <c r="Q216" s="30"/>
      <c r="T216" s="30" t="str">
        <v>tengah</v>
      </c>
      <c r="U216" s="30"/>
      <c r="V216" s="30"/>
    </row>
    <row r="217" spans="5:22">
      <c r="E217" s="30" t="str">
        <v>tengah</v>
      </c>
      <c r="F217" s="30"/>
      <c r="G217" s="30"/>
      <c r="J217" s="30" t="str">
        <v>kiri</v>
      </c>
      <c r="K217" s="30"/>
      <c r="L217" s="30"/>
      <c r="O217" s="30" t="str">
        <v>tengah</v>
      </c>
      <c r="P217" s="30"/>
      <c r="Q217" s="30"/>
      <c r="T217" s="30" t="str">
        <v>tengah</v>
      </c>
      <c r="U217" s="30"/>
      <c r="V217" s="30"/>
    </row>
    <row r="218" spans="5:22">
      <c r="E218" s="30" t="str">
        <v>tengah</v>
      </c>
      <c r="F218" s="30"/>
      <c r="G218" s="30"/>
      <c r="J218" s="30" t="str">
        <v>tengah</v>
      </c>
      <c r="K218" s="30"/>
      <c r="L218" s="30"/>
      <c r="O218" s="30" t="str">
        <v>tengah</v>
      </c>
      <c r="P218" s="30"/>
      <c r="Q218" s="30"/>
      <c r="T218" s="30" t="str">
        <v>kanan</v>
      </c>
      <c r="U218" s="30"/>
      <c r="V218" s="30"/>
    </row>
    <row r="219" spans="5:22">
      <c r="E219" s="30" t="str">
        <v>kanan</v>
      </c>
      <c r="F219" s="30"/>
      <c r="G219" s="30"/>
      <c r="J219" s="30" t="str">
        <v>tengah</v>
      </c>
      <c r="K219" s="30"/>
      <c r="L219" s="30"/>
      <c r="O219" s="30" t="str">
        <v>kiri</v>
      </c>
      <c r="P219" s="30"/>
      <c r="Q219" s="30"/>
      <c r="T219" s="30" t="str">
        <v>tengah</v>
      </c>
      <c r="U219" s="30"/>
      <c r="V219" s="30"/>
    </row>
    <row r="220" spans="5:22">
      <c r="E220" s="30" t="str">
        <v>tengah</v>
      </c>
      <c r="F220" s="30"/>
      <c r="G220" s="30"/>
      <c r="J220" s="30" t="str">
        <v>tengah</v>
      </c>
      <c r="K220" s="30"/>
      <c r="L220" s="30"/>
      <c r="O220" s="30" t="str">
        <v>tengah</v>
      </c>
      <c r="P220" s="30"/>
      <c r="Q220" s="30"/>
      <c r="T220" s="30" t="str">
        <v>kanan</v>
      </c>
      <c r="U220" s="30"/>
      <c r="V220" s="30"/>
    </row>
    <row r="221" spans="5:22">
      <c r="E221" s="30" t="str">
        <v>kanan</v>
      </c>
      <c r="F221" s="30"/>
      <c r="G221" s="30"/>
      <c r="J221" s="30" t="str">
        <v>tengah</v>
      </c>
      <c r="K221" s="30"/>
      <c r="L221" s="30"/>
      <c r="O221" s="30" t="str">
        <v>tengah</v>
      </c>
      <c r="P221" s="30"/>
      <c r="Q221" s="30"/>
      <c r="T221" s="30" t="str">
        <v>kanan</v>
      </c>
      <c r="U221" s="30"/>
      <c r="V221" s="30"/>
    </row>
    <row r="222" spans="5:22">
      <c r="E222" s="30" t="str">
        <v>tengah</v>
      </c>
      <c r="F222" s="30"/>
      <c r="G222" s="30"/>
      <c r="J222" s="30" t="str">
        <v>tengah</v>
      </c>
      <c r="K222" s="30"/>
      <c r="L222" s="30"/>
      <c r="O222" s="30" t="str">
        <v>kanan</v>
      </c>
      <c r="P222" s="30"/>
      <c r="Q222" s="30"/>
      <c r="T222" s="30" t="str">
        <v>kanan</v>
      </c>
      <c r="U222" s="30"/>
      <c r="V222" s="30"/>
    </row>
    <row r="223" spans="5:22">
      <c r="E223" s="30" t="str">
        <v>kiri</v>
      </c>
      <c r="F223" s="30"/>
      <c r="G223" s="30"/>
      <c r="J223" s="30" t="str">
        <v>tengah</v>
      </c>
      <c r="K223" s="30"/>
      <c r="L223" s="30"/>
      <c r="O223" s="30" t="str">
        <v>tengah</v>
      </c>
      <c r="P223" s="30"/>
      <c r="Q223" s="30"/>
      <c r="T223" s="30" t="str">
        <v>kanan</v>
      </c>
      <c r="U223" s="30"/>
      <c r="V223" s="30"/>
    </row>
    <row r="224" spans="5:22">
      <c r="E224" s="30" t="str">
        <v>tengah</v>
      </c>
      <c r="F224" s="30"/>
      <c r="G224" s="30"/>
      <c r="J224" s="30" t="str">
        <v>tengah</v>
      </c>
      <c r="K224" s="30"/>
      <c r="L224" s="30"/>
      <c r="O224" s="30" t="str">
        <v>tengah</v>
      </c>
      <c r="P224" s="30"/>
      <c r="Q224" s="30"/>
      <c r="T224" s="30" t="str">
        <v>tengah</v>
      </c>
      <c r="U224" s="30"/>
      <c r="V224" s="30"/>
    </row>
    <row r="225" spans="5:22">
      <c r="E225" s="30" t="str">
        <v>tengah</v>
      </c>
      <c r="F225" s="30"/>
      <c r="G225" s="30"/>
      <c r="J225" s="30" t="str">
        <v>kiri</v>
      </c>
      <c r="K225" s="30"/>
      <c r="L225" s="30"/>
      <c r="O225" s="30" t="str">
        <v>tengah</v>
      </c>
      <c r="P225" s="30"/>
      <c r="Q225" s="30"/>
      <c r="T225" s="30" t="str">
        <v>kanan</v>
      </c>
      <c r="U225" s="30"/>
      <c r="V225" s="30"/>
    </row>
    <row r="226" spans="5:22">
      <c r="E226" s="30" t="str">
        <v>tengah</v>
      </c>
      <c r="F226" s="30"/>
      <c r="G226" s="30"/>
      <c r="J226" s="30" t="str">
        <v>tengah</v>
      </c>
      <c r="K226" s="30"/>
      <c r="L226" s="30"/>
      <c r="O226" s="30" t="str">
        <v>tengah</v>
      </c>
      <c r="P226" s="30"/>
      <c r="Q226" s="30"/>
      <c r="T226" s="30" t="str">
        <v>tengah</v>
      </c>
      <c r="U226" s="30"/>
      <c r="V226" s="30"/>
    </row>
    <row r="227" spans="5:22">
      <c r="E227" s="30" t="str">
        <v>tengah</v>
      </c>
      <c r="F227" s="30"/>
      <c r="G227" s="30"/>
      <c r="J227" s="30" t="str">
        <v>tengah</v>
      </c>
      <c r="K227" s="30"/>
      <c r="L227" s="30"/>
      <c r="O227" s="30" t="str">
        <v>tengah</v>
      </c>
      <c r="P227" s="30"/>
      <c r="Q227" s="30"/>
      <c r="T227" s="30" t="str">
        <v>kanan</v>
      </c>
      <c r="U227" s="30"/>
      <c r="V227" s="30"/>
    </row>
    <row r="228" spans="5:22">
      <c r="E228" s="30" t="str">
        <v>tengah</v>
      </c>
      <c r="F228" s="30"/>
      <c r="G228" s="30"/>
      <c r="J228" s="30" t="str">
        <v>tengah</v>
      </c>
      <c r="K228" s="30"/>
      <c r="L228" s="30"/>
      <c r="O228" s="30" t="str">
        <v>tengah</v>
      </c>
      <c r="P228" s="30"/>
      <c r="Q228" s="30"/>
      <c r="T228" s="30" t="str">
        <v>tengah</v>
      </c>
      <c r="U228" s="30"/>
      <c r="V228" s="30"/>
    </row>
    <row r="229" spans="5:22">
      <c r="E229" s="30" t="str">
        <v>kiri</v>
      </c>
      <c r="F229" s="30"/>
      <c r="G229" s="30"/>
      <c r="J229" s="30" t="str">
        <v>kiri</v>
      </c>
      <c r="K229" s="30"/>
      <c r="L229" s="30"/>
      <c r="O229" s="30" t="str">
        <v>tengah</v>
      </c>
      <c r="P229" s="30"/>
      <c r="Q229" s="30"/>
      <c r="T229" s="30" t="str">
        <v>kanan</v>
      </c>
      <c r="U229" s="30"/>
      <c r="V229" s="30"/>
    </row>
    <row r="230" spans="5:22">
      <c r="E230" s="30" t="str">
        <v>kanan</v>
      </c>
      <c r="F230" s="30"/>
      <c r="G230" s="30"/>
      <c r="J230" s="30" t="str">
        <v>kiri</v>
      </c>
      <c r="K230" s="30"/>
      <c r="L230" s="30"/>
      <c r="O230" s="30" t="str">
        <v>tengah</v>
      </c>
      <c r="P230" s="30"/>
      <c r="Q230" s="30"/>
      <c r="T230" s="30" t="str">
        <v>kanan</v>
      </c>
      <c r="U230" s="30"/>
      <c r="V230" s="30"/>
    </row>
    <row r="231" spans="5:22">
      <c r="E231" s="30" t="str">
        <v>tengah</v>
      </c>
      <c r="F231" s="30"/>
      <c r="G231" s="30"/>
      <c r="J231" s="30" t="str">
        <v>tengah</v>
      </c>
      <c r="K231" s="30"/>
      <c r="L231" s="30"/>
      <c r="O231" s="30" t="str">
        <v>tengah</v>
      </c>
      <c r="P231" s="30"/>
      <c r="Q231" s="30"/>
      <c r="T231" s="30" t="str">
        <v>kanan</v>
      </c>
      <c r="U231" s="30"/>
      <c r="V231" s="30"/>
    </row>
    <row r="232" spans="5:22">
      <c r="E232" s="30" t="str">
        <v>kiri</v>
      </c>
      <c r="F232" s="30"/>
      <c r="G232" s="30"/>
      <c r="J232" s="30" t="str">
        <v>tengah</v>
      </c>
      <c r="K232" s="30"/>
      <c r="L232" s="30"/>
      <c r="O232" s="30" t="str">
        <v>tengah</v>
      </c>
      <c r="P232" s="30"/>
      <c r="Q232" s="30"/>
      <c r="T232" s="30" t="str">
        <v>kanan</v>
      </c>
      <c r="U232" s="30"/>
      <c r="V232" s="30"/>
    </row>
    <row r="233" spans="5:22">
      <c r="E233" s="30" t="str">
        <v>tengah</v>
      </c>
      <c r="F233" s="30"/>
      <c r="G233" s="30"/>
      <c r="J233" s="30" t="str">
        <v>tengah</v>
      </c>
      <c r="K233" s="30"/>
      <c r="L233" s="30"/>
      <c r="O233" s="30" t="str">
        <v>tengah</v>
      </c>
      <c r="P233" s="30"/>
      <c r="Q233" s="30"/>
      <c r="T233" s="30" t="str">
        <v>kanan</v>
      </c>
      <c r="U233" s="30"/>
      <c r="V233" s="30"/>
    </row>
    <row r="234" spans="5:22">
      <c r="E234" s="30" t="str">
        <v>tengah</v>
      </c>
      <c r="F234" s="30"/>
      <c r="G234" s="30"/>
      <c r="J234" s="30" t="str">
        <v>tengah</v>
      </c>
      <c r="K234" s="30"/>
      <c r="L234" s="30"/>
      <c r="O234" s="30" t="str">
        <v>kiri</v>
      </c>
      <c r="P234" s="30"/>
      <c r="Q234" s="30"/>
      <c r="T234" s="30" t="str">
        <v>kanan</v>
      </c>
      <c r="U234" s="30"/>
      <c r="V234" s="30"/>
    </row>
    <row r="235" spans="5:22">
      <c r="E235" s="30" t="str">
        <v>kanan</v>
      </c>
      <c r="F235" s="30"/>
      <c r="G235" s="30"/>
      <c r="J235" s="30" t="str">
        <v>tengah</v>
      </c>
      <c r="K235" s="30"/>
      <c r="L235" s="30"/>
      <c r="O235" s="30" t="str">
        <v>tengah</v>
      </c>
      <c r="P235" s="30"/>
      <c r="Q235" s="30"/>
      <c r="T235" s="30" t="str">
        <v>kanan</v>
      </c>
      <c r="U235" s="30"/>
      <c r="V235" s="30"/>
    </row>
    <row r="236" spans="5:22">
      <c r="E236" s="30" t="str">
        <v>tengah</v>
      </c>
      <c r="F236" s="30"/>
      <c r="G236" s="30"/>
      <c r="J236" s="30" t="str">
        <v>tengah</v>
      </c>
      <c r="K236" s="30"/>
      <c r="L236" s="30"/>
      <c r="O236" s="30" t="str">
        <v>tengah</v>
      </c>
      <c r="P236" s="30"/>
      <c r="Q236" s="30"/>
      <c r="T236" s="30" t="str">
        <v>kanan</v>
      </c>
      <c r="U236" s="30"/>
      <c r="V236" s="30"/>
    </row>
    <row r="237" spans="5:22">
      <c r="E237" s="30" t="str">
        <v>kanan</v>
      </c>
      <c r="F237" s="30"/>
      <c r="G237" s="30"/>
      <c r="J237" s="30" t="str">
        <v>tengah</v>
      </c>
      <c r="K237" s="30"/>
      <c r="L237" s="30"/>
      <c r="O237" s="30" t="str">
        <v>kanan</v>
      </c>
      <c r="P237" s="30"/>
      <c r="Q237" s="30"/>
      <c r="T237" s="30" t="str">
        <v>kanan</v>
      </c>
      <c r="U237" s="30"/>
      <c r="V237" s="30"/>
    </row>
    <row r="238" spans="5:22">
      <c r="E238" s="30" t="str">
        <v>tengah</v>
      </c>
      <c r="F238" s="30"/>
      <c r="G238" s="30"/>
      <c r="J238" s="30" t="str">
        <v>kanan</v>
      </c>
      <c r="K238" s="30"/>
      <c r="L238" s="30"/>
      <c r="O238" s="30" t="str">
        <v>kanan</v>
      </c>
      <c r="P238" s="30"/>
      <c r="Q238" s="30"/>
      <c r="T238" s="30" t="str">
        <v>tengah</v>
      </c>
      <c r="U238" s="30"/>
      <c r="V238" s="30"/>
    </row>
    <row r="239" spans="5:22">
      <c r="E239" s="30" t="str">
        <v>tengah</v>
      </c>
      <c r="F239" s="30"/>
      <c r="G239" s="30"/>
      <c r="J239" s="30" t="str">
        <v>kanan</v>
      </c>
      <c r="K239" s="30"/>
      <c r="L239" s="30"/>
      <c r="O239" s="30" t="str">
        <v>kiri</v>
      </c>
      <c r="P239" s="30"/>
      <c r="Q239" s="30"/>
      <c r="T239" s="30" t="str">
        <v>kanan</v>
      </c>
      <c r="U239" s="30"/>
      <c r="V239" s="30"/>
    </row>
    <row r="240" spans="5:22">
      <c r="E240" s="30" t="str">
        <v>kiri</v>
      </c>
      <c r="F240" s="30"/>
      <c r="G240" s="30"/>
      <c r="J240" s="30" t="str">
        <v>tengah</v>
      </c>
      <c r="K240" s="30"/>
      <c r="L240" s="30"/>
      <c r="O240" s="30" t="str">
        <v>tengah</v>
      </c>
      <c r="P240" s="30"/>
      <c r="Q240" s="30"/>
      <c r="T240" s="30" t="str">
        <v>tengah</v>
      </c>
      <c r="U240" s="30"/>
      <c r="V240" s="30"/>
    </row>
    <row r="241" spans="5:22">
      <c r="E241" s="30" t="str">
        <v>tengah</v>
      </c>
      <c r="F241" s="30"/>
      <c r="G241" s="30"/>
      <c r="J241" s="30" t="str">
        <v>kiri</v>
      </c>
      <c r="K241" s="30"/>
      <c r="L241" s="30"/>
      <c r="O241" s="30" t="str">
        <v>tengah</v>
      </c>
      <c r="P241" s="30"/>
      <c r="Q241" s="30"/>
      <c r="T241" s="30" t="str">
        <v>tengah</v>
      </c>
      <c r="U241" s="30"/>
      <c r="V241" s="30"/>
    </row>
    <row r="242" spans="5:22">
      <c r="E242" s="30" t="str">
        <v>kanan</v>
      </c>
      <c r="F242" s="30"/>
      <c r="G242" s="30"/>
      <c r="J242" s="30" t="str">
        <v>tengah</v>
      </c>
      <c r="K242" s="30"/>
      <c r="L242" s="30"/>
      <c r="O242" s="30" t="str">
        <v>tengah</v>
      </c>
      <c r="P242" s="30"/>
      <c r="Q242" s="30"/>
      <c r="T242" s="30" t="str">
        <v>kanan</v>
      </c>
      <c r="U242" s="30"/>
      <c r="V242" s="30"/>
    </row>
    <row r="243" spans="5:22">
      <c r="E243" s="30" t="str">
        <v>tengah</v>
      </c>
      <c r="F243" s="30"/>
      <c r="G243" s="30"/>
      <c r="J243" s="30" t="str">
        <v>kanan</v>
      </c>
      <c r="K243" s="30"/>
      <c r="L243" s="30"/>
      <c r="O243" s="30" t="str">
        <v>tengah</v>
      </c>
      <c r="P243" s="30"/>
      <c r="Q243" s="30"/>
      <c r="T243" s="30" t="str">
        <v>tengah</v>
      </c>
      <c r="U243" s="30"/>
      <c r="V243" s="30"/>
    </row>
    <row r="244" spans="5:22">
      <c r="E244" s="30" t="str">
        <v>tengah</v>
      </c>
      <c r="F244" s="30"/>
      <c r="G244" s="30"/>
      <c r="J244" s="30" t="str">
        <v>tengah</v>
      </c>
      <c r="K244" s="30"/>
      <c r="L244" s="30"/>
      <c r="O244" s="30" t="str">
        <v>kiri</v>
      </c>
      <c r="P244" s="30"/>
      <c r="Q244" s="30"/>
      <c r="T244" s="30" t="str">
        <v>kanan</v>
      </c>
      <c r="U244" s="30"/>
      <c r="V244" s="30"/>
    </row>
    <row r="245" spans="5:22">
      <c r="E245" s="30" t="str">
        <v>tengah</v>
      </c>
      <c r="F245" s="30"/>
      <c r="G245" s="30"/>
      <c r="J245" s="30" t="str">
        <v>kanan</v>
      </c>
      <c r="K245" s="30"/>
      <c r="L245" s="30"/>
      <c r="O245" s="30" t="str">
        <v>tengah</v>
      </c>
      <c r="P245" s="30"/>
      <c r="Q245" s="30"/>
      <c r="T245" s="30" t="str">
        <v>kanan</v>
      </c>
      <c r="U245" s="30"/>
      <c r="V245" s="30"/>
    </row>
    <row r="246" spans="5:22">
      <c r="E246" s="30" t="str">
        <v>kiri</v>
      </c>
      <c r="F246" s="30"/>
      <c r="G246" s="30"/>
      <c r="J246" s="30" t="str">
        <v>tengah</v>
      </c>
      <c r="K246" s="30"/>
      <c r="L246" s="30"/>
      <c r="O246" s="30" t="str">
        <v>kanan</v>
      </c>
      <c r="P246" s="30"/>
      <c r="Q246" s="30"/>
      <c r="T246" s="30" t="str">
        <v>tengah</v>
      </c>
      <c r="U246" s="30"/>
      <c r="V246" s="30"/>
    </row>
    <row r="247" spans="5:22">
      <c r="E247" s="30" t="str">
        <v>tengah</v>
      </c>
      <c r="F247" s="30"/>
      <c r="G247" s="30"/>
      <c r="J247" s="30" t="str">
        <v>tengah</v>
      </c>
      <c r="K247" s="30"/>
      <c r="L247" s="30"/>
      <c r="O247" s="30" t="str">
        <v>tengah</v>
      </c>
      <c r="P247" s="30"/>
      <c r="Q247" s="30"/>
      <c r="T247" s="30" t="str">
        <v>kanan</v>
      </c>
      <c r="U247" s="30"/>
      <c r="V247" s="30"/>
    </row>
    <row r="248" spans="5:22">
      <c r="E248" s="30" t="str">
        <v>tengah</v>
      </c>
      <c r="F248" s="30"/>
      <c r="G248" s="30"/>
      <c r="J248" s="30" t="str">
        <v>tengah</v>
      </c>
      <c r="K248" s="30"/>
      <c r="L248" s="30"/>
      <c r="O248" s="30" t="str">
        <v>tengah</v>
      </c>
      <c r="P248" s="30"/>
      <c r="Q248" s="30"/>
      <c r="T248" s="30" t="str">
        <v>tengah</v>
      </c>
      <c r="U248" s="30"/>
      <c r="V248" s="30"/>
    </row>
    <row r="249" spans="5:22">
      <c r="E249" s="30" t="str">
        <v>kiri</v>
      </c>
      <c r="F249" s="30"/>
      <c r="G249" s="30"/>
      <c r="J249" s="30" t="str">
        <v>tengah</v>
      </c>
      <c r="K249" s="30"/>
      <c r="L249" s="30"/>
      <c r="O249" s="30" t="str">
        <v>kanan</v>
      </c>
      <c r="P249" s="30"/>
      <c r="Q249" s="30"/>
      <c r="T249" s="30" t="str">
        <v>tengah</v>
      </c>
      <c r="U249" s="30"/>
      <c r="V249" s="30"/>
    </row>
    <row r="250" spans="5:22">
      <c r="E250" s="30" t="str">
        <v>kanan</v>
      </c>
      <c r="F250" s="30"/>
      <c r="G250" s="30"/>
      <c r="J250" s="30" t="str">
        <v>tengah</v>
      </c>
      <c r="K250" s="30"/>
      <c r="L250" s="30"/>
      <c r="O250" s="30" t="str">
        <v>tengah</v>
      </c>
      <c r="P250" s="30"/>
      <c r="Q250" s="30"/>
      <c r="T250" s="30" t="str">
        <v>tengah</v>
      </c>
      <c r="U250" s="30"/>
      <c r="V250" s="30"/>
    </row>
    <row r="251" spans="5:22">
      <c r="E251" s="30" t="str">
        <v>tengah</v>
      </c>
      <c r="F251" s="30"/>
      <c r="G251" s="30"/>
      <c r="J251" s="30" t="str">
        <v>tengah</v>
      </c>
      <c r="K251" s="30"/>
      <c r="L251" s="30"/>
      <c r="O251" s="30" t="str">
        <v>tengah</v>
      </c>
      <c r="P251" s="30"/>
      <c r="Q251" s="30"/>
      <c r="T251" s="30" t="str">
        <v>tengah</v>
      </c>
      <c r="U251" s="30"/>
      <c r="V251" s="30"/>
    </row>
    <row r="252" spans="5:22">
      <c r="E252" s="30" t="str">
        <v>tengah</v>
      </c>
      <c r="F252" s="30"/>
      <c r="G252" s="30"/>
      <c r="J252" s="30" t="str">
        <v>tengah</v>
      </c>
      <c r="K252" s="30"/>
      <c r="L252" s="30"/>
      <c r="O252" s="30" t="str">
        <v>tengah</v>
      </c>
      <c r="P252" s="30"/>
      <c r="Q252" s="30"/>
      <c r="T252" s="30" t="str">
        <v>kanan</v>
      </c>
      <c r="U252" s="30"/>
      <c r="V252" s="30"/>
    </row>
    <row r="253" spans="5:22">
      <c r="E253" s="30" t="str">
        <v>kiri</v>
      </c>
      <c r="F253" s="30"/>
      <c r="G253" s="30"/>
      <c r="J253" s="30" t="str">
        <v>tengah</v>
      </c>
      <c r="K253" s="30"/>
      <c r="L253" s="30"/>
      <c r="O253" s="30" t="str">
        <v>tengah</v>
      </c>
      <c r="P253" s="30"/>
      <c r="Q253" s="30"/>
      <c r="T253" s="30" t="str">
        <v>tengah</v>
      </c>
      <c r="U253" s="30"/>
      <c r="V253" s="30"/>
    </row>
    <row r="254" spans="5:22">
      <c r="E254" s="30" t="str">
        <v>tengah</v>
      </c>
      <c r="F254" s="30"/>
      <c r="G254" s="30"/>
      <c r="J254" s="30" t="str">
        <v>tengah</v>
      </c>
      <c r="K254" s="30"/>
      <c r="L254" s="30"/>
      <c r="O254" s="30" t="str">
        <v>tengah</v>
      </c>
      <c r="P254" s="30"/>
      <c r="Q254" s="30"/>
      <c r="T254" s="30" t="str">
        <v>kanan</v>
      </c>
      <c r="U254" s="30"/>
      <c r="V254" s="30"/>
    </row>
    <row r="255" spans="5:22">
      <c r="E255" s="30" t="str">
        <v>tengah</v>
      </c>
      <c r="F255" s="30"/>
      <c r="G255" s="30"/>
      <c r="J255" s="30" t="str">
        <v>tengah</v>
      </c>
      <c r="K255" s="30"/>
      <c r="L255" s="30"/>
      <c r="O255" s="30" t="str">
        <v>tengah</v>
      </c>
      <c r="P255" s="30"/>
      <c r="Q255" s="30"/>
      <c r="T255" s="30" t="str">
        <v>kanan</v>
      </c>
      <c r="U255" s="30"/>
      <c r="V255" s="30"/>
    </row>
    <row r="256" spans="5:22">
      <c r="E256" s="30" t="str">
        <v>tengah</v>
      </c>
      <c r="F256" s="30"/>
      <c r="G256" s="30"/>
      <c r="J256" s="30" t="str">
        <v>kanan</v>
      </c>
      <c r="K256" s="30"/>
      <c r="L256" s="30"/>
      <c r="O256" s="30" t="str">
        <v>tengah</v>
      </c>
      <c r="P256" s="30"/>
      <c r="Q256" s="30"/>
      <c r="T256" s="30" t="str">
        <v>kanan</v>
      </c>
      <c r="U256" s="30"/>
      <c r="V256" s="30"/>
    </row>
    <row r="257" spans="5:22">
      <c r="E257" s="30" t="str">
        <v>kiri</v>
      </c>
      <c r="F257" s="30"/>
      <c r="G257" s="30"/>
      <c r="J257" s="30" t="str">
        <v>tengah</v>
      </c>
      <c r="K257" s="30"/>
      <c r="L257" s="30"/>
      <c r="O257" s="30" t="str">
        <v>kanan</v>
      </c>
      <c r="P257" s="30"/>
      <c r="Q257" s="30"/>
      <c r="T257" s="30" t="str">
        <v>kanan</v>
      </c>
      <c r="U257" s="30"/>
      <c r="V257" s="30"/>
    </row>
    <row r="258" spans="5:22">
      <c r="E258" s="30" t="str">
        <v>kiri</v>
      </c>
      <c r="F258" s="30"/>
      <c r="G258" s="30"/>
      <c r="J258" s="30" t="str">
        <v>kanan</v>
      </c>
      <c r="K258" s="30"/>
      <c r="L258" s="30"/>
      <c r="O258" s="30" t="str">
        <v>tengah</v>
      </c>
      <c r="P258" s="30"/>
      <c r="Q258" s="30"/>
      <c r="T258" s="30" t="str">
        <v>kanan</v>
      </c>
      <c r="U258" s="30"/>
      <c r="V258" s="30"/>
    </row>
    <row r="259" spans="5:22">
      <c r="E259" s="30" t="str">
        <v>tengah</v>
      </c>
      <c r="F259" s="30"/>
      <c r="G259" s="30"/>
      <c r="J259" s="30" t="str">
        <v>tengah</v>
      </c>
      <c r="K259" s="30"/>
      <c r="L259" s="30"/>
      <c r="O259" s="30" t="str">
        <v>tengah</v>
      </c>
      <c r="P259" s="30"/>
      <c r="Q259" s="30"/>
      <c r="T259" s="30" t="str">
        <v>kanan</v>
      </c>
      <c r="U259" s="30"/>
      <c r="V259" s="30"/>
    </row>
    <row r="260" spans="5:22">
      <c r="E260" s="30" t="str">
        <v>tengah</v>
      </c>
      <c r="F260" s="30"/>
      <c r="G260" s="30"/>
      <c r="J260" s="30" t="str">
        <v>kiri</v>
      </c>
      <c r="K260" s="30"/>
      <c r="L260" s="30"/>
      <c r="O260" s="30" t="str">
        <v>tengah</v>
      </c>
      <c r="P260" s="30"/>
      <c r="Q260" s="30"/>
      <c r="T260" s="30" t="str">
        <v>tengah</v>
      </c>
      <c r="U260" s="30"/>
      <c r="V260" s="30"/>
    </row>
    <row r="261" spans="5:22">
      <c r="E261" s="30" t="str">
        <v>kiri</v>
      </c>
      <c r="F261" s="30"/>
      <c r="G261" s="30"/>
      <c r="J261" s="30" t="str">
        <v>kiri</v>
      </c>
      <c r="K261" s="30"/>
      <c r="L261" s="30"/>
      <c r="O261" s="30" t="str">
        <v>kanan</v>
      </c>
      <c r="P261" s="30"/>
      <c r="Q261" s="30"/>
      <c r="T261" s="30" t="str">
        <v>kanan</v>
      </c>
      <c r="U261" s="30"/>
      <c r="V261" s="30"/>
    </row>
    <row r="262" spans="5:22">
      <c r="E262" s="30" t="str">
        <v>tengah</v>
      </c>
      <c r="F262" s="30"/>
      <c r="G262" s="30"/>
      <c r="J262" s="30" t="str">
        <v>kiri</v>
      </c>
      <c r="K262" s="30"/>
      <c r="L262" s="30"/>
      <c r="O262" s="30" t="str">
        <v>tengah</v>
      </c>
      <c r="P262" s="30"/>
      <c r="Q262" s="30"/>
      <c r="T262" s="30" t="str">
        <v>kanan</v>
      </c>
      <c r="U262" s="30"/>
      <c r="V262" s="30"/>
    </row>
    <row r="263" spans="5:22">
      <c r="E263" s="30" t="str">
        <v>tengah</v>
      </c>
      <c r="F263" s="30"/>
      <c r="G263" s="30"/>
      <c r="J263" s="30" t="str">
        <v>tengah</v>
      </c>
      <c r="K263" s="30"/>
      <c r="L263" s="30"/>
      <c r="O263" s="30" t="str">
        <v>tengah</v>
      </c>
      <c r="P263" s="30"/>
      <c r="Q263" s="30"/>
      <c r="T263" s="30" t="str">
        <v>tengah</v>
      </c>
      <c r="U263" s="30"/>
      <c r="V263" s="30"/>
    </row>
    <row r="264" spans="5:22">
      <c r="E264" s="30" t="str">
        <v>kanan</v>
      </c>
      <c r="F264" s="30"/>
      <c r="G264" s="30"/>
      <c r="J264" s="30" t="str">
        <v>tengah</v>
      </c>
      <c r="K264" s="30"/>
      <c r="L264" s="30"/>
      <c r="O264" s="30" t="str">
        <v>tengah</v>
      </c>
      <c r="P264" s="30"/>
      <c r="Q264" s="30"/>
      <c r="T264" s="30" t="str">
        <v>kanan</v>
      </c>
      <c r="U264" s="30"/>
      <c r="V264" s="30"/>
    </row>
    <row r="265" spans="5:22">
      <c r="E265" s="30" t="str">
        <v>kiri</v>
      </c>
      <c r="F265" s="30"/>
      <c r="G265" s="30"/>
      <c r="J265" s="30" t="str">
        <v>tengah</v>
      </c>
      <c r="K265" s="30"/>
      <c r="L265" s="30"/>
      <c r="O265" s="30" t="str">
        <v>kiri</v>
      </c>
      <c r="P265" s="30"/>
      <c r="Q265" s="30"/>
      <c r="T265" s="30" t="str">
        <v>kanan</v>
      </c>
      <c r="U265" s="30"/>
      <c r="V265" s="30"/>
    </row>
    <row r="266" spans="5:22">
      <c r="E266" s="30" t="str">
        <v>kiri</v>
      </c>
      <c r="F266" s="30"/>
      <c r="G266" s="30"/>
      <c r="J266" s="30" t="str">
        <v>tengah</v>
      </c>
      <c r="K266" s="30"/>
      <c r="L266" s="30"/>
      <c r="O266" s="30" t="str">
        <v>tengah</v>
      </c>
      <c r="P266" s="30"/>
      <c r="Q266" s="30"/>
      <c r="T266" s="30" t="str">
        <v>tengah</v>
      </c>
      <c r="U266" s="30"/>
      <c r="V266" s="30"/>
    </row>
    <row r="267" spans="5:22">
      <c r="E267" s="30" t="str">
        <v>kiri</v>
      </c>
      <c r="F267" s="30"/>
      <c r="G267" s="30"/>
      <c r="J267" s="30" t="str">
        <v>tengah</v>
      </c>
      <c r="K267" s="30"/>
      <c r="L267" s="30"/>
      <c r="O267" s="30" t="str">
        <v>kiri</v>
      </c>
      <c r="P267" s="30"/>
      <c r="Q267" s="30"/>
      <c r="T267" s="30" t="str">
        <v>tengah</v>
      </c>
      <c r="U267" s="30"/>
      <c r="V267" s="30"/>
    </row>
    <row r="268" spans="5:22">
      <c r="E268" s="30" t="str">
        <v>kanan</v>
      </c>
      <c r="F268" s="30"/>
      <c r="G268" s="30"/>
      <c r="J268" s="30" t="str">
        <v>tengah</v>
      </c>
      <c r="K268" s="30"/>
      <c r="L268" s="30"/>
      <c r="O268" s="30" t="str">
        <v>tengah</v>
      </c>
      <c r="P268" s="30"/>
      <c r="Q268" s="30"/>
      <c r="T268" s="30" t="str">
        <v>tengah</v>
      </c>
      <c r="U268" s="30"/>
      <c r="V268" s="30"/>
    </row>
    <row r="269" spans="5:22">
      <c r="E269" s="30" t="str">
        <v>tengah</v>
      </c>
      <c r="F269" s="30"/>
      <c r="G269" s="30"/>
      <c r="J269" s="30" t="str">
        <v>kiri</v>
      </c>
      <c r="K269" s="30"/>
      <c r="L269" s="30"/>
      <c r="O269" s="30" t="str">
        <v>kanan</v>
      </c>
      <c r="P269" s="30"/>
      <c r="Q269" s="30"/>
      <c r="T269" s="30" t="str">
        <v>tengah</v>
      </c>
      <c r="U269" s="30"/>
      <c r="V269" s="30"/>
    </row>
    <row r="270" spans="5:22">
      <c r="E270" s="30" t="str">
        <v>tengah</v>
      </c>
      <c r="F270" s="30"/>
      <c r="G270" s="30"/>
      <c r="J270" s="30" t="str">
        <v>tengah</v>
      </c>
      <c r="K270" s="30"/>
      <c r="L270" s="30"/>
      <c r="O270" s="30" t="str">
        <v>tengah</v>
      </c>
      <c r="P270" s="30"/>
      <c r="Q270" s="30"/>
      <c r="T270" s="30" t="str">
        <v>kanan</v>
      </c>
      <c r="U270" s="30"/>
      <c r="V270" s="30"/>
    </row>
    <row r="271" spans="5:22">
      <c r="E271" s="30" t="str">
        <v>tengah</v>
      </c>
      <c r="F271" s="30"/>
      <c r="G271" s="30"/>
      <c r="J271" s="30" t="str">
        <v>tengah</v>
      </c>
      <c r="K271" s="30"/>
      <c r="L271" s="30"/>
      <c r="O271" s="30" t="str">
        <v>tengah</v>
      </c>
      <c r="P271" s="30"/>
      <c r="Q271" s="30"/>
      <c r="T271" s="30" t="str">
        <v>kanan</v>
      </c>
      <c r="U271" s="30"/>
      <c r="V271" s="30"/>
    </row>
    <row r="272" spans="5:22">
      <c r="E272" s="30" t="str">
        <v>kanan</v>
      </c>
      <c r="F272" s="30"/>
      <c r="G272" s="30"/>
      <c r="J272" s="30" t="str">
        <v>tengah</v>
      </c>
      <c r="K272" s="30"/>
      <c r="L272" s="30"/>
      <c r="O272" s="30" t="str">
        <v>kanan</v>
      </c>
      <c r="P272" s="30"/>
      <c r="Q272" s="30"/>
      <c r="T272" s="30" t="str">
        <v>kanan</v>
      </c>
      <c r="U272" s="30"/>
      <c r="V272" s="30"/>
    </row>
    <row r="273" spans="5:22">
      <c r="E273" s="30" t="str">
        <v>tengah</v>
      </c>
      <c r="F273" s="30"/>
      <c r="G273" s="30"/>
      <c r="J273" s="30" t="str">
        <v>tengah</v>
      </c>
      <c r="K273" s="30"/>
      <c r="L273" s="30"/>
      <c r="O273" s="30" t="str">
        <v>tengah</v>
      </c>
      <c r="P273" s="30"/>
      <c r="Q273" s="30"/>
      <c r="T273" s="30" t="str">
        <v>kanan</v>
      </c>
      <c r="U273" s="30"/>
      <c r="V273" s="30"/>
    </row>
    <row r="274" spans="5:22">
      <c r="E274" s="30" t="str">
        <v>tengah</v>
      </c>
      <c r="F274" s="30"/>
      <c r="G274" s="30"/>
      <c r="J274" s="30" t="str">
        <v>tengah</v>
      </c>
      <c r="K274" s="30"/>
      <c r="L274" s="30"/>
      <c r="O274" s="30" t="str">
        <v>tengah</v>
      </c>
      <c r="P274" s="30"/>
      <c r="Q274" s="30"/>
      <c r="T274" s="30" t="str">
        <v>tengah</v>
      </c>
      <c r="U274" s="30"/>
      <c r="V274" s="30"/>
    </row>
    <row r="275" spans="5:22">
      <c r="E275" s="30" t="str">
        <v>tengah</v>
      </c>
      <c r="F275" s="30"/>
      <c r="G275" s="30"/>
      <c r="J275" s="30" t="str">
        <v>kanan</v>
      </c>
      <c r="K275" s="30"/>
      <c r="L275" s="30"/>
      <c r="O275" s="30" t="str">
        <v>tengah</v>
      </c>
      <c r="P275" s="30"/>
      <c r="Q275" s="30"/>
      <c r="T275" s="30" t="str">
        <v>kanan</v>
      </c>
      <c r="U275" s="30"/>
      <c r="V275" s="30"/>
    </row>
    <row r="276" spans="5:22">
      <c r="E276" s="30" t="str">
        <v>kiri</v>
      </c>
      <c r="F276" s="30"/>
      <c r="G276" s="30"/>
      <c r="J276" s="30" t="str">
        <v>kiri</v>
      </c>
      <c r="K276" s="30"/>
      <c r="L276" s="30"/>
      <c r="O276" s="30" t="str">
        <v>tengah</v>
      </c>
      <c r="P276" s="30"/>
      <c r="Q276" s="30"/>
      <c r="T276" s="30" t="str">
        <v>kanan</v>
      </c>
      <c r="U276" s="30"/>
      <c r="V276" s="30"/>
    </row>
    <row r="277" spans="5:22">
      <c r="E277" s="30" t="str">
        <v>tengah</v>
      </c>
      <c r="F277" s="30"/>
      <c r="G277" s="30"/>
      <c r="J277" s="30" t="str">
        <v>kanan</v>
      </c>
      <c r="K277" s="30"/>
      <c r="L277" s="30"/>
      <c r="O277" s="30" t="str">
        <v>kiri</v>
      </c>
      <c r="P277" s="30"/>
      <c r="Q277" s="30"/>
      <c r="T277" s="30" t="str">
        <v>tengah</v>
      </c>
      <c r="U277" s="30"/>
      <c r="V277" s="30"/>
    </row>
    <row r="278" spans="5:22">
      <c r="E278" s="30" t="str">
        <v>kiri</v>
      </c>
      <c r="F278" s="30"/>
      <c r="G278" s="30"/>
      <c r="J278" s="30" t="str">
        <v>kanan</v>
      </c>
      <c r="K278" s="30"/>
      <c r="L278" s="30"/>
      <c r="O278" s="30" t="str">
        <v>tengah</v>
      </c>
      <c r="P278" s="30"/>
      <c r="Q278" s="30"/>
      <c r="T278" s="30" t="str">
        <v>kanan</v>
      </c>
      <c r="U278" s="30"/>
      <c r="V278" s="30"/>
    </row>
    <row r="279" spans="5:22">
      <c r="E279" s="30" t="str">
        <v>tengah</v>
      </c>
      <c r="F279" s="30"/>
      <c r="G279" s="30"/>
      <c r="J279" s="30" t="str">
        <v>tengah</v>
      </c>
      <c r="K279" s="30"/>
      <c r="L279" s="30"/>
      <c r="O279" s="30" t="str">
        <v>tengah</v>
      </c>
      <c r="P279" s="30"/>
      <c r="Q279" s="30"/>
      <c r="T279" s="30" t="str">
        <v>kanan</v>
      </c>
      <c r="U279" s="30"/>
      <c r="V279" s="30"/>
    </row>
    <row r="280" spans="5:22">
      <c r="E280" s="30" t="str">
        <v>kiri</v>
      </c>
      <c r="F280" s="30"/>
      <c r="G280" s="30"/>
      <c r="J280" s="30" t="str">
        <v>tengah</v>
      </c>
      <c r="K280" s="30"/>
      <c r="L280" s="30"/>
      <c r="O280" s="30" t="str">
        <v>kiri</v>
      </c>
      <c r="P280" s="30"/>
      <c r="Q280" s="30"/>
      <c r="T280" s="30" t="str">
        <v>kanan</v>
      </c>
      <c r="U280" s="30"/>
      <c r="V280" s="30"/>
    </row>
    <row r="281" spans="5:22">
      <c r="E281" s="30" t="str">
        <v>kanan</v>
      </c>
      <c r="F281" s="30"/>
      <c r="G281" s="30"/>
      <c r="J281" s="30" t="str">
        <v>tengah</v>
      </c>
      <c r="K281" s="30"/>
      <c r="L281" s="30"/>
      <c r="O281" s="30" t="str">
        <v>tengah</v>
      </c>
      <c r="P281" s="30"/>
      <c r="Q281" s="30"/>
      <c r="T281" s="30" t="str">
        <v>kanan</v>
      </c>
      <c r="U281" s="30"/>
      <c r="V281" s="30"/>
    </row>
    <row r="282" spans="5:22">
      <c r="E282" s="30" t="str">
        <v>kanan</v>
      </c>
      <c r="F282" s="30"/>
      <c r="G282" s="30"/>
      <c r="J282" s="30" t="str">
        <v>tengah</v>
      </c>
      <c r="K282" s="30"/>
      <c r="L282" s="30"/>
      <c r="O282" s="30" t="str">
        <v>tengah</v>
      </c>
      <c r="P282" s="30"/>
      <c r="Q282" s="30"/>
      <c r="T282" s="30" t="str">
        <v>kanan</v>
      </c>
      <c r="U282" s="30"/>
      <c r="V282" s="30"/>
    </row>
    <row r="283" spans="5:22">
      <c r="E283" s="30" t="str">
        <v>tengah</v>
      </c>
      <c r="F283" s="30"/>
      <c r="G283" s="30"/>
      <c r="J283" s="30" t="str">
        <v>tengah</v>
      </c>
      <c r="K283" s="30"/>
      <c r="L283" s="30"/>
      <c r="O283" s="30" t="str">
        <v>tengah</v>
      </c>
      <c r="P283" s="30"/>
      <c r="Q283" s="30"/>
      <c r="T283" s="30" t="str">
        <v>kanan</v>
      </c>
      <c r="U283" s="30"/>
      <c r="V283" s="30"/>
    </row>
    <row r="284" spans="5:22">
      <c r="E284" s="30" t="str">
        <v>tengah</v>
      </c>
      <c r="F284" s="30"/>
      <c r="G284" s="30"/>
      <c r="J284" s="30" t="str">
        <v>kiri</v>
      </c>
      <c r="K284" s="30"/>
      <c r="L284" s="30"/>
      <c r="O284" s="30" t="str">
        <v>kanan</v>
      </c>
      <c r="P284" s="30"/>
      <c r="Q284" s="30"/>
      <c r="T284" s="30" t="str">
        <v>tengah</v>
      </c>
      <c r="U284" s="30"/>
      <c r="V284" s="30"/>
    </row>
    <row r="285" spans="5:22">
      <c r="E285" s="30" t="str">
        <v>tengah</v>
      </c>
      <c r="F285" s="30"/>
      <c r="G285" s="30"/>
      <c r="J285" s="30" t="str">
        <v>tengah</v>
      </c>
      <c r="K285" s="30"/>
      <c r="L285" s="30"/>
      <c r="O285" s="30" t="str">
        <v>kiri</v>
      </c>
      <c r="P285" s="30"/>
      <c r="Q285" s="30"/>
      <c r="T285" s="30" t="str">
        <v>kanan</v>
      </c>
      <c r="U285" s="30"/>
      <c r="V285" s="30"/>
    </row>
    <row r="286" spans="5:22">
      <c r="E286" s="30" t="str">
        <v>kanan</v>
      </c>
      <c r="F286" s="30"/>
      <c r="G286" s="30"/>
      <c r="J286" s="30" t="str">
        <v>tengah</v>
      </c>
      <c r="K286" s="30"/>
      <c r="L286" s="30"/>
      <c r="O286" s="30" t="str">
        <v>kiri</v>
      </c>
      <c r="P286" s="30"/>
      <c r="Q286" s="30"/>
      <c r="T286" s="30" t="str">
        <v>tengah</v>
      </c>
      <c r="U286" s="30"/>
      <c r="V286" s="30"/>
    </row>
    <row r="287" spans="5:22">
      <c r="E287" s="30" t="str">
        <v>tengah</v>
      </c>
      <c r="F287" s="30"/>
      <c r="G287" s="30"/>
      <c r="J287" s="30" t="str">
        <v>tengah</v>
      </c>
      <c r="K287" s="30"/>
      <c r="L287" s="30"/>
      <c r="O287" s="30" t="str">
        <v>kanan</v>
      </c>
      <c r="P287" s="30"/>
      <c r="Q287" s="30"/>
      <c r="T287" s="30" t="str">
        <v>kanan</v>
      </c>
      <c r="U287" s="30"/>
      <c r="V287" s="30"/>
    </row>
    <row r="288" spans="5:22">
      <c r="E288" s="30" t="str">
        <v>kiri</v>
      </c>
      <c r="F288" s="30"/>
      <c r="G288" s="30"/>
      <c r="J288" s="30" t="str">
        <v>tengah</v>
      </c>
      <c r="K288" s="30"/>
      <c r="L288" s="30"/>
      <c r="O288" s="30" t="str">
        <v>tengah</v>
      </c>
      <c r="P288" s="30"/>
      <c r="Q288" s="30"/>
      <c r="T288" s="30" t="str">
        <v>tengah</v>
      </c>
      <c r="U288" s="30"/>
      <c r="V288" s="30"/>
    </row>
    <row r="289" spans="5:22">
      <c r="E289" s="30" t="str">
        <v>tengah</v>
      </c>
      <c r="F289" s="30"/>
      <c r="G289" s="30"/>
      <c r="J289" s="30" t="str">
        <v>kiri</v>
      </c>
      <c r="K289" s="30"/>
      <c r="L289" s="30"/>
      <c r="O289" s="30" t="str">
        <v>tengah</v>
      </c>
      <c r="P289" s="30"/>
      <c r="Q289" s="30"/>
      <c r="T289" s="30" t="str">
        <v>kanan</v>
      </c>
      <c r="U289" s="30"/>
      <c r="V289" s="30"/>
    </row>
    <row r="290" spans="5:22">
      <c r="E290" s="30" t="str">
        <v>tengah</v>
      </c>
      <c r="F290" s="30"/>
      <c r="G290" s="30"/>
      <c r="J290" s="30" t="str">
        <v>tengah</v>
      </c>
      <c r="K290" s="30"/>
      <c r="L290" s="30"/>
      <c r="O290" s="30" t="str">
        <v>kiri</v>
      </c>
      <c r="P290" s="30"/>
      <c r="Q290" s="30"/>
      <c r="T290" s="30" t="str">
        <v>tengah</v>
      </c>
      <c r="U290" s="30"/>
      <c r="V290" s="30"/>
    </row>
    <row r="291" spans="5:22">
      <c r="E291" s="30" t="str">
        <v>kiri</v>
      </c>
      <c r="F291" s="30"/>
      <c r="G291" s="30"/>
      <c r="J291" s="30" t="str">
        <v>tengah</v>
      </c>
      <c r="K291" s="30"/>
      <c r="L291" s="30"/>
      <c r="O291" s="30" t="str">
        <v>tengah</v>
      </c>
      <c r="P291" s="30"/>
      <c r="Q291" s="30"/>
      <c r="T291" s="30" t="str">
        <v>kanan</v>
      </c>
      <c r="U291" s="30"/>
      <c r="V291" s="30"/>
    </row>
    <row r="292" spans="5:22">
      <c r="E292" s="30" t="str">
        <v>tengah</v>
      </c>
      <c r="F292" s="30"/>
      <c r="G292" s="30"/>
      <c r="J292" s="30" t="str">
        <v>tengah</v>
      </c>
      <c r="K292" s="30"/>
      <c r="L292" s="30"/>
      <c r="O292" s="30" t="str">
        <v>kiri</v>
      </c>
      <c r="P292" s="30"/>
      <c r="Q292" s="30"/>
      <c r="T292" s="30" t="str">
        <v>tengah</v>
      </c>
      <c r="U292" s="30"/>
      <c r="V292" s="30"/>
    </row>
    <row r="293" spans="5:22">
      <c r="E293" s="30" t="str">
        <v>kanan</v>
      </c>
      <c r="F293" s="30"/>
      <c r="G293" s="30"/>
      <c r="J293" s="30" t="str">
        <v>kanan</v>
      </c>
      <c r="K293" s="30"/>
      <c r="L293" s="30"/>
      <c r="O293" s="30" t="str">
        <v>kanan</v>
      </c>
      <c r="P293" s="30"/>
      <c r="Q293" s="30"/>
      <c r="T293" s="30" t="str">
        <v>kanan</v>
      </c>
      <c r="U293" s="30"/>
      <c r="V293" s="30"/>
    </row>
    <row r="294" spans="5:22">
      <c r="E294" s="30" t="str">
        <v>tengah</v>
      </c>
      <c r="F294" s="30"/>
      <c r="G294" s="30"/>
      <c r="J294" s="30" t="str">
        <v>tengah</v>
      </c>
      <c r="K294" s="30"/>
      <c r="L294" s="30"/>
      <c r="O294" s="30" t="str">
        <v>kiri</v>
      </c>
      <c r="P294" s="30"/>
      <c r="Q294" s="30"/>
      <c r="T294" s="30" t="str">
        <v>tengah</v>
      </c>
      <c r="U294" s="30"/>
      <c r="V294" s="30"/>
    </row>
    <row r="295" spans="5:22">
      <c r="E295" s="30" t="str">
        <v>tengah</v>
      </c>
      <c r="F295" s="30"/>
      <c r="G295" s="30"/>
      <c r="J295" s="30" t="str">
        <v>kanan</v>
      </c>
      <c r="K295" s="30"/>
      <c r="L295" s="30"/>
      <c r="O295" s="30" t="str">
        <v>tengah</v>
      </c>
      <c r="P295" s="30"/>
      <c r="Q295" s="30"/>
      <c r="T295" s="30" t="str">
        <v>kanan</v>
      </c>
      <c r="U295" s="30"/>
      <c r="V295" s="30"/>
    </row>
    <row r="296" spans="5:22">
      <c r="E296" s="30" t="str">
        <v>kiri</v>
      </c>
      <c r="F296" s="30"/>
      <c r="G296" s="30"/>
      <c r="J296" s="30" t="str">
        <v>kanan</v>
      </c>
      <c r="K296" s="30"/>
      <c r="L296" s="30"/>
      <c r="O296" s="30" t="str">
        <v>kiri</v>
      </c>
      <c r="P296" s="30"/>
      <c r="Q296" s="30"/>
      <c r="T296" s="30" t="str">
        <v>tengah</v>
      </c>
      <c r="U296" s="30"/>
      <c r="V296" s="30"/>
    </row>
    <row r="297" spans="5:22">
      <c r="E297" s="30" t="str">
        <v>tengah</v>
      </c>
      <c r="F297" s="30"/>
      <c r="G297" s="30"/>
      <c r="J297" s="30" t="str">
        <v>tengah</v>
      </c>
      <c r="K297" s="30"/>
      <c r="L297" s="30"/>
      <c r="O297" s="30" t="str">
        <v>tengah</v>
      </c>
      <c r="P297" s="30"/>
      <c r="Q297" s="30"/>
      <c r="T297" s="30" t="str">
        <v>kanan</v>
      </c>
      <c r="U297" s="30"/>
      <c r="V297" s="30"/>
    </row>
    <row r="298" spans="5:22">
      <c r="E298" s="30" t="str">
        <v>kiri</v>
      </c>
      <c r="F298" s="30"/>
      <c r="G298" s="30"/>
      <c r="J298" s="30" t="str">
        <v>kiri</v>
      </c>
      <c r="K298" s="30"/>
      <c r="L298" s="30"/>
      <c r="O298" s="30" t="str">
        <v>kiri</v>
      </c>
      <c r="P298" s="30"/>
      <c r="Q298" s="30"/>
      <c r="T298" s="30" t="str">
        <v>tengah</v>
      </c>
      <c r="U298" s="30"/>
      <c r="V298" s="30"/>
    </row>
    <row r="299" spans="5:22">
      <c r="E299" s="30" t="str">
        <v>tengah</v>
      </c>
      <c r="F299" s="30"/>
      <c r="G299" s="30"/>
      <c r="J299" s="30" t="str">
        <v>tengah</v>
      </c>
      <c r="K299" s="30"/>
      <c r="L299" s="30"/>
      <c r="O299" s="30" t="str">
        <v>tengah</v>
      </c>
      <c r="P299" s="30"/>
      <c r="Q299" s="30"/>
      <c r="T299" s="30" t="str">
        <v>tengah</v>
      </c>
      <c r="U299" s="30"/>
      <c r="V299" s="30"/>
    </row>
    <row r="300" spans="5:22">
      <c r="E300" s="30" t="str">
        <v>tengah</v>
      </c>
      <c r="F300" s="30"/>
      <c r="G300" s="30"/>
      <c r="J300" s="30" t="str">
        <v>kiri</v>
      </c>
      <c r="K300" s="30"/>
      <c r="L300" s="30"/>
      <c r="O300" s="30" t="str">
        <v>tengah</v>
      </c>
      <c r="P300" s="30"/>
      <c r="Q300" s="30"/>
      <c r="T300" s="30" t="str">
        <v>tengah</v>
      </c>
      <c r="U300" s="30"/>
      <c r="V300" s="30"/>
    </row>
    <row r="301" spans="5:22">
      <c r="E301" s="30" t="str">
        <v>kiri</v>
      </c>
      <c r="F301" s="30"/>
      <c r="G301" s="30"/>
      <c r="J301" s="30" t="str">
        <v>tengah</v>
      </c>
      <c r="K301" s="30"/>
      <c r="L301" s="30"/>
      <c r="O301" s="30" t="str">
        <v>kanan</v>
      </c>
      <c r="P301" s="30"/>
      <c r="Q301" s="30"/>
      <c r="T301" s="30" t="str">
        <v>tengah</v>
      </c>
      <c r="U301" s="30"/>
      <c r="V301" s="30"/>
    </row>
    <row r="302" spans="5:22">
      <c r="E302" s="30" t="str">
        <v>tengah</v>
      </c>
      <c r="F302" s="30"/>
      <c r="G302" s="30"/>
      <c r="J302" s="30" t="str">
        <v>kanan</v>
      </c>
      <c r="K302" s="30"/>
      <c r="L302" s="30"/>
      <c r="O302" s="30" t="str">
        <v>kiri</v>
      </c>
      <c r="P302" s="30"/>
      <c r="Q302" s="30"/>
      <c r="T302" s="30" t="str">
        <v>tengah</v>
      </c>
      <c r="U302" s="30"/>
      <c r="V302" s="30"/>
    </row>
    <row r="303" spans="5:22">
      <c r="E303" s="30" t="str">
        <v>tengah</v>
      </c>
      <c r="F303" s="30"/>
      <c r="G303" s="30"/>
      <c r="J303" s="30" t="str">
        <v>kanan</v>
      </c>
      <c r="K303" s="30"/>
      <c r="L303" s="30"/>
      <c r="O303" s="30" t="str">
        <v>tengah</v>
      </c>
      <c r="P303" s="30"/>
      <c r="Q303" s="30"/>
      <c r="T303" s="30" t="str">
        <v>tengah</v>
      </c>
      <c r="U303" s="30"/>
      <c r="V303" s="30"/>
    </row>
    <row r="304" spans="5:22">
      <c r="E304" s="30" t="str">
        <v>tengah</v>
      </c>
      <c r="F304" s="30"/>
      <c r="G304" s="30"/>
      <c r="J304" s="30" t="str">
        <v>tengah</v>
      </c>
      <c r="K304" s="30"/>
      <c r="L304" s="30"/>
      <c r="O304" s="30" t="str">
        <v>kanan</v>
      </c>
      <c r="P304" s="30"/>
      <c r="Q304" s="30"/>
      <c r="T304" s="30" t="str">
        <v>kanan</v>
      </c>
      <c r="U304" s="30"/>
      <c r="V304" s="30"/>
    </row>
    <row r="305" spans="5:22">
      <c r="E305" s="30" t="str">
        <v>tengah</v>
      </c>
      <c r="F305" s="30"/>
      <c r="G305" s="30"/>
      <c r="J305" s="30" t="str">
        <v>tengah</v>
      </c>
      <c r="K305" s="30"/>
      <c r="L305" s="30"/>
      <c r="O305" s="30" t="str">
        <v>tengah</v>
      </c>
      <c r="P305" s="30"/>
      <c r="Q305" s="30"/>
      <c r="T305" s="30" t="str">
        <v>tengah</v>
      </c>
      <c r="U305" s="30"/>
      <c r="V305" s="30"/>
    </row>
    <row r="306" spans="5:22">
      <c r="E306" s="30" t="str">
        <v>kiri</v>
      </c>
      <c r="F306" s="30"/>
      <c r="G306" s="30"/>
      <c r="J306" s="30" t="str">
        <v>kanan</v>
      </c>
      <c r="K306" s="30"/>
      <c r="L306" s="30"/>
      <c r="O306" s="30" t="str">
        <v>tengah</v>
      </c>
      <c r="P306" s="30"/>
      <c r="Q306" s="30"/>
      <c r="T306" s="30" t="str">
        <v>kanan</v>
      </c>
      <c r="U306" s="30"/>
      <c r="V306" s="30"/>
    </row>
    <row r="307" spans="5:22">
      <c r="E307" s="30" t="str">
        <v>kiri</v>
      </c>
      <c r="F307" s="30"/>
      <c r="G307" s="30"/>
      <c r="J307" s="30" t="str">
        <v>kiri</v>
      </c>
      <c r="K307" s="30"/>
      <c r="L307" s="30"/>
      <c r="O307" s="30" t="str">
        <v>tengah</v>
      </c>
      <c r="P307" s="30"/>
      <c r="Q307" s="30"/>
      <c r="T307" s="30" t="str">
        <v>kanan</v>
      </c>
      <c r="U307" s="30"/>
      <c r="V307" s="30"/>
    </row>
    <row r="308" spans="5:22">
      <c r="E308" s="30" t="str">
        <v>kiri</v>
      </c>
      <c r="F308" s="30"/>
      <c r="G308" s="30"/>
      <c r="J308" s="30" t="str">
        <v>tengah</v>
      </c>
      <c r="K308" s="30"/>
      <c r="L308" s="30"/>
      <c r="O308" s="30" t="str">
        <v>kanan</v>
      </c>
      <c r="P308" s="30"/>
      <c r="Q308" s="30"/>
      <c r="T308" s="30" t="str">
        <v>tengah</v>
      </c>
      <c r="U308" s="30"/>
      <c r="V308" s="30"/>
    </row>
    <row r="309" spans="5:22">
      <c r="E309" s="30" t="str">
        <v>tengah</v>
      </c>
      <c r="F309" s="30"/>
      <c r="G309" s="30"/>
      <c r="J309" s="30" t="str">
        <v>kanan</v>
      </c>
      <c r="K309" s="30"/>
      <c r="L309" s="30"/>
      <c r="O309" s="30" t="str">
        <v>tengah</v>
      </c>
      <c r="P309" s="30"/>
      <c r="Q309" s="30"/>
      <c r="T309" s="30" t="str">
        <v>kanan</v>
      </c>
      <c r="U309" s="30"/>
      <c r="V309" s="30"/>
    </row>
    <row r="310" spans="5:22">
      <c r="E310" s="30" t="str">
        <v>tengah</v>
      </c>
      <c r="F310" s="30"/>
      <c r="G310" s="30"/>
      <c r="J310" s="30" t="str">
        <v>kiri</v>
      </c>
      <c r="K310" s="30"/>
      <c r="L310" s="30"/>
      <c r="O310" s="30" t="str">
        <v>tengah</v>
      </c>
      <c r="P310" s="30"/>
      <c r="Q310" s="30"/>
      <c r="T310" s="30" t="str">
        <v>kanan</v>
      </c>
      <c r="U310" s="30"/>
      <c r="V310" s="30"/>
    </row>
    <row r="311" spans="5:22">
      <c r="E311" s="30" t="str">
        <v>kanan</v>
      </c>
      <c r="F311" s="30"/>
      <c r="G311" s="30"/>
      <c r="J311" s="30" t="str">
        <v>tengah</v>
      </c>
      <c r="K311" s="30"/>
      <c r="L311" s="30"/>
      <c r="O311" s="30" t="str">
        <v>tengah</v>
      </c>
      <c r="P311" s="30"/>
      <c r="Q311" s="30"/>
      <c r="T311" s="30" t="str">
        <v>kanan</v>
      </c>
      <c r="U311" s="30"/>
      <c r="V311" s="30"/>
    </row>
    <row r="312" spans="5:22">
      <c r="E312" s="30" t="str">
        <v>tengah</v>
      </c>
      <c r="F312" s="30"/>
      <c r="G312" s="30"/>
      <c r="J312" s="30" t="str">
        <v>tengah</v>
      </c>
      <c r="K312" s="30"/>
      <c r="L312" s="30"/>
      <c r="O312" s="30" t="str">
        <v>kiri</v>
      </c>
      <c r="P312" s="30"/>
      <c r="Q312" s="30"/>
      <c r="T312" s="30" t="str">
        <v>kanan</v>
      </c>
      <c r="U312" s="30"/>
      <c r="V312" s="30"/>
    </row>
    <row r="313" spans="5:22">
      <c r="E313" s="30" t="str">
        <v>tengah</v>
      </c>
      <c r="F313" s="30"/>
      <c r="G313" s="30"/>
      <c r="J313" s="30" t="str">
        <v>kanan</v>
      </c>
      <c r="K313" s="30"/>
      <c r="L313" s="30"/>
      <c r="O313" s="30" t="str">
        <v>kiri</v>
      </c>
      <c r="P313" s="30"/>
      <c r="Q313" s="30"/>
      <c r="T313" s="30" t="str">
        <v>tengah</v>
      </c>
      <c r="U313" s="30"/>
      <c r="V313" s="30"/>
    </row>
    <row r="314" spans="5:22">
      <c r="E314" s="30" t="str">
        <v>tengah</v>
      </c>
      <c r="F314" s="30"/>
      <c r="G314" s="30"/>
      <c r="J314" s="30" t="str">
        <v>tengah</v>
      </c>
      <c r="K314" s="30"/>
      <c r="L314" s="30"/>
      <c r="O314" s="30" t="str">
        <v>tengah</v>
      </c>
      <c r="P314" s="30"/>
      <c r="Q314" s="30"/>
      <c r="T314" s="30" t="str">
        <v>kanan</v>
      </c>
      <c r="U314" s="30"/>
      <c r="V314" s="30"/>
    </row>
    <row r="315" spans="5:22">
      <c r="E315" s="30" t="str">
        <v>tengah</v>
      </c>
      <c r="F315" s="30"/>
      <c r="G315" s="30"/>
      <c r="J315" s="30" t="str">
        <v>tengah</v>
      </c>
      <c r="K315" s="30"/>
      <c r="L315" s="30"/>
      <c r="O315" s="30" t="str">
        <v>kiri</v>
      </c>
      <c r="P315" s="30"/>
      <c r="Q315" s="30"/>
      <c r="T315" s="30" t="str">
        <v>kanan</v>
      </c>
      <c r="U315" s="30"/>
      <c r="V315" s="30"/>
    </row>
    <row r="316" spans="5:22">
      <c r="E316" s="30" t="str">
        <v>kiri</v>
      </c>
      <c r="F316" s="30"/>
      <c r="G316" s="30"/>
      <c r="J316" s="30" t="str">
        <v>tengah</v>
      </c>
      <c r="K316" s="30"/>
      <c r="L316" s="30"/>
      <c r="O316" s="30" t="str">
        <v>kiri</v>
      </c>
      <c r="P316" s="30"/>
      <c r="Q316" s="30"/>
      <c r="T316" s="30" t="str">
        <v>tengah</v>
      </c>
      <c r="U316" s="30"/>
      <c r="V316" s="30"/>
    </row>
    <row r="317" spans="5:22">
      <c r="E317" s="30" t="str">
        <v>kiri</v>
      </c>
      <c r="F317" s="30"/>
      <c r="G317" s="30"/>
      <c r="J317" s="30" t="str">
        <v>tengah</v>
      </c>
      <c r="K317" s="30"/>
      <c r="L317" s="30"/>
      <c r="O317" s="30" t="str">
        <v>kanan</v>
      </c>
      <c r="P317" s="30"/>
      <c r="Q317" s="30"/>
      <c r="T317" s="30" t="str">
        <v>tengah</v>
      </c>
      <c r="U317" s="30"/>
      <c r="V317" s="30"/>
    </row>
    <row r="318" spans="5:22">
      <c r="E318" s="30" t="str">
        <v>tengah</v>
      </c>
      <c r="F318" s="30"/>
      <c r="G318" s="30"/>
      <c r="J318" s="30" t="str">
        <v>tengah</v>
      </c>
      <c r="K318" s="30"/>
      <c r="L318" s="30"/>
      <c r="O318" s="30" t="str">
        <v>tengah</v>
      </c>
      <c r="P318" s="30"/>
      <c r="Q318" s="30"/>
      <c r="T318" s="30" t="str">
        <v>kanan</v>
      </c>
      <c r="U318" s="30"/>
      <c r="V318" s="30"/>
    </row>
    <row r="319" spans="5:22">
      <c r="E319" s="30" t="str">
        <v>kanan</v>
      </c>
      <c r="F319" s="30"/>
      <c r="G319" s="30"/>
      <c r="J319" s="30" t="str">
        <v>tengah</v>
      </c>
      <c r="K319" s="30"/>
      <c r="L319" s="30"/>
      <c r="O319" s="30" t="str">
        <v>kiri</v>
      </c>
      <c r="P319" s="30"/>
      <c r="Q319" s="30"/>
      <c r="T319" s="30" t="str">
        <v>tengah</v>
      </c>
      <c r="U319" s="30"/>
      <c r="V319" s="30"/>
    </row>
    <row r="320" spans="5:22">
      <c r="E320" s="30" t="str">
        <v>tengah</v>
      </c>
      <c r="F320" s="30"/>
      <c r="G320" s="30"/>
      <c r="J320" s="30" t="str">
        <v>tengah</v>
      </c>
      <c r="K320" s="30"/>
      <c r="L320" s="30"/>
      <c r="O320" s="30" t="str">
        <v>tengah</v>
      </c>
      <c r="P320" s="30"/>
      <c r="Q320" s="30"/>
      <c r="T320" s="30" t="str">
        <v>kanan</v>
      </c>
      <c r="U320" s="30"/>
      <c r="V320" s="30"/>
    </row>
    <row r="321" spans="5:22">
      <c r="E321" s="30" t="str">
        <v>kiri</v>
      </c>
      <c r="F321" s="30"/>
      <c r="G321" s="30"/>
      <c r="J321" s="30" t="str">
        <v>kanan</v>
      </c>
      <c r="K321" s="30"/>
      <c r="L321" s="30"/>
      <c r="O321" s="30" t="str">
        <v>kiri</v>
      </c>
      <c r="P321" s="30"/>
      <c r="Q321" s="30"/>
      <c r="T321" s="30" t="str">
        <v>kanan</v>
      </c>
      <c r="U321" s="30"/>
      <c r="V321" s="30"/>
    </row>
    <row r="322" spans="5:22">
      <c r="E322" s="30" t="str">
        <v>tengah</v>
      </c>
      <c r="F322" s="30"/>
      <c r="G322" s="30"/>
      <c r="J322" s="30" t="str">
        <v>tengah</v>
      </c>
      <c r="K322" s="30"/>
      <c r="L322" s="30"/>
      <c r="O322" s="30" t="str">
        <v>kanan</v>
      </c>
      <c r="P322" s="30"/>
      <c r="Q322" s="30"/>
      <c r="T322" s="30" t="str">
        <v>kanan</v>
      </c>
      <c r="U322" s="30"/>
      <c r="V322" s="30"/>
    </row>
    <row r="323" spans="5:22">
      <c r="E323" s="30" t="str">
        <v>kiri</v>
      </c>
      <c r="F323" s="30"/>
      <c r="G323" s="30"/>
      <c r="J323" s="30" t="str">
        <v>tengah</v>
      </c>
      <c r="K323" s="30"/>
      <c r="L323" s="30"/>
      <c r="O323" s="30" t="str">
        <v>tengah</v>
      </c>
      <c r="P323" s="30"/>
      <c r="Q323" s="30"/>
      <c r="T323" s="30" t="str">
        <v>kanan</v>
      </c>
      <c r="U323" s="30"/>
      <c r="V323" s="30"/>
    </row>
    <row r="324" spans="5:22">
      <c r="E324" s="30" t="str">
        <v>tengah</v>
      </c>
      <c r="F324" s="30"/>
      <c r="G324" s="30"/>
      <c r="J324" s="30" t="str">
        <v>tengah</v>
      </c>
      <c r="K324" s="30"/>
      <c r="L324" s="30"/>
      <c r="O324" s="30" t="str">
        <v>kiri</v>
      </c>
      <c r="P324" s="30"/>
      <c r="Q324" s="30"/>
      <c r="T324" s="30" t="str">
        <v>kanan</v>
      </c>
      <c r="U324" s="30"/>
      <c r="V324" s="30"/>
    </row>
    <row r="325" spans="5:22">
      <c r="E325" s="30" t="str">
        <v>tengah</v>
      </c>
      <c r="F325" s="30"/>
      <c r="G325" s="30"/>
      <c r="J325" s="30" t="str">
        <v>tengah</v>
      </c>
      <c r="K325" s="30"/>
      <c r="L325" s="30"/>
      <c r="O325" s="30" t="str">
        <v>tengah</v>
      </c>
      <c r="P325" s="30"/>
      <c r="Q325" s="30"/>
      <c r="T325" s="30" t="str">
        <v>kanan</v>
      </c>
      <c r="U325" s="30"/>
      <c r="V325" s="30"/>
    </row>
    <row r="326" spans="5:22">
      <c r="E326" s="30" t="str">
        <v>tengah</v>
      </c>
      <c r="F326" s="30"/>
      <c r="G326" s="30"/>
      <c r="J326" s="30" t="str">
        <v>kanan</v>
      </c>
      <c r="K326" s="30"/>
      <c r="L326" s="30"/>
      <c r="O326" s="30" t="str">
        <v>tengah</v>
      </c>
      <c r="P326" s="30"/>
      <c r="Q326" s="30"/>
      <c r="T326" s="30" t="str">
        <v>tengah</v>
      </c>
      <c r="U326" s="30"/>
      <c r="V326" s="30"/>
    </row>
    <row r="327" spans="5:22">
      <c r="E327" s="30" t="str">
        <v>kanan</v>
      </c>
      <c r="F327" s="30"/>
      <c r="G327" s="30"/>
      <c r="J327" s="30" t="str">
        <v>kanan</v>
      </c>
      <c r="K327" s="30"/>
      <c r="L327" s="30"/>
      <c r="O327" s="30" t="str">
        <v>tengah</v>
      </c>
      <c r="P327" s="30"/>
      <c r="Q327" s="30"/>
      <c r="T327" s="30" t="str">
        <v>kanan</v>
      </c>
      <c r="U327" s="30"/>
      <c r="V327" s="30"/>
    </row>
    <row r="328" spans="5:22">
      <c r="E328" s="30" t="str">
        <v>kiri</v>
      </c>
      <c r="F328" s="30"/>
      <c r="G328" s="30"/>
      <c r="J328" s="30" t="str">
        <v>tengah</v>
      </c>
      <c r="K328" s="30"/>
      <c r="L328" s="30"/>
      <c r="O328" s="30" t="str">
        <v>kiri</v>
      </c>
      <c r="P328" s="30"/>
      <c r="Q328" s="30"/>
      <c r="T328" s="30" t="str">
        <v>tengah</v>
      </c>
      <c r="U328" s="30"/>
      <c r="V328" s="30"/>
    </row>
    <row r="329" spans="5:22">
      <c r="E329" s="30" t="str">
        <v>kiri</v>
      </c>
      <c r="F329" s="30"/>
      <c r="G329" s="30"/>
      <c r="J329" s="30" t="str">
        <v>kiri</v>
      </c>
      <c r="K329" s="30"/>
      <c r="L329" s="30"/>
      <c r="O329" s="30" t="str">
        <v>kanan</v>
      </c>
      <c r="P329" s="30"/>
      <c r="Q329" s="30"/>
      <c r="T329" s="30" t="str">
        <v>kanan</v>
      </c>
      <c r="U329" s="30"/>
      <c r="V329" s="30"/>
    </row>
    <row r="330" spans="5:22">
      <c r="E330" s="30" t="str">
        <v>kiri</v>
      </c>
      <c r="F330" s="30"/>
      <c r="G330" s="30"/>
      <c r="J330" s="30" t="str">
        <v>tengah</v>
      </c>
      <c r="K330" s="30"/>
      <c r="L330" s="30"/>
      <c r="O330" s="30" t="str">
        <v>tengah</v>
      </c>
      <c r="P330" s="30"/>
      <c r="Q330" s="30"/>
      <c r="T330" s="30" t="str">
        <v>tengah</v>
      </c>
      <c r="U330" s="30"/>
      <c r="V330" s="30"/>
    </row>
    <row r="331" spans="5:22">
      <c r="E331" s="30" t="str">
        <v>tengah</v>
      </c>
      <c r="F331" s="30"/>
      <c r="G331" s="30"/>
      <c r="J331" s="30" t="str">
        <v>kanan</v>
      </c>
      <c r="K331" s="30"/>
      <c r="L331" s="30"/>
      <c r="O331" s="30" t="str">
        <v>kanan</v>
      </c>
      <c r="P331" s="30"/>
      <c r="Q331" s="30"/>
      <c r="T331" s="30" t="str">
        <v>tengah</v>
      </c>
      <c r="U331" s="30"/>
      <c r="V331" s="30"/>
    </row>
    <row r="332" spans="5:22">
      <c r="E332" s="30" t="str">
        <v>tengah</v>
      </c>
      <c r="F332" s="30"/>
      <c r="G332" s="30"/>
      <c r="J332" s="30" t="str">
        <v>kiri</v>
      </c>
      <c r="K332" s="30"/>
      <c r="L332" s="30"/>
      <c r="O332" s="30" t="str">
        <v>kiri</v>
      </c>
      <c r="P332" s="30"/>
      <c r="Q332" s="30"/>
      <c r="T332" s="30" t="str">
        <v>kanan</v>
      </c>
      <c r="U332" s="30"/>
      <c r="V332" s="30"/>
    </row>
  </sheetData>
  <pageMargins left="0.7" right="0.7" top="0.75" bottom="0.75" header="0.3" footer="0.3"/>
  <headerFooter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32"/>
  <sheetViews>
    <sheetView zoomScale="98" zoomScaleNormal="98" topLeftCell="N160" workbookViewId="0">
      <selection activeCell="Y161" sqref="Y161"/>
    </sheetView>
  </sheetViews>
  <sheetFormatPr defaultColWidth="9" defaultRowHeight="15"/>
  <cols>
    <col min="2" max="2" width="15.8518518518519" customWidth="1"/>
    <col min="3" max="3" width="16.7111111111111" customWidth="1"/>
    <col min="4" max="4" width="13.8518518518519" customWidth="1"/>
    <col min="6" max="6" width="14.4222222222222" customWidth="1"/>
    <col min="8" max="8" width="14.2814814814815" customWidth="1"/>
    <col min="9" max="9" width="13.2814814814815" customWidth="1"/>
    <col min="10" max="10" width="13.8518518518519" customWidth="1"/>
    <col min="11" max="11" width="22" customWidth="1"/>
    <col min="13" max="13" width="14.4222222222222" customWidth="1"/>
    <col min="15" max="15" width="25.2814814814815" customWidth="1"/>
    <col min="16" max="16" width="12.8518518518519" customWidth="1"/>
    <col min="17" max="17" width="11.7111111111111" customWidth="1"/>
    <col min="20" max="20" width="14.4222222222222" customWidth="1"/>
  </cols>
  <sheetData>
    <row r="1" spans="1:17">
      <c r="A1" s="29" t="s">
        <v>175</v>
      </c>
      <c r="B1" s="29" t="s">
        <v>1</v>
      </c>
      <c r="C1" s="29" t="s">
        <v>2</v>
      </c>
      <c r="D1" s="29" t="s">
        <v>171</v>
      </c>
      <c r="E1" s="29" t="s">
        <v>4</v>
      </c>
      <c r="F1" s="29" t="s">
        <v>6</v>
      </c>
      <c r="H1" s="31" t="s">
        <v>175</v>
      </c>
      <c r="I1" s="31" t="s">
        <v>1</v>
      </c>
      <c r="J1" s="31" t="s">
        <v>2</v>
      </c>
      <c r="K1" s="31" t="s">
        <v>171</v>
      </c>
      <c r="L1" s="31" t="s">
        <v>4</v>
      </c>
      <c r="M1" s="31" t="s">
        <v>6</v>
      </c>
      <c r="O1" s="29" t="s">
        <v>176</v>
      </c>
      <c r="P1" s="32"/>
      <c r="Q1" s="32"/>
    </row>
    <row r="2" spans="1:17">
      <c r="A2" s="30">
        <f ca="1">RANDBETWEEN(2,164)</f>
        <v>45</v>
      </c>
      <c r="B2" s="30">
        <f ca="1" t="array" ref="B2">INDEX(Data_DBD!$B:$B,$A2)</f>
        <v>75</v>
      </c>
      <c r="C2" s="30">
        <f ca="1" t="array" ref="C2">INDEX(Data_DBD!$C:$C,$A2)</f>
        <v>3</v>
      </c>
      <c r="D2" s="30">
        <f ca="1" t="array" ref="D2">INDEX(Data_DBD!$D:$D,$A2)</f>
        <v>13</v>
      </c>
      <c r="E2" s="30">
        <f ca="1" t="array" ref="E2">INDEX(Data_DBD!$E:$E,$A2)</f>
        <v>1</v>
      </c>
      <c r="F2" s="30">
        <f ca="1" t="array" ref="F2">INDEX(Data_DBD!$F:$F,$A2)</f>
        <v>2</v>
      </c>
      <c r="H2" s="30">
        <v>19</v>
      </c>
      <c r="I2" s="30">
        <v>8</v>
      </c>
      <c r="J2" s="30">
        <v>4</v>
      </c>
      <c r="K2" s="30">
        <v>7</v>
      </c>
      <c r="L2" s="30">
        <v>0</v>
      </c>
      <c r="M2" s="30">
        <v>1</v>
      </c>
      <c r="O2" s="33">
        <v>1</v>
      </c>
      <c r="P2" s="32">
        <f>COUNTIF(M2:M164,"1")</f>
        <v>12</v>
      </c>
      <c r="Q2" s="32">
        <f>P2/163</f>
        <v>0.0736196319018405</v>
      </c>
    </row>
    <row r="3" spans="1:17">
      <c r="A3" s="30">
        <f ca="1" t="shared" ref="A3:A66" si="0">RANDBETWEEN(2,164)</f>
        <v>104</v>
      </c>
      <c r="B3" s="30">
        <f ca="1" t="array" ref="B3">INDEX(Data_DBD!$B:$B,$A3)</f>
        <v>37</v>
      </c>
      <c r="C3" s="30">
        <f ca="1" t="array" ref="C3">INDEX(Data_DBD!$C:$C,$A3)</f>
        <v>4</v>
      </c>
      <c r="D3" s="30">
        <f ca="1" t="array" ref="D3">INDEX(Data_DBD!$D:$D,$A3)</f>
        <v>18</v>
      </c>
      <c r="E3" s="30">
        <f ca="1" t="array" ref="E3">INDEX(Data_DBD!$E:$E,$A3)</f>
        <v>1</v>
      </c>
      <c r="F3" s="30">
        <f ca="1" t="array" ref="F3">INDEX(Data_DBD!$F:$F,$A3)</f>
        <v>3</v>
      </c>
      <c r="H3" s="30">
        <v>23</v>
      </c>
      <c r="I3" s="30">
        <v>28</v>
      </c>
      <c r="J3" s="30">
        <v>4</v>
      </c>
      <c r="K3" s="30">
        <v>14</v>
      </c>
      <c r="L3" s="30">
        <v>1</v>
      </c>
      <c r="M3" s="30">
        <v>2</v>
      </c>
      <c r="O3" s="32">
        <v>2</v>
      </c>
      <c r="P3" s="32">
        <f>COUNTIF(M2:M164,"2")</f>
        <v>75</v>
      </c>
      <c r="Q3" s="32">
        <f>P3/163</f>
        <v>0.460122699386503</v>
      </c>
    </row>
    <row r="4" spans="1:17">
      <c r="A4" s="30">
        <f ca="1" t="shared" si="0"/>
        <v>142</v>
      </c>
      <c r="B4" s="30">
        <f ca="1" t="array" ref="B4">INDEX(Data_DBD!$B:$B,$A4)</f>
        <v>39</v>
      </c>
      <c r="C4" s="30">
        <f ca="1" t="array" ref="C4">INDEX(Data_DBD!$C:$C,$A4)</f>
        <v>2</v>
      </c>
      <c r="D4" s="30">
        <f ca="1" t="array" ref="D4">INDEX(Data_DBD!$D:$D,$A4)</f>
        <v>21</v>
      </c>
      <c r="E4" s="30">
        <f ca="1" t="array" ref="E4">INDEX(Data_DBD!$E:$E,$A4)</f>
        <v>1</v>
      </c>
      <c r="F4" s="30">
        <f ca="1" t="array" ref="F4">INDEX(Data_DBD!$F:$F,$A4)</f>
        <v>3</v>
      </c>
      <c r="H4" s="30">
        <v>7</v>
      </c>
      <c r="I4" s="30">
        <v>12</v>
      </c>
      <c r="J4" s="30">
        <v>1</v>
      </c>
      <c r="K4" s="30">
        <v>12</v>
      </c>
      <c r="L4" s="30">
        <v>1</v>
      </c>
      <c r="M4" s="30">
        <v>2</v>
      </c>
      <c r="O4" s="32">
        <v>3</v>
      </c>
      <c r="P4" s="32">
        <f>COUNTIF(M2:M164,"3")</f>
        <v>76</v>
      </c>
      <c r="Q4" s="32">
        <f>P4/163</f>
        <v>0.466257668711656</v>
      </c>
    </row>
    <row r="5" spans="1:16">
      <c r="A5" s="30">
        <f ca="1" t="shared" si="0"/>
        <v>128</v>
      </c>
      <c r="B5" s="30">
        <f ca="1" t="array" ref="B5">INDEX(Data_DBD!$B:$B,$A5)</f>
        <v>38</v>
      </c>
      <c r="C5" s="30">
        <f ca="1" t="array" ref="C5">INDEX(Data_DBD!$C:$C,$A5)</f>
        <v>2</v>
      </c>
      <c r="D5" s="30">
        <f ca="1" t="array" ref="D5">INDEX(Data_DBD!$D:$D,$A5)</f>
        <v>33</v>
      </c>
      <c r="E5" s="30">
        <f ca="1" t="array" ref="E5">INDEX(Data_DBD!$E:$E,$A5)</f>
        <v>0</v>
      </c>
      <c r="F5" s="30">
        <f ca="1" t="array" ref="F5">INDEX(Data_DBD!$F:$F,$A5)</f>
        <v>3</v>
      </c>
      <c r="H5" s="30">
        <v>122</v>
      </c>
      <c r="I5" s="30">
        <v>28</v>
      </c>
      <c r="J5" s="30">
        <v>3</v>
      </c>
      <c r="K5" s="30">
        <v>33</v>
      </c>
      <c r="L5" s="30">
        <v>1</v>
      </c>
      <c r="M5" s="30">
        <v>3</v>
      </c>
      <c r="O5" s="34" t="s">
        <v>181</v>
      </c>
      <c r="P5">
        <f>-(IFERROR(Q2*LOG(Q2,2),0)+IFERROR(Q3*LOG(Q3,2),0)+IFERROR(Q4*LOG(Q4,2),0))</f>
        <v>1.30563954798839</v>
      </c>
    </row>
    <row r="6" spans="1:13">
      <c r="A6" s="30">
        <f ca="1" t="shared" si="0"/>
        <v>50</v>
      </c>
      <c r="B6" s="30">
        <f ca="1" t="array" ref="B6">INDEX(Data_DBD!$B:$B,$A6)</f>
        <v>19</v>
      </c>
      <c r="C6" s="30">
        <f ca="1" t="array" ref="C6">INDEX(Data_DBD!$C:$C,$A6)</f>
        <v>5</v>
      </c>
      <c r="D6" s="30">
        <f ca="1" t="array" ref="D6">INDEX(Data_DBD!$D:$D,$A6)</f>
        <v>13</v>
      </c>
      <c r="E6" s="30">
        <f ca="1" t="array" ref="E6">INDEX(Data_DBD!$E:$E,$A6)</f>
        <v>0</v>
      </c>
      <c r="F6" s="30">
        <f ca="1" t="array" ref="F6">INDEX(Data_DBD!$F:$F,$A6)</f>
        <v>2</v>
      </c>
      <c r="H6" s="30">
        <v>158</v>
      </c>
      <c r="I6" s="30">
        <v>5</v>
      </c>
      <c r="J6" s="30">
        <v>2</v>
      </c>
      <c r="K6" s="30">
        <v>21</v>
      </c>
      <c r="L6" s="30">
        <v>0</v>
      </c>
      <c r="M6" s="30">
        <v>3</v>
      </c>
    </row>
    <row r="7" spans="1:13">
      <c r="A7" s="30">
        <f ca="1" t="shared" si="0"/>
        <v>14</v>
      </c>
      <c r="B7" s="30">
        <f ca="1" t="array" ref="B7">INDEX(Data_DBD!$B:$B,$A7)</f>
        <v>49</v>
      </c>
      <c r="C7" s="30">
        <f ca="1" t="array" ref="C7">INDEX(Data_DBD!$C:$C,$A7)</f>
        <v>4</v>
      </c>
      <c r="D7" s="30">
        <f ca="1" t="array" ref="D7">INDEX(Data_DBD!$D:$D,$A7)</f>
        <v>7</v>
      </c>
      <c r="E7" s="30">
        <f ca="1" t="array" ref="E7">INDEX(Data_DBD!$E:$E,$A7)</f>
        <v>1</v>
      </c>
      <c r="F7" s="30">
        <f ca="1" t="array" ref="F7">INDEX(Data_DBD!$F:$F,$A7)</f>
        <v>1</v>
      </c>
      <c r="H7" s="30">
        <v>117</v>
      </c>
      <c r="I7" s="30">
        <v>49</v>
      </c>
      <c r="J7" s="30">
        <v>4</v>
      </c>
      <c r="K7" s="30">
        <v>33</v>
      </c>
      <c r="L7" s="30">
        <v>1</v>
      </c>
      <c r="M7" s="30">
        <v>3</v>
      </c>
    </row>
    <row r="8" spans="1:13">
      <c r="A8" s="30">
        <f ca="1" t="shared" si="0"/>
        <v>53</v>
      </c>
      <c r="B8" s="30">
        <f ca="1" t="array" ref="B8">INDEX(Data_DBD!$B:$B,$A8)</f>
        <v>35</v>
      </c>
      <c r="C8" s="30">
        <f ca="1" t="array" ref="C8">INDEX(Data_DBD!$C:$C,$A8)</f>
        <v>4</v>
      </c>
      <c r="D8" s="30">
        <f ca="1" t="array" ref="D8">INDEX(Data_DBD!$D:$D,$A8)</f>
        <v>15</v>
      </c>
      <c r="E8" s="30">
        <f ca="1" t="array" ref="E8">INDEX(Data_DBD!$E:$E,$A8)</f>
        <v>1</v>
      </c>
      <c r="F8" s="30">
        <f ca="1" t="array" ref="F8">INDEX(Data_DBD!$F:$F,$A8)</f>
        <v>2</v>
      </c>
      <c r="H8" s="30">
        <v>36</v>
      </c>
      <c r="I8" s="30">
        <v>27</v>
      </c>
      <c r="J8" s="30">
        <v>1</v>
      </c>
      <c r="K8" s="30">
        <v>4</v>
      </c>
      <c r="L8" s="30">
        <v>1</v>
      </c>
      <c r="M8" s="30">
        <v>1</v>
      </c>
    </row>
    <row r="9" spans="1:13">
      <c r="A9" s="30">
        <f ca="1" t="shared" si="0"/>
        <v>26</v>
      </c>
      <c r="B9" s="30">
        <f ca="1" t="array" ref="B9">INDEX(Data_DBD!$B:$B,$A9)</f>
        <v>75</v>
      </c>
      <c r="C9" s="30">
        <f ca="1" t="array" ref="C9">INDEX(Data_DBD!$C:$C,$A9)</f>
        <v>4</v>
      </c>
      <c r="D9" s="30">
        <f ca="1" t="array" ref="D9">INDEX(Data_DBD!$D:$D,$A9)</f>
        <v>14</v>
      </c>
      <c r="E9" s="30">
        <f ca="1" t="array" ref="E9">INDEX(Data_DBD!$E:$E,$A9)</f>
        <v>1</v>
      </c>
      <c r="F9" s="30">
        <f ca="1" t="array" ref="F9">INDEX(Data_DBD!$F:$F,$A9)</f>
        <v>2</v>
      </c>
      <c r="H9" s="30">
        <v>10</v>
      </c>
      <c r="I9" s="30">
        <v>18</v>
      </c>
      <c r="J9" s="30">
        <v>5</v>
      </c>
      <c r="K9" s="30">
        <v>12</v>
      </c>
      <c r="L9" s="30">
        <v>0</v>
      </c>
      <c r="M9" s="30">
        <v>2</v>
      </c>
    </row>
    <row r="10" spans="1:13">
      <c r="A10" s="30">
        <f ca="1" t="shared" si="0"/>
        <v>149</v>
      </c>
      <c r="B10" s="30">
        <f ca="1" t="array" ref="B10">INDEX(Data_DBD!$B:$B,$A10)</f>
        <v>19</v>
      </c>
      <c r="C10" s="30">
        <f ca="1" t="array" ref="C10">INDEX(Data_DBD!$C:$C,$A10)</f>
        <v>5</v>
      </c>
      <c r="D10" s="30">
        <f ca="1" t="array" ref="D10">INDEX(Data_DBD!$D:$D,$A10)</f>
        <v>21</v>
      </c>
      <c r="E10" s="30">
        <f ca="1" t="array" ref="E10">INDEX(Data_DBD!$E:$E,$A10)</f>
        <v>0</v>
      </c>
      <c r="F10" s="30">
        <f ca="1" t="array" ref="F10">INDEX(Data_DBD!$F:$F,$A10)</f>
        <v>3</v>
      </c>
      <c r="H10" s="30">
        <v>158</v>
      </c>
      <c r="I10" s="30">
        <v>5</v>
      </c>
      <c r="J10" s="30">
        <v>2</v>
      </c>
      <c r="K10" s="30">
        <v>21</v>
      </c>
      <c r="L10" s="30">
        <v>0</v>
      </c>
      <c r="M10" s="30">
        <v>3</v>
      </c>
    </row>
    <row r="11" spans="1:13">
      <c r="A11" s="30">
        <f ca="1" t="shared" si="0"/>
        <v>127</v>
      </c>
      <c r="B11" s="30">
        <f ca="1" t="array" ref="B11">INDEX(Data_DBD!$B:$B,$A11)</f>
        <v>21</v>
      </c>
      <c r="C11" s="30">
        <f ca="1" t="array" ref="C11">INDEX(Data_DBD!$C:$C,$A11)</f>
        <v>2</v>
      </c>
      <c r="D11" s="30">
        <f ca="1" t="array" ref="D11">INDEX(Data_DBD!$D:$D,$A11)</f>
        <v>33</v>
      </c>
      <c r="E11" s="30">
        <f ca="1" t="array" ref="E11">INDEX(Data_DBD!$E:$E,$A11)</f>
        <v>0</v>
      </c>
      <c r="F11" s="30">
        <f ca="1" t="array" ref="F11">INDEX(Data_DBD!$F:$F,$A11)</f>
        <v>3</v>
      </c>
      <c r="H11" s="30">
        <v>147</v>
      </c>
      <c r="I11" s="30">
        <v>66</v>
      </c>
      <c r="J11" s="30">
        <v>10</v>
      </c>
      <c r="K11" s="30">
        <v>21</v>
      </c>
      <c r="L11" s="30">
        <v>1</v>
      </c>
      <c r="M11" s="30">
        <v>3</v>
      </c>
    </row>
    <row r="12" spans="1:13">
      <c r="A12" s="30">
        <f ca="1" t="shared" si="0"/>
        <v>45</v>
      </c>
      <c r="B12" s="30">
        <f ca="1" t="array" ref="B12">INDEX(Data_DBD!$B:$B,$A12)</f>
        <v>75</v>
      </c>
      <c r="C12" s="30">
        <f ca="1" t="array" ref="C12">INDEX(Data_DBD!$C:$C,$A12)</f>
        <v>3</v>
      </c>
      <c r="D12" s="30">
        <f ca="1" t="array" ref="D12">INDEX(Data_DBD!$D:$D,$A12)</f>
        <v>13</v>
      </c>
      <c r="E12" s="30">
        <f ca="1" t="array" ref="E12">INDEX(Data_DBD!$E:$E,$A12)</f>
        <v>1</v>
      </c>
      <c r="F12" s="30">
        <f ca="1" t="array" ref="F12">INDEX(Data_DBD!$F:$F,$A12)</f>
        <v>2</v>
      </c>
      <c r="H12" s="30">
        <v>75</v>
      </c>
      <c r="I12" s="30">
        <v>2</v>
      </c>
      <c r="J12" s="30">
        <v>2</v>
      </c>
      <c r="K12" s="30">
        <v>10</v>
      </c>
      <c r="L12" s="30">
        <v>1</v>
      </c>
      <c r="M12" s="30">
        <v>2</v>
      </c>
    </row>
    <row r="13" spans="1:13">
      <c r="A13" s="30">
        <f ca="1" t="shared" si="0"/>
        <v>88</v>
      </c>
      <c r="B13" s="30">
        <f ca="1" t="array" ref="B13">INDEX(Data_DBD!$B:$B,$A13)</f>
        <v>20</v>
      </c>
      <c r="C13" s="30">
        <f ca="1" t="array" ref="C13">INDEX(Data_DBD!$C:$C,$A13)</f>
        <v>4</v>
      </c>
      <c r="D13" s="30">
        <f ca="1" t="array" ref="D13">INDEX(Data_DBD!$D:$D,$A13)</f>
        <v>13</v>
      </c>
      <c r="E13" s="30">
        <f ca="1" t="array" ref="E13">INDEX(Data_DBD!$E:$E,$A13)</f>
        <v>1</v>
      </c>
      <c r="F13" s="30">
        <f ca="1" t="array" ref="F13">INDEX(Data_DBD!$F:$F,$A13)</f>
        <v>2</v>
      </c>
      <c r="H13" s="30">
        <v>145</v>
      </c>
      <c r="I13" s="30">
        <v>28</v>
      </c>
      <c r="J13" s="30">
        <v>4</v>
      </c>
      <c r="K13" s="30">
        <v>21</v>
      </c>
      <c r="L13" s="30">
        <v>1</v>
      </c>
      <c r="M13" s="30">
        <v>3</v>
      </c>
    </row>
    <row r="14" spans="1:13">
      <c r="A14" s="30">
        <f ca="1" t="shared" si="0"/>
        <v>26</v>
      </c>
      <c r="B14" s="30">
        <f ca="1" t="array" ref="B14">INDEX(Data_DBD!$B:$B,$A14)</f>
        <v>75</v>
      </c>
      <c r="C14" s="30">
        <f ca="1" t="array" ref="C14">INDEX(Data_DBD!$C:$C,$A14)</f>
        <v>4</v>
      </c>
      <c r="D14" s="30">
        <f ca="1" t="array" ref="D14">INDEX(Data_DBD!$D:$D,$A14)</f>
        <v>14</v>
      </c>
      <c r="E14" s="30">
        <f ca="1" t="array" ref="E14">INDEX(Data_DBD!$E:$E,$A14)</f>
        <v>1</v>
      </c>
      <c r="F14" s="30">
        <f ca="1" t="array" ref="F14">INDEX(Data_DBD!$F:$F,$A14)</f>
        <v>2</v>
      </c>
      <c r="H14" s="30">
        <v>80</v>
      </c>
      <c r="I14" s="30">
        <v>27</v>
      </c>
      <c r="J14" s="30">
        <v>3</v>
      </c>
      <c r="K14" s="30">
        <v>13</v>
      </c>
      <c r="L14" s="30">
        <v>1</v>
      </c>
      <c r="M14" s="30">
        <v>2</v>
      </c>
    </row>
    <row r="15" spans="1:13">
      <c r="A15" s="30">
        <f ca="1" t="shared" si="0"/>
        <v>86</v>
      </c>
      <c r="B15" s="30">
        <f ca="1" t="array" ref="B15">INDEX(Data_DBD!$B:$B,$A15)</f>
        <v>23</v>
      </c>
      <c r="C15" s="30">
        <f ca="1" t="array" ref="C15">INDEX(Data_DBD!$C:$C,$A15)</f>
        <v>3</v>
      </c>
      <c r="D15" s="30">
        <f ca="1" t="array" ref="D15">INDEX(Data_DBD!$D:$D,$A15)</f>
        <v>13</v>
      </c>
      <c r="E15" s="30">
        <f ca="1" t="array" ref="E15">INDEX(Data_DBD!$E:$E,$A15)</f>
        <v>0</v>
      </c>
      <c r="F15" s="30">
        <f ca="1" t="array" ref="F15">INDEX(Data_DBD!$F:$F,$A15)</f>
        <v>2</v>
      </c>
      <c r="H15" s="30">
        <v>156</v>
      </c>
      <c r="I15" s="30">
        <v>5</v>
      </c>
      <c r="J15" s="30">
        <v>2</v>
      </c>
      <c r="K15" s="30">
        <v>21</v>
      </c>
      <c r="L15" s="30">
        <v>0</v>
      </c>
      <c r="M15" s="30">
        <v>3</v>
      </c>
    </row>
    <row r="16" spans="1:13">
      <c r="A16" s="30">
        <f ca="1" t="shared" si="0"/>
        <v>72</v>
      </c>
      <c r="B16" s="30">
        <f ca="1" t="array" ref="B16">INDEX(Data_DBD!$B:$B,$A16)</f>
        <v>3</v>
      </c>
      <c r="C16" s="30">
        <f ca="1" t="array" ref="C16">INDEX(Data_DBD!$C:$C,$A16)</f>
        <v>5</v>
      </c>
      <c r="D16" s="30">
        <f ca="1" t="array" ref="D16">INDEX(Data_DBD!$D:$D,$A16)</f>
        <v>10</v>
      </c>
      <c r="E16" s="30">
        <f ca="1" t="array" ref="E16">INDEX(Data_DBD!$E:$E,$A16)</f>
        <v>1</v>
      </c>
      <c r="F16" s="30">
        <f ca="1" t="array" ref="F16">INDEX(Data_DBD!$F:$F,$A16)</f>
        <v>2</v>
      </c>
      <c r="H16" s="30">
        <v>52</v>
      </c>
      <c r="I16" s="30">
        <v>59</v>
      </c>
      <c r="J16" s="30">
        <v>4</v>
      </c>
      <c r="K16" s="30">
        <v>15</v>
      </c>
      <c r="L16" s="30">
        <v>1</v>
      </c>
      <c r="M16" s="30">
        <v>2</v>
      </c>
    </row>
    <row r="17" spans="1:13">
      <c r="A17" s="30">
        <f ca="1" t="shared" si="0"/>
        <v>61</v>
      </c>
      <c r="B17" s="30">
        <f ca="1" t="array" ref="B17">INDEX(Data_DBD!$B:$B,$A17)</f>
        <v>29</v>
      </c>
      <c r="C17" s="30">
        <f ca="1" t="array" ref="C17">INDEX(Data_DBD!$C:$C,$A17)</f>
        <v>3</v>
      </c>
      <c r="D17" s="30">
        <f ca="1" t="array" ref="D17">INDEX(Data_DBD!$D:$D,$A17)</f>
        <v>15</v>
      </c>
      <c r="E17" s="30">
        <f ca="1" t="array" ref="E17">INDEX(Data_DBD!$E:$E,$A17)</f>
        <v>1</v>
      </c>
      <c r="F17" s="30">
        <f ca="1" t="array" ref="F17">INDEX(Data_DBD!$F:$F,$A17)</f>
        <v>2</v>
      </c>
      <c r="H17" s="30">
        <v>85</v>
      </c>
      <c r="I17" s="30">
        <v>27</v>
      </c>
      <c r="J17" s="30">
        <v>9</v>
      </c>
      <c r="K17" s="30">
        <v>13</v>
      </c>
      <c r="L17" s="30">
        <v>0</v>
      </c>
      <c r="M17" s="30">
        <v>2</v>
      </c>
    </row>
    <row r="18" spans="1:13">
      <c r="A18" s="30">
        <f ca="1" t="shared" si="0"/>
        <v>134</v>
      </c>
      <c r="B18" s="30">
        <f ca="1" t="array" ref="B18">INDEX(Data_DBD!$B:$B,$A18)</f>
        <v>4</v>
      </c>
      <c r="C18" s="30">
        <f ca="1" t="array" ref="C18">INDEX(Data_DBD!$C:$C,$A18)</f>
        <v>2</v>
      </c>
      <c r="D18" s="30">
        <f ca="1" t="array" ref="D18">INDEX(Data_DBD!$D:$D,$A18)</f>
        <v>33</v>
      </c>
      <c r="E18" s="30">
        <f ca="1" t="array" ref="E18">INDEX(Data_DBD!$E:$E,$A18)</f>
        <v>1</v>
      </c>
      <c r="F18" s="30">
        <f ca="1" t="array" ref="F18">INDEX(Data_DBD!$F:$F,$A18)</f>
        <v>3</v>
      </c>
      <c r="H18" s="30">
        <v>152</v>
      </c>
      <c r="I18" s="30">
        <v>47</v>
      </c>
      <c r="J18" s="30">
        <v>3</v>
      </c>
      <c r="K18" s="30">
        <v>21</v>
      </c>
      <c r="L18" s="30">
        <v>1</v>
      </c>
      <c r="M18" s="30">
        <v>3</v>
      </c>
    </row>
    <row r="19" spans="1:13">
      <c r="A19" s="30">
        <f ca="1" t="shared" si="0"/>
        <v>115</v>
      </c>
      <c r="B19" s="30">
        <f ca="1" t="array" ref="B19">INDEX(Data_DBD!$B:$B,$A19)</f>
        <v>52</v>
      </c>
      <c r="C19" s="30">
        <f ca="1" t="array" ref="C19">INDEX(Data_DBD!$C:$C,$A19)</f>
        <v>3</v>
      </c>
      <c r="D19" s="30">
        <f ca="1" t="array" ref="D19">INDEX(Data_DBD!$D:$D,$A19)</f>
        <v>33</v>
      </c>
      <c r="E19" s="30">
        <f ca="1" t="array" ref="E19">INDEX(Data_DBD!$E:$E,$A19)</f>
        <v>1</v>
      </c>
      <c r="F19" s="30">
        <f ca="1" t="array" ref="F19">INDEX(Data_DBD!$F:$F,$A19)</f>
        <v>3</v>
      </c>
      <c r="H19" s="30">
        <v>55</v>
      </c>
      <c r="I19" s="30">
        <v>7</v>
      </c>
      <c r="J19" s="30">
        <v>4</v>
      </c>
      <c r="K19" s="30">
        <v>15</v>
      </c>
      <c r="L19" s="30">
        <v>1</v>
      </c>
      <c r="M19" s="30">
        <v>2</v>
      </c>
    </row>
    <row r="20" spans="1:13">
      <c r="A20" s="30">
        <f ca="1" t="shared" si="0"/>
        <v>54</v>
      </c>
      <c r="B20" s="30">
        <f ca="1" t="array" ref="B20">INDEX(Data_DBD!$B:$B,$A20)</f>
        <v>7</v>
      </c>
      <c r="C20" s="30">
        <f ca="1" t="array" ref="C20">INDEX(Data_DBD!$C:$C,$A20)</f>
        <v>3</v>
      </c>
      <c r="D20" s="30">
        <f ca="1" t="array" ref="D20">INDEX(Data_DBD!$D:$D,$A20)</f>
        <v>15</v>
      </c>
      <c r="E20" s="30">
        <f ca="1" t="array" ref="E20">INDEX(Data_DBD!$E:$E,$A20)</f>
        <v>0</v>
      </c>
      <c r="F20" s="30">
        <f ca="1" t="array" ref="F20">INDEX(Data_DBD!$F:$F,$A20)</f>
        <v>2</v>
      </c>
      <c r="H20" s="30">
        <v>154</v>
      </c>
      <c r="I20" s="30">
        <v>18</v>
      </c>
      <c r="J20" s="30">
        <v>5</v>
      </c>
      <c r="K20" s="30">
        <v>21</v>
      </c>
      <c r="L20" s="30">
        <v>1</v>
      </c>
      <c r="M20" s="30">
        <v>3</v>
      </c>
    </row>
    <row r="21" spans="1:13">
      <c r="A21" s="30">
        <f ca="1" t="shared" si="0"/>
        <v>3</v>
      </c>
      <c r="B21" s="30">
        <f ca="1" t="array" ref="B21">INDEX(Data_DBD!$B:$B,$A21)</f>
        <v>43</v>
      </c>
      <c r="C21" s="30">
        <f ca="1" t="array" ref="C21">INDEX(Data_DBD!$C:$C,$A21)</f>
        <v>3</v>
      </c>
      <c r="D21" s="30">
        <f ca="1" t="array" ref="D21">INDEX(Data_DBD!$D:$D,$A21)</f>
        <v>12</v>
      </c>
      <c r="E21" s="30">
        <f ca="1" t="array" ref="E21">INDEX(Data_DBD!$E:$E,$A21)</f>
        <v>1</v>
      </c>
      <c r="F21" s="30">
        <f ca="1" t="array" ref="F21">INDEX(Data_DBD!$F:$F,$A21)</f>
        <v>2</v>
      </c>
      <c r="H21" s="30">
        <v>100</v>
      </c>
      <c r="I21" s="30">
        <v>19</v>
      </c>
      <c r="J21" s="30">
        <v>6</v>
      </c>
      <c r="K21" s="30">
        <v>18</v>
      </c>
      <c r="L21" s="30">
        <v>0</v>
      </c>
      <c r="M21" s="30">
        <v>3</v>
      </c>
    </row>
    <row r="22" spans="1:13">
      <c r="A22" s="30">
        <f ca="1" t="shared" si="0"/>
        <v>29</v>
      </c>
      <c r="B22" s="30">
        <f ca="1" t="array" ref="B22">INDEX(Data_DBD!$B:$B,$A22)</f>
        <v>19</v>
      </c>
      <c r="C22" s="30">
        <f ca="1" t="array" ref="C22">INDEX(Data_DBD!$C:$C,$A22)</f>
        <v>2</v>
      </c>
      <c r="D22" s="30">
        <f ca="1" t="array" ref="D22">INDEX(Data_DBD!$D:$D,$A22)</f>
        <v>14</v>
      </c>
      <c r="E22" s="30">
        <f ca="1" t="array" ref="E22">INDEX(Data_DBD!$E:$E,$A22)</f>
        <v>1</v>
      </c>
      <c r="F22" s="30">
        <f ca="1" t="array" ref="F22">INDEX(Data_DBD!$F:$F,$A22)</f>
        <v>2</v>
      </c>
      <c r="H22" s="30">
        <v>151</v>
      </c>
      <c r="I22" s="30">
        <v>24</v>
      </c>
      <c r="J22" s="30">
        <v>3</v>
      </c>
      <c r="K22" s="30">
        <v>21</v>
      </c>
      <c r="L22" s="30">
        <v>0</v>
      </c>
      <c r="M22" s="30">
        <v>3</v>
      </c>
    </row>
    <row r="23" spans="1:13">
      <c r="A23" s="30">
        <f ca="1" t="shared" si="0"/>
        <v>69</v>
      </c>
      <c r="B23" s="30">
        <f ca="1" t="array" ref="B23">INDEX(Data_DBD!$B:$B,$A23)</f>
        <v>24</v>
      </c>
      <c r="C23" s="30">
        <f ca="1" t="array" ref="C23">INDEX(Data_DBD!$C:$C,$A23)</f>
        <v>4</v>
      </c>
      <c r="D23" s="30">
        <f ca="1" t="array" ref="D23">INDEX(Data_DBD!$D:$D,$A23)</f>
        <v>10</v>
      </c>
      <c r="E23" s="30">
        <f ca="1" t="array" ref="E23">INDEX(Data_DBD!$E:$E,$A23)</f>
        <v>1</v>
      </c>
      <c r="F23" s="30">
        <f ca="1" t="array" ref="F23">INDEX(Data_DBD!$F:$F,$A23)</f>
        <v>2</v>
      </c>
      <c r="H23" s="30">
        <v>152</v>
      </c>
      <c r="I23" s="30">
        <v>47</v>
      </c>
      <c r="J23" s="30">
        <v>3</v>
      </c>
      <c r="K23" s="30">
        <v>21</v>
      </c>
      <c r="L23" s="30">
        <v>1</v>
      </c>
      <c r="M23" s="30">
        <v>3</v>
      </c>
    </row>
    <row r="24" spans="1:13">
      <c r="A24" s="30">
        <f ca="1" t="shared" si="0"/>
        <v>129</v>
      </c>
      <c r="B24" s="30">
        <f ca="1" t="array" ref="B24">INDEX(Data_DBD!$B:$B,$A24)</f>
        <v>4.5</v>
      </c>
      <c r="C24" s="30">
        <f ca="1" t="array" ref="C24">INDEX(Data_DBD!$C:$C,$A24)</f>
        <v>3</v>
      </c>
      <c r="D24" s="30">
        <f ca="1" t="array" ref="D24">INDEX(Data_DBD!$D:$D,$A24)</f>
        <v>33</v>
      </c>
      <c r="E24" s="30">
        <f ca="1" t="array" ref="E24">INDEX(Data_DBD!$E:$E,$A24)</f>
        <v>0</v>
      </c>
      <c r="F24" s="30">
        <f ca="1" t="array" ref="F24">INDEX(Data_DBD!$F:$F,$A24)</f>
        <v>3</v>
      </c>
      <c r="H24" s="30">
        <v>36</v>
      </c>
      <c r="I24" s="30">
        <v>27</v>
      </c>
      <c r="J24" s="30">
        <v>1</v>
      </c>
      <c r="K24" s="30">
        <v>4</v>
      </c>
      <c r="L24" s="30">
        <v>1</v>
      </c>
      <c r="M24" s="30">
        <v>1</v>
      </c>
    </row>
    <row r="25" spans="1:13">
      <c r="A25" s="30">
        <f ca="1" t="shared" si="0"/>
        <v>18</v>
      </c>
      <c r="B25" s="30">
        <f ca="1" t="array" ref="B25">INDEX(Data_DBD!$B:$B,$A25)</f>
        <v>49</v>
      </c>
      <c r="C25" s="30">
        <f ca="1" t="array" ref="C25">INDEX(Data_DBD!$C:$C,$A25)</f>
        <v>4</v>
      </c>
      <c r="D25" s="30">
        <f ca="1" t="array" ref="D25">INDEX(Data_DBD!$D:$D,$A25)</f>
        <v>7</v>
      </c>
      <c r="E25" s="30">
        <f ca="1" t="array" ref="E25">INDEX(Data_DBD!$E:$E,$A25)</f>
        <v>1</v>
      </c>
      <c r="F25" s="30">
        <f ca="1" t="array" ref="F25">INDEX(Data_DBD!$F:$F,$A25)</f>
        <v>1</v>
      </c>
      <c r="H25" s="30">
        <v>53</v>
      </c>
      <c r="I25" s="30">
        <v>35</v>
      </c>
      <c r="J25" s="30">
        <v>4</v>
      </c>
      <c r="K25" s="30">
        <v>15</v>
      </c>
      <c r="L25" s="30">
        <v>1</v>
      </c>
      <c r="M25" s="30">
        <v>2</v>
      </c>
    </row>
    <row r="26" spans="1:13">
      <c r="A26" s="30">
        <f ca="1" t="shared" si="0"/>
        <v>43</v>
      </c>
      <c r="B26" s="30">
        <f ca="1" t="array" ref="B26">INDEX(Data_DBD!$B:$B,$A26)</f>
        <v>15</v>
      </c>
      <c r="C26" s="30">
        <f ca="1" t="array" ref="C26">INDEX(Data_DBD!$C:$C,$A26)</f>
        <v>4</v>
      </c>
      <c r="D26" s="30">
        <f ca="1" t="array" ref="D26">INDEX(Data_DBD!$D:$D,$A26)</f>
        <v>13</v>
      </c>
      <c r="E26" s="30">
        <f ca="1" t="array" ref="E26">INDEX(Data_DBD!$E:$E,$A26)</f>
        <v>0</v>
      </c>
      <c r="F26" s="30">
        <f ca="1" t="array" ref="F26">INDEX(Data_DBD!$F:$F,$A26)</f>
        <v>2</v>
      </c>
      <c r="H26" s="30">
        <v>133</v>
      </c>
      <c r="I26" s="30">
        <v>6</v>
      </c>
      <c r="J26" s="30">
        <v>4</v>
      </c>
      <c r="K26" s="30">
        <v>33</v>
      </c>
      <c r="L26" s="30">
        <v>0</v>
      </c>
      <c r="M26" s="30">
        <v>3</v>
      </c>
    </row>
    <row r="27" spans="1:13">
      <c r="A27" s="30">
        <f ca="1" t="shared" si="0"/>
        <v>147</v>
      </c>
      <c r="B27" s="30">
        <f ca="1" t="array" ref="B27">INDEX(Data_DBD!$B:$B,$A27)</f>
        <v>66</v>
      </c>
      <c r="C27" s="30">
        <f ca="1" t="array" ref="C27">INDEX(Data_DBD!$C:$C,$A27)</f>
        <v>10</v>
      </c>
      <c r="D27" s="30">
        <f ca="1" t="array" ref="D27">INDEX(Data_DBD!$D:$D,$A27)</f>
        <v>21</v>
      </c>
      <c r="E27" s="30">
        <f ca="1" t="array" ref="E27">INDEX(Data_DBD!$E:$E,$A27)</f>
        <v>1</v>
      </c>
      <c r="F27" s="30">
        <f ca="1" t="array" ref="F27">INDEX(Data_DBD!$F:$F,$A27)</f>
        <v>3</v>
      </c>
      <c r="H27" s="30">
        <v>98</v>
      </c>
      <c r="I27" s="30">
        <v>16</v>
      </c>
      <c r="J27" s="30">
        <v>2</v>
      </c>
      <c r="K27" s="30">
        <v>18</v>
      </c>
      <c r="L27" s="30">
        <v>1</v>
      </c>
      <c r="M27" s="30">
        <v>3</v>
      </c>
    </row>
    <row r="28" spans="1:13">
      <c r="A28" s="30">
        <f ca="1" t="shared" si="0"/>
        <v>26</v>
      </c>
      <c r="B28" s="30">
        <f ca="1" t="array" ref="B28">INDEX(Data_DBD!$B:$B,$A28)</f>
        <v>75</v>
      </c>
      <c r="C28" s="30">
        <f ca="1" t="array" ref="C28">INDEX(Data_DBD!$C:$C,$A28)</f>
        <v>4</v>
      </c>
      <c r="D28" s="30">
        <f ca="1" t="array" ref="D28">INDEX(Data_DBD!$D:$D,$A28)</f>
        <v>14</v>
      </c>
      <c r="E28" s="30">
        <f ca="1" t="array" ref="E28">INDEX(Data_DBD!$E:$E,$A28)</f>
        <v>1</v>
      </c>
      <c r="F28" s="30">
        <f ca="1" t="array" ref="F28">INDEX(Data_DBD!$F:$F,$A28)</f>
        <v>2</v>
      </c>
      <c r="H28" s="30">
        <v>9</v>
      </c>
      <c r="I28" s="30">
        <v>16</v>
      </c>
      <c r="J28" s="30">
        <v>6</v>
      </c>
      <c r="K28" s="30">
        <v>12</v>
      </c>
      <c r="L28" s="30">
        <v>1</v>
      </c>
      <c r="M28" s="30">
        <v>2</v>
      </c>
    </row>
    <row r="29" spans="1:13">
      <c r="A29" s="30">
        <f ca="1" t="shared" si="0"/>
        <v>99</v>
      </c>
      <c r="B29" s="30">
        <f ca="1" t="array" ref="B29">INDEX(Data_DBD!$B:$B,$A29)</f>
        <v>4</v>
      </c>
      <c r="C29" s="30">
        <f ca="1" t="array" ref="C29">INDEX(Data_DBD!$C:$C,$A29)</f>
        <v>2</v>
      </c>
      <c r="D29" s="30">
        <f ca="1" t="array" ref="D29">INDEX(Data_DBD!$D:$D,$A29)</f>
        <v>18</v>
      </c>
      <c r="E29" s="30">
        <f ca="1" t="array" ref="E29">INDEX(Data_DBD!$E:$E,$A29)</f>
        <v>1</v>
      </c>
      <c r="F29" s="30">
        <f ca="1" t="array" ref="F29">INDEX(Data_DBD!$F:$F,$A29)</f>
        <v>3</v>
      </c>
      <c r="H29" s="30">
        <v>8</v>
      </c>
      <c r="I29" s="30">
        <v>4</v>
      </c>
      <c r="J29" s="30">
        <v>2</v>
      </c>
      <c r="K29" s="30">
        <v>12</v>
      </c>
      <c r="L29" s="30">
        <v>0</v>
      </c>
      <c r="M29" s="30">
        <v>2</v>
      </c>
    </row>
    <row r="30" spans="1:13">
      <c r="A30" s="30">
        <f ca="1" t="shared" si="0"/>
        <v>133</v>
      </c>
      <c r="B30" s="30">
        <f ca="1" t="array" ref="B30">INDEX(Data_DBD!$B:$B,$A30)</f>
        <v>6</v>
      </c>
      <c r="C30" s="30">
        <f ca="1" t="array" ref="C30">INDEX(Data_DBD!$C:$C,$A30)</f>
        <v>4</v>
      </c>
      <c r="D30" s="30">
        <f ca="1" t="array" ref="D30">INDEX(Data_DBD!$D:$D,$A30)</f>
        <v>33</v>
      </c>
      <c r="E30" s="30">
        <f ca="1" t="array" ref="E30">INDEX(Data_DBD!$E:$E,$A30)</f>
        <v>0</v>
      </c>
      <c r="F30" s="30">
        <f ca="1" t="array" ref="F30">INDEX(Data_DBD!$F:$F,$A30)</f>
        <v>3</v>
      </c>
      <c r="H30" s="30">
        <v>125</v>
      </c>
      <c r="I30" s="30">
        <v>39</v>
      </c>
      <c r="J30" s="30">
        <v>4</v>
      </c>
      <c r="K30" s="30">
        <v>33</v>
      </c>
      <c r="L30" s="30">
        <v>0</v>
      </c>
      <c r="M30" s="30">
        <v>3</v>
      </c>
    </row>
    <row r="31" spans="1:13">
      <c r="A31" s="30">
        <f ca="1" t="shared" si="0"/>
        <v>40</v>
      </c>
      <c r="B31" s="30">
        <f ca="1" t="array" ref="B31">INDEX(Data_DBD!$B:$B,$A31)</f>
        <v>65</v>
      </c>
      <c r="C31" s="30">
        <f ca="1" t="array" ref="C31">INDEX(Data_DBD!$C:$C,$A31)</f>
        <v>3</v>
      </c>
      <c r="D31" s="30">
        <f ca="1" t="array" ref="D31">INDEX(Data_DBD!$D:$D,$A31)</f>
        <v>13</v>
      </c>
      <c r="E31" s="30">
        <f ca="1" t="array" ref="E31">INDEX(Data_DBD!$E:$E,$A31)</f>
        <v>1</v>
      </c>
      <c r="F31" s="30">
        <f ca="1" t="array" ref="F31">INDEX(Data_DBD!$F:$F,$A31)</f>
        <v>2</v>
      </c>
      <c r="H31" s="30">
        <v>113</v>
      </c>
      <c r="I31" s="30">
        <v>69</v>
      </c>
      <c r="J31" s="30">
        <v>1</v>
      </c>
      <c r="K31" s="30">
        <v>33</v>
      </c>
      <c r="L31" s="30">
        <v>1</v>
      </c>
      <c r="M31" s="30">
        <v>3</v>
      </c>
    </row>
    <row r="32" spans="1:13">
      <c r="A32" s="30">
        <f ca="1" t="shared" si="0"/>
        <v>152</v>
      </c>
      <c r="B32" s="30">
        <f ca="1" t="array" ref="B32">INDEX(Data_DBD!$B:$B,$A32)</f>
        <v>47</v>
      </c>
      <c r="C32" s="30">
        <f ca="1" t="array" ref="C32">INDEX(Data_DBD!$C:$C,$A32)</f>
        <v>3</v>
      </c>
      <c r="D32" s="30">
        <f ca="1" t="array" ref="D32">INDEX(Data_DBD!$D:$D,$A32)</f>
        <v>21</v>
      </c>
      <c r="E32" s="30">
        <f ca="1" t="array" ref="E32">INDEX(Data_DBD!$E:$E,$A32)</f>
        <v>1</v>
      </c>
      <c r="F32" s="30">
        <f ca="1" t="array" ref="F32">INDEX(Data_DBD!$F:$F,$A32)</f>
        <v>3</v>
      </c>
      <c r="H32" s="30">
        <v>88</v>
      </c>
      <c r="I32" s="30">
        <v>20</v>
      </c>
      <c r="J32" s="30">
        <v>4</v>
      </c>
      <c r="K32" s="30">
        <v>13</v>
      </c>
      <c r="L32" s="30">
        <v>1</v>
      </c>
      <c r="M32" s="30">
        <v>2</v>
      </c>
    </row>
    <row r="33" spans="1:13">
      <c r="A33" s="30">
        <f ca="1" t="shared" si="0"/>
        <v>36</v>
      </c>
      <c r="B33" s="30">
        <f ca="1" t="array" ref="B33">INDEX(Data_DBD!$B:$B,$A33)</f>
        <v>27</v>
      </c>
      <c r="C33" s="30">
        <f ca="1" t="array" ref="C33">INDEX(Data_DBD!$C:$C,$A33)</f>
        <v>1</v>
      </c>
      <c r="D33" s="30">
        <f ca="1" t="array" ref="D33">INDEX(Data_DBD!$D:$D,$A33)</f>
        <v>4</v>
      </c>
      <c r="E33" s="30">
        <f ca="1" t="array" ref="E33">INDEX(Data_DBD!$E:$E,$A33)</f>
        <v>1</v>
      </c>
      <c r="F33" s="30">
        <f ca="1" t="array" ref="F33">INDEX(Data_DBD!$F:$F,$A33)</f>
        <v>1</v>
      </c>
      <c r="H33" s="30">
        <v>64</v>
      </c>
      <c r="I33" s="30">
        <v>35</v>
      </c>
      <c r="J33" s="30">
        <v>1</v>
      </c>
      <c r="K33" s="30">
        <v>15</v>
      </c>
      <c r="L33" s="30">
        <v>0</v>
      </c>
      <c r="M33" s="30">
        <v>2</v>
      </c>
    </row>
    <row r="34" spans="1:13">
      <c r="A34" s="30">
        <f ca="1" t="shared" si="0"/>
        <v>44</v>
      </c>
      <c r="B34" s="30">
        <f ca="1" t="array" ref="B34">INDEX(Data_DBD!$B:$B,$A34)</f>
        <v>28</v>
      </c>
      <c r="C34" s="30">
        <f ca="1" t="array" ref="C34">INDEX(Data_DBD!$C:$C,$A34)</f>
        <v>5</v>
      </c>
      <c r="D34" s="30">
        <f ca="1" t="array" ref="D34">INDEX(Data_DBD!$D:$D,$A34)</f>
        <v>13</v>
      </c>
      <c r="E34" s="30">
        <f ca="1" t="array" ref="E34">INDEX(Data_DBD!$E:$E,$A34)</f>
        <v>1</v>
      </c>
      <c r="F34" s="30">
        <f ca="1" t="array" ref="F34">INDEX(Data_DBD!$F:$F,$A34)</f>
        <v>2</v>
      </c>
      <c r="H34" s="30">
        <v>110</v>
      </c>
      <c r="I34" s="30">
        <v>42</v>
      </c>
      <c r="J34" s="30">
        <v>2</v>
      </c>
      <c r="K34" s="30">
        <v>33</v>
      </c>
      <c r="L34" s="30">
        <v>1</v>
      </c>
      <c r="M34" s="30">
        <v>3</v>
      </c>
    </row>
    <row r="35" spans="1:13">
      <c r="A35" s="30">
        <f ca="1" t="shared" si="0"/>
        <v>30</v>
      </c>
      <c r="B35" s="30" t="str">
        <f ca="1" t="array" ref="B35">INDEX(Data_DBD!$B:$B,$A35)</f>
        <v>2,8</v>
      </c>
      <c r="C35" s="30">
        <f ca="1" t="array" ref="C35">INDEX(Data_DBD!$C:$C,$A35)</f>
        <v>2</v>
      </c>
      <c r="D35" s="30">
        <f ca="1" t="array" ref="D35">INDEX(Data_DBD!$D:$D,$A35)</f>
        <v>14</v>
      </c>
      <c r="E35" s="30">
        <f ca="1" t="array" ref="E35">INDEX(Data_DBD!$E:$E,$A35)</f>
        <v>1</v>
      </c>
      <c r="F35" s="30">
        <f ca="1" t="array" ref="F35">INDEX(Data_DBD!$F:$F,$A35)</f>
        <v>2</v>
      </c>
      <c r="H35" s="30">
        <v>97</v>
      </c>
      <c r="I35" s="30">
        <v>16</v>
      </c>
      <c r="J35" s="30">
        <v>2</v>
      </c>
      <c r="K35" s="30">
        <v>18</v>
      </c>
      <c r="L35" s="30">
        <v>1</v>
      </c>
      <c r="M35" s="30">
        <v>3</v>
      </c>
    </row>
    <row r="36" spans="1:13">
      <c r="A36" s="30">
        <f ca="1" t="shared" si="0"/>
        <v>106</v>
      </c>
      <c r="B36" s="30">
        <f ca="1" t="array" ref="B36">INDEX(Data_DBD!$B:$B,$A36)</f>
        <v>23</v>
      </c>
      <c r="C36" s="30">
        <f ca="1" t="array" ref="C36">INDEX(Data_DBD!$C:$C,$A36)</f>
        <v>3</v>
      </c>
      <c r="D36" s="30">
        <f ca="1" t="array" ref="D36">INDEX(Data_DBD!$D:$D,$A36)</f>
        <v>18</v>
      </c>
      <c r="E36" s="30">
        <f ca="1" t="array" ref="E36">INDEX(Data_DBD!$E:$E,$A36)</f>
        <v>1</v>
      </c>
      <c r="F36" s="30">
        <f ca="1" t="array" ref="F36">INDEX(Data_DBD!$F:$F,$A36)</f>
        <v>3</v>
      </c>
      <c r="H36" s="30">
        <v>149</v>
      </c>
      <c r="I36" s="30">
        <v>19</v>
      </c>
      <c r="J36" s="30">
        <v>5</v>
      </c>
      <c r="K36" s="30">
        <v>21</v>
      </c>
      <c r="L36" s="30">
        <v>0</v>
      </c>
      <c r="M36" s="30">
        <v>3</v>
      </c>
    </row>
    <row r="37" spans="1:13">
      <c r="A37" s="30">
        <f ca="1" t="shared" si="0"/>
        <v>97</v>
      </c>
      <c r="B37" s="30">
        <f ca="1" t="array" ref="B37">INDEX(Data_DBD!$B:$B,$A37)</f>
        <v>16</v>
      </c>
      <c r="C37" s="30">
        <f ca="1" t="array" ref="C37">INDEX(Data_DBD!$C:$C,$A37)</f>
        <v>2</v>
      </c>
      <c r="D37" s="30">
        <f ca="1" t="array" ref="D37">INDEX(Data_DBD!$D:$D,$A37)</f>
        <v>18</v>
      </c>
      <c r="E37" s="30">
        <f ca="1" t="array" ref="E37">INDEX(Data_DBD!$E:$E,$A37)</f>
        <v>1</v>
      </c>
      <c r="F37" s="30">
        <f ca="1" t="array" ref="F37">INDEX(Data_DBD!$F:$F,$A37)</f>
        <v>3</v>
      </c>
      <c r="H37" s="30">
        <v>120</v>
      </c>
      <c r="I37" s="30">
        <v>26</v>
      </c>
      <c r="J37" s="30">
        <v>4</v>
      </c>
      <c r="K37" s="30">
        <v>33</v>
      </c>
      <c r="L37" s="30">
        <v>1</v>
      </c>
      <c r="M37" s="30">
        <v>3</v>
      </c>
    </row>
    <row r="38" spans="1:13">
      <c r="A38" s="30">
        <f ca="1" t="shared" si="0"/>
        <v>54</v>
      </c>
      <c r="B38" s="30">
        <f ca="1" t="array" ref="B38">INDEX(Data_DBD!$B:$B,$A38)</f>
        <v>7</v>
      </c>
      <c r="C38" s="30">
        <f ca="1" t="array" ref="C38">INDEX(Data_DBD!$C:$C,$A38)</f>
        <v>3</v>
      </c>
      <c r="D38" s="30">
        <f ca="1" t="array" ref="D38">INDEX(Data_DBD!$D:$D,$A38)</f>
        <v>15</v>
      </c>
      <c r="E38" s="30">
        <f ca="1" t="array" ref="E38">INDEX(Data_DBD!$E:$E,$A38)</f>
        <v>0</v>
      </c>
      <c r="F38" s="30">
        <f ca="1" t="array" ref="F38">INDEX(Data_DBD!$F:$F,$A38)</f>
        <v>2</v>
      </c>
      <c r="H38" s="30">
        <v>29</v>
      </c>
      <c r="I38" s="30">
        <v>19</v>
      </c>
      <c r="J38" s="30">
        <v>2</v>
      </c>
      <c r="K38" s="30">
        <v>14</v>
      </c>
      <c r="L38" s="30">
        <v>1</v>
      </c>
      <c r="M38" s="30">
        <v>2</v>
      </c>
    </row>
    <row r="39" spans="1:13">
      <c r="A39" s="30">
        <f ca="1" t="shared" si="0"/>
        <v>69</v>
      </c>
      <c r="B39" s="30">
        <f ca="1" t="array" ref="B39">INDEX(Data_DBD!$B:$B,$A39)</f>
        <v>24</v>
      </c>
      <c r="C39" s="30">
        <f ca="1" t="array" ref="C39">INDEX(Data_DBD!$C:$C,$A39)</f>
        <v>4</v>
      </c>
      <c r="D39" s="30">
        <f ca="1" t="array" ref="D39">INDEX(Data_DBD!$D:$D,$A39)</f>
        <v>10</v>
      </c>
      <c r="E39" s="30">
        <f ca="1" t="array" ref="E39">INDEX(Data_DBD!$E:$E,$A39)</f>
        <v>1</v>
      </c>
      <c r="F39" s="30">
        <f ca="1" t="array" ref="F39">INDEX(Data_DBD!$F:$F,$A39)</f>
        <v>2</v>
      </c>
      <c r="H39" s="30">
        <v>32</v>
      </c>
      <c r="I39" s="30">
        <v>54</v>
      </c>
      <c r="J39" s="30">
        <v>4</v>
      </c>
      <c r="K39" s="30">
        <v>14</v>
      </c>
      <c r="L39" s="30">
        <v>0</v>
      </c>
      <c r="M39" s="30">
        <v>2</v>
      </c>
    </row>
    <row r="40" spans="1:13">
      <c r="A40" s="30">
        <f ca="1" t="shared" si="0"/>
        <v>141</v>
      </c>
      <c r="B40" s="30">
        <f ca="1" t="array" ref="B40">INDEX(Data_DBD!$B:$B,$A40)</f>
        <v>36</v>
      </c>
      <c r="C40" s="30">
        <f ca="1" t="array" ref="C40">INDEX(Data_DBD!$C:$C,$A40)</f>
        <v>2</v>
      </c>
      <c r="D40" s="30">
        <f ca="1" t="array" ref="D40">INDEX(Data_DBD!$D:$D,$A40)</f>
        <v>21</v>
      </c>
      <c r="E40" s="30">
        <f ca="1" t="array" ref="E40">INDEX(Data_DBD!$E:$E,$A40)</f>
        <v>0</v>
      </c>
      <c r="F40" s="30">
        <f ca="1" t="array" ref="F40">INDEX(Data_DBD!$F:$F,$A40)</f>
        <v>3</v>
      </c>
      <c r="H40" s="30">
        <v>16</v>
      </c>
      <c r="I40" s="30">
        <v>66</v>
      </c>
      <c r="J40" s="30">
        <v>5</v>
      </c>
      <c r="K40" s="30">
        <v>7</v>
      </c>
      <c r="L40" s="30">
        <v>1</v>
      </c>
      <c r="M40" s="30">
        <v>1</v>
      </c>
    </row>
    <row r="41" spans="1:13">
      <c r="A41" s="30">
        <f ca="1" t="shared" si="0"/>
        <v>53</v>
      </c>
      <c r="B41" s="30">
        <f ca="1" t="array" ref="B41">INDEX(Data_DBD!$B:$B,$A41)</f>
        <v>35</v>
      </c>
      <c r="C41" s="30">
        <f ca="1" t="array" ref="C41">INDEX(Data_DBD!$C:$C,$A41)</f>
        <v>4</v>
      </c>
      <c r="D41" s="30">
        <f ca="1" t="array" ref="D41">INDEX(Data_DBD!$D:$D,$A41)</f>
        <v>15</v>
      </c>
      <c r="E41" s="30">
        <f ca="1" t="array" ref="E41">INDEX(Data_DBD!$E:$E,$A41)</f>
        <v>1</v>
      </c>
      <c r="F41" s="30">
        <f ca="1" t="array" ref="F41">INDEX(Data_DBD!$F:$F,$A41)</f>
        <v>2</v>
      </c>
      <c r="H41" s="30">
        <v>138</v>
      </c>
      <c r="I41" s="30">
        <v>13</v>
      </c>
      <c r="J41" s="30">
        <v>3</v>
      </c>
      <c r="K41" s="30">
        <v>33</v>
      </c>
      <c r="L41" s="30">
        <v>1</v>
      </c>
      <c r="M41" s="30">
        <v>3</v>
      </c>
    </row>
    <row r="42" spans="1:13">
      <c r="A42" s="30">
        <f ca="1" t="shared" si="0"/>
        <v>81</v>
      </c>
      <c r="B42" s="30">
        <f ca="1" t="array" ref="B42">INDEX(Data_DBD!$B:$B,$A42)</f>
        <v>23</v>
      </c>
      <c r="C42" s="30">
        <f ca="1" t="array" ref="C42">INDEX(Data_DBD!$C:$C,$A42)</f>
        <v>5</v>
      </c>
      <c r="D42" s="30">
        <f ca="1" t="array" ref="D42">INDEX(Data_DBD!$D:$D,$A42)</f>
        <v>13</v>
      </c>
      <c r="E42" s="30">
        <f ca="1" t="array" ref="E42">INDEX(Data_DBD!$E:$E,$A42)</f>
        <v>1</v>
      </c>
      <c r="F42" s="30">
        <f ca="1" t="array" ref="F42">INDEX(Data_DBD!$F:$F,$A42)</f>
        <v>2</v>
      </c>
      <c r="H42" s="30">
        <v>138</v>
      </c>
      <c r="I42" s="30">
        <v>13</v>
      </c>
      <c r="J42" s="30">
        <v>3</v>
      </c>
      <c r="K42" s="30">
        <v>33</v>
      </c>
      <c r="L42" s="30">
        <v>1</v>
      </c>
      <c r="M42" s="30">
        <v>3</v>
      </c>
    </row>
    <row r="43" spans="1:13">
      <c r="A43" s="30">
        <f ca="1" t="shared" si="0"/>
        <v>106</v>
      </c>
      <c r="B43" s="30">
        <f ca="1" t="array" ref="B43">INDEX(Data_DBD!$B:$B,$A43)</f>
        <v>23</v>
      </c>
      <c r="C43" s="30">
        <f ca="1" t="array" ref="C43">INDEX(Data_DBD!$C:$C,$A43)</f>
        <v>3</v>
      </c>
      <c r="D43" s="30">
        <f ca="1" t="array" ref="D43">INDEX(Data_DBD!$D:$D,$A43)</f>
        <v>18</v>
      </c>
      <c r="E43" s="30">
        <f ca="1" t="array" ref="E43">INDEX(Data_DBD!$E:$E,$A43)</f>
        <v>1</v>
      </c>
      <c r="F43" s="30">
        <f ca="1" t="array" ref="F43">INDEX(Data_DBD!$F:$F,$A43)</f>
        <v>3</v>
      </c>
      <c r="H43" s="30">
        <v>59</v>
      </c>
      <c r="I43" s="30">
        <v>28</v>
      </c>
      <c r="J43" s="30">
        <v>4</v>
      </c>
      <c r="K43" s="30">
        <v>15</v>
      </c>
      <c r="L43" s="30">
        <v>0</v>
      </c>
      <c r="M43" s="30">
        <v>2</v>
      </c>
    </row>
    <row r="44" spans="1:13">
      <c r="A44" s="30">
        <f ca="1" t="shared" si="0"/>
        <v>88</v>
      </c>
      <c r="B44" s="30">
        <f ca="1" t="array" ref="B44">INDEX(Data_DBD!$B:$B,$A44)</f>
        <v>20</v>
      </c>
      <c r="C44" s="30">
        <f ca="1" t="array" ref="C44">INDEX(Data_DBD!$C:$C,$A44)</f>
        <v>4</v>
      </c>
      <c r="D44" s="30">
        <f ca="1" t="array" ref="D44">INDEX(Data_DBD!$D:$D,$A44)</f>
        <v>13</v>
      </c>
      <c r="E44" s="30">
        <f ca="1" t="array" ref="E44">INDEX(Data_DBD!$E:$E,$A44)</f>
        <v>1</v>
      </c>
      <c r="F44" s="30">
        <f ca="1" t="array" ref="F44">INDEX(Data_DBD!$F:$F,$A44)</f>
        <v>2</v>
      </c>
      <c r="H44" s="30">
        <v>56</v>
      </c>
      <c r="I44" s="30">
        <v>4</v>
      </c>
      <c r="J44" s="30">
        <v>3</v>
      </c>
      <c r="K44" s="30">
        <v>15</v>
      </c>
      <c r="L44" s="30">
        <v>0</v>
      </c>
      <c r="M44" s="30">
        <v>2</v>
      </c>
    </row>
    <row r="45" spans="1:13">
      <c r="A45" s="30">
        <f ca="1" t="shared" si="0"/>
        <v>130</v>
      </c>
      <c r="B45" s="30">
        <f ca="1" t="array" ref="B45">INDEX(Data_DBD!$B:$B,$A45)</f>
        <v>12</v>
      </c>
      <c r="C45" s="30">
        <f ca="1" t="array" ref="C45">INDEX(Data_DBD!$C:$C,$A45)</f>
        <v>4</v>
      </c>
      <c r="D45" s="30">
        <f ca="1" t="array" ref="D45">INDEX(Data_DBD!$D:$D,$A45)</f>
        <v>33</v>
      </c>
      <c r="E45" s="30">
        <f ca="1" t="array" ref="E45">INDEX(Data_DBD!$E:$E,$A45)</f>
        <v>0</v>
      </c>
      <c r="F45" s="30">
        <f ca="1" t="array" ref="F45">INDEX(Data_DBD!$F:$F,$A45)</f>
        <v>3</v>
      </c>
      <c r="H45" s="30">
        <v>50</v>
      </c>
      <c r="I45" s="30">
        <v>19</v>
      </c>
      <c r="J45" s="30">
        <v>5</v>
      </c>
      <c r="K45" s="30">
        <v>13</v>
      </c>
      <c r="L45" s="30">
        <v>0</v>
      </c>
      <c r="M45" s="30">
        <v>2</v>
      </c>
    </row>
    <row r="46" spans="1:13">
      <c r="A46" s="30">
        <f ca="1" t="shared" si="0"/>
        <v>140</v>
      </c>
      <c r="B46" s="30">
        <f ca="1" t="array" ref="B46">INDEX(Data_DBD!$B:$B,$A46)</f>
        <v>74</v>
      </c>
      <c r="C46" s="30">
        <f ca="1" t="array" ref="C46">INDEX(Data_DBD!$C:$C,$A46)</f>
        <v>5</v>
      </c>
      <c r="D46" s="30">
        <f ca="1" t="array" ref="D46">INDEX(Data_DBD!$D:$D,$A46)</f>
        <v>21</v>
      </c>
      <c r="E46" s="30">
        <f ca="1" t="array" ref="E46">INDEX(Data_DBD!$E:$E,$A46)</f>
        <v>1</v>
      </c>
      <c r="F46" s="30">
        <f ca="1" t="array" ref="F46">INDEX(Data_DBD!$F:$F,$A46)</f>
        <v>3</v>
      </c>
      <c r="H46" s="30">
        <v>120</v>
      </c>
      <c r="I46" s="30">
        <v>26</v>
      </c>
      <c r="J46" s="30">
        <v>4</v>
      </c>
      <c r="K46" s="30">
        <v>33</v>
      </c>
      <c r="L46" s="30">
        <v>1</v>
      </c>
      <c r="M46" s="30">
        <v>3</v>
      </c>
    </row>
    <row r="47" spans="1:13">
      <c r="A47" s="30">
        <f ca="1" t="shared" si="0"/>
        <v>58</v>
      </c>
      <c r="B47" s="30">
        <f ca="1" t="array" ref="B47">INDEX(Data_DBD!$B:$B,$A47)</f>
        <v>17</v>
      </c>
      <c r="C47" s="30">
        <f ca="1" t="array" ref="C47">INDEX(Data_DBD!$C:$C,$A47)</f>
        <v>3</v>
      </c>
      <c r="D47" s="30">
        <f ca="1" t="array" ref="D47">INDEX(Data_DBD!$D:$D,$A47)</f>
        <v>15</v>
      </c>
      <c r="E47" s="30">
        <f ca="1" t="array" ref="E47">INDEX(Data_DBD!$E:$E,$A47)</f>
        <v>0</v>
      </c>
      <c r="F47" s="30">
        <f ca="1" t="array" ref="F47">INDEX(Data_DBD!$F:$F,$A47)</f>
        <v>2</v>
      </c>
      <c r="H47" s="30">
        <v>148</v>
      </c>
      <c r="I47" s="30">
        <v>55</v>
      </c>
      <c r="J47" s="30">
        <v>3</v>
      </c>
      <c r="K47" s="30">
        <v>21</v>
      </c>
      <c r="L47" s="30">
        <v>1</v>
      </c>
      <c r="M47" s="30">
        <v>3</v>
      </c>
    </row>
    <row r="48" spans="1:13">
      <c r="A48" s="30">
        <f ca="1" t="shared" si="0"/>
        <v>61</v>
      </c>
      <c r="B48" s="30">
        <f ca="1" t="array" ref="B48">INDEX(Data_DBD!$B:$B,$A48)</f>
        <v>29</v>
      </c>
      <c r="C48" s="30">
        <f ca="1" t="array" ref="C48">INDEX(Data_DBD!$C:$C,$A48)</f>
        <v>3</v>
      </c>
      <c r="D48" s="30">
        <f ca="1" t="array" ref="D48">INDEX(Data_DBD!$D:$D,$A48)</f>
        <v>15</v>
      </c>
      <c r="E48" s="30">
        <f ca="1" t="array" ref="E48">INDEX(Data_DBD!$E:$E,$A48)</f>
        <v>1</v>
      </c>
      <c r="F48" s="30">
        <f ca="1" t="array" ref="F48">INDEX(Data_DBD!$F:$F,$A48)</f>
        <v>2</v>
      </c>
      <c r="H48" s="30">
        <v>105</v>
      </c>
      <c r="I48" s="30">
        <v>61</v>
      </c>
      <c r="J48" s="30">
        <v>3</v>
      </c>
      <c r="K48" s="30">
        <v>18</v>
      </c>
      <c r="L48" s="30">
        <v>1</v>
      </c>
      <c r="M48" s="30">
        <v>3</v>
      </c>
    </row>
    <row r="49" spans="1:13">
      <c r="A49" s="30">
        <f ca="1" t="shared" si="0"/>
        <v>53</v>
      </c>
      <c r="B49" s="30">
        <f ca="1" t="array" ref="B49">INDEX(Data_DBD!$B:$B,$A49)</f>
        <v>35</v>
      </c>
      <c r="C49" s="30">
        <f ca="1" t="array" ref="C49">INDEX(Data_DBD!$C:$C,$A49)</f>
        <v>4</v>
      </c>
      <c r="D49" s="30">
        <f ca="1" t="array" ref="D49">INDEX(Data_DBD!$D:$D,$A49)</f>
        <v>15</v>
      </c>
      <c r="E49" s="30">
        <f ca="1" t="array" ref="E49">INDEX(Data_DBD!$E:$E,$A49)</f>
        <v>1</v>
      </c>
      <c r="F49" s="30">
        <f ca="1" t="array" ref="F49">INDEX(Data_DBD!$F:$F,$A49)</f>
        <v>2</v>
      </c>
      <c r="H49" s="30">
        <v>86</v>
      </c>
      <c r="I49" s="30">
        <v>23</v>
      </c>
      <c r="J49" s="30">
        <v>3</v>
      </c>
      <c r="K49" s="30">
        <v>13</v>
      </c>
      <c r="L49" s="30">
        <v>0</v>
      </c>
      <c r="M49" s="30">
        <v>2</v>
      </c>
    </row>
    <row r="50" spans="1:13">
      <c r="A50" s="30">
        <f ca="1" t="shared" si="0"/>
        <v>54</v>
      </c>
      <c r="B50" s="30">
        <f ca="1" t="array" ref="B50">INDEX(Data_DBD!$B:$B,$A50)</f>
        <v>7</v>
      </c>
      <c r="C50" s="30">
        <f ca="1" t="array" ref="C50">INDEX(Data_DBD!$C:$C,$A50)</f>
        <v>3</v>
      </c>
      <c r="D50" s="30">
        <f ca="1" t="array" ref="D50">INDEX(Data_DBD!$D:$D,$A50)</f>
        <v>15</v>
      </c>
      <c r="E50" s="30">
        <f ca="1" t="array" ref="E50">INDEX(Data_DBD!$E:$E,$A50)</f>
        <v>0</v>
      </c>
      <c r="F50" s="30">
        <f ca="1" t="array" ref="F50">INDEX(Data_DBD!$F:$F,$A50)</f>
        <v>2</v>
      </c>
      <c r="H50" s="30">
        <v>15</v>
      </c>
      <c r="I50" s="30">
        <v>21</v>
      </c>
      <c r="J50" s="30">
        <v>2</v>
      </c>
      <c r="K50" s="30">
        <v>7</v>
      </c>
      <c r="L50" s="30">
        <v>0</v>
      </c>
      <c r="M50" s="30">
        <v>1</v>
      </c>
    </row>
    <row r="51" spans="1:13">
      <c r="A51" s="30">
        <f ca="1" t="shared" si="0"/>
        <v>144</v>
      </c>
      <c r="B51" s="30">
        <f ca="1" t="array" ref="B51">INDEX(Data_DBD!$B:$B,$A51)</f>
        <v>61</v>
      </c>
      <c r="C51" s="30">
        <f ca="1" t="array" ref="C51">INDEX(Data_DBD!$C:$C,$A51)</f>
        <v>4</v>
      </c>
      <c r="D51" s="30">
        <f ca="1" t="array" ref="D51">INDEX(Data_DBD!$D:$D,$A51)</f>
        <v>21</v>
      </c>
      <c r="E51" s="30">
        <f ca="1" t="array" ref="E51">INDEX(Data_DBD!$E:$E,$A51)</f>
        <v>1</v>
      </c>
      <c r="F51" s="30">
        <f ca="1" t="array" ref="F51">INDEX(Data_DBD!$F:$F,$A51)</f>
        <v>3</v>
      </c>
      <c r="H51" s="30">
        <v>32</v>
      </c>
      <c r="I51" s="30">
        <v>54</v>
      </c>
      <c r="J51" s="30">
        <v>4</v>
      </c>
      <c r="K51" s="30">
        <v>14</v>
      </c>
      <c r="L51" s="30">
        <v>0</v>
      </c>
      <c r="M51" s="30">
        <v>2</v>
      </c>
    </row>
    <row r="52" spans="1:13">
      <c r="A52" s="30">
        <f ca="1" t="shared" si="0"/>
        <v>3</v>
      </c>
      <c r="B52" s="30">
        <f ca="1" t="array" ref="B52">INDEX(Data_DBD!$B:$B,$A52)</f>
        <v>43</v>
      </c>
      <c r="C52" s="30">
        <f ca="1" t="array" ref="C52">INDEX(Data_DBD!$C:$C,$A52)</f>
        <v>3</v>
      </c>
      <c r="D52" s="30">
        <f ca="1" t="array" ref="D52">INDEX(Data_DBD!$D:$D,$A52)</f>
        <v>12</v>
      </c>
      <c r="E52" s="30">
        <f ca="1" t="array" ref="E52">INDEX(Data_DBD!$E:$E,$A52)</f>
        <v>1</v>
      </c>
      <c r="F52" s="30">
        <f ca="1" t="array" ref="F52">INDEX(Data_DBD!$F:$F,$A52)</f>
        <v>2</v>
      </c>
      <c r="H52" s="30">
        <v>2</v>
      </c>
      <c r="I52" s="30">
        <v>34</v>
      </c>
      <c r="J52" s="30">
        <v>3</v>
      </c>
      <c r="K52" s="30">
        <v>12</v>
      </c>
      <c r="L52" s="30">
        <v>0</v>
      </c>
      <c r="M52" s="30">
        <v>2</v>
      </c>
    </row>
    <row r="53" spans="1:13">
      <c r="A53" s="30">
        <f ca="1" t="shared" si="0"/>
        <v>164</v>
      </c>
      <c r="B53" s="30">
        <f ca="1" t="array" ref="B53">INDEX(Data_DBD!$B:$B,$A53)</f>
        <v>10</v>
      </c>
      <c r="C53" s="30">
        <f ca="1" t="array" ref="C53">INDEX(Data_DBD!$C:$C,$A53)</f>
        <v>6</v>
      </c>
      <c r="D53" s="30">
        <f ca="1" t="array" ref="D53">INDEX(Data_DBD!$D:$D,$A53)</f>
        <v>3</v>
      </c>
      <c r="E53" s="30">
        <f ca="1" t="array" ref="E53">INDEX(Data_DBD!$E:$E,$A53)</f>
        <v>0</v>
      </c>
      <c r="F53" s="30">
        <f ca="1" t="array" ref="F53">INDEX(Data_DBD!$F:$F,$A53)</f>
        <v>1</v>
      </c>
      <c r="H53" s="30">
        <v>57</v>
      </c>
      <c r="I53" s="30">
        <v>2</v>
      </c>
      <c r="J53" s="30">
        <v>2</v>
      </c>
      <c r="K53" s="30">
        <v>15</v>
      </c>
      <c r="L53" s="30">
        <v>1</v>
      </c>
      <c r="M53" s="30">
        <v>2</v>
      </c>
    </row>
    <row r="54" spans="1:13">
      <c r="A54" s="30">
        <f ca="1" t="shared" si="0"/>
        <v>20</v>
      </c>
      <c r="B54" s="30">
        <f ca="1" t="array" ref="B54">INDEX(Data_DBD!$B:$B,$A54)</f>
        <v>15</v>
      </c>
      <c r="C54" s="30">
        <f ca="1" t="array" ref="C54">INDEX(Data_DBD!$C:$C,$A54)</f>
        <v>5</v>
      </c>
      <c r="D54" s="30">
        <f ca="1" t="array" ref="D54">INDEX(Data_DBD!$D:$D,$A54)</f>
        <v>7</v>
      </c>
      <c r="E54" s="30">
        <f ca="1" t="array" ref="E54">INDEX(Data_DBD!$E:$E,$A54)</f>
        <v>0</v>
      </c>
      <c r="F54" s="30">
        <f ca="1" t="array" ref="F54">INDEX(Data_DBD!$F:$F,$A54)</f>
        <v>1</v>
      </c>
      <c r="H54" s="30">
        <v>50</v>
      </c>
      <c r="I54" s="30">
        <v>19</v>
      </c>
      <c r="J54" s="30">
        <v>5</v>
      </c>
      <c r="K54" s="30">
        <v>13</v>
      </c>
      <c r="L54" s="30">
        <v>0</v>
      </c>
      <c r="M54" s="30">
        <v>2</v>
      </c>
    </row>
    <row r="55" spans="1:13">
      <c r="A55" s="30">
        <f ca="1" t="shared" si="0"/>
        <v>106</v>
      </c>
      <c r="B55" s="30">
        <f ca="1" t="array" ref="B55">INDEX(Data_DBD!$B:$B,$A55)</f>
        <v>23</v>
      </c>
      <c r="C55" s="30">
        <f ca="1" t="array" ref="C55">INDEX(Data_DBD!$C:$C,$A55)</f>
        <v>3</v>
      </c>
      <c r="D55" s="30">
        <f ca="1" t="array" ref="D55">INDEX(Data_DBD!$D:$D,$A55)</f>
        <v>18</v>
      </c>
      <c r="E55" s="30">
        <f ca="1" t="array" ref="E55">INDEX(Data_DBD!$E:$E,$A55)</f>
        <v>1</v>
      </c>
      <c r="F55" s="30">
        <f ca="1" t="array" ref="F55">INDEX(Data_DBD!$F:$F,$A55)</f>
        <v>3</v>
      </c>
      <c r="H55" s="30">
        <v>101</v>
      </c>
      <c r="I55" s="30">
        <v>42</v>
      </c>
      <c r="J55" s="30">
        <v>5</v>
      </c>
      <c r="K55" s="30">
        <v>18</v>
      </c>
      <c r="L55" s="30">
        <v>0</v>
      </c>
      <c r="M55" s="30">
        <v>3</v>
      </c>
    </row>
    <row r="56" spans="1:13">
      <c r="A56" s="30">
        <f ca="1" t="shared" si="0"/>
        <v>46</v>
      </c>
      <c r="B56" s="30">
        <f ca="1" t="array" ref="B56">INDEX(Data_DBD!$B:$B,$A56)</f>
        <v>62</v>
      </c>
      <c r="C56" s="30">
        <f ca="1" t="array" ref="C56">INDEX(Data_DBD!$C:$C,$A56)</f>
        <v>2</v>
      </c>
      <c r="D56" s="30">
        <f ca="1" t="array" ref="D56">INDEX(Data_DBD!$D:$D,$A56)</f>
        <v>13</v>
      </c>
      <c r="E56" s="30">
        <f ca="1" t="array" ref="E56">INDEX(Data_DBD!$E:$E,$A56)</f>
        <v>0</v>
      </c>
      <c r="F56" s="30">
        <f ca="1" t="array" ref="F56">INDEX(Data_DBD!$F:$F,$A56)</f>
        <v>2</v>
      </c>
      <c r="H56" s="30">
        <v>127</v>
      </c>
      <c r="I56" s="30">
        <v>21</v>
      </c>
      <c r="J56" s="30">
        <v>2</v>
      </c>
      <c r="K56" s="30">
        <v>33</v>
      </c>
      <c r="L56" s="30">
        <v>0</v>
      </c>
      <c r="M56" s="30">
        <v>3</v>
      </c>
    </row>
    <row r="57" spans="1:13">
      <c r="A57" s="30">
        <f ca="1" t="shared" si="0"/>
        <v>14</v>
      </c>
      <c r="B57" s="30">
        <f ca="1" t="array" ref="B57">INDEX(Data_DBD!$B:$B,$A57)</f>
        <v>49</v>
      </c>
      <c r="C57" s="30">
        <f ca="1" t="array" ref="C57">INDEX(Data_DBD!$C:$C,$A57)</f>
        <v>4</v>
      </c>
      <c r="D57" s="30">
        <f ca="1" t="array" ref="D57">INDEX(Data_DBD!$D:$D,$A57)</f>
        <v>7</v>
      </c>
      <c r="E57" s="30">
        <f ca="1" t="array" ref="E57">INDEX(Data_DBD!$E:$E,$A57)</f>
        <v>1</v>
      </c>
      <c r="F57" s="30">
        <f ca="1" t="array" ref="F57">INDEX(Data_DBD!$F:$F,$A57)</f>
        <v>1</v>
      </c>
      <c r="H57" s="30">
        <v>137</v>
      </c>
      <c r="I57" s="30">
        <v>3.5</v>
      </c>
      <c r="J57" s="30">
        <v>1</v>
      </c>
      <c r="K57" s="30">
        <v>33</v>
      </c>
      <c r="L57" s="30">
        <v>1</v>
      </c>
      <c r="M57" s="30">
        <v>3</v>
      </c>
    </row>
    <row r="58" spans="1:13">
      <c r="A58" s="30">
        <f ca="1" t="shared" si="0"/>
        <v>69</v>
      </c>
      <c r="B58" s="30">
        <f ca="1" t="array" ref="B58">INDEX(Data_DBD!$B:$B,$A58)</f>
        <v>24</v>
      </c>
      <c r="C58" s="30">
        <f ca="1" t="array" ref="C58">INDEX(Data_DBD!$C:$C,$A58)</f>
        <v>4</v>
      </c>
      <c r="D58" s="30">
        <f ca="1" t="array" ref="D58">INDEX(Data_DBD!$D:$D,$A58)</f>
        <v>10</v>
      </c>
      <c r="E58" s="30">
        <f ca="1" t="array" ref="E58">INDEX(Data_DBD!$E:$E,$A58)</f>
        <v>1</v>
      </c>
      <c r="F58" s="30">
        <f ca="1" t="array" ref="F58">INDEX(Data_DBD!$F:$F,$A58)</f>
        <v>2</v>
      </c>
      <c r="H58" s="30">
        <v>135</v>
      </c>
      <c r="I58" s="30">
        <v>10</v>
      </c>
      <c r="J58" s="30">
        <v>2</v>
      </c>
      <c r="K58" s="30">
        <v>33</v>
      </c>
      <c r="L58" s="30">
        <v>0</v>
      </c>
      <c r="M58" s="30">
        <v>3</v>
      </c>
    </row>
    <row r="59" spans="1:13">
      <c r="A59" s="30">
        <f ca="1" t="shared" si="0"/>
        <v>88</v>
      </c>
      <c r="B59" s="30">
        <f ca="1" t="array" ref="B59">INDEX(Data_DBD!$B:$B,$A59)</f>
        <v>20</v>
      </c>
      <c r="C59" s="30">
        <f ca="1" t="array" ref="C59">INDEX(Data_DBD!$C:$C,$A59)</f>
        <v>4</v>
      </c>
      <c r="D59" s="30">
        <f ca="1" t="array" ref="D59">INDEX(Data_DBD!$D:$D,$A59)</f>
        <v>13</v>
      </c>
      <c r="E59" s="30">
        <f ca="1" t="array" ref="E59">INDEX(Data_DBD!$E:$E,$A59)</f>
        <v>1</v>
      </c>
      <c r="F59" s="30">
        <f ca="1" t="array" ref="F59">INDEX(Data_DBD!$F:$F,$A59)</f>
        <v>2</v>
      </c>
      <c r="H59" s="30">
        <v>161</v>
      </c>
      <c r="I59" s="30">
        <v>12</v>
      </c>
      <c r="J59" s="30">
        <v>3</v>
      </c>
      <c r="K59" s="30">
        <v>21</v>
      </c>
      <c r="L59" s="30">
        <v>1</v>
      </c>
      <c r="M59" s="30">
        <v>3</v>
      </c>
    </row>
    <row r="60" spans="1:13">
      <c r="A60" s="30">
        <f ca="1" t="shared" si="0"/>
        <v>46</v>
      </c>
      <c r="B60" s="30">
        <f ca="1" t="array" ref="B60">INDEX(Data_DBD!$B:$B,$A60)</f>
        <v>62</v>
      </c>
      <c r="C60" s="30">
        <f ca="1" t="array" ref="C60">INDEX(Data_DBD!$C:$C,$A60)</f>
        <v>2</v>
      </c>
      <c r="D60" s="30">
        <f ca="1" t="array" ref="D60">INDEX(Data_DBD!$D:$D,$A60)</f>
        <v>13</v>
      </c>
      <c r="E60" s="30">
        <f ca="1" t="array" ref="E60">INDEX(Data_DBD!$E:$E,$A60)</f>
        <v>0</v>
      </c>
      <c r="F60" s="30">
        <f ca="1" t="array" ref="F60">INDEX(Data_DBD!$F:$F,$A60)</f>
        <v>2</v>
      </c>
      <c r="H60" s="30">
        <v>32</v>
      </c>
      <c r="I60" s="30">
        <v>54</v>
      </c>
      <c r="J60" s="30">
        <v>4</v>
      </c>
      <c r="K60" s="30">
        <v>14</v>
      </c>
      <c r="L60" s="30">
        <v>0</v>
      </c>
      <c r="M60" s="30">
        <v>2</v>
      </c>
    </row>
    <row r="61" spans="1:13">
      <c r="A61" s="30">
        <f ca="1" t="shared" si="0"/>
        <v>111</v>
      </c>
      <c r="B61" s="30">
        <f ca="1" t="array" ref="B61">INDEX(Data_DBD!$B:$B,$A61)</f>
        <v>25</v>
      </c>
      <c r="C61" s="30">
        <f ca="1" t="array" ref="C61">INDEX(Data_DBD!$C:$C,$A61)</f>
        <v>4</v>
      </c>
      <c r="D61" s="30">
        <f ca="1" t="array" ref="D61">INDEX(Data_DBD!$D:$D,$A61)</f>
        <v>33</v>
      </c>
      <c r="E61" s="30">
        <f ca="1" t="array" ref="E61">INDEX(Data_DBD!$E:$E,$A61)</f>
        <v>0</v>
      </c>
      <c r="F61" s="30">
        <f ca="1" t="array" ref="F61">INDEX(Data_DBD!$F:$F,$A61)</f>
        <v>3</v>
      </c>
      <c r="H61" s="30">
        <v>12</v>
      </c>
      <c r="I61" s="30">
        <v>23</v>
      </c>
      <c r="J61" s="30">
        <v>3</v>
      </c>
      <c r="K61" s="30">
        <v>12</v>
      </c>
      <c r="L61" s="30">
        <v>0</v>
      </c>
      <c r="M61" s="30">
        <v>2</v>
      </c>
    </row>
    <row r="62" spans="1:13">
      <c r="A62" s="30">
        <f ca="1" t="shared" si="0"/>
        <v>20</v>
      </c>
      <c r="B62" s="30">
        <f ca="1" t="array" ref="B62">INDEX(Data_DBD!$B:$B,$A62)</f>
        <v>15</v>
      </c>
      <c r="C62" s="30">
        <f ca="1" t="array" ref="C62">INDEX(Data_DBD!$C:$C,$A62)</f>
        <v>5</v>
      </c>
      <c r="D62" s="30">
        <f ca="1" t="array" ref="D62">INDEX(Data_DBD!$D:$D,$A62)</f>
        <v>7</v>
      </c>
      <c r="E62" s="30">
        <f ca="1" t="array" ref="E62">INDEX(Data_DBD!$E:$E,$A62)</f>
        <v>0</v>
      </c>
      <c r="F62" s="30">
        <f ca="1" t="array" ref="F62">INDEX(Data_DBD!$F:$F,$A62)</f>
        <v>1</v>
      </c>
      <c r="H62" s="30">
        <v>80</v>
      </c>
      <c r="I62" s="30">
        <v>27</v>
      </c>
      <c r="J62" s="30">
        <v>3</v>
      </c>
      <c r="K62" s="30">
        <v>13</v>
      </c>
      <c r="L62" s="30">
        <v>1</v>
      </c>
      <c r="M62" s="30">
        <v>2</v>
      </c>
    </row>
    <row r="63" spans="1:13">
      <c r="A63" s="30">
        <f ca="1" t="shared" si="0"/>
        <v>81</v>
      </c>
      <c r="B63" s="30">
        <f ca="1" t="array" ref="B63">INDEX(Data_DBD!$B:$B,$A63)</f>
        <v>23</v>
      </c>
      <c r="C63" s="30">
        <f ca="1" t="array" ref="C63">INDEX(Data_DBD!$C:$C,$A63)</f>
        <v>5</v>
      </c>
      <c r="D63" s="30">
        <f ca="1" t="array" ref="D63">INDEX(Data_DBD!$D:$D,$A63)</f>
        <v>13</v>
      </c>
      <c r="E63" s="30">
        <f ca="1" t="array" ref="E63">INDEX(Data_DBD!$E:$E,$A63)</f>
        <v>1</v>
      </c>
      <c r="F63" s="30">
        <f ca="1" t="array" ref="F63">INDEX(Data_DBD!$F:$F,$A63)</f>
        <v>2</v>
      </c>
      <c r="H63" s="30">
        <v>118</v>
      </c>
      <c r="I63" s="30">
        <v>67</v>
      </c>
      <c r="J63" s="30">
        <v>4</v>
      </c>
      <c r="K63" s="30">
        <v>33</v>
      </c>
      <c r="L63" s="30">
        <v>1</v>
      </c>
      <c r="M63" s="30">
        <v>3</v>
      </c>
    </row>
    <row r="64" spans="1:13">
      <c r="A64" s="30">
        <f ca="1" t="shared" si="0"/>
        <v>163</v>
      </c>
      <c r="B64" s="30">
        <f ca="1" t="array" ref="B64">INDEX(Data_DBD!$B:$B,$A64)</f>
        <v>34</v>
      </c>
      <c r="C64" s="30">
        <f ca="1" t="array" ref="C64">INDEX(Data_DBD!$C:$C,$A64)</f>
        <v>4</v>
      </c>
      <c r="D64" s="30">
        <f ca="1" t="array" ref="D64">INDEX(Data_DBD!$D:$D,$A64)</f>
        <v>3</v>
      </c>
      <c r="E64" s="30">
        <f ca="1" t="array" ref="E64">INDEX(Data_DBD!$E:$E,$A64)</f>
        <v>1</v>
      </c>
      <c r="F64" s="30">
        <f ca="1" t="array" ref="F64">INDEX(Data_DBD!$F:$F,$A64)</f>
        <v>1</v>
      </c>
      <c r="H64" s="30">
        <v>130</v>
      </c>
      <c r="I64" s="30">
        <v>12</v>
      </c>
      <c r="J64" s="30">
        <v>4</v>
      </c>
      <c r="K64" s="30">
        <v>33</v>
      </c>
      <c r="L64" s="30">
        <v>0</v>
      </c>
      <c r="M64" s="30">
        <v>3</v>
      </c>
    </row>
    <row r="65" spans="1:13">
      <c r="A65" s="30">
        <f ca="1" t="shared" si="0"/>
        <v>98</v>
      </c>
      <c r="B65" s="30">
        <f ca="1" t="array" ref="B65">INDEX(Data_DBD!$B:$B,$A65)</f>
        <v>16</v>
      </c>
      <c r="C65" s="30">
        <f ca="1" t="array" ref="C65">INDEX(Data_DBD!$C:$C,$A65)</f>
        <v>2</v>
      </c>
      <c r="D65" s="30">
        <f ca="1" t="array" ref="D65">INDEX(Data_DBD!$D:$D,$A65)</f>
        <v>18</v>
      </c>
      <c r="E65" s="30">
        <f ca="1" t="array" ref="E65">INDEX(Data_DBD!$E:$E,$A65)</f>
        <v>1</v>
      </c>
      <c r="F65" s="30">
        <f ca="1" t="array" ref="F65">INDEX(Data_DBD!$F:$F,$A65)</f>
        <v>3</v>
      </c>
      <c r="H65" s="30">
        <v>57</v>
      </c>
      <c r="I65" s="30">
        <v>2</v>
      </c>
      <c r="J65" s="30">
        <v>2</v>
      </c>
      <c r="K65" s="30">
        <v>15</v>
      </c>
      <c r="L65" s="30">
        <v>1</v>
      </c>
      <c r="M65" s="30">
        <v>2</v>
      </c>
    </row>
    <row r="66" spans="1:13">
      <c r="A66" s="30">
        <f ca="1" t="shared" si="0"/>
        <v>151</v>
      </c>
      <c r="B66" s="30">
        <f ca="1" t="array" ref="B66">INDEX(Data_DBD!$B:$B,$A66)</f>
        <v>24</v>
      </c>
      <c r="C66" s="30">
        <f ca="1" t="array" ref="C66">INDEX(Data_DBD!$C:$C,$A66)</f>
        <v>3</v>
      </c>
      <c r="D66" s="30">
        <f ca="1" t="array" ref="D66">INDEX(Data_DBD!$D:$D,$A66)</f>
        <v>21</v>
      </c>
      <c r="E66" s="30">
        <f ca="1" t="array" ref="E66">INDEX(Data_DBD!$E:$E,$A66)</f>
        <v>0</v>
      </c>
      <c r="F66" s="30">
        <f ca="1" t="array" ref="F66">INDEX(Data_DBD!$F:$F,$A66)</f>
        <v>3</v>
      </c>
      <c r="H66" s="30">
        <v>92</v>
      </c>
      <c r="I66" s="30">
        <v>55</v>
      </c>
      <c r="J66" s="30">
        <v>7</v>
      </c>
      <c r="K66" s="30">
        <v>18</v>
      </c>
      <c r="L66" s="30">
        <v>0</v>
      </c>
      <c r="M66" s="30">
        <v>3</v>
      </c>
    </row>
    <row r="67" spans="1:13">
      <c r="A67" s="30">
        <f ca="1" t="shared" ref="A67:A130" si="1">RANDBETWEEN(2,164)</f>
        <v>162</v>
      </c>
      <c r="B67" s="30">
        <f ca="1" t="array" ref="B67">INDEX(Data_DBD!$B:$B,$A67)</f>
        <v>22</v>
      </c>
      <c r="C67" s="30">
        <f ca="1" t="array" ref="C67">INDEX(Data_DBD!$C:$C,$A67)</f>
        <v>3</v>
      </c>
      <c r="D67" s="30">
        <f ca="1" t="array" ref="D67">INDEX(Data_DBD!$D:$D,$A67)</f>
        <v>3</v>
      </c>
      <c r="E67" s="30">
        <f ca="1" t="array" ref="E67">INDEX(Data_DBD!$E:$E,$A67)</f>
        <v>1</v>
      </c>
      <c r="F67" s="30">
        <f ca="1" t="array" ref="F67">INDEX(Data_DBD!$F:$F,$A67)</f>
        <v>1</v>
      </c>
      <c r="H67" s="30">
        <v>23</v>
      </c>
      <c r="I67" s="30">
        <v>28</v>
      </c>
      <c r="J67" s="30">
        <v>4</v>
      </c>
      <c r="K67" s="30">
        <v>14</v>
      </c>
      <c r="L67" s="30">
        <v>1</v>
      </c>
      <c r="M67" s="30">
        <v>2</v>
      </c>
    </row>
    <row r="68" spans="1:13">
      <c r="A68" s="30">
        <f ca="1" t="shared" si="1"/>
        <v>14</v>
      </c>
      <c r="B68" s="30">
        <f ca="1" t="array" ref="B68">INDEX(Data_DBD!$B:$B,$A68)</f>
        <v>49</v>
      </c>
      <c r="C68" s="30">
        <f ca="1" t="array" ref="C68">INDEX(Data_DBD!$C:$C,$A68)</f>
        <v>4</v>
      </c>
      <c r="D68" s="30">
        <f ca="1" t="array" ref="D68">INDEX(Data_DBD!$D:$D,$A68)</f>
        <v>7</v>
      </c>
      <c r="E68" s="30">
        <f ca="1" t="array" ref="E68">INDEX(Data_DBD!$E:$E,$A68)</f>
        <v>1</v>
      </c>
      <c r="F68" s="30">
        <f ca="1" t="array" ref="F68">INDEX(Data_DBD!$F:$F,$A68)</f>
        <v>1</v>
      </c>
      <c r="H68" s="30">
        <v>154</v>
      </c>
      <c r="I68" s="30">
        <v>18</v>
      </c>
      <c r="J68" s="30">
        <v>5</v>
      </c>
      <c r="K68" s="30">
        <v>21</v>
      </c>
      <c r="L68" s="30">
        <v>1</v>
      </c>
      <c r="M68" s="30">
        <v>3</v>
      </c>
    </row>
    <row r="69" spans="1:13">
      <c r="A69" s="30">
        <f ca="1" t="shared" si="1"/>
        <v>20</v>
      </c>
      <c r="B69" s="30">
        <f ca="1" t="array" ref="B69">INDEX(Data_DBD!$B:$B,$A69)</f>
        <v>15</v>
      </c>
      <c r="C69" s="30">
        <f ca="1" t="array" ref="C69">INDEX(Data_DBD!$C:$C,$A69)</f>
        <v>5</v>
      </c>
      <c r="D69" s="30">
        <f ca="1" t="array" ref="D69">INDEX(Data_DBD!$D:$D,$A69)</f>
        <v>7</v>
      </c>
      <c r="E69" s="30">
        <f ca="1" t="array" ref="E69">INDEX(Data_DBD!$E:$E,$A69)</f>
        <v>0</v>
      </c>
      <c r="F69" s="30">
        <f ca="1" t="array" ref="F69">INDEX(Data_DBD!$F:$F,$A69)</f>
        <v>1</v>
      </c>
      <c r="H69" s="30">
        <v>93</v>
      </c>
      <c r="I69" s="30">
        <v>65</v>
      </c>
      <c r="J69" s="30">
        <v>4</v>
      </c>
      <c r="K69" s="30">
        <v>18</v>
      </c>
      <c r="L69" s="30">
        <v>0</v>
      </c>
      <c r="M69" s="30">
        <v>3</v>
      </c>
    </row>
    <row r="70" spans="1:13">
      <c r="A70" s="30">
        <f ca="1" t="shared" si="1"/>
        <v>93</v>
      </c>
      <c r="B70" s="30">
        <f ca="1" t="array" ref="B70">INDEX(Data_DBD!$B:$B,$A70)</f>
        <v>65</v>
      </c>
      <c r="C70" s="30">
        <f ca="1" t="array" ref="C70">INDEX(Data_DBD!$C:$C,$A70)</f>
        <v>4</v>
      </c>
      <c r="D70" s="30">
        <f ca="1" t="array" ref="D70">INDEX(Data_DBD!$D:$D,$A70)</f>
        <v>18</v>
      </c>
      <c r="E70" s="30">
        <f ca="1" t="array" ref="E70">INDEX(Data_DBD!$E:$E,$A70)</f>
        <v>0</v>
      </c>
      <c r="F70" s="30">
        <f ca="1" t="array" ref="F70">INDEX(Data_DBD!$F:$F,$A70)</f>
        <v>3</v>
      </c>
      <c r="H70" s="30">
        <v>91</v>
      </c>
      <c r="I70" s="30">
        <v>35</v>
      </c>
      <c r="J70" s="30">
        <v>1</v>
      </c>
      <c r="K70" s="30">
        <v>18</v>
      </c>
      <c r="L70" s="30">
        <v>1</v>
      </c>
      <c r="M70" s="30">
        <v>3</v>
      </c>
    </row>
    <row r="71" spans="1:13">
      <c r="A71" s="30">
        <f ca="1" t="shared" si="1"/>
        <v>128</v>
      </c>
      <c r="B71" s="30">
        <f ca="1" t="array" ref="B71">INDEX(Data_DBD!$B:$B,$A71)</f>
        <v>38</v>
      </c>
      <c r="C71" s="30">
        <f ca="1" t="array" ref="C71">INDEX(Data_DBD!$C:$C,$A71)</f>
        <v>2</v>
      </c>
      <c r="D71" s="30">
        <f ca="1" t="array" ref="D71">INDEX(Data_DBD!$D:$D,$A71)</f>
        <v>33</v>
      </c>
      <c r="E71" s="30">
        <f ca="1" t="array" ref="E71">INDEX(Data_DBD!$E:$E,$A71)</f>
        <v>0</v>
      </c>
      <c r="F71" s="30">
        <f ca="1" t="array" ref="F71">INDEX(Data_DBD!$F:$F,$A71)</f>
        <v>3</v>
      </c>
      <c r="H71" s="30">
        <v>80</v>
      </c>
      <c r="I71" s="30">
        <v>27</v>
      </c>
      <c r="J71" s="30">
        <v>3</v>
      </c>
      <c r="K71" s="30">
        <v>13</v>
      </c>
      <c r="L71" s="30">
        <v>1</v>
      </c>
      <c r="M71" s="30">
        <v>2</v>
      </c>
    </row>
    <row r="72" spans="1:13">
      <c r="A72" s="30">
        <f ca="1" t="shared" si="1"/>
        <v>109</v>
      </c>
      <c r="B72" s="30">
        <f ca="1" t="array" ref="B72">INDEX(Data_DBD!$B:$B,$A72)</f>
        <v>40</v>
      </c>
      <c r="C72" s="30">
        <f ca="1" t="array" ref="C72">INDEX(Data_DBD!$C:$C,$A72)</f>
        <v>3</v>
      </c>
      <c r="D72" s="30">
        <f ca="1" t="array" ref="D72">INDEX(Data_DBD!$D:$D,$A72)</f>
        <v>33</v>
      </c>
      <c r="E72" s="30">
        <f ca="1" t="array" ref="E72">INDEX(Data_DBD!$E:$E,$A72)</f>
        <v>1</v>
      </c>
      <c r="F72" s="30">
        <f ca="1" t="array" ref="F72">INDEX(Data_DBD!$F:$F,$A72)</f>
        <v>3</v>
      </c>
      <c r="H72" s="30">
        <v>149</v>
      </c>
      <c r="I72" s="30">
        <v>19</v>
      </c>
      <c r="J72" s="30">
        <v>5</v>
      </c>
      <c r="K72" s="30">
        <v>21</v>
      </c>
      <c r="L72" s="30">
        <v>0</v>
      </c>
      <c r="M72" s="30">
        <v>3</v>
      </c>
    </row>
    <row r="73" spans="1:13">
      <c r="A73" s="30">
        <f ca="1" t="shared" si="1"/>
        <v>158</v>
      </c>
      <c r="B73" s="30">
        <f ca="1" t="array" ref="B73">INDEX(Data_DBD!$B:$B,$A73)</f>
        <v>5</v>
      </c>
      <c r="C73" s="30">
        <f ca="1" t="array" ref="C73">INDEX(Data_DBD!$C:$C,$A73)</f>
        <v>2</v>
      </c>
      <c r="D73" s="30">
        <f ca="1" t="array" ref="D73">INDEX(Data_DBD!$D:$D,$A73)</f>
        <v>21</v>
      </c>
      <c r="E73" s="30">
        <f ca="1" t="array" ref="E73">INDEX(Data_DBD!$E:$E,$A73)</f>
        <v>0</v>
      </c>
      <c r="F73" s="30">
        <f ca="1" t="array" ref="F73">INDEX(Data_DBD!$F:$F,$A73)</f>
        <v>3</v>
      </c>
      <c r="H73" s="30">
        <v>76</v>
      </c>
      <c r="I73" s="30">
        <v>70</v>
      </c>
      <c r="J73" s="30">
        <v>2</v>
      </c>
      <c r="K73" s="30">
        <v>10</v>
      </c>
      <c r="L73" s="30">
        <v>0</v>
      </c>
      <c r="M73" s="30">
        <v>2</v>
      </c>
    </row>
    <row r="74" spans="1:13">
      <c r="A74" s="30">
        <f ca="1" t="shared" si="1"/>
        <v>95</v>
      </c>
      <c r="B74" s="30">
        <f ca="1" t="array" ref="B74">INDEX(Data_DBD!$B:$B,$A74)</f>
        <v>11</v>
      </c>
      <c r="C74" s="30">
        <f ca="1" t="array" ref="C74">INDEX(Data_DBD!$C:$C,$A74)</f>
        <v>3</v>
      </c>
      <c r="D74" s="30">
        <f ca="1" t="array" ref="D74">INDEX(Data_DBD!$D:$D,$A74)</f>
        <v>18</v>
      </c>
      <c r="E74" s="30">
        <f ca="1" t="array" ref="E74">INDEX(Data_DBD!$E:$E,$A74)</f>
        <v>1</v>
      </c>
      <c r="F74" s="30">
        <f ca="1" t="array" ref="F74">INDEX(Data_DBD!$F:$F,$A74)</f>
        <v>3</v>
      </c>
      <c r="H74" s="30">
        <v>4</v>
      </c>
      <c r="I74" s="30">
        <v>23</v>
      </c>
      <c r="J74" s="30">
        <v>5</v>
      </c>
      <c r="K74" s="30">
        <v>12</v>
      </c>
      <c r="L74" s="30">
        <v>0</v>
      </c>
      <c r="M74" s="30">
        <v>2</v>
      </c>
    </row>
    <row r="75" spans="1:13">
      <c r="A75" s="30">
        <f ca="1" t="shared" si="1"/>
        <v>72</v>
      </c>
      <c r="B75" s="30">
        <f ca="1" t="array" ref="B75">INDEX(Data_DBD!$B:$B,$A75)</f>
        <v>3</v>
      </c>
      <c r="C75" s="30">
        <f ca="1" t="array" ref="C75">INDEX(Data_DBD!$C:$C,$A75)</f>
        <v>5</v>
      </c>
      <c r="D75" s="30">
        <f ca="1" t="array" ref="D75">INDEX(Data_DBD!$D:$D,$A75)</f>
        <v>10</v>
      </c>
      <c r="E75" s="30">
        <f ca="1" t="array" ref="E75">INDEX(Data_DBD!$E:$E,$A75)</f>
        <v>1</v>
      </c>
      <c r="F75" s="30">
        <f ca="1" t="array" ref="F75">INDEX(Data_DBD!$F:$F,$A75)</f>
        <v>2</v>
      </c>
      <c r="H75" s="30">
        <v>163</v>
      </c>
      <c r="I75" s="30">
        <v>34</v>
      </c>
      <c r="J75" s="30">
        <v>4</v>
      </c>
      <c r="K75" s="30">
        <v>3</v>
      </c>
      <c r="L75" s="30">
        <v>1</v>
      </c>
      <c r="M75" s="30">
        <v>1</v>
      </c>
    </row>
    <row r="76" spans="1:13">
      <c r="A76" s="30">
        <f ca="1" t="shared" si="1"/>
        <v>163</v>
      </c>
      <c r="B76" s="30">
        <f ca="1" t="array" ref="B76">INDEX(Data_DBD!$B:$B,$A76)</f>
        <v>34</v>
      </c>
      <c r="C76" s="30">
        <f ca="1" t="array" ref="C76">INDEX(Data_DBD!$C:$C,$A76)</f>
        <v>4</v>
      </c>
      <c r="D76" s="30">
        <f ca="1" t="array" ref="D76">INDEX(Data_DBD!$D:$D,$A76)</f>
        <v>3</v>
      </c>
      <c r="E76" s="30">
        <f ca="1" t="array" ref="E76">INDEX(Data_DBD!$E:$E,$A76)</f>
        <v>1</v>
      </c>
      <c r="F76" s="30">
        <f ca="1" t="array" ref="F76">INDEX(Data_DBD!$F:$F,$A76)</f>
        <v>1</v>
      </c>
      <c r="H76" s="30">
        <v>115</v>
      </c>
      <c r="I76" s="30">
        <v>52</v>
      </c>
      <c r="J76" s="30">
        <v>3</v>
      </c>
      <c r="K76" s="30">
        <v>33</v>
      </c>
      <c r="L76" s="30">
        <v>1</v>
      </c>
      <c r="M76" s="30">
        <v>3</v>
      </c>
    </row>
    <row r="77" spans="1:13">
      <c r="A77" s="30">
        <f ca="1" t="shared" si="1"/>
        <v>41</v>
      </c>
      <c r="B77" s="30">
        <f ca="1" t="array" ref="B77">INDEX(Data_DBD!$B:$B,$A77)</f>
        <v>8</v>
      </c>
      <c r="C77" s="30">
        <f ca="1" t="array" ref="C77">INDEX(Data_DBD!$C:$C,$A77)</f>
        <v>4</v>
      </c>
      <c r="D77" s="30">
        <f ca="1" t="array" ref="D77">INDEX(Data_DBD!$D:$D,$A77)</f>
        <v>13</v>
      </c>
      <c r="E77" s="30">
        <f ca="1" t="array" ref="E77">INDEX(Data_DBD!$E:$E,$A77)</f>
        <v>0</v>
      </c>
      <c r="F77" s="30">
        <f ca="1" t="array" ref="F77">INDEX(Data_DBD!$F:$F,$A77)</f>
        <v>2</v>
      </c>
      <c r="H77" s="30">
        <v>102</v>
      </c>
      <c r="I77" s="30">
        <v>41</v>
      </c>
      <c r="J77" s="30">
        <v>4</v>
      </c>
      <c r="K77" s="30">
        <v>18</v>
      </c>
      <c r="L77" s="30">
        <v>0</v>
      </c>
      <c r="M77" s="30">
        <v>3</v>
      </c>
    </row>
    <row r="78" spans="1:13">
      <c r="A78" s="30">
        <f ca="1" t="shared" si="1"/>
        <v>93</v>
      </c>
      <c r="B78" s="30">
        <f ca="1" t="array" ref="B78">INDEX(Data_DBD!$B:$B,$A78)</f>
        <v>65</v>
      </c>
      <c r="C78" s="30">
        <f ca="1" t="array" ref="C78">INDEX(Data_DBD!$C:$C,$A78)</f>
        <v>4</v>
      </c>
      <c r="D78" s="30">
        <f ca="1" t="array" ref="D78">INDEX(Data_DBD!$D:$D,$A78)</f>
        <v>18</v>
      </c>
      <c r="E78" s="30">
        <f ca="1" t="array" ref="E78">INDEX(Data_DBD!$E:$E,$A78)</f>
        <v>0</v>
      </c>
      <c r="F78" s="30">
        <f ca="1" t="array" ref="F78">INDEX(Data_DBD!$F:$F,$A78)</f>
        <v>3</v>
      </c>
      <c r="H78" s="30">
        <v>49</v>
      </c>
      <c r="I78" s="30">
        <v>64</v>
      </c>
      <c r="J78" s="30">
        <v>5</v>
      </c>
      <c r="K78" s="30">
        <v>13</v>
      </c>
      <c r="L78" s="30">
        <v>0</v>
      </c>
      <c r="M78" s="30">
        <v>2</v>
      </c>
    </row>
    <row r="79" spans="1:13">
      <c r="A79" s="30">
        <f ca="1" t="shared" si="1"/>
        <v>148</v>
      </c>
      <c r="B79" s="30">
        <f ca="1" t="array" ref="B79">INDEX(Data_DBD!$B:$B,$A79)</f>
        <v>55</v>
      </c>
      <c r="C79" s="30">
        <f ca="1" t="array" ref="C79">INDEX(Data_DBD!$C:$C,$A79)</f>
        <v>3</v>
      </c>
      <c r="D79" s="30">
        <f ca="1" t="array" ref="D79">INDEX(Data_DBD!$D:$D,$A79)</f>
        <v>21</v>
      </c>
      <c r="E79" s="30">
        <f ca="1" t="array" ref="E79">INDEX(Data_DBD!$E:$E,$A79)</f>
        <v>1</v>
      </c>
      <c r="F79" s="30">
        <f ca="1" t="array" ref="F79">INDEX(Data_DBD!$F:$F,$A79)</f>
        <v>3</v>
      </c>
      <c r="H79" s="30">
        <v>59</v>
      </c>
      <c r="I79" s="30">
        <v>28</v>
      </c>
      <c r="J79" s="30">
        <v>4</v>
      </c>
      <c r="K79" s="30">
        <v>15</v>
      </c>
      <c r="L79" s="30">
        <v>0</v>
      </c>
      <c r="M79" s="30">
        <v>2</v>
      </c>
    </row>
    <row r="80" spans="1:13">
      <c r="A80" s="30">
        <f ca="1" t="shared" si="1"/>
        <v>89</v>
      </c>
      <c r="B80" s="30">
        <f ca="1" t="array" ref="B80">INDEX(Data_DBD!$B:$B,$A80)</f>
        <v>32</v>
      </c>
      <c r="C80" s="30">
        <f ca="1" t="array" ref="C80">INDEX(Data_DBD!$C:$C,$A80)</f>
        <v>4</v>
      </c>
      <c r="D80" s="30">
        <f ca="1" t="array" ref="D80">INDEX(Data_DBD!$D:$D,$A80)</f>
        <v>13</v>
      </c>
      <c r="E80" s="30">
        <f ca="1" t="array" ref="E80">INDEX(Data_DBD!$E:$E,$A80)</f>
        <v>0</v>
      </c>
      <c r="F80" s="30">
        <f ca="1" t="array" ref="F80">INDEX(Data_DBD!$F:$F,$A80)</f>
        <v>2</v>
      </c>
      <c r="H80" s="30">
        <v>68</v>
      </c>
      <c r="I80" s="30">
        <v>44</v>
      </c>
      <c r="J80" s="30">
        <v>5</v>
      </c>
      <c r="K80" s="30">
        <v>10</v>
      </c>
      <c r="L80" s="30">
        <v>0</v>
      </c>
      <c r="M80" s="30">
        <v>2</v>
      </c>
    </row>
    <row r="81" spans="1:13">
      <c r="A81" s="30">
        <f ca="1" t="shared" si="1"/>
        <v>150</v>
      </c>
      <c r="B81" s="30">
        <f ca="1" t="array" ref="B81">INDEX(Data_DBD!$B:$B,$A81)</f>
        <v>61</v>
      </c>
      <c r="C81" s="30">
        <f ca="1" t="array" ref="C81">INDEX(Data_DBD!$C:$C,$A81)</f>
        <v>5</v>
      </c>
      <c r="D81" s="30">
        <f ca="1" t="array" ref="D81">INDEX(Data_DBD!$D:$D,$A81)</f>
        <v>21</v>
      </c>
      <c r="E81" s="30">
        <f ca="1" t="array" ref="E81">INDEX(Data_DBD!$E:$E,$A81)</f>
        <v>1</v>
      </c>
      <c r="F81" s="30">
        <f ca="1" t="array" ref="F81">INDEX(Data_DBD!$F:$F,$A81)</f>
        <v>3</v>
      </c>
      <c r="H81" s="30">
        <v>6</v>
      </c>
      <c r="I81" s="30">
        <v>14</v>
      </c>
      <c r="J81" s="30">
        <v>4</v>
      </c>
      <c r="K81" s="30">
        <v>12</v>
      </c>
      <c r="L81" s="30">
        <v>0</v>
      </c>
      <c r="M81" s="30">
        <v>2</v>
      </c>
    </row>
    <row r="82" spans="1:13">
      <c r="A82" s="30">
        <f ca="1" t="shared" si="1"/>
        <v>83</v>
      </c>
      <c r="B82" s="30">
        <f ca="1" t="array" ref="B82">INDEX(Data_DBD!$B:$B,$A82)</f>
        <v>50</v>
      </c>
      <c r="C82" s="30">
        <f ca="1" t="array" ref="C82">INDEX(Data_DBD!$C:$C,$A82)</f>
        <v>3</v>
      </c>
      <c r="D82" s="30">
        <f ca="1" t="array" ref="D82">INDEX(Data_DBD!$D:$D,$A82)</f>
        <v>13</v>
      </c>
      <c r="E82" s="30">
        <f ca="1" t="array" ref="E82">INDEX(Data_DBD!$E:$E,$A82)</f>
        <v>0</v>
      </c>
      <c r="F82" s="30">
        <f ca="1" t="array" ref="F82">INDEX(Data_DBD!$F:$F,$A82)</f>
        <v>2</v>
      </c>
      <c r="H82" s="30">
        <v>81</v>
      </c>
      <c r="I82" s="30">
        <v>23</v>
      </c>
      <c r="J82" s="30">
        <v>5</v>
      </c>
      <c r="K82" s="30">
        <v>13</v>
      </c>
      <c r="L82" s="30">
        <v>1</v>
      </c>
      <c r="M82" s="30">
        <v>2</v>
      </c>
    </row>
    <row r="83" spans="1:13">
      <c r="A83" s="30">
        <f ca="1" t="shared" si="1"/>
        <v>150</v>
      </c>
      <c r="B83" s="30">
        <f ca="1" t="array" ref="B83">INDEX(Data_DBD!$B:$B,$A83)</f>
        <v>61</v>
      </c>
      <c r="C83" s="30">
        <f ca="1" t="array" ref="C83">INDEX(Data_DBD!$C:$C,$A83)</f>
        <v>5</v>
      </c>
      <c r="D83" s="30">
        <f ca="1" t="array" ref="D83">INDEX(Data_DBD!$D:$D,$A83)</f>
        <v>21</v>
      </c>
      <c r="E83" s="30">
        <f ca="1" t="array" ref="E83">INDEX(Data_DBD!$E:$E,$A83)</f>
        <v>1</v>
      </c>
      <c r="F83" s="30">
        <f ca="1" t="array" ref="F83">INDEX(Data_DBD!$F:$F,$A83)</f>
        <v>3</v>
      </c>
      <c r="H83" s="30">
        <v>27</v>
      </c>
      <c r="I83" s="30">
        <v>37</v>
      </c>
      <c r="J83" s="30">
        <v>4</v>
      </c>
      <c r="K83" s="30">
        <v>14</v>
      </c>
      <c r="L83" s="30">
        <v>1</v>
      </c>
      <c r="M83" s="30">
        <v>2</v>
      </c>
    </row>
    <row r="84" spans="1:13">
      <c r="A84" s="30">
        <f ca="1" t="shared" si="1"/>
        <v>61</v>
      </c>
      <c r="B84" s="30">
        <f ca="1" t="array" ref="B84">INDEX(Data_DBD!$B:$B,$A84)</f>
        <v>29</v>
      </c>
      <c r="C84" s="30">
        <f ca="1" t="array" ref="C84">INDEX(Data_DBD!$C:$C,$A84)</f>
        <v>3</v>
      </c>
      <c r="D84" s="30">
        <f ca="1" t="array" ref="D84">INDEX(Data_DBD!$D:$D,$A84)</f>
        <v>15</v>
      </c>
      <c r="E84" s="30">
        <f ca="1" t="array" ref="E84">INDEX(Data_DBD!$E:$E,$A84)</f>
        <v>1</v>
      </c>
      <c r="F84" s="30">
        <f ca="1" t="array" ref="F84">INDEX(Data_DBD!$F:$F,$A84)</f>
        <v>2</v>
      </c>
      <c r="H84" s="30">
        <v>95</v>
      </c>
      <c r="I84" s="30">
        <v>11</v>
      </c>
      <c r="J84" s="30">
        <v>3</v>
      </c>
      <c r="K84" s="30">
        <v>18</v>
      </c>
      <c r="L84" s="30">
        <v>1</v>
      </c>
      <c r="M84" s="30">
        <v>3</v>
      </c>
    </row>
    <row r="85" spans="1:13">
      <c r="A85" s="30">
        <f ca="1" t="shared" si="1"/>
        <v>106</v>
      </c>
      <c r="B85" s="30">
        <f ca="1" t="array" ref="B85">INDEX(Data_DBD!$B:$B,$A85)</f>
        <v>23</v>
      </c>
      <c r="C85" s="30">
        <f ca="1" t="array" ref="C85">INDEX(Data_DBD!$C:$C,$A85)</f>
        <v>3</v>
      </c>
      <c r="D85" s="30">
        <f ca="1" t="array" ref="D85">INDEX(Data_DBD!$D:$D,$A85)</f>
        <v>18</v>
      </c>
      <c r="E85" s="30">
        <f ca="1" t="array" ref="E85">INDEX(Data_DBD!$E:$E,$A85)</f>
        <v>1</v>
      </c>
      <c r="F85" s="30">
        <f ca="1" t="array" ref="F85">INDEX(Data_DBD!$F:$F,$A85)</f>
        <v>3</v>
      </c>
      <c r="H85" s="30">
        <v>146</v>
      </c>
      <c r="I85" s="30">
        <v>34</v>
      </c>
      <c r="J85" s="30">
        <v>2</v>
      </c>
      <c r="K85" s="30">
        <v>21</v>
      </c>
      <c r="L85" s="30">
        <v>1</v>
      </c>
      <c r="M85" s="30">
        <v>3</v>
      </c>
    </row>
    <row r="86" spans="1:13">
      <c r="A86" s="30">
        <f ca="1" t="shared" si="1"/>
        <v>18</v>
      </c>
      <c r="B86" s="30">
        <f ca="1" t="array" ref="B86">INDEX(Data_DBD!$B:$B,$A86)</f>
        <v>49</v>
      </c>
      <c r="C86" s="30">
        <f ca="1" t="array" ref="C86">INDEX(Data_DBD!$C:$C,$A86)</f>
        <v>4</v>
      </c>
      <c r="D86" s="30">
        <f ca="1" t="array" ref="D86">INDEX(Data_DBD!$D:$D,$A86)</f>
        <v>7</v>
      </c>
      <c r="E86" s="30">
        <f ca="1" t="array" ref="E86">INDEX(Data_DBD!$E:$E,$A86)</f>
        <v>1</v>
      </c>
      <c r="F86" s="30">
        <f ca="1" t="array" ref="F86">INDEX(Data_DBD!$F:$F,$A86)</f>
        <v>1</v>
      </c>
      <c r="H86" s="30">
        <v>35</v>
      </c>
      <c r="I86" s="30">
        <v>40</v>
      </c>
      <c r="J86" s="30">
        <v>3</v>
      </c>
      <c r="K86" s="30">
        <v>4</v>
      </c>
      <c r="L86" s="30">
        <v>1</v>
      </c>
      <c r="M86" s="30">
        <v>1</v>
      </c>
    </row>
    <row r="87" spans="1:13">
      <c r="A87" s="30">
        <f ca="1" t="shared" si="1"/>
        <v>61</v>
      </c>
      <c r="B87" s="30">
        <f ca="1" t="array" ref="B87">INDEX(Data_DBD!$B:$B,$A87)</f>
        <v>29</v>
      </c>
      <c r="C87" s="30">
        <f ca="1" t="array" ref="C87">INDEX(Data_DBD!$C:$C,$A87)</f>
        <v>3</v>
      </c>
      <c r="D87" s="30">
        <f ca="1" t="array" ref="D87">INDEX(Data_DBD!$D:$D,$A87)</f>
        <v>15</v>
      </c>
      <c r="E87" s="30">
        <f ca="1" t="array" ref="E87">INDEX(Data_DBD!$E:$E,$A87)</f>
        <v>1</v>
      </c>
      <c r="F87" s="30">
        <f ca="1" t="array" ref="F87">INDEX(Data_DBD!$F:$F,$A87)</f>
        <v>2</v>
      </c>
      <c r="H87" s="30">
        <v>91</v>
      </c>
      <c r="I87" s="30">
        <v>35</v>
      </c>
      <c r="J87" s="30">
        <v>1</v>
      </c>
      <c r="K87" s="30">
        <v>18</v>
      </c>
      <c r="L87" s="30">
        <v>1</v>
      </c>
      <c r="M87" s="30">
        <v>3</v>
      </c>
    </row>
    <row r="88" spans="1:13">
      <c r="A88" s="30">
        <f ca="1" t="shared" si="1"/>
        <v>45</v>
      </c>
      <c r="B88" s="30">
        <f ca="1" t="array" ref="B88">INDEX(Data_DBD!$B:$B,$A88)</f>
        <v>75</v>
      </c>
      <c r="C88" s="30">
        <f ca="1" t="array" ref="C88">INDEX(Data_DBD!$C:$C,$A88)</f>
        <v>3</v>
      </c>
      <c r="D88" s="30">
        <f ca="1" t="array" ref="D88">INDEX(Data_DBD!$D:$D,$A88)</f>
        <v>13</v>
      </c>
      <c r="E88" s="30">
        <f ca="1" t="array" ref="E88">INDEX(Data_DBD!$E:$E,$A88)</f>
        <v>1</v>
      </c>
      <c r="F88" s="30">
        <f ca="1" t="array" ref="F88">INDEX(Data_DBD!$F:$F,$A88)</f>
        <v>2</v>
      </c>
      <c r="H88" s="30">
        <v>159</v>
      </c>
      <c r="I88" s="30">
        <v>17</v>
      </c>
      <c r="J88" s="30">
        <v>2</v>
      </c>
      <c r="K88" s="30">
        <v>21</v>
      </c>
      <c r="L88" s="30">
        <v>0</v>
      </c>
      <c r="M88" s="30">
        <v>3</v>
      </c>
    </row>
    <row r="89" spans="1:13">
      <c r="A89" s="30">
        <f ca="1" t="shared" si="1"/>
        <v>55</v>
      </c>
      <c r="B89" s="30">
        <f ca="1" t="array" ref="B89">INDEX(Data_DBD!$B:$B,$A89)</f>
        <v>7</v>
      </c>
      <c r="C89" s="30">
        <f ca="1" t="array" ref="C89">INDEX(Data_DBD!$C:$C,$A89)</f>
        <v>4</v>
      </c>
      <c r="D89" s="30">
        <f ca="1" t="array" ref="D89">INDEX(Data_DBD!$D:$D,$A89)</f>
        <v>15</v>
      </c>
      <c r="E89" s="30">
        <f ca="1" t="array" ref="E89">INDEX(Data_DBD!$E:$E,$A89)</f>
        <v>1</v>
      </c>
      <c r="F89" s="30">
        <f ca="1" t="array" ref="F89">INDEX(Data_DBD!$F:$F,$A89)</f>
        <v>2</v>
      </c>
      <c r="H89" s="30">
        <v>5</v>
      </c>
      <c r="I89" s="30">
        <v>18</v>
      </c>
      <c r="J89" s="30">
        <v>2</v>
      </c>
      <c r="K89" s="30">
        <v>12</v>
      </c>
      <c r="L89" s="30">
        <v>1</v>
      </c>
      <c r="M89" s="30">
        <v>2</v>
      </c>
    </row>
    <row r="90" spans="1:13">
      <c r="A90" s="30">
        <f ca="1" t="shared" si="1"/>
        <v>150</v>
      </c>
      <c r="B90" s="30">
        <f ca="1" t="array" ref="B90">INDEX(Data_DBD!$B:$B,$A90)</f>
        <v>61</v>
      </c>
      <c r="C90" s="30">
        <f ca="1" t="array" ref="C90">INDEX(Data_DBD!$C:$C,$A90)</f>
        <v>5</v>
      </c>
      <c r="D90" s="30">
        <f ca="1" t="array" ref="D90">INDEX(Data_DBD!$D:$D,$A90)</f>
        <v>21</v>
      </c>
      <c r="E90" s="30">
        <f ca="1" t="array" ref="E90">INDEX(Data_DBD!$E:$E,$A90)</f>
        <v>1</v>
      </c>
      <c r="F90" s="30">
        <f ca="1" t="array" ref="F90">INDEX(Data_DBD!$F:$F,$A90)</f>
        <v>3</v>
      </c>
      <c r="H90" s="30">
        <v>21</v>
      </c>
      <c r="I90" s="30">
        <v>10</v>
      </c>
      <c r="J90" s="30">
        <v>5</v>
      </c>
      <c r="K90" s="30">
        <v>14</v>
      </c>
      <c r="L90" s="30">
        <v>1</v>
      </c>
      <c r="M90" s="30">
        <v>2</v>
      </c>
    </row>
    <row r="91" spans="1:13">
      <c r="A91" s="30">
        <f ca="1" t="shared" si="1"/>
        <v>76</v>
      </c>
      <c r="B91" s="30">
        <f ca="1" t="array" ref="B91">INDEX(Data_DBD!$B:$B,$A91)</f>
        <v>70</v>
      </c>
      <c r="C91" s="30">
        <f ca="1" t="array" ref="C91">INDEX(Data_DBD!$C:$C,$A91)</f>
        <v>2</v>
      </c>
      <c r="D91" s="30">
        <f ca="1" t="array" ref="D91">INDEX(Data_DBD!$D:$D,$A91)</f>
        <v>10</v>
      </c>
      <c r="E91" s="30">
        <f ca="1" t="array" ref="E91">INDEX(Data_DBD!$E:$E,$A91)</f>
        <v>0</v>
      </c>
      <c r="F91" s="30">
        <f ca="1" t="array" ref="F91">INDEX(Data_DBD!$F:$F,$A91)</f>
        <v>2</v>
      </c>
      <c r="H91" s="30">
        <v>160</v>
      </c>
      <c r="I91" s="30">
        <v>16</v>
      </c>
      <c r="J91" s="30">
        <v>3</v>
      </c>
      <c r="K91" s="30">
        <v>21</v>
      </c>
      <c r="L91" s="30">
        <v>0</v>
      </c>
      <c r="M91" s="30">
        <v>3</v>
      </c>
    </row>
    <row r="92" spans="1:13">
      <c r="A92" s="30">
        <f ca="1" t="shared" si="1"/>
        <v>127</v>
      </c>
      <c r="B92" s="30">
        <f ca="1" t="array" ref="B92">INDEX(Data_DBD!$B:$B,$A92)</f>
        <v>21</v>
      </c>
      <c r="C92" s="30">
        <f ca="1" t="array" ref="C92">INDEX(Data_DBD!$C:$C,$A92)</f>
        <v>2</v>
      </c>
      <c r="D92" s="30">
        <f ca="1" t="array" ref="D92">INDEX(Data_DBD!$D:$D,$A92)</f>
        <v>33</v>
      </c>
      <c r="E92" s="30">
        <f ca="1" t="array" ref="E92">INDEX(Data_DBD!$E:$E,$A92)</f>
        <v>0</v>
      </c>
      <c r="F92" s="30">
        <f ca="1" t="array" ref="F92">INDEX(Data_DBD!$F:$F,$A92)</f>
        <v>3</v>
      </c>
      <c r="H92" s="30">
        <v>8</v>
      </c>
      <c r="I92" s="30">
        <v>4</v>
      </c>
      <c r="J92" s="30">
        <v>2</v>
      </c>
      <c r="K92" s="30">
        <v>12</v>
      </c>
      <c r="L92" s="30">
        <v>0</v>
      </c>
      <c r="M92" s="30">
        <v>2</v>
      </c>
    </row>
    <row r="93" spans="1:13">
      <c r="A93" s="30">
        <f ca="1" t="shared" si="1"/>
        <v>163</v>
      </c>
      <c r="B93" s="30">
        <f ca="1" t="array" ref="B93">INDEX(Data_DBD!$B:$B,$A93)</f>
        <v>34</v>
      </c>
      <c r="C93" s="30">
        <f ca="1" t="array" ref="C93">INDEX(Data_DBD!$C:$C,$A93)</f>
        <v>4</v>
      </c>
      <c r="D93" s="30">
        <f ca="1" t="array" ref="D93">INDEX(Data_DBD!$D:$D,$A93)</f>
        <v>3</v>
      </c>
      <c r="E93" s="30">
        <f ca="1" t="array" ref="E93">INDEX(Data_DBD!$E:$E,$A93)</f>
        <v>1</v>
      </c>
      <c r="F93" s="30">
        <f ca="1" t="array" ref="F93">INDEX(Data_DBD!$F:$F,$A93)</f>
        <v>1</v>
      </c>
      <c r="H93" s="30">
        <v>30</v>
      </c>
      <c r="I93" s="30" t="s">
        <v>36</v>
      </c>
      <c r="J93" s="30">
        <v>2</v>
      </c>
      <c r="K93" s="30">
        <v>14</v>
      </c>
      <c r="L93" s="30">
        <v>1</v>
      </c>
      <c r="M93" s="30">
        <v>2</v>
      </c>
    </row>
    <row r="94" spans="1:13">
      <c r="A94" s="30">
        <f ca="1" t="shared" si="1"/>
        <v>26</v>
      </c>
      <c r="B94" s="30">
        <f ca="1" t="array" ref="B94">INDEX(Data_DBD!$B:$B,$A94)</f>
        <v>75</v>
      </c>
      <c r="C94" s="30">
        <f ca="1" t="array" ref="C94">INDEX(Data_DBD!$C:$C,$A94)</f>
        <v>4</v>
      </c>
      <c r="D94" s="30">
        <f ca="1" t="array" ref="D94">INDEX(Data_DBD!$D:$D,$A94)</f>
        <v>14</v>
      </c>
      <c r="E94" s="30">
        <f ca="1" t="array" ref="E94">INDEX(Data_DBD!$E:$E,$A94)</f>
        <v>1</v>
      </c>
      <c r="F94" s="30">
        <f ca="1" t="array" ref="F94">INDEX(Data_DBD!$F:$F,$A94)</f>
        <v>2</v>
      </c>
      <c r="H94" s="30">
        <v>109</v>
      </c>
      <c r="I94" s="30">
        <v>40</v>
      </c>
      <c r="J94" s="30">
        <v>3</v>
      </c>
      <c r="K94" s="30">
        <v>33</v>
      </c>
      <c r="L94" s="30">
        <v>1</v>
      </c>
      <c r="M94" s="30">
        <v>3</v>
      </c>
    </row>
    <row r="95" spans="1:13">
      <c r="A95" s="30">
        <f ca="1" t="shared" si="1"/>
        <v>53</v>
      </c>
      <c r="B95" s="30">
        <f ca="1" t="array" ref="B95">INDEX(Data_DBD!$B:$B,$A95)</f>
        <v>35</v>
      </c>
      <c r="C95" s="30">
        <f ca="1" t="array" ref="C95">INDEX(Data_DBD!$C:$C,$A95)</f>
        <v>4</v>
      </c>
      <c r="D95" s="30">
        <f ca="1" t="array" ref="D95">INDEX(Data_DBD!$D:$D,$A95)</f>
        <v>15</v>
      </c>
      <c r="E95" s="30">
        <f ca="1" t="array" ref="E95">INDEX(Data_DBD!$E:$E,$A95)</f>
        <v>1</v>
      </c>
      <c r="F95" s="30">
        <f ca="1" t="array" ref="F95">INDEX(Data_DBD!$F:$F,$A95)</f>
        <v>2</v>
      </c>
      <c r="H95" s="30">
        <v>78</v>
      </c>
      <c r="I95" s="30">
        <v>6</v>
      </c>
      <c r="J95" s="30">
        <v>3</v>
      </c>
      <c r="K95" s="30">
        <v>13</v>
      </c>
      <c r="L95" s="30">
        <v>0</v>
      </c>
      <c r="M95" s="30">
        <v>2</v>
      </c>
    </row>
    <row r="96" spans="1:13">
      <c r="A96" s="30">
        <f ca="1" t="shared" si="1"/>
        <v>50</v>
      </c>
      <c r="B96" s="30">
        <f ca="1" t="array" ref="B96">INDEX(Data_DBD!$B:$B,$A96)</f>
        <v>19</v>
      </c>
      <c r="C96" s="30">
        <f ca="1" t="array" ref="C96">INDEX(Data_DBD!$C:$C,$A96)</f>
        <v>5</v>
      </c>
      <c r="D96" s="30">
        <f ca="1" t="array" ref="D96">INDEX(Data_DBD!$D:$D,$A96)</f>
        <v>13</v>
      </c>
      <c r="E96" s="30">
        <f ca="1" t="array" ref="E96">INDEX(Data_DBD!$E:$E,$A96)</f>
        <v>0</v>
      </c>
      <c r="F96" s="30">
        <f ca="1" t="array" ref="F96">INDEX(Data_DBD!$F:$F,$A96)</f>
        <v>2</v>
      </c>
      <c r="H96" s="30">
        <v>112</v>
      </c>
      <c r="I96" s="30">
        <v>61</v>
      </c>
      <c r="J96" s="30">
        <v>3</v>
      </c>
      <c r="K96" s="30">
        <v>33</v>
      </c>
      <c r="L96" s="30">
        <v>1</v>
      </c>
      <c r="M96" s="30">
        <v>3</v>
      </c>
    </row>
    <row r="97" spans="1:13">
      <c r="A97" s="30">
        <f ca="1" t="shared" si="1"/>
        <v>104</v>
      </c>
      <c r="B97" s="30">
        <f ca="1" t="array" ref="B97">INDEX(Data_DBD!$B:$B,$A97)</f>
        <v>37</v>
      </c>
      <c r="C97" s="30">
        <f ca="1" t="array" ref="C97">INDEX(Data_DBD!$C:$C,$A97)</f>
        <v>4</v>
      </c>
      <c r="D97" s="30">
        <f ca="1" t="array" ref="D97">INDEX(Data_DBD!$D:$D,$A97)</f>
        <v>18</v>
      </c>
      <c r="E97" s="30">
        <f ca="1" t="array" ref="E97">INDEX(Data_DBD!$E:$E,$A97)</f>
        <v>1</v>
      </c>
      <c r="F97" s="30">
        <f ca="1" t="array" ref="F97">INDEX(Data_DBD!$F:$F,$A97)</f>
        <v>3</v>
      </c>
      <c r="H97" s="30">
        <v>7</v>
      </c>
      <c r="I97" s="30">
        <v>12</v>
      </c>
      <c r="J97" s="30">
        <v>1</v>
      </c>
      <c r="K97" s="30">
        <v>12</v>
      </c>
      <c r="L97" s="30">
        <v>1</v>
      </c>
      <c r="M97" s="30">
        <v>2</v>
      </c>
    </row>
    <row r="98" spans="1:13">
      <c r="A98" s="30">
        <f ca="1" t="shared" si="1"/>
        <v>46</v>
      </c>
      <c r="B98" s="30">
        <f ca="1" t="array" ref="B98">INDEX(Data_DBD!$B:$B,$A98)</f>
        <v>62</v>
      </c>
      <c r="C98" s="30">
        <f ca="1" t="array" ref="C98">INDEX(Data_DBD!$C:$C,$A98)</f>
        <v>2</v>
      </c>
      <c r="D98" s="30">
        <f ca="1" t="array" ref="D98">INDEX(Data_DBD!$D:$D,$A98)</f>
        <v>13</v>
      </c>
      <c r="E98" s="30">
        <f ca="1" t="array" ref="E98">INDEX(Data_DBD!$E:$E,$A98)</f>
        <v>0</v>
      </c>
      <c r="F98" s="30">
        <f ca="1" t="array" ref="F98">INDEX(Data_DBD!$F:$F,$A98)</f>
        <v>2</v>
      </c>
      <c r="H98" s="30">
        <v>114</v>
      </c>
      <c r="I98" s="30">
        <v>14</v>
      </c>
      <c r="J98" s="30">
        <v>2</v>
      </c>
      <c r="K98" s="30">
        <v>33</v>
      </c>
      <c r="L98" s="30">
        <v>1</v>
      </c>
      <c r="M98" s="30">
        <v>3</v>
      </c>
    </row>
    <row r="99" spans="1:13">
      <c r="A99" s="30">
        <f ca="1" t="shared" si="1"/>
        <v>129</v>
      </c>
      <c r="B99" s="30">
        <f ca="1" t="array" ref="B99">INDEX(Data_DBD!$B:$B,$A99)</f>
        <v>4.5</v>
      </c>
      <c r="C99" s="30">
        <f ca="1" t="array" ref="C99">INDEX(Data_DBD!$C:$C,$A99)</f>
        <v>3</v>
      </c>
      <c r="D99" s="30">
        <f ca="1" t="array" ref="D99">INDEX(Data_DBD!$D:$D,$A99)</f>
        <v>33</v>
      </c>
      <c r="E99" s="30">
        <f ca="1" t="array" ref="E99">INDEX(Data_DBD!$E:$E,$A99)</f>
        <v>0</v>
      </c>
      <c r="F99" s="30">
        <f ca="1" t="array" ref="F99">INDEX(Data_DBD!$F:$F,$A99)</f>
        <v>3</v>
      </c>
      <c r="H99" s="30">
        <v>54</v>
      </c>
      <c r="I99" s="30">
        <v>7</v>
      </c>
      <c r="J99" s="30">
        <v>3</v>
      </c>
      <c r="K99" s="30">
        <v>15</v>
      </c>
      <c r="L99" s="30">
        <v>0</v>
      </c>
      <c r="M99" s="30">
        <v>2</v>
      </c>
    </row>
    <row r="100" spans="1:13">
      <c r="A100" s="30">
        <f ca="1" t="shared" si="1"/>
        <v>36</v>
      </c>
      <c r="B100" s="30">
        <f ca="1" t="array" ref="B100">INDEX(Data_DBD!$B:$B,$A100)</f>
        <v>27</v>
      </c>
      <c r="C100" s="30">
        <f ca="1" t="array" ref="C100">INDEX(Data_DBD!$C:$C,$A100)</f>
        <v>1</v>
      </c>
      <c r="D100" s="30">
        <f ca="1" t="array" ref="D100">INDEX(Data_DBD!$D:$D,$A100)</f>
        <v>4</v>
      </c>
      <c r="E100" s="30">
        <f ca="1" t="array" ref="E100">INDEX(Data_DBD!$E:$E,$A100)</f>
        <v>1</v>
      </c>
      <c r="F100" s="30">
        <f ca="1" t="array" ref="F100">INDEX(Data_DBD!$F:$F,$A100)</f>
        <v>1</v>
      </c>
      <c r="H100" s="30">
        <v>68</v>
      </c>
      <c r="I100" s="30">
        <v>44</v>
      </c>
      <c r="J100" s="30">
        <v>5</v>
      </c>
      <c r="K100" s="30">
        <v>10</v>
      </c>
      <c r="L100" s="30">
        <v>0</v>
      </c>
      <c r="M100" s="30">
        <v>2</v>
      </c>
    </row>
    <row r="101" spans="1:13">
      <c r="A101" s="30">
        <f ca="1" t="shared" si="1"/>
        <v>109</v>
      </c>
      <c r="B101" s="30">
        <f ca="1" t="array" ref="B101">INDEX(Data_DBD!$B:$B,$A101)</f>
        <v>40</v>
      </c>
      <c r="C101" s="30">
        <f ca="1" t="array" ref="C101">INDEX(Data_DBD!$C:$C,$A101)</f>
        <v>3</v>
      </c>
      <c r="D101" s="30">
        <f ca="1" t="array" ref="D101">INDEX(Data_DBD!$D:$D,$A101)</f>
        <v>33</v>
      </c>
      <c r="E101" s="30">
        <f ca="1" t="array" ref="E101">INDEX(Data_DBD!$E:$E,$A101)</f>
        <v>1</v>
      </c>
      <c r="F101" s="30">
        <f ca="1" t="array" ref="F101">INDEX(Data_DBD!$F:$F,$A101)</f>
        <v>3</v>
      </c>
      <c r="H101" s="30">
        <v>85</v>
      </c>
      <c r="I101" s="30">
        <v>27</v>
      </c>
      <c r="J101" s="30">
        <v>9</v>
      </c>
      <c r="K101" s="30">
        <v>13</v>
      </c>
      <c r="L101" s="30">
        <v>0</v>
      </c>
      <c r="M101" s="30">
        <v>2</v>
      </c>
    </row>
    <row r="102" spans="1:13">
      <c r="A102" s="30">
        <f ca="1" t="shared" si="1"/>
        <v>76</v>
      </c>
      <c r="B102" s="30">
        <f ca="1" t="array" ref="B102">INDEX(Data_DBD!$B:$B,$A102)</f>
        <v>70</v>
      </c>
      <c r="C102" s="30">
        <f ca="1" t="array" ref="C102">INDEX(Data_DBD!$C:$C,$A102)</f>
        <v>2</v>
      </c>
      <c r="D102" s="30">
        <f ca="1" t="array" ref="D102">INDEX(Data_DBD!$D:$D,$A102)</f>
        <v>10</v>
      </c>
      <c r="E102" s="30">
        <f ca="1" t="array" ref="E102">INDEX(Data_DBD!$E:$E,$A102)</f>
        <v>0</v>
      </c>
      <c r="F102" s="30">
        <f ca="1" t="array" ref="F102">INDEX(Data_DBD!$F:$F,$A102)</f>
        <v>2</v>
      </c>
      <c r="H102" s="30">
        <v>101</v>
      </c>
      <c r="I102" s="30">
        <v>42</v>
      </c>
      <c r="J102" s="30">
        <v>5</v>
      </c>
      <c r="K102" s="30">
        <v>18</v>
      </c>
      <c r="L102" s="30">
        <v>0</v>
      </c>
      <c r="M102" s="30">
        <v>3</v>
      </c>
    </row>
    <row r="103" spans="1:13">
      <c r="A103" s="30">
        <f ca="1" t="shared" si="1"/>
        <v>158</v>
      </c>
      <c r="B103" s="30">
        <f ca="1" t="array" ref="B103">INDEX(Data_DBD!$B:$B,$A103)</f>
        <v>5</v>
      </c>
      <c r="C103" s="30">
        <f ca="1" t="array" ref="C103">INDEX(Data_DBD!$C:$C,$A103)</f>
        <v>2</v>
      </c>
      <c r="D103" s="30">
        <f ca="1" t="array" ref="D103">INDEX(Data_DBD!$D:$D,$A103)</f>
        <v>21</v>
      </c>
      <c r="E103" s="30">
        <f ca="1" t="array" ref="E103">INDEX(Data_DBD!$E:$E,$A103)</f>
        <v>0</v>
      </c>
      <c r="F103" s="30">
        <f ca="1" t="array" ref="F103">INDEX(Data_DBD!$F:$F,$A103)</f>
        <v>3</v>
      </c>
      <c r="H103" s="30">
        <v>157</v>
      </c>
      <c r="I103" s="30">
        <v>15</v>
      </c>
      <c r="J103" s="30">
        <v>4</v>
      </c>
      <c r="K103" s="30">
        <v>21</v>
      </c>
      <c r="L103" s="30">
        <v>1</v>
      </c>
      <c r="M103" s="30">
        <v>3</v>
      </c>
    </row>
    <row r="104" spans="1:13">
      <c r="A104" s="30">
        <f ca="1" t="shared" si="1"/>
        <v>64</v>
      </c>
      <c r="B104" s="30">
        <f ca="1" t="array" ref="B104">INDEX(Data_DBD!$B:$B,$A104)</f>
        <v>35</v>
      </c>
      <c r="C104" s="30">
        <f ca="1" t="array" ref="C104">INDEX(Data_DBD!$C:$C,$A104)</f>
        <v>1</v>
      </c>
      <c r="D104" s="30">
        <f ca="1" t="array" ref="D104">INDEX(Data_DBD!$D:$D,$A104)</f>
        <v>15</v>
      </c>
      <c r="E104" s="30">
        <f ca="1" t="array" ref="E104">INDEX(Data_DBD!$E:$E,$A104)</f>
        <v>0</v>
      </c>
      <c r="F104" s="30">
        <f ca="1" t="array" ref="F104">INDEX(Data_DBD!$F:$F,$A104)</f>
        <v>2</v>
      </c>
      <c r="H104" s="30">
        <v>36</v>
      </c>
      <c r="I104" s="30">
        <v>27</v>
      </c>
      <c r="J104" s="30">
        <v>1</v>
      </c>
      <c r="K104" s="30">
        <v>4</v>
      </c>
      <c r="L104" s="30">
        <v>1</v>
      </c>
      <c r="M104" s="30">
        <v>1</v>
      </c>
    </row>
    <row r="105" spans="1:13">
      <c r="A105" s="30">
        <f ca="1" t="shared" si="1"/>
        <v>88</v>
      </c>
      <c r="B105" s="30">
        <f ca="1" t="array" ref="B105">INDEX(Data_DBD!$B:$B,$A105)</f>
        <v>20</v>
      </c>
      <c r="C105" s="30">
        <f ca="1" t="array" ref="C105">INDEX(Data_DBD!$C:$C,$A105)</f>
        <v>4</v>
      </c>
      <c r="D105" s="30">
        <f ca="1" t="array" ref="D105">INDEX(Data_DBD!$D:$D,$A105)</f>
        <v>13</v>
      </c>
      <c r="E105" s="30">
        <f ca="1" t="array" ref="E105">INDEX(Data_DBD!$E:$E,$A105)</f>
        <v>1</v>
      </c>
      <c r="F105" s="30">
        <f ca="1" t="array" ref="F105">INDEX(Data_DBD!$F:$F,$A105)</f>
        <v>2</v>
      </c>
      <c r="H105" s="30">
        <v>83</v>
      </c>
      <c r="I105" s="30">
        <v>50</v>
      </c>
      <c r="J105" s="30">
        <v>3</v>
      </c>
      <c r="K105" s="30">
        <v>13</v>
      </c>
      <c r="L105" s="30">
        <v>0</v>
      </c>
      <c r="M105" s="30">
        <v>2</v>
      </c>
    </row>
    <row r="106" spans="1:13">
      <c r="A106" s="30">
        <f ca="1" t="shared" si="1"/>
        <v>61</v>
      </c>
      <c r="B106" s="30">
        <f ca="1" t="array" ref="B106">INDEX(Data_DBD!$B:$B,$A106)</f>
        <v>29</v>
      </c>
      <c r="C106" s="30">
        <f ca="1" t="array" ref="C106">INDEX(Data_DBD!$C:$C,$A106)</f>
        <v>3</v>
      </c>
      <c r="D106" s="30">
        <f ca="1" t="array" ref="D106">INDEX(Data_DBD!$D:$D,$A106)</f>
        <v>15</v>
      </c>
      <c r="E106" s="30">
        <f ca="1" t="array" ref="E106">INDEX(Data_DBD!$E:$E,$A106)</f>
        <v>1</v>
      </c>
      <c r="F106" s="30">
        <f ca="1" t="array" ref="F106">INDEX(Data_DBD!$F:$F,$A106)</f>
        <v>2</v>
      </c>
      <c r="H106" s="30">
        <v>130</v>
      </c>
      <c r="I106" s="30">
        <v>12</v>
      </c>
      <c r="J106" s="30">
        <v>4</v>
      </c>
      <c r="K106" s="30">
        <v>33</v>
      </c>
      <c r="L106" s="30">
        <v>0</v>
      </c>
      <c r="M106" s="30">
        <v>3</v>
      </c>
    </row>
    <row r="107" spans="1:13">
      <c r="A107" s="30">
        <f ca="1" t="shared" si="1"/>
        <v>112</v>
      </c>
      <c r="B107" s="30">
        <f ca="1" t="array" ref="B107">INDEX(Data_DBD!$B:$B,$A107)</f>
        <v>61</v>
      </c>
      <c r="C107" s="30">
        <f ca="1" t="array" ref="C107">INDEX(Data_DBD!$C:$C,$A107)</f>
        <v>3</v>
      </c>
      <c r="D107" s="30">
        <f ca="1" t="array" ref="D107">INDEX(Data_DBD!$D:$D,$A107)</f>
        <v>33</v>
      </c>
      <c r="E107" s="30">
        <f ca="1" t="array" ref="E107">INDEX(Data_DBD!$E:$E,$A107)</f>
        <v>1</v>
      </c>
      <c r="F107" s="30">
        <f ca="1" t="array" ref="F107">INDEX(Data_DBD!$F:$F,$A107)</f>
        <v>3</v>
      </c>
      <c r="H107" s="30">
        <v>131</v>
      </c>
      <c r="I107" s="30">
        <v>10</v>
      </c>
      <c r="J107" s="30">
        <v>2</v>
      </c>
      <c r="K107" s="30">
        <v>33</v>
      </c>
      <c r="L107" s="30">
        <v>0</v>
      </c>
      <c r="M107" s="30">
        <v>3</v>
      </c>
    </row>
    <row r="108" spans="1:13">
      <c r="A108" s="30">
        <f ca="1" t="shared" si="1"/>
        <v>149</v>
      </c>
      <c r="B108" s="30">
        <f ca="1" t="array" ref="B108">INDEX(Data_DBD!$B:$B,$A108)</f>
        <v>19</v>
      </c>
      <c r="C108" s="30">
        <f ca="1" t="array" ref="C108">INDEX(Data_DBD!$C:$C,$A108)</f>
        <v>5</v>
      </c>
      <c r="D108" s="30">
        <f ca="1" t="array" ref="D108">INDEX(Data_DBD!$D:$D,$A108)</f>
        <v>21</v>
      </c>
      <c r="E108" s="30">
        <f ca="1" t="array" ref="E108">INDEX(Data_DBD!$E:$E,$A108)</f>
        <v>0</v>
      </c>
      <c r="F108" s="30">
        <f ca="1" t="array" ref="F108">INDEX(Data_DBD!$F:$F,$A108)</f>
        <v>3</v>
      </c>
      <c r="H108" s="30">
        <v>157</v>
      </c>
      <c r="I108" s="30">
        <v>15</v>
      </c>
      <c r="J108" s="30">
        <v>4</v>
      </c>
      <c r="K108" s="30">
        <v>21</v>
      </c>
      <c r="L108" s="30">
        <v>1</v>
      </c>
      <c r="M108" s="30">
        <v>3</v>
      </c>
    </row>
    <row r="109" spans="1:13">
      <c r="A109" s="30">
        <f ca="1" t="shared" si="1"/>
        <v>23</v>
      </c>
      <c r="B109" s="30">
        <f ca="1" t="array" ref="B109">INDEX(Data_DBD!$B:$B,$A109)</f>
        <v>28</v>
      </c>
      <c r="C109" s="30">
        <f ca="1" t="array" ref="C109">INDEX(Data_DBD!$C:$C,$A109)</f>
        <v>4</v>
      </c>
      <c r="D109" s="30">
        <f ca="1" t="array" ref="D109">INDEX(Data_DBD!$D:$D,$A109)</f>
        <v>14</v>
      </c>
      <c r="E109" s="30">
        <f ca="1" t="array" ref="E109">INDEX(Data_DBD!$E:$E,$A109)</f>
        <v>1</v>
      </c>
      <c r="F109" s="30">
        <f ca="1" t="array" ref="F109">INDEX(Data_DBD!$F:$F,$A109)</f>
        <v>2</v>
      </c>
      <c r="H109" s="30">
        <v>114</v>
      </c>
      <c r="I109" s="30">
        <v>14</v>
      </c>
      <c r="J109" s="30">
        <v>2</v>
      </c>
      <c r="K109" s="30">
        <v>33</v>
      </c>
      <c r="L109" s="30">
        <v>1</v>
      </c>
      <c r="M109" s="30">
        <v>3</v>
      </c>
    </row>
    <row r="110" spans="1:13">
      <c r="A110" s="30">
        <f ca="1" t="shared" si="1"/>
        <v>54</v>
      </c>
      <c r="B110" s="30">
        <f ca="1" t="array" ref="B110">INDEX(Data_DBD!$B:$B,$A110)</f>
        <v>7</v>
      </c>
      <c r="C110" s="30">
        <f ca="1" t="array" ref="C110">INDEX(Data_DBD!$C:$C,$A110)</f>
        <v>3</v>
      </c>
      <c r="D110" s="30">
        <f ca="1" t="array" ref="D110">INDEX(Data_DBD!$D:$D,$A110)</f>
        <v>15</v>
      </c>
      <c r="E110" s="30">
        <f ca="1" t="array" ref="E110">INDEX(Data_DBD!$E:$E,$A110)</f>
        <v>0</v>
      </c>
      <c r="F110" s="30">
        <f ca="1" t="array" ref="F110">INDEX(Data_DBD!$F:$F,$A110)</f>
        <v>2</v>
      </c>
      <c r="H110" s="30">
        <v>89</v>
      </c>
      <c r="I110" s="30">
        <v>32</v>
      </c>
      <c r="J110" s="30">
        <v>4</v>
      </c>
      <c r="K110" s="30">
        <v>13</v>
      </c>
      <c r="L110" s="30">
        <v>0</v>
      </c>
      <c r="M110" s="30">
        <v>2</v>
      </c>
    </row>
    <row r="111" spans="1:13">
      <c r="A111" s="30">
        <f ca="1" t="shared" si="1"/>
        <v>81</v>
      </c>
      <c r="B111" s="30">
        <f ca="1" t="array" ref="B111">INDEX(Data_DBD!$B:$B,$A111)</f>
        <v>23</v>
      </c>
      <c r="C111" s="30">
        <f ca="1" t="array" ref="C111">INDEX(Data_DBD!$C:$C,$A111)</f>
        <v>5</v>
      </c>
      <c r="D111" s="30">
        <f ca="1" t="array" ref="D111">INDEX(Data_DBD!$D:$D,$A111)</f>
        <v>13</v>
      </c>
      <c r="E111" s="30">
        <f ca="1" t="array" ref="E111">INDEX(Data_DBD!$E:$E,$A111)</f>
        <v>1</v>
      </c>
      <c r="F111" s="30">
        <f ca="1" t="array" ref="F111">INDEX(Data_DBD!$F:$F,$A111)</f>
        <v>2</v>
      </c>
      <c r="H111" s="30">
        <v>94</v>
      </c>
      <c r="I111" s="30">
        <v>12</v>
      </c>
      <c r="J111" s="30">
        <v>4</v>
      </c>
      <c r="K111" s="30">
        <v>18</v>
      </c>
      <c r="L111" s="30">
        <v>0</v>
      </c>
      <c r="M111" s="30">
        <v>3</v>
      </c>
    </row>
    <row r="112" spans="1:13">
      <c r="A112" s="30">
        <f ca="1" t="shared" si="1"/>
        <v>59</v>
      </c>
      <c r="B112" s="30">
        <f ca="1" t="array" ref="B112">INDEX(Data_DBD!$B:$B,$A112)</f>
        <v>28</v>
      </c>
      <c r="C112" s="30">
        <f ca="1" t="array" ref="C112">INDEX(Data_DBD!$C:$C,$A112)</f>
        <v>4</v>
      </c>
      <c r="D112" s="30">
        <f ca="1" t="array" ref="D112">INDEX(Data_DBD!$D:$D,$A112)</f>
        <v>15</v>
      </c>
      <c r="E112" s="30">
        <f ca="1" t="array" ref="E112">INDEX(Data_DBD!$E:$E,$A112)</f>
        <v>0</v>
      </c>
      <c r="F112" s="30">
        <f ca="1" t="array" ref="F112">INDEX(Data_DBD!$F:$F,$A112)</f>
        <v>2</v>
      </c>
      <c r="H112" s="30">
        <v>89</v>
      </c>
      <c r="I112" s="30">
        <v>32</v>
      </c>
      <c r="J112" s="30">
        <v>4</v>
      </c>
      <c r="K112" s="30">
        <v>13</v>
      </c>
      <c r="L112" s="30">
        <v>0</v>
      </c>
      <c r="M112" s="30">
        <v>2</v>
      </c>
    </row>
    <row r="113" spans="1:13">
      <c r="A113" s="30">
        <f ca="1" t="shared" si="1"/>
        <v>72</v>
      </c>
      <c r="B113" s="30">
        <f ca="1" t="array" ref="B113">INDEX(Data_DBD!$B:$B,$A113)</f>
        <v>3</v>
      </c>
      <c r="C113" s="30">
        <f ca="1" t="array" ref="C113">INDEX(Data_DBD!$C:$C,$A113)</f>
        <v>5</v>
      </c>
      <c r="D113" s="30">
        <f ca="1" t="array" ref="D113">INDEX(Data_DBD!$D:$D,$A113)</f>
        <v>10</v>
      </c>
      <c r="E113" s="30">
        <f ca="1" t="array" ref="E113">INDEX(Data_DBD!$E:$E,$A113)</f>
        <v>1</v>
      </c>
      <c r="F113" s="30">
        <f ca="1" t="array" ref="F113">INDEX(Data_DBD!$F:$F,$A113)</f>
        <v>2</v>
      </c>
      <c r="H113" s="30">
        <v>94</v>
      </c>
      <c r="I113" s="30">
        <v>12</v>
      </c>
      <c r="J113" s="30">
        <v>4</v>
      </c>
      <c r="K113" s="30">
        <v>18</v>
      </c>
      <c r="L113" s="30">
        <v>0</v>
      </c>
      <c r="M113" s="30">
        <v>3</v>
      </c>
    </row>
    <row r="114" spans="1:13">
      <c r="A114" s="30">
        <f ca="1" t="shared" si="1"/>
        <v>62</v>
      </c>
      <c r="B114" s="30">
        <f ca="1" t="array" ref="B114">INDEX(Data_DBD!$B:$B,$A114)</f>
        <v>43</v>
      </c>
      <c r="C114" s="30">
        <f ca="1" t="array" ref="C114">INDEX(Data_DBD!$C:$C,$A114)</f>
        <v>4</v>
      </c>
      <c r="D114" s="30">
        <f ca="1" t="array" ref="D114">INDEX(Data_DBD!$D:$D,$A114)</f>
        <v>15</v>
      </c>
      <c r="E114" s="30">
        <f ca="1" t="array" ref="E114">INDEX(Data_DBD!$E:$E,$A114)</f>
        <v>1</v>
      </c>
      <c r="F114" s="30">
        <f ca="1" t="array" ref="F114">INDEX(Data_DBD!$F:$F,$A114)</f>
        <v>2</v>
      </c>
      <c r="H114" s="30">
        <v>47</v>
      </c>
      <c r="I114" s="30">
        <v>19</v>
      </c>
      <c r="J114" s="30">
        <v>2</v>
      </c>
      <c r="K114" s="30">
        <v>13</v>
      </c>
      <c r="L114" s="30">
        <v>0</v>
      </c>
      <c r="M114" s="30">
        <v>2</v>
      </c>
    </row>
    <row r="115" spans="1:13">
      <c r="A115" s="30">
        <f ca="1" t="shared" si="1"/>
        <v>142</v>
      </c>
      <c r="B115" s="30">
        <f ca="1" t="array" ref="B115">INDEX(Data_DBD!$B:$B,$A115)</f>
        <v>39</v>
      </c>
      <c r="C115" s="30">
        <f ca="1" t="array" ref="C115">INDEX(Data_DBD!$C:$C,$A115)</f>
        <v>2</v>
      </c>
      <c r="D115" s="30">
        <f ca="1" t="array" ref="D115">INDEX(Data_DBD!$D:$D,$A115)</f>
        <v>21</v>
      </c>
      <c r="E115" s="30">
        <f ca="1" t="array" ref="E115">INDEX(Data_DBD!$E:$E,$A115)</f>
        <v>1</v>
      </c>
      <c r="F115" s="30">
        <f ca="1" t="array" ref="F115">INDEX(Data_DBD!$F:$F,$A115)</f>
        <v>3</v>
      </c>
      <c r="H115" s="30">
        <v>143</v>
      </c>
      <c r="I115" s="30">
        <v>20</v>
      </c>
      <c r="J115" s="30">
        <v>4</v>
      </c>
      <c r="K115" s="30">
        <v>21</v>
      </c>
      <c r="L115" s="30">
        <v>1</v>
      </c>
      <c r="M115" s="30">
        <v>3</v>
      </c>
    </row>
    <row r="116" spans="1:13">
      <c r="A116" s="30">
        <f ca="1" t="shared" si="1"/>
        <v>127</v>
      </c>
      <c r="B116" s="30">
        <f ca="1" t="array" ref="B116">INDEX(Data_DBD!$B:$B,$A116)</f>
        <v>21</v>
      </c>
      <c r="C116" s="30">
        <f ca="1" t="array" ref="C116">INDEX(Data_DBD!$C:$C,$A116)</f>
        <v>2</v>
      </c>
      <c r="D116" s="30">
        <f ca="1" t="array" ref="D116">INDEX(Data_DBD!$D:$D,$A116)</f>
        <v>33</v>
      </c>
      <c r="E116" s="30">
        <f ca="1" t="array" ref="E116">INDEX(Data_DBD!$E:$E,$A116)</f>
        <v>0</v>
      </c>
      <c r="F116" s="30">
        <f ca="1" t="array" ref="F116">INDEX(Data_DBD!$F:$F,$A116)</f>
        <v>3</v>
      </c>
      <c r="H116" s="30">
        <v>163</v>
      </c>
      <c r="I116" s="30">
        <v>34</v>
      </c>
      <c r="J116" s="30">
        <v>4</v>
      </c>
      <c r="K116" s="30">
        <v>3</v>
      </c>
      <c r="L116" s="30">
        <v>1</v>
      </c>
      <c r="M116" s="30">
        <v>1</v>
      </c>
    </row>
    <row r="117" spans="1:13">
      <c r="A117" s="30">
        <f ca="1" t="shared" si="1"/>
        <v>17</v>
      </c>
      <c r="B117" s="30">
        <f ca="1" t="array" ref="B117">INDEX(Data_DBD!$B:$B,$A117)</f>
        <v>2</v>
      </c>
      <c r="C117" s="30">
        <f ca="1" t="array" ref="C117">INDEX(Data_DBD!$C:$C,$A117)</f>
        <v>3</v>
      </c>
      <c r="D117" s="30">
        <f ca="1" t="array" ref="D117">INDEX(Data_DBD!$D:$D,$A117)</f>
        <v>7</v>
      </c>
      <c r="E117" s="30">
        <f ca="1" t="array" ref="E117">INDEX(Data_DBD!$E:$E,$A117)</f>
        <v>0</v>
      </c>
      <c r="F117" s="30">
        <f ca="1" t="array" ref="F117">INDEX(Data_DBD!$F:$F,$A117)</f>
        <v>1</v>
      </c>
      <c r="H117" s="30">
        <v>153</v>
      </c>
      <c r="I117" s="30">
        <v>73</v>
      </c>
      <c r="J117" s="30">
        <v>7</v>
      </c>
      <c r="K117" s="30">
        <v>21</v>
      </c>
      <c r="L117" s="30">
        <v>1</v>
      </c>
      <c r="M117" s="30">
        <v>3</v>
      </c>
    </row>
    <row r="118" spans="1:13">
      <c r="A118" s="30">
        <f ca="1" t="shared" si="1"/>
        <v>89</v>
      </c>
      <c r="B118" s="30">
        <f ca="1" t="array" ref="B118">INDEX(Data_DBD!$B:$B,$A118)</f>
        <v>32</v>
      </c>
      <c r="C118" s="30">
        <f ca="1" t="array" ref="C118">INDEX(Data_DBD!$C:$C,$A118)</f>
        <v>4</v>
      </c>
      <c r="D118" s="30">
        <f ca="1" t="array" ref="D118">INDEX(Data_DBD!$D:$D,$A118)</f>
        <v>13</v>
      </c>
      <c r="E118" s="30">
        <f ca="1" t="array" ref="E118">INDEX(Data_DBD!$E:$E,$A118)</f>
        <v>0</v>
      </c>
      <c r="F118" s="30">
        <f ca="1" t="array" ref="F118">INDEX(Data_DBD!$F:$F,$A118)</f>
        <v>2</v>
      </c>
      <c r="H118" s="30">
        <v>130</v>
      </c>
      <c r="I118" s="30">
        <v>12</v>
      </c>
      <c r="J118" s="30">
        <v>4</v>
      </c>
      <c r="K118" s="30">
        <v>33</v>
      </c>
      <c r="L118" s="30">
        <v>0</v>
      </c>
      <c r="M118" s="30">
        <v>3</v>
      </c>
    </row>
    <row r="119" spans="1:13">
      <c r="A119" s="30">
        <f ca="1" t="shared" si="1"/>
        <v>45</v>
      </c>
      <c r="B119" s="30">
        <f ca="1" t="array" ref="B119">INDEX(Data_DBD!$B:$B,$A119)</f>
        <v>75</v>
      </c>
      <c r="C119" s="30">
        <f ca="1" t="array" ref="C119">INDEX(Data_DBD!$C:$C,$A119)</f>
        <v>3</v>
      </c>
      <c r="D119" s="30">
        <f ca="1" t="array" ref="D119">INDEX(Data_DBD!$D:$D,$A119)</f>
        <v>13</v>
      </c>
      <c r="E119" s="30">
        <f ca="1" t="array" ref="E119">INDEX(Data_DBD!$E:$E,$A119)</f>
        <v>1</v>
      </c>
      <c r="F119" s="30">
        <f ca="1" t="array" ref="F119">INDEX(Data_DBD!$F:$F,$A119)</f>
        <v>2</v>
      </c>
      <c r="H119" s="30">
        <v>161</v>
      </c>
      <c r="I119" s="30">
        <v>12</v>
      </c>
      <c r="J119" s="30">
        <v>3</v>
      </c>
      <c r="K119" s="30">
        <v>21</v>
      </c>
      <c r="L119" s="30">
        <v>1</v>
      </c>
      <c r="M119" s="30">
        <v>3</v>
      </c>
    </row>
    <row r="120" spans="1:13">
      <c r="A120" s="30">
        <f ca="1" t="shared" si="1"/>
        <v>158</v>
      </c>
      <c r="B120" s="30">
        <f ca="1" t="array" ref="B120">INDEX(Data_DBD!$B:$B,$A120)</f>
        <v>5</v>
      </c>
      <c r="C120" s="30">
        <f ca="1" t="array" ref="C120">INDEX(Data_DBD!$C:$C,$A120)</f>
        <v>2</v>
      </c>
      <c r="D120" s="30">
        <f ca="1" t="array" ref="D120">INDEX(Data_DBD!$D:$D,$A120)</f>
        <v>21</v>
      </c>
      <c r="E120" s="30">
        <f ca="1" t="array" ref="E120">INDEX(Data_DBD!$E:$E,$A120)</f>
        <v>0</v>
      </c>
      <c r="F120" s="30">
        <f ca="1" t="array" ref="F120">INDEX(Data_DBD!$F:$F,$A120)</f>
        <v>3</v>
      </c>
      <c r="H120" s="30">
        <v>60</v>
      </c>
      <c r="I120" s="30">
        <v>68</v>
      </c>
      <c r="J120" s="30">
        <v>4</v>
      </c>
      <c r="K120" s="30">
        <v>15</v>
      </c>
      <c r="L120" s="30">
        <v>0</v>
      </c>
      <c r="M120" s="30">
        <v>2</v>
      </c>
    </row>
    <row r="121" spans="1:13">
      <c r="A121" s="30">
        <f ca="1" t="shared" si="1"/>
        <v>95</v>
      </c>
      <c r="B121" s="30">
        <f ca="1" t="array" ref="B121">INDEX(Data_DBD!$B:$B,$A121)</f>
        <v>11</v>
      </c>
      <c r="C121" s="30">
        <f ca="1" t="array" ref="C121">INDEX(Data_DBD!$C:$C,$A121)</f>
        <v>3</v>
      </c>
      <c r="D121" s="30">
        <f ca="1" t="array" ref="D121">INDEX(Data_DBD!$D:$D,$A121)</f>
        <v>18</v>
      </c>
      <c r="E121" s="30">
        <f ca="1" t="array" ref="E121">INDEX(Data_DBD!$E:$E,$A121)</f>
        <v>1</v>
      </c>
      <c r="F121" s="30">
        <f ca="1" t="array" ref="F121">INDEX(Data_DBD!$F:$F,$A121)</f>
        <v>3</v>
      </c>
      <c r="H121" s="30">
        <v>54</v>
      </c>
      <c r="I121" s="30">
        <v>7</v>
      </c>
      <c r="J121" s="30">
        <v>3</v>
      </c>
      <c r="K121" s="30">
        <v>15</v>
      </c>
      <c r="L121" s="30">
        <v>0</v>
      </c>
      <c r="M121" s="30">
        <v>2</v>
      </c>
    </row>
    <row r="122" spans="1:13">
      <c r="A122" s="30">
        <f ca="1" t="shared" si="1"/>
        <v>5</v>
      </c>
      <c r="B122" s="30">
        <f ca="1" t="array" ref="B122">INDEX(Data_DBD!$B:$B,$A122)</f>
        <v>18</v>
      </c>
      <c r="C122" s="30">
        <f ca="1" t="array" ref="C122">INDEX(Data_DBD!$C:$C,$A122)</f>
        <v>2</v>
      </c>
      <c r="D122" s="30">
        <f ca="1" t="array" ref="D122">INDEX(Data_DBD!$D:$D,$A122)</f>
        <v>12</v>
      </c>
      <c r="E122" s="30">
        <f ca="1" t="array" ref="E122">INDEX(Data_DBD!$E:$E,$A122)</f>
        <v>1</v>
      </c>
      <c r="F122" s="30">
        <f ca="1" t="array" ref="F122">INDEX(Data_DBD!$F:$F,$A122)</f>
        <v>2</v>
      </c>
      <c r="H122" s="30">
        <v>19</v>
      </c>
      <c r="I122" s="30">
        <v>8</v>
      </c>
      <c r="J122" s="30">
        <v>4</v>
      </c>
      <c r="K122" s="30">
        <v>7</v>
      </c>
      <c r="L122" s="30">
        <v>0</v>
      </c>
      <c r="M122" s="30">
        <v>1</v>
      </c>
    </row>
    <row r="123" spans="1:13">
      <c r="A123" s="30">
        <f ca="1" t="shared" si="1"/>
        <v>42</v>
      </c>
      <c r="B123" s="30">
        <f ca="1" t="array" ref="B123">INDEX(Data_DBD!$B:$B,$A123)</f>
        <v>21</v>
      </c>
      <c r="C123" s="30">
        <f ca="1" t="array" ref="C123">INDEX(Data_DBD!$C:$C,$A123)</f>
        <v>5</v>
      </c>
      <c r="D123" s="30">
        <f ca="1" t="array" ref="D123">INDEX(Data_DBD!$D:$D,$A123)</f>
        <v>13</v>
      </c>
      <c r="E123" s="30">
        <f ca="1" t="array" ref="E123">INDEX(Data_DBD!$E:$E,$A123)</f>
        <v>1</v>
      </c>
      <c r="F123" s="30">
        <f ca="1" t="array" ref="F123">INDEX(Data_DBD!$F:$F,$A123)</f>
        <v>2</v>
      </c>
      <c r="H123" s="30">
        <v>102</v>
      </c>
      <c r="I123" s="30">
        <v>41</v>
      </c>
      <c r="J123" s="30">
        <v>4</v>
      </c>
      <c r="K123" s="30">
        <v>18</v>
      </c>
      <c r="L123" s="30">
        <v>0</v>
      </c>
      <c r="M123" s="30">
        <v>3</v>
      </c>
    </row>
    <row r="124" spans="1:13">
      <c r="A124" s="30">
        <f ca="1" t="shared" si="1"/>
        <v>147</v>
      </c>
      <c r="B124" s="30">
        <f ca="1" t="array" ref="B124">INDEX(Data_DBD!$B:$B,$A124)</f>
        <v>66</v>
      </c>
      <c r="C124" s="30">
        <f ca="1" t="array" ref="C124">INDEX(Data_DBD!$C:$C,$A124)</f>
        <v>10</v>
      </c>
      <c r="D124" s="30">
        <f ca="1" t="array" ref="D124">INDEX(Data_DBD!$D:$D,$A124)</f>
        <v>21</v>
      </c>
      <c r="E124" s="30">
        <f ca="1" t="array" ref="E124">INDEX(Data_DBD!$E:$E,$A124)</f>
        <v>1</v>
      </c>
      <c r="F124" s="30">
        <f ca="1" t="array" ref="F124">INDEX(Data_DBD!$F:$F,$A124)</f>
        <v>3</v>
      </c>
      <c r="H124" s="30">
        <v>21</v>
      </c>
      <c r="I124" s="30">
        <v>10</v>
      </c>
      <c r="J124" s="30">
        <v>5</v>
      </c>
      <c r="K124" s="30">
        <v>14</v>
      </c>
      <c r="L124" s="30">
        <v>1</v>
      </c>
      <c r="M124" s="30">
        <v>2</v>
      </c>
    </row>
    <row r="125" spans="1:13">
      <c r="A125" s="30">
        <f ca="1" t="shared" si="1"/>
        <v>152</v>
      </c>
      <c r="B125" s="30">
        <f ca="1" t="array" ref="B125">INDEX(Data_DBD!$B:$B,$A125)</f>
        <v>47</v>
      </c>
      <c r="C125" s="30">
        <f ca="1" t="array" ref="C125">INDEX(Data_DBD!$C:$C,$A125)</f>
        <v>3</v>
      </c>
      <c r="D125" s="30">
        <f ca="1" t="array" ref="D125">INDEX(Data_DBD!$D:$D,$A125)</f>
        <v>21</v>
      </c>
      <c r="E125" s="30">
        <f ca="1" t="array" ref="E125">INDEX(Data_DBD!$E:$E,$A125)</f>
        <v>1</v>
      </c>
      <c r="F125" s="30">
        <f ca="1" t="array" ref="F125">INDEX(Data_DBD!$F:$F,$A125)</f>
        <v>3</v>
      </c>
      <c r="H125" s="30">
        <v>145</v>
      </c>
      <c r="I125" s="30">
        <v>28</v>
      </c>
      <c r="J125" s="30">
        <v>4</v>
      </c>
      <c r="K125" s="30">
        <v>21</v>
      </c>
      <c r="L125" s="30">
        <v>1</v>
      </c>
      <c r="M125" s="30">
        <v>3</v>
      </c>
    </row>
    <row r="126" spans="1:13">
      <c r="A126" s="30">
        <f ca="1" t="shared" si="1"/>
        <v>20</v>
      </c>
      <c r="B126" s="30">
        <f ca="1" t="array" ref="B126">INDEX(Data_DBD!$B:$B,$A126)</f>
        <v>15</v>
      </c>
      <c r="C126" s="30">
        <f ca="1" t="array" ref="C126">INDEX(Data_DBD!$C:$C,$A126)</f>
        <v>5</v>
      </c>
      <c r="D126" s="30">
        <f ca="1" t="array" ref="D126">INDEX(Data_DBD!$D:$D,$A126)</f>
        <v>7</v>
      </c>
      <c r="E126" s="30">
        <f ca="1" t="array" ref="E126">INDEX(Data_DBD!$E:$E,$A126)</f>
        <v>0</v>
      </c>
      <c r="F126" s="30">
        <f ca="1" t="array" ref="F126">INDEX(Data_DBD!$F:$F,$A126)</f>
        <v>1</v>
      </c>
      <c r="H126" s="30">
        <v>117</v>
      </c>
      <c r="I126" s="30">
        <v>49</v>
      </c>
      <c r="J126" s="30">
        <v>4</v>
      </c>
      <c r="K126" s="30">
        <v>33</v>
      </c>
      <c r="L126" s="30">
        <v>1</v>
      </c>
      <c r="M126" s="30">
        <v>3</v>
      </c>
    </row>
    <row r="127" spans="1:13">
      <c r="A127" s="30">
        <f ca="1" t="shared" si="1"/>
        <v>128</v>
      </c>
      <c r="B127" s="30">
        <f ca="1" t="array" ref="B127">INDEX(Data_DBD!$B:$B,$A127)</f>
        <v>38</v>
      </c>
      <c r="C127" s="30">
        <f ca="1" t="array" ref="C127">INDEX(Data_DBD!$C:$C,$A127)</f>
        <v>2</v>
      </c>
      <c r="D127" s="30">
        <f ca="1" t="array" ref="D127">INDEX(Data_DBD!$D:$D,$A127)</f>
        <v>33</v>
      </c>
      <c r="E127" s="30">
        <f ca="1" t="array" ref="E127">INDEX(Data_DBD!$E:$E,$A127)</f>
        <v>0</v>
      </c>
      <c r="F127" s="30">
        <f ca="1" t="array" ref="F127">INDEX(Data_DBD!$F:$F,$A127)</f>
        <v>3</v>
      </c>
      <c r="H127" s="30">
        <v>152</v>
      </c>
      <c r="I127" s="30">
        <v>47</v>
      </c>
      <c r="J127" s="30">
        <v>3</v>
      </c>
      <c r="K127" s="30">
        <v>21</v>
      </c>
      <c r="L127" s="30">
        <v>1</v>
      </c>
      <c r="M127" s="30">
        <v>3</v>
      </c>
    </row>
    <row r="128" spans="1:13">
      <c r="A128" s="30">
        <f ca="1" t="shared" si="1"/>
        <v>53</v>
      </c>
      <c r="B128" s="30">
        <f ca="1" t="array" ref="B128">INDEX(Data_DBD!$B:$B,$A128)</f>
        <v>35</v>
      </c>
      <c r="C128" s="30">
        <f ca="1" t="array" ref="C128">INDEX(Data_DBD!$C:$C,$A128)</f>
        <v>4</v>
      </c>
      <c r="D128" s="30">
        <f ca="1" t="array" ref="D128">INDEX(Data_DBD!$D:$D,$A128)</f>
        <v>15</v>
      </c>
      <c r="E128" s="30">
        <f ca="1" t="array" ref="E128">INDEX(Data_DBD!$E:$E,$A128)</f>
        <v>1</v>
      </c>
      <c r="F128" s="30">
        <f ca="1" t="array" ref="F128">INDEX(Data_DBD!$F:$F,$A128)</f>
        <v>2</v>
      </c>
      <c r="H128" s="30">
        <v>71</v>
      </c>
      <c r="I128" s="30">
        <v>84</v>
      </c>
      <c r="J128" s="30">
        <v>3</v>
      </c>
      <c r="K128" s="30">
        <v>10</v>
      </c>
      <c r="L128" s="30">
        <v>0</v>
      </c>
      <c r="M128" s="30">
        <v>2</v>
      </c>
    </row>
    <row r="129" spans="1:13">
      <c r="A129" s="30">
        <f ca="1" t="shared" si="1"/>
        <v>162</v>
      </c>
      <c r="B129" s="30">
        <f ca="1" t="array" ref="B129">INDEX(Data_DBD!$B:$B,$A129)</f>
        <v>22</v>
      </c>
      <c r="C129" s="30">
        <f ca="1" t="array" ref="C129">INDEX(Data_DBD!$C:$C,$A129)</f>
        <v>3</v>
      </c>
      <c r="D129" s="30">
        <f ca="1" t="array" ref="D129">INDEX(Data_DBD!$D:$D,$A129)</f>
        <v>3</v>
      </c>
      <c r="E129" s="30">
        <f ca="1" t="array" ref="E129">INDEX(Data_DBD!$E:$E,$A129)</f>
        <v>1</v>
      </c>
      <c r="F129" s="30">
        <f ca="1" t="array" ref="F129">INDEX(Data_DBD!$F:$F,$A129)</f>
        <v>1</v>
      </c>
      <c r="H129" s="30">
        <v>46</v>
      </c>
      <c r="I129" s="30">
        <v>62</v>
      </c>
      <c r="J129" s="30">
        <v>2</v>
      </c>
      <c r="K129" s="30">
        <v>13</v>
      </c>
      <c r="L129" s="30">
        <v>0</v>
      </c>
      <c r="M129" s="30">
        <v>2</v>
      </c>
    </row>
    <row r="130" spans="1:13">
      <c r="A130" s="30">
        <f ca="1" t="shared" si="1"/>
        <v>5</v>
      </c>
      <c r="B130" s="30">
        <f ca="1" t="array" ref="B130">INDEX(Data_DBD!$B:$B,$A130)</f>
        <v>18</v>
      </c>
      <c r="C130" s="30">
        <f ca="1" t="array" ref="C130">INDEX(Data_DBD!$C:$C,$A130)</f>
        <v>2</v>
      </c>
      <c r="D130" s="30">
        <f ca="1" t="array" ref="D130">INDEX(Data_DBD!$D:$D,$A130)</f>
        <v>12</v>
      </c>
      <c r="E130" s="30">
        <f ca="1" t="array" ref="E130">INDEX(Data_DBD!$E:$E,$A130)</f>
        <v>1</v>
      </c>
      <c r="F130" s="30">
        <f ca="1" t="array" ref="F130">INDEX(Data_DBD!$F:$F,$A130)</f>
        <v>2</v>
      </c>
      <c r="H130" s="30">
        <v>24</v>
      </c>
      <c r="I130" s="30">
        <v>60</v>
      </c>
      <c r="J130" s="30">
        <v>4</v>
      </c>
      <c r="K130" s="30">
        <v>14</v>
      </c>
      <c r="L130" s="30">
        <v>0</v>
      </c>
      <c r="M130" s="30">
        <v>2</v>
      </c>
    </row>
    <row r="131" spans="1:13">
      <c r="A131" s="30">
        <f ca="1" t="shared" ref="A131:A164" si="2">RANDBETWEEN(2,164)</f>
        <v>104</v>
      </c>
      <c r="B131" s="30">
        <f ca="1" t="array" ref="B131">INDEX(Data_DBD!$B:$B,$A131)</f>
        <v>37</v>
      </c>
      <c r="C131" s="30">
        <f ca="1" t="array" ref="C131">INDEX(Data_DBD!$C:$C,$A131)</f>
        <v>4</v>
      </c>
      <c r="D131" s="30">
        <f ca="1" t="array" ref="D131">INDEX(Data_DBD!$D:$D,$A131)</f>
        <v>18</v>
      </c>
      <c r="E131" s="30">
        <f ca="1" t="array" ref="E131">INDEX(Data_DBD!$E:$E,$A131)</f>
        <v>1</v>
      </c>
      <c r="F131" s="30">
        <f ca="1" t="array" ref="F131">INDEX(Data_DBD!$F:$F,$A131)</f>
        <v>3</v>
      </c>
      <c r="H131" s="30">
        <v>95</v>
      </c>
      <c r="I131" s="30">
        <v>11</v>
      </c>
      <c r="J131" s="30">
        <v>3</v>
      </c>
      <c r="K131" s="30">
        <v>18</v>
      </c>
      <c r="L131" s="30">
        <v>1</v>
      </c>
      <c r="M131" s="30">
        <v>3</v>
      </c>
    </row>
    <row r="132" spans="1:13">
      <c r="A132" s="30">
        <f ca="1" t="shared" si="2"/>
        <v>27</v>
      </c>
      <c r="B132" s="30">
        <f ca="1" t="array" ref="B132">INDEX(Data_DBD!$B:$B,$A132)</f>
        <v>37</v>
      </c>
      <c r="C132" s="30">
        <f ca="1" t="array" ref="C132">INDEX(Data_DBD!$C:$C,$A132)</f>
        <v>4</v>
      </c>
      <c r="D132" s="30">
        <f ca="1" t="array" ref="D132">INDEX(Data_DBD!$D:$D,$A132)</f>
        <v>14</v>
      </c>
      <c r="E132" s="30">
        <f ca="1" t="array" ref="E132">INDEX(Data_DBD!$E:$E,$A132)</f>
        <v>1</v>
      </c>
      <c r="F132" s="30">
        <f ca="1" t="array" ref="F132">INDEX(Data_DBD!$F:$F,$A132)</f>
        <v>2</v>
      </c>
      <c r="H132" s="30">
        <v>87</v>
      </c>
      <c r="I132" s="30">
        <v>21</v>
      </c>
      <c r="J132" s="30">
        <v>3</v>
      </c>
      <c r="K132" s="30">
        <v>13</v>
      </c>
      <c r="L132" s="30">
        <v>0</v>
      </c>
      <c r="M132" s="30">
        <v>2</v>
      </c>
    </row>
    <row r="133" spans="1:13">
      <c r="A133" s="30">
        <f ca="1" t="shared" si="2"/>
        <v>50</v>
      </c>
      <c r="B133" s="30">
        <f ca="1" t="array" ref="B133">INDEX(Data_DBD!$B:$B,$A133)</f>
        <v>19</v>
      </c>
      <c r="C133" s="30">
        <f ca="1" t="array" ref="C133">INDEX(Data_DBD!$C:$C,$A133)</f>
        <v>5</v>
      </c>
      <c r="D133" s="30">
        <f ca="1" t="array" ref="D133">INDEX(Data_DBD!$D:$D,$A133)</f>
        <v>13</v>
      </c>
      <c r="E133" s="30">
        <f ca="1" t="array" ref="E133">INDEX(Data_DBD!$E:$E,$A133)</f>
        <v>0</v>
      </c>
      <c r="F133" s="30">
        <f ca="1" t="array" ref="F133">INDEX(Data_DBD!$F:$F,$A133)</f>
        <v>2</v>
      </c>
      <c r="H133" s="30">
        <v>13</v>
      </c>
      <c r="I133" s="30">
        <v>47</v>
      </c>
      <c r="J133" s="30">
        <v>2</v>
      </c>
      <c r="K133" s="30">
        <v>12</v>
      </c>
      <c r="L133" s="30">
        <v>0</v>
      </c>
      <c r="M133" s="30">
        <v>2</v>
      </c>
    </row>
    <row r="134" spans="1:13">
      <c r="A134" s="30">
        <f ca="1" t="shared" si="2"/>
        <v>129</v>
      </c>
      <c r="B134" s="30">
        <f ca="1" t="array" ref="B134">INDEX(Data_DBD!$B:$B,$A134)</f>
        <v>4.5</v>
      </c>
      <c r="C134" s="30">
        <f ca="1" t="array" ref="C134">INDEX(Data_DBD!$C:$C,$A134)</f>
        <v>3</v>
      </c>
      <c r="D134" s="30">
        <f ca="1" t="array" ref="D134">INDEX(Data_DBD!$D:$D,$A134)</f>
        <v>33</v>
      </c>
      <c r="E134" s="30">
        <f ca="1" t="array" ref="E134">INDEX(Data_DBD!$E:$E,$A134)</f>
        <v>0</v>
      </c>
      <c r="F134" s="30">
        <f ca="1" t="array" ref="F134">INDEX(Data_DBD!$F:$F,$A134)</f>
        <v>3</v>
      </c>
      <c r="H134" s="30">
        <v>59</v>
      </c>
      <c r="I134" s="30">
        <v>28</v>
      </c>
      <c r="J134" s="30">
        <v>4</v>
      </c>
      <c r="K134" s="30">
        <v>15</v>
      </c>
      <c r="L134" s="30">
        <v>0</v>
      </c>
      <c r="M134" s="30">
        <v>2</v>
      </c>
    </row>
    <row r="135" spans="1:13">
      <c r="A135" s="30">
        <f ca="1" t="shared" si="2"/>
        <v>17</v>
      </c>
      <c r="B135" s="30">
        <f ca="1" t="array" ref="B135">INDEX(Data_DBD!$B:$B,$A135)</f>
        <v>2</v>
      </c>
      <c r="C135" s="30">
        <f ca="1" t="array" ref="C135">INDEX(Data_DBD!$C:$C,$A135)</f>
        <v>3</v>
      </c>
      <c r="D135" s="30">
        <f ca="1" t="array" ref="D135">INDEX(Data_DBD!$D:$D,$A135)</f>
        <v>7</v>
      </c>
      <c r="E135" s="30">
        <f ca="1" t="array" ref="E135">INDEX(Data_DBD!$E:$E,$A135)</f>
        <v>0</v>
      </c>
      <c r="F135" s="30">
        <f ca="1" t="array" ref="F135">INDEX(Data_DBD!$F:$F,$A135)</f>
        <v>1</v>
      </c>
      <c r="H135" s="30">
        <v>63</v>
      </c>
      <c r="I135" s="30">
        <v>25</v>
      </c>
      <c r="J135" s="30">
        <v>3</v>
      </c>
      <c r="K135" s="30">
        <v>15</v>
      </c>
      <c r="L135" s="30">
        <v>0</v>
      </c>
      <c r="M135" s="30">
        <v>2</v>
      </c>
    </row>
    <row r="136" spans="1:13">
      <c r="A136" s="30">
        <f ca="1" t="shared" si="2"/>
        <v>50</v>
      </c>
      <c r="B136" s="30">
        <f ca="1" t="array" ref="B136">INDEX(Data_DBD!$B:$B,$A136)</f>
        <v>19</v>
      </c>
      <c r="C136" s="30">
        <f ca="1" t="array" ref="C136">INDEX(Data_DBD!$C:$C,$A136)</f>
        <v>5</v>
      </c>
      <c r="D136" s="30">
        <f ca="1" t="array" ref="D136">INDEX(Data_DBD!$D:$D,$A136)</f>
        <v>13</v>
      </c>
      <c r="E136" s="30">
        <f ca="1" t="array" ref="E136">INDEX(Data_DBD!$E:$E,$A136)</f>
        <v>0</v>
      </c>
      <c r="F136" s="30">
        <f ca="1" t="array" ref="F136">INDEX(Data_DBD!$F:$F,$A136)</f>
        <v>2</v>
      </c>
      <c r="H136" s="30">
        <v>20</v>
      </c>
      <c r="I136" s="30">
        <v>15</v>
      </c>
      <c r="J136" s="30">
        <v>5</v>
      </c>
      <c r="K136" s="30">
        <v>7</v>
      </c>
      <c r="L136" s="30">
        <v>0</v>
      </c>
      <c r="M136" s="30">
        <v>1</v>
      </c>
    </row>
    <row r="137" spans="1:13">
      <c r="A137" s="30">
        <f ca="1" t="shared" si="2"/>
        <v>113</v>
      </c>
      <c r="B137" s="30">
        <f ca="1" t="array" ref="B137">INDEX(Data_DBD!$B:$B,$A137)</f>
        <v>69</v>
      </c>
      <c r="C137" s="30">
        <f ca="1" t="array" ref="C137">INDEX(Data_DBD!$C:$C,$A137)</f>
        <v>1</v>
      </c>
      <c r="D137" s="30">
        <f ca="1" t="array" ref="D137">INDEX(Data_DBD!$D:$D,$A137)</f>
        <v>33</v>
      </c>
      <c r="E137" s="30">
        <f ca="1" t="array" ref="E137">INDEX(Data_DBD!$E:$E,$A137)</f>
        <v>1</v>
      </c>
      <c r="F137" s="30">
        <f ca="1" t="array" ref="F137">INDEX(Data_DBD!$F:$F,$A137)</f>
        <v>3</v>
      </c>
      <c r="H137" s="30">
        <v>120</v>
      </c>
      <c r="I137" s="30">
        <v>26</v>
      </c>
      <c r="J137" s="30">
        <v>4</v>
      </c>
      <c r="K137" s="30">
        <v>33</v>
      </c>
      <c r="L137" s="30">
        <v>1</v>
      </c>
      <c r="M137" s="30">
        <v>3</v>
      </c>
    </row>
    <row r="138" spans="1:13">
      <c r="A138" s="30">
        <f ca="1" t="shared" si="2"/>
        <v>42</v>
      </c>
      <c r="B138" s="30">
        <f ca="1" t="array" ref="B138">INDEX(Data_DBD!$B:$B,$A138)</f>
        <v>21</v>
      </c>
      <c r="C138" s="30">
        <f ca="1" t="array" ref="C138">INDEX(Data_DBD!$C:$C,$A138)</f>
        <v>5</v>
      </c>
      <c r="D138" s="30">
        <f ca="1" t="array" ref="D138">INDEX(Data_DBD!$D:$D,$A138)</f>
        <v>13</v>
      </c>
      <c r="E138" s="30">
        <f ca="1" t="array" ref="E138">INDEX(Data_DBD!$E:$E,$A138)</f>
        <v>1</v>
      </c>
      <c r="F138" s="30">
        <f ca="1" t="array" ref="F138">INDEX(Data_DBD!$F:$F,$A138)</f>
        <v>2</v>
      </c>
      <c r="H138" s="30">
        <v>52</v>
      </c>
      <c r="I138" s="30">
        <v>59</v>
      </c>
      <c r="J138" s="30">
        <v>4</v>
      </c>
      <c r="K138" s="30">
        <v>15</v>
      </c>
      <c r="L138" s="30">
        <v>1</v>
      </c>
      <c r="M138" s="30">
        <v>2</v>
      </c>
    </row>
    <row r="139" spans="1:13">
      <c r="A139" s="30">
        <f ca="1" t="shared" si="2"/>
        <v>150</v>
      </c>
      <c r="B139" s="30">
        <f ca="1" t="array" ref="B139">INDEX(Data_DBD!$B:$B,$A139)</f>
        <v>61</v>
      </c>
      <c r="C139" s="30">
        <f ca="1" t="array" ref="C139">INDEX(Data_DBD!$C:$C,$A139)</f>
        <v>5</v>
      </c>
      <c r="D139" s="30">
        <f ca="1" t="array" ref="D139">INDEX(Data_DBD!$D:$D,$A139)</f>
        <v>21</v>
      </c>
      <c r="E139" s="30">
        <f ca="1" t="array" ref="E139">INDEX(Data_DBD!$E:$E,$A139)</f>
        <v>1</v>
      </c>
      <c r="F139" s="30">
        <f ca="1" t="array" ref="F139">INDEX(Data_DBD!$F:$F,$A139)</f>
        <v>3</v>
      </c>
      <c r="H139" s="30">
        <v>48</v>
      </c>
      <c r="I139" s="30">
        <v>50</v>
      </c>
      <c r="J139" s="30">
        <v>5</v>
      </c>
      <c r="K139" s="30">
        <v>13</v>
      </c>
      <c r="L139" s="30">
        <v>1</v>
      </c>
      <c r="M139" s="30">
        <v>2</v>
      </c>
    </row>
    <row r="140" spans="1:13">
      <c r="A140" s="30">
        <f ca="1" t="shared" si="2"/>
        <v>150</v>
      </c>
      <c r="B140" s="30">
        <f ca="1" t="array" ref="B140">INDEX(Data_DBD!$B:$B,$A140)</f>
        <v>61</v>
      </c>
      <c r="C140" s="30">
        <f ca="1" t="array" ref="C140">INDEX(Data_DBD!$C:$C,$A140)</f>
        <v>5</v>
      </c>
      <c r="D140" s="30">
        <f ca="1" t="array" ref="D140">INDEX(Data_DBD!$D:$D,$A140)</f>
        <v>21</v>
      </c>
      <c r="E140" s="30">
        <f ca="1" t="array" ref="E140">INDEX(Data_DBD!$E:$E,$A140)</f>
        <v>1</v>
      </c>
      <c r="F140" s="30">
        <f ca="1" t="array" ref="F140">INDEX(Data_DBD!$F:$F,$A140)</f>
        <v>3</v>
      </c>
      <c r="H140" s="30">
        <v>112</v>
      </c>
      <c r="I140" s="30">
        <v>61</v>
      </c>
      <c r="J140" s="30">
        <v>3</v>
      </c>
      <c r="K140" s="30">
        <v>33</v>
      </c>
      <c r="L140" s="30">
        <v>1</v>
      </c>
      <c r="M140" s="30">
        <v>3</v>
      </c>
    </row>
    <row r="141" spans="1:13">
      <c r="A141" s="30">
        <f ca="1" t="shared" si="2"/>
        <v>141</v>
      </c>
      <c r="B141" s="30">
        <f ca="1" t="array" ref="B141">INDEX(Data_DBD!$B:$B,$A141)</f>
        <v>36</v>
      </c>
      <c r="C141" s="30">
        <f ca="1" t="array" ref="C141">INDEX(Data_DBD!$C:$C,$A141)</f>
        <v>2</v>
      </c>
      <c r="D141" s="30">
        <f ca="1" t="array" ref="D141">INDEX(Data_DBD!$D:$D,$A141)</f>
        <v>21</v>
      </c>
      <c r="E141" s="30">
        <f ca="1" t="array" ref="E141">INDEX(Data_DBD!$E:$E,$A141)</f>
        <v>0</v>
      </c>
      <c r="F141" s="30">
        <f ca="1" t="array" ref="F141">INDEX(Data_DBD!$F:$F,$A141)</f>
        <v>3</v>
      </c>
      <c r="H141" s="30">
        <v>53</v>
      </c>
      <c r="I141" s="30">
        <v>35</v>
      </c>
      <c r="J141" s="30">
        <v>4</v>
      </c>
      <c r="K141" s="30">
        <v>15</v>
      </c>
      <c r="L141" s="30">
        <v>1</v>
      </c>
      <c r="M141" s="30">
        <v>2</v>
      </c>
    </row>
    <row r="142" spans="1:13">
      <c r="A142" s="30">
        <f ca="1" t="shared" si="2"/>
        <v>158</v>
      </c>
      <c r="B142" s="30">
        <f ca="1" t="array" ref="B142">INDEX(Data_DBD!$B:$B,$A142)</f>
        <v>5</v>
      </c>
      <c r="C142" s="30">
        <f ca="1" t="array" ref="C142">INDEX(Data_DBD!$C:$C,$A142)</f>
        <v>2</v>
      </c>
      <c r="D142" s="30">
        <f ca="1" t="array" ref="D142">INDEX(Data_DBD!$D:$D,$A142)</f>
        <v>21</v>
      </c>
      <c r="E142" s="30">
        <f ca="1" t="array" ref="E142">INDEX(Data_DBD!$E:$E,$A142)</f>
        <v>0</v>
      </c>
      <c r="F142" s="30">
        <f ca="1" t="array" ref="F142">INDEX(Data_DBD!$F:$F,$A142)</f>
        <v>3</v>
      </c>
      <c r="H142" s="30">
        <v>98</v>
      </c>
      <c r="I142" s="30">
        <v>16</v>
      </c>
      <c r="J142" s="30">
        <v>2</v>
      </c>
      <c r="K142" s="30">
        <v>18</v>
      </c>
      <c r="L142" s="30">
        <v>1</v>
      </c>
      <c r="M142" s="30">
        <v>3</v>
      </c>
    </row>
    <row r="143" spans="1:13">
      <c r="A143" s="30">
        <f ca="1" t="shared" si="2"/>
        <v>138</v>
      </c>
      <c r="B143" s="30">
        <f ca="1" t="array" ref="B143">INDEX(Data_DBD!$B:$B,$A143)</f>
        <v>13</v>
      </c>
      <c r="C143" s="30">
        <f ca="1" t="array" ref="C143">INDEX(Data_DBD!$C:$C,$A143)</f>
        <v>3</v>
      </c>
      <c r="D143" s="30">
        <f ca="1" t="array" ref="D143">INDEX(Data_DBD!$D:$D,$A143)</f>
        <v>33</v>
      </c>
      <c r="E143" s="30">
        <f ca="1" t="array" ref="E143">INDEX(Data_DBD!$E:$E,$A143)</f>
        <v>1</v>
      </c>
      <c r="F143" s="30">
        <f ca="1" t="array" ref="F143">INDEX(Data_DBD!$F:$F,$A143)</f>
        <v>3</v>
      </c>
      <c r="H143" s="30">
        <v>104</v>
      </c>
      <c r="I143" s="30">
        <v>37</v>
      </c>
      <c r="J143" s="30">
        <v>4</v>
      </c>
      <c r="K143" s="30">
        <v>18</v>
      </c>
      <c r="L143" s="30">
        <v>1</v>
      </c>
      <c r="M143" s="30">
        <v>3</v>
      </c>
    </row>
    <row r="144" spans="1:13">
      <c r="A144" s="30">
        <f ca="1" t="shared" si="2"/>
        <v>46</v>
      </c>
      <c r="B144" s="30">
        <f ca="1" t="array" ref="B144">INDEX(Data_DBD!$B:$B,$A144)</f>
        <v>62</v>
      </c>
      <c r="C144" s="30">
        <f ca="1" t="array" ref="C144">INDEX(Data_DBD!$C:$C,$A144)</f>
        <v>2</v>
      </c>
      <c r="D144" s="30">
        <f ca="1" t="array" ref="D144">INDEX(Data_DBD!$D:$D,$A144)</f>
        <v>13</v>
      </c>
      <c r="E144" s="30">
        <f ca="1" t="array" ref="E144">INDEX(Data_DBD!$E:$E,$A144)</f>
        <v>0</v>
      </c>
      <c r="F144" s="30">
        <f ca="1" t="array" ref="F144">INDEX(Data_DBD!$F:$F,$A144)</f>
        <v>2</v>
      </c>
      <c r="H144" s="30">
        <v>9</v>
      </c>
      <c r="I144" s="30">
        <v>16</v>
      </c>
      <c r="J144" s="30">
        <v>6</v>
      </c>
      <c r="K144" s="30">
        <v>12</v>
      </c>
      <c r="L144" s="30">
        <v>1</v>
      </c>
      <c r="M144" s="30">
        <v>2</v>
      </c>
    </row>
    <row r="145" spans="1:13">
      <c r="A145" s="30">
        <f ca="1" t="shared" si="2"/>
        <v>23</v>
      </c>
      <c r="B145" s="30">
        <f ca="1" t="array" ref="B145">INDEX(Data_DBD!$B:$B,$A145)</f>
        <v>28</v>
      </c>
      <c r="C145" s="30">
        <f ca="1" t="array" ref="C145">INDEX(Data_DBD!$C:$C,$A145)</f>
        <v>4</v>
      </c>
      <c r="D145" s="30">
        <f ca="1" t="array" ref="D145">INDEX(Data_DBD!$D:$D,$A145)</f>
        <v>14</v>
      </c>
      <c r="E145" s="30">
        <f ca="1" t="array" ref="E145">INDEX(Data_DBD!$E:$E,$A145)</f>
        <v>1</v>
      </c>
      <c r="F145" s="30">
        <f ca="1" t="array" ref="F145">INDEX(Data_DBD!$F:$F,$A145)</f>
        <v>2</v>
      </c>
      <c r="H145" s="30">
        <v>139</v>
      </c>
      <c r="I145" s="30">
        <v>52</v>
      </c>
      <c r="J145" s="30">
        <v>7</v>
      </c>
      <c r="K145" s="30">
        <v>21</v>
      </c>
      <c r="L145" s="30">
        <v>0</v>
      </c>
      <c r="M145" s="30">
        <v>3</v>
      </c>
    </row>
    <row r="146" spans="1:13">
      <c r="A146" s="30">
        <f ca="1" t="shared" si="2"/>
        <v>96</v>
      </c>
      <c r="B146" s="30">
        <f ca="1" t="array" ref="B146">INDEX(Data_DBD!$B:$B,$A146)</f>
        <v>56</v>
      </c>
      <c r="C146" s="30">
        <f ca="1" t="array" ref="C146">INDEX(Data_DBD!$C:$C,$A146)</f>
        <v>4</v>
      </c>
      <c r="D146" s="30">
        <f ca="1" t="array" ref="D146">INDEX(Data_DBD!$D:$D,$A146)</f>
        <v>18</v>
      </c>
      <c r="E146" s="30">
        <f ca="1" t="array" ref="E146">INDEX(Data_DBD!$E:$E,$A146)</f>
        <v>0</v>
      </c>
      <c r="F146" s="30">
        <f ca="1" t="array" ref="F146">INDEX(Data_DBD!$F:$F,$A146)</f>
        <v>3</v>
      </c>
      <c r="H146" s="30">
        <v>104</v>
      </c>
      <c r="I146" s="30">
        <v>37</v>
      </c>
      <c r="J146" s="30">
        <v>4</v>
      </c>
      <c r="K146" s="30">
        <v>18</v>
      </c>
      <c r="L146" s="30">
        <v>1</v>
      </c>
      <c r="M146" s="30">
        <v>3</v>
      </c>
    </row>
    <row r="147" spans="1:13">
      <c r="A147" s="30">
        <f ca="1" t="shared" si="2"/>
        <v>110</v>
      </c>
      <c r="B147" s="30">
        <f ca="1" t="array" ref="B147">INDEX(Data_DBD!$B:$B,$A147)</f>
        <v>42</v>
      </c>
      <c r="C147" s="30">
        <f ca="1" t="array" ref="C147">INDEX(Data_DBD!$C:$C,$A147)</f>
        <v>2</v>
      </c>
      <c r="D147" s="30">
        <f ca="1" t="array" ref="D147">INDEX(Data_DBD!$D:$D,$A147)</f>
        <v>33</v>
      </c>
      <c r="E147" s="30">
        <f ca="1" t="array" ref="E147">INDEX(Data_DBD!$E:$E,$A147)</f>
        <v>1</v>
      </c>
      <c r="F147" s="30">
        <f ca="1" t="array" ref="F147">INDEX(Data_DBD!$F:$F,$A147)</f>
        <v>3</v>
      </c>
      <c r="H147" s="30">
        <v>25</v>
      </c>
      <c r="I147" s="30">
        <v>81</v>
      </c>
      <c r="J147" s="30">
        <v>5</v>
      </c>
      <c r="K147" s="30">
        <v>14</v>
      </c>
      <c r="L147" s="30">
        <v>0</v>
      </c>
      <c r="M147" s="30">
        <v>2</v>
      </c>
    </row>
    <row r="148" spans="1:13">
      <c r="A148" s="30">
        <f ca="1" t="shared" si="2"/>
        <v>14</v>
      </c>
      <c r="B148" s="30">
        <f ca="1" t="array" ref="B148">INDEX(Data_DBD!$B:$B,$A148)</f>
        <v>49</v>
      </c>
      <c r="C148" s="30">
        <f ca="1" t="array" ref="C148">INDEX(Data_DBD!$C:$C,$A148)</f>
        <v>4</v>
      </c>
      <c r="D148" s="30">
        <f ca="1" t="array" ref="D148">INDEX(Data_DBD!$D:$D,$A148)</f>
        <v>7</v>
      </c>
      <c r="E148" s="30">
        <f ca="1" t="array" ref="E148">INDEX(Data_DBD!$E:$E,$A148)</f>
        <v>1</v>
      </c>
      <c r="F148" s="30">
        <f ca="1" t="array" ref="F148">INDEX(Data_DBD!$F:$F,$A148)</f>
        <v>1</v>
      </c>
      <c r="H148" s="30">
        <v>13</v>
      </c>
      <c r="I148" s="30">
        <v>47</v>
      </c>
      <c r="J148" s="30">
        <v>2</v>
      </c>
      <c r="K148" s="30">
        <v>12</v>
      </c>
      <c r="L148" s="30">
        <v>0</v>
      </c>
      <c r="M148" s="30">
        <v>2</v>
      </c>
    </row>
    <row r="149" spans="1:13">
      <c r="A149" s="30">
        <f ca="1" t="shared" si="2"/>
        <v>53</v>
      </c>
      <c r="B149" s="30">
        <f ca="1" t="array" ref="B149">INDEX(Data_DBD!$B:$B,$A149)</f>
        <v>35</v>
      </c>
      <c r="C149" s="30">
        <f ca="1" t="array" ref="C149">INDEX(Data_DBD!$C:$C,$A149)</f>
        <v>4</v>
      </c>
      <c r="D149" s="30">
        <f ca="1" t="array" ref="D149">INDEX(Data_DBD!$D:$D,$A149)</f>
        <v>15</v>
      </c>
      <c r="E149" s="30">
        <f ca="1" t="array" ref="E149">INDEX(Data_DBD!$E:$E,$A149)</f>
        <v>1</v>
      </c>
      <c r="F149" s="30">
        <f ca="1" t="array" ref="F149">INDEX(Data_DBD!$F:$F,$A149)</f>
        <v>2</v>
      </c>
      <c r="H149" s="30">
        <v>19</v>
      </c>
      <c r="I149" s="30">
        <v>8</v>
      </c>
      <c r="J149" s="30">
        <v>4</v>
      </c>
      <c r="K149" s="30">
        <v>7</v>
      </c>
      <c r="L149" s="30">
        <v>0</v>
      </c>
      <c r="M149" s="30">
        <v>1</v>
      </c>
    </row>
    <row r="150" spans="1:13">
      <c r="A150" s="30">
        <f ca="1" t="shared" si="2"/>
        <v>72</v>
      </c>
      <c r="B150" s="30">
        <f ca="1" t="array" ref="B150">INDEX(Data_DBD!$B:$B,$A150)</f>
        <v>3</v>
      </c>
      <c r="C150" s="30">
        <f ca="1" t="array" ref="C150">INDEX(Data_DBD!$C:$C,$A150)</f>
        <v>5</v>
      </c>
      <c r="D150" s="30">
        <f ca="1" t="array" ref="D150">INDEX(Data_DBD!$D:$D,$A150)</f>
        <v>10</v>
      </c>
      <c r="E150" s="30">
        <f ca="1" t="array" ref="E150">INDEX(Data_DBD!$E:$E,$A150)</f>
        <v>1</v>
      </c>
      <c r="F150" s="30">
        <f ca="1" t="array" ref="F150">INDEX(Data_DBD!$F:$F,$A150)</f>
        <v>2</v>
      </c>
      <c r="H150" s="30">
        <v>22</v>
      </c>
      <c r="I150" s="30">
        <v>6</v>
      </c>
      <c r="J150" s="30">
        <v>3</v>
      </c>
      <c r="K150" s="30">
        <v>14</v>
      </c>
      <c r="L150" s="30">
        <v>0</v>
      </c>
      <c r="M150" s="30">
        <v>2</v>
      </c>
    </row>
    <row r="151" spans="1:13">
      <c r="A151" s="30">
        <f ca="1" t="shared" si="2"/>
        <v>106</v>
      </c>
      <c r="B151" s="30">
        <f ca="1" t="array" ref="B151">INDEX(Data_DBD!$B:$B,$A151)</f>
        <v>23</v>
      </c>
      <c r="C151" s="30">
        <f ca="1" t="array" ref="C151">INDEX(Data_DBD!$C:$C,$A151)</f>
        <v>3</v>
      </c>
      <c r="D151" s="30">
        <f ca="1" t="array" ref="D151">INDEX(Data_DBD!$D:$D,$A151)</f>
        <v>18</v>
      </c>
      <c r="E151" s="30">
        <f ca="1" t="array" ref="E151">INDEX(Data_DBD!$E:$E,$A151)</f>
        <v>1</v>
      </c>
      <c r="F151" s="30">
        <f ca="1" t="array" ref="F151">INDEX(Data_DBD!$F:$F,$A151)</f>
        <v>3</v>
      </c>
      <c r="H151" s="30">
        <v>78</v>
      </c>
      <c r="I151" s="30">
        <v>6</v>
      </c>
      <c r="J151" s="30">
        <v>3</v>
      </c>
      <c r="K151" s="30">
        <v>13</v>
      </c>
      <c r="L151" s="30">
        <v>0</v>
      </c>
      <c r="M151" s="30">
        <v>2</v>
      </c>
    </row>
    <row r="152" spans="1:13">
      <c r="A152" s="30">
        <f ca="1" t="shared" si="2"/>
        <v>54</v>
      </c>
      <c r="B152" s="30">
        <f ca="1" t="array" ref="B152">INDEX(Data_DBD!$B:$B,$A152)</f>
        <v>7</v>
      </c>
      <c r="C152" s="30">
        <f ca="1" t="array" ref="C152">INDEX(Data_DBD!$C:$C,$A152)</f>
        <v>3</v>
      </c>
      <c r="D152" s="30">
        <f ca="1" t="array" ref="D152">INDEX(Data_DBD!$D:$D,$A152)</f>
        <v>15</v>
      </c>
      <c r="E152" s="30">
        <f ca="1" t="array" ref="E152">INDEX(Data_DBD!$E:$E,$A152)</f>
        <v>0</v>
      </c>
      <c r="F152" s="30">
        <f ca="1" t="array" ref="F152">INDEX(Data_DBD!$F:$F,$A152)</f>
        <v>2</v>
      </c>
      <c r="H152" s="30">
        <v>56</v>
      </c>
      <c r="I152" s="30">
        <v>4</v>
      </c>
      <c r="J152" s="30">
        <v>3</v>
      </c>
      <c r="K152" s="30">
        <v>15</v>
      </c>
      <c r="L152" s="30">
        <v>0</v>
      </c>
      <c r="M152" s="30">
        <v>2</v>
      </c>
    </row>
    <row r="153" spans="1:13">
      <c r="A153" s="30">
        <f ca="1" t="shared" si="2"/>
        <v>130</v>
      </c>
      <c r="B153" s="30">
        <f ca="1" t="array" ref="B153">INDEX(Data_DBD!$B:$B,$A153)</f>
        <v>12</v>
      </c>
      <c r="C153" s="30">
        <f ca="1" t="array" ref="C153">INDEX(Data_DBD!$C:$C,$A153)</f>
        <v>4</v>
      </c>
      <c r="D153" s="30">
        <f ca="1" t="array" ref="D153">INDEX(Data_DBD!$D:$D,$A153)</f>
        <v>33</v>
      </c>
      <c r="E153" s="30">
        <f ca="1" t="array" ref="E153">INDEX(Data_DBD!$E:$E,$A153)</f>
        <v>0</v>
      </c>
      <c r="F153" s="30">
        <f ca="1" t="array" ref="F153">INDEX(Data_DBD!$F:$F,$A153)</f>
        <v>3</v>
      </c>
      <c r="H153" s="30">
        <v>158</v>
      </c>
      <c r="I153" s="30">
        <v>5</v>
      </c>
      <c r="J153" s="30">
        <v>2</v>
      </c>
      <c r="K153" s="30">
        <v>21</v>
      </c>
      <c r="L153" s="30">
        <v>0</v>
      </c>
      <c r="M153" s="30">
        <v>3</v>
      </c>
    </row>
    <row r="154" spans="1:13">
      <c r="A154" s="30">
        <f ca="1" t="shared" si="2"/>
        <v>88</v>
      </c>
      <c r="B154" s="30">
        <f ca="1" t="array" ref="B154">INDEX(Data_DBD!$B:$B,$A154)</f>
        <v>20</v>
      </c>
      <c r="C154" s="30">
        <f ca="1" t="array" ref="C154">INDEX(Data_DBD!$C:$C,$A154)</f>
        <v>4</v>
      </c>
      <c r="D154" s="30">
        <f ca="1" t="array" ref="D154">INDEX(Data_DBD!$D:$D,$A154)</f>
        <v>13</v>
      </c>
      <c r="E154" s="30">
        <f ca="1" t="array" ref="E154">INDEX(Data_DBD!$E:$E,$A154)</f>
        <v>1</v>
      </c>
      <c r="F154" s="30">
        <f ca="1" t="array" ref="F154">INDEX(Data_DBD!$F:$F,$A154)</f>
        <v>2</v>
      </c>
      <c r="H154" s="30">
        <v>117</v>
      </c>
      <c r="I154" s="30">
        <v>49</v>
      </c>
      <c r="J154" s="30">
        <v>4</v>
      </c>
      <c r="K154" s="30">
        <v>33</v>
      </c>
      <c r="L154" s="30">
        <v>1</v>
      </c>
      <c r="M154" s="30">
        <v>3</v>
      </c>
    </row>
    <row r="155" spans="1:13">
      <c r="A155" s="30">
        <f ca="1" t="shared" si="2"/>
        <v>48</v>
      </c>
      <c r="B155" s="30">
        <f ca="1" t="array" ref="B155">INDEX(Data_DBD!$B:$B,$A155)</f>
        <v>50</v>
      </c>
      <c r="C155" s="30">
        <f ca="1" t="array" ref="C155">INDEX(Data_DBD!$C:$C,$A155)</f>
        <v>5</v>
      </c>
      <c r="D155" s="30">
        <f ca="1" t="array" ref="D155">INDEX(Data_DBD!$D:$D,$A155)</f>
        <v>13</v>
      </c>
      <c r="E155" s="30">
        <f ca="1" t="array" ref="E155">INDEX(Data_DBD!$E:$E,$A155)</f>
        <v>1</v>
      </c>
      <c r="F155" s="30">
        <f ca="1" t="array" ref="F155">INDEX(Data_DBD!$F:$F,$A155)</f>
        <v>2</v>
      </c>
      <c r="H155" s="30">
        <v>96</v>
      </c>
      <c r="I155" s="30">
        <v>56</v>
      </c>
      <c r="J155" s="30">
        <v>4</v>
      </c>
      <c r="K155" s="30">
        <v>18</v>
      </c>
      <c r="L155" s="30">
        <v>0</v>
      </c>
      <c r="M155" s="30">
        <v>3</v>
      </c>
    </row>
    <row r="156" spans="1:13">
      <c r="A156" s="30">
        <f ca="1" t="shared" si="2"/>
        <v>93</v>
      </c>
      <c r="B156" s="30">
        <f ca="1" t="array" ref="B156">INDEX(Data_DBD!$B:$B,$A156)</f>
        <v>65</v>
      </c>
      <c r="C156" s="30">
        <f ca="1" t="array" ref="C156">INDEX(Data_DBD!$C:$C,$A156)</f>
        <v>4</v>
      </c>
      <c r="D156" s="30">
        <f ca="1" t="array" ref="D156">INDEX(Data_DBD!$D:$D,$A156)</f>
        <v>18</v>
      </c>
      <c r="E156" s="30">
        <f ca="1" t="array" ref="E156">INDEX(Data_DBD!$E:$E,$A156)</f>
        <v>0</v>
      </c>
      <c r="F156" s="30">
        <f ca="1" t="array" ref="F156">INDEX(Data_DBD!$F:$F,$A156)</f>
        <v>3</v>
      </c>
      <c r="H156" s="30">
        <v>39</v>
      </c>
      <c r="I156" s="30">
        <v>12</v>
      </c>
      <c r="J156" s="30">
        <v>5</v>
      </c>
      <c r="K156" s="30">
        <v>13</v>
      </c>
      <c r="L156" s="30">
        <v>1</v>
      </c>
      <c r="M156" s="30">
        <v>2</v>
      </c>
    </row>
    <row r="157" spans="1:13">
      <c r="A157" s="30">
        <f ca="1" t="shared" si="2"/>
        <v>164</v>
      </c>
      <c r="B157" s="30">
        <f ca="1" t="array" ref="B157">INDEX(Data_DBD!$B:$B,$A157)</f>
        <v>10</v>
      </c>
      <c r="C157" s="30">
        <f ca="1" t="array" ref="C157">INDEX(Data_DBD!$C:$C,$A157)</f>
        <v>6</v>
      </c>
      <c r="D157" s="30">
        <f ca="1" t="array" ref="D157">INDEX(Data_DBD!$D:$D,$A157)</f>
        <v>3</v>
      </c>
      <c r="E157" s="30">
        <f ca="1" t="array" ref="E157">INDEX(Data_DBD!$E:$E,$A157)</f>
        <v>0</v>
      </c>
      <c r="F157" s="30">
        <f ca="1" t="array" ref="F157">INDEX(Data_DBD!$F:$F,$A157)</f>
        <v>1</v>
      </c>
      <c r="H157" s="30">
        <v>73</v>
      </c>
      <c r="I157" s="30">
        <v>15</v>
      </c>
      <c r="J157" s="30">
        <v>3</v>
      </c>
      <c r="K157" s="30">
        <v>10</v>
      </c>
      <c r="L157" s="30">
        <v>1</v>
      </c>
      <c r="M157" s="30">
        <v>2</v>
      </c>
    </row>
    <row r="158" ht="15.75" spans="1:13">
      <c r="A158" s="30">
        <f ca="1" t="shared" si="2"/>
        <v>43</v>
      </c>
      <c r="B158" s="30">
        <f ca="1" t="array" ref="B158">INDEX(Data_DBD!$B:$B,$A158)</f>
        <v>15</v>
      </c>
      <c r="C158" s="30">
        <f ca="1" t="array" ref="C158">INDEX(Data_DBD!$C:$C,$A158)</f>
        <v>4</v>
      </c>
      <c r="D158" s="30">
        <f ca="1" t="array" ref="D158">INDEX(Data_DBD!$D:$D,$A158)</f>
        <v>13</v>
      </c>
      <c r="E158" s="30">
        <f ca="1" t="array" ref="E158">INDEX(Data_DBD!$E:$E,$A158)</f>
        <v>0</v>
      </c>
      <c r="F158" s="30">
        <f ca="1" t="array" ref="F158">INDEX(Data_DBD!$F:$F,$A158)</f>
        <v>2</v>
      </c>
      <c r="H158" s="30">
        <v>132</v>
      </c>
      <c r="I158" s="30">
        <v>10</v>
      </c>
      <c r="J158" s="30">
        <v>3</v>
      </c>
      <c r="K158" s="30">
        <v>33</v>
      </c>
      <c r="L158" s="38">
        <v>1</v>
      </c>
      <c r="M158" s="30">
        <v>3</v>
      </c>
    </row>
    <row r="159" ht="15.75" spans="1:13">
      <c r="A159" s="30">
        <f ca="1" t="shared" si="2"/>
        <v>99</v>
      </c>
      <c r="B159" s="30">
        <f ca="1" t="array" ref="B159">INDEX(Data_DBD!$B:$B,$A159)</f>
        <v>4</v>
      </c>
      <c r="C159" s="30">
        <f ca="1" t="array" ref="C159">INDEX(Data_DBD!$C:$C,$A159)</f>
        <v>2</v>
      </c>
      <c r="D159" s="30">
        <f ca="1" t="array" ref="D159">INDEX(Data_DBD!$D:$D,$A159)</f>
        <v>18</v>
      </c>
      <c r="E159" s="30">
        <f ca="1" t="array" ref="E159">INDEX(Data_DBD!$E:$E,$A159)</f>
        <v>1</v>
      </c>
      <c r="F159" s="30">
        <f ca="1" t="array" ref="F159">INDEX(Data_DBD!$F:$F,$A159)</f>
        <v>3</v>
      </c>
      <c r="H159" s="30">
        <v>49</v>
      </c>
      <c r="I159" s="30">
        <v>64</v>
      </c>
      <c r="J159" s="30">
        <v>5</v>
      </c>
      <c r="K159" s="30">
        <v>13</v>
      </c>
      <c r="L159" s="39">
        <v>0</v>
      </c>
      <c r="M159" s="30">
        <v>2</v>
      </c>
    </row>
    <row r="160" ht="15.75" spans="1:13">
      <c r="A160" s="30">
        <f ca="1" t="shared" si="2"/>
        <v>135</v>
      </c>
      <c r="B160" s="30">
        <f ca="1" t="array" ref="B160">INDEX(Data_DBD!$B:$B,$A160)</f>
        <v>10</v>
      </c>
      <c r="C160" s="30">
        <f ca="1" t="array" ref="C160">INDEX(Data_DBD!$C:$C,$A160)</f>
        <v>2</v>
      </c>
      <c r="D160" s="30">
        <f ca="1" t="array" ref="D160">INDEX(Data_DBD!$D:$D,$A160)</f>
        <v>33</v>
      </c>
      <c r="E160" s="30">
        <f ca="1" t="array" ref="E160">INDEX(Data_DBD!$E:$E,$A160)</f>
        <v>0</v>
      </c>
      <c r="F160" s="30">
        <f ca="1" t="array" ref="F160">INDEX(Data_DBD!$F:$F,$A160)</f>
        <v>3</v>
      </c>
      <c r="H160" s="30">
        <v>11</v>
      </c>
      <c r="I160" s="30">
        <v>24</v>
      </c>
      <c r="J160" s="30">
        <v>5</v>
      </c>
      <c r="K160" s="30">
        <v>12</v>
      </c>
      <c r="L160" s="40">
        <v>1</v>
      </c>
      <c r="M160" s="30">
        <v>2</v>
      </c>
    </row>
    <row r="161" ht="15.75" spans="1:13">
      <c r="A161" s="30">
        <f ca="1" t="shared" si="2"/>
        <v>61</v>
      </c>
      <c r="B161" s="30">
        <f ca="1" t="array" ref="B161">INDEX(Data_DBD!$B:$B,$A161)</f>
        <v>29</v>
      </c>
      <c r="C161" s="30">
        <f ca="1" t="array" ref="C161">INDEX(Data_DBD!$C:$C,$A161)</f>
        <v>3</v>
      </c>
      <c r="D161" s="30">
        <f ca="1" t="array" ref="D161">INDEX(Data_DBD!$D:$D,$A161)</f>
        <v>15</v>
      </c>
      <c r="E161" s="30">
        <f ca="1" t="array" ref="E161">INDEX(Data_DBD!$E:$E,$A161)</f>
        <v>1</v>
      </c>
      <c r="F161" s="30">
        <f ca="1" t="array" ref="F161">INDEX(Data_DBD!$F:$F,$A161)</f>
        <v>2</v>
      </c>
      <c r="H161" s="30">
        <v>149</v>
      </c>
      <c r="I161" s="30">
        <v>19</v>
      </c>
      <c r="J161" s="30">
        <v>5</v>
      </c>
      <c r="K161" s="30">
        <v>21</v>
      </c>
      <c r="L161" s="40">
        <v>0</v>
      </c>
      <c r="M161" s="30">
        <v>3</v>
      </c>
    </row>
    <row r="162" ht="15.75" spans="1:13">
      <c r="A162" s="30">
        <f ca="1" t="shared" si="2"/>
        <v>109</v>
      </c>
      <c r="B162" s="30">
        <f ca="1" t="array" ref="B162">INDEX(Data_DBD!$B:$B,$A162)</f>
        <v>40</v>
      </c>
      <c r="C162" s="30">
        <f ca="1" t="array" ref="C162">INDEX(Data_DBD!$C:$C,$A162)</f>
        <v>3</v>
      </c>
      <c r="D162" s="30">
        <f ca="1" t="array" ref="D162">INDEX(Data_DBD!$D:$D,$A162)</f>
        <v>33</v>
      </c>
      <c r="E162" s="30">
        <f ca="1" t="array" ref="E162">INDEX(Data_DBD!$E:$E,$A162)</f>
        <v>1</v>
      </c>
      <c r="F162" s="30">
        <f ca="1" t="array" ref="F162">INDEX(Data_DBD!$F:$F,$A162)</f>
        <v>3</v>
      </c>
      <c r="H162" s="30">
        <v>82</v>
      </c>
      <c r="I162" s="30">
        <v>28</v>
      </c>
      <c r="J162" s="30">
        <v>3</v>
      </c>
      <c r="K162" s="30">
        <v>13</v>
      </c>
      <c r="L162" s="39">
        <v>1</v>
      </c>
      <c r="M162" s="30">
        <v>2</v>
      </c>
    </row>
    <row r="163" ht="15.75" spans="1:13">
      <c r="A163" s="30">
        <f ca="1" t="shared" si="2"/>
        <v>3</v>
      </c>
      <c r="B163" s="30">
        <f ca="1" t="array" ref="B163">INDEX(Data_DBD!$B:$B,$A163)</f>
        <v>43</v>
      </c>
      <c r="C163" s="30">
        <f ca="1" t="array" ref="C163">INDEX(Data_DBD!$C:$C,$A163)</f>
        <v>3</v>
      </c>
      <c r="D163" s="30">
        <f ca="1" t="array" ref="D163">INDEX(Data_DBD!$D:$D,$A163)</f>
        <v>12</v>
      </c>
      <c r="E163" s="30">
        <f ca="1" t="array" ref="E163">INDEX(Data_DBD!$E:$E,$A163)</f>
        <v>1</v>
      </c>
      <c r="F163" s="30">
        <f ca="1" t="array" ref="F163">INDEX(Data_DBD!$F:$F,$A163)</f>
        <v>2</v>
      </c>
      <c r="H163" s="30">
        <v>136</v>
      </c>
      <c r="I163" s="30">
        <v>6</v>
      </c>
      <c r="J163" s="30">
        <v>2</v>
      </c>
      <c r="K163" s="30">
        <v>33</v>
      </c>
      <c r="L163" s="40">
        <v>0</v>
      </c>
      <c r="M163" s="30">
        <v>3</v>
      </c>
    </row>
    <row r="164" spans="1:13">
      <c r="A164" s="30">
        <f ca="1" t="shared" si="2"/>
        <v>98</v>
      </c>
      <c r="B164" s="30">
        <f ca="1" t="array" ref="B164">INDEX(Data_DBD!$B:$B,$A164)</f>
        <v>16</v>
      </c>
      <c r="C164" s="30">
        <f ca="1" t="array" ref="C164">INDEX(Data_DBD!$C:$C,$A164)</f>
        <v>2</v>
      </c>
      <c r="D164" s="30">
        <f ca="1" t="array" ref="D164">INDEX(Data_DBD!$D:$D,$A164)</f>
        <v>18</v>
      </c>
      <c r="E164" s="30">
        <f ca="1" t="array" ref="E164">INDEX(Data_DBD!$E:$E,$A164)</f>
        <v>1</v>
      </c>
      <c r="F164" s="30">
        <f ca="1" t="array" ref="F164">INDEX(Data_DBD!$F:$F,$A164)</f>
        <v>3</v>
      </c>
      <c r="H164" s="30">
        <v>68</v>
      </c>
      <c r="I164" s="30">
        <v>44</v>
      </c>
      <c r="J164" s="30">
        <v>5</v>
      </c>
      <c r="K164" s="30">
        <v>10</v>
      </c>
      <c r="L164" s="30">
        <v>0</v>
      </c>
      <c r="M164" s="30">
        <v>2</v>
      </c>
    </row>
    <row r="165" spans="9:12">
      <c r="I165">
        <f>AVERAGE(I2:I164)</f>
        <v>29.0771604938272</v>
      </c>
      <c r="J165">
        <f>AVERAGE(J2:J164)</f>
        <v>3.5521472392638</v>
      </c>
      <c r="K165">
        <f>AVERAGE(K2:K164)</f>
        <v>18</v>
      </c>
      <c r="L165">
        <f>AVERAGE(L2:L164)</f>
        <v>0.50920245398773</v>
      </c>
    </row>
    <row r="166" spans="2:2">
      <c r="B166">
        <v>1890</v>
      </c>
    </row>
    <row r="168" spans="5:20">
      <c r="E168" s="35" t="s">
        <v>183</v>
      </c>
      <c r="J168" s="35" t="s">
        <v>184</v>
      </c>
      <c r="O168" s="35" t="s">
        <v>185</v>
      </c>
      <c r="T168" s="35" t="s">
        <v>186</v>
      </c>
    </row>
    <row r="169" spans="5:22">
      <c r="E169" s="30" t="s">
        <v>1</v>
      </c>
      <c r="F169" s="30">
        <f>AVERAGEIF($I$2:$I$164,"&lt;="&amp;$I$165)</f>
        <v>15.915</v>
      </c>
      <c r="G169" s="30">
        <f>AVERAGEIF($I$2:$I$164,"&gt;"&amp;$I$165)</f>
        <v>50.3064516129032</v>
      </c>
      <c r="J169" s="30" t="s">
        <v>187</v>
      </c>
      <c r="K169" s="30">
        <f>AVERAGEIF($J$2:$J$164,"&lt;="&amp;$J$165)</f>
        <v>2.36708860759494</v>
      </c>
      <c r="L169" s="30">
        <f>AVERAGEIF($J$2:$J$164,"&gt;"&amp;$J$165)</f>
        <v>4.66666666666667</v>
      </c>
      <c r="O169" s="30" t="s">
        <v>188</v>
      </c>
      <c r="P169" s="30">
        <f>AVERAGEIF($K$2:$K$164,"&lt;="&amp;$K$165)</f>
        <v>13.1775700934579</v>
      </c>
      <c r="Q169" s="30">
        <f>AVERAGEIF($K$2:$K$164,"&gt;"&amp;$K$165)</f>
        <v>27.2142857142857</v>
      </c>
      <c r="T169" s="30" t="s">
        <v>189</v>
      </c>
      <c r="U169" s="30">
        <f>AVERAGEIF($L$2:$L$164,"&lt;="&amp;$L$165)</f>
        <v>0</v>
      </c>
      <c r="V169" s="30">
        <f>AVERAGEIF($L$2:$L$164,"&gt;"&amp;$L$165)</f>
        <v>1</v>
      </c>
    </row>
    <row r="170" spans="5:22">
      <c r="E170" s="30" t="str">
        <f t="array" ref="E170:E332">IF($I$2:$I$164&lt;$F$169,"kiri",IF($I$2:$I$164&lt;$G$169,"tengah","kanan"))</f>
        <v>kiri</v>
      </c>
      <c r="F170" s="36" t="s">
        <v>207</v>
      </c>
      <c r="G170" s="30"/>
      <c r="J170" s="30" t="str">
        <f t="array" ref="J170:J332">IF($J$2:$J$164&lt;$K$169,"kiri",IF($J$2:$J$164&lt;$L$169,"tengah","kanan"))</f>
        <v>tengah</v>
      </c>
      <c r="K170" s="36" t="s">
        <v>208</v>
      </c>
      <c r="L170" s="30"/>
      <c r="O170" s="30" t="str">
        <f t="array" ref="O170:O332">IF($K$2:$K$164&lt;$P$169,"kiri",IF($K$2:$K$164&lt;$Q$169,"tengah","kanan"))</f>
        <v>kiri</v>
      </c>
      <c r="P170" s="36" t="s">
        <v>223</v>
      </c>
      <c r="Q170" s="30"/>
      <c r="T170" s="30" t="str">
        <f t="array" ref="T170:T332">IF($L$2:$L$164&lt;$U$169,"kiri",IF($L$2:$L$164&lt;$V$169,"tengah","kanan"))</f>
        <v>tengah</v>
      </c>
      <c r="U170" s="30" t="s">
        <v>193</v>
      </c>
      <c r="V170" s="30"/>
    </row>
    <row r="171" spans="5:22">
      <c r="E171" s="30" t="str">
        <v>tengah</v>
      </c>
      <c r="F171" s="30">
        <f>COUNTIFS($E$170:$E$332,"Kanan",$M$2:$M$164,"1")</f>
        <v>1</v>
      </c>
      <c r="G171" s="30">
        <f>F171/28</f>
        <v>0.0357142857142857</v>
      </c>
      <c r="J171" s="30" t="str">
        <v>tengah</v>
      </c>
      <c r="K171" s="30">
        <f t="array" ref="K171">SUMPRODUCT((J170:J332="Kanan")*(M2:M164=1))</f>
        <v>2</v>
      </c>
      <c r="L171" s="30">
        <f>K171/34</f>
        <v>0.0588235294117647</v>
      </c>
      <c r="O171" s="30" t="str">
        <v>tengah</v>
      </c>
      <c r="P171" s="30">
        <f>COUNTIFS($O$170:$O$332,"Kanan",$M$2:$M$164,"1")</f>
        <v>0</v>
      </c>
      <c r="Q171" s="30">
        <f>P171/29</f>
        <v>0</v>
      </c>
      <c r="T171" s="30" t="str">
        <v>kanan</v>
      </c>
      <c r="U171" s="30">
        <f>COUNTIFS($T$170:$T$332,"Kanan",$M$2:$M$164,"1")</f>
        <v>7</v>
      </c>
      <c r="V171" s="30">
        <f>U171/83</f>
        <v>0.0843373493975904</v>
      </c>
    </row>
    <row r="172" spans="5:22">
      <c r="E172" s="30" t="str">
        <v>kiri</v>
      </c>
      <c r="F172" s="30">
        <f>COUNTIFS($E$170:$E$332,"Kanan",$M$2:$M$164,"2")</f>
        <v>14</v>
      </c>
      <c r="G172" s="30">
        <f t="shared" ref="G172:G173" si="3">F172/28</f>
        <v>0.5</v>
      </c>
      <c r="J172" s="30" t="str">
        <v>kiri</v>
      </c>
      <c r="K172" s="30">
        <f>COUNTIFS($J$170:$J$332,"Kanan",$M$2:$M$164,"2")</f>
        <v>20</v>
      </c>
      <c r="L172" s="30">
        <f t="shared" ref="L172:L173" si="4">K172/34</f>
        <v>0.588235294117647</v>
      </c>
      <c r="O172" s="30" t="str">
        <v>kiri</v>
      </c>
      <c r="P172" s="30">
        <f>COUNTIFS($O$170:$O$332,"Kanan",$M$2:$M$164,"2")</f>
        <v>0</v>
      </c>
      <c r="Q172" s="30">
        <f t="shared" ref="Q172:Q173" si="5">P172/29</f>
        <v>0</v>
      </c>
      <c r="T172" s="30" t="str">
        <v>kanan</v>
      </c>
      <c r="U172" s="30">
        <f>COUNTIFS($T$170:$T$332,"Kanan",$M$2:$M$164,"2")</f>
        <v>30</v>
      </c>
      <c r="V172" s="30">
        <f t="shared" ref="V172:V173" si="6">U172/83</f>
        <v>0.36144578313253</v>
      </c>
    </row>
    <row r="173" spans="5:22">
      <c r="E173" s="30" t="str">
        <v>tengah</v>
      </c>
      <c r="F173" s="30">
        <f t="array" ref="F173">SUMPRODUCT((E170:E332="KANAN")*(M2:M164=3))</f>
        <v>13</v>
      </c>
      <c r="G173" s="30">
        <f t="shared" si="3"/>
        <v>0.464285714285714</v>
      </c>
      <c r="J173" s="30" t="str">
        <v>tengah</v>
      </c>
      <c r="K173" s="30">
        <f>COUNTIFS($J$170:$J$332,"Kanan",$M$2:$M$164,"3")</f>
        <v>12</v>
      </c>
      <c r="L173" s="30">
        <f t="shared" si="4"/>
        <v>0.352941176470588</v>
      </c>
      <c r="O173" s="30" t="str">
        <v>kanan</v>
      </c>
      <c r="P173" s="30">
        <f>COUNTIFS($O$170:$O$332,"Kanan",$M$2:$M$164,"3")</f>
        <v>29</v>
      </c>
      <c r="Q173" s="30">
        <f t="shared" si="5"/>
        <v>1</v>
      </c>
      <c r="T173" s="30" t="str">
        <v>kanan</v>
      </c>
      <c r="U173" s="30">
        <f>COUNTIFS($T$170:$T$332,"Kanan",$M$2:$M$164,"3")</f>
        <v>46</v>
      </c>
      <c r="V173" s="30">
        <f t="shared" si="6"/>
        <v>0.55421686746988</v>
      </c>
    </row>
    <row r="174" spans="5:22">
      <c r="E174" s="30" t="str">
        <v>kiri</v>
      </c>
      <c r="F174" s="30" t="s">
        <v>194</v>
      </c>
      <c r="G174" s="30">
        <f>-(IFERROR(G171*LOG(G171,2),0)+IFERROR(G172*LOG(G172,2),0)+IFERROR(G173*LOG(G173,2),0))</f>
        <v>1.18561616332044</v>
      </c>
      <c r="J174" s="30" t="str">
        <v>kiri</v>
      </c>
      <c r="K174" s="30" t="s">
        <v>194</v>
      </c>
      <c r="L174" s="30">
        <f>-(IFERROR(L171*LOG(L171,2),0)+IFERROR(L172*LOG(L172,2),0)+IFERROR(L173*LOG(L173,2),0))</f>
        <v>1.22104778517972</v>
      </c>
      <c r="O174" s="30" t="str">
        <v>tengah</v>
      </c>
      <c r="P174" s="30" t="s">
        <v>194</v>
      </c>
      <c r="Q174" s="30">
        <f>-(IFERROR(Q171*LOG(Q171,2),0)+IFERROR(Q172*LOG(Q172,2),0)+IFERROR(Q173*LOG(Q173,2),0))</f>
        <v>0</v>
      </c>
      <c r="T174" s="30" t="str">
        <v>tengah</v>
      </c>
      <c r="U174" s="30" t="s">
        <v>194</v>
      </c>
      <c r="V174" s="30">
        <f>-(IFERROR(V171*LOG(V171,2),0)+IFERROR(V172*LOG(V172,2),0)+IFERROR(V173*LOG(V173,2),0))</f>
        <v>1.30344843976522</v>
      </c>
    </row>
    <row r="175" spans="5:22">
      <c r="E175" s="30" t="str">
        <v>tengah</v>
      </c>
      <c r="F175" s="30"/>
      <c r="G175" s="30">
        <f>SUM(F171:F173)/163</f>
        <v>0.171779141104294</v>
      </c>
      <c r="J175" s="30" t="str">
        <v>tengah</v>
      </c>
      <c r="K175" s="30"/>
      <c r="L175" s="30">
        <f>SUM(K171:K173)/163</f>
        <v>0.208588957055215</v>
      </c>
      <c r="O175" s="30" t="str">
        <v>kanan</v>
      </c>
      <c r="P175" s="30"/>
      <c r="Q175" s="30">
        <f>SUM(P171:P173)/163</f>
        <v>0.177914110429448</v>
      </c>
      <c r="T175" s="30" t="str">
        <v>kanan</v>
      </c>
      <c r="U175" s="30"/>
      <c r="V175" s="30">
        <f>SUM(U171:U173)/163</f>
        <v>0.50920245398773</v>
      </c>
    </row>
    <row r="176" spans="5:22">
      <c r="E176" s="30" t="str">
        <v>tengah</v>
      </c>
      <c r="F176" s="30"/>
      <c r="G176" s="37">
        <f>G174*G175</f>
        <v>0.203664126214554</v>
      </c>
      <c r="J176" s="30" t="str">
        <v>kiri</v>
      </c>
      <c r="K176" s="30"/>
      <c r="L176" s="37">
        <f>L174*L175</f>
        <v>0.254697084025217</v>
      </c>
      <c r="O176" s="30" t="str">
        <v>kiri</v>
      </c>
      <c r="P176" s="30"/>
      <c r="Q176" s="37">
        <f>Q174*Q175</f>
        <v>0</v>
      </c>
      <c r="T176" s="30" t="str">
        <v>kanan</v>
      </c>
      <c r="U176" s="30"/>
      <c r="V176" s="37">
        <f>V174*V175</f>
        <v>0.663719144174929</v>
      </c>
    </row>
    <row r="177" spans="5:22">
      <c r="E177" s="30" t="str">
        <v>tengah</v>
      </c>
      <c r="F177" s="30"/>
      <c r="G177" s="30"/>
      <c r="J177" s="30" t="str">
        <v>kanan</v>
      </c>
      <c r="K177" s="30"/>
      <c r="L177" s="30"/>
      <c r="O177" s="30" t="str">
        <v>kiri</v>
      </c>
      <c r="P177" s="30"/>
      <c r="Q177" s="30"/>
      <c r="T177" s="30" t="str">
        <v>tengah</v>
      </c>
      <c r="U177" s="30"/>
      <c r="V177" s="30"/>
    </row>
    <row r="178" spans="5:22">
      <c r="E178" s="30" t="str">
        <v>kiri</v>
      </c>
      <c r="F178" s="30"/>
      <c r="G178" s="30"/>
      <c r="J178" s="30" t="str">
        <v>kiri</v>
      </c>
      <c r="K178" s="30"/>
      <c r="L178" s="30"/>
      <c r="O178" s="30" t="str">
        <v>tengah</v>
      </c>
      <c r="P178" s="30"/>
      <c r="Q178" s="30"/>
      <c r="T178" s="30" t="str">
        <v>tengah</v>
      </c>
      <c r="U178" s="30"/>
      <c r="V178" s="30"/>
    </row>
    <row r="179" spans="5:22">
      <c r="E179" s="30" t="str">
        <v>kanan</v>
      </c>
      <c r="F179" s="36" t="s">
        <v>210</v>
      </c>
      <c r="G179" s="30"/>
      <c r="J179" s="30" t="str">
        <v>kanan</v>
      </c>
      <c r="K179" s="36" t="s">
        <v>211</v>
      </c>
      <c r="L179" s="30"/>
      <c r="O179" s="30" t="str">
        <v>tengah</v>
      </c>
      <c r="P179" s="36" t="s">
        <v>206</v>
      </c>
      <c r="Q179" s="30"/>
      <c r="T179" s="30" t="str">
        <v>kanan</v>
      </c>
      <c r="U179" s="30" t="s">
        <v>198</v>
      </c>
      <c r="V179" s="30"/>
    </row>
    <row r="180" spans="5:22">
      <c r="E180" s="30" t="str">
        <v>kiri</v>
      </c>
      <c r="F180" s="30">
        <f t="array" ref="F180">SUMPRODUCT((E170:E332="kiri")*(M2:M164=1))</f>
        <v>4</v>
      </c>
      <c r="G180" s="30">
        <f>F180/49</f>
        <v>0.0816326530612245</v>
      </c>
      <c r="J180" s="30" t="str">
        <v>kiri</v>
      </c>
      <c r="K180" s="30">
        <f>COUNTIFS($J$170:$J$332,"Kiri",$M$2:$M$164,"1")</f>
        <v>4</v>
      </c>
      <c r="L180" s="30">
        <f>K180/40</f>
        <v>0.1</v>
      </c>
      <c r="O180" s="30" t="str">
        <v>kiri</v>
      </c>
      <c r="P180" s="30">
        <f>COUNTIFS($O$170:$O$332,"Kiri",$M$2:$M$164,"1")</f>
        <v>12</v>
      </c>
      <c r="Q180" s="30">
        <f>P180/57</f>
        <v>0.210526315789474</v>
      </c>
      <c r="T180" s="30" t="str">
        <v>kanan</v>
      </c>
      <c r="U180" s="30">
        <f>COUNTIFS($T$170:$T$332,"Kiri",$M$2:$M$164,"1")</f>
        <v>0</v>
      </c>
      <c r="V180" s="30">
        <f>U180/57</f>
        <v>0</v>
      </c>
    </row>
    <row r="181" spans="5:22">
      <c r="E181" s="30" t="str">
        <v>tengah</v>
      </c>
      <c r="F181" s="30">
        <f t="array" ref="F181">SUMPRODUCT((E170:E332="kiri")*(M2:M164=2))</f>
        <v>20</v>
      </c>
      <c r="G181" s="30">
        <f t="shared" ref="G181:G182" si="7">F181/49</f>
        <v>0.408163265306122</v>
      </c>
      <c r="J181" s="30" t="str">
        <v>tengah</v>
      </c>
      <c r="K181" s="30">
        <f>COUNTIFS($J$170:$J$332,"Kiri",$M$2:$M$164,"2")</f>
        <v>16</v>
      </c>
      <c r="L181" s="30">
        <f t="shared" ref="L181:L182" si="8">K181/40</f>
        <v>0.4</v>
      </c>
      <c r="O181" s="30" t="str">
        <v>tengah</v>
      </c>
      <c r="P181" s="30">
        <f>COUNTIFS($O$170:$O$332,"Kiri",$M$2:$M$164,"2")</f>
        <v>45</v>
      </c>
      <c r="Q181" s="30">
        <f t="shared" ref="Q181:Q182" si="9">P181/57</f>
        <v>0.789473684210526</v>
      </c>
      <c r="T181" s="30" t="str">
        <v>kanan</v>
      </c>
      <c r="U181" s="30">
        <f>COUNTIFS($T$170:$T$332,"Kiri",$M$2:$M$164,"2")</f>
        <v>0</v>
      </c>
      <c r="V181" s="30">
        <f>U181/57</f>
        <v>0</v>
      </c>
    </row>
    <row r="182" spans="5:22">
      <c r="E182" s="30" t="str">
        <v>tengah</v>
      </c>
      <c r="F182" s="30">
        <f t="array" ref="F182">SUMPRODUCT((E170:E332="kiri")*(M2:M164=3))</f>
        <v>25</v>
      </c>
      <c r="G182" s="30">
        <f t="shared" si="7"/>
        <v>0.510204081632653</v>
      </c>
      <c r="J182" s="30" t="str">
        <v>tengah</v>
      </c>
      <c r="K182" s="30">
        <f>COUNTIFS($J$170:$J$332,"Kiri",$M$2:$M$164,"3")</f>
        <v>20</v>
      </c>
      <c r="L182" s="30">
        <f t="shared" si="8"/>
        <v>0.5</v>
      </c>
      <c r="O182" s="30" t="str">
        <v>kiri</v>
      </c>
      <c r="P182" s="30">
        <f>COUNTIFS($O$170:$O$332,"Kiri",$M$2:$M$164,"3")</f>
        <v>0</v>
      </c>
      <c r="Q182" s="30">
        <f t="shared" si="9"/>
        <v>0</v>
      </c>
      <c r="T182" s="30" t="str">
        <v>kanan</v>
      </c>
      <c r="U182" s="30">
        <f>COUNTIFS($T$170:$T$332,"Kiri",$M$2:$M$164,"3")</f>
        <v>0</v>
      </c>
      <c r="V182" s="30">
        <f>U182/57</f>
        <v>0</v>
      </c>
    </row>
    <row r="183" spans="5:22">
      <c r="E183" s="30" t="str">
        <v>kiri</v>
      </c>
      <c r="F183" s="30" t="s">
        <v>194</v>
      </c>
      <c r="G183" s="30">
        <f>-(IFERROR(G180*LOG(G180,2),0)+IFERROR(G181*LOG(G181,2),0)+IFERROR(G182*LOG(G182,2),0))</f>
        <v>1.31807787182714</v>
      </c>
      <c r="J183" s="30" t="str">
        <v>kiri</v>
      </c>
      <c r="K183" s="30" t="s">
        <v>194</v>
      </c>
      <c r="L183" s="30">
        <f>-(IFERROR(L180*LOG(L180,2),0)+IFERROR(L181*LOG(L181,2),0)+IFERROR(L182*LOG(L182,2),0))</f>
        <v>1.36096404744368</v>
      </c>
      <c r="O183" s="30" t="str">
        <v>tengah</v>
      </c>
      <c r="P183" s="30" t="s">
        <v>194</v>
      </c>
      <c r="Q183" s="30">
        <f>-(IFERROR(Q180*LOG(Q180,2),0)+IFERROR(Q181*LOG(Q181,2),0)+IFERROR(Q182*LOG(Q182,2),0))</f>
        <v>0.742487569542124</v>
      </c>
      <c r="T183" s="30" t="str">
        <v>tengah</v>
      </c>
      <c r="U183" s="30" t="s">
        <v>194</v>
      </c>
      <c r="V183" s="30">
        <f>-(IFERROR(V180*LOG(V180,2),0)+IFERROR(V181*LOG(V181,2),0)+IFERROR(V182*LOG(V182,2),0))</f>
        <v>0</v>
      </c>
    </row>
    <row r="184" spans="5:22">
      <c r="E184" s="30" t="str">
        <v>kanan</v>
      </c>
      <c r="F184" s="30"/>
      <c r="G184" s="30">
        <f>SUM(F180:F182)/163</f>
        <v>0.300613496932515</v>
      </c>
      <c r="J184" s="30" t="str">
        <v>tengah</v>
      </c>
      <c r="K184" s="30"/>
      <c r="L184" s="30">
        <f>SUM(K180:K182)/163</f>
        <v>0.245398773006135</v>
      </c>
      <c r="O184" s="30" t="str">
        <v>tengah</v>
      </c>
      <c r="P184" s="30"/>
      <c r="Q184" s="30">
        <f>SUM(P180:P182)/163</f>
        <v>0.349693251533742</v>
      </c>
      <c r="T184" s="30" t="str">
        <v>kanan</v>
      </c>
      <c r="U184" s="30"/>
      <c r="V184" s="30">
        <f>SUM(U180:U182)/163</f>
        <v>0</v>
      </c>
    </row>
    <row r="185" spans="5:22">
      <c r="E185" s="30" t="str">
        <v>tengah</v>
      </c>
      <c r="F185" s="30"/>
      <c r="G185" s="37">
        <f>G183*G184</f>
        <v>0.396231998279324</v>
      </c>
      <c r="J185" s="30" t="str">
        <v>kanan</v>
      </c>
      <c r="K185" s="30"/>
      <c r="L185" s="37">
        <f>L183*L184</f>
        <v>0.333978907348143</v>
      </c>
      <c r="O185" s="30" t="str">
        <v>kiri</v>
      </c>
      <c r="P185" s="30"/>
      <c r="Q185" s="37">
        <f>Q183*Q184</f>
        <v>0.259642892416571</v>
      </c>
      <c r="T185" s="30" t="str">
        <v>tengah</v>
      </c>
      <c r="U185" s="30"/>
      <c r="V185" s="37">
        <f>V183*V184</f>
        <v>0</v>
      </c>
    </row>
    <row r="186" spans="5:22">
      <c r="E186" s="30" t="str">
        <v>tengah</v>
      </c>
      <c r="F186" s="30"/>
      <c r="G186" s="30"/>
      <c r="J186" s="30" t="str">
        <v>tengah</v>
      </c>
      <c r="K186" s="30"/>
      <c r="L186" s="30"/>
      <c r="O186" s="30" t="str">
        <v>tengah</v>
      </c>
      <c r="P186" s="30"/>
      <c r="Q186" s="30"/>
      <c r="T186" s="30" t="str">
        <v>kanan</v>
      </c>
      <c r="U186" s="30"/>
      <c r="V186" s="30"/>
    </row>
    <row r="187" spans="5:22">
      <c r="E187" s="30" t="str">
        <v>kiri</v>
      </c>
      <c r="F187" s="30"/>
      <c r="G187" s="30"/>
      <c r="J187" s="30" t="str">
        <v>tengah</v>
      </c>
      <c r="K187" s="30"/>
      <c r="L187" s="30"/>
      <c r="O187" s="30" t="str">
        <v>tengah</v>
      </c>
      <c r="P187" s="30"/>
      <c r="Q187" s="30"/>
      <c r="T187" s="30" t="str">
        <v>kanan</v>
      </c>
      <c r="U187" s="30"/>
      <c r="V187" s="30"/>
    </row>
    <row r="188" spans="5:22">
      <c r="E188" s="30" t="str">
        <v>tengah</v>
      </c>
      <c r="F188" s="30" t="s">
        <v>199</v>
      </c>
      <c r="G188" s="30"/>
      <c r="J188" s="30" t="str">
        <v>kanan</v>
      </c>
      <c r="K188" s="30" t="s">
        <v>199</v>
      </c>
      <c r="L188" s="30"/>
      <c r="O188" s="30" t="str">
        <v>tengah</v>
      </c>
      <c r="P188" s="30" t="s">
        <v>199</v>
      </c>
      <c r="Q188" s="30"/>
      <c r="T188" s="30" t="str">
        <v>kanan</v>
      </c>
      <c r="U188" s="30" t="s">
        <v>199</v>
      </c>
      <c r="V188" s="30"/>
    </row>
    <row r="189" spans="5:22">
      <c r="E189" s="30" t="str">
        <v>tengah</v>
      </c>
      <c r="F189" s="30">
        <f t="array" ref="F189">SUMPRODUCT((E170:E332="tengah")*(M2:M164=1))</f>
        <v>7</v>
      </c>
      <c r="G189" s="30">
        <f>F189/86</f>
        <v>0.0813953488372093</v>
      </c>
      <c r="J189" s="30" t="str">
        <v>kanan</v>
      </c>
      <c r="K189" s="30">
        <f>COUNTIFS($J$170:$J$332,"Tengah",$M$2:$M$164,"1")</f>
        <v>6</v>
      </c>
      <c r="L189" s="30">
        <f>K189/89</f>
        <v>0.0674157303370786</v>
      </c>
      <c r="O189" s="30" t="str">
        <v>tengah</v>
      </c>
      <c r="P189" s="30">
        <f>COUNTIFS($O$170:$O$332,"Tengah",$M$2:$M$164,"1")</f>
        <v>0</v>
      </c>
      <c r="Q189" s="30">
        <f>P189/77</f>
        <v>0</v>
      </c>
      <c r="T189" s="30" t="str">
        <v>tengah</v>
      </c>
      <c r="U189" s="30">
        <f>COUNTIFS($T$170:$T$332,"Tengah",$M$2:$M$164,"1")</f>
        <v>5</v>
      </c>
      <c r="V189" s="30">
        <f>U189/82</f>
        <v>0.0609756097560976</v>
      </c>
    </row>
    <row r="190" spans="5:22">
      <c r="E190" s="30" t="str">
        <v>tengah</v>
      </c>
      <c r="F190" s="30">
        <f t="array" ref="F190">SUMPRODUCT((E170:E332="tengah")*(M2:M164=2))</f>
        <v>41</v>
      </c>
      <c r="G190" s="30">
        <f t="shared" ref="G190:G191" si="10">F190/86</f>
        <v>0.476744186046512</v>
      </c>
      <c r="J190" s="30" t="str">
        <v>tengah</v>
      </c>
      <c r="K190" s="30">
        <f>COUNTIFS($J$170:$J$332,"Tengah",$M$2:$M$164,"2")</f>
        <v>39</v>
      </c>
      <c r="L190" s="30">
        <f t="shared" ref="L190:L191" si="11">K190/89</f>
        <v>0.438202247191011</v>
      </c>
      <c r="O190" s="30" t="str">
        <v>tengah</v>
      </c>
      <c r="P190" s="30">
        <f>COUNTIFS($O$170:$O$332,"Tengah",$M$2:$M$164,"2")</f>
        <v>30</v>
      </c>
      <c r="Q190" s="30">
        <f t="shared" ref="Q190:Q191" si="12">P190/77</f>
        <v>0.38961038961039</v>
      </c>
      <c r="T190" s="30" t="str">
        <v>tengah</v>
      </c>
      <c r="U190" s="30">
        <f>COUNTIFS($T$170:$T$332,"Tengah",$M$2:$M$164,"2")</f>
        <v>45</v>
      </c>
      <c r="V190" s="30">
        <f t="shared" ref="V190:V191" si="13">U190/82</f>
        <v>0.548780487804878</v>
      </c>
    </row>
    <row r="191" spans="5:22">
      <c r="E191" s="30" t="str">
        <v>tengah</v>
      </c>
      <c r="F191" s="30">
        <f t="array" ref="F191">SUMPRODUCT((E170:E332="tengah")*(M2:M164=3))</f>
        <v>38</v>
      </c>
      <c r="G191" s="30">
        <f t="shared" si="10"/>
        <v>0.441860465116279</v>
      </c>
      <c r="J191" s="30" t="str">
        <v>tengah</v>
      </c>
      <c r="K191" s="30">
        <f>COUNTIFS($J$170:$J$332,"Tengah",$M$2:$M$164,"3")</f>
        <v>44</v>
      </c>
      <c r="L191" s="30">
        <f t="shared" si="11"/>
        <v>0.49438202247191</v>
      </c>
      <c r="O191" s="30" t="str">
        <v>tengah</v>
      </c>
      <c r="P191" s="30">
        <f>COUNTIFS($O$170:$O$332,"Tengah",$M$2:$M$164,"3")</f>
        <v>47</v>
      </c>
      <c r="Q191" s="30">
        <f t="shared" si="12"/>
        <v>0.61038961038961</v>
      </c>
      <c r="T191" s="30" t="str">
        <v>kanan</v>
      </c>
      <c r="U191" s="30">
        <f>COUNTIFS($T$170:$T$332,"Tengah",$M$2:$M$164,"3")</f>
        <v>30</v>
      </c>
      <c r="V191" s="30">
        <f t="shared" si="13"/>
        <v>0.365853658536585</v>
      </c>
    </row>
    <row r="192" spans="5:22">
      <c r="E192" s="30" t="str">
        <v>tengah</v>
      </c>
      <c r="F192" s="30" t="s">
        <v>194</v>
      </c>
      <c r="G192" s="30">
        <f>-(IFERROR(G189*LOG(G189,2),0)+IFERROR(G190*LOG(G190,2),0)+IFERROR(G191*LOG(G191,2),0))</f>
        <v>1.32472565988116</v>
      </c>
      <c r="J192" s="30" t="str">
        <v>kiri</v>
      </c>
      <c r="K192" s="30" t="s">
        <v>194</v>
      </c>
      <c r="L192" s="30">
        <f>-(IFERROR(L189*LOG(L189,2),0)+IFERROR(L190*LOG(L190,2),0)+IFERROR(L191*LOG(L191,2),0))</f>
        <v>1.28634632130352</v>
      </c>
      <c r="O192" s="30" t="str">
        <v>kiri</v>
      </c>
      <c r="P192" s="30" t="s">
        <v>194</v>
      </c>
      <c r="Q192" s="30">
        <f>-(IFERROR(Q189*LOG(Q189,2),0)+IFERROR(Q190*LOG(Q190,2),0)+IFERROR(Q191*LOG(Q191,2),0))</f>
        <v>0.964547658914323</v>
      </c>
      <c r="T192" s="30" t="str">
        <v>kanan</v>
      </c>
      <c r="U192" s="30" t="s">
        <v>194</v>
      </c>
      <c r="V192" s="30">
        <f>-(IFERROR(V189*LOG(V189,2),0)+IFERROR(V190*LOG(V190,2),0)+IFERROR(V191*LOG(V191,2),0))</f>
        <v>1.25188308160877</v>
      </c>
    </row>
    <row r="193" spans="5:22">
      <c r="E193" s="30" t="str">
        <v>tengah</v>
      </c>
      <c r="F193" s="30"/>
      <c r="G193" s="30">
        <f>SUM(F189:F191)/163</f>
        <v>0.52760736196319</v>
      </c>
      <c r="J193" s="30" t="str">
        <v>tengah</v>
      </c>
      <c r="K193" s="30"/>
      <c r="L193" s="30">
        <f>SUM(K189:K191)/163</f>
        <v>0.54601226993865</v>
      </c>
      <c r="O193" s="30" t="str">
        <v>tengah</v>
      </c>
      <c r="P193" s="30"/>
      <c r="Q193" s="30">
        <f>SUM(P189:P191)/163</f>
        <v>0.47239263803681</v>
      </c>
      <c r="T193" s="30" t="str">
        <v>kanan</v>
      </c>
      <c r="U193" s="30"/>
      <c r="V193" s="30">
        <f>SUM(U189:U191)/163</f>
        <v>0.49079754601227</v>
      </c>
    </row>
    <row r="194" spans="5:22">
      <c r="E194" s="30" t="str">
        <v>kiri</v>
      </c>
      <c r="F194" s="30"/>
      <c r="G194" s="37">
        <f>G192*G193</f>
        <v>0.698935010734844</v>
      </c>
      <c r="J194" s="30" t="str">
        <v>tengah</v>
      </c>
      <c r="K194" s="30"/>
      <c r="L194" s="37">
        <f>L192*L193</f>
        <v>0.70236087482217</v>
      </c>
      <c r="O194" s="30" t="str">
        <v>kanan</v>
      </c>
      <c r="P194" s="30"/>
      <c r="Q194" s="37">
        <f>Q192*Q193</f>
        <v>0.455645213106766</v>
      </c>
      <c r="T194" s="30" t="str">
        <v>tengah</v>
      </c>
      <c r="U194" s="30"/>
      <c r="V194" s="37">
        <f>V192*V193</f>
        <v>0.614421144347862</v>
      </c>
    </row>
    <row r="195" spans="5:22">
      <c r="E195" s="30" t="str">
        <v>tengah</v>
      </c>
      <c r="F195" s="30"/>
      <c r="G195" s="30"/>
      <c r="J195" s="30" t="str">
        <v>kiri</v>
      </c>
      <c r="K195" s="30"/>
      <c r="L195" s="30"/>
      <c r="O195" s="30" t="str">
        <v>tengah</v>
      </c>
      <c r="P195" s="30"/>
      <c r="Q195" s="30"/>
      <c r="T195" s="30" t="str">
        <v>kanan</v>
      </c>
      <c r="U195" s="30"/>
      <c r="V195" s="30"/>
    </row>
    <row r="196" spans="5:22">
      <c r="E196" s="30" t="str">
        <v>tengah</v>
      </c>
      <c r="F196" s="30" t="s">
        <v>200</v>
      </c>
      <c r="G196" s="36" t="s">
        <v>194</v>
      </c>
      <c r="J196" s="30" t="str">
        <v>kanan</v>
      </c>
      <c r="K196" s="30" t="s">
        <v>200</v>
      </c>
      <c r="L196" s="36" t="s">
        <v>194</v>
      </c>
      <c r="O196" s="30" t="str">
        <v>kiri</v>
      </c>
      <c r="P196" s="30" t="s">
        <v>200</v>
      </c>
      <c r="Q196" s="36" t="s">
        <v>194</v>
      </c>
      <c r="T196" s="30" t="str">
        <v>kanan</v>
      </c>
      <c r="U196" s="30" t="s">
        <v>200</v>
      </c>
      <c r="V196" s="36" t="s">
        <v>194</v>
      </c>
    </row>
    <row r="197" spans="5:22">
      <c r="E197" s="30" t="str">
        <v>kiri</v>
      </c>
      <c r="F197" s="41">
        <f>P5-(G176+G185+G194)</f>
        <v>0.00680841275967259</v>
      </c>
      <c r="G197" s="37">
        <f>(G176+G185+G194)</f>
        <v>1.29883113522872</v>
      </c>
      <c r="J197" s="30" t="str">
        <v>kiri</v>
      </c>
      <c r="K197" s="41">
        <f>P5-(L176+L185+L194)</f>
        <v>0.0146026817928644</v>
      </c>
      <c r="L197" s="37">
        <f>(L176+L185+L194)</f>
        <v>1.29103686619553</v>
      </c>
      <c r="O197" s="30" t="str">
        <v>kiri</v>
      </c>
      <c r="P197" s="41">
        <f>P5-(Q176+Q185+Q194)</f>
        <v>0.590351442465057</v>
      </c>
      <c r="Q197" s="37">
        <f>(Q176+Q185+Q194)</f>
        <v>0.715288105523337</v>
      </c>
      <c r="T197" s="30" t="str">
        <v>tengah</v>
      </c>
      <c r="U197" s="41">
        <f>P5-(V176+V185+V194)</f>
        <v>0.0274992594656038</v>
      </c>
      <c r="V197" s="37">
        <f>(V176+V185+V194)</f>
        <v>1.27814028852279</v>
      </c>
    </row>
    <row r="198" spans="5:22">
      <c r="E198" s="30" t="str">
        <v>tengah</v>
      </c>
      <c r="F198" s="30"/>
      <c r="G198" s="30"/>
      <c r="J198" s="30" t="str">
        <v>tengah</v>
      </c>
      <c r="K198" s="30"/>
      <c r="L198" s="30"/>
      <c r="O198" s="30" t="str">
        <v>kanan</v>
      </c>
      <c r="P198" s="30"/>
      <c r="Q198" s="30"/>
      <c r="T198" s="30" t="str">
        <v>tengah</v>
      </c>
      <c r="U198" s="30"/>
      <c r="V198" s="30"/>
    </row>
    <row r="199" spans="5:22">
      <c r="E199" s="30" t="str">
        <v>kanan</v>
      </c>
      <c r="F199" s="30"/>
      <c r="G199" s="30"/>
      <c r="J199" s="30" t="str">
        <v>kiri</v>
      </c>
      <c r="K199" s="30"/>
      <c r="L199" s="30"/>
      <c r="O199" s="30" t="str">
        <v>kanan</v>
      </c>
      <c r="P199" s="30"/>
      <c r="Q199" s="30"/>
      <c r="T199" s="30" t="str">
        <v>kanan</v>
      </c>
      <c r="U199" s="30"/>
      <c r="V199" s="30"/>
    </row>
    <row r="200" spans="5:22">
      <c r="E200" s="30" t="str">
        <v>tengah</v>
      </c>
      <c r="F200" s="30"/>
      <c r="G200" s="30"/>
      <c r="J200" s="30" t="str">
        <v>tengah</v>
      </c>
      <c r="K200" s="30"/>
      <c r="L200" s="30"/>
      <c r="O200" s="30" t="str">
        <v>kiri</v>
      </c>
      <c r="P200" s="30"/>
      <c r="Q200" s="30"/>
      <c r="T200" s="30" t="str">
        <v>kanan</v>
      </c>
      <c r="U200" s="30"/>
      <c r="V200" s="30"/>
    </row>
    <row r="201" spans="5:22">
      <c r="E201" s="30" t="str">
        <v>tengah</v>
      </c>
      <c r="F201" s="30"/>
      <c r="G201" s="30"/>
      <c r="J201" s="30" t="str">
        <v>kiri</v>
      </c>
      <c r="K201" s="30"/>
      <c r="L201" s="30"/>
      <c r="O201" s="30" t="str">
        <v>tengah</v>
      </c>
      <c r="P201" s="30"/>
      <c r="Q201" s="30"/>
      <c r="T201" s="30" t="str">
        <v>tengah</v>
      </c>
      <c r="U201" s="30"/>
      <c r="V201" s="30"/>
    </row>
    <row r="202" spans="5:22">
      <c r="E202" s="30" t="str">
        <v>tengah</v>
      </c>
      <c r="F202" s="30"/>
      <c r="G202" s="30"/>
      <c r="J202" s="30" t="str">
        <v>kiri</v>
      </c>
      <c r="K202" s="30"/>
      <c r="L202" s="30"/>
      <c r="O202" s="30" t="str">
        <v>kanan</v>
      </c>
      <c r="P202" s="30"/>
      <c r="Q202" s="30"/>
      <c r="T202" s="30" t="str">
        <v>kanan</v>
      </c>
      <c r="U202" s="30"/>
      <c r="V202" s="30"/>
    </row>
    <row r="203" spans="5:22">
      <c r="E203" s="30" t="str">
        <v>tengah</v>
      </c>
      <c r="F203" s="30"/>
      <c r="G203" s="30"/>
      <c r="J203" s="30" t="str">
        <v>kiri</v>
      </c>
      <c r="K203" s="30"/>
      <c r="L203" s="30"/>
      <c r="O203" s="30" t="str">
        <v>tengah</v>
      </c>
      <c r="P203" s="30"/>
      <c r="Q203" s="30"/>
      <c r="T203" s="30" t="str">
        <v>kanan</v>
      </c>
      <c r="U203" s="30"/>
      <c r="V203" s="30"/>
    </row>
    <row r="204" spans="5:22">
      <c r="E204" s="30" t="str">
        <v>tengah</v>
      </c>
      <c r="F204" s="30"/>
      <c r="G204" s="30"/>
      <c r="J204" s="30" t="str">
        <v>kanan</v>
      </c>
      <c r="K204" s="30"/>
      <c r="L204" s="30"/>
      <c r="O204" s="30" t="str">
        <v>tengah</v>
      </c>
      <c r="P204" s="30"/>
      <c r="Q204" s="30"/>
      <c r="T204" s="30" t="str">
        <v>tengah</v>
      </c>
      <c r="U204" s="30"/>
      <c r="V204" s="30"/>
    </row>
    <row r="205" spans="5:22">
      <c r="E205" s="30" t="str">
        <v>tengah</v>
      </c>
      <c r="F205" s="30"/>
      <c r="G205" s="30"/>
      <c r="J205" s="30" t="str">
        <v>tengah</v>
      </c>
      <c r="K205" s="30"/>
      <c r="L205" s="30"/>
      <c r="O205" s="30" t="str">
        <v>kanan</v>
      </c>
      <c r="P205" s="30"/>
      <c r="Q205" s="30"/>
      <c r="T205" s="30" t="str">
        <v>kanan</v>
      </c>
      <c r="U205" s="30"/>
      <c r="V205" s="30"/>
    </row>
    <row r="206" spans="5:22">
      <c r="E206" s="30" t="str">
        <v>tengah</v>
      </c>
      <c r="F206" s="30"/>
      <c r="G206" s="30"/>
      <c r="J206" s="30" t="str">
        <v>kiri</v>
      </c>
      <c r="K206" s="30"/>
      <c r="L206" s="30"/>
      <c r="O206" s="30" t="str">
        <v>tengah</v>
      </c>
      <c r="P206" s="30"/>
      <c r="Q206" s="30"/>
      <c r="T206" s="30" t="str">
        <v>kanan</v>
      </c>
      <c r="U206" s="30"/>
      <c r="V206" s="30"/>
    </row>
    <row r="207" spans="5:22">
      <c r="E207" s="30" t="str">
        <v>kanan</v>
      </c>
      <c r="F207" s="30"/>
      <c r="G207" s="30"/>
      <c r="J207" s="30" t="str">
        <v>tengah</v>
      </c>
      <c r="K207" s="30"/>
      <c r="L207" s="30"/>
      <c r="O207" s="30" t="str">
        <v>tengah</v>
      </c>
      <c r="P207" s="30"/>
      <c r="Q207" s="30"/>
      <c r="T207" s="30" t="str">
        <v>tengah</v>
      </c>
      <c r="U207" s="30"/>
      <c r="V207" s="30"/>
    </row>
    <row r="208" spans="5:22">
      <c r="E208" s="30" t="str">
        <v>kanan</v>
      </c>
      <c r="F208" s="30"/>
      <c r="G208" s="30"/>
      <c r="J208" s="30" t="str">
        <v>kanan</v>
      </c>
      <c r="K208" s="30"/>
      <c r="L208" s="30"/>
      <c r="O208" s="30" t="str">
        <v>kiri</v>
      </c>
      <c r="P208" s="30"/>
      <c r="Q208" s="30"/>
      <c r="T208" s="30" t="str">
        <v>kanan</v>
      </c>
      <c r="U208" s="30"/>
      <c r="V208" s="30"/>
    </row>
    <row r="209" spans="5:22">
      <c r="E209" s="30" t="str">
        <v>kiri</v>
      </c>
      <c r="F209" s="30"/>
      <c r="G209" s="30"/>
      <c r="J209" s="30" t="str">
        <v>tengah</v>
      </c>
      <c r="K209" s="30"/>
      <c r="L209" s="30"/>
      <c r="O209" s="30" t="str">
        <v>kanan</v>
      </c>
      <c r="P209" s="30"/>
      <c r="Q209" s="30"/>
      <c r="T209" s="30" t="str">
        <v>kanan</v>
      </c>
      <c r="U209" s="30"/>
      <c r="V209" s="30"/>
    </row>
    <row r="210" spans="5:22">
      <c r="E210" s="30" t="str">
        <v>kiri</v>
      </c>
      <c r="F210" s="30"/>
      <c r="G210" s="30"/>
      <c r="J210" s="30" t="str">
        <v>tengah</v>
      </c>
      <c r="K210" s="30"/>
      <c r="L210" s="30"/>
      <c r="O210" s="30" t="str">
        <v>kanan</v>
      </c>
      <c r="P210" s="30"/>
      <c r="Q210" s="30"/>
      <c r="T210" s="30" t="str">
        <v>kanan</v>
      </c>
      <c r="U210" s="30"/>
      <c r="V210" s="30"/>
    </row>
    <row r="211" spans="5:22">
      <c r="E211" s="30" t="str">
        <v>tengah</v>
      </c>
      <c r="F211" s="30"/>
      <c r="G211" s="30"/>
      <c r="J211" s="30" t="str">
        <v>tengah</v>
      </c>
      <c r="K211" s="30"/>
      <c r="L211" s="30"/>
      <c r="O211" s="30" t="str">
        <v>tengah</v>
      </c>
      <c r="P211" s="30"/>
      <c r="Q211" s="30"/>
      <c r="T211" s="30" t="str">
        <v>tengah</v>
      </c>
      <c r="U211" s="30"/>
      <c r="V211" s="30"/>
    </row>
    <row r="212" spans="5:22">
      <c r="E212" s="30" t="str">
        <v>kiri</v>
      </c>
      <c r="F212" s="30"/>
      <c r="G212" s="30"/>
      <c r="J212" s="30" t="str">
        <v>tengah</v>
      </c>
      <c r="K212" s="30"/>
      <c r="L212" s="30"/>
      <c r="O212" s="30" t="str">
        <v>tengah</v>
      </c>
      <c r="P212" s="30"/>
      <c r="Q212" s="30"/>
      <c r="T212" s="30" t="str">
        <v>tengah</v>
      </c>
      <c r="U212" s="30"/>
      <c r="V212" s="30"/>
    </row>
    <row r="213" spans="5:22">
      <c r="E213" s="30" t="str">
        <v>tengah</v>
      </c>
      <c r="F213" s="30"/>
      <c r="G213" s="30"/>
      <c r="J213" s="30" t="str">
        <v>kanan</v>
      </c>
      <c r="K213" s="30"/>
      <c r="L213" s="30"/>
      <c r="O213" s="30" t="str">
        <v>kiri</v>
      </c>
      <c r="P213" s="30"/>
      <c r="Q213" s="30"/>
      <c r="T213" s="30" t="str">
        <v>tengah</v>
      </c>
      <c r="U213" s="30"/>
      <c r="V213" s="30"/>
    </row>
    <row r="214" spans="5:22">
      <c r="E214" s="30" t="str">
        <v>tengah</v>
      </c>
      <c r="F214" s="30"/>
      <c r="G214" s="30"/>
      <c r="J214" s="30" t="str">
        <v>tengah</v>
      </c>
      <c r="K214" s="30"/>
      <c r="L214" s="30"/>
      <c r="O214" s="30" t="str">
        <v>kanan</v>
      </c>
      <c r="P214" s="30"/>
      <c r="Q214" s="30"/>
      <c r="T214" s="30" t="str">
        <v>kanan</v>
      </c>
      <c r="U214" s="30"/>
      <c r="V214" s="30"/>
    </row>
    <row r="215" spans="5:22">
      <c r="E215" s="30" t="str">
        <v>kanan</v>
      </c>
      <c r="F215" s="30"/>
      <c r="G215" s="30"/>
      <c r="J215" s="30" t="str">
        <v>tengah</v>
      </c>
      <c r="K215" s="30"/>
      <c r="L215" s="30"/>
      <c r="O215" s="30" t="str">
        <v>tengah</v>
      </c>
      <c r="P215" s="30"/>
      <c r="Q215" s="30"/>
      <c r="T215" s="30" t="str">
        <v>kanan</v>
      </c>
      <c r="U215" s="30"/>
      <c r="V215" s="30"/>
    </row>
    <row r="216" spans="5:22">
      <c r="E216" s="30" t="str">
        <v>kanan</v>
      </c>
      <c r="F216" s="30"/>
      <c r="G216" s="30"/>
      <c r="J216" s="30" t="str">
        <v>tengah</v>
      </c>
      <c r="K216" s="30"/>
      <c r="L216" s="30"/>
      <c r="O216" s="30" t="str">
        <v>tengah</v>
      </c>
      <c r="P216" s="30"/>
      <c r="Q216" s="30"/>
      <c r="T216" s="30" t="str">
        <v>kanan</v>
      </c>
      <c r="U216" s="30"/>
      <c r="V216" s="30"/>
    </row>
    <row r="217" spans="5:22">
      <c r="E217" s="30" t="str">
        <v>tengah</v>
      </c>
      <c r="F217" s="30"/>
      <c r="G217" s="30"/>
      <c r="J217" s="30" t="str">
        <v>tengah</v>
      </c>
      <c r="K217" s="30"/>
      <c r="L217" s="30"/>
      <c r="O217" s="30" t="str">
        <v>kiri</v>
      </c>
      <c r="P217" s="30"/>
      <c r="Q217" s="30"/>
      <c r="T217" s="30" t="str">
        <v>tengah</v>
      </c>
      <c r="U217" s="30"/>
      <c r="V217" s="30"/>
    </row>
    <row r="218" spans="5:22">
      <c r="E218" s="30" t="str">
        <v>tengah</v>
      </c>
      <c r="F218" s="30"/>
      <c r="G218" s="30"/>
      <c r="J218" s="30" t="str">
        <v>kiri</v>
      </c>
      <c r="K218" s="30"/>
      <c r="L218" s="30"/>
      <c r="O218" s="30" t="str">
        <v>kiri</v>
      </c>
      <c r="P218" s="30"/>
      <c r="Q218" s="30"/>
      <c r="T218" s="30" t="str">
        <v>tengah</v>
      </c>
      <c r="U218" s="30"/>
      <c r="V218" s="30"/>
    </row>
    <row r="219" spans="5:22">
      <c r="E219" s="30" t="str">
        <v>kanan</v>
      </c>
      <c r="F219" s="30"/>
      <c r="G219" s="30"/>
      <c r="J219" s="30" t="str">
        <v>tengah</v>
      </c>
      <c r="K219" s="30"/>
      <c r="L219" s="30"/>
      <c r="O219" s="30" t="str">
        <v>tengah</v>
      </c>
      <c r="P219" s="30"/>
      <c r="Q219" s="30"/>
      <c r="T219" s="30" t="str">
        <v>tengah</v>
      </c>
      <c r="U219" s="30"/>
      <c r="V219" s="30"/>
    </row>
    <row r="220" spans="5:22">
      <c r="E220" s="30" t="str">
        <v>tengah</v>
      </c>
      <c r="F220" s="30"/>
      <c r="G220" s="30"/>
      <c r="J220" s="30" t="str">
        <v>tengah</v>
      </c>
      <c r="K220" s="30"/>
      <c r="L220" s="30"/>
      <c r="O220" s="30" t="str">
        <v>kiri</v>
      </c>
      <c r="P220" s="30"/>
      <c r="Q220" s="30"/>
      <c r="T220" s="30" t="str">
        <v>tengah</v>
      </c>
      <c r="U220" s="30"/>
      <c r="V220" s="30"/>
    </row>
    <row r="221" spans="5:22">
      <c r="E221" s="30" t="str">
        <v>kiri</v>
      </c>
      <c r="F221" s="30"/>
      <c r="G221" s="30"/>
      <c r="J221" s="30" t="str">
        <v>kiri</v>
      </c>
      <c r="K221" s="30"/>
      <c r="L221" s="30"/>
      <c r="O221" s="30" t="str">
        <v>tengah</v>
      </c>
      <c r="P221" s="30"/>
      <c r="Q221" s="30"/>
      <c r="T221" s="30" t="str">
        <v>kanan</v>
      </c>
      <c r="U221" s="30"/>
      <c r="V221" s="30"/>
    </row>
    <row r="222" spans="5:22">
      <c r="E222" s="30" t="str">
        <v>tengah</v>
      </c>
      <c r="F222" s="30"/>
      <c r="G222" s="30"/>
      <c r="J222" s="30" t="str">
        <v>kanan</v>
      </c>
      <c r="K222" s="30"/>
      <c r="L222" s="30"/>
      <c r="O222" s="30" t="str">
        <v>kiri</v>
      </c>
      <c r="P222" s="30"/>
      <c r="Q222" s="30"/>
      <c r="T222" s="30" t="str">
        <v>tengah</v>
      </c>
      <c r="U222" s="30"/>
      <c r="V222" s="30"/>
    </row>
    <row r="223" spans="5:22">
      <c r="E223" s="30" t="str">
        <v>tengah</v>
      </c>
      <c r="F223" s="30"/>
      <c r="G223" s="30"/>
      <c r="J223" s="30" t="str">
        <v>kanan</v>
      </c>
      <c r="K223" s="30"/>
      <c r="L223" s="30"/>
      <c r="O223" s="30" t="str">
        <v>tengah</v>
      </c>
      <c r="P223" s="30"/>
      <c r="Q223" s="30"/>
      <c r="T223" s="30" t="str">
        <v>tengah</v>
      </c>
      <c r="U223" s="30"/>
      <c r="V223" s="30"/>
    </row>
    <row r="224" spans="5:22">
      <c r="E224" s="30" t="str">
        <v>tengah</v>
      </c>
      <c r="F224" s="30"/>
      <c r="G224" s="30"/>
      <c r="J224" s="30" t="str">
        <v>kiri</v>
      </c>
      <c r="K224" s="30"/>
      <c r="L224" s="30"/>
      <c r="O224" s="30" t="str">
        <v>kanan</v>
      </c>
      <c r="P224" s="30"/>
      <c r="Q224" s="30"/>
      <c r="T224" s="30" t="str">
        <v>tengah</v>
      </c>
      <c r="U224" s="30"/>
      <c r="V224" s="30"/>
    </row>
    <row r="225" spans="5:22">
      <c r="E225" s="30" t="str">
        <v>kiri</v>
      </c>
      <c r="F225" s="30"/>
      <c r="G225" s="30"/>
      <c r="J225" s="30" t="str">
        <v>kiri</v>
      </c>
      <c r="K225" s="30"/>
      <c r="L225" s="30"/>
      <c r="O225" s="30" t="str">
        <v>kanan</v>
      </c>
      <c r="P225" s="30"/>
      <c r="Q225" s="30"/>
      <c r="T225" s="30" t="str">
        <v>kanan</v>
      </c>
      <c r="U225" s="30"/>
      <c r="V225" s="30"/>
    </row>
    <row r="226" spans="5:22">
      <c r="E226" s="30" t="str">
        <v>kiri</v>
      </c>
      <c r="F226" s="30"/>
      <c r="G226" s="30"/>
      <c r="J226" s="30" t="str">
        <v>kiri</v>
      </c>
      <c r="K226" s="30"/>
      <c r="L226" s="30"/>
      <c r="O226" s="30" t="str">
        <v>kanan</v>
      </c>
      <c r="P226" s="30"/>
      <c r="Q226" s="30"/>
      <c r="T226" s="30" t="str">
        <v>tengah</v>
      </c>
      <c r="U226" s="30"/>
      <c r="V226" s="30"/>
    </row>
    <row r="227" spans="5:22">
      <c r="E227" s="30" t="str">
        <v>kiri</v>
      </c>
      <c r="F227" s="30"/>
      <c r="G227" s="30"/>
      <c r="J227" s="30" t="str">
        <v>tengah</v>
      </c>
      <c r="K227" s="30"/>
      <c r="L227" s="30"/>
      <c r="O227" s="30" t="str">
        <v>tengah</v>
      </c>
      <c r="P227" s="30"/>
      <c r="Q227" s="30"/>
      <c r="T227" s="30" t="str">
        <v>kanan</v>
      </c>
      <c r="U227" s="30"/>
      <c r="V227" s="30"/>
    </row>
    <row r="228" spans="5:22">
      <c r="E228" s="30" t="str">
        <v>kanan</v>
      </c>
      <c r="F228" s="30"/>
      <c r="G228" s="30"/>
      <c r="J228" s="30" t="str">
        <v>tengah</v>
      </c>
      <c r="K228" s="30"/>
      <c r="L228" s="30"/>
      <c r="O228" s="30" t="str">
        <v>tengah</v>
      </c>
      <c r="P228" s="30"/>
      <c r="Q228" s="30"/>
      <c r="T228" s="30" t="str">
        <v>tengah</v>
      </c>
      <c r="U228" s="30"/>
      <c r="V228" s="30"/>
    </row>
    <row r="229" spans="5:22">
      <c r="E229" s="30" t="str">
        <v>tengah</v>
      </c>
      <c r="F229" s="30"/>
      <c r="G229" s="30"/>
      <c r="J229" s="30" t="str">
        <v>tengah</v>
      </c>
      <c r="K229" s="30"/>
      <c r="L229" s="30"/>
      <c r="O229" s="30" t="str">
        <v>kiri</v>
      </c>
      <c r="P229" s="30"/>
      <c r="Q229" s="30"/>
      <c r="T229" s="30" t="str">
        <v>tengah</v>
      </c>
      <c r="U229" s="30"/>
      <c r="V229" s="30"/>
    </row>
    <row r="230" spans="5:22">
      <c r="E230" s="30" t="str">
        <v>tengah</v>
      </c>
      <c r="F230" s="30"/>
      <c r="G230" s="30"/>
      <c r="J230" s="30" t="str">
        <v>tengah</v>
      </c>
      <c r="K230" s="30"/>
      <c r="L230" s="30"/>
      <c r="O230" s="30" t="str">
        <v>kiri</v>
      </c>
      <c r="P230" s="30"/>
      <c r="Q230" s="30"/>
      <c r="T230" s="30" t="str">
        <v>kanan</v>
      </c>
      <c r="U230" s="30"/>
      <c r="V230" s="30"/>
    </row>
    <row r="231" spans="5:22">
      <c r="E231" s="30" t="str">
        <v>kanan</v>
      </c>
      <c r="F231" s="30"/>
      <c r="G231" s="30"/>
      <c r="J231" s="30" t="str">
        <v>tengah</v>
      </c>
      <c r="K231" s="30"/>
      <c r="L231" s="30"/>
      <c r="O231" s="30" t="str">
        <v>kanan</v>
      </c>
      <c r="P231" s="30"/>
      <c r="Q231" s="30"/>
      <c r="T231" s="30" t="str">
        <v>kanan</v>
      </c>
      <c r="U231" s="30"/>
      <c r="V231" s="30"/>
    </row>
    <row r="232" spans="5:22">
      <c r="E232" s="30" t="str">
        <v>kiri</v>
      </c>
      <c r="F232" s="30"/>
      <c r="G232" s="30"/>
      <c r="J232" s="30" t="str">
        <v>tengah</v>
      </c>
      <c r="K232" s="30"/>
      <c r="L232" s="30"/>
      <c r="O232" s="30" t="str">
        <v>kanan</v>
      </c>
      <c r="P232" s="30"/>
      <c r="Q232" s="30"/>
      <c r="T232" s="30" t="str">
        <v>tengah</v>
      </c>
      <c r="U232" s="30"/>
      <c r="V232" s="30"/>
    </row>
    <row r="233" spans="5:22">
      <c r="E233" s="30" t="str">
        <v>kiri</v>
      </c>
      <c r="F233" s="30"/>
      <c r="G233" s="30"/>
      <c r="J233" s="30" t="str">
        <v>kiri</v>
      </c>
      <c r="K233" s="30"/>
      <c r="L233" s="30"/>
      <c r="O233" s="30" t="str">
        <v>tengah</v>
      </c>
      <c r="P233" s="30"/>
      <c r="Q233" s="30"/>
      <c r="T233" s="30" t="str">
        <v>kanan</v>
      </c>
      <c r="U233" s="30"/>
      <c r="V233" s="30"/>
    </row>
    <row r="234" spans="5:22">
      <c r="E234" s="30" t="str">
        <v>kanan</v>
      </c>
      <c r="F234" s="30"/>
      <c r="G234" s="30"/>
      <c r="J234" s="30" t="str">
        <v>kanan</v>
      </c>
      <c r="K234" s="30"/>
      <c r="L234" s="30"/>
      <c r="O234" s="30" t="str">
        <v>tengah</v>
      </c>
      <c r="P234" s="30"/>
      <c r="Q234" s="30"/>
      <c r="T234" s="30" t="str">
        <v>tengah</v>
      </c>
      <c r="U234" s="30"/>
      <c r="V234" s="30"/>
    </row>
    <row r="235" spans="5:22">
      <c r="E235" s="30" t="str">
        <v>tengah</v>
      </c>
      <c r="F235" s="30"/>
      <c r="G235" s="30"/>
      <c r="J235" s="30" t="str">
        <v>tengah</v>
      </c>
      <c r="K235" s="30"/>
      <c r="L235" s="30"/>
      <c r="O235" s="30" t="str">
        <v>tengah</v>
      </c>
      <c r="P235" s="30"/>
      <c r="Q235" s="30"/>
      <c r="T235" s="30" t="str">
        <v>kanan</v>
      </c>
      <c r="U235" s="30"/>
      <c r="V235" s="30"/>
    </row>
    <row r="236" spans="5:22">
      <c r="E236" s="30" t="str">
        <v>tengah</v>
      </c>
      <c r="F236" s="30"/>
      <c r="G236" s="30"/>
      <c r="J236" s="30" t="str">
        <v>kanan</v>
      </c>
      <c r="K236" s="30"/>
      <c r="L236" s="30"/>
      <c r="O236" s="30" t="str">
        <v>tengah</v>
      </c>
      <c r="P236" s="30"/>
      <c r="Q236" s="30"/>
      <c r="T236" s="30" t="str">
        <v>kanan</v>
      </c>
      <c r="U236" s="30"/>
      <c r="V236" s="30"/>
    </row>
    <row r="237" spans="5:22">
      <c r="E237" s="30" t="str">
        <v>kanan</v>
      </c>
      <c r="F237" s="30"/>
      <c r="G237" s="30"/>
      <c r="J237" s="30" t="str">
        <v>tengah</v>
      </c>
      <c r="K237" s="30"/>
      <c r="L237" s="30"/>
      <c r="O237" s="30" t="str">
        <v>tengah</v>
      </c>
      <c r="P237" s="30"/>
      <c r="Q237" s="30"/>
      <c r="T237" s="30" t="str">
        <v>tengah</v>
      </c>
      <c r="U237" s="30"/>
      <c r="V237" s="30"/>
    </row>
    <row r="238" spans="5:22">
      <c r="E238" s="30" t="str">
        <v>tengah</v>
      </c>
      <c r="F238" s="30"/>
      <c r="G238" s="30"/>
      <c r="J238" s="30" t="str">
        <v>kiri</v>
      </c>
      <c r="K238" s="30"/>
      <c r="L238" s="30"/>
      <c r="O238" s="30" t="str">
        <v>tengah</v>
      </c>
      <c r="P238" s="30"/>
      <c r="Q238" s="30"/>
      <c r="T238" s="30" t="str">
        <v>kanan</v>
      </c>
      <c r="U238" s="30"/>
      <c r="V238" s="30"/>
    </row>
    <row r="239" spans="5:22">
      <c r="E239" s="30" t="str">
        <v>tengah</v>
      </c>
      <c r="F239" s="30"/>
      <c r="G239" s="30"/>
      <c r="J239" s="30" t="str">
        <v>tengah</v>
      </c>
      <c r="K239" s="30"/>
      <c r="L239" s="30"/>
      <c r="O239" s="30" t="str">
        <v>kiri</v>
      </c>
      <c r="P239" s="30"/>
      <c r="Q239" s="30"/>
      <c r="T239" s="30" t="str">
        <v>kanan</v>
      </c>
      <c r="U239" s="30"/>
      <c r="V239" s="30"/>
    </row>
    <row r="240" spans="5:22">
      <c r="E240" s="30" t="str">
        <v>tengah</v>
      </c>
      <c r="F240" s="30"/>
      <c r="G240" s="30"/>
      <c r="J240" s="30" t="str">
        <v>kanan</v>
      </c>
      <c r="K240" s="30"/>
      <c r="L240" s="30"/>
      <c r="O240" s="30" t="str">
        <v>tengah</v>
      </c>
      <c r="P240" s="30"/>
      <c r="Q240" s="30"/>
      <c r="T240" s="30" t="str">
        <v>tengah</v>
      </c>
      <c r="U240" s="30"/>
      <c r="V240" s="30"/>
    </row>
    <row r="241" spans="5:22">
      <c r="E241" s="30" t="str">
        <v>kanan</v>
      </c>
      <c r="F241" s="30"/>
      <c r="G241" s="30"/>
      <c r="J241" s="30" t="str">
        <v>kiri</v>
      </c>
      <c r="K241" s="30"/>
      <c r="L241" s="30"/>
      <c r="O241" s="30" t="str">
        <v>kiri</v>
      </c>
      <c r="P241" s="30"/>
      <c r="Q241" s="30"/>
      <c r="T241" s="30" t="str">
        <v>tengah</v>
      </c>
      <c r="U241" s="30"/>
      <c r="V241" s="30"/>
    </row>
    <row r="242" spans="5:22">
      <c r="E242" s="30" t="str">
        <v>tengah</v>
      </c>
      <c r="F242" s="30"/>
      <c r="G242" s="30"/>
      <c r="J242" s="30" t="str">
        <v>kanan</v>
      </c>
      <c r="K242" s="30"/>
      <c r="L242" s="30"/>
      <c r="O242" s="30" t="str">
        <v>kiri</v>
      </c>
      <c r="P242" s="30"/>
      <c r="Q242" s="30"/>
      <c r="T242" s="30" t="str">
        <v>tengah</v>
      </c>
      <c r="U242" s="30"/>
      <c r="V242" s="30"/>
    </row>
    <row r="243" spans="5:22">
      <c r="E243" s="30" t="str">
        <v>tengah</v>
      </c>
      <c r="F243" s="30"/>
      <c r="G243" s="30"/>
      <c r="J243" s="30" t="str">
        <v>tengah</v>
      </c>
      <c r="K243" s="30"/>
      <c r="L243" s="30"/>
      <c r="O243" s="30" t="str">
        <v>kiri</v>
      </c>
      <c r="P243" s="30"/>
      <c r="Q243" s="30"/>
      <c r="T243" s="30" t="str">
        <v>kanan</v>
      </c>
      <c r="U243" s="30"/>
      <c r="V243" s="30"/>
    </row>
    <row r="244" spans="5:22">
      <c r="E244" s="30" t="str">
        <v>kanan</v>
      </c>
      <c r="F244" s="30"/>
      <c r="G244" s="30"/>
      <c r="J244" s="30" t="str">
        <v>tengah</v>
      </c>
      <c r="K244" s="30"/>
      <c r="L244" s="30"/>
      <c r="O244" s="30" t="str">
        <v>kanan</v>
      </c>
      <c r="P244" s="30"/>
      <c r="Q244" s="30"/>
      <c r="T244" s="30" t="str">
        <v>kanan</v>
      </c>
      <c r="U244" s="30"/>
      <c r="V244" s="30"/>
    </row>
    <row r="245" spans="5:22">
      <c r="E245" s="30" t="str">
        <v>tengah</v>
      </c>
      <c r="F245" s="30"/>
      <c r="G245" s="30"/>
      <c r="J245" s="30" t="str">
        <v>tengah</v>
      </c>
      <c r="K245" s="30"/>
      <c r="L245" s="30"/>
      <c r="O245" s="30" t="str">
        <v>tengah</v>
      </c>
      <c r="P245" s="30"/>
      <c r="Q245" s="30"/>
      <c r="T245" s="30" t="str">
        <v>tengah</v>
      </c>
      <c r="U245" s="30"/>
      <c r="V245" s="30"/>
    </row>
    <row r="246" spans="5:22">
      <c r="E246" s="30" t="str">
        <v>kanan</v>
      </c>
      <c r="F246" s="30"/>
      <c r="G246" s="30"/>
      <c r="J246" s="30" t="str">
        <v>kanan</v>
      </c>
      <c r="K246" s="30"/>
      <c r="L246" s="30"/>
      <c r="O246" s="30" t="str">
        <v>kiri</v>
      </c>
      <c r="P246" s="30"/>
      <c r="Q246" s="30"/>
      <c r="T246" s="30" t="str">
        <v>tengah</v>
      </c>
      <c r="U246" s="30"/>
      <c r="V246" s="30"/>
    </row>
    <row r="247" spans="5:22">
      <c r="E247" s="30" t="str">
        <v>tengah</v>
      </c>
      <c r="F247" s="30"/>
      <c r="G247" s="30"/>
      <c r="J247" s="30" t="str">
        <v>tengah</v>
      </c>
      <c r="K247" s="30"/>
      <c r="L247" s="30"/>
      <c r="O247" s="30" t="str">
        <v>tengah</v>
      </c>
      <c r="P247" s="30"/>
      <c r="Q247" s="30"/>
      <c r="T247" s="30" t="str">
        <v>tengah</v>
      </c>
      <c r="U247" s="30"/>
      <c r="V247" s="30"/>
    </row>
    <row r="248" spans="5:22">
      <c r="E248" s="30" t="str">
        <v>tengah</v>
      </c>
      <c r="F248" s="30"/>
      <c r="G248" s="30"/>
      <c r="J248" s="30" t="str">
        <v>kanan</v>
      </c>
      <c r="K248" s="30"/>
      <c r="L248" s="30"/>
      <c r="O248" s="30" t="str">
        <v>kiri</v>
      </c>
      <c r="P248" s="30"/>
      <c r="Q248" s="30"/>
      <c r="T248" s="30" t="str">
        <v>tengah</v>
      </c>
      <c r="U248" s="30"/>
      <c r="V248" s="30"/>
    </row>
    <row r="249" spans="5:22">
      <c r="E249" s="30" t="str">
        <v>kiri</v>
      </c>
      <c r="F249" s="30"/>
      <c r="G249" s="30"/>
      <c r="J249" s="30" t="str">
        <v>tengah</v>
      </c>
      <c r="K249" s="30"/>
      <c r="L249" s="30"/>
      <c r="O249" s="30" t="str">
        <v>kiri</v>
      </c>
      <c r="P249" s="30"/>
      <c r="Q249" s="30"/>
      <c r="T249" s="30" t="str">
        <v>tengah</v>
      </c>
      <c r="U249" s="30"/>
      <c r="V249" s="30"/>
    </row>
    <row r="250" spans="5:22">
      <c r="E250" s="30" t="str">
        <v>tengah</v>
      </c>
      <c r="F250" s="30"/>
      <c r="G250" s="30"/>
      <c r="J250" s="30" t="str">
        <v>kanan</v>
      </c>
      <c r="K250" s="30"/>
      <c r="L250" s="30"/>
      <c r="O250" s="30" t="str">
        <v>kiri</v>
      </c>
      <c r="P250" s="30"/>
      <c r="Q250" s="30"/>
      <c r="T250" s="30" t="str">
        <v>kanan</v>
      </c>
      <c r="U250" s="30"/>
      <c r="V250" s="30"/>
    </row>
    <row r="251" spans="5:22">
      <c r="E251" s="30" t="str">
        <v>tengah</v>
      </c>
      <c r="F251" s="30"/>
      <c r="G251" s="30"/>
      <c r="J251" s="30" t="str">
        <v>tengah</v>
      </c>
      <c r="K251" s="30"/>
      <c r="L251" s="30"/>
      <c r="O251" s="30" t="str">
        <v>tengah</v>
      </c>
      <c r="P251" s="30"/>
      <c r="Q251" s="30"/>
      <c r="T251" s="30" t="str">
        <v>kanan</v>
      </c>
      <c r="U251" s="30"/>
      <c r="V251" s="30"/>
    </row>
    <row r="252" spans="5:22">
      <c r="E252" s="30" t="str">
        <v>kiri</v>
      </c>
      <c r="F252" s="30"/>
      <c r="G252" s="30"/>
      <c r="J252" s="30" t="str">
        <v>tengah</v>
      </c>
      <c r="K252" s="30"/>
      <c r="L252" s="30"/>
      <c r="O252" s="30" t="str">
        <v>tengah</v>
      </c>
      <c r="P252" s="30"/>
      <c r="Q252" s="30"/>
      <c r="T252" s="30" t="str">
        <v>kanan</v>
      </c>
      <c r="U252" s="30"/>
      <c r="V252" s="30"/>
    </row>
    <row r="253" spans="5:22">
      <c r="E253" s="30" t="str">
        <v>tengah</v>
      </c>
      <c r="F253" s="30"/>
      <c r="G253" s="30"/>
      <c r="J253" s="30" t="str">
        <v>kiri</v>
      </c>
      <c r="K253" s="30"/>
      <c r="L253" s="30"/>
      <c r="O253" s="30" t="str">
        <v>tengah</v>
      </c>
      <c r="P253" s="30"/>
      <c r="Q253" s="30"/>
      <c r="T253" s="30" t="str">
        <v>kanan</v>
      </c>
      <c r="U253" s="30"/>
      <c r="V253" s="30"/>
    </row>
    <row r="254" spans="5:22">
      <c r="E254" s="30" t="str">
        <v>tengah</v>
      </c>
      <c r="F254" s="30"/>
      <c r="G254" s="30"/>
      <c r="J254" s="30" t="str">
        <v>tengah</v>
      </c>
      <c r="K254" s="30"/>
      <c r="L254" s="30"/>
      <c r="O254" s="30" t="str">
        <v>kiri</v>
      </c>
      <c r="P254" s="30"/>
      <c r="Q254" s="30"/>
      <c r="T254" s="30" t="str">
        <v>kanan</v>
      </c>
      <c r="U254" s="30"/>
      <c r="V254" s="30"/>
    </row>
    <row r="255" spans="5:22">
      <c r="E255" s="30" t="str">
        <v>tengah</v>
      </c>
      <c r="F255" s="30"/>
      <c r="G255" s="30"/>
      <c r="J255" s="30" t="str">
        <v>kiri</v>
      </c>
      <c r="K255" s="30"/>
      <c r="L255" s="30"/>
      <c r="O255" s="30" t="str">
        <v>tengah</v>
      </c>
      <c r="P255" s="30"/>
      <c r="Q255" s="30"/>
      <c r="T255" s="30" t="str">
        <v>kanan</v>
      </c>
      <c r="U255" s="30"/>
      <c r="V255" s="30"/>
    </row>
    <row r="256" spans="5:22">
      <c r="E256" s="30" t="str">
        <v>tengah</v>
      </c>
      <c r="F256" s="30"/>
      <c r="G256" s="30"/>
      <c r="J256" s="30" t="str">
        <v>kiri</v>
      </c>
      <c r="K256" s="30"/>
      <c r="L256" s="30"/>
      <c r="O256" s="30" t="str">
        <v>tengah</v>
      </c>
      <c r="P256" s="30"/>
      <c r="Q256" s="30"/>
      <c r="T256" s="30" t="str">
        <v>tengah</v>
      </c>
      <c r="U256" s="30"/>
      <c r="V256" s="30"/>
    </row>
    <row r="257" spans="5:22">
      <c r="E257" s="30" t="str">
        <v>tengah</v>
      </c>
      <c r="F257" s="30"/>
      <c r="G257" s="30"/>
      <c r="J257" s="30" t="str">
        <v>kiri</v>
      </c>
      <c r="K257" s="30"/>
      <c r="L257" s="30"/>
      <c r="O257" s="30" t="str">
        <v>kiri</v>
      </c>
      <c r="P257" s="30"/>
      <c r="Q257" s="30"/>
      <c r="T257" s="30" t="str">
        <v>kanan</v>
      </c>
      <c r="U257" s="30"/>
      <c r="V257" s="30"/>
    </row>
    <row r="258" spans="5:22">
      <c r="E258" s="30" t="str">
        <v>kiri</v>
      </c>
      <c r="F258" s="30"/>
      <c r="G258" s="30"/>
      <c r="J258" s="30" t="str">
        <v>kanan</v>
      </c>
      <c r="K258" s="30"/>
      <c r="L258" s="30"/>
      <c r="O258" s="30" t="str">
        <v>tengah</v>
      </c>
      <c r="P258" s="30"/>
      <c r="Q258" s="30"/>
      <c r="T258" s="30" t="str">
        <v>kanan</v>
      </c>
      <c r="U258" s="30"/>
      <c r="V258" s="30"/>
    </row>
    <row r="259" spans="5:22">
      <c r="E259" s="30" t="str">
        <v>tengah</v>
      </c>
      <c r="F259" s="30"/>
      <c r="G259" s="30"/>
      <c r="J259" s="30" t="str">
        <v>tengah</v>
      </c>
      <c r="K259" s="30"/>
      <c r="L259" s="30"/>
      <c r="O259" s="30" t="str">
        <v>tengah</v>
      </c>
      <c r="P259" s="30"/>
      <c r="Q259" s="30"/>
      <c r="T259" s="30" t="str">
        <v>tengah</v>
      </c>
      <c r="U259" s="30"/>
      <c r="V259" s="30"/>
    </row>
    <row r="260" spans="5:22">
      <c r="E260" s="30" t="str">
        <v>kiri</v>
      </c>
      <c r="F260" s="30"/>
      <c r="G260" s="30"/>
      <c r="J260" s="30" t="str">
        <v>kiri</v>
      </c>
      <c r="K260" s="30"/>
      <c r="L260" s="30"/>
      <c r="O260" s="30" t="str">
        <v>kiri</v>
      </c>
      <c r="P260" s="30"/>
      <c r="Q260" s="30"/>
      <c r="T260" s="30" t="str">
        <v>tengah</v>
      </c>
      <c r="U260" s="30"/>
      <c r="V260" s="30"/>
    </row>
    <row r="261" spans="5:22">
      <c r="E261" s="30" t="str">
        <v>kanan</v>
      </c>
      <c r="F261" s="30"/>
      <c r="G261" s="30"/>
      <c r="J261" s="30" t="str">
        <v>kiri</v>
      </c>
      <c r="K261" s="30"/>
      <c r="L261" s="30"/>
      <c r="O261" s="30" t="str">
        <v>tengah</v>
      </c>
      <c r="P261" s="30"/>
      <c r="Q261" s="30"/>
      <c r="T261" s="30" t="str">
        <v>kanan</v>
      </c>
      <c r="U261" s="30"/>
      <c r="V261" s="30"/>
    </row>
    <row r="262" spans="5:22">
      <c r="E262" s="30" t="str">
        <v>tengah</v>
      </c>
      <c r="F262" s="30"/>
      <c r="G262" s="30"/>
      <c r="J262" s="30" t="str">
        <v>tengah</v>
      </c>
      <c r="K262" s="30"/>
      <c r="L262" s="30"/>
      <c r="O262" s="30" t="str">
        <v>kanan</v>
      </c>
      <c r="P262" s="30"/>
      <c r="Q262" s="30"/>
      <c r="T262" s="30" t="str">
        <v>kanan</v>
      </c>
      <c r="U262" s="30"/>
      <c r="V262" s="30"/>
    </row>
    <row r="263" spans="5:22">
      <c r="E263" s="30" t="str">
        <v>kiri</v>
      </c>
      <c r="F263" s="30"/>
      <c r="G263" s="30"/>
      <c r="J263" s="30" t="str">
        <v>tengah</v>
      </c>
      <c r="K263" s="30"/>
      <c r="L263" s="30"/>
      <c r="O263" s="30" t="str">
        <v>kiri</v>
      </c>
      <c r="P263" s="30"/>
      <c r="Q263" s="30"/>
      <c r="T263" s="30" t="str">
        <v>tengah</v>
      </c>
      <c r="U263" s="30"/>
      <c r="V263" s="30"/>
    </row>
    <row r="264" spans="5:22">
      <c r="E264" s="30" t="str">
        <v>kanan</v>
      </c>
      <c r="F264" s="30"/>
      <c r="G264" s="30"/>
      <c r="J264" s="30" t="str">
        <v>tengah</v>
      </c>
      <c r="K264" s="30"/>
      <c r="L264" s="30"/>
      <c r="O264" s="30" t="str">
        <v>kanan</v>
      </c>
      <c r="P264" s="30"/>
      <c r="Q264" s="30"/>
      <c r="T264" s="30" t="str">
        <v>kanan</v>
      </c>
      <c r="U264" s="30"/>
      <c r="V264" s="30"/>
    </row>
    <row r="265" spans="5:22">
      <c r="E265" s="30" t="str">
        <v>kiri</v>
      </c>
      <c r="F265" s="30"/>
      <c r="G265" s="30"/>
      <c r="J265" s="30" t="str">
        <v>kiri</v>
      </c>
      <c r="K265" s="30"/>
      <c r="L265" s="30"/>
      <c r="O265" s="30" t="str">
        <v>kiri</v>
      </c>
      <c r="P265" s="30"/>
      <c r="Q265" s="30"/>
      <c r="T265" s="30" t="str">
        <v>kanan</v>
      </c>
      <c r="U265" s="30"/>
      <c r="V265" s="30"/>
    </row>
    <row r="266" spans="5:22">
      <c r="E266" s="30" t="str">
        <v>kiri</v>
      </c>
      <c r="F266" s="30"/>
      <c r="G266" s="30"/>
      <c r="J266" s="30" t="str">
        <v>kiri</v>
      </c>
      <c r="K266" s="30"/>
      <c r="L266" s="30"/>
      <c r="O266" s="30" t="str">
        <v>kanan</v>
      </c>
      <c r="P266" s="30"/>
      <c r="Q266" s="30"/>
      <c r="T266" s="30" t="str">
        <v>kanan</v>
      </c>
      <c r="U266" s="30"/>
      <c r="V266" s="30"/>
    </row>
    <row r="267" spans="5:22">
      <c r="E267" s="30" t="str">
        <v>kiri</v>
      </c>
      <c r="F267" s="30"/>
      <c r="G267" s="30"/>
      <c r="J267" s="30" t="str">
        <v>tengah</v>
      </c>
      <c r="K267" s="30"/>
      <c r="L267" s="30"/>
      <c r="O267" s="30" t="str">
        <v>tengah</v>
      </c>
      <c r="P267" s="30"/>
      <c r="Q267" s="30"/>
      <c r="T267" s="30" t="str">
        <v>tengah</v>
      </c>
      <c r="U267" s="30"/>
      <c r="V267" s="30"/>
    </row>
    <row r="268" spans="5:22">
      <c r="E268" s="30" t="str">
        <v>tengah</v>
      </c>
      <c r="F268" s="30"/>
      <c r="G268" s="30"/>
      <c r="J268" s="30" t="str">
        <v>kanan</v>
      </c>
      <c r="K268" s="30"/>
      <c r="L268" s="30"/>
      <c r="O268" s="30" t="str">
        <v>kiri</v>
      </c>
      <c r="P268" s="30"/>
      <c r="Q268" s="30"/>
      <c r="T268" s="30" t="str">
        <v>tengah</v>
      </c>
      <c r="U268" s="30"/>
      <c r="V268" s="30"/>
    </row>
    <row r="269" spans="5:22">
      <c r="E269" s="30" t="str">
        <v>tengah</v>
      </c>
      <c r="F269" s="30"/>
      <c r="G269" s="30"/>
      <c r="J269" s="30" t="str">
        <v>kanan</v>
      </c>
      <c r="K269" s="30"/>
      <c r="L269" s="30"/>
      <c r="O269" s="30" t="str">
        <v>kiri</v>
      </c>
      <c r="P269" s="30"/>
      <c r="Q269" s="30"/>
      <c r="T269" s="30" t="str">
        <v>tengah</v>
      </c>
      <c r="U269" s="30"/>
      <c r="V269" s="30"/>
    </row>
    <row r="270" spans="5:22">
      <c r="E270" s="30" t="str">
        <v>tengah</v>
      </c>
      <c r="F270" s="30"/>
      <c r="G270" s="30"/>
      <c r="J270" s="30" t="str">
        <v>kanan</v>
      </c>
      <c r="K270" s="30"/>
      <c r="L270" s="30"/>
      <c r="O270" s="30" t="str">
        <v>tengah</v>
      </c>
      <c r="P270" s="30"/>
      <c r="Q270" s="30"/>
      <c r="T270" s="30" t="str">
        <v>tengah</v>
      </c>
      <c r="U270" s="30"/>
      <c r="V270" s="30"/>
    </row>
    <row r="271" spans="5:22">
      <c r="E271" s="30" t="str">
        <v>kiri</v>
      </c>
      <c r="F271" s="30"/>
      <c r="G271" s="30"/>
      <c r="J271" s="30" t="str">
        <v>tengah</v>
      </c>
      <c r="K271" s="30"/>
      <c r="L271" s="30"/>
      <c r="O271" s="30" t="str">
        <v>tengah</v>
      </c>
      <c r="P271" s="30"/>
      <c r="Q271" s="30"/>
      <c r="T271" s="30" t="str">
        <v>kanan</v>
      </c>
      <c r="U271" s="30"/>
      <c r="V271" s="30"/>
    </row>
    <row r="272" spans="5:22">
      <c r="E272" s="30" t="str">
        <v>tengah</v>
      </c>
      <c r="F272" s="30"/>
      <c r="G272" s="30"/>
      <c r="J272" s="30" t="str">
        <v>kiri</v>
      </c>
      <c r="K272" s="30"/>
      <c r="L272" s="30"/>
      <c r="O272" s="30" t="str">
        <v>kiri</v>
      </c>
      <c r="P272" s="30"/>
      <c r="Q272" s="30"/>
      <c r="T272" s="30" t="str">
        <v>kanan</v>
      </c>
      <c r="U272" s="30"/>
      <c r="V272" s="30"/>
    </row>
    <row r="273" spans="5:22">
      <c r="E273" s="30" t="str">
        <v>tengah</v>
      </c>
      <c r="F273" s="30"/>
      <c r="G273" s="30"/>
      <c r="J273" s="30" t="str">
        <v>tengah</v>
      </c>
      <c r="K273" s="30"/>
      <c r="L273" s="30"/>
      <c r="O273" s="30" t="str">
        <v>kiri</v>
      </c>
      <c r="P273" s="30"/>
      <c r="Q273" s="30"/>
      <c r="T273" s="30" t="str">
        <v>tengah</v>
      </c>
      <c r="U273" s="30"/>
      <c r="V273" s="30"/>
    </row>
    <row r="274" spans="5:22">
      <c r="E274" s="30" t="str">
        <v>kiri</v>
      </c>
      <c r="F274" s="30"/>
      <c r="G274" s="30"/>
      <c r="J274" s="30" t="str">
        <v>tengah</v>
      </c>
      <c r="K274" s="30"/>
      <c r="L274" s="30"/>
      <c r="O274" s="30" t="str">
        <v>kanan</v>
      </c>
      <c r="P274" s="30"/>
      <c r="Q274" s="30"/>
      <c r="T274" s="30" t="str">
        <v>tengah</v>
      </c>
      <c r="U274" s="30"/>
      <c r="V274" s="30"/>
    </row>
    <row r="275" spans="5:22">
      <c r="E275" s="30" t="str">
        <v>kiri</v>
      </c>
      <c r="F275" s="30"/>
      <c r="G275" s="30"/>
      <c r="J275" s="30" t="str">
        <v>kiri</v>
      </c>
      <c r="K275" s="30"/>
      <c r="L275" s="30"/>
      <c r="O275" s="30" t="str">
        <v>kanan</v>
      </c>
      <c r="P275" s="30"/>
      <c r="Q275" s="30"/>
      <c r="T275" s="30" t="str">
        <v>tengah</v>
      </c>
      <c r="U275" s="30"/>
      <c r="V275" s="30"/>
    </row>
    <row r="276" spans="5:22">
      <c r="E276" s="30" t="str">
        <v>kiri</v>
      </c>
      <c r="F276" s="30"/>
      <c r="G276" s="30"/>
      <c r="J276" s="30" t="str">
        <v>tengah</v>
      </c>
      <c r="K276" s="30"/>
      <c r="L276" s="30"/>
      <c r="O276" s="30" t="str">
        <v>tengah</v>
      </c>
      <c r="P276" s="30"/>
      <c r="Q276" s="30"/>
      <c r="T276" s="30" t="str">
        <v>kanan</v>
      </c>
      <c r="U276" s="30"/>
      <c r="V276" s="30"/>
    </row>
    <row r="277" spans="5:22">
      <c r="E277" s="30" t="str">
        <v>kiri</v>
      </c>
      <c r="F277" s="30"/>
      <c r="G277" s="30"/>
      <c r="J277" s="30" t="str">
        <v>kiri</v>
      </c>
      <c r="K277" s="30"/>
      <c r="L277" s="30"/>
      <c r="O277" s="30" t="str">
        <v>kanan</v>
      </c>
      <c r="P277" s="30"/>
      <c r="Q277" s="30"/>
      <c r="T277" s="30" t="str">
        <v>kanan</v>
      </c>
      <c r="U277" s="30"/>
      <c r="V277" s="30"/>
    </row>
    <row r="278" spans="5:22">
      <c r="E278" s="30" t="str">
        <v>tengah</v>
      </c>
      <c r="F278" s="30"/>
      <c r="G278" s="30"/>
      <c r="J278" s="30" t="str">
        <v>tengah</v>
      </c>
      <c r="K278" s="30"/>
      <c r="L278" s="30"/>
      <c r="O278" s="30" t="str">
        <v>kiri</v>
      </c>
      <c r="P278" s="30"/>
      <c r="Q278" s="30"/>
      <c r="T278" s="30" t="str">
        <v>tengah</v>
      </c>
      <c r="U278" s="30"/>
      <c r="V278" s="30"/>
    </row>
    <row r="279" spans="5:22">
      <c r="E279" s="30" t="str">
        <v>kiri</v>
      </c>
      <c r="F279" s="30"/>
      <c r="G279" s="30"/>
      <c r="J279" s="30" t="str">
        <v>tengah</v>
      </c>
      <c r="K279" s="30"/>
      <c r="L279" s="30"/>
      <c r="O279" s="30" t="str">
        <v>tengah</v>
      </c>
      <c r="P279" s="30"/>
      <c r="Q279" s="30"/>
      <c r="T279" s="30" t="str">
        <v>tengah</v>
      </c>
      <c r="U279" s="30"/>
      <c r="V279" s="30"/>
    </row>
    <row r="280" spans="5:22">
      <c r="E280" s="30" t="str">
        <v>tengah</v>
      </c>
      <c r="F280" s="30"/>
      <c r="G280" s="30"/>
      <c r="J280" s="30" t="str">
        <v>tengah</v>
      </c>
      <c r="K280" s="30"/>
      <c r="L280" s="30"/>
      <c r="O280" s="30" t="str">
        <v>kiri</v>
      </c>
      <c r="P280" s="30"/>
      <c r="Q280" s="30"/>
      <c r="T280" s="30" t="str">
        <v>tengah</v>
      </c>
      <c r="U280" s="30"/>
      <c r="V280" s="30"/>
    </row>
    <row r="281" spans="5:22">
      <c r="E281" s="30" t="str">
        <v>kiri</v>
      </c>
      <c r="F281" s="30"/>
      <c r="G281" s="30"/>
      <c r="J281" s="30" t="str">
        <v>tengah</v>
      </c>
      <c r="K281" s="30"/>
      <c r="L281" s="30"/>
      <c r="O281" s="30" t="str">
        <v>tengah</v>
      </c>
      <c r="P281" s="30"/>
      <c r="Q281" s="30"/>
      <c r="T281" s="30" t="str">
        <v>tengah</v>
      </c>
      <c r="U281" s="30"/>
      <c r="V281" s="30"/>
    </row>
    <row r="282" spans="5:22">
      <c r="E282" s="30" t="str">
        <v>tengah</v>
      </c>
      <c r="F282" s="30"/>
      <c r="G282" s="30"/>
      <c r="J282" s="30" t="str">
        <v>kiri</v>
      </c>
      <c r="K282" s="30"/>
      <c r="L282" s="30"/>
      <c r="O282" s="30" t="str">
        <v>kiri</v>
      </c>
      <c r="P282" s="30"/>
      <c r="Q282" s="30"/>
      <c r="T282" s="30" t="str">
        <v>tengah</v>
      </c>
      <c r="U282" s="30"/>
      <c r="V282" s="30"/>
    </row>
    <row r="283" spans="5:22">
      <c r="E283" s="30" t="str">
        <v>tengah</v>
      </c>
      <c r="F283" s="30"/>
      <c r="G283" s="30"/>
      <c r="J283" s="30" t="str">
        <v>tengah</v>
      </c>
      <c r="K283" s="30"/>
      <c r="L283" s="30"/>
      <c r="O283" s="30" t="str">
        <v>tengah</v>
      </c>
      <c r="P283" s="30"/>
      <c r="Q283" s="30"/>
      <c r="T283" s="30" t="str">
        <v>kanan</v>
      </c>
      <c r="U283" s="30"/>
      <c r="V283" s="30"/>
    </row>
    <row r="284" spans="5:22">
      <c r="E284" s="30" t="str">
        <v>tengah</v>
      </c>
      <c r="F284" s="30"/>
      <c r="G284" s="30"/>
      <c r="J284" s="30" t="str">
        <v>tengah</v>
      </c>
      <c r="K284" s="30"/>
      <c r="L284" s="30"/>
      <c r="O284" s="30" t="str">
        <v>kiri</v>
      </c>
      <c r="P284" s="30"/>
      <c r="Q284" s="30"/>
      <c r="T284" s="30" t="str">
        <v>kanan</v>
      </c>
      <c r="U284" s="30"/>
      <c r="V284" s="30"/>
    </row>
    <row r="285" spans="5:22">
      <c r="E285" s="30" t="str">
        <v>kanan</v>
      </c>
      <c r="F285" s="30"/>
      <c r="G285" s="30"/>
      <c r="J285" s="30" t="str">
        <v>kanan</v>
      </c>
      <c r="K285" s="30"/>
      <c r="L285" s="30"/>
      <c r="O285" s="30" t="str">
        <v>tengah</v>
      </c>
      <c r="P285" s="30"/>
      <c r="Q285" s="30"/>
      <c r="T285" s="30" t="str">
        <v>kanan</v>
      </c>
      <c r="U285" s="30"/>
      <c r="V285" s="30"/>
    </row>
    <row r="286" spans="5:22">
      <c r="E286" s="30" t="str">
        <v>kiri</v>
      </c>
      <c r="F286" s="30"/>
      <c r="G286" s="30"/>
      <c r="J286" s="30" t="str">
        <v>tengah</v>
      </c>
      <c r="K286" s="30"/>
      <c r="L286" s="30"/>
      <c r="O286" s="30" t="str">
        <v>kanan</v>
      </c>
      <c r="P286" s="30"/>
      <c r="Q286" s="30"/>
      <c r="T286" s="30" t="str">
        <v>tengah</v>
      </c>
      <c r="U286" s="30"/>
      <c r="V286" s="30"/>
    </row>
    <row r="287" spans="5:22">
      <c r="E287" s="30" t="str">
        <v>kiri</v>
      </c>
      <c r="F287" s="30"/>
      <c r="G287" s="30"/>
      <c r="J287" s="30" t="str">
        <v>tengah</v>
      </c>
      <c r="K287" s="30"/>
      <c r="L287" s="30"/>
      <c r="O287" s="30" t="str">
        <v>tengah</v>
      </c>
      <c r="P287" s="30"/>
      <c r="Q287" s="30"/>
      <c r="T287" s="30" t="str">
        <v>kanan</v>
      </c>
      <c r="U287" s="30"/>
      <c r="V287" s="30"/>
    </row>
    <row r="288" spans="5:22">
      <c r="E288" s="30" t="str">
        <v>kanan</v>
      </c>
      <c r="F288" s="30"/>
      <c r="G288" s="30"/>
      <c r="J288" s="30" t="str">
        <v>tengah</v>
      </c>
      <c r="K288" s="30"/>
      <c r="L288" s="30"/>
      <c r="O288" s="30" t="str">
        <v>tengah</v>
      </c>
      <c r="P288" s="30"/>
      <c r="Q288" s="30"/>
      <c r="T288" s="30" t="str">
        <v>tengah</v>
      </c>
      <c r="U288" s="30"/>
      <c r="V288" s="30"/>
    </row>
    <row r="289" spans="5:22">
      <c r="E289" s="30" t="str">
        <v>kiri</v>
      </c>
      <c r="F289" s="30"/>
      <c r="G289" s="30"/>
      <c r="J289" s="30" t="str">
        <v>tengah</v>
      </c>
      <c r="K289" s="30"/>
      <c r="L289" s="30"/>
      <c r="O289" s="30" t="str">
        <v>tengah</v>
      </c>
      <c r="P289" s="30"/>
      <c r="Q289" s="30"/>
      <c r="T289" s="30" t="str">
        <v>tengah</v>
      </c>
      <c r="U289" s="30"/>
      <c r="V289" s="30"/>
    </row>
    <row r="290" spans="5:22">
      <c r="E290" s="30" t="str">
        <v>kiri</v>
      </c>
      <c r="F290" s="30"/>
      <c r="G290" s="30"/>
      <c r="J290" s="30" t="str">
        <v>tengah</v>
      </c>
      <c r="K290" s="30"/>
      <c r="L290" s="30"/>
      <c r="O290" s="30" t="str">
        <v>kiri</v>
      </c>
      <c r="P290" s="30"/>
      <c r="Q290" s="30"/>
      <c r="T290" s="30" t="str">
        <v>tengah</v>
      </c>
      <c r="U290" s="30"/>
      <c r="V290" s="30"/>
    </row>
    <row r="291" spans="5:22">
      <c r="E291" s="30" t="str">
        <v>tengah</v>
      </c>
      <c r="F291" s="30"/>
      <c r="G291" s="30"/>
      <c r="J291" s="30" t="str">
        <v>tengah</v>
      </c>
      <c r="K291" s="30"/>
      <c r="L291" s="30"/>
      <c r="O291" s="30" t="str">
        <v>tengah</v>
      </c>
      <c r="P291" s="30"/>
      <c r="Q291" s="30"/>
      <c r="T291" s="30" t="str">
        <v>tengah</v>
      </c>
      <c r="U291" s="30"/>
      <c r="V291" s="30"/>
    </row>
    <row r="292" spans="5:22">
      <c r="E292" s="30" t="str">
        <v>kiri</v>
      </c>
      <c r="F292" s="30"/>
      <c r="G292" s="30"/>
      <c r="J292" s="30" t="str">
        <v>kanan</v>
      </c>
      <c r="K292" s="30"/>
      <c r="L292" s="30"/>
      <c r="O292" s="30" t="str">
        <v>tengah</v>
      </c>
      <c r="P292" s="30"/>
      <c r="Q292" s="30"/>
      <c r="T292" s="30" t="str">
        <v>kanan</v>
      </c>
      <c r="U292" s="30"/>
      <c r="V292" s="30"/>
    </row>
    <row r="293" spans="5:22">
      <c r="E293" s="30" t="str">
        <v>tengah</v>
      </c>
      <c r="F293" s="30"/>
      <c r="G293" s="30"/>
      <c r="J293" s="30" t="str">
        <v>tengah</v>
      </c>
      <c r="K293" s="30"/>
      <c r="L293" s="30"/>
      <c r="O293" s="30" t="str">
        <v>tengah</v>
      </c>
      <c r="P293" s="30"/>
      <c r="Q293" s="30"/>
      <c r="T293" s="30" t="str">
        <v>kanan</v>
      </c>
      <c r="U293" s="30"/>
      <c r="V293" s="30"/>
    </row>
    <row r="294" spans="5:22">
      <c r="E294" s="30" t="str">
        <v>tengah</v>
      </c>
      <c r="F294" s="30"/>
      <c r="G294" s="30"/>
      <c r="J294" s="30" t="str">
        <v>tengah</v>
      </c>
      <c r="K294" s="30"/>
      <c r="L294" s="30"/>
      <c r="O294" s="30" t="str">
        <v>kanan</v>
      </c>
      <c r="P294" s="30"/>
      <c r="Q294" s="30"/>
      <c r="T294" s="30" t="str">
        <v>kanan</v>
      </c>
      <c r="U294" s="30"/>
      <c r="V294" s="30"/>
    </row>
    <row r="295" spans="5:22">
      <c r="E295" s="30" t="str">
        <v>tengah</v>
      </c>
      <c r="F295" s="30"/>
      <c r="G295" s="30"/>
      <c r="J295" s="30" t="str">
        <v>tengah</v>
      </c>
      <c r="K295" s="30"/>
      <c r="L295" s="30"/>
      <c r="O295" s="30" t="str">
        <v>tengah</v>
      </c>
      <c r="P295" s="30"/>
      <c r="Q295" s="30"/>
      <c r="T295" s="30" t="str">
        <v>kanan</v>
      </c>
      <c r="U295" s="30"/>
      <c r="V295" s="30"/>
    </row>
    <row r="296" spans="5:22">
      <c r="E296" s="30" t="str">
        <v>kanan</v>
      </c>
      <c r="F296" s="30"/>
      <c r="G296" s="30"/>
      <c r="J296" s="30" t="str">
        <v>tengah</v>
      </c>
      <c r="K296" s="30"/>
      <c r="L296" s="30"/>
      <c r="O296" s="30" t="str">
        <v>kiri</v>
      </c>
      <c r="P296" s="30"/>
      <c r="Q296" s="30"/>
      <c r="T296" s="30" t="str">
        <v>tengah</v>
      </c>
      <c r="U296" s="30"/>
      <c r="V296" s="30"/>
    </row>
    <row r="297" spans="5:22">
      <c r="E297" s="30" t="str">
        <v>kanan</v>
      </c>
      <c r="F297" s="30"/>
      <c r="G297" s="30"/>
      <c r="J297" s="30" t="str">
        <v>kiri</v>
      </c>
      <c r="K297" s="30"/>
      <c r="L297" s="30"/>
      <c r="O297" s="30" t="str">
        <v>kiri</v>
      </c>
      <c r="P297" s="30"/>
      <c r="Q297" s="30"/>
      <c r="T297" s="30" t="str">
        <v>tengah</v>
      </c>
      <c r="U297" s="30"/>
      <c r="V297" s="30"/>
    </row>
    <row r="298" spans="5:22">
      <c r="E298" s="30" t="str">
        <v>kanan</v>
      </c>
      <c r="F298" s="30"/>
      <c r="G298" s="30"/>
      <c r="J298" s="30" t="str">
        <v>tengah</v>
      </c>
      <c r="K298" s="30"/>
      <c r="L298" s="30"/>
      <c r="O298" s="30" t="str">
        <v>tengah</v>
      </c>
      <c r="P298" s="30"/>
      <c r="Q298" s="30"/>
      <c r="T298" s="30" t="str">
        <v>tengah</v>
      </c>
      <c r="U298" s="30"/>
      <c r="V298" s="30"/>
    </row>
    <row r="299" spans="5:22">
      <c r="E299" s="30" t="str">
        <v>kiri</v>
      </c>
      <c r="F299" s="30"/>
      <c r="G299" s="30"/>
      <c r="J299" s="30" t="str">
        <v>tengah</v>
      </c>
      <c r="K299" s="30"/>
      <c r="L299" s="30"/>
      <c r="O299" s="30" t="str">
        <v>tengah</v>
      </c>
      <c r="P299" s="30"/>
      <c r="Q299" s="30"/>
      <c r="T299" s="30" t="str">
        <v>kanan</v>
      </c>
      <c r="U299" s="30"/>
      <c r="V299" s="30"/>
    </row>
    <row r="300" spans="5:22">
      <c r="E300" s="30" t="str">
        <v>tengah</v>
      </c>
      <c r="F300" s="30"/>
      <c r="G300" s="30"/>
      <c r="J300" s="30" t="str">
        <v>tengah</v>
      </c>
      <c r="K300" s="30"/>
      <c r="L300" s="30"/>
      <c r="O300" s="30" t="str">
        <v>kiri</v>
      </c>
      <c r="P300" s="30"/>
      <c r="Q300" s="30"/>
      <c r="T300" s="30" t="str">
        <v>tengah</v>
      </c>
      <c r="U300" s="30"/>
      <c r="V300" s="30"/>
    </row>
    <row r="301" spans="5:22">
      <c r="E301" s="30" t="str">
        <v>tengah</v>
      </c>
      <c r="F301" s="30"/>
      <c r="G301" s="30"/>
      <c r="J301" s="30" t="str">
        <v>kiri</v>
      </c>
      <c r="K301" s="30"/>
      <c r="L301" s="30"/>
      <c r="O301" s="30" t="str">
        <v>kiri</v>
      </c>
      <c r="P301" s="30"/>
      <c r="Q301" s="30"/>
      <c r="T301" s="30" t="str">
        <v>tengah</v>
      </c>
      <c r="U301" s="30"/>
      <c r="V301" s="30"/>
    </row>
    <row r="302" spans="5:22">
      <c r="E302" s="30" t="str">
        <v>tengah</v>
      </c>
      <c r="F302" s="30"/>
      <c r="G302" s="30"/>
      <c r="J302" s="30" t="str">
        <v>tengah</v>
      </c>
      <c r="K302" s="30"/>
      <c r="L302" s="30"/>
      <c r="O302" s="30" t="str">
        <v>tengah</v>
      </c>
      <c r="P302" s="30"/>
      <c r="Q302" s="30"/>
      <c r="T302" s="30" t="str">
        <v>tengah</v>
      </c>
      <c r="U302" s="30"/>
      <c r="V302" s="30"/>
    </row>
    <row r="303" spans="5:22">
      <c r="E303" s="30" t="str">
        <v>tengah</v>
      </c>
      <c r="F303" s="30"/>
      <c r="G303" s="30"/>
      <c r="J303" s="30" t="str">
        <v>tengah</v>
      </c>
      <c r="K303" s="30"/>
      <c r="L303" s="30"/>
      <c r="O303" s="30" t="str">
        <v>tengah</v>
      </c>
      <c r="P303" s="30"/>
      <c r="Q303" s="30"/>
      <c r="T303" s="30" t="str">
        <v>tengah</v>
      </c>
      <c r="U303" s="30"/>
      <c r="V303" s="30"/>
    </row>
    <row r="304" spans="5:22">
      <c r="E304" s="30" t="str">
        <v>kiri</v>
      </c>
      <c r="F304" s="30"/>
      <c r="G304" s="30"/>
      <c r="J304" s="30" t="str">
        <v>kanan</v>
      </c>
      <c r="K304" s="30"/>
      <c r="L304" s="30"/>
      <c r="O304" s="30" t="str">
        <v>kiri</v>
      </c>
      <c r="P304" s="30"/>
      <c r="Q304" s="30"/>
      <c r="T304" s="30" t="str">
        <v>tengah</v>
      </c>
      <c r="U304" s="30"/>
      <c r="V304" s="30"/>
    </row>
    <row r="305" spans="5:22">
      <c r="E305" s="30" t="str">
        <v>tengah</v>
      </c>
      <c r="F305" s="30"/>
      <c r="G305" s="30"/>
      <c r="J305" s="30" t="str">
        <v>tengah</v>
      </c>
      <c r="K305" s="30"/>
      <c r="L305" s="30"/>
      <c r="O305" s="30" t="str">
        <v>kanan</v>
      </c>
      <c r="P305" s="30"/>
      <c r="Q305" s="30"/>
      <c r="T305" s="30" t="str">
        <v>kanan</v>
      </c>
      <c r="U305" s="30"/>
      <c r="V305" s="30"/>
    </row>
    <row r="306" spans="5:22">
      <c r="E306" s="30" t="str">
        <v>kanan</v>
      </c>
      <c r="F306" s="30"/>
      <c r="G306" s="30"/>
      <c r="J306" s="30" t="str">
        <v>tengah</v>
      </c>
      <c r="K306" s="30"/>
      <c r="L306" s="30"/>
      <c r="O306" s="30" t="str">
        <v>tengah</v>
      </c>
      <c r="P306" s="30"/>
      <c r="Q306" s="30"/>
      <c r="T306" s="30" t="str">
        <v>kanan</v>
      </c>
      <c r="U306" s="30"/>
      <c r="V306" s="30"/>
    </row>
    <row r="307" spans="5:22">
      <c r="E307" s="30" t="str">
        <v>tengah</v>
      </c>
      <c r="F307" s="30"/>
      <c r="G307" s="30"/>
      <c r="J307" s="30" t="str">
        <v>kanan</v>
      </c>
      <c r="K307" s="30"/>
      <c r="L307" s="30"/>
      <c r="O307" s="30" t="str">
        <v>kiri</v>
      </c>
      <c r="P307" s="30"/>
      <c r="Q307" s="30"/>
      <c r="T307" s="30" t="str">
        <v>kanan</v>
      </c>
      <c r="U307" s="30"/>
      <c r="V307" s="30"/>
    </row>
    <row r="308" spans="5:22">
      <c r="E308" s="30" t="str">
        <v>kanan</v>
      </c>
      <c r="F308" s="30"/>
      <c r="G308" s="30"/>
      <c r="J308" s="30" t="str">
        <v>tengah</v>
      </c>
      <c r="K308" s="30"/>
      <c r="L308" s="30"/>
      <c r="O308" s="30" t="str">
        <v>kanan</v>
      </c>
      <c r="P308" s="30"/>
      <c r="Q308" s="30"/>
      <c r="T308" s="30" t="str">
        <v>kanan</v>
      </c>
      <c r="U308" s="30"/>
      <c r="V308" s="30"/>
    </row>
    <row r="309" spans="5:22">
      <c r="E309" s="30" t="str">
        <v>tengah</v>
      </c>
      <c r="F309" s="30"/>
      <c r="G309" s="30"/>
      <c r="J309" s="30" t="str">
        <v>tengah</v>
      </c>
      <c r="K309" s="30"/>
      <c r="L309" s="30"/>
      <c r="O309" s="30" t="str">
        <v>tengah</v>
      </c>
      <c r="P309" s="30"/>
      <c r="Q309" s="30"/>
      <c r="T309" s="30" t="str">
        <v>kanan</v>
      </c>
      <c r="U309" s="30"/>
      <c r="V309" s="30"/>
    </row>
    <row r="310" spans="5:22">
      <c r="E310" s="30" t="str">
        <v>tengah</v>
      </c>
      <c r="F310" s="30"/>
      <c r="G310" s="30"/>
      <c r="J310" s="30" t="str">
        <v>kiri</v>
      </c>
      <c r="K310" s="30"/>
      <c r="L310" s="30"/>
      <c r="O310" s="30" t="str">
        <v>tengah</v>
      </c>
      <c r="P310" s="30"/>
      <c r="Q310" s="30"/>
      <c r="T310" s="30" t="str">
        <v>kanan</v>
      </c>
      <c r="U310" s="30"/>
      <c r="V310" s="30"/>
    </row>
    <row r="311" spans="5:22">
      <c r="E311" s="30" t="str">
        <v>tengah</v>
      </c>
      <c r="F311" s="30"/>
      <c r="G311" s="30"/>
      <c r="J311" s="30" t="str">
        <v>tengah</v>
      </c>
      <c r="K311" s="30"/>
      <c r="L311" s="30"/>
      <c r="O311" s="30" t="str">
        <v>tengah</v>
      </c>
      <c r="P311" s="30"/>
      <c r="Q311" s="30"/>
      <c r="T311" s="30" t="str">
        <v>kanan</v>
      </c>
      <c r="U311" s="30"/>
      <c r="V311" s="30"/>
    </row>
    <row r="312" spans="5:22">
      <c r="E312" s="30" t="str">
        <v>tengah</v>
      </c>
      <c r="F312" s="30"/>
      <c r="G312" s="30"/>
      <c r="J312" s="30" t="str">
        <v>kanan</v>
      </c>
      <c r="K312" s="30"/>
      <c r="L312" s="30"/>
      <c r="O312" s="30" t="str">
        <v>kiri</v>
      </c>
      <c r="P312" s="30"/>
      <c r="Q312" s="30"/>
      <c r="T312" s="30" t="str">
        <v>kanan</v>
      </c>
      <c r="U312" s="30"/>
      <c r="V312" s="30"/>
    </row>
    <row r="313" spans="5:22">
      <c r="E313" s="30" t="str">
        <v>kanan</v>
      </c>
      <c r="F313" s="30"/>
      <c r="G313" s="30"/>
      <c r="J313" s="30" t="str">
        <v>kanan</v>
      </c>
      <c r="K313" s="30"/>
      <c r="L313" s="30"/>
      <c r="O313" s="30" t="str">
        <v>tengah</v>
      </c>
      <c r="P313" s="30"/>
      <c r="Q313" s="30"/>
      <c r="T313" s="30" t="str">
        <v>tengah</v>
      </c>
      <c r="U313" s="30"/>
      <c r="V313" s="30"/>
    </row>
    <row r="314" spans="5:22">
      <c r="E314" s="30" t="str">
        <v>tengah</v>
      </c>
      <c r="F314" s="30"/>
      <c r="G314" s="30"/>
      <c r="J314" s="30" t="str">
        <v>tengah</v>
      </c>
      <c r="K314" s="30"/>
      <c r="L314" s="30"/>
      <c r="O314" s="30" t="str">
        <v>tengah</v>
      </c>
      <c r="P314" s="30"/>
      <c r="Q314" s="30"/>
      <c r="T314" s="30" t="str">
        <v>kanan</v>
      </c>
      <c r="U314" s="30"/>
      <c r="V314" s="30"/>
    </row>
    <row r="315" spans="5:22">
      <c r="E315" s="30" t="str">
        <v>kanan</v>
      </c>
      <c r="F315" s="30"/>
      <c r="G315" s="30"/>
      <c r="J315" s="30" t="str">
        <v>kanan</v>
      </c>
      <c r="K315" s="30"/>
      <c r="L315" s="30"/>
      <c r="O315" s="30" t="str">
        <v>tengah</v>
      </c>
      <c r="P315" s="30"/>
      <c r="Q315" s="30"/>
      <c r="T315" s="30" t="str">
        <v>tengah</v>
      </c>
      <c r="U315" s="30"/>
      <c r="V315" s="30"/>
    </row>
    <row r="316" spans="5:22">
      <c r="E316" s="30" t="str">
        <v>tengah</v>
      </c>
      <c r="F316" s="30"/>
      <c r="G316" s="30"/>
      <c r="J316" s="30" t="str">
        <v>kiri</v>
      </c>
      <c r="K316" s="30"/>
      <c r="L316" s="30"/>
      <c r="O316" s="30" t="str">
        <v>kiri</v>
      </c>
      <c r="P316" s="30"/>
      <c r="Q316" s="30"/>
      <c r="T316" s="30" t="str">
        <v>tengah</v>
      </c>
      <c r="U316" s="30"/>
      <c r="V316" s="30"/>
    </row>
    <row r="317" spans="5:22">
      <c r="E317" s="30" t="str">
        <v>kiri</v>
      </c>
      <c r="F317" s="30"/>
      <c r="G317" s="30"/>
      <c r="J317" s="30" t="str">
        <v>tengah</v>
      </c>
      <c r="K317" s="30"/>
      <c r="L317" s="30"/>
      <c r="O317" s="30" t="str">
        <v>kiri</v>
      </c>
      <c r="P317" s="30"/>
      <c r="Q317" s="30"/>
      <c r="T317" s="30" t="str">
        <v>tengah</v>
      </c>
      <c r="U317" s="30"/>
      <c r="V317" s="30"/>
    </row>
    <row r="318" spans="5:22">
      <c r="E318" s="30" t="str">
        <v>kiri</v>
      </c>
      <c r="F318" s="30"/>
      <c r="G318" s="30"/>
      <c r="J318" s="30" t="str">
        <v>tengah</v>
      </c>
      <c r="K318" s="30"/>
      <c r="L318" s="30"/>
      <c r="O318" s="30" t="str">
        <v>tengah</v>
      </c>
      <c r="P318" s="30"/>
      <c r="Q318" s="30"/>
      <c r="T318" s="30" t="str">
        <v>tengah</v>
      </c>
      <c r="U318" s="30"/>
      <c r="V318" s="30"/>
    </row>
    <row r="319" spans="5:22">
      <c r="E319" s="30" t="str">
        <v>kiri</v>
      </c>
      <c r="F319" s="30"/>
      <c r="G319" s="30"/>
      <c r="J319" s="30" t="str">
        <v>tengah</v>
      </c>
      <c r="K319" s="30"/>
      <c r="L319" s="30"/>
      <c r="O319" s="30" t="str">
        <v>kiri</v>
      </c>
      <c r="P319" s="30"/>
      <c r="Q319" s="30"/>
      <c r="T319" s="30" t="str">
        <v>tengah</v>
      </c>
      <c r="U319" s="30"/>
      <c r="V319" s="30"/>
    </row>
    <row r="320" spans="5:22">
      <c r="E320" s="30" t="str">
        <v>kiri</v>
      </c>
      <c r="F320" s="30"/>
      <c r="G320" s="30"/>
      <c r="J320" s="30" t="str">
        <v>tengah</v>
      </c>
      <c r="K320" s="30"/>
      <c r="L320" s="30"/>
      <c r="O320" s="30" t="str">
        <v>tengah</v>
      </c>
      <c r="P320" s="30"/>
      <c r="Q320" s="30"/>
      <c r="T320" s="30" t="str">
        <v>tengah</v>
      </c>
      <c r="U320" s="30"/>
      <c r="V320" s="30"/>
    </row>
    <row r="321" spans="5:22">
      <c r="E321" s="30" t="str">
        <v>kiri</v>
      </c>
      <c r="F321" s="30"/>
      <c r="G321" s="30"/>
      <c r="J321" s="30" t="str">
        <v>kiri</v>
      </c>
      <c r="K321" s="30"/>
      <c r="L321" s="30"/>
      <c r="O321" s="30" t="str">
        <v>tengah</v>
      </c>
      <c r="P321" s="30"/>
      <c r="Q321" s="30"/>
      <c r="T321" s="30" t="str">
        <v>tengah</v>
      </c>
      <c r="U321" s="30"/>
      <c r="V321" s="30"/>
    </row>
    <row r="322" spans="5:22">
      <c r="E322" s="30" t="str">
        <v>tengah</v>
      </c>
      <c r="F322" s="30"/>
      <c r="G322" s="30"/>
      <c r="J322" s="30" t="str">
        <v>tengah</v>
      </c>
      <c r="K322" s="30"/>
      <c r="L322" s="30"/>
      <c r="O322" s="30" t="str">
        <v>kanan</v>
      </c>
      <c r="P322" s="30"/>
      <c r="Q322" s="30"/>
      <c r="T322" s="30" t="str">
        <v>kanan</v>
      </c>
      <c r="U322" s="30"/>
      <c r="V322" s="30"/>
    </row>
    <row r="323" spans="5:22">
      <c r="E323" s="30" t="str">
        <v>kanan</v>
      </c>
      <c r="F323" s="30"/>
      <c r="G323" s="30"/>
      <c r="J323" s="30" t="str">
        <v>tengah</v>
      </c>
      <c r="K323" s="30"/>
      <c r="L323" s="30"/>
      <c r="O323" s="30" t="str">
        <v>tengah</v>
      </c>
      <c r="P323" s="30"/>
      <c r="Q323" s="30"/>
      <c r="T323" s="30" t="str">
        <v>tengah</v>
      </c>
      <c r="U323" s="30"/>
      <c r="V323" s="30"/>
    </row>
    <row r="324" spans="5:22">
      <c r="E324" s="30" t="str">
        <v>kiri</v>
      </c>
      <c r="F324" s="30"/>
      <c r="G324" s="30"/>
      <c r="J324" s="30" t="str">
        <v>kanan</v>
      </c>
      <c r="K324" s="30"/>
      <c r="L324" s="30"/>
      <c r="O324" s="30" t="str">
        <v>kiri</v>
      </c>
      <c r="P324" s="30"/>
      <c r="Q324" s="30"/>
      <c r="T324" s="30" t="str">
        <v>kanan</v>
      </c>
      <c r="U324" s="30"/>
      <c r="V324" s="30"/>
    </row>
    <row r="325" spans="5:22">
      <c r="E325" s="30" t="str">
        <v>kiri</v>
      </c>
      <c r="F325" s="30"/>
      <c r="G325" s="30"/>
      <c r="J325" s="30" t="str">
        <v>tengah</v>
      </c>
      <c r="K325" s="30"/>
      <c r="L325" s="30"/>
      <c r="O325" s="30" t="str">
        <v>kiri</v>
      </c>
      <c r="P325" s="30"/>
      <c r="Q325" s="30"/>
      <c r="T325" s="30" t="str">
        <v>kanan</v>
      </c>
      <c r="U325" s="30"/>
      <c r="V325" s="30"/>
    </row>
    <row r="326" spans="5:22">
      <c r="E326" s="30" t="str">
        <v>kiri</v>
      </c>
      <c r="F326" s="30"/>
      <c r="G326" s="30"/>
      <c r="J326" s="30" t="str">
        <v>tengah</v>
      </c>
      <c r="K326" s="30"/>
      <c r="L326" s="30"/>
      <c r="O326" s="30" t="str">
        <v>kanan</v>
      </c>
      <c r="P326" s="30"/>
      <c r="Q326" s="30"/>
      <c r="T326" s="30" t="str">
        <v>kanan</v>
      </c>
      <c r="U326" s="30"/>
      <c r="V326" s="30"/>
    </row>
    <row r="327" spans="5:22">
      <c r="E327" s="30" t="str">
        <v>kanan</v>
      </c>
      <c r="F327" s="30"/>
      <c r="G327" s="30"/>
      <c r="J327" s="30" t="str">
        <v>kanan</v>
      </c>
      <c r="K327" s="30"/>
      <c r="L327" s="30"/>
      <c r="O327" s="30" t="str">
        <v>kiri</v>
      </c>
      <c r="P327" s="30"/>
      <c r="Q327" s="30"/>
      <c r="T327" s="30" t="str">
        <v>tengah</v>
      </c>
      <c r="U327" s="30"/>
      <c r="V327" s="30"/>
    </row>
    <row r="328" spans="5:22">
      <c r="E328" s="30" t="str">
        <v>tengah</v>
      </c>
      <c r="F328" s="30"/>
      <c r="G328" s="30"/>
      <c r="J328" s="30" t="str">
        <v>kanan</v>
      </c>
      <c r="K328" s="30"/>
      <c r="L328" s="30"/>
      <c r="O328" s="30" t="str">
        <v>kiri</v>
      </c>
      <c r="P328" s="30"/>
      <c r="Q328" s="30"/>
      <c r="T328" s="30" t="str">
        <v>kanan</v>
      </c>
      <c r="U328" s="30"/>
      <c r="V328" s="30"/>
    </row>
    <row r="329" spans="5:22">
      <c r="E329" s="30" t="str">
        <v>tengah</v>
      </c>
      <c r="F329" s="30"/>
      <c r="G329" s="30"/>
      <c r="J329" s="30" t="str">
        <v>kanan</v>
      </c>
      <c r="K329" s="30"/>
      <c r="L329" s="30"/>
      <c r="O329" s="30" t="str">
        <v>tengah</v>
      </c>
      <c r="P329" s="30"/>
      <c r="Q329" s="30"/>
      <c r="T329" s="30" t="str">
        <v>tengah</v>
      </c>
      <c r="U329" s="30"/>
      <c r="V329" s="30"/>
    </row>
    <row r="330" spans="5:22">
      <c r="E330" s="30" t="str">
        <v>tengah</v>
      </c>
      <c r="F330" s="30"/>
      <c r="G330" s="30"/>
      <c r="J330" s="30" t="str">
        <v>tengah</v>
      </c>
      <c r="K330" s="30"/>
      <c r="L330" s="30"/>
      <c r="O330" s="30" t="str">
        <v>kiri</v>
      </c>
      <c r="P330" s="30"/>
      <c r="Q330" s="30"/>
      <c r="T330" s="30" t="str">
        <v>kanan</v>
      </c>
      <c r="U330" s="30"/>
      <c r="V330" s="30"/>
    </row>
    <row r="331" spans="5:22">
      <c r="E331" s="30" t="str">
        <v>kiri</v>
      </c>
      <c r="F331" s="30"/>
      <c r="G331" s="30"/>
      <c r="J331" s="30" t="str">
        <v>kiri</v>
      </c>
      <c r="K331" s="30"/>
      <c r="L331" s="30"/>
      <c r="O331" s="30" t="str">
        <v>kanan</v>
      </c>
      <c r="P331" s="30"/>
      <c r="Q331" s="30"/>
      <c r="T331" s="30" t="str">
        <v>tengah</v>
      </c>
      <c r="U331" s="30"/>
      <c r="V331" s="30"/>
    </row>
    <row r="332" spans="5:22">
      <c r="E332" s="30" t="str">
        <v>tengah</v>
      </c>
      <c r="F332" s="30"/>
      <c r="G332" s="30"/>
      <c r="J332" s="30" t="str">
        <v>kanan</v>
      </c>
      <c r="K332" s="30"/>
      <c r="L332" s="30"/>
      <c r="O332" s="30" t="str">
        <v>kiri</v>
      </c>
      <c r="P332" s="30"/>
      <c r="Q332" s="30"/>
      <c r="T332" s="30" t="str">
        <v>tengah</v>
      </c>
      <c r="U332" s="30"/>
      <c r="V332" s="30"/>
    </row>
  </sheetData>
  <pageMargins left="0.7" right="0.7" top="0.75" bottom="0.75" header="0.3" footer="0.3"/>
  <headerFooter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32"/>
  <sheetViews>
    <sheetView zoomScale="98" zoomScaleNormal="98" topLeftCell="L158" workbookViewId="0">
      <selection activeCell="X161" sqref="X161"/>
    </sheetView>
  </sheetViews>
  <sheetFormatPr defaultColWidth="9" defaultRowHeight="15"/>
  <cols>
    <col min="2" max="2" width="15.8518518518519" customWidth="1"/>
    <col min="3" max="3" width="16.7111111111111" customWidth="1"/>
    <col min="4" max="4" width="13.8518518518519" customWidth="1"/>
    <col min="6" max="6" width="14.4222222222222" customWidth="1"/>
    <col min="8" max="8" width="14.2814814814815" customWidth="1"/>
    <col min="9" max="9" width="13.2814814814815" customWidth="1"/>
    <col min="10" max="10" width="13.8518518518519" customWidth="1"/>
    <col min="11" max="11" width="22" customWidth="1"/>
    <col min="13" max="13" width="14.4222222222222" customWidth="1"/>
    <col min="15" max="15" width="25.2814814814815" customWidth="1"/>
    <col min="16" max="16" width="12.8518518518519" customWidth="1"/>
    <col min="17" max="17" width="11.7111111111111" customWidth="1"/>
    <col min="20" max="20" width="14.4222222222222" customWidth="1"/>
  </cols>
  <sheetData>
    <row r="1" spans="1:17">
      <c r="A1" s="29" t="s">
        <v>175</v>
      </c>
      <c r="B1" s="29" t="s">
        <v>1</v>
      </c>
      <c r="C1" s="29" t="s">
        <v>2</v>
      </c>
      <c r="D1" s="29" t="s">
        <v>171</v>
      </c>
      <c r="E1" s="29" t="s">
        <v>4</v>
      </c>
      <c r="F1" s="29" t="s">
        <v>6</v>
      </c>
      <c r="H1" s="31" t="s">
        <v>175</v>
      </c>
      <c r="I1" s="31" t="s">
        <v>1</v>
      </c>
      <c r="J1" s="31" t="s">
        <v>2</v>
      </c>
      <c r="K1" s="31" t="s">
        <v>171</v>
      </c>
      <c r="L1" s="31" t="s">
        <v>4</v>
      </c>
      <c r="M1" s="31" t="s">
        <v>6</v>
      </c>
      <c r="O1" s="29" t="s">
        <v>176</v>
      </c>
      <c r="P1" s="32"/>
      <c r="Q1" s="32"/>
    </row>
    <row r="2" spans="1:17">
      <c r="A2" s="30">
        <f ca="1">RANDBETWEEN(2,164)</f>
        <v>141</v>
      </c>
      <c r="B2" s="30">
        <f ca="1" t="array" ref="B2">INDEX(Data_DBD!$B:$B,$A2)</f>
        <v>36</v>
      </c>
      <c r="C2" s="30">
        <f ca="1" t="array" ref="C2">INDEX(Data_DBD!$C:$C,$A2)</f>
        <v>2</v>
      </c>
      <c r="D2" s="30">
        <f ca="1" t="array" ref="D2">INDEX(Data_DBD!$D:$D,$A2)</f>
        <v>21</v>
      </c>
      <c r="E2" s="30">
        <f ca="1" t="array" ref="E2">INDEX(Data_DBD!$E:$E,$A2)</f>
        <v>0</v>
      </c>
      <c r="F2" s="30">
        <f ca="1" t="array" ref="F2">INDEX(Data_DBD!$F:$F,$A2)</f>
        <v>3</v>
      </c>
      <c r="H2" s="30">
        <v>143</v>
      </c>
      <c r="I2" s="30">
        <v>20</v>
      </c>
      <c r="J2" s="30">
        <v>4</v>
      </c>
      <c r="K2" s="30">
        <v>21</v>
      </c>
      <c r="L2" s="30">
        <v>1</v>
      </c>
      <c r="M2" s="30">
        <v>3</v>
      </c>
      <c r="O2" s="33">
        <v>1</v>
      </c>
      <c r="P2" s="32">
        <f>COUNTIF(M2:M164,"1")</f>
        <v>11</v>
      </c>
      <c r="Q2" s="32">
        <f>P2/163</f>
        <v>0.0674846625766871</v>
      </c>
    </row>
    <row r="3" spans="1:17">
      <c r="A3" s="30">
        <f ca="1" t="shared" ref="A3:A66" si="0">RANDBETWEEN(2,164)</f>
        <v>43</v>
      </c>
      <c r="B3" s="30">
        <f ca="1" t="array" ref="B3">INDEX(Data_DBD!$B:$B,$A3)</f>
        <v>15</v>
      </c>
      <c r="C3" s="30">
        <f ca="1" t="array" ref="C3">INDEX(Data_DBD!$C:$C,$A3)</f>
        <v>4</v>
      </c>
      <c r="D3" s="30">
        <f ca="1" t="array" ref="D3">INDEX(Data_DBD!$D:$D,$A3)</f>
        <v>13</v>
      </c>
      <c r="E3" s="30">
        <f ca="1" t="array" ref="E3">INDEX(Data_DBD!$E:$E,$A3)</f>
        <v>0</v>
      </c>
      <c r="F3" s="30">
        <f ca="1" t="array" ref="F3">INDEX(Data_DBD!$F:$F,$A3)</f>
        <v>2</v>
      </c>
      <c r="H3" s="30">
        <v>85</v>
      </c>
      <c r="I3" s="30">
        <v>27</v>
      </c>
      <c r="J3" s="30">
        <v>9</v>
      </c>
      <c r="K3" s="30">
        <v>13</v>
      </c>
      <c r="L3" s="30">
        <v>0</v>
      </c>
      <c r="M3" s="30">
        <v>2</v>
      </c>
      <c r="O3" s="32">
        <v>2</v>
      </c>
      <c r="P3" s="32">
        <f>COUNTIF(M2:M164,"2")</f>
        <v>83</v>
      </c>
      <c r="Q3" s="32">
        <f>P3/163</f>
        <v>0.50920245398773</v>
      </c>
    </row>
    <row r="4" spans="1:17">
      <c r="A4" s="30">
        <f ca="1" t="shared" si="0"/>
        <v>53</v>
      </c>
      <c r="B4" s="30">
        <f ca="1" t="array" ref="B4">INDEX(Data_DBD!$B:$B,$A4)</f>
        <v>35</v>
      </c>
      <c r="C4" s="30">
        <f ca="1" t="array" ref="C4">INDEX(Data_DBD!$C:$C,$A4)</f>
        <v>4</v>
      </c>
      <c r="D4" s="30">
        <f ca="1" t="array" ref="D4">INDEX(Data_DBD!$D:$D,$A4)</f>
        <v>15</v>
      </c>
      <c r="E4" s="30">
        <f ca="1" t="array" ref="E4">INDEX(Data_DBD!$E:$E,$A4)</f>
        <v>1</v>
      </c>
      <c r="F4" s="30">
        <f ca="1" t="array" ref="F4">INDEX(Data_DBD!$F:$F,$A4)</f>
        <v>2</v>
      </c>
      <c r="H4" s="30">
        <v>136</v>
      </c>
      <c r="I4" s="30">
        <v>6</v>
      </c>
      <c r="J4" s="30">
        <v>2</v>
      </c>
      <c r="K4" s="30">
        <v>33</v>
      </c>
      <c r="L4" s="30">
        <v>0</v>
      </c>
      <c r="M4" s="30">
        <v>3</v>
      </c>
      <c r="O4" s="32">
        <v>3</v>
      </c>
      <c r="P4" s="32">
        <f>COUNTIF(M2:M164,"3")</f>
        <v>69</v>
      </c>
      <c r="Q4" s="32">
        <f>P4/163</f>
        <v>0.423312883435583</v>
      </c>
    </row>
    <row r="5" spans="1:16">
      <c r="A5" s="30">
        <f ca="1" t="shared" si="0"/>
        <v>99</v>
      </c>
      <c r="B5" s="30">
        <f ca="1" t="array" ref="B5">INDEX(Data_DBD!$B:$B,$A5)</f>
        <v>4</v>
      </c>
      <c r="C5" s="30">
        <f ca="1" t="array" ref="C5">INDEX(Data_DBD!$C:$C,$A5)</f>
        <v>2</v>
      </c>
      <c r="D5" s="30">
        <f ca="1" t="array" ref="D5">INDEX(Data_DBD!$D:$D,$A5)</f>
        <v>18</v>
      </c>
      <c r="E5" s="30">
        <f ca="1" t="array" ref="E5">INDEX(Data_DBD!$E:$E,$A5)</f>
        <v>1</v>
      </c>
      <c r="F5" s="30">
        <f ca="1" t="array" ref="F5">INDEX(Data_DBD!$F:$F,$A5)</f>
        <v>3</v>
      </c>
      <c r="H5" s="30">
        <v>162</v>
      </c>
      <c r="I5" s="30">
        <v>22</v>
      </c>
      <c r="J5" s="30">
        <v>3</v>
      </c>
      <c r="K5" s="30">
        <v>3</v>
      </c>
      <c r="L5" s="30">
        <v>1</v>
      </c>
      <c r="M5" s="30">
        <v>1</v>
      </c>
      <c r="O5" s="34" t="s">
        <v>181</v>
      </c>
      <c r="P5">
        <f>-(IFERROR(Q2*LOG(Q2,2),0)+IFERROR(Q3*LOG(Q3,2),0)+IFERROR(Q4*LOG(Q4,2),0))</f>
        <v>1.28326675469428</v>
      </c>
    </row>
    <row r="6" spans="1:13">
      <c r="A6" s="30">
        <f ca="1" t="shared" si="0"/>
        <v>66</v>
      </c>
      <c r="B6" s="30">
        <f ca="1" t="array" ref="B6">INDEX(Data_DBD!$B:$B,$A6)</f>
        <v>21</v>
      </c>
      <c r="C6" s="30">
        <f ca="1" t="array" ref="C6">INDEX(Data_DBD!$C:$C,$A6)</f>
        <v>5</v>
      </c>
      <c r="D6" s="30">
        <f ca="1" t="array" ref="D6">INDEX(Data_DBD!$D:$D,$A6)</f>
        <v>15</v>
      </c>
      <c r="E6" s="30">
        <f ca="1" t="array" ref="E6">INDEX(Data_DBD!$E:$E,$A6)</f>
        <v>1</v>
      </c>
      <c r="F6" s="30">
        <f ca="1" t="array" ref="F6">INDEX(Data_DBD!$F:$F,$A6)</f>
        <v>2</v>
      </c>
      <c r="H6" s="30">
        <v>94</v>
      </c>
      <c r="I6" s="30">
        <v>12</v>
      </c>
      <c r="J6" s="30">
        <v>4</v>
      </c>
      <c r="K6" s="30">
        <v>18</v>
      </c>
      <c r="L6" s="30">
        <v>0</v>
      </c>
      <c r="M6" s="30">
        <v>3</v>
      </c>
    </row>
    <row r="7" spans="1:13">
      <c r="A7" s="30">
        <f ca="1" t="shared" si="0"/>
        <v>112</v>
      </c>
      <c r="B7" s="30">
        <f ca="1" t="array" ref="B7">INDEX(Data_DBD!$B:$B,$A7)</f>
        <v>61</v>
      </c>
      <c r="C7" s="30">
        <f ca="1" t="array" ref="C7">INDEX(Data_DBD!$C:$C,$A7)</f>
        <v>3</v>
      </c>
      <c r="D7" s="30">
        <f ca="1" t="array" ref="D7">INDEX(Data_DBD!$D:$D,$A7)</f>
        <v>33</v>
      </c>
      <c r="E7" s="30">
        <f ca="1" t="array" ref="E7">INDEX(Data_DBD!$E:$E,$A7)</f>
        <v>1</v>
      </c>
      <c r="F7" s="30">
        <f ca="1" t="array" ref="F7">INDEX(Data_DBD!$F:$F,$A7)</f>
        <v>3</v>
      </c>
      <c r="H7" s="30">
        <v>21</v>
      </c>
      <c r="I7" s="30">
        <v>10</v>
      </c>
      <c r="J7" s="30">
        <v>5</v>
      </c>
      <c r="K7" s="30">
        <v>14</v>
      </c>
      <c r="L7" s="30">
        <v>1</v>
      </c>
      <c r="M7" s="30">
        <v>2</v>
      </c>
    </row>
    <row r="8" spans="1:13">
      <c r="A8" s="30">
        <f ca="1" t="shared" si="0"/>
        <v>91</v>
      </c>
      <c r="B8" s="30">
        <f ca="1" t="array" ref="B8">INDEX(Data_DBD!$B:$B,$A8)</f>
        <v>35</v>
      </c>
      <c r="C8" s="30">
        <f ca="1" t="array" ref="C8">INDEX(Data_DBD!$C:$C,$A8)</f>
        <v>1</v>
      </c>
      <c r="D8" s="30">
        <f ca="1" t="array" ref="D8">INDEX(Data_DBD!$D:$D,$A8)</f>
        <v>18</v>
      </c>
      <c r="E8" s="30">
        <f ca="1" t="array" ref="E8">INDEX(Data_DBD!$E:$E,$A8)</f>
        <v>1</v>
      </c>
      <c r="F8" s="30">
        <f ca="1" t="array" ref="F8">INDEX(Data_DBD!$F:$F,$A8)</f>
        <v>3</v>
      </c>
      <c r="H8" s="30">
        <v>96</v>
      </c>
      <c r="I8" s="30">
        <v>56</v>
      </c>
      <c r="J8" s="30">
        <v>4</v>
      </c>
      <c r="K8" s="30">
        <v>18</v>
      </c>
      <c r="L8" s="30">
        <v>0</v>
      </c>
      <c r="M8" s="30">
        <v>3</v>
      </c>
    </row>
    <row r="9" spans="1:13">
      <c r="A9" s="30">
        <f ca="1" t="shared" si="0"/>
        <v>88</v>
      </c>
      <c r="B9" s="30">
        <f ca="1" t="array" ref="B9">INDEX(Data_DBD!$B:$B,$A9)</f>
        <v>20</v>
      </c>
      <c r="C9" s="30">
        <f ca="1" t="array" ref="C9">INDEX(Data_DBD!$C:$C,$A9)</f>
        <v>4</v>
      </c>
      <c r="D9" s="30">
        <f ca="1" t="array" ref="D9">INDEX(Data_DBD!$D:$D,$A9)</f>
        <v>13</v>
      </c>
      <c r="E9" s="30">
        <f ca="1" t="array" ref="E9">INDEX(Data_DBD!$E:$E,$A9)</f>
        <v>1</v>
      </c>
      <c r="F9" s="30">
        <f ca="1" t="array" ref="F9">INDEX(Data_DBD!$F:$F,$A9)</f>
        <v>2</v>
      </c>
      <c r="H9" s="30">
        <v>4</v>
      </c>
      <c r="I9" s="30">
        <v>23</v>
      </c>
      <c r="J9" s="30">
        <v>5</v>
      </c>
      <c r="K9" s="30">
        <v>12</v>
      </c>
      <c r="L9" s="30">
        <v>0</v>
      </c>
      <c r="M9" s="30">
        <v>2</v>
      </c>
    </row>
    <row r="10" spans="1:13">
      <c r="A10" s="30">
        <f ca="1" t="shared" si="0"/>
        <v>27</v>
      </c>
      <c r="B10" s="30">
        <f ca="1" t="array" ref="B10">INDEX(Data_DBD!$B:$B,$A10)</f>
        <v>37</v>
      </c>
      <c r="C10" s="30">
        <f ca="1" t="array" ref="C10">INDEX(Data_DBD!$C:$C,$A10)</f>
        <v>4</v>
      </c>
      <c r="D10" s="30">
        <f ca="1" t="array" ref="D10">INDEX(Data_DBD!$D:$D,$A10)</f>
        <v>14</v>
      </c>
      <c r="E10" s="30">
        <f ca="1" t="array" ref="E10">INDEX(Data_DBD!$E:$E,$A10)</f>
        <v>1</v>
      </c>
      <c r="F10" s="30">
        <f ca="1" t="array" ref="F10">INDEX(Data_DBD!$F:$F,$A10)</f>
        <v>2</v>
      </c>
      <c r="H10" s="30">
        <v>60</v>
      </c>
      <c r="I10" s="30">
        <v>68</v>
      </c>
      <c r="J10" s="30">
        <v>4</v>
      </c>
      <c r="K10" s="30">
        <v>15</v>
      </c>
      <c r="L10" s="30">
        <v>0</v>
      </c>
      <c r="M10" s="30">
        <v>2</v>
      </c>
    </row>
    <row r="11" spans="1:13">
      <c r="A11" s="30">
        <f ca="1" t="shared" si="0"/>
        <v>93</v>
      </c>
      <c r="B11" s="30">
        <f ca="1" t="array" ref="B11">INDEX(Data_DBD!$B:$B,$A11)</f>
        <v>65</v>
      </c>
      <c r="C11" s="30">
        <f ca="1" t="array" ref="C11">INDEX(Data_DBD!$C:$C,$A11)</f>
        <v>4</v>
      </c>
      <c r="D11" s="30">
        <f ca="1" t="array" ref="D11">INDEX(Data_DBD!$D:$D,$A11)</f>
        <v>18</v>
      </c>
      <c r="E11" s="30">
        <f ca="1" t="array" ref="E11">INDEX(Data_DBD!$E:$E,$A11)</f>
        <v>0</v>
      </c>
      <c r="F11" s="30">
        <f ca="1" t="array" ref="F11">INDEX(Data_DBD!$F:$F,$A11)</f>
        <v>3</v>
      </c>
      <c r="H11" s="30">
        <v>154</v>
      </c>
      <c r="I11" s="30">
        <v>18</v>
      </c>
      <c r="J11" s="30">
        <v>5</v>
      </c>
      <c r="K11" s="30">
        <v>21</v>
      </c>
      <c r="L11" s="30">
        <v>1</v>
      </c>
      <c r="M11" s="30">
        <v>3</v>
      </c>
    </row>
    <row r="12" spans="1:13">
      <c r="A12" s="30">
        <f ca="1" t="shared" si="0"/>
        <v>18</v>
      </c>
      <c r="B12" s="30">
        <f ca="1" t="array" ref="B12">INDEX(Data_DBD!$B:$B,$A12)</f>
        <v>49</v>
      </c>
      <c r="C12" s="30">
        <f ca="1" t="array" ref="C12">INDEX(Data_DBD!$C:$C,$A12)</f>
        <v>4</v>
      </c>
      <c r="D12" s="30">
        <f ca="1" t="array" ref="D12">INDEX(Data_DBD!$D:$D,$A12)</f>
        <v>7</v>
      </c>
      <c r="E12" s="30">
        <f ca="1" t="array" ref="E12">INDEX(Data_DBD!$E:$E,$A12)</f>
        <v>1</v>
      </c>
      <c r="F12" s="30">
        <f ca="1" t="array" ref="F12">INDEX(Data_DBD!$F:$F,$A12)</f>
        <v>1</v>
      </c>
      <c r="H12" s="30">
        <v>138</v>
      </c>
      <c r="I12" s="30">
        <v>13</v>
      </c>
      <c r="J12" s="30">
        <v>3</v>
      </c>
      <c r="K12" s="30">
        <v>33</v>
      </c>
      <c r="L12" s="30">
        <v>1</v>
      </c>
      <c r="M12" s="30">
        <v>3</v>
      </c>
    </row>
    <row r="13" spans="1:13">
      <c r="A13" s="30">
        <f ca="1" t="shared" si="0"/>
        <v>148</v>
      </c>
      <c r="B13" s="30">
        <f ca="1" t="array" ref="B13">INDEX(Data_DBD!$B:$B,$A13)</f>
        <v>55</v>
      </c>
      <c r="C13" s="30">
        <f ca="1" t="array" ref="C13">INDEX(Data_DBD!$C:$C,$A13)</f>
        <v>3</v>
      </c>
      <c r="D13" s="30">
        <f ca="1" t="array" ref="D13">INDEX(Data_DBD!$D:$D,$A13)</f>
        <v>21</v>
      </c>
      <c r="E13" s="30">
        <f ca="1" t="array" ref="E13">INDEX(Data_DBD!$E:$E,$A13)</f>
        <v>1</v>
      </c>
      <c r="F13" s="30">
        <f ca="1" t="array" ref="F13">INDEX(Data_DBD!$F:$F,$A13)</f>
        <v>3</v>
      </c>
      <c r="H13" s="30">
        <v>51</v>
      </c>
      <c r="I13" s="30">
        <v>48</v>
      </c>
      <c r="J13" s="30">
        <v>4</v>
      </c>
      <c r="K13" s="30">
        <v>13</v>
      </c>
      <c r="L13" s="30">
        <v>0</v>
      </c>
      <c r="M13" s="30">
        <v>2</v>
      </c>
    </row>
    <row r="14" spans="1:13">
      <c r="A14" s="30">
        <f ca="1" t="shared" si="0"/>
        <v>83</v>
      </c>
      <c r="B14" s="30">
        <f ca="1" t="array" ref="B14">INDEX(Data_DBD!$B:$B,$A14)</f>
        <v>50</v>
      </c>
      <c r="C14" s="30">
        <f ca="1" t="array" ref="C14">INDEX(Data_DBD!$C:$C,$A14)</f>
        <v>3</v>
      </c>
      <c r="D14" s="30">
        <f ca="1" t="array" ref="D14">INDEX(Data_DBD!$D:$D,$A14)</f>
        <v>13</v>
      </c>
      <c r="E14" s="30">
        <f ca="1" t="array" ref="E14">INDEX(Data_DBD!$E:$E,$A14)</f>
        <v>0</v>
      </c>
      <c r="F14" s="30">
        <f ca="1" t="array" ref="F14">INDEX(Data_DBD!$F:$F,$A14)</f>
        <v>2</v>
      </c>
      <c r="H14" s="30">
        <v>162</v>
      </c>
      <c r="I14" s="30">
        <v>22</v>
      </c>
      <c r="J14" s="30">
        <v>3</v>
      </c>
      <c r="K14" s="30">
        <v>3</v>
      </c>
      <c r="L14" s="30">
        <v>1</v>
      </c>
      <c r="M14" s="30">
        <v>1</v>
      </c>
    </row>
    <row r="15" spans="1:13">
      <c r="A15" s="30">
        <f ca="1" t="shared" si="0"/>
        <v>65</v>
      </c>
      <c r="B15" s="30">
        <f ca="1" t="array" ref="B15">INDEX(Data_DBD!$B:$B,$A15)</f>
        <v>49</v>
      </c>
      <c r="C15" s="30">
        <f ca="1" t="array" ref="C15">INDEX(Data_DBD!$C:$C,$A15)</f>
        <v>3</v>
      </c>
      <c r="D15" s="30">
        <f ca="1" t="array" ref="D15">INDEX(Data_DBD!$D:$D,$A15)</f>
        <v>15</v>
      </c>
      <c r="E15" s="30">
        <f ca="1" t="array" ref="E15">INDEX(Data_DBD!$E:$E,$A15)</f>
        <v>0</v>
      </c>
      <c r="F15" s="30">
        <f ca="1" t="array" ref="F15">INDEX(Data_DBD!$F:$F,$A15)</f>
        <v>2</v>
      </c>
      <c r="H15" s="30">
        <v>65</v>
      </c>
      <c r="I15" s="30">
        <v>49</v>
      </c>
      <c r="J15" s="30">
        <v>3</v>
      </c>
      <c r="K15" s="30">
        <v>15</v>
      </c>
      <c r="L15" s="30">
        <v>0</v>
      </c>
      <c r="M15" s="30">
        <v>2</v>
      </c>
    </row>
    <row r="16" spans="1:13">
      <c r="A16" s="30">
        <f ca="1" t="shared" si="0"/>
        <v>13</v>
      </c>
      <c r="B16" s="30">
        <f ca="1" t="array" ref="B16">INDEX(Data_DBD!$B:$B,$A16)</f>
        <v>47</v>
      </c>
      <c r="C16" s="30">
        <f ca="1" t="array" ref="C16">INDEX(Data_DBD!$C:$C,$A16)</f>
        <v>2</v>
      </c>
      <c r="D16" s="30">
        <f ca="1" t="array" ref="D16">INDEX(Data_DBD!$D:$D,$A16)</f>
        <v>12</v>
      </c>
      <c r="E16" s="30">
        <f ca="1" t="array" ref="E16">INDEX(Data_DBD!$E:$E,$A16)</f>
        <v>0</v>
      </c>
      <c r="F16" s="30">
        <f ca="1" t="array" ref="F16">INDEX(Data_DBD!$F:$F,$A16)</f>
        <v>2</v>
      </c>
      <c r="H16" s="30">
        <v>109</v>
      </c>
      <c r="I16" s="30">
        <v>40</v>
      </c>
      <c r="J16" s="30">
        <v>3</v>
      </c>
      <c r="K16" s="30">
        <v>33</v>
      </c>
      <c r="L16" s="30">
        <v>1</v>
      </c>
      <c r="M16" s="30">
        <v>3</v>
      </c>
    </row>
    <row r="17" spans="1:13">
      <c r="A17" s="30">
        <f ca="1" t="shared" si="0"/>
        <v>49</v>
      </c>
      <c r="B17" s="30">
        <f ca="1" t="array" ref="B17">INDEX(Data_DBD!$B:$B,$A17)</f>
        <v>64</v>
      </c>
      <c r="C17" s="30">
        <f ca="1" t="array" ref="C17">INDEX(Data_DBD!$C:$C,$A17)</f>
        <v>5</v>
      </c>
      <c r="D17" s="30">
        <f ca="1" t="array" ref="D17">INDEX(Data_DBD!$D:$D,$A17)</f>
        <v>13</v>
      </c>
      <c r="E17" s="30">
        <f ca="1" t="array" ref="E17">INDEX(Data_DBD!$E:$E,$A17)</f>
        <v>0</v>
      </c>
      <c r="F17" s="30">
        <f ca="1" t="array" ref="F17">INDEX(Data_DBD!$F:$F,$A17)</f>
        <v>2</v>
      </c>
      <c r="H17" s="30">
        <v>31</v>
      </c>
      <c r="I17" s="30">
        <v>64</v>
      </c>
      <c r="J17" s="30">
        <v>4</v>
      </c>
      <c r="K17" s="30">
        <v>14</v>
      </c>
      <c r="L17" s="30">
        <v>1</v>
      </c>
      <c r="M17" s="30">
        <v>2</v>
      </c>
    </row>
    <row r="18" spans="1:13">
      <c r="A18" s="30">
        <f ca="1" t="shared" si="0"/>
        <v>14</v>
      </c>
      <c r="B18" s="30">
        <f ca="1" t="array" ref="B18">INDEX(Data_DBD!$B:$B,$A18)</f>
        <v>49</v>
      </c>
      <c r="C18" s="30">
        <f ca="1" t="array" ref="C18">INDEX(Data_DBD!$C:$C,$A18)</f>
        <v>4</v>
      </c>
      <c r="D18" s="30">
        <f ca="1" t="array" ref="D18">INDEX(Data_DBD!$D:$D,$A18)</f>
        <v>7</v>
      </c>
      <c r="E18" s="30">
        <f ca="1" t="array" ref="E18">INDEX(Data_DBD!$E:$E,$A18)</f>
        <v>1</v>
      </c>
      <c r="F18" s="30">
        <f ca="1" t="array" ref="F18">INDEX(Data_DBD!$F:$F,$A18)</f>
        <v>1</v>
      </c>
      <c r="H18" s="30">
        <v>55</v>
      </c>
      <c r="I18" s="30">
        <v>7</v>
      </c>
      <c r="J18" s="30">
        <v>4</v>
      </c>
      <c r="K18" s="30">
        <v>15</v>
      </c>
      <c r="L18" s="30">
        <v>1</v>
      </c>
      <c r="M18" s="30">
        <v>2</v>
      </c>
    </row>
    <row r="19" spans="1:13">
      <c r="A19" s="30">
        <f ca="1" t="shared" si="0"/>
        <v>25</v>
      </c>
      <c r="B19" s="30">
        <f ca="1" t="array" ref="B19">INDEX(Data_DBD!$B:$B,$A19)</f>
        <v>81</v>
      </c>
      <c r="C19" s="30">
        <f ca="1" t="array" ref="C19">INDEX(Data_DBD!$C:$C,$A19)</f>
        <v>5</v>
      </c>
      <c r="D19" s="30">
        <f ca="1" t="array" ref="D19">INDEX(Data_DBD!$D:$D,$A19)</f>
        <v>14</v>
      </c>
      <c r="E19" s="30">
        <f ca="1" t="array" ref="E19">INDEX(Data_DBD!$E:$E,$A19)</f>
        <v>0</v>
      </c>
      <c r="F19" s="30">
        <f ca="1" t="array" ref="F19">INDEX(Data_DBD!$F:$F,$A19)</f>
        <v>2</v>
      </c>
      <c r="H19" s="30">
        <v>46</v>
      </c>
      <c r="I19" s="30">
        <v>62</v>
      </c>
      <c r="J19" s="30">
        <v>2</v>
      </c>
      <c r="K19" s="30">
        <v>13</v>
      </c>
      <c r="L19" s="30">
        <v>0</v>
      </c>
      <c r="M19" s="30">
        <v>2</v>
      </c>
    </row>
    <row r="20" spans="1:13">
      <c r="A20" s="30">
        <f ca="1" t="shared" si="0"/>
        <v>43</v>
      </c>
      <c r="B20" s="30">
        <f ca="1" t="array" ref="B20">INDEX(Data_DBD!$B:$B,$A20)</f>
        <v>15</v>
      </c>
      <c r="C20" s="30">
        <f ca="1" t="array" ref="C20">INDEX(Data_DBD!$C:$C,$A20)</f>
        <v>4</v>
      </c>
      <c r="D20" s="30">
        <f ca="1" t="array" ref="D20">INDEX(Data_DBD!$D:$D,$A20)</f>
        <v>13</v>
      </c>
      <c r="E20" s="30">
        <f ca="1" t="array" ref="E20">INDEX(Data_DBD!$E:$E,$A20)</f>
        <v>0</v>
      </c>
      <c r="F20" s="30">
        <f ca="1" t="array" ref="F20">INDEX(Data_DBD!$F:$F,$A20)</f>
        <v>2</v>
      </c>
      <c r="H20" s="30">
        <v>70</v>
      </c>
      <c r="I20" s="30">
        <v>26</v>
      </c>
      <c r="J20" s="30">
        <v>3</v>
      </c>
      <c r="K20" s="30">
        <v>10</v>
      </c>
      <c r="L20" s="30">
        <v>1</v>
      </c>
      <c r="M20" s="30">
        <v>2</v>
      </c>
    </row>
    <row r="21" spans="1:13">
      <c r="A21" s="30">
        <f ca="1" t="shared" si="0"/>
        <v>81</v>
      </c>
      <c r="B21" s="30">
        <f ca="1" t="array" ref="B21">INDEX(Data_DBD!$B:$B,$A21)</f>
        <v>23</v>
      </c>
      <c r="C21" s="30">
        <f ca="1" t="array" ref="C21">INDEX(Data_DBD!$C:$C,$A21)</f>
        <v>5</v>
      </c>
      <c r="D21" s="30">
        <f ca="1" t="array" ref="D21">INDEX(Data_DBD!$D:$D,$A21)</f>
        <v>13</v>
      </c>
      <c r="E21" s="30">
        <f ca="1" t="array" ref="E21">INDEX(Data_DBD!$E:$E,$A21)</f>
        <v>1</v>
      </c>
      <c r="F21" s="30">
        <f ca="1" t="array" ref="F21">INDEX(Data_DBD!$F:$F,$A21)</f>
        <v>2</v>
      </c>
      <c r="H21" s="30">
        <v>27</v>
      </c>
      <c r="I21" s="30">
        <v>37</v>
      </c>
      <c r="J21" s="30">
        <v>4</v>
      </c>
      <c r="K21" s="30">
        <v>14</v>
      </c>
      <c r="L21" s="30">
        <v>1</v>
      </c>
      <c r="M21" s="30">
        <v>2</v>
      </c>
    </row>
    <row r="22" spans="1:13">
      <c r="A22" s="30">
        <f ca="1" t="shared" si="0"/>
        <v>45</v>
      </c>
      <c r="B22" s="30">
        <f ca="1" t="array" ref="B22">INDEX(Data_DBD!$B:$B,$A22)</f>
        <v>75</v>
      </c>
      <c r="C22" s="30">
        <f ca="1" t="array" ref="C22">INDEX(Data_DBD!$C:$C,$A22)</f>
        <v>3</v>
      </c>
      <c r="D22" s="30">
        <f ca="1" t="array" ref="D22">INDEX(Data_DBD!$D:$D,$A22)</f>
        <v>13</v>
      </c>
      <c r="E22" s="30">
        <f ca="1" t="array" ref="E22">INDEX(Data_DBD!$E:$E,$A22)</f>
        <v>1</v>
      </c>
      <c r="F22" s="30">
        <f ca="1" t="array" ref="F22">INDEX(Data_DBD!$F:$F,$A22)</f>
        <v>2</v>
      </c>
      <c r="H22" s="30">
        <v>6</v>
      </c>
      <c r="I22" s="30">
        <v>14</v>
      </c>
      <c r="J22" s="30">
        <v>4</v>
      </c>
      <c r="K22" s="30">
        <v>12</v>
      </c>
      <c r="L22" s="30">
        <v>0</v>
      </c>
      <c r="M22" s="30">
        <v>2</v>
      </c>
    </row>
    <row r="23" spans="1:13">
      <c r="A23" s="30">
        <f ca="1" t="shared" si="0"/>
        <v>59</v>
      </c>
      <c r="B23" s="30">
        <f ca="1" t="array" ref="B23">INDEX(Data_DBD!$B:$B,$A23)</f>
        <v>28</v>
      </c>
      <c r="C23" s="30">
        <f ca="1" t="array" ref="C23">INDEX(Data_DBD!$C:$C,$A23)</f>
        <v>4</v>
      </c>
      <c r="D23" s="30">
        <f ca="1" t="array" ref="D23">INDEX(Data_DBD!$D:$D,$A23)</f>
        <v>15</v>
      </c>
      <c r="E23" s="30">
        <f ca="1" t="array" ref="E23">INDEX(Data_DBD!$E:$E,$A23)</f>
        <v>0</v>
      </c>
      <c r="F23" s="30">
        <f ca="1" t="array" ref="F23">INDEX(Data_DBD!$F:$F,$A23)</f>
        <v>2</v>
      </c>
      <c r="H23" s="30">
        <v>69</v>
      </c>
      <c r="I23" s="30">
        <v>24</v>
      </c>
      <c r="J23" s="30">
        <v>4</v>
      </c>
      <c r="K23" s="30">
        <v>10</v>
      </c>
      <c r="L23" s="30">
        <v>1</v>
      </c>
      <c r="M23" s="30">
        <v>2</v>
      </c>
    </row>
    <row r="24" spans="1:13">
      <c r="A24" s="30">
        <f ca="1" t="shared" si="0"/>
        <v>17</v>
      </c>
      <c r="B24" s="30">
        <f ca="1" t="array" ref="B24">INDEX(Data_DBD!$B:$B,$A24)</f>
        <v>2</v>
      </c>
      <c r="C24" s="30">
        <f ca="1" t="array" ref="C24">INDEX(Data_DBD!$C:$C,$A24)</f>
        <v>3</v>
      </c>
      <c r="D24" s="30">
        <f ca="1" t="array" ref="D24">INDEX(Data_DBD!$D:$D,$A24)</f>
        <v>7</v>
      </c>
      <c r="E24" s="30">
        <f ca="1" t="array" ref="E24">INDEX(Data_DBD!$E:$E,$A24)</f>
        <v>0</v>
      </c>
      <c r="F24" s="30">
        <f ca="1" t="array" ref="F24">INDEX(Data_DBD!$F:$F,$A24)</f>
        <v>1</v>
      </c>
      <c r="H24" s="30">
        <v>129</v>
      </c>
      <c r="I24" s="30">
        <v>4.5</v>
      </c>
      <c r="J24" s="30">
        <v>3</v>
      </c>
      <c r="K24" s="30">
        <v>33</v>
      </c>
      <c r="L24" s="30">
        <v>0</v>
      </c>
      <c r="M24" s="30">
        <v>3</v>
      </c>
    </row>
    <row r="25" spans="1:13">
      <c r="A25" s="30">
        <f ca="1" t="shared" si="0"/>
        <v>108</v>
      </c>
      <c r="B25" s="30">
        <f ca="1" t="array" ref="B25">INDEX(Data_DBD!$B:$B,$A25)</f>
        <v>69</v>
      </c>
      <c r="C25" s="30">
        <f ca="1" t="array" ref="C25">INDEX(Data_DBD!$C:$C,$A25)</f>
        <v>7</v>
      </c>
      <c r="D25" s="30">
        <f ca="1" t="array" ref="D25">INDEX(Data_DBD!$D:$D,$A25)</f>
        <v>33</v>
      </c>
      <c r="E25" s="30">
        <f ca="1" t="array" ref="E25">INDEX(Data_DBD!$E:$E,$A25)</f>
        <v>1</v>
      </c>
      <c r="F25" s="30">
        <f ca="1" t="array" ref="F25">INDEX(Data_DBD!$F:$F,$A25)</f>
        <v>3</v>
      </c>
      <c r="H25" s="30">
        <v>142</v>
      </c>
      <c r="I25" s="30">
        <v>39</v>
      </c>
      <c r="J25" s="30">
        <v>2</v>
      </c>
      <c r="K25" s="30">
        <v>21</v>
      </c>
      <c r="L25" s="30">
        <v>1</v>
      </c>
      <c r="M25" s="30">
        <v>3</v>
      </c>
    </row>
    <row r="26" spans="1:13">
      <c r="A26" s="30">
        <f ca="1" t="shared" si="0"/>
        <v>127</v>
      </c>
      <c r="B26" s="30">
        <f ca="1" t="array" ref="B26">INDEX(Data_DBD!$B:$B,$A26)</f>
        <v>21</v>
      </c>
      <c r="C26" s="30">
        <f ca="1" t="array" ref="C26">INDEX(Data_DBD!$C:$C,$A26)</f>
        <v>2</v>
      </c>
      <c r="D26" s="30">
        <f ca="1" t="array" ref="D26">INDEX(Data_DBD!$D:$D,$A26)</f>
        <v>33</v>
      </c>
      <c r="E26" s="30">
        <f ca="1" t="array" ref="E26">INDEX(Data_DBD!$E:$E,$A26)</f>
        <v>0</v>
      </c>
      <c r="F26" s="30">
        <f ca="1" t="array" ref="F26">INDEX(Data_DBD!$F:$F,$A26)</f>
        <v>3</v>
      </c>
      <c r="H26" s="30">
        <v>59</v>
      </c>
      <c r="I26" s="30">
        <v>28</v>
      </c>
      <c r="J26" s="30">
        <v>4</v>
      </c>
      <c r="K26" s="30">
        <v>15</v>
      </c>
      <c r="L26" s="30">
        <v>0</v>
      </c>
      <c r="M26" s="30">
        <v>2</v>
      </c>
    </row>
    <row r="27" spans="1:13">
      <c r="A27" s="30">
        <f ca="1" t="shared" si="0"/>
        <v>46</v>
      </c>
      <c r="B27" s="30">
        <f ca="1" t="array" ref="B27">INDEX(Data_DBD!$B:$B,$A27)</f>
        <v>62</v>
      </c>
      <c r="C27" s="30">
        <f ca="1" t="array" ref="C27">INDEX(Data_DBD!$C:$C,$A27)</f>
        <v>2</v>
      </c>
      <c r="D27" s="30">
        <f ca="1" t="array" ref="D27">INDEX(Data_DBD!$D:$D,$A27)</f>
        <v>13</v>
      </c>
      <c r="E27" s="30">
        <f ca="1" t="array" ref="E27">INDEX(Data_DBD!$E:$E,$A27)</f>
        <v>0</v>
      </c>
      <c r="F27" s="30">
        <f ca="1" t="array" ref="F27">INDEX(Data_DBD!$F:$F,$A27)</f>
        <v>2</v>
      </c>
      <c r="H27" s="30">
        <v>137</v>
      </c>
      <c r="I27" s="30">
        <v>3.5</v>
      </c>
      <c r="J27" s="30">
        <v>1</v>
      </c>
      <c r="K27" s="30">
        <v>33</v>
      </c>
      <c r="L27" s="30">
        <v>1</v>
      </c>
      <c r="M27" s="30">
        <v>3</v>
      </c>
    </row>
    <row r="28" spans="1:13">
      <c r="A28" s="30">
        <f ca="1" t="shared" si="0"/>
        <v>36</v>
      </c>
      <c r="B28" s="30">
        <f ca="1" t="array" ref="B28">INDEX(Data_DBD!$B:$B,$A28)</f>
        <v>27</v>
      </c>
      <c r="C28" s="30">
        <f ca="1" t="array" ref="C28">INDEX(Data_DBD!$C:$C,$A28)</f>
        <v>1</v>
      </c>
      <c r="D28" s="30">
        <f ca="1" t="array" ref="D28">INDEX(Data_DBD!$D:$D,$A28)</f>
        <v>4</v>
      </c>
      <c r="E28" s="30">
        <f ca="1" t="array" ref="E28">INDEX(Data_DBD!$E:$E,$A28)</f>
        <v>1</v>
      </c>
      <c r="F28" s="30">
        <f ca="1" t="array" ref="F28">INDEX(Data_DBD!$F:$F,$A28)</f>
        <v>1</v>
      </c>
      <c r="H28" s="30">
        <v>66</v>
      </c>
      <c r="I28" s="30">
        <v>21</v>
      </c>
      <c r="J28" s="30">
        <v>5</v>
      </c>
      <c r="K28" s="30">
        <v>15</v>
      </c>
      <c r="L28" s="30">
        <v>1</v>
      </c>
      <c r="M28" s="30">
        <v>2</v>
      </c>
    </row>
    <row r="29" spans="1:13">
      <c r="A29" s="30">
        <f ca="1" t="shared" si="0"/>
        <v>26</v>
      </c>
      <c r="B29" s="30">
        <f ca="1" t="array" ref="B29">INDEX(Data_DBD!$B:$B,$A29)</f>
        <v>75</v>
      </c>
      <c r="C29" s="30">
        <f ca="1" t="array" ref="C29">INDEX(Data_DBD!$C:$C,$A29)</f>
        <v>4</v>
      </c>
      <c r="D29" s="30">
        <f ca="1" t="array" ref="D29">INDEX(Data_DBD!$D:$D,$A29)</f>
        <v>14</v>
      </c>
      <c r="E29" s="30">
        <f ca="1" t="array" ref="E29">INDEX(Data_DBD!$E:$E,$A29)</f>
        <v>1</v>
      </c>
      <c r="F29" s="30">
        <f ca="1" t="array" ref="F29">INDEX(Data_DBD!$F:$F,$A29)</f>
        <v>2</v>
      </c>
      <c r="H29" s="30">
        <v>70</v>
      </c>
      <c r="I29" s="30">
        <v>26</v>
      </c>
      <c r="J29" s="30">
        <v>3</v>
      </c>
      <c r="K29" s="30">
        <v>10</v>
      </c>
      <c r="L29" s="30">
        <v>1</v>
      </c>
      <c r="M29" s="30">
        <v>2</v>
      </c>
    </row>
    <row r="30" spans="1:13">
      <c r="A30" s="30">
        <f ca="1" t="shared" si="0"/>
        <v>76</v>
      </c>
      <c r="B30" s="30">
        <f ca="1" t="array" ref="B30">INDEX(Data_DBD!$B:$B,$A30)</f>
        <v>70</v>
      </c>
      <c r="C30" s="30">
        <f ca="1" t="array" ref="C30">INDEX(Data_DBD!$C:$C,$A30)</f>
        <v>2</v>
      </c>
      <c r="D30" s="30">
        <f ca="1" t="array" ref="D30">INDEX(Data_DBD!$D:$D,$A30)</f>
        <v>10</v>
      </c>
      <c r="E30" s="30">
        <f ca="1" t="array" ref="E30">INDEX(Data_DBD!$E:$E,$A30)</f>
        <v>0</v>
      </c>
      <c r="F30" s="30">
        <f ca="1" t="array" ref="F30">INDEX(Data_DBD!$F:$F,$A30)</f>
        <v>2</v>
      </c>
      <c r="H30" s="30">
        <v>68</v>
      </c>
      <c r="I30" s="30">
        <v>44</v>
      </c>
      <c r="J30" s="30">
        <v>5</v>
      </c>
      <c r="K30" s="30">
        <v>10</v>
      </c>
      <c r="L30" s="30">
        <v>0</v>
      </c>
      <c r="M30" s="30">
        <v>2</v>
      </c>
    </row>
    <row r="31" spans="1:13">
      <c r="A31" s="30">
        <f ca="1" t="shared" si="0"/>
        <v>33</v>
      </c>
      <c r="B31" s="30">
        <f ca="1" t="array" ref="B31">INDEX(Data_DBD!$B:$B,$A31)</f>
        <v>19</v>
      </c>
      <c r="C31" s="30">
        <f ca="1" t="array" ref="C31">INDEX(Data_DBD!$C:$C,$A31)</f>
        <v>4</v>
      </c>
      <c r="D31" s="30">
        <f ca="1" t="array" ref="D31">INDEX(Data_DBD!$D:$D,$A31)</f>
        <v>14</v>
      </c>
      <c r="E31" s="30">
        <f ca="1" t="array" ref="E31">INDEX(Data_DBD!$E:$E,$A31)</f>
        <v>1</v>
      </c>
      <c r="F31" s="30">
        <f ca="1" t="array" ref="F31">INDEX(Data_DBD!$F:$F,$A31)</f>
        <v>2</v>
      </c>
      <c r="H31" s="30">
        <v>32</v>
      </c>
      <c r="I31" s="30">
        <v>54</v>
      </c>
      <c r="J31" s="30">
        <v>4</v>
      </c>
      <c r="K31" s="30">
        <v>14</v>
      </c>
      <c r="L31" s="30">
        <v>0</v>
      </c>
      <c r="M31" s="30">
        <v>2</v>
      </c>
    </row>
    <row r="32" spans="1:13">
      <c r="A32" s="30">
        <f ca="1" t="shared" si="0"/>
        <v>134</v>
      </c>
      <c r="B32" s="30">
        <f ca="1" t="array" ref="B32">INDEX(Data_DBD!$B:$B,$A32)</f>
        <v>4</v>
      </c>
      <c r="C32" s="30">
        <f ca="1" t="array" ref="C32">INDEX(Data_DBD!$C:$C,$A32)</f>
        <v>2</v>
      </c>
      <c r="D32" s="30">
        <f ca="1" t="array" ref="D32">INDEX(Data_DBD!$D:$D,$A32)</f>
        <v>33</v>
      </c>
      <c r="E32" s="30">
        <f ca="1" t="array" ref="E32">INDEX(Data_DBD!$E:$E,$A32)</f>
        <v>1</v>
      </c>
      <c r="F32" s="30">
        <f ca="1" t="array" ref="F32">INDEX(Data_DBD!$F:$F,$A32)</f>
        <v>3</v>
      </c>
      <c r="H32" s="30">
        <v>57</v>
      </c>
      <c r="I32" s="30">
        <v>2</v>
      </c>
      <c r="J32" s="30">
        <v>2</v>
      </c>
      <c r="K32" s="30">
        <v>15</v>
      </c>
      <c r="L32" s="30">
        <v>1</v>
      </c>
      <c r="M32" s="30">
        <v>2</v>
      </c>
    </row>
    <row r="33" spans="1:13">
      <c r="A33" s="30">
        <f ca="1" t="shared" si="0"/>
        <v>106</v>
      </c>
      <c r="B33" s="30">
        <f ca="1" t="array" ref="B33">INDEX(Data_DBD!$B:$B,$A33)</f>
        <v>23</v>
      </c>
      <c r="C33" s="30">
        <f ca="1" t="array" ref="C33">INDEX(Data_DBD!$C:$C,$A33)</f>
        <v>3</v>
      </c>
      <c r="D33" s="30">
        <f ca="1" t="array" ref="D33">INDEX(Data_DBD!$D:$D,$A33)</f>
        <v>18</v>
      </c>
      <c r="E33" s="30">
        <f ca="1" t="array" ref="E33">INDEX(Data_DBD!$E:$E,$A33)</f>
        <v>1</v>
      </c>
      <c r="F33" s="30">
        <f ca="1" t="array" ref="F33">INDEX(Data_DBD!$F:$F,$A33)</f>
        <v>3</v>
      </c>
      <c r="H33" s="30">
        <v>60</v>
      </c>
      <c r="I33" s="30">
        <v>68</v>
      </c>
      <c r="J33" s="30">
        <v>4</v>
      </c>
      <c r="K33" s="30">
        <v>15</v>
      </c>
      <c r="L33" s="30">
        <v>0</v>
      </c>
      <c r="M33" s="30">
        <v>2</v>
      </c>
    </row>
    <row r="34" spans="1:13">
      <c r="A34" s="30">
        <f ca="1" t="shared" si="0"/>
        <v>12</v>
      </c>
      <c r="B34" s="30">
        <f ca="1" t="array" ref="B34">INDEX(Data_DBD!$B:$B,$A34)</f>
        <v>23</v>
      </c>
      <c r="C34" s="30">
        <f ca="1" t="array" ref="C34">INDEX(Data_DBD!$C:$C,$A34)</f>
        <v>3</v>
      </c>
      <c r="D34" s="30">
        <f ca="1" t="array" ref="D34">INDEX(Data_DBD!$D:$D,$A34)</f>
        <v>12</v>
      </c>
      <c r="E34" s="30">
        <f ca="1" t="array" ref="E34">INDEX(Data_DBD!$E:$E,$A34)</f>
        <v>0</v>
      </c>
      <c r="F34" s="30">
        <f ca="1" t="array" ref="F34">INDEX(Data_DBD!$F:$F,$A34)</f>
        <v>2</v>
      </c>
      <c r="H34" s="30">
        <v>49</v>
      </c>
      <c r="I34" s="30">
        <v>64</v>
      </c>
      <c r="J34" s="30">
        <v>5</v>
      </c>
      <c r="K34" s="30">
        <v>13</v>
      </c>
      <c r="L34" s="30">
        <v>0</v>
      </c>
      <c r="M34" s="30">
        <v>2</v>
      </c>
    </row>
    <row r="35" spans="1:13">
      <c r="A35" s="30">
        <f ca="1" t="shared" si="0"/>
        <v>28</v>
      </c>
      <c r="B35" s="30">
        <f ca="1" t="array" ref="B35">INDEX(Data_DBD!$B:$B,$A35)</f>
        <v>22</v>
      </c>
      <c r="C35" s="30">
        <f ca="1" t="array" ref="C35">INDEX(Data_DBD!$C:$C,$A35)</f>
        <v>2</v>
      </c>
      <c r="D35" s="30">
        <f ca="1" t="array" ref="D35">INDEX(Data_DBD!$D:$D,$A35)</f>
        <v>14</v>
      </c>
      <c r="E35" s="30">
        <f ca="1" t="array" ref="E35">INDEX(Data_DBD!$E:$E,$A35)</f>
        <v>1</v>
      </c>
      <c r="F35" s="30">
        <f ca="1" t="array" ref="F35">INDEX(Data_DBD!$F:$F,$A35)</f>
        <v>2</v>
      </c>
      <c r="H35" s="30">
        <v>138</v>
      </c>
      <c r="I35" s="30">
        <v>13</v>
      </c>
      <c r="J35" s="30">
        <v>3</v>
      </c>
      <c r="K35" s="30">
        <v>33</v>
      </c>
      <c r="L35" s="30">
        <v>1</v>
      </c>
      <c r="M35" s="30">
        <v>3</v>
      </c>
    </row>
    <row r="36" spans="1:13">
      <c r="A36" s="30">
        <f ca="1" t="shared" si="0"/>
        <v>130</v>
      </c>
      <c r="B36" s="30">
        <f ca="1" t="array" ref="B36">INDEX(Data_DBD!$B:$B,$A36)</f>
        <v>12</v>
      </c>
      <c r="C36" s="30">
        <f ca="1" t="array" ref="C36">INDEX(Data_DBD!$C:$C,$A36)</f>
        <v>4</v>
      </c>
      <c r="D36" s="30">
        <f ca="1" t="array" ref="D36">INDEX(Data_DBD!$D:$D,$A36)</f>
        <v>33</v>
      </c>
      <c r="E36" s="30">
        <f ca="1" t="array" ref="E36">INDEX(Data_DBD!$E:$E,$A36)</f>
        <v>0</v>
      </c>
      <c r="F36" s="30">
        <f ca="1" t="array" ref="F36">INDEX(Data_DBD!$F:$F,$A36)</f>
        <v>3</v>
      </c>
      <c r="H36" s="30">
        <v>86</v>
      </c>
      <c r="I36" s="30">
        <v>23</v>
      </c>
      <c r="J36" s="30">
        <v>3</v>
      </c>
      <c r="K36" s="30">
        <v>13</v>
      </c>
      <c r="L36" s="30">
        <v>0</v>
      </c>
      <c r="M36" s="30">
        <v>2</v>
      </c>
    </row>
    <row r="37" spans="1:13">
      <c r="A37" s="30">
        <f ca="1" t="shared" si="0"/>
        <v>86</v>
      </c>
      <c r="B37" s="30">
        <f ca="1" t="array" ref="B37">INDEX(Data_DBD!$B:$B,$A37)</f>
        <v>23</v>
      </c>
      <c r="C37" s="30">
        <f ca="1" t="array" ref="C37">INDEX(Data_DBD!$C:$C,$A37)</f>
        <v>3</v>
      </c>
      <c r="D37" s="30">
        <f ca="1" t="array" ref="D37">INDEX(Data_DBD!$D:$D,$A37)</f>
        <v>13</v>
      </c>
      <c r="E37" s="30">
        <f ca="1" t="array" ref="E37">INDEX(Data_DBD!$E:$E,$A37)</f>
        <v>0</v>
      </c>
      <c r="F37" s="30">
        <f ca="1" t="array" ref="F37">INDEX(Data_DBD!$F:$F,$A37)</f>
        <v>2</v>
      </c>
      <c r="H37" s="30">
        <v>113</v>
      </c>
      <c r="I37" s="30">
        <v>69</v>
      </c>
      <c r="J37" s="30">
        <v>1</v>
      </c>
      <c r="K37" s="30">
        <v>33</v>
      </c>
      <c r="L37" s="30">
        <v>1</v>
      </c>
      <c r="M37" s="30">
        <v>3</v>
      </c>
    </row>
    <row r="38" spans="1:13">
      <c r="A38" s="30">
        <f ca="1" t="shared" si="0"/>
        <v>95</v>
      </c>
      <c r="B38" s="30">
        <f ca="1" t="array" ref="B38">INDEX(Data_DBD!$B:$B,$A38)</f>
        <v>11</v>
      </c>
      <c r="C38" s="30">
        <f ca="1" t="array" ref="C38">INDEX(Data_DBD!$C:$C,$A38)</f>
        <v>3</v>
      </c>
      <c r="D38" s="30">
        <f ca="1" t="array" ref="D38">INDEX(Data_DBD!$D:$D,$A38)</f>
        <v>18</v>
      </c>
      <c r="E38" s="30">
        <f ca="1" t="array" ref="E38">INDEX(Data_DBD!$E:$E,$A38)</f>
        <v>1</v>
      </c>
      <c r="F38" s="30">
        <f ca="1" t="array" ref="F38">INDEX(Data_DBD!$F:$F,$A38)</f>
        <v>3</v>
      </c>
      <c r="H38" s="30">
        <v>12</v>
      </c>
      <c r="I38" s="30">
        <v>23</v>
      </c>
      <c r="J38" s="30">
        <v>3</v>
      </c>
      <c r="K38" s="30">
        <v>12</v>
      </c>
      <c r="L38" s="30">
        <v>0</v>
      </c>
      <c r="M38" s="30">
        <v>2</v>
      </c>
    </row>
    <row r="39" spans="1:13">
      <c r="A39" s="30">
        <f ca="1" t="shared" si="0"/>
        <v>52</v>
      </c>
      <c r="B39" s="30">
        <f ca="1" t="array" ref="B39">INDEX(Data_DBD!$B:$B,$A39)</f>
        <v>59</v>
      </c>
      <c r="C39" s="30">
        <f ca="1" t="array" ref="C39">INDEX(Data_DBD!$C:$C,$A39)</f>
        <v>4</v>
      </c>
      <c r="D39" s="30">
        <f ca="1" t="array" ref="D39">INDEX(Data_DBD!$D:$D,$A39)</f>
        <v>15</v>
      </c>
      <c r="E39" s="30">
        <f ca="1" t="array" ref="E39">INDEX(Data_DBD!$E:$E,$A39)</f>
        <v>1</v>
      </c>
      <c r="F39" s="30">
        <f ca="1" t="array" ref="F39">INDEX(Data_DBD!$F:$F,$A39)</f>
        <v>2</v>
      </c>
      <c r="H39" s="30">
        <v>5</v>
      </c>
      <c r="I39" s="30">
        <v>18</v>
      </c>
      <c r="J39" s="30">
        <v>2</v>
      </c>
      <c r="K39" s="30">
        <v>12</v>
      </c>
      <c r="L39" s="30">
        <v>1</v>
      </c>
      <c r="M39" s="30">
        <v>2</v>
      </c>
    </row>
    <row r="40" spans="1:13">
      <c r="A40" s="30">
        <f ca="1" t="shared" si="0"/>
        <v>72</v>
      </c>
      <c r="B40" s="30">
        <f ca="1" t="array" ref="B40">INDEX(Data_DBD!$B:$B,$A40)</f>
        <v>3</v>
      </c>
      <c r="C40" s="30">
        <f ca="1" t="array" ref="C40">INDEX(Data_DBD!$C:$C,$A40)</f>
        <v>5</v>
      </c>
      <c r="D40" s="30">
        <f ca="1" t="array" ref="D40">INDEX(Data_DBD!$D:$D,$A40)</f>
        <v>10</v>
      </c>
      <c r="E40" s="30">
        <f ca="1" t="array" ref="E40">INDEX(Data_DBD!$E:$E,$A40)</f>
        <v>1</v>
      </c>
      <c r="F40" s="30">
        <f ca="1" t="array" ref="F40">INDEX(Data_DBD!$F:$F,$A40)</f>
        <v>2</v>
      </c>
      <c r="H40" s="30">
        <v>106</v>
      </c>
      <c r="I40" s="30">
        <v>23</v>
      </c>
      <c r="J40" s="30">
        <v>3</v>
      </c>
      <c r="K40" s="30">
        <v>18</v>
      </c>
      <c r="L40" s="30">
        <v>1</v>
      </c>
      <c r="M40" s="30">
        <v>3</v>
      </c>
    </row>
    <row r="41" spans="1:13">
      <c r="A41" s="30">
        <f ca="1" t="shared" si="0"/>
        <v>136</v>
      </c>
      <c r="B41" s="30">
        <f ca="1" t="array" ref="B41">INDEX(Data_DBD!$B:$B,$A41)</f>
        <v>6</v>
      </c>
      <c r="C41" s="30">
        <f ca="1" t="array" ref="C41">INDEX(Data_DBD!$C:$C,$A41)</f>
        <v>2</v>
      </c>
      <c r="D41" s="30">
        <f ca="1" t="array" ref="D41">INDEX(Data_DBD!$D:$D,$A41)</f>
        <v>33</v>
      </c>
      <c r="E41" s="30">
        <f ca="1" t="array" ref="E41">INDEX(Data_DBD!$E:$E,$A41)</f>
        <v>0</v>
      </c>
      <c r="F41" s="30">
        <f ca="1" t="array" ref="F41">INDEX(Data_DBD!$F:$F,$A41)</f>
        <v>3</v>
      </c>
      <c r="H41" s="30">
        <v>6</v>
      </c>
      <c r="I41" s="30">
        <v>14</v>
      </c>
      <c r="J41" s="30">
        <v>4</v>
      </c>
      <c r="K41" s="30">
        <v>12</v>
      </c>
      <c r="L41" s="30">
        <v>0</v>
      </c>
      <c r="M41" s="30">
        <v>2</v>
      </c>
    </row>
    <row r="42" spans="1:13">
      <c r="A42" s="30">
        <f ca="1" t="shared" si="0"/>
        <v>93</v>
      </c>
      <c r="B42" s="30">
        <f ca="1" t="array" ref="B42">INDEX(Data_DBD!$B:$B,$A42)</f>
        <v>65</v>
      </c>
      <c r="C42" s="30">
        <f ca="1" t="array" ref="C42">INDEX(Data_DBD!$C:$C,$A42)</f>
        <v>4</v>
      </c>
      <c r="D42" s="30">
        <f ca="1" t="array" ref="D42">INDEX(Data_DBD!$D:$D,$A42)</f>
        <v>18</v>
      </c>
      <c r="E42" s="30">
        <f ca="1" t="array" ref="E42">INDEX(Data_DBD!$E:$E,$A42)</f>
        <v>0</v>
      </c>
      <c r="F42" s="30">
        <f ca="1" t="array" ref="F42">INDEX(Data_DBD!$F:$F,$A42)</f>
        <v>3</v>
      </c>
      <c r="H42" s="30">
        <v>120</v>
      </c>
      <c r="I42" s="30">
        <v>26</v>
      </c>
      <c r="J42" s="30">
        <v>4</v>
      </c>
      <c r="K42" s="30">
        <v>33</v>
      </c>
      <c r="L42" s="30">
        <v>1</v>
      </c>
      <c r="M42" s="30">
        <v>3</v>
      </c>
    </row>
    <row r="43" spans="1:13">
      <c r="A43" s="30">
        <f ca="1" t="shared" si="0"/>
        <v>93</v>
      </c>
      <c r="B43" s="30">
        <f ca="1" t="array" ref="B43">INDEX(Data_DBD!$B:$B,$A43)</f>
        <v>65</v>
      </c>
      <c r="C43" s="30">
        <f ca="1" t="array" ref="C43">INDEX(Data_DBD!$C:$C,$A43)</f>
        <v>4</v>
      </c>
      <c r="D43" s="30">
        <f ca="1" t="array" ref="D43">INDEX(Data_DBD!$D:$D,$A43)</f>
        <v>18</v>
      </c>
      <c r="E43" s="30">
        <f ca="1" t="array" ref="E43">INDEX(Data_DBD!$E:$E,$A43)</f>
        <v>0</v>
      </c>
      <c r="F43" s="30">
        <f ca="1" t="array" ref="F43">INDEX(Data_DBD!$F:$F,$A43)</f>
        <v>3</v>
      </c>
      <c r="H43" s="30">
        <v>52</v>
      </c>
      <c r="I43" s="30">
        <v>59</v>
      </c>
      <c r="J43" s="30">
        <v>4</v>
      </c>
      <c r="K43" s="30">
        <v>15</v>
      </c>
      <c r="L43" s="30">
        <v>1</v>
      </c>
      <c r="M43" s="30">
        <v>2</v>
      </c>
    </row>
    <row r="44" spans="1:13">
      <c r="A44" s="30">
        <f ca="1" t="shared" si="0"/>
        <v>103</v>
      </c>
      <c r="B44" s="30">
        <f ca="1" t="array" ref="B44">INDEX(Data_DBD!$B:$B,$A44)</f>
        <v>22</v>
      </c>
      <c r="C44" s="30">
        <f ca="1" t="array" ref="C44">INDEX(Data_DBD!$C:$C,$A44)</f>
        <v>5</v>
      </c>
      <c r="D44" s="30">
        <f ca="1" t="array" ref="D44">INDEX(Data_DBD!$D:$D,$A44)</f>
        <v>18</v>
      </c>
      <c r="E44" s="30">
        <f ca="1" t="array" ref="E44">INDEX(Data_DBD!$E:$E,$A44)</f>
        <v>0</v>
      </c>
      <c r="F44" s="30">
        <f ca="1" t="array" ref="F44">INDEX(Data_DBD!$F:$F,$A44)</f>
        <v>3</v>
      </c>
      <c r="H44" s="30">
        <v>117</v>
      </c>
      <c r="I44" s="30">
        <v>49</v>
      </c>
      <c r="J44" s="30">
        <v>4</v>
      </c>
      <c r="K44" s="30">
        <v>33</v>
      </c>
      <c r="L44" s="30">
        <v>1</v>
      </c>
      <c r="M44" s="30">
        <v>3</v>
      </c>
    </row>
    <row r="45" spans="1:13">
      <c r="A45" s="30">
        <f ca="1" t="shared" si="0"/>
        <v>50</v>
      </c>
      <c r="B45" s="30">
        <f ca="1" t="array" ref="B45">INDEX(Data_DBD!$B:$B,$A45)</f>
        <v>19</v>
      </c>
      <c r="C45" s="30">
        <f ca="1" t="array" ref="C45">INDEX(Data_DBD!$C:$C,$A45)</f>
        <v>5</v>
      </c>
      <c r="D45" s="30">
        <f ca="1" t="array" ref="D45">INDEX(Data_DBD!$D:$D,$A45)</f>
        <v>13</v>
      </c>
      <c r="E45" s="30">
        <f ca="1" t="array" ref="E45">INDEX(Data_DBD!$E:$E,$A45)</f>
        <v>0</v>
      </c>
      <c r="F45" s="30">
        <f ca="1" t="array" ref="F45">INDEX(Data_DBD!$F:$F,$A45)</f>
        <v>2</v>
      </c>
      <c r="H45" s="30">
        <v>39</v>
      </c>
      <c r="I45" s="30">
        <v>12</v>
      </c>
      <c r="J45" s="30">
        <v>5</v>
      </c>
      <c r="K45" s="30">
        <v>13</v>
      </c>
      <c r="L45" s="30">
        <v>1</v>
      </c>
      <c r="M45" s="30">
        <v>2</v>
      </c>
    </row>
    <row r="46" spans="1:13">
      <c r="A46" s="30">
        <f ca="1" t="shared" si="0"/>
        <v>93</v>
      </c>
      <c r="B46" s="30">
        <f ca="1" t="array" ref="B46">INDEX(Data_DBD!$B:$B,$A46)</f>
        <v>65</v>
      </c>
      <c r="C46" s="30">
        <f ca="1" t="array" ref="C46">INDEX(Data_DBD!$C:$C,$A46)</f>
        <v>4</v>
      </c>
      <c r="D46" s="30">
        <f ca="1" t="array" ref="D46">INDEX(Data_DBD!$D:$D,$A46)</f>
        <v>18</v>
      </c>
      <c r="E46" s="30">
        <f ca="1" t="array" ref="E46">INDEX(Data_DBD!$E:$E,$A46)</f>
        <v>0</v>
      </c>
      <c r="F46" s="30">
        <f ca="1" t="array" ref="F46">INDEX(Data_DBD!$F:$F,$A46)</f>
        <v>3</v>
      </c>
      <c r="H46" s="30">
        <v>11</v>
      </c>
      <c r="I46" s="30">
        <v>24</v>
      </c>
      <c r="J46" s="30">
        <v>5</v>
      </c>
      <c r="K46" s="30">
        <v>12</v>
      </c>
      <c r="L46" s="30">
        <v>1</v>
      </c>
      <c r="M46" s="30">
        <v>2</v>
      </c>
    </row>
    <row r="47" spans="1:13">
      <c r="A47" s="30">
        <f ca="1" t="shared" si="0"/>
        <v>89</v>
      </c>
      <c r="B47" s="30">
        <f ca="1" t="array" ref="B47">INDEX(Data_DBD!$B:$B,$A47)</f>
        <v>32</v>
      </c>
      <c r="C47" s="30">
        <f ca="1" t="array" ref="C47">INDEX(Data_DBD!$C:$C,$A47)</f>
        <v>4</v>
      </c>
      <c r="D47" s="30">
        <f ca="1" t="array" ref="D47">INDEX(Data_DBD!$D:$D,$A47)</f>
        <v>13</v>
      </c>
      <c r="E47" s="30">
        <f ca="1" t="array" ref="E47">INDEX(Data_DBD!$E:$E,$A47)</f>
        <v>0</v>
      </c>
      <c r="F47" s="30">
        <f ca="1" t="array" ref="F47">INDEX(Data_DBD!$F:$F,$A47)</f>
        <v>2</v>
      </c>
      <c r="H47" s="30">
        <v>5</v>
      </c>
      <c r="I47" s="30">
        <v>18</v>
      </c>
      <c r="J47" s="30">
        <v>2</v>
      </c>
      <c r="K47" s="30">
        <v>12</v>
      </c>
      <c r="L47" s="30">
        <v>1</v>
      </c>
      <c r="M47" s="30">
        <v>2</v>
      </c>
    </row>
    <row r="48" spans="1:13">
      <c r="A48" s="30">
        <f ca="1" t="shared" si="0"/>
        <v>54</v>
      </c>
      <c r="B48" s="30">
        <f ca="1" t="array" ref="B48">INDEX(Data_DBD!$B:$B,$A48)</f>
        <v>7</v>
      </c>
      <c r="C48" s="30">
        <f ca="1" t="array" ref="C48">INDEX(Data_DBD!$C:$C,$A48)</f>
        <v>3</v>
      </c>
      <c r="D48" s="30">
        <f ca="1" t="array" ref="D48">INDEX(Data_DBD!$D:$D,$A48)</f>
        <v>15</v>
      </c>
      <c r="E48" s="30">
        <f ca="1" t="array" ref="E48">INDEX(Data_DBD!$E:$E,$A48)</f>
        <v>0</v>
      </c>
      <c r="F48" s="30">
        <f ca="1" t="array" ref="F48">INDEX(Data_DBD!$F:$F,$A48)</f>
        <v>2</v>
      </c>
      <c r="H48" s="30">
        <v>94</v>
      </c>
      <c r="I48" s="30">
        <v>12</v>
      </c>
      <c r="J48" s="30">
        <v>4</v>
      </c>
      <c r="K48" s="30">
        <v>18</v>
      </c>
      <c r="L48" s="30">
        <v>0</v>
      </c>
      <c r="M48" s="30">
        <v>3</v>
      </c>
    </row>
    <row r="49" spans="1:13">
      <c r="A49" s="30">
        <f ca="1" t="shared" si="0"/>
        <v>45</v>
      </c>
      <c r="B49" s="30">
        <f ca="1" t="array" ref="B49">INDEX(Data_DBD!$B:$B,$A49)</f>
        <v>75</v>
      </c>
      <c r="C49" s="30">
        <f ca="1" t="array" ref="C49">INDEX(Data_DBD!$C:$C,$A49)</f>
        <v>3</v>
      </c>
      <c r="D49" s="30">
        <f ca="1" t="array" ref="D49">INDEX(Data_DBD!$D:$D,$A49)</f>
        <v>13</v>
      </c>
      <c r="E49" s="30">
        <f ca="1" t="array" ref="E49">INDEX(Data_DBD!$E:$E,$A49)</f>
        <v>1</v>
      </c>
      <c r="F49" s="30">
        <f ca="1" t="array" ref="F49">INDEX(Data_DBD!$F:$F,$A49)</f>
        <v>2</v>
      </c>
      <c r="H49" s="30">
        <v>5</v>
      </c>
      <c r="I49" s="30">
        <v>18</v>
      </c>
      <c r="J49" s="30">
        <v>2</v>
      </c>
      <c r="K49" s="30">
        <v>12</v>
      </c>
      <c r="L49" s="30">
        <v>1</v>
      </c>
      <c r="M49" s="30">
        <v>2</v>
      </c>
    </row>
    <row r="50" spans="1:13">
      <c r="A50" s="30">
        <f ca="1" t="shared" si="0"/>
        <v>127</v>
      </c>
      <c r="B50" s="30">
        <f ca="1" t="array" ref="B50">INDEX(Data_DBD!$B:$B,$A50)</f>
        <v>21</v>
      </c>
      <c r="C50" s="30">
        <f ca="1" t="array" ref="C50">INDEX(Data_DBD!$C:$C,$A50)</f>
        <v>2</v>
      </c>
      <c r="D50" s="30">
        <f ca="1" t="array" ref="D50">INDEX(Data_DBD!$D:$D,$A50)</f>
        <v>33</v>
      </c>
      <c r="E50" s="30">
        <f ca="1" t="array" ref="E50">INDEX(Data_DBD!$E:$E,$A50)</f>
        <v>0</v>
      </c>
      <c r="F50" s="30">
        <f ca="1" t="array" ref="F50">INDEX(Data_DBD!$F:$F,$A50)</f>
        <v>3</v>
      </c>
      <c r="H50" s="30">
        <v>16</v>
      </c>
      <c r="I50" s="30">
        <v>66</v>
      </c>
      <c r="J50" s="30">
        <v>5</v>
      </c>
      <c r="K50" s="30">
        <v>7</v>
      </c>
      <c r="L50" s="30">
        <v>1</v>
      </c>
      <c r="M50" s="30">
        <v>1</v>
      </c>
    </row>
    <row r="51" spans="1:13">
      <c r="A51" s="30">
        <f ca="1" t="shared" si="0"/>
        <v>148</v>
      </c>
      <c r="B51" s="30">
        <f ca="1" t="array" ref="B51">INDEX(Data_DBD!$B:$B,$A51)</f>
        <v>55</v>
      </c>
      <c r="C51" s="30">
        <f ca="1" t="array" ref="C51">INDEX(Data_DBD!$C:$C,$A51)</f>
        <v>3</v>
      </c>
      <c r="D51" s="30">
        <f ca="1" t="array" ref="D51">INDEX(Data_DBD!$D:$D,$A51)</f>
        <v>21</v>
      </c>
      <c r="E51" s="30">
        <f ca="1" t="array" ref="E51">INDEX(Data_DBD!$E:$E,$A51)</f>
        <v>1</v>
      </c>
      <c r="F51" s="30">
        <f ca="1" t="array" ref="F51">INDEX(Data_DBD!$F:$F,$A51)</f>
        <v>3</v>
      </c>
      <c r="H51" s="30">
        <v>87</v>
      </c>
      <c r="I51" s="30">
        <v>21</v>
      </c>
      <c r="J51" s="30">
        <v>3</v>
      </c>
      <c r="K51" s="30">
        <v>13</v>
      </c>
      <c r="L51" s="30">
        <v>0</v>
      </c>
      <c r="M51" s="30">
        <v>2</v>
      </c>
    </row>
    <row r="52" spans="1:13">
      <c r="A52" s="30">
        <f ca="1" t="shared" si="0"/>
        <v>83</v>
      </c>
      <c r="B52" s="30">
        <f ca="1" t="array" ref="B52">INDEX(Data_DBD!$B:$B,$A52)</f>
        <v>50</v>
      </c>
      <c r="C52" s="30">
        <f ca="1" t="array" ref="C52">INDEX(Data_DBD!$C:$C,$A52)</f>
        <v>3</v>
      </c>
      <c r="D52" s="30">
        <f ca="1" t="array" ref="D52">INDEX(Data_DBD!$D:$D,$A52)</f>
        <v>13</v>
      </c>
      <c r="E52" s="30">
        <f ca="1" t="array" ref="E52">INDEX(Data_DBD!$E:$E,$A52)</f>
        <v>0</v>
      </c>
      <c r="F52" s="30">
        <f ca="1" t="array" ref="F52">INDEX(Data_DBD!$F:$F,$A52)</f>
        <v>2</v>
      </c>
      <c r="H52" s="30">
        <v>90</v>
      </c>
      <c r="I52" s="30">
        <v>47</v>
      </c>
      <c r="J52" s="30">
        <v>3</v>
      </c>
      <c r="K52" s="30">
        <v>18</v>
      </c>
      <c r="L52" s="30">
        <v>0</v>
      </c>
      <c r="M52" s="30">
        <v>3</v>
      </c>
    </row>
    <row r="53" spans="1:13">
      <c r="A53" s="30">
        <f ca="1" t="shared" si="0"/>
        <v>72</v>
      </c>
      <c r="B53" s="30">
        <f ca="1" t="array" ref="B53">INDEX(Data_DBD!$B:$B,$A53)</f>
        <v>3</v>
      </c>
      <c r="C53" s="30">
        <f ca="1" t="array" ref="C53">INDEX(Data_DBD!$C:$C,$A53)</f>
        <v>5</v>
      </c>
      <c r="D53" s="30">
        <f ca="1" t="array" ref="D53">INDEX(Data_DBD!$D:$D,$A53)</f>
        <v>10</v>
      </c>
      <c r="E53" s="30">
        <f ca="1" t="array" ref="E53">INDEX(Data_DBD!$E:$E,$A53)</f>
        <v>1</v>
      </c>
      <c r="F53" s="30">
        <f ca="1" t="array" ref="F53">INDEX(Data_DBD!$F:$F,$A53)</f>
        <v>2</v>
      </c>
      <c r="H53" s="30">
        <v>112</v>
      </c>
      <c r="I53" s="30">
        <v>61</v>
      </c>
      <c r="J53" s="30">
        <v>3</v>
      </c>
      <c r="K53" s="30">
        <v>33</v>
      </c>
      <c r="L53" s="30">
        <v>1</v>
      </c>
      <c r="M53" s="30">
        <v>3</v>
      </c>
    </row>
    <row r="54" spans="1:13">
      <c r="A54" s="30">
        <f ca="1" t="shared" si="0"/>
        <v>67</v>
      </c>
      <c r="B54" s="30">
        <f ca="1" t="array" ref="B54">INDEX(Data_DBD!$B:$B,$A54)</f>
        <v>21</v>
      </c>
      <c r="C54" s="30">
        <f ca="1" t="array" ref="C54">INDEX(Data_DBD!$C:$C,$A54)</f>
        <v>3</v>
      </c>
      <c r="D54" s="30">
        <f ca="1" t="array" ref="D54">INDEX(Data_DBD!$D:$D,$A54)</f>
        <v>10</v>
      </c>
      <c r="E54" s="30">
        <f ca="1" t="array" ref="E54">INDEX(Data_DBD!$E:$E,$A54)</f>
        <v>1</v>
      </c>
      <c r="F54" s="30">
        <f ca="1" t="array" ref="F54">INDEX(Data_DBD!$F:$F,$A54)</f>
        <v>2</v>
      </c>
      <c r="H54" s="30">
        <v>161</v>
      </c>
      <c r="I54" s="30">
        <v>12</v>
      </c>
      <c r="J54" s="30">
        <v>3</v>
      </c>
      <c r="K54" s="30">
        <v>21</v>
      </c>
      <c r="L54" s="30">
        <v>1</v>
      </c>
      <c r="M54" s="30">
        <v>3</v>
      </c>
    </row>
    <row r="55" spans="1:13">
      <c r="A55" s="30">
        <f ca="1" t="shared" si="0"/>
        <v>96</v>
      </c>
      <c r="B55" s="30">
        <f ca="1" t="array" ref="B55">INDEX(Data_DBD!$B:$B,$A55)</f>
        <v>56</v>
      </c>
      <c r="C55" s="30">
        <f ca="1" t="array" ref="C55">INDEX(Data_DBD!$C:$C,$A55)</f>
        <v>4</v>
      </c>
      <c r="D55" s="30">
        <f ca="1" t="array" ref="D55">INDEX(Data_DBD!$D:$D,$A55)</f>
        <v>18</v>
      </c>
      <c r="E55" s="30">
        <f ca="1" t="array" ref="E55">INDEX(Data_DBD!$E:$E,$A55)</f>
        <v>0</v>
      </c>
      <c r="F55" s="30">
        <f ca="1" t="array" ref="F55">INDEX(Data_DBD!$F:$F,$A55)</f>
        <v>3</v>
      </c>
      <c r="H55" s="30">
        <v>139</v>
      </c>
      <c r="I55" s="30">
        <v>52</v>
      </c>
      <c r="J55" s="30">
        <v>7</v>
      </c>
      <c r="K55" s="30">
        <v>21</v>
      </c>
      <c r="L55" s="30">
        <v>0</v>
      </c>
      <c r="M55" s="30">
        <v>3</v>
      </c>
    </row>
    <row r="56" spans="1:13">
      <c r="A56" s="30">
        <f ca="1" t="shared" si="0"/>
        <v>36</v>
      </c>
      <c r="B56" s="30">
        <f ca="1" t="array" ref="B56">INDEX(Data_DBD!$B:$B,$A56)</f>
        <v>27</v>
      </c>
      <c r="C56" s="30">
        <f ca="1" t="array" ref="C56">INDEX(Data_DBD!$C:$C,$A56)</f>
        <v>1</v>
      </c>
      <c r="D56" s="30">
        <f ca="1" t="array" ref="D56">INDEX(Data_DBD!$D:$D,$A56)</f>
        <v>4</v>
      </c>
      <c r="E56" s="30">
        <f ca="1" t="array" ref="E56">INDEX(Data_DBD!$E:$E,$A56)</f>
        <v>1</v>
      </c>
      <c r="F56" s="30">
        <f ca="1" t="array" ref="F56">INDEX(Data_DBD!$F:$F,$A56)</f>
        <v>1</v>
      </c>
      <c r="H56" s="30">
        <v>16</v>
      </c>
      <c r="I56" s="30">
        <v>66</v>
      </c>
      <c r="J56" s="30">
        <v>5</v>
      </c>
      <c r="K56" s="30">
        <v>7</v>
      </c>
      <c r="L56" s="30">
        <v>1</v>
      </c>
      <c r="M56" s="30">
        <v>1</v>
      </c>
    </row>
    <row r="57" spans="1:13">
      <c r="A57" s="30">
        <f ca="1" t="shared" si="0"/>
        <v>140</v>
      </c>
      <c r="B57" s="30">
        <f ca="1" t="array" ref="B57">INDEX(Data_DBD!$B:$B,$A57)</f>
        <v>74</v>
      </c>
      <c r="C57" s="30">
        <f ca="1" t="array" ref="C57">INDEX(Data_DBD!$C:$C,$A57)</f>
        <v>5</v>
      </c>
      <c r="D57" s="30">
        <f ca="1" t="array" ref="D57">INDEX(Data_DBD!$D:$D,$A57)</f>
        <v>21</v>
      </c>
      <c r="E57" s="30">
        <f ca="1" t="array" ref="E57">INDEX(Data_DBD!$E:$E,$A57)</f>
        <v>1</v>
      </c>
      <c r="F57" s="30">
        <f ca="1" t="array" ref="F57">INDEX(Data_DBD!$F:$F,$A57)</f>
        <v>3</v>
      </c>
      <c r="H57" s="30">
        <v>123</v>
      </c>
      <c r="I57" s="30">
        <v>22</v>
      </c>
      <c r="J57" s="30">
        <v>4</v>
      </c>
      <c r="K57" s="30">
        <v>33</v>
      </c>
      <c r="L57" s="30">
        <v>0</v>
      </c>
      <c r="M57" s="30">
        <v>3</v>
      </c>
    </row>
    <row r="58" spans="1:13">
      <c r="A58" s="30">
        <f ca="1" t="shared" si="0"/>
        <v>163</v>
      </c>
      <c r="B58" s="30">
        <f ca="1" t="array" ref="B58">INDEX(Data_DBD!$B:$B,$A58)</f>
        <v>34</v>
      </c>
      <c r="C58" s="30">
        <f ca="1" t="array" ref="C58">INDEX(Data_DBD!$C:$C,$A58)</f>
        <v>4</v>
      </c>
      <c r="D58" s="30">
        <f ca="1" t="array" ref="D58">INDEX(Data_DBD!$D:$D,$A58)</f>
        <v>3</v>
      </c>
      <c r="E58" s="30">
        <f ca="1" t="array" ref="E58">INDEX(Data_DBD!$E:$E,$A58)</f>
        <v>1</v>
      </c>
      <c r="F58" s="30">
        <f ca="1" t="array" ref="F58">INDEX(Data_DBD!$F:$F,$A58)</f>
        <v>1</v>
      </c>
      <c r="H58" s="30">
        <v>10</v>
      </c>
      <c r="I58" s="30">
        <v>18</v>
      </c>
      <c r="J58" s="30">
        <v>5</v>
      </c>
      <c r="K58" s="30">
        <v>12</v>
      </c>
      <c r="L58" s="30">
        <v>0</v>
      </c>
      <c r="M58" s="30">
        <v>2</v>
      </c>
    </row>
    <row r="59" spans="1:13">
      <c r="A59" s="30">
        <f ca="1" t="shared" si="0"/>
        <v>158</v>
      </c>
      <c r="B59" s="30">
        <f ca="1" t="array" ref="B59">INDEX(Data_DBD!$B:$B,$A59)</f>
        <v>5</v>
      </c>
      <c r="C59" s="30">
        <f ca="1" t="array" ref="C59">INDEX(Data_DBD!$C:$C,$A59)</f>
        <v>2</v>
      </c>
      <c r="D59" s="30">
        <f ca="1" t="array" ref="D59">INDEX(Data_DBD!$D:$D,$A59)</f>
        <v>21</v>
      </c>
      <c r="E59" s="30">
        <f ca="1" t="array" ref="E59">INDEX(Data_DBD!$E:$E,$A59)</f>
        <v>0</v>
      </c>
      <c r="F59" s="30">
        <f ca="1" t="array" ref="F59">INDEX(Data_DBD!$F:$F,$A59)</f>
        <v>3</v>
      </c>
      <c r="H59" s="30">
        <v>14</v>
      </c>
      <c r="I59" s="30">
        <v>49</v>
      </c>
      <c r="J59" s="30">
        <v>4</v>
      </c>
      <c r="K59" s="30">
        <v>7</v>
      </c>
      <c r="L59" s="30">
        <v>1</v>
      </c>
      <c r="M59" s="30">
        <v>1</v>
      </c>
    </row>
    <row r="60" spans="1:13">
      <c r="A60" s="30">
        <f ca="1" t="shared" si="0"/>
        <v>158</v>
      </c>
      <c r="B60" s="30">
        <f ca="1" t="array" ref="B60">INDEX(Data_DBD!$B:$B,$A60)</f>
        <v>5</v>
      </c>
      <c r="C60" s="30">
        <f ca="1" t="array" ref="C60">INDEX(Data_DBD!$C:$C,$A60)</f>
        <v>2</v>
      </c>
      <c r="D60" s="30">
        <f ca="1" t="array" ref="D60">INDEX(Data_DBD!$D:$D,$A60)</f>
        <v>21</v>
      </c>
      <c r="E60" s="30">
        <f ca="1" t="array" ref="E60">INDEX(Data_DBD!$E:$E,$A60)</f>
        <v>0</v>
      </c>
      <c r="F60" s="30">
        <f ca="1" t="array" ref="F60">INDEX(Data_DBD!$F:$F,$A60)</f>
        <v>3</v>
      </c>
      <c r="H60" s="30">
        <v>142</v>
      </c>
      <c r="I60" s="30">
        <v>39</v>
      </c>
      <c r="J60" s="30">
        <v>2</v>
      </c>
      <c r="K60" s="30">
        <v>21</v>
      </c>
      <c r="L60" s="30">
        <v>1</v>
      </c>
      <c r="M60" s="30">
        <v>3</v>
      </c>
    </row>
    <row r="61" spans="1:13">
      <c r="A61" s="30">
        <f ca="1" t="shared" si="0"/>
        <v>135</v>
      </c>
      <c r="B61" s="30">
        <f ca="1" t="array" ref="B61">INDEX(Data_DBD!$B:$B,$A61)</f>
        <v>10</v>
      </c>
      <c r="C61" s="30">
        <f ca="1" t="array" ref="C61">INDEX(Data_DBD!$C:$C,$A61)</f>
        <v>2</v>
      </c>
      <c r="D61" s="30">
        <f ca="1" t="array" ref="D61">INDEX(Data_DBD!$D:$D,$A61)</f>
        <v>33</v>
      </c>
      <c r="E61" s="30">
        <f ca="1" t="array" ref="E61">INDEX(Data_DBD!$E:$E,$A61)</f>
        <v>0</v>
      </c>
      <c r="F61" s="30">
        <f ca="1" t="array" ref="F61">INDEX(Data_DBD!$F:$F,$A61)</f>
        <v>3</v>
      </c>
      <c r="H61" s="30">
        <v>60</v>
      </c>
      <c r="I61" s="30">
        <v>68</v>
      </c>
      <c r="J61" s="30">
        <v>4</v>
      </c>
      <c r="K61" s="30">
        <v>15</v>
      </c>
      <c r="L61" s="30">
        <v>0</v>
      </c>
      <c r="M61" s="30">
        <v>2</v>
      </c>
    </row>
    <row r="62" spans="1:13">
      <c r="A62" s="30">
        <f ca="1" t="shared" si="0"/>
        <v>18</v>
      </c>
      <c r="B62" s="30">
        <f ca="1" t="array" ref="B62">INDEX(Data_DBD!$B:$B,$A62)</f>
        <v>49</v>
      </c>
      <c r="C62" s="30">
        <f ca="1" t="array" ref="C62">INDEX(Data_DBD!$C:$C,$A62)</f>
        <v>4</v>
      </c>
      <c r="D62" s="30">
        <f ca="1" t="array" ref="D62">INDEX(Data_DBD!$D:$D,$A62)</f>
        <v>7</v>
      </c>
      <c r="E62" s="30">
        <f ca="1" t="array" ref="E62">INDEX(Data_DBD!$E:$E,$A62)</f>
        <v>1</v>
      </c>
      <c r="F62" s="30">
        <f ca="1" t="array" ref="F62">INDEX(Data_DBD!$F:$F,$A62)</f>
        <v>1</v>
      </c>
      <c r="H62" s="30">
        <v>20</v>
      </c>
      <c r="I62" s="30">
        <v>15</v>
      </c>
      <c r="J62" s="30">
        <v>5</v>
      </c>
      <c r="K62" s="30">
        <v>7</v>
      </c>
      <c r="L62" s="30">
        <v>0</v>
      </c>
      <c r="M62" s="30">
        <v>1</v>
      </c>
    </row>
    <row r="63" spans="1:13">
      <c r="A63" s="30">
        <f ca="1" t="shared" si="0"/>
        <v>26</v>
      </c>
      <c r="B63" s="30">
        <f ca="1" t="array" ref="B63">INDEX(Data_DBD!$B:$B,$A63)</f>
        <v>75</v>
      </c>
      <c r="C63" s="30">
        <f ca="1" t="array" ref="C63">INDEX(Data_DBD!$C:$C,$A63)</f>
        <v>4</v>
      </c>
      <c r="D63" s="30">
        <f ca="1" t="array" ref="D63">INDEX(Data_DBD!$D:$D,$A63)</f>
        <v>14</v>
      </c>
      <c r="E63" s="30">
        <f ca="1" t="array" ref="E63">INDEX(Data_DBD!$E:$E,$A63)</f>
        <v>1</v>
      </c>
      <c r="F63" s="30">
        <f ca="1" t="array" ref="F63">INDEX(Data_DBD!$F:$F,$A63)</f>
        <v>2</v>
      </c>
      <c r="H63" s="30">
        <v>41</v>
      </c>
      <c r="I63" s="30">
        <v>8</v>
      </c>
      <c r="J63" s="30">
        <v>4</v>
      </c>
      <c r="K63" s="30">
        <v>13</v>
      </c>
      <c r="L63" s="30">
        <v>0</v>
      </c>
      <c r="M63" s="30">
        <v>2</v>
      </c>
    </row>
    <row r="64" spans="1:13">
      <c r="A64" s="30">
        <f ca="1" t="shared" si="0"/>
        <v>26</v>
      </c>
      <c r="B64" s="30">
        <f ca="1" t="array" ref="B64">INDEX(Data_DBD!$B:$B,$A64)</f>
        <v>75</v>
      </c>
      <c r="C64" s="30">
        <f ca="1" t="array" ref="C64">INDEX(Data_DBD!$C:$C,$A64)</f>
        <v>4</v>
      </c>
      <c r="D64" s="30">
        <f ca="1" t="array" ref="D64">INDEX(Data_DBD!$D:$D,$A64)</f>
        <v>14</v>
      </c>
      <c r="E64" s="30">
        <f ca="1" t="array" ref="E64">INDEX(Data_DBD!$E:$E,$A64)</f>
        <v>1</v>
      </c>
      <c r="F64" s="30">
        <f ca="1" t="array" ref="F64">INDEX(Data_DBD!$F:$F,$A64)</f>
        <v>2</v>
      </c>
      <c r="H64" s="30">
        <v>95</v>
      </c>
      <c r="I64" s="30">
        <v>11</v>
      </c>
      <c r="J64" s="30">
        <v>3</v>
      </c>
      <c r="K64" s="30">
        <v>18</v>
      </c>
      <c r="L64" s="30">
        <v>1</v>
      </c>
      <c r="M64" s="30">
        <v>3</v>
      </c>
    </row>
    <row r="65" spans="1:13">
      <c r="A65" s="30">
        <f ca="1" t="shared" si="0"/>
        <v>109</v>
      </c>
      <c r="B65" s="30">
        <f ca="1" t="array" ref="B65">INDEX(Data_DBD!$B:$B,$A65)</f>
        <v>40</v>
      </c>
      <c r="C65" s="30">
        <f ca="1" t="array" ref="C65">INDEX(Data_DBD!$C:$C,$A65)</f>
        <v>3</v>
      </c>
      <c r="D65" s="30">
        <f ca="1" t="array" ref="D65">INDEX(Data_DBD!$D:$D,$A65)</f>
        <v>33</v>
      </c>
      <c r="E65" s="30">
        <f ca="1" t="array" ref="E65">INDEX(Data_DBD!$E:$E,$A65)</f>
        <v>1</v>
      </c>
      <c r="F65" s="30">
        <f ca="1" t="array" ref="F65">INDEX(Data_DBD!$F:$F,$A65)</f>
        <v>3</v>
      </c>
      <c r="H65" s="30">
        <v>23</v>
      </c>
      <c r="I65" s="30">
        <v>28</v>
      </c>
      <c r="J65" s="30">
        <v>4</v>
      </c>
      <c r="K65" s="30">
        <v>14</v>
      </c>
      <c r="L65" s="30">
        <v>1</v>
      </c>
      <c r="M65" s="30">
        <v>2</v>
      </c>
    </row>
    <row r="66" spans="1:13">
      <c r="A66" s="30">
        <f ca="1" t="shared" si="0"/>
        <v>62</v>
      </c>
      <c r="B66" s="30">
        <f ca="1" t="array" ref="B66">INDEX(Data_DBD!$B:$B,$A66)</f>
        <v>43</v>
      </c>
      <c r="C66" s="30">
        <f ca="1" t="array" ref="C66">INDEX(Data_DBD!$C:$C,$A66)</f>
        <v>4</v>
      </c>
      <c r="D66" s="30">
        <f ca="1" t="array" ref="D66">INDEX(Data_DBD!$D:$D,$A66)</f>
        <v>15</v>
      </c>
      <c r="E66" s="30">
        <f ca="1" t="array" ref="E66">INDEX(Data_DBD!$E:$E,$A66)</f>
        <v>1</v>
      </c>
      <c r="F66" s="30">
        <f ca="1" t="array" ref="F66">INDEX(Data_DBD!$F:$F,$A66)</f>
        <v>2</v>
      </c>
      <c r="H66" s="30">
        <v>30</v>
      </c>
      <c r="I66" s="30" t="s">
        <v>36</v>
      </c>
      <c r="J66" s="30">
        <v>2</v>
      </c>
      <c r="K66" s="30">
        <v>14</v>
      </c>
      <c r="L66" s="30">
        <v>1</v>
      </c>
      <c r="M66" s="30">
        <v>2</v>
      </c>
    </row>
    <row r="67" spans="1:13">
      <c r="A67" s="30">
        <f ca="1" t="shared" ref="A67:A130" si="1">RANDBETWEEN(2,164)</f>
        <v>88</v>
      </c>
      <c r="B67" s="30">
        <f ca="1" t="array" ref="B67">INDEX(Data_DBD!$B:$B,$A67)</f>
        <v>20</v>
      </c>
      <c r="C67" s="30">
        <f ca="1" t="array" ref="C67">INDEX(Data_DBD!$C:$C,$A67)</f>
        <v>4</v>
      </c>
      <c r="D67" s="30">
        <f ca="1" t="array" ref="D67">INDEX(Data_DBD!$D:$D,$A67)</f>
        <v>13</v>
      </c>
      <c r="E67" s="30">
        <f ca="1" t="array" ref="E67">INDEX(Data_DBD!$E:$E,$A67)</f>
        <v>1</v>
      </c>
      <c r="F67" s="30">
        <f ca="1" t="array" ref="F67">INDEX(Data_DBD!$F:$F,$A67)</f>
        <v>2</v>
      </c>
      <c r="H67" s="30">
        <v>140</v>
      </c>
      <c r="I67" s="30">
        <v>74</v>
      </c>
      <c r="J67" s="30">
        <v>5</v>
      </c>
      <c r="K67" s="30">
        <v>21</v>
      </c>
      <c r="L67" s="30">
        <v>1</v>
      </c>
      <c r="M67" s="30">
        <v>3</v>
      </c>
    </row>
    <row r="68" spans="1:13">
      <c r="A68" s="30">
        <f ca="1" t="shared" si="1"/>
        <v>61</v>
      </c>
      <c r="B68" s="30">
        <f ca="1" t="array" ref="B68">INDEX(Data_DBD!$B:$B,$A68)</f>
        <v>29</v>
      </c>
      <c r="C68" s="30">
        <f ca="1" t="array" ref="C68">INDEX(Data_DBD!$C:$C,$A68)</f>
        <v>3</v>
      </c>
      <c r="D68" s="30">
        <f ca="1" t="array" ref="D68">INDEX(Data_DBD!$D:$D,$A68)</f>
        <v>15</v>
      </c>
      <c r="E68" s="30">
        <f ca="1" t="array" ref="E68">INDEX(Data_DBD!$E:$E,$A68)</f>
        <v>1</v>
      </c>
      <c r="F68" s="30">
        <f ca="1" t="array" ref="F68">INDEX(Data_DBD!$F:$F,$A68)</f>
        <v>2</v>
      </c>
      <c r="H68" s="30">
        <v>137</v>
      </c>
      <c r="I68" s="30">
        <v>3.5</v>
      </c>
      <c r="J68" s="30">
        <v>1</v>
      </c>
      <c r="K68" s="30">
        <v>33</v>
      </c>
      <c r="L68" s="30">
        <v>1</v>
      </c>
      <c r="M68" s="30">
        <v>3</v>
      </c>
    </row>
    <row r="69" spans="1:13">
      <c r="A69" s="30">
        <f ca="1" t="shared" si="1"/>
        <v>5</v>
      </c>
      <c r="B69" s="30">
        <f ca="1" t="array" ref="B69">INDEX(Data_DBD!$B:$B,$A69)</f>
        <v>18</v>
      </c>
      <c r="C69" s="30">
        <f ca="1" t="array" ref="C69">INDEX(Data_DBD!$C:$C,$A69)</f>
        <v>2</v>
      </c>
      <c r="D69" s="30">
        <f ca="1" t="array" ref="D69">INDEX(Data_DBD!$D:$D,$A69)</f>
        <v>12</v>
      </c>
      <c r="E69" s="30">
        <f ca="1" t="array" ref="E69">INDEX(Data_DBD!$E:$E,$A69)</f>
        <v>1</v>
      </c>
      <c r="F69" s="30">
        <f ca="1" t="array" ref="F69">INDEX(Data_DBD!$F:$F,$A69)</f>
        <v>2</v>
      </c>
      <c r="H69" s="30">
        <v>54</v>
      </c>
      <c r="I69" s="30">
        <v>7</v>
      </c>
      <c r="J69" s="30">
        <v>3</v>
      </c>
      <c r="K69" s="30">
        <v>15</v>
      </c>
      <c r="L69" s="30">
        <v>0</v>
      </c>
      <c r="M69" s="30">
        <v>2</v>
      </c>
    </row>
    <row r="70" spans="1:13">
      <c r="A70" s="30">
        <f ca="1" t="shared" si="1"/>
        <v>64</v>
      </c>
      <c r="B70" s="30">
        <f ca="1" t="array" ref="B70">INDEX(Data_DBD!$B:$B,$A70)</f>
        <v>35</v>
      </c>
      <c r="C70" s="30">
        <f ca="1" t="array" ref="C70">INDEX(Data_DBD!$C:$C,$A70)</f>
        <v>1</v>
      </c>
      <c r="D70" s="30">
        <f ca="1" t="array" ref="D70">INDEX(Data_DBD!$D:$D,$A70)</f>
        <v>15</v>
      </c>
      <c r="E70" s="30">
        <f ca="1" t="array" ref="E70">INDEX(Data_DBD!$E:$E,$A70)</f>
        <v>0</v>
      </c>
      <c r="F70" s="30">
        <f ca="1" t="array" ref="F70">INDEX(Data_DBD!$F:$F,$A70)</f>
        <v>2</v>
      </c>
      <c r="H70" s="30">
        <v>130</v>
      </c>
      <c r="I70" s="30">
        <v>12</v>
      </c>
      <c r="J70" s="30">
        <v>4</v>
      </c>
      <c r="K70" s="30">
        <v>33</v>
      </c>
      <c r="L70" s="30">
        <v>0</v>
      </c>
      <c r="M70" s="30">
        <v>3</v>
      </c>
    </row>
    <row r="71" spans="1:13">
      <c r="A71" s="30">
        <f ca="1" t="shared" si="1"/>
        <v>64</v>
      </c>
      <c r="B71" s="30">
        <f ca="1" t="array" ref="B71">INDEX(Data_DBD!$B:$B,$A71)</f>
        <v>35</v>
      </c>
      <c r="C71" s="30">
        <f ca="1" t="array" ref="C71">INDEX(Data_DBD!$C:$C,$A71)</f>
        <v>1</v>
      </c>
      <c r="D71" s="30">
        <f ca="1" t="array" ref="D71">INDEX(Data_DBD!$D:$D,$A71)</f>
        <v>15</v>
      </c>
      <c r="E71" s="30">
        <f ca="1" t="array" ref="E71">INDEX(Data_DBD!$E:$E,$A71)</f>
        <v>0</v>
      </c>
      <c r="F71" s="30">
        <f ca="1" t="array" ref="F71">INDEX(Data_DBD!$F:$F,$A71)</f>
        <v>2</v>
      </c>
      <c r="H71" s="30">
        <v>157</v>
      </c>
      <c r="I71" s="30">
        <v>15</v>
      </c>
      <c r="J71" s="30">
        <v>4</v>
      </c>
      <c r="K71" s="30">
        <v>21</v>
      </c>
      <c r="L71" s="30">
        <v>1</v>
      </c>
      <c r="M71" s="30">
        <v>3</v>
      </c>
    </row>
    <row r="72" spans="1:13">
      <c r="A72" s="30">
        <f ca="1" t="shared" si="1"/>
        <v>42</v>
      </c>
      <c r="B72" s="30">
        <f ca="1" t="array" ref="B72">INDEX(Data_DBD!$B:$B,$A72)</f>
        <v>21</v>
      </c>
      <c r="C72" s="30">
        <f ca="1" t="array" ref="C72">INDEX(Data_DBD!$C:$C,$A72)</f>
        <v>5</v>
      </c>
      <c r="D72" s="30">
        <f ca="1" t="array" ref="D72">INDEX(Data_DBD!$D:$D,$A72)</f>
        <v>13</v>
      </c>
      <c r="E72" s="30">
        <f ca="1" t="array" ref="E72">INDEX(Data_DBD!$E:$E,$A72)</f>
        <v>1</v>
      </c>
      <c r="F72" s="30">
        <f ca="1" t="array" ref="F72">INDEX(Data_DBD!$F:$F,$A72)</f>
        <v>2</v>
      </c>
      <c r="H72" s="30">
        <v>120</v>
      </c>
      <c r="I72" s="30">
        <v>26</v>
      </c>
      <c r="J72" s="30">
        <v>4</v>
      </c>
      <c r="K72" s="30">
        <v>33</v>
      </c>
      <c r="L72" s="30">
        <v>1</v>
      </c>
      <c r="M72" s="30">
        <v>3</v>
      </c>
    </row>
    <row r="73" spans="1:13">
      <c r="A73" s="30">
        <f ca="1" t="shared" si="1"/>
        <v>75</v>
      </c>
      <c r="B73" s="30">
        <f ca="1" t="array" ref="B73">INDEX(Data_DBD!$B:$B,$A73)</f>
        <v>2</v>
      </c>
      <c r="C73" s="30">
        <f ca="1" t="array" ref="C73">INDEX(Data_DBD!$C:$C,$A73)</f>
        <v>2</v>
      </c>
      <c r="D73" s="30">
        <f ca="1" t="array" ref="D73">INDEX(Data_DBD!$D:$D,$A73)</f>
        <v>10</v>
      </c>
      <c r="E73" s="30">
        <f ca="1" t="array" ref="E73">INDEX(Data_DBD!$E:$E,$A73)</f>
        <v>1</v>
      </c>
      <c r="F73" s="30">
        <f ca="1" t="array" ref="F73">INDEX(Data_DBD!$F:$F,$A73)</f>
        <v>2</v>
      </c>
      <c r="H73" s="30">
        <v>70</v>
      </c>
      <c r="I73" s="30">
        <v>26</v>
      </c>
      <c r="J73" s="30">
        <v>3</v>
      </c>
      <c r="K73" s="30">
        <v>10</v>
      </c>
      <c r="L73" s="30">
        <v>1</v>
      </c>
      <c r="M73" s="30">
        <v>2</v>
      </c>
    </row>
    <row r="74" spans="1:13">
      <c r="A74" s="30">
        <f ca="1" t="shared" si="1"/>
        <v>164</v>
      </c>
      <c r="B74" s="30">
        <f ca="1" t="array" ref="B74">INDEX(Data_DBD!$B:$B,$A74)</f>
        <v>10</v>
      </c>
      <c r="C74" s="30">
        <f ca="1" t="array" ref="C74">INDEX(Data_DBD!$C:$C,$A74)</f>
        <v>6</v>
      </c>
      <c r="D74" s="30">
        <f ca="1" t="array" ref="D74">INDEX(Data_DBD!$D:$D,$A74)</f>
        <v>3</v>
      </c>
      <c r="E74" s="30">
        <f ca="1" t="array" ref="E74">INDEX(Data_DBD!$E:$E,$A74)</f>
        <v>0</v>
      </c>
      <c r="F74" s="30">
        <f ca="1" t="array" ref="F74">INDEX(Data_DBD!$F:$F,$A74)</f>
        <v>1</v>
      </c>
      <c r="H74" s="30">
        <v>95</v>
      </c>
      <c r="I74" s="30">
        <v>11</v>
      </c>
      <c r="J74" s="30">
        <v>3</v>
      </c>
      <c r="K74" s="30">
        <v>18</v>
      </c>
      <c r="L74" s="30">
        <v>1</v>
      </c>
      <c r="M74" s="30">
        <v>3</v>
      </c>
    </row>
    <row r="75" spans="1:13">
      <c r="A75" s="30">
        <f ca="1" t="shared" si="1"/>
        <v>33</v>
      </c>
      <c r="B75" s="30">
        <f ca="1" t="array" ref="B75">INDEX(Data_DBD!$B:$B,$A75)</f>
        <v>19</v>
      </c>
      <c r="C75" s="30">
        <f ca="1" t="array" ref="C75">INDEX(Data_DBD!$C:$C,$A75)</f>
        <v>4</v>
      </c>
      <c r="D75" s="30">
        <f ca="1" t="array" ref="D75">INDEX(Data_DBD!$D:$D,$A75)</f>
        <v>14</v>
      </c>
      <c r="E75" s="30">
        <f ca="1" t="array" ref="E75">INDEX(Data_DBD!$E:$E,$A75)</f>
        <v>1</v>
      </c>
      <c r="F75" s="30">
        <f ca="1" t="array" ref="F75">INDEX(Data_DBD!$F:$F,$A75)</f>
        <v>2</v>
      </c>
      <c r="H75" s="30">
        <v>119</v>
      </c>
      <c r="I75" s="30">
        <v>30</v>
      </c>
      <c r="J75" s="30">
        <v>7</v>
      </c>
      <c r="K75" s="30">
        <v>33</v>
      </c>
      <c r="L75" s="30">
        <v>0</v>
      </c>
      <c r="M75" s="30">
        <v>3</v>
      </c>
    </row>
    <row r="76" spans="1:13">
      <c r="A76" s="30">
        <f ca="1" t="shared" si="1"/>
        <v>8</v>
      </c>
      <c r="B76" s="30">
        <f ca="1" t="array" ref="B76">INDEX(Data_DBD!$B:$B,$A76)</f>
        <v>4</v>
      </c>
      <c r="C76" s="30">
        <f ca="1" t="array" ref="C76">INDEX(Data_DBD!$C:$C,$A76)</f>
        <v>2</v>
      </c>
      <c r="D76" s="30">
        <f ca="1" t="array" ref="D76">INDEX(Data_DBD!$D:$D,$A76)</f>
        <v>12</v>
      </c>
      <c r="E76" s="30">
        <f ca="1" t="array" ref="E76">INDEX(Data_DBD!$E:$E,$A76)</f>
        <v>0</v>
      </c>
      <c r="F76" s="30">
        <f ca="1" t="array" ref="F76">INDEX(Data_DBD!$F:$F,$A76)</f>
        <v>2</v>
      </c>
      <c r="H76" s="30">
        <v>29</v>
      </c>
      <c r="I76" s="30">
        <v>19</v>
      </c>
      <c r="J76" s="30">
        <v>2</v>
      </c>
      <c r="K76" s="30">
        <v>14</v>
      </c>
      <c r="L76" s="30">
        <v>1</v>
      </c>
      <c r="M76" s="30">
        <v>2</v>
      </c>
    </row>
    <row r="77" spans="1:13">
      <c r="A77" s="30">
        <f ca="1" t="shared" si="1"/>
        <v>134</v>
      </c>
      <c r="B77" s="30">
        <f ca="1" t="array" ref="B77">INDEX(Data_DBD!$B:$B,$A77)</f>
        <v>4</v>
      </c>
      <c r="C77" s="30">
        <f ca="1" t="array" ref="C77">INDEX(Data_DBD!$C:$C,$A77)</f>
        <v>2</v>
      </c>
      <c r="D77" s="30">
        <f ca="1" t="array" ref="D77">INDEX(Data_DBD!$D:$D,$A77)</f>
        <v>33</v>
      </c>
      <c r="E77" s="30">
        <f ca="1" t="array" ref="E77">INDEX(Data_DBD!$E:$E,$A77)</f>
        <v>1</v>
      </c>
      <c r="F77" s="30">
        <f ca="1" t="array" ref="F77">INDEX(Data_DBD!$F:$F,$A77)</f>
        <v>3</v>
      </c>
      <c r="H77" s="30">
        <v>91</v>
      </c>
      <c r="I77" s="30">
        <v>35</v>
      </c>
      <c r="J77" s="30">
        <v>1</v>
      </c>
      <c r="K77" s="30">
        <v>18</v>
      </c>
      <c r="L77" s="30">
        <v>1</v>
      </c>
      <c r="M77" s="30">
        <v>3</v>
      </c>
    </row>
    <row r="78" spans="1:13">
      <c r="A78" s="30">
        <f ca="1" t="shared" si="1"/>
        <v>9</v>
      </c>
      <c r="B78" s="30">
        <f ca="1" t="array" ref="B78">INDEX(Data_DBD!$B:$B,$A78)</f>
        <v>16</v>
      </c>
      <c r="C78" s="30">
        <f ca="1" t="array" ref="C78">INDEX(Data_DBD!$C:$C,$A78)</f>
        <v>6</v>
      </c>
      <c r="D78" s="30">
        <f ca="1" t="array" ref="D78">INDEX(Data_DBD!$D:$D,$A78)</f>
        <v>12</v>
      </c>
      <c r="E78" s="30">
        <f ca="1" t="array" ref="E78">INDEX(Data_DBD!$E:$E,$A78)</f>
        <v>1</v>
      </c>
      <c r="F78" s="30">
        <f ca="1" t="array" ref="F78">INDEX(Data_DBD!$F:$F,$A78)</f>
        <v>2</v>
      </c>
      <c r="H78" s="30">
        <v>49</v>
      </c>
      <c r="I78" s="30">
        <v>64</v>
      </c>
      <c r="J78" s="30">
        <v>5</v>
      </c>
      <c r="K78" s="30">
        <v>13</v>
      </c>
      <c r="L78" s="30">
        <v>0</v>
      </c>
      <c r="M78" s="30">
        <v>2</v>
      </c>
    </row>
    <row r="79" spans="1:13">
      <c r="A79" s="30">
        <f ca="1" t="shared" si="1"/>
        <v>43</v>
      </c>
      <c r="B79" s="30">
        <f ca="1" t="array" ref="B79">INDEX(Data_DBD!$B:$B,$A79)</f>
        <v>15</v>
      </c>
      <c r="C79" s="30">
        <f ca="1" t="array" ref="C79">INDEX(Data_DBD!$C:$C,$A79)</f>
        <v>4</v>
      </c>
      <c r="D79" s="30">
        <f ca="1" t="array" ref="D79">INDEX(Data_DBD!$D:$D,$A79)</f>
        <v>13</v>
      </c>
      <c r="E79" s="30">
        <f ca="1" t="array" ref="E79">INDEX(Data_DBD!$E:$E,$A79)</f>
        <v>0</v>
      </c>
      <c r="F79" s="30">
        <f ca="1" t="array" ref="F79">INDEX(Data_DBD!$F:$F,$A79)</f>
        <v>2</v>
      </c>
      <c r="H79" s="30">
        <v>115</v>
      </c>
      <c r="I79" s="30">
        <v>52</v>
      </c>
      <c r="J79" s="30">
        <v>3</v>
      </c>
      <c r="K79" s="30">
        <v>33</v>
      </c>
      <c r="L79" s="30">
        <v>1</v>
      </c>
      <c r="M79" s="30">
        <v>3</v>
      </c>
    </row>
    <row r="80" spans="1:13">
      <c r="A80" s="30">
        <f ca="1" t="shared" si="1"/>
        <v>102</v>
      </c>
      <c r="B80" s="30">
        <f ca="1" t="array" ref="B80">INDEX(Data_DBD!$B:$B,$A80)</f>
        <v>41</v>
      </c>
      <c r="C80" s="30">
        <f ca="1" t="array" ref="C80">INDEX(Data_DBD!$C:$C,$A80)</f>
        <v>4</v>
      </c>
      <c r="D80" s="30">
        <f ca="1" t="array" ref="D80">INDEX(Data_DBD!$D:$D,$A80)</f>
        <v>18</v>
      </c>
      <c r="E80" s="30">
        <f ca="1" t="array" ref="E80">INDEX(Data_DBD!$E:$E,$A80)</f>
        <v>0</v>
      </c>
      <c r="F80" s="30">
        <f ca="1" t="array" ref="F80">INDEX(Data_DBD!$F:$F,$A80)</f>
        <v>3</v>
      </c>
      <c r="H80" s="30">
        <v>53</v>
      </c>
      <c r="I80" s="30">
        <v>35</v>
      </c>
      <c r="J80" s="30">
        <v>4</v>
      </c>
      <c r="K80" s="30">
        <v>15</v>
      </c>
      <c r="L80" s="30">
        <v>1</v>
      </c>
      <c r="M80" s="30">
        <v>2</v>
      </c>
    </row>
    <row r="81" spans="1:13">
      <c r="A81" s="30">
        <f ca="1" t="shared" si="1"/>
        <v>82</v>
      </c>
      <c r="B81" s="30">
        <f ca="1" t="array" ref="B81">INDEX(Data_DBD!$B:$B,$A81)</f>
        <v>28</v>
      </c>
      <c r="C81" s="30">
        <f ca="1" t="array" ref="C81">INDEX(Data_DBD!$C:$C,$A81)</f>
        <v>3</v>
      </c>
      <c r="D81" s="30">
        <f ca="1" t="array" ref="D81">INDEX(Data_DBD!$D:$D,$A81)</f>
        <v>13</v>
      </c>
      <c r="E81" s="30">
        <f ca="1" t="array" ref="E81">INDEX(Data_DBD!$E:$E,$A81)</f>
        <v>1</v>
      </c>
      <c r="F81" s="30">
        <f ca="1" t="array" ref="F81">INDEX(Data_DBD!$F:$F,$A81)</f>
        <v>2</v>
      </c>
      <c r="H81" s="30">
        <v>164</v>
      </c>
      <c r="I81" s="30">
        <v>10</v>
      </c>
      <c r="J81" s="30">
        <v>6</v>
      </c>
      <c r="K81" s="30">
        <v>3</v>
      </c>
      <c r="L81" s="30">
        <v>0</v>
      </c>
      <c r="M81" s="30">
        <v>1</v>
      </c>
    </row>
    <row r="82" spans="1:13">
      <c r="A82" s="30">
        <f ca="1" t="shared" si="1"/>
        <v>150</v>
      </c>
      <c r="B82" s="30">
        <f ca="1" t="array" ref="B82">INDEX(Data_DBD!$B:$B,$A82)</f>
        <v>61</v>
      </c>
      <c r="C82" s="30">
        <f ca="1" t="array" ref="C82">INDEX(Data_DBD!$C:$C,$A82)</f>
        <v>5</v>
      </c>
      <c r="D82" s="30">
        <f ca="1" t="array" ref="D82">INDEX(Data_DBD!$D:$D,$A82)</f>
        <v>21</v>
      </c>
      <c r="E82" s="30">
        <f ca="1" t="array" ref="E82">INDEX(Data_DBD!$E:$E,$A82)</f>
        <v>1</v>
      </c>
      <c r="F82" s="30">
        <f ca="1" t="array" ref="F82">INDEX(Data_DBD!$F:$F,$A82)</f>
        <v>3</v>
      </c>
      <c r="H82" s="30">
        <v>55</v>
      </c>
      <c r="I82" s="30">
        <v>7</v>
      </c>
      <c r="J82" s="30">
        <v>4</v>
      </c>
      <c r="K82" s="30">
        <v>15</v>
      </c>
      <c r="L82" s="30">
        <v>1</v>
      </c>
      <c r="M82" s="30">
        <v>2</v>
      </c>
    </row>
    <row r="83" spans="1:13">
      <c r="A83" s="30">
        <f ca="1" t="shared" si="1"/>
        <v>61</v>
      </c>
      <c r="B83" s="30">
        <f ca="1" t="array" ref="B83">INDEX(Data_DBD!$B:$B,$A83)</f>
        <v>29</v>
      </c>
      <c r="C83" s="30">
        <f ca="1" t="array" ref="C83">INDEX(Data_DBD!$C:$C,$A83)</f>
        <v>3</v>
      </c>
      <c r="D83" s="30">
        <f ca="1" t="array" ref="D83">INDEX(Data_DBD!$D:$D,$A83)</f>
        <v>15</v>
      </c>
      <c r="E83" s="30">
        <f ca="1" t="array" ref="E83">INDEX(Data_DBD!$E:$E,$A83)</f>
        <v>1</v>
      </c>
      <c r="F83" s="30">
        <f ca="1" t="array" ref="F83">INDEX(Data_DBD!$F:$F,$A83)</f>
        <v>2</v>
      </c>
      <c r="H83" s="30">
        <v>109</v>
      </c>
      <c r="I83" s="30">
        <v>40</v>
      </c>
      <c r="J83" s="30">
        <v>3</v>
      </c>
      <c r="K83" s="30">
        <v>33</v>
      </c>
      <c r="L83" s="30">
        <v>1</v>
      </c>
      <c r="M83" s="30">
        <v>3</v>
      </c>
    </row>
    <row r="84" spans="1:13">
      <c r="A84" s="30">
        <f ca="1" t="shared" si="1"/>
        <v>76</v>
      </c>
      <c r="B84" s="30">
        <f ca="1" t="array" ref="B84">INDEX(Data_DBD!$B:$B,$A84)</f>
        <v>70</v>
      </c>
      <c r="C84" s="30">
        <f ca="1" t="array" ref="C84">INDEX(Data_DBD!$C:$C,$A84)</f>
        <v>2</v>
      </c>
      <c r="D84" s="30">
        <f ca="1" t="array" ref="D84">INDEX(Data_DBD!$D:$D,$A84)</f>
        <v>10</v>
      </c>
      <c r="E84" s="30">
        <f ca="1" t="array" ref="E84">INDEX(Data_DBD!$E:$E,$A84)</f>
        <v>0</v>
      </c>
      <c r="F84" s="30">
        <f ca="1" t="array" ref="F84">INDEX(Data_DBD!$F:$F,$A84)</f>
        <v>2</v>
      </c>
      <c r="H84" s="30">
        <v>163</v>
      </c>
      <c r="I84" s="30">
        <v>34</v>
      </c>
      <c r="J84" s="30">
        <v>4</v>
      </c>
      <c r="K84" s="30">
        <v>3</v>
      </c>
      <c r="L84" s="30">
        <v>1</v>
      </c>
      <c r="M84" s="30">
        <v>1</v>
      </c>
    </row>
    <row r="85" spans="1:13">
      <c r="A85" s="30">
        <f ca="1" t="shared" si="1"/>
        <v>43</v>
      </c>
      <c r="B85" s="30">
        <f ca="1" t="array" ref="B85">INDEX(Data_DBD!$B:$B,$A85)</f>
        <v>15</v>
      </c>
      <c r="C85" s="30">
        <f ca="1" t="array" ref="C85">INDEX(Data_DBD!$C:$C,$A85)</f>
        <v>4</v>
      </c>
      <c r="D85" s="30">
        <f ca="1" t="array" ref="D85">INDEX(Data_DBD!$D:$D,$A85)</f>
        <v>13</v>
      </c>
      <c r="E85" s="30">
        <f ca="1" t="array" ref="E85">INDEX(Data_DBD!$E:$E,$A85)</f>
        <v>0</v>
      </c>
      <c r="F85" s="30">
        <f ca="1" t="array" ref="F85">INDEX(Data_DBD!$F:$F,$A85)</f>
        <v>2</v>
      </c>
      <c r="H85" s="30">
        <v>42</v>
      </c>
      <c r="I85" s="30">
        <v>21</v>
      </c>
      <c r="J85" s="30">
        <v>5</v>
      </c>
      <c r="K85" s="30">
        <v>13</v>
      </c>
      <c r="L85" s="30">
        <v>1</v>
      </c>
      <c r="M85" s="30">
        <v>2</v>
      </c>
    </row>
    <row r="86" spans="1:13">
      <c r="A86" s="30">
        <f ca="1" t="shared" si="1"/>
        <v>138</v>
      </c>
      <c r="B86" s="30">
        <f ca="1" t="array" ref="B86">INDEX(Data_DBD!$B:$B,$A86)</f>
        <v>13</v>
      </c>
      <c r="C86" s="30">
        <f ca="1" t="array" ref="C86">INDEX(Data_DBD!$C:$C,$A86)</f>
        <v>3</v>
      </c>
      <c r="D86" s="30">
        <f ca="1" t="array" ref="D86">INDEX(Data_DBD!$D:$D,$A86)</f>
        <v>33</v>
      </c>
      <c r="E86" s="30">
        <f ca="1" t="array" ref="E86">INDEX(Data_DBD!$E:$E,$A86)</f>
        <v>1</v>
      </c>
      <c r="F86" s="30">
        <f ca="1" t="array" ref="F86">INDEX(Data_DBD!$F:$F,$A86)</f>
        <v>3</v>
      </c>
      <c r="H86" s="30">
        <v>55</v>
      </c>
      <c r="I86" s="30">
        <v>7</v>
      </c>
      <c r="J86" s="30">
        <v>4</v>
      </c>
      <c r="K86" s="30">
        <v>15</v>
      </c>
      <c r="L86" s="30">
        <v>1</v>
      </c>
      <c r="M86" s="30">
        <v>2</v>
      </c>
    </row>
    <row r="87" spans="1:13">
      <c r="A87" s="30">
        <f ca="1" t="shared" si="1"/>
        <v>81</v>
      </c>
      <c r="B87" s="30">
        <f ca="1" t="array" ref="B87">INDEX(Data_DBD!$B:$B,$A87)</f>
        <v>23</v>
      </c>
      <c r="C87" s="30">
        <f ca="1" t="array" ref="C87">INDEX(Data_DBD!$C:$C,$A87)</f>
        <v>5</v>
      </c>
      <c r="D87" s="30">
        <f ca="1" t="array" ref="D87">INDEX(Data_DBD!$D:$D,$A87)</f>
        <v>13</v>
      </c>
      <c r="E87" s="30">
        <f ca="1" t="array" ref="E87">INDEX(Data_DBD!$E:$E,$A87)</f>
        <v>1</v>
      </c>
      <c r="F87" s="30">
        <f ca="1" t="array" ref="F87">INDEX(Data_DBD!$F:$F,$A87)</f>
        <v>2</v>
      </c>
      <c r="H87" s="30">
        <v>11</v>
      </c>
      <c r="I87" s="30">
        <v>24</v>
      </c>
      <c r="J87" s="30">
        <v>5</v>
      </c>
      <c r="K87" s="30">
        <v>12</v>
      </c>
      <c r="L87" s="30">
        <v>1</v>
      </c>
      <c r="M87" s="30">
        <v>2</v>
      </c>
    </row>
    <row r="88" spans="1:13">
      <c r="A88" s="30">
        <f ca="1" t="shared" si="1"/>
        <v>45</v>
      </c>
      <c r="B88" s="30">
        <f ca="1" t="array" ref="B88">INDEX(Data_DBD!$B:$B,$A88)</f>
        <v>75</v>
      </c>
      <c r="C88" s="30">
        <f ca="1" t="array" ref="C88">INDEX(Data_DBD!$C:$C,$A88)</f>
        <v>3</v>
      </c>
      <c r="D88" s="30">
        <f ca="1" t="array" ref="D88">INDEX(Data_DBD!$D:$D,$A88)</f>
        <v>13</v>
      </c>
      <c r="E88" s="30">
        <f ca="1" t="array" ref="E88">INDEX(Data_DBD!$E:$E,$A88)</f>
        <v>1</v>
      </c>
      <c r="F88" s="30">
        <f ca="1" t="array" ref="F88">INDEX(Data_DBD!$F:$F,$A88)</f>
        <v>2</v>
      </c>
      <c r="H88" s="30">
        <v>90</v>
      </c>
      <c r="I88" s="30">
        <v>47</v>
      </c>
      <c r="J88" s="30">
        <v>3</v>
      </c>
      <c r="K88" s="30">
        <v>18</v>
      </c>
      <c r="L88" s="30">
        <v>0</v>
      </c>
      <c r="M88" s="30">
        <v>3</v>
      </c>
    </row>
    <row r="89" spans="1:13">
      <c r="A89" s="30">
        <f ca="1" t="shared" si="1"/>
        <v>5</v>
      </c>
      <c r="B89" s="30">
        <f ca="1" t="array" ref="B89">INDEX(Data_DBD!$B:$B,$A89)</f>
        <v>18</v>
      </c>
      <c r="C89" s="30">
        <f ca="1" t="array" ref="C89">INDEX(Data_DBD!$C:$C,$A89)</f>
        <v>2</v>
      </c>
      <c r="D89" s="30">
        <f ca="1" t="array" ref="D89">INDEX(Data_DBD!$D:$D,$A89)</f>
        <v>12</v>
      </c>
      <c r="E89" s="30">
        <f ca="1" t="array" ref="E89">INDEX(Data_DBD!$E:$E,$A89)</f>
        <v>1</v>
      </c>
      <c r="F89" s="30">
        <f ca="1" t="array" ref="F89">INDEX(Data_DBD!$F:$F,$A89)</f>
        <v>2</v>
      </c>
      <c r="H89" s="30">
        <v>123</v>
      </c>
      <c r="I89" s="30">
        <v>22</v>
      </c>
      <c r="J89" s="30">
        <v>4</v>
      </c>
      <c r="K89" s="30">
        <v>33</v>
      </c>
      <c r="L89" s="30">
        <v>0</v>
      </c>
      <c r="M89" s="30">
        <v>3</v>
      </c>
    </row>
    <row r="90" spans="1:13">
      <c r="A90" s="30">
        <f ca="1" t="shared" si="1"/>
        <v>98</v>
      </c>
      <c r="B90" s="30">
        <f ca="1" t="array" ref="B90">INDEX(Data_DBD!$B:$B,$A90)</f>
        <v>16</v>
      </c>
      <c r="C90" s="30">
        <f ca="1" t="array" ref="C90">INDEX(Data_DBD!$C:$C,$A90)</f>
        <v>2</v>
      </c>
      <c r="D90" s="30">
        <f ca="1" t="array" ref="D90">INDEX(Data_DBD!$D:$D,$A90)</f>
        <v>18</v>
      </c>
      <c r="E90" s="30">
        <f ca="1" t="array" ref="E90">INDEX(Data_DBD!$E:$E,$A90)</f>
        <v>1</v>
      </c>
      <c r="F90" s="30">
        <f ca="1" t="array" ref="F90">INDEX(Data_DBD!$F:$F,$A90)</f>
        <v>3</v>
      </c>
      <c r="H90" s="30">
        <v>13</v>
      </c>
      <c r="I90" s="30">
        <v>47</v>
      </c>
      <c r="J90" s="30">
        <v>2</v>
      </c>
      <c r="K90" s="30">
        <v>12</v>
      </c>
      <c r="L90" s="30">
        <v>0</v>
      </c>
      <c r="M90" s="30">
        <v>2</v>
      </c>
    </row>
    <row r="91" spans="1:13">
      <c r="A91" s="30">
        <f ca="1" t="shared" si="1"/>
        <v>93</v>
      </c>
      <c r="B91" s="30">
        <f ca="1" t="array" ref="B91">INDEX(Data_DBD!$B:$B,$A91)</f>
        <v>65</v>
      </c>
      <c r="C91" s="30">
        <f ca="1" t="array" ref="C91">INDEX(Data_DBD!$C:$C,$A91)</f>
        <v>4</v>
      </c>
      <c r="D91" s="30">
        <f ca="1" t="array" ref="D91">INDEX(Data_DBD!$D:$D,$A91)</f>
        <v>18</v>
      </c>
      <c r="E91" s="30">
        <f ca="1" t="array" ref="E91">INDEX(Data_DBD!$E:$E,$A91)</f>
        <v>0</v>
      </c>
      <c r="F91" s="30">
        <f ca="1" t="array" ref="F91">INDEX(Data_DBD!$F:$F,$A91)</f>
        <v>3</v>
      </c>
      <c r="H91" s="30">
        <v>81</v>
      </c>
      <c r="I91" s="30">
        <v>23</v>
      </c>
      <c r="J91" s="30">
        <v>5</v>
      </c>
      <c r="K91" s="30">
        <v>13</v>
      </c>
      <c r="L91" s="30">
        <v>1</v>
      </c>
      <c r="M91" s="30">
        <v>2</v>
      </c>
    </row>
    <row r="92" spans="1:13">
      <c r="A92" s="30">
        <f ca="1" t="shared" si="1"/>
        <v>17</v>
      </c>
      <c r="B92" s="30">
        <f ca="1" t="array" ref="B92">INDEX(Data_DBD!$B:$B,$A92)</f>
        <v>2</v>
      </c>
      <c r="C92" s="30">
        <f ca="1" t="array" ref="C92">INDEX(Data_DBD!$C:$C,$A92)</f>
        <v>3</v>
      </c>
      <c r="D92" s="30">
        <f ca="1" t="array" ref="D92">INDEX(Data_DBD!$D:$D,$A92)</f>
        <v>7</v>
      </c>
      <c r="E92" s="30">
        <f ca="1" t="array" ref="E92">INDEX(Data_DBD!$E:$E,$A92)</f>
        <v>0</v>
      </c>
      <c r="F92" s="30">
        <f ca="1" t="array" ref="F92">INDEX(Data_DBD!$F:$F,$A92)</f>
        <v>1</v>
      </c>
      <c r="H92" s="30">
        <v>47</v>
      </c>
      <c r="I92" s="30">
        <v>19</v>
      </c>
      <c r="J92" s="30">
        <v>2</v>
      </c>
      <c r="K92" s="30">
        <v>13</v>
      </c>
      <c r="L92" s="30">
        <v>0</v>
      </c>
      <c r="M92" s="30">
        <v>2</v>
      </c>
    </row>
    <row r="93" spans="1:13">
      <c r="A93" s="30">
        <f ca="1" t="shared" si="1"/>
        <v>61</v>
      </c>
      <c r="B93" s="30">
        <f ca="1" t="array" ref="B93">INDEX(Data_DBD!$B:$B,$A93)</f>
        <v>29</v>
      </c>
      <c r="C93" s="30">
        <f ca="1" t="array" ref="C93">INDEX(Data_DBD!$C:$C,$A93)</f>
        <v>3</v>
      </c>
      <c r="D93" s="30">
        <f ca="1" t="array" ref="D93">INDEX(Data_DBD!$D:$D,$A93)</f>
        <v>15</v>
      </c>
      <c r="E93" s="30">
        <f ca="1" t="array" ref="E93">INDEX(Data_DBD!$E:$E,$A93)</f>
        <v>1</v>
      </c>
      <c r="F93" s="30">
        <f ca="1" t="array" ref="F93">INDEX(Data_DBD!$F:$F,$A93)</f>
        <v>2</v>
      </c>
      <c r="H93" s="30">
        <v>15</v>
      </c>
      <c r="I93" s="30">
        <v>21</v>
      </c>
      <c r="J93" s="30">
        <v>2</v>
      </c>
      <c r="K93" s="30">
        <v>7</v>
      </c>
      <c r="L93" s="30">
        <v>0</v>
      </c>
      <c r="M93" s="30">
        <v>1</v>
      </c>
    </row>
    <row r="94" spans="1:13">
      <c r="A94" s="30">
        <f ca="1" t="shared" si="1"/>
        <v>42</v>
      </c>
      <c r="B94" s="30">
        <f ca="1" t="array" ref="B94">INDEX(Data_DBD!$B:$B,$A94)</f>
        <v>21</v>
      </c>
      <c r="C94" s="30">
        <f ca="1" t="array" ref="C94">INDEX(Data_DBD!$C:$C,$A94)</f>
        <v>5</v>
      </c>
      <c r="D94" s="30">
        <f ca="1" t="array" ref="D94">INDEX(Data_DBD!$D:$D,$A94)</f>
        <v>13</v>
      </c>
      <c r="E94" s="30">
        <f ca="1" t="array" ref="E94">INDEX(Data_DBD!$E:$E,$A94)</f>
        <v>1</v>
      </c>
      <c r="F94" s="30">
        <f ca="1" t="array" ref="F94">INDEX(Data_DBD!$F:$F,$A94)</f>
        <v>2</v>
      </c>
      <c r="H94" s="30">
        <v>83</v>
      </c>
      <c r="I94" s="30">
        <v>50</v>
      </c>
      <c r="J94" s="30">
        <v>3</v>
      </c>
      <c r="K94" s="30">
        <v>13</v>
      </c>
      <c r="L94" s="30">
        <v>0</v>
      </c>
      <c r="M94" s="30">
        <v>2</v>
      </c>
    </row>
    <row r="95" spans="1:13">
      <c r="A95" s="30">
        <f ca="1" t="shared" si="1"/>
        <v>112</v>
      </c>
      <c r="B95" s="30">
        <f ca="1" t="array" ref="B95">INDEX(Data_DBD!$B:$B,$A95)</f>
        <v>61</v>
      </c>
      <c r="C95" s="30">
        <f ca="1" t="array" ref="C95">INDEX(Data_DBD!$C:$C,$A95)</f>
        <v>3</v>
      </c>
      <c r="D95" s="30">
        <f ca="1" t="array" ref="D95">INDEX(Data_DBD!$D:$D,$A95)</f>
        <v>33</v>
      </c>
      <c r="E95" s="30">
        <f ca="1" t="array" ref="E95">INDEX(Data_DBD!$E:$E,$A95)</f>
        <v>1</v>
      </c>
      <c r="F95" s="30">
        <f ca="1" t="array" ref="F95">INDEX(Data_DBD!$F:$F,$A95)</f>
        <v>3</v>
      </c>
      <c r="H95" s="30">
        <v>115</v>
      </c>
      <c r="I95" s="30">
        <v>52</v>
      </c>
      <c r="J95" s="30">
        <v>3</v>
      </c>
      <c r="K95" s="30">
        <v>33</v>
      </c>
      <c r="L95" s="30">
        <v>1</v>
      </c>
      <c r="M95" s="30">
        <v>3</v>
      </c>
    </row>
    <row r="96" spans="1:13">
      <c r="A96" s="30">
        <f ca="1" t="shared" si="1"/>
        <v>66</v>
      </c>
      <c r="B96" s="30">
        <f ca="1" t="array" ref="B96">INDEX(Data_DBD!$B:$B,$A96)</f>
        <v>21</v>
      </c>
      <c r="C96" s="30">
        <f ca="1" t="array" ref="C96">INDEX(Data_DBD!$C:$C,$A96)</f>
        <v>5</v>
      </c>
      <c r="D96" s="30">
        <f ca="1" t="array" ref="D96">INDEX(Data_DBD!$D:$D,$A96)</f>
        <v>15</v>
      </c>
      <c r="E96" s="30">
        <f ca="1" t="array" ref="E96">INDEX(Data_DBD!$E:$E,$A96)</f>
        <v>1</v>
      </c>
      <c r="F96" s="30">
        <f ca="1" t="array" ref="F96">INDEX(Data_DBD!$F:$F,$A96)</f>
        <v>2</v>
      </c>
      <c r="H96" s="30">
        <v>69</v>
      </c>
      <c r="I96" s="30">
        <v>24</v>
      </c>
      <c r="J96" s="30">
        <v>4</v>
      </c>
      <c r="K96" s="30">
        <v>10</v>
      </c>
      <c r="L96" s="30">
        <v>1</v>
      </c>
      <c r="M96" s="30">
        <v>2</v>
      </c>
    </row>
    <row r="97" spans="1:13">
      <c r="A97" s="30">
        <f ca="1" t="shared" si="1"/>
        <v>89</v>
      </c>
      <c r="B97" s="30">
        <f ca="1" t="array" ref="B97">INDEX(Data_DBD!$B:$B,$A97)</f>
        <v>32</v>
      </c>
      <c r="C97" s="30">
        <f ca="1" t="array" ref="C97">INDEX(Data_DBD!$C:$C,$A97)</f>
        <v>4</v>
      </c>
      <c r="D97" s="30">
        <f ca="1" t="array" ref="D97">INDEX(Data_DBD!$D:$D,$A97)</f>
        <v>13</v>
      </c>
      <c r="E97" s="30">
        <f ca="1" t="array" ref="E97">INDEX(Data_DBD!$E:$E,$A97)</f>
        <v>0</v>
      </c>
      <c r="F97" s="30">
        <f ca="1" t="array" ref="F97">INDEX(Data_DBD!$F:$F,$A97)</f>
        <v>2</v>
      </c>
      <c r="H97" s="30">
        <v>96</v>
      </c>
      <c r="I97" s="30">
        <v>56</v>
      </c>
      <c r="J97" s="30">
        <v>4</v>
      </c>
      <c r="K97" s="30">
        <v>18</v>
      </c>
      <c r="L97" s="30">
        <v>0</v>
      </c>
      <c r="M97" s="30">
        <v>3</v>
      </c>
    </row>
    <row r="98" spans="1:13">
      <c r="A98" s="30">
        <f ca="1" t="shared" si="1"/>
        <v>130</v>
      </c>
      <c r="B98" s="30">
        <f ca="1" t="array" ref="B98">INDEX(Data_DBD!$B:$B,$A98)</f>
        <v>12</v>
      </c>
      <c r="C98" s="30">
        <f ca="1" t="array" ref="C98">INDEX(Data_DBD!$C:$C,$A98)</f>
        <v>4</v>
      </c>
      <c r="D98" s="30">
        <f ca="1" t="array" ref="D98">INDEX(Data_DBD!$D:$D,$A98)</f>
        <v>33</v>
      </c>
      <c r="E98" s="30">
        <f ca="1" t="array" ref="E98">INDEX(Data_DBD!$E:$E,$A98)</f>
        <v>0</v>
      </c>
      <c r="F98" s="30">
        <f ca="1" t="array" ref="F98">INDEX(Data_DBD!$F:$F,$A98)</f>
        <v>3</v>
      </c>
      <c r="H98" s="30">
        <v>55</v>
      </c>
      <c r="I98" s="30">
        <v>7</v>
      </c>
      <c r="J98" s="30">
        <v>4</v>
      </c>
      <c r="K98" s="30">
        <v>15</v>
      </c>
      <c r="L98" s="30">
        <v>1</v>
      </c>
      <c r="M98" s="30">
        <v>2</v>
      </c>
    </row>
    <row r="99" spans="1:13">
      <c r="A99" s="30">
        <f ca="1" t="shared" si="1"/>
        <v>109</v>
      </c>
      <c r="B99" s="30">
        <f ca="1" t="array" ref="B99">INDEX(Data_DBD!$B:$B,$A99)</f>
        <v>40</v>
      </c>
      <c r="C99" s="30">
        <f ca="1" t="array" ref="C99">INDEX(Data_DBD!$C:$C,$A99)</f>
        <v>3</v>
      </c>
      <c r="D99" s="30">
        <f ca="1" t="array" ref="D99">INDEX(Data_DBD!$D:$D,$A99)</f>
        <v>33</v>
      </c>
      <c r="E99" s="30">
        <f ca="1" t="array" ref="E99">INDEX(Data_DBD!$E:$E,$A99)</f>
        <v>1</v>
      </c>
      <c r="F99" s="30">
        <f ca="1" t="array" ref="F99">INDEX(Data_DBD!$F:$F,$A99)</f>
        <v>3</v>
      </c>
      <c r="H99" s="30">
        <v>85</v>
      </c>
      <c r="I99" s="30">
        <v>27</v>
      </c>
      <c r="J99" s="30">
        <v>9</v>
      </c>
      <c r="K99" s="30">
        <v>13</v>
      </c>
      <c r="L99" s="30">
        <v>0</v>
      </c>
      <c r="M99" s="30">
        <v>2</v>
      </c>
    </row>
    <row r="100" spans="1:13">
      <c r="A100" s="30">
        <f ca="1" t="shared" si="1"/>
        <v>10</v>
      </c>
      <c r="B100" s="30">
        <f ca="1" t="array" ref="B100">INDEX(Data_DBD!$B:$B,$A100)</f>
        <v>18</v>
      </c>
      <c r="C100" s="30">
        <f ca="1" t="array" ref="C100">INDEX(Data_DBD!$C:$C,$A100)</f>
        <v>5</v>
      </c>
      <c r="D100" s="30">
        <f ca="1" t="array" ref="D100">INDEX(Data_DBD!$D:$D,$A100)</f>
        <v>12</v>
      </c>
      <c r="E100" s="30">
        <f ca="1" t="array" ref="E100">INDEX(Data_DBD!$E:$E,$A100)</f>
        <v>0</v>
      </c>
      <c r="F100" s="30">
        <f ca="1" t="array" ref="F100">INDEX(Data_DBD!$F:$F,$A100)</f>
        <v>2</v>
      </c>
      <c r="H100" s="30">
        <v>146</v>
      </c>
      <c r="I100" s="30">
        <v>34</v>
      </c>
      <c r="J100" s="30">
        <v>2</v>
      </c>
      <c r="K100" s="30">
        <v>21</v>
      </c>
      <c r="L100" s="30">
        <v>1</v>
      </c>
      <c r="M100" s="30">
        <v>3</v>
      </c>
    </row>
    <row r="101" spans="1:13">
      <c r="A101" s="30">
        <f ca="1" t="shared" si="1"/>
        <v>130</v>
      </c>
      <c r="B101" s="30">
        <f ca="1" t="array" ref="B101">INDEX(Data_DBD!$B:$B,$A101)</f>
        <v>12</v>
      </c>
      <c r="C101" s="30">
        <f ca="1" t="array" ref="C101">INDEX(Data_DBD!$C:$C,$A101)</f>
        <v>4</v>
      </c>
      <c r="D101" s="30">
        <f ca="1" t="array" ref="D101">INDEX(Data_DBD!$D:$D,$A101)</f>
        <v>33</v>
      </c>
      <c r="E101" s="30">
        <f ca="1" t="array" ref="E101">INDEX(Data_DBD!$E:$E,$A101)</f>
        <v>0</v>
      </c>
      <c r="F101" s="30">
        <f ca="1" t="array" ref="F101">INDEX(Data_DBD!$F:$F,$A101)</f>
        <v>3</v>
      </c>
      <c r="H101" s="30">
        <v>42</v>
      </c>
      <c r="I101" s="30">
        <v>21</v>
      </c>
      <c r="J101" s="30">
        <v>5</v>
      </c>
      <c r="K101" s="30">
        <v>13</v>
      </c>
      <c r="L101" s="30">
        <v>1</v>
      </c>
      <c r="M101" s="30">
        <v>2</v>
      </c>
    </row>
    <row r="102" spans="1:13">
      <c r="A102" s="30">
        <f ca="1" t="shared" si="1"/>
        <v>88</v>
      </c>
      <c r="B102" s="30">
        <f ca="1" t="array" ref="B102">INDEX(Data_DBD!$B:$B,$A102)</f>
        <v>20</v>
      </c>
      <c r="C102" s="30">
        <f ca="1" t="array" ref="C102">INDEX(Data_DBD!$C:$C,$A102)</f>
        <v>4</v>
      </c>
      <c r="D102" s="30">
        <f ca="1" t="array" ref="D102">INDEX(Data_DBD!$D:$D,$A102)</f>
        <v>13</v>
      </c>
      <c r="E102" s="30">
        <f ca="1" t="array" ref="E102">INDEX(Data_DBD!$E:$E,$A102)</f>
        <v>1</v>
      </c>
      <c r="F102" s="30">
        <f ca="1" t="array" ref="F102">INDEX(Data_DBD!$F:$F,$A102)</f>
        <v>2</v>
      </c>
      <c r="H102" s="30">
        <v>153</v>
      </c>
      <c r="I102" s="30">
        <v>73</v>
      </c>
      <c r="J102" s="30">
        <v>7</v>
      </c>
      <c r="K102" s="30">
        <v>21</v>
      </c>
      <c r="L102" s="30">
        <v>1</v>
      </c>
      <c r="M102" s="30">
        <v>3</v>
      </c>
    </row>
    <row r="103" spans="1:13">
      <c r="A103" s="30">
        <f ca="1" t="shared" si="1"/>
        <v>99</v>
      </c>
      <c r="B103" s="30">
        <f ca="1" t="array" ref="B103">INDEX(Data_DBD!$B:$B,$A103)</f>
        <v>4</v>
      </c>
      <c r="C103" s="30">
        <f ca="1" t="array" ref="C103">INDEX(Data_DBD!$C:$C,$A103)</f>
        <v>2</v>
      </c>
      <c r="D103" s="30">
        <f ca="1" t="array" ref="D103">INDEX(Data_DBD!$D:$D,$A103)</f>
        <v>18</v>
      </c>
      <c r="E103" s="30">
        <f ca="1" t="array" ref="E103">INDEX(Data_DBD!$E:$E,$A103)</f>
        <v>1</v>
      </c>
      <c r="F103" s="30">
        <f ca="1" t="array" ref="F103">INDEX(Data_DBD!$F:$F,$A103)</f>
        <v>3</v>
      </c>
      <c r="H103" s="30">
        <v>94</v>
      </c>
      <c r="I103" s="30">
        <v>12</v>
      </c>
      <c r="J103" s="30">
        <v>4</v>
      </c>
      <c r="K103" s="30">
        <v>18</v>
      </c>
      <c r="L103" s="30">
        <v>0</v>
      </c>
      <c r="M103" s="30">
        <v>3</v>
      </c>
    </row>
    <row r="104" spans="1:13">
      <c r="A104" s="30">
        <f ca="1" t="shared" si="1"/>
        <v>98</v>
      </c>
      <c r="B104" s="30">
        <f ca="1" t="array" ref="B104">INDEX(Data_DBD!$B:$B,$A104)</f>
        <v>16</v>
      </c>
      <c r="C104" s="30">
        <f ca="1" t="array" ref="C104">INDEX(Data_DBD!$C:$C,$A104)</f>
        <v>2</v>
      </c>
      <c r="D104" s="30">
        <f ca="1" t="array" ref="D104">INDEX(Data_DBD!$D:$D,$A104)</f>
        <v>18</v>
      </c>
      <c r="E104" s="30">
        <f ca="1" t="array" ref="E104">INDEX(Data_DBD!$E:$E,$A104)</f>
        <v>1</v>
      </c>
      <c r="F104" s="30">
        <f ca="1" t="array" ref="F104">INDEX(Data_DBD!$F:$F,$A104)</f>
        <v>3</v>
      </c>
      <c r="H104" s="30">
        <v>22</v>
      </c>
      <c r="I104" s="30">
        <v>6</v>
      </c>
      <c r="J104" s="30">
        <v>3</v>
      </c>
      <c r="K104" s="30">
        <v>14</v>
      </c>
      <c r="L104" s="30">
        <v>0</v>
      </c>
      <c r="M104" s="30">
        <v>2</v>
      </c>
    </row>
    <row r="105" spans="1:13">
      <c r="A105" s="30">
        <f ca="1" t="shared" si="1"/>
        <v>17</v>
      </c>
      <c r="B105" s="30">
        <f ca="1" t="array" ref="B105">INDEX(Data_DBD!$B:$B,$A105)</f>
        <v>2</v>
      </c>
      <c r="C105" s="30">
        <f ca="1" t="array" ref="C105">INDEX(Data_DBD!$C:$C,$A105)</f>
        <v>3</v>
      </c>
      <c r="D105" s="30">
        <f ca="1" t="array" ref="D105">INDEX(Data_DBD!$D:$D,$A105)</f>
        <v>7</v>
      </c>
      <c r="E105" s="30">
        <f ca="1" t="array" ref="E105">INDEX(Data_DBD!$E:$E,$A105)</f>
        <v>0</v>
      </c>
      <c r="F105" s="30">
        <f ca="1" t="array" ref="F105">INDEX(Data_DBD!$F:$F,$A105)</f>
        <v>1</v>
      </c>
      <c r="H105" s="30">
        <v>158</v>
      </c>
      <c r="I105" s="30">
        <v>5</v>
      </c>
      <c r="J105" s="30">
        <v>2</v>
      </c>
      <c r="K105" s="30">
        <v>21</v>
      </c>
      <c r="L105" s="30">
        <v>0</v>
      </c>
      <c r="M105" s="30">
        <v>3</v>
      </c>
    </row>
    <row r="106" spans="1:13">
      <c r="A106" s="30">
        <f ca="1" t="shared" si="1"/>
        <v>127</v>
      </c>
      <c r="B106" s="30">
        <f ca="1" t="array" ref="B106">INDEX(Data_DBD!$B:$B,$A106)</f>
        <v>21</v>
      </c>
      <c r="C106" s="30">
        <f ca="1" t="array" ref="C106">INDEX(Data_DBD!$C:$C,$A106)</f>
        <v>2</v>
      </c>
      <c r="D106" s="30">
        <f ca="1" t="array" ref="D106">INDEX(Data_DBD!$D:$D,$A106)</f>
        <v>33</v>
      </c>
      <c r="E106" s="30">
        <f ca="1" t="array" ref="E106">INDEX(Data_DBD!$E:$E,$A106)</f>
        <v>0</v>
      </c>
      <c r="F106" s="30">
        <f ca="1" t="array" ref="F106">INDEX(Data_DBD!$F:$F,$A106)</f>
        <v>3</v>
      </c>
      <c r="H106" s="30">
        <v>102</v>
      </c>
      <c r="I106" s="30">
        <v>41</v>
      </c>
      <c r="J106" s="30">
        <v>4</v>
      </c>
      <c r="K106" s="30">
        <v>18</v>
      </c>
      <c r="L106" s="30">
        <v>0</v>
      </c>
      <c r="M106" s="30">
        <v>3</v>
      </c>
    </row>
    <row r="107" spans="1:13">
      <c r="A107" s="30">
        <f ca="1" t="shared" si="1"/>
        <v>2</v>
      </c>
      <c r="B107" s="30">
        <f ca="1" t="array" ref="B107">INDEX(Data_DBD!$B:$B,$A107)</f>
        <v>34</v>
      </c>
      <c r="C107" s="30">
        <f ca="1" t="array" ref="C107">INDEX(Data_DBD!$C:$C,$A107)</f>
        <v>3</v>
      </c>
      <c r="D107" s="30">
        <f ca="1" t="array" ref="D107">INDEX(Data_DBD!$D:$D,$A107)</f>
        <v>12</v>
      </c>
      <c r="E107" s="30">
        <f ca="1" t="array" ref="E107">INDEX(Data_DBD!$E:$E,$A107)</f>
        <v>0</v>
      </c>
      <c r="F107" s="30">
        <f ca="1" t="array" ref="F107">INDEX(Data_DBD!$F:$F,$A107)</f>
        <v>2</v>
      </c>
      <c r="H107" s="30">
        <v>131</v>
      </c>
      <c r="I107" s="30">
        <v>10</v>
      </c>
      <c r="J107" s="30">
        <v>2</v>
      </c>
      <c r="K107" s="30">
        <v>33</v>
      </c>
      <c r="L107" s="30">
        <v>0</v>
      </c>
      <c r="M107" s="30">
        <v>3</v>
      </c>
    </row>
    <row r="108" spans="1:13">
      <c r="A108" s="30">
        <f ca="1" t="shared" si="1"/>
        <v>46</v>
      </c>
      <c r="B108" s="30">
        <f ca="1" t="array" ref="B108">INDEX(Data_DBD!$B:$B,$A108)</f>
        <v>62</v>
      </c>
      <c r="C108" s="30">
        <f ca="1" t="array" ref="C108">INDEX(Data_DBD!$C:$C,$A108)</f>
        <v>2</v>
      </c>
      <c r="D108" s="30">
        <f ca="1" t="array" ref="D108">INDEX(Data_DBD!$D:$D,$A108)</f>
        <v>13</v>
      </c>
      <c r="E108" s="30">
        <f ca="1" t="array" ref="E108">INDEX(Data_DBD!$E:$E,$A108)</f>
        <v>0</v>
      </c>
      <c r="F108" s="30">
        <f ca="1" t="array" ref="F108">INDEX(Data_DBD!$F:$F,$A108)</f>
        <v>2</v>
      </c>
      <c r="H108" s="30">
        <v>159</v>
      </c>
      <c r="I108" s="30">
        <v>17</v>
      </c>
      <c r="J108" s="30">
        <v>2</v>
      </c>
      <c r="K108" s="30">
        <v>21</v>
      </c>
      <c r="L108" s="30">
        <v>0</v>
      </c>
      <c r="M108" s="30">
        <v>3</v>
      </c>
    </row>
    <row r="109" spans="1:13">
      <c r="A109" s="30">
        <f ca="1" t="shared" si="1"/>
        <v>109</v>
      </c>
      <c r="B109" s="30">
        <f ca="1" t="array" ref="B109">INDEX(Data_DBD!$B:$B,$A109)</f>
        <v>40</v>
      </c>
      <c r="C109" s="30">
        <f ca="1" t="array" ref="C109">INDEX(Data_DBD!$C:$C,$A109)</f>
        <v>3</v>
      </c>
      <c r="D109" s="30">
        <f ca="1" t="array" ref="D109">INDEX(Data_DBD!$D:$D,$A109)</f>
        <v>33</v>
      </c>
      <c r="E109" s="30">
        <f ca="1" t="array" ref="E109">INDEX(Data_DBD!$E:$E,$A109)</f>
        <v>1</v>
      </c>
      <c r="F109" s="30">
        <f ca="1" t="array" ref="F109">INDEX(Data_DBD!$F:$F,$A109)</f>
        <v>3</v>
      </c>
      <c r="H109" s="30">
        <v>23</v>
      </c>
      <c r="I109" s="30">
        <v>28</v>
      </c>
      <c r="J109" s="30">
        <v>4</v>
      </c>
      <c r="K109" s="30">
        <v>14</v>
      </c>
      <c r="L109" s="30">
        <v>1</v>
      </c>
      <c r="M109" s="30">
        <v>2</v>
      </c>
    </row>
    <row r="110" spans="1:13">
      <c r="A110" s="30">
        <f ca="1" t="shared" si="1"/>
        <v>76</v>
      </c>
      <c r="B110" s="30">
        <f ca="1" t="array" ref="B110">INDEX(Data_DBD!$B:$B,$A110)</f>
        <v>70</v>
      </c>
      <c r="C110" s="30">
        <f ca="1" t="array" ref="C110">INDEX(Data_DBD!$C:$C,$A110)</f>
        <v>2</v>
      </c>
      <c r="D110" s="30">
        <f ca="1" t="array" ref="D110">INDEX(Data_DBD!$D:$D,$A110)</f>
        <v>10</v>
      </c>
      <c r="E110" s="30">
        <f ca="1" t="array" ref="E110">INDEX(Data_DBD!$E:$E,$A110)</f>
        <v>0</v>
      </c>
      <c r="F110" s="30">
        <f ca="1" t="array" ref="F110">INDEX(Data_DBD!$F:$F,$A110)</f>
        <v>2</v>
      </c>
      <c r="H110" s="30">
        <v>70</v>
      </c>
      <c r="I110" s="30">
        <v>26</v>
      </c>
      <c r="J110" s="30">
        <v>3</v>
      </c>
      <c r="K110" s="30">
        <v>10</v>
      </c>
      <c r="L110" s="30">
        <v>1</v>
      </c>
      <c r="M110" s="30">
        <v>2</v>
      </c>
    </row>
    <row r="111" spans="1:13">
      <c r="A111" s="30">
        <f ca="1" t="shared" si="1"/>
        <v>147</v>
      </c>
      <c r="B111" s="30">
        <f ca="1" t="array" ref="B111">INDEX(Data_DBD!$B:$B,$A111)</f>
        <v>66</v>
      </c>
      <c r="C111" s="30">
        <f ca="1" t="array" ref="C111">INDEX(Data_DBD!$C:$C,$A111)</f>
        <v>10</v>
      </c>
      <c r="D111" s="30">
        <f ca="1" t="array" ref="D111">INDEX(Data_DBD!$D:$D,$A111)</f>
        <v>21</v>
      </c>
      <c r="E111" s="30">
        <f ca="1" t="array" ref="E111">INDEX(Data_DBD!$E:$E,$A111)</f>
        <v>1</v>
      </c>
      <c r="F111" s="30">
        <f ca="1" t="array" ref="F111">INDEX(Data_DBD!$F:$F,$A111)</f>
        <v>3</v>
      </c>
      <c r="H111" s="30">
        <v>91</v>
      </c>
      <c r="I111" s="30">
        <v>35</v>
      </c>
      <c r="J111" s="30">
        <v>1</v>
      </c>
      <c r="K111" s="30">
        <v>18</v>
      </c>
      <c r="L111" s="30">
        <v>1</v>
      </c>
      <c r="M111" s="30">
        <v>3</v>
      </c>
    </row>
    <row r="112" spans="1:13">
      <c r="A112" s="30">
        <f ca="1" t="shared" si="1"/>
        <v>50</v>
      </c>
      <c r="B112" s="30">
        <f ca="1" t="array" ref="B112">INDEX(Data_DBD!$B:$B,$A112)</f>
        <v>19</v>
      </c>
      <c r="C112" s="30">
        <f ca="1" t="array" ref="C112">INDEX(Data_DBD!$C:$C,$A112)</f>
        <v>5</v>
      </c>
      <c r="D112" s="30">
        <f ca="1" t="array" ref="D112">INDEX(Data_DBD!$D:$D,$A112)</f>
        <v>13</v>
      </c>
      <c r="E112" s="30">
        <f ca="1" t="array" ref="E112">INDEX(Data_DBD!$E:$E,$A112)</f>
        <v>0</v>
      </c>
      <c r="F112" s="30">
        <f ca="1" t="array" ref="F112">INDEX(Data_DBD!$F:$F,$A112)</f>
        <v>2</v>
      </c>
      <c r="H112" s="30">
        <v>147</v>
      </c>
      <c r="I112" s="30">
        <v>66</v>
      </c>
      <c r="J112" s="30">
        <v>10</v>
      </c>
      <c r="K112" s="30">
        <v>21</v>
      </c>
      <c r="L112" s="30">
        <v>1</v>
      </c>
      <c r="M112" s="30">
        <v>3</v>
      </c>
    </row>
    <row r="113" spans="1:13">
      <c r="A113" s="30">
        <f ca="1" t="shared" si="1"/>
        <v>93</v>
      </c>
      <c r="B113" s="30">
        <f ca="1" t="array" ref="B113">INDEX(Data_DBD!$B:$B,$A113)</f>
        <v>65</v>
      </c>
      <c r="C113" s="30">
        <f ca="1" t="array" ref="C113">INDEX(Data_DBD!$C:$C,$A113)</f>
        <v>4</v>
      </c>
      <c r="D113" s="30">
        <f ca="1" t="array" ref="D113">INDEX(Data_DBD!$D:$D,$A113)</f>
        <v>18</v>
      </c>
      <c r="E113" s="30">
        <f ca="1" t="array" ref="E113">INDEX(Data_DBD!$E:$E,$A113)</f>
        <v>0</v>
      </c>
      <c r="F113" s="30">
        <f ca="1" t="array" ref="F113">INDEX(Data_DBD!$F:$F,$A113)</f>
        <v>3</v>
      </c>
      <c r="H113" s="30">
        <v>135</v>
      </c>
      <c r="I113" s="30">
        <v>10</v>
      </c>
      <c r="J113" s="30">
        <v>2</v>
      </c>
      <c r="K113" s="30">
        <v>33</v>
      </c>
      <c r="L113" s="30">
        <v>0</v>
      </c>
      <c r="M113" s="30">
        <v>3</v>
      </c>
    </row>
    <row r="114" spans="1:13">
      <c r="A114" s="30">
        <f ca="1" t="shared" si="1"/>
        <v>164</v>
      </c>
      <c r="B114" s="30">
        <f ca="1" t="array" ref="B114">INDEX(Data_DBD!$B:$B,$A114)</f>
        <v>10</v>
      </c>
      <c r="C114" s="30">
        <f ca="1" t="array" ref="C114">INDEX(Data_DBD!$C:$C,$A114)</f>
        <v>6</v>
      </c>
      <c r="D114" s="30">
        <f ca="1" t="array" ref="D114">INDEX(Data_DBD!$D:$D,$A114)</f>
        <v>3</v>
      </c>
      <c r="E114" s="30">
        <f ca="1" t="array" ref="E114">INDEX(Data_DBD!$E:$E,$A114)</f>
        <v>0</v>
      </c>
      <c r="F114" s="30">
        <f ca="1" t="array" ref="F114">INDEX(Data_DBD!$F:$F,$A114)</f>
        <v>1</v>
      </c>
      <c r="H114" s="30">
        <v>68</v>
      </c>
      <c r="I114" s="30">
        <v>44</v>
      </c>
      <c r="J114" s="30">
        <v>5</v>
      </c>
      <c r="K114" s="30">
        <v>10</v>
      </c>
      <c r="L114" s="30">
        <v>0</v>
      </c>
      <c r="M114" s="30">
        <v>2</v>
      </c>
    </row>
    <row r="115" spans="1:13">
      <c r="A115" s="30">
        <f ca="1" t="shared" si="1"/>
        <v>43</v>
      </c>
      <c r="B115" s="30">
        <f ca="1" t="array" ref="B115">INDEX(Data_DBD!$B:$B,$A115)</f>
        <v>15</v>
      </c>
      <c r="C115" s="30">
        <f ca="1" t="array" ref="C115">INDEX(Data_DBD!$C:$C,$A115)</f>
        <v>4</v>
      </c>
      <c r="D115" s="30">
        <f ca="1" t="array" ref="D115">INDEX(Data_DBD!$D:$D,$A115)</f>
        <v>13</v>
      </c>
      <c r="E115" s="30">
        <f ca="1" t="array" ref="E115">INDEX(Data_DBD!$E:$E,$A115)</f>
        <v>0</v>
      </c>
      <c r="F115" s="30">
        <f ca="1" t="array" ref="F115">INDEX(Data_DBD!$F:$F,$A115)</f>
        <v>2</v>
      </c>
      <c r="H115" s="30">
        <v>102</v>
      </c>
      <c r="I115" s="30">
        <v>41</v>
      </c>
      <c r="J115" s="30">
        <v>4</v>
      </c>
      <c r="K115" s="30">
        <v>18</v>
      </c>
      <c r="L115" s="30">
        <v>0</v>
      </c>
      <c r="M115" s="30">
        <v>3</v>
      </c>
    </row>
    <row r="116" spans="1:13">
      <c r="A116" s="30">
        <f ca="1" t="shared" si="1"/>
        <v>99</v>
      </c>
      <c r="B116" s="30">
        <f ca="1" t="array" ref="B116">INDEX(Data_DBD!$B:$B,$A116)</f>
        <v>4</v>
      </c>
      <c r="C116" s="30">
        <f ca="1" t="array" ref="C116">INDEX(Data_DBD!$C:$C,$A116)</f>
        <v>2</v>
      </c>
      <c r="D116" s="30">
        <f ca="1" t="array" ref="D116">INDEX(Data_DBD!$D:$D,$A116)</f>
        <v>18</v>
      </c>
      <c r="E116" s="30">
        <f ca="1" t="array" ref="E116">INDEX(Data_DBD!$E:$E,$A116)</f>
        <v>1</v>
      </c>
      <c r="F116" s="30">
        <f ca="1" t="array" ref="F116">INDEX(Data_DBD!$F:$F,$A116)</f>
        <v>3</v>
      </c>
      <c r="H116" s="30">
        <v>61</v>
      </c>
      <c r="I116" s="30">
        <v>29</v>
      </c>
      <c r="J116" s="30">
        <v>3</v>
      </c>
      <c r="K116" s="30">
        <v>15</v>
      </c>
      <c r="L116" s="30">
        <v>1</v>
      </c>
      <c r="M116" s="30">
        <v>2</v>
      </c>
    </row>
    <row r="117" spans="1:13">
      <c r="A117" s="30">
        <f ca="1" t="shared" si="1"/>
        <v>23</v>
      </c>
      <c r="B117" s="30">
        <f ca="1" t="array" ref="B117">INDEX(Data_DBD!$B:$B,$A117)</f>
        <v>28</v>
      </c>
      <c r="C117" s="30">
        <f ca="1" t="array" ref="C117">INDEX(Data_DBD!$C:$C,$A117)</f>
        <v>4</v>
      </c>
      <c r="D117" s="30">
        <f ca="1" t="array" ref="D117">INDEX(Data_DBD!$D:$D,$A117)</f>
        <v>14</v>
      </c>
      <c r="E117" s="30">
        <f ca="1" t="array" ref="E117">INDEX(Data_DBD!$E:$E,$A117)</f>
        <v>1</v>
      </c>
      <c r="F117" s="30">
        <f ca="1" t="array" ref="F117">INDEX(Data_DBD!$F:$F,$A117)</f>
        <v>2</v>
      </c>
      <c r="H117" s="30">
        <v>7</v>
      </c>
      <c r="I117" s="30">
        <v>12</v>
      </c>
      <c r="J117" s="30">
        <v>1</v>
      </c>
      <c r="K117" s="30">
        <v>12</v>
      </c>
      <c r="L117" s="30">
        <v>1</v>
      </c>
      <c r="M117" s="30">
        <v>2</v>
      </c>
    </row>
    <row r="118" spans="1:13">
      <c r="A118" s="30">
        <f ca="1" t="shared" si="1"/>
        <v>93</v>
      </c>
      <c r="B118" s="30">
        <f ca="1" t="array" ref="B118">INDEX(Data_DBD!$B:$B,$A118)</f>
        <v>65</v>
      </c>
      <c r="C118" s="30">
        <f ca="1" t="array" ref="C118">INDEX(Data_DBD!$C:$C,$A118)</f>
        <v>4</v>
      </c>
      <c r="D118" s="30">
        <f ca="1" t="array" ref="D118">INDEX(Data_DBD!$D:$D,$A118)</f>
        <v>18</v>
      </c>
      <c r="E118" s="30">
        <f ca="1" t="array" ref="E118">INDEX(Data_DBD!$E:$E,$A118)</f>
        <v>0</v>
      </c>
      <c r="F118" s="30">
        <f ca="1" t="array" ref="F118">INDEX(Data_DBD!$F:$F,$A118)</f>
        <v>3</v>
      </c>
      <c r="H118" s="30">
        <v>24</v>
      </c>
      <c r="I118" s="30">
        <v>60</v>
      </c>
      <c r="J118" s="30">
        <v>4</v>
      </c>
      <c r="K118" s="30">
        <v>14</v>
      </c>
      <c r="L118" s="30">
        <v>0</v>
      </c>
      <c r="M118" s="30">
        <v>2</v>
      </c>
    </row>
    <row r="119" spans="1:13">
      <c r="A119" s="30">
        <f ca="1" t="shared" si="1"/>
        <v>100</v>
      </c>
      <c r="B119" s="30">
        <f ca="1" t="array" ref="B119">INDEX(Data_DBD!$B:$B,$A119)</f>
        <v>19</v>
      </c>
      <c r="C119" s="30">
        <f ca="1" t="array" ref="C119">INDEX(Data_DBD!$C:$C,$A119)</f>
        <v>6</v>
      </c>
      <c r="D119" s="30">
        <f ca="1" t="array" ref="D119">INDEX(Data_DBD!$D:$D,$A119)</f>
        <v>18</v>
      </c>
      <c r="E119" s="30">
        <f ca="1" t="array" ref="E119">INDEX(Data_DBD!$E:$E,$A119)</f>
        <v>0</v>
      </c>
      <c r="F119" s="30">
        <f ca="1" t="array" ref="F119">INDEX(Data_DBD!$F:$F,$A119)</f>
        <v>3</v>
      </c>
      <c r="H119" s="30">
        <v>12</v>
      </c>
      <c r="I119" s="30">
        <v>23</v>
      </c>
      <c r="J119" s="30">
        <v>3</v>
      </c>
      <c r="K119" s="30">
        <v>12</v>
      </c>
      <c r="L119" s="30">
        <v>0</v>
      </c>
      <c r="M119" s="30">
        <v>2</v>
      </c>
    </row>
    <row r="120" spans="1:13">
      <c r="A120" s="30">
        <f ca="1" t="shared" si="1"/>
        <v>148</v>
      </c>
      <c r="B120" s="30">
        <f ca="1" t="array" ref="B120">INDEX(Data_DBD!$B:$B,$A120)</f>
        <v>55</v>
      </c>
      <c r="C120" s="30">
        <f ca="1" t="array" ref="C120">INDEX(Data_DBD!$C:$C,$A120)</f>
        <v>3</v>
      </c>
      <c r="D120" s="30">
        <f ca="1" t="array" ref="D120">INDEX(Data_DBD!$D:$D,$A120)</f>
        <v>21</v>
      </c>
      <c r="E120" s="30">
        <f ca="1" t="array" ref="E120">INDEX(Data_DBD!$E:$E,$A120)</f>
        <v>1</v>
      </c>
      <c r="F120" s="30">
        <f ca="1" t="array" ref="F120">INDEX(Data_DBD!$F:$F,$A120)</f>
        <v>3</v>
      </c>
      <c r="H120" s="30">
        <v>49</v>
      </c>
      <c r="I120" s="30">
        <v>64</v>
      </c>
      <c r="J120" s="30">
        <v>5</v>
      </c>
      <c r="K120" s="30">
        <v>13</v>
      </c>
      <c r="L120" s="30">
        <v>0</v>
      </c>
      <c r="M120" s="30">
        <v>2</v>
      </c>
    </row>
    <row r="121" spans="1:13">
      <c r="A121" s="30">
        <f ca="1" t="shared" si="1"/>
        <v>14</v>
      </c>
      <c r="B121" s="30">
        <f ca="1" t="array" ref="B121">INDEX(Data_DBD!$B:$B,$A121)</f>
        <v>49</v>
      </c>
      <c r="C121" s="30">
        <f ca="1" t="array" ref="C121">INDEX(Data_DBD!$C:$C,$A121)</f>
        <v>4</v>
      </c>
      <c r="D121" s="30">
        <f ca="1" t="array" ref="D121">INDEX(Data_DBD!$D:$D,$A121)</f>
        <v>7</v>
      </c>
      <c r="E121" s="30">
        <f ca="1" t="array" ref="E121">INDEX(Data_DBD!$E:$E,$A121)</f>
        <v>1</v>
      </c>
      <c r="F121" s="30">
        <f ca="1" t="array" ref="F121">INDEX(Data_DBD!$F:$F,$A121)</f>
        <v>1</v>
      </c>
      <c r="H121" s="30">
        <v>50</v>
      </c>
      <c r="I121" s="30">
        <v>19</v>
      </c>
      <c r="J121" s="30">
        <v>5</v>
      </c>
      <c r="K121" s="30">
        <v>13</v>
      </c>
      <c r="L121" s="30">
        <v>0</v>
      </c>
      <c r="M121" s="30">
        <v>2</v>
      </c>
    </row>
    <row r="122" spans="1:13">
      <c r="A122" s="30">
        <f ca="1" t="shared" si="1"/>
        <v>146</v>
      </c>
      <c r="B122" s="30">
        <f ca="1" t="array" ref="B122">INDEX(Data_DBD!$B:$B,$A122)</f>
        <v>34</v>
      </c>
      <c r="C122" s="30">
        <f ca="1" t="array" ref="C122">INDEX(Data_DBD!$C:$C,$A122)</f>
        <v>2</v>
      </c>
      <c r="D122" s="30">
        <f ca="1" t="array" ref="D122">INDEX(Data_DBD!$D:$D,$A122)</f>
        <v>21</v>
      </c>
      <c r="E122" s="30">
        <f ca="1" t="array" ref="E122">INDEX(Data_DBD!$E:$E,$A122)</f>
        <v>1</v>
      </c>
      <c r="F122" s="30">
        <f ca="1" t="array" ref="F122">INDEX(Data_DBD!$F:$F,$A122)</f>
        <v>3</v>
      </c>
      <c r="H122" s="30">
        <v>44</v>
      </c>
      <c r="I122" s="30">
        <v>28</v>
      </c>
      <c r="J122" s="30">
        <v>5</v>
      </c>
      <c r="K122" s="30">
        <v>13</v>
      </c>
      <c r="L122" s="30">
        <v>1</v>
      </c>
      <c r="M122" s="30">
        <v>2</v>
      </c>
    </row>
    <row r="123" spans="1:13">
      <c r="A123" s="30">
        <f ca="1" t="shared" si="1"/>
        <v>83</v>
      </c>
      <c r="B123" s="30">
        <f ca="1" t="array" ref="B123">INDEX(Data_DBD!$B:$B,$A123)</f>
        <v>50</v>
      </c>
      <c r="C123" s="30">
        <f ca="1" t="array" ref="C123">INDEX(Data_DBD!$C:$C,$A123)</f>
        <v>3</v>
      </c>
      <c r="D123" s="30">
        <f ca="1" t="array" ref="D123">INDEX(Data_DBD!$D:$D,$A123)</f>
        <v>13</v>
      </c>
      <c r="E123" s="30">
        <f ca="1" t="array" ref="E123">INDEX(Data_DBD!$E:$E,$A123)</f>
        <v>0</v>
      </c>
      <c r="F123" s="30">
        <f ca="1" t="array" ref="F123">INDEX(Data_DBD!$F:$F,$A123)</f>
        <v>2</v>
      </c>
      <c r="H123" s="30">
        <v>9</v>
      </c>
      <c r="I123" s="30">
        <v>16</v>
      </c>
      <c r="J123" s="30">
        <v>6</v>
      </c>
      <c r="K123" s="30">
        <v>12</v>
      </c>
      <c r="L123" s="30">
        <v>1</v>
      </c>
      <c r="M123" s="30">
        <v>2</v>
      </c>
    </row>
    <row r="124" spans="1:13">
      <c r="A124" s="30">
        <f ca="1" t="shared" si="1"/>
        <v>72</v>
      </c>
      <c r="B124" s="30">
        <f ca="1" t="array" ref="B124">INDEX(Data_DBD!$B:$B,$A124)</f>
        <v>3</v>
      </c>
      <c r="C124" s="30">
        <f ca="1" t="array" ref="C124">INDEX(Data_DBD!$C:$C,$A124)</f>
        <v>5</v>
      </c>
      <c r="D124" s="30">
        <f ca="1" t="array" ref="D124">INDEX(Data_DBD!$D:$D,$A124)</f>
        <v>10</v>
      </c>
      <c r="E124" s="30">
        <f ca="1" t="array" ref="E124">INDEX(Data_DBD!$E:$E,$A124)</f>
        <v>1</v>
      </c>
      <c r="F124" s="30">
        <f ca="1" t="array" ref="F124">INDEX(Data_DBD!$F:$F,$A124)</f>
        <v>2</v>
      </c>
      <c r="H124" s="30">
        <v>19</v>
      </c>
      <c r="I124" s="30">
        <v>8</v>
      </c>
      <c r="J124" s="30">
        <v>4</v>
      </c>
      <c r="K124" s="30">
        <v>7</v>
      </c>
      <c r="L124" s="30">
        <v>0</v>
      </c>
      <c r="M124" s="30">
        <v>1</v>
      </c>
    </row>
    <row r="125" spans="1:13">
      <c r="A125" s="30">
        <f ca="1" t="shared" si="1"/>
        <v>90</v>
      </c>
      <c r="B125" s="30">
        <f ca="1" t="array" ref="B125">INDEX(Data_DBD!$B:$B,$A125)</f>
        <v>47</v>
      </c>
      <c r="C125" s="30">
        <f ca="1" t="array" ref="C125">INDEX(Data_DBD!$C:$C,$A125)</f>
        <v>3</v>
      </c>
      <c r="D125" s="30">
        <f ca="1" t="array" ref="D125">INDEX(Data_DBD!$D:$D,$A125)</f>
        <v>18</v>
      </c>
      <c r="E125" s="30">
        <f ca="1" t="array" ref="E125">INDEX(Data_DBD!$E:$E,$A125)</f>
        <v>0</v>
      </c>
      <c r="F125" s="30">
        <f ca="1" t="array" ref="F125">INDEX(Data_DBD!$F:$F,$A125)</f>
        <v>3</v>
      </c>
      <c r="H125" s="30">
        <v>141</v>
      </c>
      <c r="I125" s="30">
        <v>36</v>
      </c>
      <c r="J125" s="30">
        <v>2</v>
      </c>
      <c r="K125" s="30">
        <v>21</v>
      </c>
      <c r="L125" s="30">
        <v>0</v>
      </c>
      <c r="M125" s="30">
        <v>3</v>
      </c>
    </row>
    <row r="126" spans="1:13">
      <c r="A126" s="30">
        <f ca="1" t="shared" si="1"/>
        <v>117</v>
      </c>
      <c r="B126" s="30">
        <f ca="1" t="array" ref="B126">INDEX(Data_DBD!$B:$B,$A126)</f>
        <v>49</v>
      </c>
      <c r="C126" s="30">
        <f ca="1" t="array" ref="C126">INDEX(Data_DBD!$C:$C,$A126)</f>
        <v>4</v>
      </c>
      <c r="D126" s="30">
        <f ca="1" t="array" ref="D126">INDEX(Data_DBD!$D:$D,$A126)</f>
        <v>33</v>
      </c>
      <c r="E126" s="30">
        <f ca="1" t="array" ref="E126">INDEX(Data_DBD!$E:$E,$A126)</f>
        <v>1</v>
      </c>
      <c r="F126" s="30">
        <f ca="1" t="array" ref="F126">INDEX(Data_DBD!$F:$F,$A126)</f>
        <v>3</v>
      </c>
      <c r="H126" s="30">
        <v>55</v>
      </c>
      <c r="I126" s="30">
        <v>7</v>
      </c>
      <c r="J126" s="30">
        <v>4</v>
      </c>
      <c r="K126" s="30">
        <v>15</v>
      </c>
      <c r="L126" s="30">
        <v>1</v>
      </c>
      <c r="M126" s="30">
        <v>2</v>
      </c>
    </row>
    <row r="127" spans="1:13">
      <c r="A127" s="30">
        <f ca="1" t="shared" si="1"/>
        <v>144</v>
      </c>
      <c r="B127" s="30">
        <f ca="1" t="array" ref="B127">INDEX(Data_DBD!$B:$B,$A127)</f>
        <v>61</v>
      </c>
      <c r="C127" s="30">
        <f ca="1" t="array" ref="C127">INDEX(Data_DBD!$C:$C,$A127)</f>
        <v>4</v>
      </c>
      <c r="D127" s="30">
        <f ca="1" t="array" ref="D127">INDEX(Data_DBD!$D:$D,$A127)</f>
        <v>21</v>
      </c>
      <c r="E127" s="30">
        <f ca="1" t="array" ref="E127">INDEX(Data_DBD!$E:$E,$A127)</f>
        <v>1</v>
      </c>
      <c r="F127" s="30">
        <f ca="1" t="array" ref="F127">INDEX(Data_DBD!$F:$F,$A127)</f>
        <v>3</v>
      </c>
      <c r="H127" s="30">
        <v>94</v>
      </c>
      <c r="I127" s="30">
        <v>12</v>
      </c>
      <c r="J127" s="30">
        <v>4</v>
      </c>
      <c r="K127" s="30">
        <v>18</v>
      </c>
      <c r="L127" s="30">
        <v>0</v>
      </c>
      <c r="M127" s="30">
        <v>3</v>
      </c>
    </row>
    <row r="128" spans="1:13">
      <c r="A128" s="30">
        <f ca="1" t="shared" si="1"/>
        <v>148</v>
      </c>
      <c r="B128" s="30">
        <f ca="1" t="array" ref="B128">INDEX(Data_DBD!$B:$B,$A128)</f>
        <v>55</v>
      </c>
      <c r="C128" s="30">
        <f ca="1" t="array" ref="C128">INDEX(Data_DBD!$C:$C,$A128)</f>
        <v>3</v>
      </c>
      <c r="D128" s="30">
        <f ca="1" t="array" ref="D128">INDEX(Data_DBD!$D:$D,$A128)</f>
        <v>21</v>
      </c>
      <c r="E128" s="30">
        <f ca="1" t="array" ref="E128">INDEX(Data_DBD!$E:$E,$A128)</f>
        <v>1</v>
      </c>
      <c r="F128" s="30">
        <f ca="1" t="array" ref="F128">INDEX(Data_DBD!$F:$F,$A128)</f>
        <v>3</v>
      </c>
      <c r="H128" s="30">
        <v>141</v>
      </c>
      <c r="I128" s="30">
        <v>36</v>
      </c>
      <c r="J128" s="30">
        <v>2</v>
      </c>
      <c r="K128" s="30">
        <v>21</v>
      </c>
      <c r="L128" s="30">
        <v>0</v>
      </c>
      <c r="M128" s="30">
        <v>3</v>
      </c>
    </row>
    <row r="129" spans="1:13">
      <c r="A129" s="30">
        <f ca="1" t="shared" si="1"/>
        <v>27</v>
      </c>
      <c r="B129" s="30">
        <f ca="1" t="array" ref="B129">INDEX(Data_DBD!$B:$B,$A129)</f>
        <v>37</v>
      </c>
      <c r="C129" s="30">
        <f ca="1" t="array" ref="C129">INDEX(Data_DBD!$C:$C,$A129)</f>
        <v>4</v>
      </c>
      <c r="D129" s="30">
        <f ca="1" t="array" ref="D129">INDEX(Data_DBD!$D:$D,$A129)</f>
        <v>14</v>
      </c>
      <c r="E129" s="30">
        <f ca="1" t="array" ref="E129">INDEX(Data_DBD!$E:$E,$A129)</f>
        <v>1</v>
      </c>
      <c r="F129" s="30">
        <f ca="1" t="array" ref="F129">INDEX(Data_DBD!$F:$F,$A129)</f>
        <v>2</v>
      </c>
      <c r="H129" s="30">
        <v>110</v>
      </c>
      <c r="I129" s="30">
        <v>42</v>
      </c>
      <c r="J129" s="30">
        <v>2</v>
      </c>
      <c r="K129" s="30">
        <v>33</v>
      </c>
      <c r="L129" s="30">
        <v>1</v>
      </c>
      <c r="M129" s="30">
        <v>3</v>
      </c>
    </row>
    <row r="130" spans="1:13">
      <c r="A130" s="30">
        <f ca="1" t="shared" si="1"/>
        <v>33</v>
      </c>
      <c r="B130" s="30">
        <f ca="1" t="array" ref="B130">INDEX(Data_DBD!$B:$B,$A130)</f>
        <v>19</v>
      </c>
      <c r="C130" s="30">
        <f ca="1" t="array" ref="C130">INDEX(Data_DBD!$C:$C,$A130)</f>
        <v>4</v>
      </c>
      <c r="D130" s="30">
        <f ca="1" t="array" ref="D130">INDEX(Data_DBD!$D:$D,$A130)</f>
        <v>14</v>
      </c>
      <c r="E130" s="30">
        <f ca="1" t="array" ref="E130">INDEX(Data_DBD!$E:$E,$A130)</f>
        <v>1</v>
      </c>
      <c r="F130" s="30">
        <f ca="1" t="array" ref="F130">INDEX(Data_DBD!$F:$F,$A130)</f>
        <v>2</v>
      </c>
      <c r="H130" s="30">
        <v>22</v>
      </c>
      <c r="I130" s="30">
        <v>6</v>
      </c>
      <c r="J130" s="30">
        <v>3</v>
      </c>
      <c r="K130" s="30">
        <v>14</v>
      </c>
      <c r="L130" s="30">
        <v>0</v>
      </c>
      <c r="M130" s="30">
        <v>2</v>
      </c>
    </row>
    <row r="131" spans="1:13">
      <c r="A131" s="30">
        <f ca="1" t="shared" ref="A131:A164" si="2">RANDBETWEEN(2,164)</f>
        <v>147</v>
      </c>
      <c r="B131" s="30">
        <f ca="1" t="array" ref="B131">INDEX(Data_DBD!$B:$B,$A131)</f>
        <v>66</v>
      </c>
      <c r="C131" s="30">
        <f ca="1" t="array" ref="C131">INDEX(Data_DBD!$C:$C,$A131)</f>
        <v>10</v>
      </c>
      <c r="D131" s="30">
        <f ca="1" t="array" ref="D131">INDEX(Data_DBD!$D:$D,$A131)</f>
        <v>21</v>
      </c>
      <c r="E131" s="30">
        <f ca="1" t="array" ref="E131">INDEX(Data_DBD!$E:$E,$A131)</f>
        <v>1</v>
      </c>
      <c r="F131" s="30">
        <f ca="1" t="array" ref="F131">INDEX(Data_DBD!$F:$F,$A131)</f>
        <v>3</v>
      </c>
      <c r="H131" s="30">
        <v>5</v>
      </c>
      <c r="I131" s="30">
        <v>18</v>
      </c>
      <c r="J131" s="30">
        <v>2</v>
      </c>
      <c r="K131" s="30">
        <v>12</v>
      </c>
      <c r="L131" s="30">
        <v>1</v>
      </c>
      <c r="M131" s="30">
        <v>2</v>
      </c>
    </row>
    <row r="132" spans="1:13">
      <c r="A132" s="30">
        <f ca="1" t="shared" si="2"/>
        <v>134</v>
      </c>
      <c r="B132" s="30">
        <f ca="1" t="array" ref="B132">INDEX(Data_DBD!$B:$B,$A132)</f>
        <v>4</v>
      </c>
      <c r="C132" s="30">
        <f ca="1" t="array" ref="C132">INDEX(Data_DBD!$C:$C,$A132)</f>
        <v>2</v>
      </c>
      <c r="D132" s="30">
        <f ca="1" t="array" ref="D132">INDEX(Data_DBD!$D:$D,$A132)</f>
        <v>33</v>
      </c>
      <c r="E132" s="30">
        <f ca="1" t="array" ref="E132">INDEX(Data_DBD!$E:$E,$A132)</f>
        <v>1</v>
      </c>
      <c r="F132" s="30">
        <f ca="1" t="array" ref="F132">INDEX(Data_DBD!$F:$F,$A132)</f>
        <v>3</v>
      </c>
      <c r="H132" s="30">
        <v>29</v>
      </c>
      <c r="I132" s="30">
        <v>19</v>
      </c>
      <c r="J132" s="30">
        <v>2</v>
      </c>
      <c r="K132" s="30">
        <v>14</v>
      </c>
      <c r="L132" s="30">
        <v>1</v>
      </c>
      <c r="M132" s="30">
        <v>2</v>
      </c>
    </row>
    <row r="133" spans="1:13">
      <c r="A133" s="30">
        <f ca="1" t="shared" si="2"/>
        <v>24</v>
      </c>
      <c r="B133" s="30">
        <f ca="1" t="array" ref="B133">INDEX(Data_DBD!$B:$B,$A133)</f>
        <v>60</v>
      </c>
      <c r="C133" s="30">
        <f ca="1" t="array" ref="C133">INDEX(Data_DBD!$C:$C,$A133)</f>
        <v>4</v>
      </c>
      <c r="D133" s="30">
        <f ca="1" t="array" ref="D133">INDEX(Data_DBD!$D:$D,$A133)</f>
        <v>14</v>
      </c>
      <c r="E133" s="30">
        <f ca="1" t="array" ref="E133">INDEX(Data_DBD!$E:$E,$A133)</f>
        <v>0</v>
      </c>
      <c r="F133" s="30">
        <f ca="1" t="array" ref="F133">INDEX(Data_DBD!$F:$F,$A133)</f>
        <v>2</v>
      </c>
      <c r="H133" s="30">
        <v>134</v>
      </c>
      <c r="I133" s="30">
        <v>4</v>
      </c>
      <c r="J133" s="30">
        <v>2</v>
      </c>
      <c r="K133" s="30">
        <v>33</v>
      </c>
      <c r="L133" s="30">
        <v>1</v>
      </c>
      <c r="M133" s="30">
        <v>3</v>
      </c>
    </row>
    <row r="134" spans="1:13">
      <c r="A134" s="30">
        <f ca="1" t="shared" si="2"/>
        <v>93</v>
      </c>
      <c r="B134" s="30">
        <f ca="1" t="array" ref="B134">INDEX(Data_DBD!$B:$B,$A134)</f>
        <v>65</v>
      </c>
      <c r="C134" s="30">
        <f ca="1" t="array" ref="C134">INDEX(Data_DBD!$C:$C,$A134)</f>
        <v>4</v>
      </c>
      <c r="D134" s="30">
        <f ca="1" t="array" ref="D134">INDEX(Data_DBD!$D:$D,$A134)</f>
        <v>18</v>
      </c>
      <c r="E134" s="30">
        <f ca="1" t="array" ref="E134">INDEX(Data_DBD!$E:$E,$A134)</f>
        <v>0</v>
      </c>
      <c r="F134" s="30">
        <f ca="1" t="array" ref="F134">INDEX(Data_DBD!$F:$F,$A134)</f>
        <v>3</v>
      </c>
      <c r="H134" s="30">
        <v>150</v>
      </c>
      <c r="I134" s="30">
        <v>61</v>
      </c>
      <c r="J134" s="30">
        <v>5</v>
      </c>
      <c r="K134" s="30">
        <v>21</v>
      </c>
      <c r="L134" s="30">
        <v>1</v>
      </c>
      <c r="M134" s="30">
        <v>3</v>
      </c>
    </row>
    <row r="135" spans="1:13">
      <c r="A135" s="30">
        <f ca="1" t="shared" si="2"/>
        <v>14</v>
      </c>
      <c r="B135" s="30">
        <f ca="1" t="array" ref="B135">INDEX(Data_DBD!$B:$B,$A135)</f>
        <v>49</v>
      </c>
      <c r="C135" s="30">
        <f ca="1" t="array" ref="C135">INDEX(Data_DBD!$C:$C,$A135)</f>
        <v>4</v>
      </c>
      <c r="D135" s="30">
        <f ca="1" t="array" ref="D135">INDEX(Data_DBD!$D:$D,$A135)</f>
        <v>7</v>
      </c>
      <c r="E135" s="30">
        <f ca="1" t="array" ref="E135">INDEX(Data_DBD!$E:$E,$A135)</f>
        <v>1</v>
      </c>
      <c r="F135" s="30">
        <f ca="1" t="array" ref="F135">INDEX(Data_DBD!$F:$F,$A135)</f>
        <v>1</v>
      </c>
      <c r="H135" s="30">
        <v>43</v>
      </c>
      <c r="I135" s="30">
        <v>15</v>
      </c>
      <c r="J135" s="30">
        <v>4</v>
      </c>
      <c r="K135" s="30">
        <v>13</v>
      </c>
      <c r="L135" s="30">
        <v>0</v>
      </c>
      <c r="M135" s="30">
        <v>2</v>
      </c>
    </row>
    <row r="136" spans="1:13">
      <c r="A136" s="30">
        <f ca="1" t="shared" si="2"/>
        <v>50</v>
      </c>
      <c r="B136" s="30">
        <f ca="1" t="array" ref="B136">INDEX(Data_DBD!$B:$B,$A136)</f>
        <v>19</v>
      </c>
      <c r="C136" s="30">
        <f ca="1" t="array" ref="C136">INDEX(Data_DBD!$C:$C,$A136)</f>
        <v>5</v>
      </c>
      <c r="D136" s="30">
        <f ca="1" t="array" ref="D136">INDEX(Data_DBD!$D:$D,$A136)</f>
        <v>13</v>
      </c>
      <c r="E136" s="30">
        <f ca="1" t="array" ref="E136">INDEX(Data_DBD!$E:$E,$A136)</f>
        <v>0</v>
      </c>
      <c r="F136" s="30">
        <f ca="1" t="array" ref="F136">INDEX(Data_DBD!$F:$F,$A136)</f>
        <v>2</v>
      </c>
      <c r="H136" s="30">
        <v>95</v>
      </c>
      <c r="I136" s="30">
        <v>11</v>
      </c>
      <c r="J136" s="30">
        <v>3</v>
      </c>
      <c r="K136" s="30">
        <v>18</v>
      </c>
      <c r="L136" s="30">
        <v>1</v>
      </c>
      <c r="M136" s="30">
        <v>3</v>
      </c>
    </row>
    <row r="137" spans="1:13">
      <c r="A137" s="30">
        <f ca="1" t="shared" si="2"/>
        <v>88</v>
      </c>
      <c r="B137" s="30">
        <f ca="1" t="array" ref="B137">INDEX(Data_DBD!$B:$B,$A137)</f>
        <v>20</v>
      </c>
      <c r="C137" s="30">
        <f ca="1" t="array" ref="C137">INDEX(Data_DBD!$C:$C,$A137)</f>
        <v>4</v>
      </c>
      <c r="D137" s="30">
        <f ca="1" t="array" ref="D137">INDEX(Data_DBD!$D:$D,$A137)</f>
        <v>13</v>
      </c>
      <c r="E137" s="30">
        <f ca="1" t="array" ref="E137">INDEX(Data_DBD!$E:$E,$A137)</f>
        <v>1</v>
      </c>
      <c r="F137" s="30">
        <f ca="1" t="array" ref="F137">INDEX(Data_DBD!$F:$F,$A137)</f>
        <v>2</v>
      </c>
      <c r="H137" s="30">
        <v>55</v>
      </c>
      <c r="I137" s="30">
        <v>7</v>
      </c>
      <c r="J137" s="30">
        <v>4</v>
      </c>
      <c r="K137" s="30">
        <v>15</v>
      </c>
      <c r="L137" s="30">
        <v>1</v>
      </c>
      <c r="M137" s="30">
        <v>2</v>
      </c>
    </row>
    <row r="138" spans="1:13">
      <c r="A138" s="30">
        <f ca="1" t="shared" si="2"/>
        <v>36</v>
      </c>
      <c r="B138" s="30">
        <f ca="1" t="array" ref="B138">INDEX(Data_DBD!$B:$B,$A138)</f>
        <v>27</v>
      </c>
      <c r="C138" s="30">
        <f ca="1" t="array" ref="C138">INDEX(Data_DBD!$C:$C,$A138)</f>
        <v>1</v>
      </c>
      <c r="D138" s="30">
        <f ca="1" t="array" ref="D138">INDEX(Data_DBD!$D:$D,$A138)</f>
        <v>4</v>
      </c>
      <c r="E138" s="30">
        <f ca="1" t="array" ref="E138">INDEX(Data_DBD!$E:$E,$A138)</f>
        <v>1</v>
      </c>
      <c r="F138" s="30">
        <f ca="1" t="array" ref="F138">INDEX(Data_DBD!$F:$F,$A138)</f>
        <v>1</v>
      </c>
      <c r="H138" s="30">
        <v>118</v>
      </c>
      <c r="I138" s="30">
        <v>67</v>
      </c>
      <c r="J138" s="30">
        <v>4</v>
      </c>
      <c r="K138" s="30">
        <v>33</v>
      </c>
      <c r="L138" s="30">
        <v>1</v>
      </c>
      <c r="M138" s="30">
        <v>3</v>
      </c>
    </row>
    <row r="139" spans="1:13">
      <c r="A139" s="30">
        <f ca="1" t="shared" si="2"/>
        <v>40</v>
      </c>
      <c r="B139" s="30">
        <f ca="1" t="array" ref="B139">INDEX(Data_DBD!$B:$B,$A139)</f>
        <v>65</v>
      </c>
      <c r="C139" s="30">
        <f ca="1" t="array" ref="C139">INDEX(Data_DBD!$C:$C,$A139)</f>
        <v>3</v>
      </c>
      <c r="D139" s="30">
        <f ca="1" t="array" ref="D139">INDEX(Data_DBD!$D:$D,$A139)</f>
        <v>13</v>
      </c>
      <c r="E139" s="30">
        <f ca="1" t="array" ref="E139">INDEX(Data_DBD!$E:$E,$A139)</f>
        <v>1</v>
      </c>
      <c r="F139" s="30">
        <f ca="1" t="array" ref="F139">INDEX(Data_DBD!$F:$F,$A139)</f>
        <v>2</v>
      </c>
      <c r="H139" s="30">
        <v>101</v>
      </c>
      <c r="I139" s="30">
        <v>42</v>
      </c>
      <c r="J139" s="30">
        <v>5</v>
      </c>
      <c r="K139" s="30">
        <v>18</v>
      </c>
      <c r="L139" s="30">
        <v>0</v>
      </c>
      <c r="M139" s="30">
        <v>3</v>
      </c>
    </row>
    <row r="140" spans="1:13">
      <c r="A140" s="30">
        <f ca="1" t="shared" si="2"/>
        <v>45</v>
      </c>
      <c r="B140" s="30">
        <f ca="1" t="array" ref="B140">INDEX(Data_DBD!$B:$B,$A140)</f>
        <v>75</v>
      </c>
      <c r="C140" s="30">
        <f ca="1" t="array" ref="C140">INDEX(Data_DBD!$C:$C,$A140)</f>
        <v>3</v>
      </c>
      <c r="D140" s="30">
        <f ca="1" t="array" ref="D140">INDEX(Data_DBD!$D:$D,$A140)</f>
        <v>13</v>
      </c>
      <c r="E140" s="30">
        <f ca="1" t="array" ref="E140">INDEX(Data_DBD!$E:$E,$A140)</f>
        <v>1</v>
      </c>
      <c r="F140" s="30">
        <f ca="1" t="array" ref="F140">INDEX(Data_DBD!$F:$F,$A140)</f>
        <v>2</v>
      </c>
      <c r="H140" s="30">
        <v>32</v>
      </c>
      <c r="I140" s="30">
        <v>54</v>
      </c>
      <c r="J140" s="30">
        <v>4</v>
      </c>
      <c r="K140" s="30">
        <v>14</v>
      </c>
      <c r="L140" s="30">
        <v>0</v>
      </c>
      <c r="M140" s="30">
        <v>2</v>
      </c>
    </row>
    <row r="141" spans="1:13">
      <c r="A141" s="30">
        <f ca="1" t="shared" si="2"/>
        <v>152</v>
      </c>
      <c r="B141" s="30">
        <f ca="1" t="array" ref="B141">INDEX(Data_DBD!$B:$B,$A141)</f>
        <v>47</v>
      </c>
      <c r="C141" s="30">
        <f ca="1" t="array" ref="C141">INDEX(Data_DBD!$C:$C,$A141)</f>
        <v>3</v>
      </c>
      <c r="D141" s="30">
        <f ca="1" t="array" ref="D141">INDEX(Data_DBD!$D:$D,$A141)</f>
        <v>21</v>
      </c>
      <c r="E141" s="30">
        <f ca="1" t="array" ref="E141">INDEX(Data_DBD!$E:$E,$A141)</f>
        <v>1</v>
      </c>
      <c r="F141" s="30">
        <f ca="1" t="array" ref="F141">INDEX(Data_DBD!$F:$F,$A141)</f>
        <v>3</v>
      </c>
      <c r="H141" s="30">
        <v>154</v>
      </c>
      <c r="I141" s="30">
        <v>18</v>
      </c>
      <c r="J141" s="30">
        <v>5</v>
      </c>
      <c r="K141" s="30">
        <v>21</v>
      </c>
      <c r="L141" s="30">
        <v>1</v>
      </c>
      <c r="M141" s="30">
        <v>3</v>
      </c>
    </row>
    <row r="142" spans="1:13">
      <c r="A142" s="30">
        <f ca="1" t="shared" si="2"/>
        <v>33</v>
      </c>
      <c r="B142" s="30">
        <f ca="1" t="array" ref="B142">INDEX(Data_DBD!$B:$B,$A142)</f>
        <v>19</v>
      </c>
      <c r="C142" s="30">
        <f ca="1" t="array" ref="C142">INDEX(Data_DBD!$C:$C,$A142)</f>
        <v>4</v>
      </c>
      <c r="D142" s="30">
        <f ca="1" t="array" ref="D142">INDEX(Data_DBD!$D:$D,$A142)</f>
        <v>14</v>
      </c>
      <c r="E142" s="30">
        <f ca="1" t="array" ref="E142">INDEX(Data_DBD!$E:$E,$A142)</f>
        <v>1</v>
      </c>
      <c r="F142" s="30">
        <f ca="1" t="array" ref="F142">INDEX(Data_DBD!$F:$F,$A142)</f>
        <v>2</v>
      </c>
      <c r="H142" s="30">
        <v>120</v>
      </c>
      <c r="I142" s="30">
        <v>26</v>
      </c>
      <c r="J142" s="30">
        <v>4</v>
      </c>
      <c r="K142" s="30">
        <v>33</v>
      </c>
      <c r="L142" s="30">
        <v>1</v>
      </c>
      <c r="M142" s="30">
        <v>3</v>
      </c>
    </row>
    <row r="143" spans="1:13">
      <c r="A143" s="30">
        <f ca="1" t="shared" si="2"/>
        <v>134</v>
      </c>
      <c r="B143" s="30">
        <f ca="1" t="array" ref="B143">INDEX(Data_DBD!$B:$B,$A143)</f>
        <v>4</v>
      </c>
      <c r="C143" s="30">
        <f ca="1" t="array" ref="C143">INDEX(Data_DBD!$C:$C,$A143)</f>
        <v>2</v>
      </c>
      <c r="D143" s="30">
        <f ca="1" t="array" ref="D143">INDEX(Data_DBD!$D:$D,$A143)</f>
        <v>33</v>
      </c>
      <c r="E143" s="30">
        <f ca="1" t="array" ref="E143">INDEX(Data_DBD!$E:$E,$A143)</f>
        <v>1</v>
      </c>
      <c r="F143" s="30">
        <f ca="1" t="array" ref="F143">INDEX(Data_DBD!$F:$F,$A143)</f>
        <v>3</v>
      </c>
      <c r="H143" s="30">
        <v>142</v>
      </c>
      <c r="I143" s="30">
        <v>39</v>
      </c>
      <c r="J143" s="30">
        <v>2</v>
      </c>
      <c r="K143" s="30">
        <v>21</v>
      </c>
      <c r="L143" s="30">
        <v>1</v>
      </c>
      <c r="M143" s="30">
        <v>3</v>
      </c>
    </row>
    <row r="144" spans="1:13">
      <c r="A144" s="30">
        <f ca="1" t="shared" si="2"/>
        <v>155</v>
      </c>
      <c r="B144" s="30">
        <f ca="1" t="array" ref="B144">INDEX(Data_DBD!$B:$B,$A144)</f>
        <v>19</v>
      </c>
      <c r="C144" s="30">
        <f ca="1" t="array" ref="C144">INDEX(Data_DBD!$C:$C,$A144)</f>
        <v>5</v>
      </c>
      <c r="D144" s="30">
        <f ca="1" t="array" ref="D144">INDEX(Data_DBD!$D:$D,$A144)</f>
        <v>21</v>
      </c>
      <c r="E144" s="30">
        <f ca="1" t="array" ref="E144">INDEX(Data_DBD!$E:$E,$A144)</f>
        <v>1</v>
      </c>
      <c r="F144" s="30">
        <f ca="1" t="array" ref="F144">INDEX(Data_DBD!$F:$F,$A144)</f>
        <v>3</v>
      </c>
      <c r="H144" s="30">
        <v>114</v>
      </c>
      <c r="I144" s="30">
        <v>14</v>
      </c>
      <c r="J144" s="30">
        <v>2</v>
      </c>
      <c r="K144" s="30">
        <v>33</v>
      </c>
      <c r="L144" s="30">
        <v>1</v>
      </c>
      <c r="M144" s="30">
        <v>3</v>
      </c>
    </row>
    <row r="145" spans="1:13">
      <c r="A145" s="30">
        <f ca="1" t="shared" si="2"/>
        <v>135</v>
      </c>
      <c r="B145" s="30">
        <f ca="1" t="array" ref="B145">INDEX(Data_DBD!$B:$B,$A145)</f>
        <v>10</v>
      </c>
      <c r="C145" s="30">
        <f ca="1" t="array" ref="C145">INDEX(Data_DBD!$C:$C,$A145)</f>
        <v>2</v>
      </c>
      <c r="D145" s="30">
        <f ca="1" t="array" ref="D145">INDEX(Data_DBD!$D:$D,$A145)</f>
        <v>33</v>
      </c>
      <c r="E145" s="30">
        <f ca="1" t="array" ref="E145">INDEX(Data_DBD!$E:$E,$A145)</f>
        <v>0</v>
      </c>
      <c r="F145" s="30">
        <f ca="1" t="array" ref="F145">INDEX(Data_DBD!$F:$F,$A145)</f>
        <v>3</v>
      </c>
      <c r="H145" s="30">
        <v>141</v>
      </c>
      <c r="I145" s="30">
        <v>36</v>
      </c>
      <c r="J145" s="30">
        <v>2</v>
      </c>
      <c r="K145" s="30">
        <v>21</v>
      </c>
      <c r="L145" s="30">
        <v>0</v>
      </c>
      <c r="M145" s="30">
        <v>3</v>
      </c>
    </row>
    <row r="146" spans="1:13">
      <c r="A146" s="30">
        <f ca="1" t="shared" si="2"/>
        <v>163</v>
      </c>
      <c r="B146" s="30">
        <f ca="1" t="array" ref="B146">INDEX(Data_DBD!$B:$B,$A146)</f>
        <v>34</v>
      </c>
      <c r="C146" s="30">
        <f ca="1" t="array" ref="C146">INDEX(Data_DBD!$C:$C,$A146)</f>
        <v>4</v>
      </c>
      <c r="D146" s="30">
        <f ca="1" t="array" ref="D146">INDEX(Data_DBD!$D:$D,$A146)</f>
        <v>3</v>
      </c>
      <c r="E146" s="30">
        <f ca="1" t="array" ref="E146">INDEX(Data_DBD!$E:$E,$A146)</f>
        <v>1</v>
      </c>
      <c r="F146" s="30">
        <f ca="1" t="array" ref="F146">INDEX(Data_DBD!$F:$F,$A146)</f>
        <v>1</v>
      </c>
      <c r="H146" s="30">
        <v>89</v>
      </c>
      <c r="I146" s="30">
        <v>32</v>
      </c>
      <c r="J146" s="30">
        <v>4</v>
      </c>
      <c r="K146" s="30">
        <v>13</v>
      </c>
      <c r="L146" s="30">
        <v>0</v>
      </c>
      <c r="M146" s="30">
        <v>2</v>
      </c>
    </row>
    <row r="147" spans="1:13">
      <c r="A147" s="30">
        <f ca="1" t="shared" si="2"/>
        <v>158</v>
      </c>
      <c r="B147" s="30">
        <f ca="1" t="array" ref="B147">INDEX(Data_DBD!$B:$B,$A147)</f>
        <v>5</v>
      </c>
      <c r="C147" s="30">
        <f ca="1" t="array" ref="C147">INDEX(Data_DBD!$C:$C,$A147)</f>
        <v>2</v>
      </c>
      <c r="D147" s="30">
        <f ca="1" t="array" ref="D147">INDEX(Data_DBD!$D:$D,$A147)</f>
        <v>21</v>
      </c>
      <c r="E147" s="30">
        <f ca="1" t="array" ref="E147">INDEX(Data_DBD!$E:$E,$A147)</f>
        <v>0</v>
      </c>
      <c r="F147" s="30">
        <f ca="1" t="array" ref="F147">INDEX(Data_DBD!$F:$F,$A147)</f>
        <v>3</v>
      </c>
      <c r="H147" s="30">
        <v>44</v>
      </c>
      <c r="I147" s="30">
        <v>28</v>
      </c>
      <c r="J147" s="30">
        <v>5</v>
      </c>
      <c r="K147" s="30">
        <v>13</v>
      </c>
      <c r="L147" s="30">
        <v>1</v>
      </c>
      <c r="M147" s="30">
        <v>2</v>
      </c>
    </row>
    <row r="148" spans="1:13">
      <c r="A148" s="30">
        <f ca="1" t="shared" si="2"/>
        <v>49</v>
      </c>
      <c r="B148" s="30">
        <f ca="1" t="array" ref="B148">INDEX(Data_DBD!$B:$B,$A148)</f>
        <v>64</v>
      </c>
      <c r="C148" s="30">
        <f ca="1" t="array" ref="C148">INDEX(Data_DBD!$C:$C,$A148)</f>
        <v>5</v>
      </c>
      <c r="D148" s="30">
        <f ca="1" t="array" ref="D148">INDEX(Data_DBD!$D:$D,$A148)</f>
        <v>13</v>
      </c>
      <c r="E148" s="30">
        <f ca="1" t="array" ref="E148">INDEX(Data_DBD!$E:$E,$A148)</f>
        <v>0</v>
      </c>
      <c r="F148" s="30">
        <f ca="1" t="array" ref="F148">INDEX(Data_DBD!$F:$F,$A148)</f>
        <v>2</v>
      </c>
      <c r="H148" s="30">
        <v>46</v>
      </c>
      <c r="I148" s="30">
        <v>62</v>
      </c>
      <c r="J148" s="30">
        <v>2</v>
      </c>
      <c r="K148" s="30">
        <v>13</v>
      </c>
      <c r="L148" s="30">
        <v>0</v>
      </c>
      <c r="M148" s="30">
        <v>2</v>
      </c>
    </row>
    <row r="149" spans="1:13">
      <c r="A149" s="30">
        <f ca="1" t="shared" si="2"/>
        <v>58</v>
      </c>
      <c r="B149" s="30">
        <f ca="1" t="array" ref="B149">INDEX(Data_DBD!$B:$B,$A149)</f>
        <v>17</v>
      </c>
      <c r="C149" s="30">
        <f ca="1" t="array" ref="C149">INDEX(Data_DBD!$C:$C,$A149)</f>
        <v>3</v>
      </c>
      <c r="D149" s="30">
        <f ca="1" t="array" ref="D149">INDEX(Data_DBD!$D:$D,$A149)</f>
        <v>15</v>
      </c>
      <c r="E149" s="30">
        <f ca="1" t="array" ref="E149">INDEX(Data_DBD!$E:$E,$A149)</f>
        <v>0</v>
      </c>
      <c r="F149" s="30">
        <f ca="1" t="array" ref="F149">INDEX(Data_DBD!$F:$F,$A149)</f>
        <v>2</v>
      </c>
      <c r="H149" s="30">
        <v>61</v>
      </c>
      <c r="I149" s="30">
        <v>29</v>
      </c>
      <c r="J149" s="30">
        <v>3</v>
      </c>
      <c r="K149" s="30">
        <v>15</v>
      </c>
      <c r="L149" s="30">
        <v>1</v>
      </c>
      <c r="M149" s="30">
        <v>2</v>
      </c>
    </row>
    <row r="150" spans="1:13">
      <c r="A150" s="30">
        <f ca="1" t="shared" si="2"/>
        <v>61</v>
      </c>
      <c r="B150" s="30">
        <f ca="1" t="array" ref="B150">INDEX(Data_DBD!$B:$B,$A150)</f>
        <v>29</v>
      </c>
      <c r="C150" s="30">
        <f ca="1" t="array" ref="C150">INDEX(Data_DBD!$C:$C,$A150)</f>
        <v>3</v>
      </c>
      <c r="D150" s="30">
        <f ca="1" t="array" ref="D150">INDEX(Data_DBD!$D:$D,$A150)</f>
        <v>15</v>
      </c>
      <c r="E150" s="30">
        <f ca="1" t="array" ref="E150">INDEX(Data_DBD!$E:$E,$A150)</f>
        <v>1</v>
      </c>
      <c r="F150" s="30">
        <f ca="1" t="array" ref="F150">INDEX(Data_DBD!$F:$F,$A150)</f>
        <v>2</v>
      </c>
      <c r="H150" s="30">
        <v>82</v>
      </c>
      <c r="I150" s="30">
        <v>28</v>
      </c>
      <c r="J150" s="30">
        <v>3</v>
      </c>
      <c r="K150" s="30">
        <v>13</v>
      </c>
      <c r="L150" s="30">
        <v>1</v>
      </c>
      <c r="M150" s="30">
        <v>2</v>
      </c>
    </row>
    <row r="151" spans="1:13">
      <c r="A151" s="30">
        <f ca="1" t="shared" si="2"/>
        <v>41</v>
      </c>
      <c r="B151" s="30">
        <f ca="1" t="array" ref="B151">INDEX(Data_DBD!$B:$B,$A151)</f>
        <v>8</v>
      </c>
      <c r="C151" s="30">
        <f ca="1" t="array" ref="C151">INDEX(Data_DBD!$C:$C,$A151)</f>
        <v>4</v>
      </c>
      <c r="D151" s="30">
        <f ca="1" t="array" ref="D151">INDEX(Data_DBD!$D:$D,$A151)</f>
        <v>13</v>
      </c>
      <c r="E151" s="30">
        <f ca="1" t="array" ref="E151">INDEX(Data_DBD!$E:$E,$A151)</f>
        <v>0</v>
      </c>
      <c r="F151" s="30">
        <f ca="1" t="array" ref="F151">INDEX(Data_DBD!$F:$F,$A151)</f>
        <v>2</v>
      </c>
      <c r="H151" s="30">
        <v>11</v>
      </c>
      <c r="I151" s="30">
        <v>24</v>
      </c>
      <c r="J151" s="30">
        <v>5</v>
      </c>
      <c r="K151" s="30">
        <v>12</v>
      </c>
      <c r="L151" s="30">
        <v>1</v>
      </c>
      <c r="M151" s="30">
        <v>2</v>
      </c>
    </row>
    <row r="152" spans="1:13">
      <c r="A152" s="30">
        <f ca="1" t="shared" si="2"/>
        <v>112</v>
      </c>
      <c r="B152" s="30">
        <f ca="1" t="array" ref="B152">INDEX(Data_DBD!$B:$B,$A152)</f>
        <v>61</v>
      </c>
      <c r="C152" s="30">
        <f ca="1" t="array" ref="C152">INDEX(Data_DBD!$C:$C,$A152)</f>
        <v>3</v>
      </c>
      <c r="D152" s="30">
        <f ca="1" t="array" ref="D152">INDEX(Data_DBD!$D:$D,$A152)</f>
        <v>33</v>
      </c>
      <c r="E152" s="30">
        <f ca="1" t="array" ref="E152">INDEX(Data_DBD!$E:$E,$A152)</f>
        <v>1</v>
      </c>
      <c r="F152" s="30">
        <f ca="1" t="array" ref="F152">INDEX(Data_DBD!$F:$F,$A152)</f>
        <v>3</v>
      </c>
      <c r="H152" s="30">
        <v>83</v>
      </c>
      <c r="I152" s="30">
        <v>50</v>
      </c>
      <c r="J152" s="30">
        <v>3</v>
      </c>
      <c r="K152" s="30">
        <v>13</v>
      </c>
      <c r="L152" s="30">
        <v>0</v>
      </c>
      <c r="M152" s="30">
        <v>2</v>
      </c>
    </row>
    <row r="153" spans="1:13">
      <c r="A153" s="30">
        <f ca="1" t="shared" si="2"/>
        <v>88</v>
      </c>
      <c r="B153" s="30">
        <f ca="1" t="array" ref="B153">INDEX(Data_DBD!$B:$B,$A153)</f>
        <v>20</v>
      </c>
      <c r="C153" s="30">
        <f ca="1" t="array" ref="C153">INDEX(Data_DBD!$C:$C,$A153)</f>
        <v>4</v>
      </c>
      <c r="D153" s="30">
        <f ca="1" t="array" ref="D153">INDEX(Data_DBD!$D:$D,$A153)</f>
        <v>13</v>
      </c>
      <c r="E153" s="30">
        <f ca="1" t="array" ref="E153">INDEX(Data_DBD!$E:$E,$A153)</f>
        <v>1</v>
      </c>
      <c r="F153" s="30">
        <f ca="1" t="array" ref="F153">INDEX(Data_DBD!$F:$F,$A153)</f>
        <v>2</v>
      </c>
      <c r="H153" s="30">
        <v>157</v>
      </c>
      <c r="I153" s="30">
        <v>15</v>
      </c>
      <c r="J153" s="30">
        <v>4</v>
      </c>
      <c r="K153" s="30">
        <v>21</v>
      </c>
      <c r="L153" s="30">
        <v>1</v>
      </c>
      <c r="M153" s="30">
        <v>3</v>
      </c>
    </row>
    <row r="154" spans="1:13">
      <c r="A154" s="30">
        <f ca="1" t="shared" si="2"/>
        <v>55</v>
      </c>
      <c r="B154" s="30">
        <f ca="1" t="array" ref="B154">INDEX(Data_DBD!$B:$B,$A154)</f>
        <v>7</v>
      </c>
      <c r="C154" s="30">
        <f ca="1" t="array" ref="C154">INDEX(Data_DBD!$C:$C,$A154)</f>
        <v>4</v>
      </c>
      <c r="D154" s="30">
        <f ca="1" t="array" ref="D154">INDEX(Data_DBD!$D:$D,$A154)</f>
        <v>15</v>
      </c>
      <c r="E154" s="30">
        <f ca="1" t="array" ref="E154">INDEX(Data_DBD!$E:$E,$A154)</f>
        <v>1</v>
      </c>
      <c r="F154" s="30">
        <f ca="1" t="array" ref="F154">INDEX(Data_DBD!$F:$F,$A154)</f>
        <v>2</v>
      </c>
      <c r="H154" s="30">
        <v>159</v>
      </c>
      <c r="I154" s="30">
        <v>17</v>
      </c>
      <c r="J154" s="30">
        <v>2</v>
      </c>
      <c r="K154" s="30">
        <v>21</v>
      </c>
      <c r="L154" s="30">
        <v>0</v>
      </c>
      <c r="M154" s="30">
        <v>3</v>
      </c>
    </row>
    <row r="155" spans="1:13">
      <c r="A155" s="30">
        <f ca="1" t="shared" si="2"/>
        <v>25</v>
      </c>
      <c r="B155" s="30">
        <f ca="1" t="array" ref="B155">INDEX(Data_DBD!$B:$B,$A155)</f>
        <v>81</v>
      </c>
      <c r="C155" s="30">
        <f ca="1" t="array" ref="C155">INDEX(Data_DBD!$C:$C,$A155)</f>
        <v>5</v>
      </c>
      <c r="D155" s="30">
        <f ca="1" t="array" ref="D155">INDEX(Data_DBD!$D:$D,$A155)</f>
        <v>14</v>
      </c>
      <c r="E155" s="30">
        <f ca="1" t="array" ref="E155">INDEX(Data_DBD!$E:$E,$A155)</f>
        <v>0</v>
      </c>
      <c r="F155" s="30">
        <f ca="1" t="array" ref="F155">INDEX(Data_DBD!$F:$F,$A155)</f>
        <v>2</v>
      </c>
      <c r="H155" s="30">
        <v>84</v>
      </c>
      <c r="I155" s="30">
        <v>42</v>
      </c>
      <c r="J155" s="30">
        <v>4</v>
      </c>
      <c r="K155" s="30">
        <v>13</v>
      </c>
      <c r="L155" s="30">
        <v>1</v>
      </c>
      <c r="M155" s="30">
        <v>2</v>
      </c>
    </row>
    <row r="156" spans="1:13">
      <c r="A156" s="30">
        <f ca="1" t="shared" si="2"/>
        <v>116</v>
      </c>
      <c r="B156" s="30">
        <f ca="1" t="array" ref="B156">INDEX(Data_DBD!$B:$B,$A156)</f>
        <v>32</v>
      </c>
      <c r="C156" s="30">
        <f ca="1" t="array" ref="C156">INDEX(Data_DBD!$C:$C,$A156)</f>
        <v>4</v>
      </c>
      <c r="D156" s="30">
        <f ca="1" t="array" ref="D156">INDEX(Data_DBD!$D:$D,$A156)</f>
        <v>33</v>
      </c>
      <c r="E156" s="30">
        <f ca="1" t="array" ref="E156">INDEX(Data_DBD!$E:$E,$A156)</f>
        <v>1</v>
      </c>
      <c r="F156" s="30">
        <f ca="1" t="array" ref="F156">INDEX(Data_DBD!$F:$F,$A156)</f>
        <v>3</v>
      </c>
      <c r="H156" s="30">
        <v>128</v>
      </c>
      <c r="I156" s="30">
        <v>38</v>
      </c>
      <c r="J156" s="30">
        <v>2</v>
      </c>
      <c r="K156" s="30">
        <v>33</v>
      </c>
      <c r="L156" s="30">
        <v>0</v>
      </c>
      <c r="M156" s="30">
        <v>3</v>
      </c>
    </row>
    <row r="157" spans="1:13">
      <c r="A157" s="30">
        <f ca="1" t="shared" si="2"/>
        <v>20</v>
      </c>
      <c r="B157" s="30">
        <f ca="1" t="array" ref="B157">INDEX(Data_DBD!$B:$B,$A157)</f>
        <v>15</v>
      </c>
      <c r="C157" s="30">
        <f ca="1" t="array" ref="C157">INDEX(Data_DBD!$C:$C,$A157)</f>
        <v>5</v>
      </c>
      <c r="D157" s="30">
        <f ca="1" t="array" ref="D157">INDEX(Data_DBD!$D:$D,$A157)</f>
        <v>7</v>
      </c>
      <c r="E157" s="30">
        <f ca="1" t="array" ref="E157">INDEX(Data_DBD!$E:$E,$A157)</f>
        <v>0</v>
      </c>
      <c r="F157" s="30">
        <f ca="1" t="array" ref="F157">INDEX(Data_DBD!$F:$F,$A157)</f>
        <v>1</v>
      </c>
      <c r="H157" s="30">
        <v>125</v>
      </c>
      <c r="I157" s="30">
        <v>39</v>
      </c>
      <c r="J157" s="30">
        <v>4</v>
      </c>
      <c r="K157" s="30">
        <v>33</v>
      </c>
      <c r="L157" s="30">
        <v>0</v>
      </c>
      <c r="M157" s="30">
        <v>3</v>
      </c>
    </row>
    <row r="158" ht="15.75" spans="1:13">
      <c r="A158" s="30">
        <f ca="1" t="shared" si="2"/>
        <v>113</v>
      </c>
      <c r="B158" s="30">
        <f ca="1" t="array" ref="B158">INDEX(Data_DBD!$B:$B,$A158)</f>
        <v>69</v>
      </c>
      <c r="C158" s="30">
        <f ca="1" t="array" ref="C158">INDEX(Data_DBD!$C:$C,$A158)</f>
        <v>1</v>
      </c>
      <c r="D158" s="30">
        <f ca="1" t="array" ref="D158">INDEX(Data_DBD!$D:$D,$A158)</f>
        <v>33</v>
      </c>
      <c r="E158" s="30">
        <f ca="1" t="array" ref="E158">INDEX(Data_DBD!$E:$E,$A158)</f>
        <v>1</v>
      </c>
      <c r="F158" s="30">
        <f ca="1" t="array" ref="F158">INDEX(Data_DBD!$F:$F,$A158)</f>
        <v>3</v>
      </c>
      <c r="H158" s="30">
        <v>40</v>
      </c>
      <c r="I158" s="30">
        <v>65</v>
      </c>
      <c r="J158" s="30">
        <v>3</v>
      </c>
      <c r="K158" s="30">
        <v>13</v>
      </c>
      <c r="L158" s="38">
        <v>1</v>
      </c>
      <c r="M158" s="30">
        <v>2</v>
      </c>
    </row>
    <row r="159" ht="15.75" spans="1:13">
      <c r="A159" s="30">
        <f ca="1" t="shared" si="2"/>
        <v>128</v>
      </c>
      <c r="B159" s="30">
        <f ca="1" t="array" ref="B159">INDEX(Data_DBD!$B:$B,$A159)</f>
        <v>38</v>
      </c>
      <c r="C159" s="30">
        <f ca="1" t="array" ref="C159">INDEX(Data_DBD!$C:$C,$A159)</f>
        <v>2</v>
      </c>
      <c r="D159" s="30">
        <f ca="1" t="array" ref="D159">INDEX(Data_DBD!$D:$D,$A159)</f>
        <v>33</v>
      </c>
      <c r="E159" s="30">
        <f ca="1" t="array" ref="E159">INDEX(Data_DBD!$E:$E,$A159)</f>
        <v>0</v>
      </c>
      <c r="F159" s="30">
        <f ca="1" t="array" ref="F159">INDEX(Data_DBD!$F:$F,$A159)</f>
        <v>3</v>
      </c>
      <c r="H159" s="30">
        <v>36</v>
      </c>
      <c r="I159" s="30">
        <v>27</v>
      </c>
      <c r="J159" s="30">
        <v>1</v>
      </c>
      <c r="K159" s="30">
        <v>4</v>
      </c>
      <c r="L159" s="39">
        <v>1</v>
      </c>
      <c r="M159" s="30">
        <v>1</v>
      </c>
    </row>
    <row r="160" ht="15.75" spans="1:13">
      <c r="A160" s="30">
        <f ca="1" t="shared" si="2"/>
        <v>78</v>
      </c>
      <c r="B160" s="30">
        <f ca="1" t="array" ref="B160">INDEX(Data_DBD!$B:$B,$A160)</f>
        <v>6</v>
      </c>
      <c r="C160" s="30">
        <f ca="1" t="array" ref="C160">INDEX(Data_DBD!$C:$C,$A160)</f>
        <v>3</v>
      </c>
      <c r="D160" s="30">
        <f ca="1" t="array" ref="D160">INDEX(Data_DBD!$D:$D,$A160)</f>
        <v>13</v>
      </c>
      <c r="E160" s="30">
        <f ca="1" t="array" ref="E160">INDEX(Data_DBD!$E:$E,$A160)</f>
        <v>0</v>
      </c>
      <c r="F160" s="30">
        <f ca="1" t="array" ref="F160">INDEX(Data_DBD!$F:$F,$A160)</f>
        <v>2</v>
      </c>
      <c r="H160" s="30">
        <v>122</v>
      </c>
      <c r="I160" s="30">
        <v>28</v>
      </c>
      <c r="J160" s="30">
        <v>3</v>
      </c>
      <c r="K160" s="30">
        <v>33</v>
      </c>
      <c r="L160" s="40">
        <v>1</v>
      </c>
      <c r="M160" s="30">
        <v>3</v>
      </c>
    </row>
    <row r="161" ht="15.75" spans="1:13">
      <c r="A161" s="30">
        <f ca="1" t="shared" si="2"/>
        <v>93</v>
      </c>
      <c r="B161" s="30">
        <f ca="1" t="array" ref="B161">INDEX(Data_DBD!$B:$B,$A161)</f>
        <v>65</v>
      </c>
      <c r="C161" s="30">
        <f ca="1" t="array" ref="C161">INDEX(Data_DBD!$C:$C,$A161)</f>
        <v>4</v>
      </c>
      <c r="D161" s="30">
        <f ca="1" t="array" ref="D161">INDEX(Data_DBD!$D:$D,$A161)</f>
        <v>18</v>
      </c>
      <c r="E161" s="30">
        <f ca="1" t="array" ref="E161">INDEX(Data_DBD!$E:$E,$A161)</f>
        <v>0</v>
      </c>
      <c r="F161" s="30">
        <f ca="1" t="array" ref="F161">INDEX(Data_DBD!$F:$F,$A161)</f>
        <v>3</v>
      </c>
      <c r="H161" s="30">
        <v>92</v>
      </c>
      <c r="I161" s="30">
        <v>55</v>
      </c>
      <c r="J161" s="30">
        <v>7</v>
      </c>
      <c r="K161" s="30">
        <v>18</v>
      </c>
      <c r="L161" s="40">
        <v>0</v>
      </c>
      <c r="M161" s="30">
        <v>3</v>
      </c>
    </row>
    <row r="162" ht="15.75" spans="1:13">
      <c r="A162" s="30">
        <f ca="1" t="shared" si="2"/>
        <v>4</v>
      </c>
      <c r="B162" s="30">
        <f ca="1" t="array" ref="B162">INDEX(Data_DBD!$B:$B,$A162)</f>
        <v>23</v>
      </c>
      <c r="C162" s="30">
        <f ca="1" t="array" ref="C162">INDEX(Data_DBD!$C:$C,$A162)</f>
        <v>5</v>
      </c>
      <c r="D162" s="30">
        <f ca="1" t="array" ref="D162">INDEX(Data_DBD!$D:$D,$A162)</f>
        <v>12</v>
      </c>
      <c r="E162" s="30">
        <f ca="1" t="array" ref="E162">INDEX(Data_DBD!$E:$E,$A162)</f>
        <v>0</v>
      </c>
      <c r="F162" s="30">
        <f ca="1" t="array" ref="F162">INDEX(Data_DBD!$F:$F,$A162)</f>
        <v>2</v>
      </c>
      <c r="H162" s="30">
        <v>159</v>
      </c>
      <c r="I162" s="30">
        <v>17</v>
      </c>
      <c r="J162" s="30">
        <v>2</v>
      </c>
      <c r="K162" s="30">
        <v>21</v>
      </c>
      <c r="L162" s="39">
        <v>0</v>
      </c>
      <c r="M162" s="30">
        <v>3</v>
      </c>
    </row>
    <row r="163" ht="15.75" spans="1:13">
      <c r="A163" s="30">
        <f ca="1" t="shared" si="2"/>
        <v>39</v>
      </c>
      <c r="B163" s="30">
        <f ca="1" t="array" ref="B163">INDEX(Data_DBD!$B:$B,$A163)</f>
        <v>12</v>
      </c>
      <c r="C163" s="30">
        <f ca="1" t="array" ref="C163">INDEX(Data_DBD!$C:$C,$A163)</f>
        <v>5</v>
      </c>
      <c r="D163" s="30">
        <f ca="1" t="array" ref="D163">INDEX(Data_DBD!$D:$D,$A163)</f>
        <v>13</v>
      </c>
      <c r="E163" s="30">
        <f ca="1" t="array" ref="E163">INDEX(Data_DBD!$E:$E,$A163)</f>
        <v>1</v>
      </c>
      <c r="F163" s="30">
        <f ca="1" t="array" ref="F163">INDEX(Data_DBD!$F:$F,$A163)</f>
        <v>2</v>
      </c>
      <c r="H163" s="30">
        <v>25</v>
      </c>
      <c r="I163" s="30">
        <v>81</v>
      </c>
      <c r="J163" s="30">
        <v>5</v>
      </c>
      <c r="K163" s="30">
        <v>14</v>
      </c>
      <c r="L163" s="40">
        <v>0</v>
      </c>
      <c r="M163" s="30">
        <v>2</v>
      </c>
    </row>
    <row r="164" spans="1:13">
      <c r="A164" s="30">
        <f ca="1" t="shared" si="2"/>
        <v>64</v>
      </c>
      <c r="B164" s="30">
        <f ca="1" t="array" ref="B164">INDEX(Data_DBD!$B:$B,$A164)</f>
        <v>35</v>
      </c>
      <c r="C164" s="30">
        <f ca="1" t="array" ref="C164">INDEX(Data_DBD!$C:$C,$A164)</f>
        <v>1</v>
      </c>
      <c r="D164" s="30">
        <f ca="1" t="array" ref="D164">INDEX(Data_DBD!$D:$D,$A164)</f>
        <v>15</v>
      </c>
      <c r="E164" s="30">
        <f ca="1" t="array" ref="E164">INDEX(Data_DBD!$E:$E,$A164)</f>
        <v>0</v>
      </c>
      <c r="F164" s="30">
        <f ca="1" t="array" ref="F164">INDEX(Data_DBD!$F:$F,$A164)</f>
        <v>2</v>
      </c>
      <c r="H164" s="30">
        <v>24</v>
      </c>
      <c r="I164" s="30">
        <v>60</v>
      </c>
      <c r="J164" s="30">
        <v>4</v>
      </c>
      <c r="K164" s="30">
        <v>14</v>
      </c>
      <c r="L164" s="30">
        <v>0</v>
      </c>
      <c r="M164" s="30">
        <v>2</v>
      </c>
    </row>
    <row r="165" spans="9:12">
      <c r="I165">
        <f>AVERAGE(I2:I164)</f>
        <v>30.7932098765432</v>
      </c>
      <c r="J165">
        <f>AVERAGE(J2:J164)</f>
        <v>3.63803680981595</v>
      </c>
      <c r="K165">
        <f>AVERAGE(K2:K164)</f>
        <v>17.7361963190184</v>
      </c>
      <c r="L165">
        <f>AVERAGE(L2:L164)</f>
        <v>0.552147239263804</v>
      </c>
    </row>
    <row r="166" spans="2:2">
      <c r="B166">
        <v>7681</v>
      </c>
    </row>
    <row r="168" spans="5:20">
      <c r="E168" s="35" t="s">
        <v>183</v>
      </c>
      <c r="J168" s="35" t="s">
        <v>184</v>
      </c>
      <c r="O168" s="35" t="s">
        <v>185</v>
      </c>
      <c r="T168" s="35" t="s">
        <v>186</v>
      </c>
    </row>
    <row r="169" spans="5:22">
      <c r="E169" s="30" t="s">
        <v>1</v>
      </c>
      <c r="F169" s="30">
        <f>AVERAGEIF($I$2:$I$164,"&lt;="&amp;$I$165)</f>
        <v>17.2397959183673</v>
      </c>
      <c r="G169" s="30">
        <f>AVERAGEIF($I$2:$I$164,"&gt;"&amp;$I$165)</f>
        <v>51.546875</v>
      </c>
      <c r="J169" s="30" t="s">
        <v>187</v>
      </c>
      <c r="K169" s="30">
        <f>AVERAGEIF($J$2:$J$164,"&lt;="&amp;$J$165)</f>
        <v>2.39189189189189</v>
      </c>
      <c r="L169" s="30">
        <f>AVERAGEIF($J$2:$J$164,"&gt;"&amp;$J$165)</f>
        <v>4.67415730337079</v>
      </c>
      <c r="O169" s="30" t="s">
        <v>188</v>
      </c>
      <c r="P169" s="30">
        <f>AVERAGEIF($K$2:$K$164,"&lt;="&amp;$K$165)</f>
        <v>12.2127659574468</v>
      </c>
      <c r="Q169" s="30">
        <f>AVERAGEIF($K$2:$K$164,"&gt;"&amp;$K$165)</f>
        <v>25.2608695652174</v>
      </c>
      <c r="T169" s="30" t="s">
        <v>189</v>
      </c>
      <c r="U169" s="30">
        <f>AVERAGEIF($L$2:$L$164,"&lt;="&amp;$L$165)</f>
        <v>0</v>
      </c>
      <c r="V169" s="30">
        <f>AVERAGEIF($L$2:$L$164,"&gt;"&amp;$L$165)</f>
        <v>1</v>
      </c>
    </row>
    <row r="170" spans="5:22">
      <c r="E170" s="30" t="str">
        <f t="array" ref="E170:E332">IF($I$2:$I$164&lt;$F$169,"kiri",IF($I$2:$I$164&lt;$G$169,"tengah","kanan"))</f>
        <v>tengah</v>
      </c>
      <c r="F170" s="36" t="s">
        <v>207</v>
      </c>
      <c r="G170" s="30"/>
      <c r="J170" s="30" t="str">
        <f t="array" ref="J170:J332">IF($J$2:$J$164&lt;$K$169,"kiri",IF($J$2:$J$164&lt;$L$169,"tengah","kanan"))</f>
        <v>tengah</v>
      </c>
      <c r="K170" s="36" t="s">
        <v>208</v>
      </c>
      <c r="L170" s="30"/>
      <c r="O170" s="30" t="str">
        <f t="array" ref="O170:O332">IF($K$2:$K$164&lt;$P$169,"kiri",IF($K$2:$K$164&lt;$Q$169,"tengah","kanan"))</f>
        <v>tengah</v>
      </c>
      <c r="P170" s="36" t="s">
        <v>224</v>
      </c>
      <c r="Q170" s="30"/>
      <c r="T170" s="30" t="str">
        <f t="array" ref="T170:T332">IF($L$2:$L$164&lt;$U$169,"kiri",IF($L$2:$L$164&lt;$V$169,"tengah","kanan"))</f>
        <v>kanan</v>
      </c>
      <c r="U170" s="30" t="s">
        <v>193</v>
      </c>
      <c r="V170" s="30"/>
    </row>
    <row r="171" spans="5:22">
      <c r="E171" s="30" t="str">
        <v>tengah</v>
      </c>
      <c r="F171" s="30">
        <f>COUNTIFS($E$170:$E$332,"Kanan",$M$2:$M$164,"1")</f>
        <v>2</v>
      </c>
      <c r="G171" s="30">
        <f>F171/32</f>
        <v>0.0625</v>
      </c>
      <c r="J171" s="30" t="str">
        <v>kanan</v>
      </c>
      <c r="K171" s="30">
        <f t="array" ref="K171">SUMPRODUCT((J170:J332="Kanan")*(M2:M164=1))</f>
        <v>4</v>
      </c>
      <c r="L171" s="30">
        <f>K171/37</f>
        <v>0.108108108108108</v>
      </c>
      <c r="O171" s="30" t="str">
        <v>tengah</v>
      </c>
      <c r="P171" s="30">
        <f>COUNTIFS($O$170:$O$332,"Kanan",$M$2:$M$164,"1")</f>
        <v>0</v>
      </c>
      <c r="Q171" s="30">
        <f>P171/29</f>
        <v>0</v>
      </c>
      <c r="T171" s="30" t="str">
        <v>tengah</v>
      </c>
      <c r="U171" s="30">
        <f>COUNTIFS($T$170:$T$332,"Kanan",$M$2:$M$164,"1")</f>
        <v>7</v>
      </c>
      <c r="V171" s="30">
        <f>U171/83</f>
        <v>0.0843373493975904</v>
      </c>
    </row>
    <row r="172" spans="5:22">
      <c r="E172" s="30" t="str">
        <v>kiri</v>
      </c>
      <c r="F172" s="30">
        <f>COUNTIFS($E$170:$E$332,"Kanan",$M$2:$M$164,"2")</f>
        <v>17</v>
      </c>
      <c r="G172" s="30">
        <f t="shared" ref="G172:G173" si="3">F172/32</f>
        <v>0.53125</v>
      </c>
      <c r="J172" s="30" t="str">
        <v>kiri</v>
      </c>
      <c r="K172" s="30">
        <f>COUNTIFS($J$170:$J$332,"Kanan",$M$2:$M$164,"2")</f>
        <v>23</v>
      </c>
      <c r="L172" s="30">
        <f t="shared" ref="L172:L173" si="4">K172/37</f>
        <v>0.621621621621622</v>
      </c>
      <c r="O172" s="30" t="str">
        <v>kanan</v>
      </c>
      <c r="P172" s="30">
        <f>COUNTIFS($O$170:$O$332,"Kanan",$M$2:$M$164,"2")</f>
        <v>0</v>
      </c>
      <c r="Q172" s="30">
        <f t="shared" ref="Q172:Q173" si="5">P172/29</f>
        <v>0</v>
      </c>
      <c r="T172" s="30" t="str">
        <v>tengah</v>
      </c>
      <c r="U172" s="30">
        <f>COUNTIFS($T$170:$T$332,"Kanan",$M$2:$M$164,"2")</f>
        <v>44</v>
      </c>
      <c r="V172" s="30">
        <f t="shared" ref="V172:V173" si="6">U172/83</f>
        <v>0.530120481927711</v>
      </c>
    </row>
    <row r="173" spans="5:22">
      <c r="E173" s="30" t="str">
        <v>tengah</v>
      </c>
      <c r="F173" s="30">
        <f t="array" ref="F173">SUMPRODUCT((E170:E332="KANAN")*(M2:M164=3))</f>
        <v>13</v>
      </c>
      <c r="G173" s="30">
        <f t="shared" si="3"/>
        <v>0.40625</v>
      </c>
      <c r="J173" s="30" t="str">
        <v>tengah</v>
      </c>
      <c r="K173" s="30">
        <f>COUNTIFS($J$170:$J$332,"Kanan",$M$2:$M$164,"3")</f>
        <v>10</v>
      </c>
      <c r="L173" s="30">
        <f t="shared" si="4"/>
        <v>0.27027027027027</v>
      </c>
      <c r="O173" s="30" t="str">
        <v>kiri</v>
      </c>
      <c r="P173" s="30">
        <f>COUNTIFS($O$170:$O$332,"Kanan",$M$2:$M$164,"3")</f>
        <v>29</v>
      </c>
      <c r="Q173" s="30">
        <f t="shared" si="5"/>
        <v>1</v>
      </c>
      <c r="T173" s="30" t="str">
        <v>kanan</v>
      </c>
      <c r="U173" s="30">
        <f>COUNTIFS($T$170:$T$332,"Kanan",$M$2:$M$164,"3")</f>
        <v>39</v>
      </c>
      <c r="V173" s="30">
        <f t="shared" si="6"/>
        <v>0.469879518072289</v>
      </c>
    </row>
    <row r="174" spans="5:22">
      <c r="E174" s="30" t="str">
        <v>kiri</v>
      </c>
      <c r="F174" s="30" t="s">
        <v>194</v>
      </c>
      <c r="G174" s="30">
        <f>-(IFERROR(G171*LOG(G171,2),0)+IFERROR(G172*LOG(G172,2),0)+IFERROR(G173*LOG(G173,2),0))</f>
        <v>1.26273173009094</v>
      </c>
      <c r="J174" s="30" t="str">
        <v>tengah</v>
      </c>
      <c r="K174" s="30" t="s">
        <v>194</v>
      </c>
      <c r="L174" s="30">
        <f>-(IFERROR(L171*LOG(L171,2),0)+IFERROR(L172*LOG(L172,2),0)+IFERROR(L173*LOG(L173,2),0))</f>
        <v>1.28347482675909</v>
      </c>
      <c r="O174" s="30" t="str">
        <v>tengah</v>
      </c>
      <c r="P174" s="30" t="s">
        <v>194</v>
      </c>
      <c r="Q174" s="30">
        <f>-(IFERROR(Q171*LOG(Q171,2),0)+IFERROR(Q172*LOG(Q172,2),0)+IFERROR(Q173*LOG(Q173,2),0))</f>
        <v>0</v>
      </c>
      <c r="T174" s="30" t="str">
        <v>tengah</v>
      </c>
      <c r="U174" s="30" t="s">
        <v>194</v>
      </c>
      <c r="V174" s="30">
        <f>-(IFERROR(V171*LOG(V171,2),0)+IFERROR(V172*LOG(V172,2),0)+IFERROR(V173*LOG(V173,2),0))</f>
        <v>1.29826971820664</v>
      </c>
    </row>
    <row r="175" spans="5:22">
      <c r="E175" s="30" t="str">
        <v>kiri</v>
      </c>
      <c r="F175" s="30"/>
      <c r="G175" s="30">
        <f>SUM(F171:F173)/163</f>
        <v>0.196319018404908</v>
      </c>
      <c r="J175" s="30" t="str">
        <v>kanan</v>
      </c>
      <c r="K175" s="30"/>
      <c r="L175" s="30">
        <f>SUM(K171:K173)/163</f>
        <v>0.226993865030675</v>
      </c>
      <c r="O175" s="30" t="str">
        <v>tengah</v>
      </c>
      <c r="P175" s="30"/>
      <c r="Q175" s="30">
        <f>SUM(P171:P173)/163</f>
        <v>0.177914110429448</v>
      </c>
      <c r="T175" s="30" t="str">
        <v>kanan</v>
      </c>
      <c r="U175" s="30"/>
      <c r="V175" s="30">
        <f>SUM(U171:U173)/163</f>
        <v>0.552147239263804</v>
      </c>
    </row>
    <row r="176" spans="5:22">
      <c r="E176" s="30" t="str">
        <v>kanan</v>
      </c>
      <c r="F176" s="30"/>
      <c r="G176" s="37">
        <f>G174*G175</f>
        <v>0.247898253760184</v>
      </c>
      <c r="J176" s="30" t="str">
        <v>tengah</v>
      </c>
      <c r="K176" s="30"/>
      <c r="L176" s="37">
        <f>L174*L175</f>
        <v>0.291340911595621</v>
      </c>
      <c r="O176" s="30" t="str">
        <v>tengah</v>
      </c>
      <c r="P176" s="30"/>
      <c r="Q176" s="37">
        <f>Q174*Q175</f>
        <v>0</v>
      </c>
      <c r="T176" s="30" t="str">
        <v>tengah</v>
      </c>
      <c r="U176" s="30"/>
      <c r="V176" s="37">
        <f>V174*V175</f>
        <v>0.716836040727594</v>
      </c>
    </row>
    <row r="177" spans="5:22">
      <c r="E177" s="30" t="str">
        <v>tengah</v>
      </c>
      <c r="F177" s="30"/>
      <c r="G177" s="30"/>
      <c r="J177" s="30" t="str">
        <v>kanan</v>
      </c>
      <c r="K177" s="30"/>
      <c r="L177" s="30"/>
      <c r="O177" s="30" t="str">
        <v>kiri</v>
      </c>
      <c r="P177" s="30"/>
      <c r="Q177" s="30"/>
      <c r="T177" s="30" t="str">
        <v>tengah</v>
      </c>
      <c r="U177" s="30"/>
      <c r="V177" s="30"/>
    </row>
    <row r="178" spans="5:22">
      <c r="E178" s="30" t="str">
        <v>kanan</v>
      </c>
      <c r="F178" s="30"/>
      <c r="G178" s="30"/>
      <c r="J178" s="30" t="str">
        <v>tengah</v>
      </c>
      <c r="K178" s="30"/>
      <c r="L178" s="30"/>
      <c r="O178" s="30" t="str">
        <v>tengah</v>
      </c>
      <c r="P178" s="30"/>
      <c r="Q178" s="30"/>
      <c r="T178" s="30" t="str">
        <v>tengah</v>
      </c>
      <c r="U178" s="30"/>
      <c r="V178" s="30"/>
    </row>
    <row r="179" spans="5:22">
      <c r="E179" s="30" t="str">
        <v>tengah</v>
      </c>
      <c r="F179" s="36" t="s">
        <v>210</v>
      </c>
      <c r="G179" s="30"/>
      <c r="J179" s="30" t="str">
        <v>kanan</v>
      </c>
      <c r="K179" s="36" t="s">
        <v>211</v>
      </c>
      <c r="L179" s="30"/>
      <c r="O179" s="30" t="str">
        <v>tengah</v>
      </c>
      <c r="P179" s="36" t="s">
        <v>219</v>
      </c>
      <c r="Q179" s="30"/>
      <c r="T179" s="30" t="str">
        <v>kanan</v>
      </c>
      <c r="U179" s="30" t="s">
        <v>198</v>
      </c>
      <c r="V179" s="30"/>
    </row>
    <row r="180" spans="5:22">
      <c r="E180" s="30" t="str">
        <v>kiri</v>
      </c>
      <c r="F180" s="30">
        <f t="array" ref="F180">SUMPRODUCT((E170:E332="kiri")*(M2:M164=1))</f>
        <v>3</v>
      </c>
      <c r="G180" s="30">
        <f>F180/46</f>
        <v>0.0652173913043478</v>
      </c>
      <c r="J180" s="30" t="str">
        <v>tengah</v>
      </c>
      <c r="K180" s="30">
        <f>COUNTIFS($J$170:$J$332,"Kiri",$M$2:$M$164,"1")</f>
        <v>2</v>
      </c>
      <c r="L180" s="30">
        <f>K180/38</f>
        <v>0.0526315789473684</v>
      </c>
      <c r="O180" s="30" t="str">
        <v>kanan</v>
      </c>
      <c r="P180" s="30">
        <f>COUNTIFS($O$170:$O$332,"Kiri",$M$2:$M$164,"1")</f>
        <v>11</v>
      </c>
      <c r="Q180" s="30">
        <f>P180/35</f>
        <v>0.314285714285714</v>
      </c>
      <c r="T180" s="30" t="str">
        <v>kanan</v>
      </c>
      <c r="U180" s="30">
        <f>COUNTIFS($T$170:$T$332,"Kiri",$M$2:$M$164,"1")</f>
        <v>0</v>
      </c>
      <c r="V180" s="30">
        <f>U180/57</f>
        <v>0</v>
      </c>
    </row>
    <row r="181" spans="5:22">
      <c r="E181" s="30" t="str">
        <v>tengah</v>
      </c>
      <c r="F181" s="30">
        <f t="array" ref="F181">SUMPRODUCT((E170:E332="kiri")*(M2:M164=2))</f>
        <v>18</v>
      </c>
      <c r="G181" s="30">
        <f t="shared" ref="G181:G182" si="7">F181/46</f>
        <v>0.391304347826087</v>
      </c>
      <c r="J181" s="30" t="str">
        <v>tengah</v>
      </c>
      <c r="K181" s="30">
        <f>COUNTIFS($J$170:$J$332,"Kiri",$M$2:$M$164,"2")</f>
        <v>13</v>
      </c>
      <c r="L181" s="30">
        <f t="shared" ref="L181:L182" si="8">K181/38</f>
        <v>0.342105263157895</v>
      </c>
      <c r="O181" s="30" t="str">
        <v>tengah</v>
      </c>
      <c r="P181" s="30">
        <f>COUNTIFS($O$170:$O$332,"Kiri",$M$2:$M$164,"2")</f>
        <v>24</v>
      </c>
      <c r="Q181" s="30">
        <f t="shared" ref="Q181:Q182" si="9">P181/35</f>
        <v>0.685714285714286</v>
      </c>
      <c r="T181" s="30" t="str">
        <v>tengah</v>
      </c>
      <c r="U181" s="30">
        <f>COUNTIFS($T$170:$T$332,"Kiri",$M$2:$M$164,"2")</f>
        <v>0</v>
      </c>
      <c r="V181" s="30">
        <f>U181/57</f>
        <v>0</v>
      </c>
    </row>
    <row r="182" spans="5:22">
      <c r="E182" s="30" t="str">
        <v>tengah</v>
      </c>
      <c r="F182" s="30">
        <f t="array" ref="F182">SUMPRODUCT((E170:E332="kiri")*(M2:M164=3))</f>
        <v>25</v>
      </c>
      <c r="G182" s="30">
        <f t="shared" si="7"/>
        <v>0.543478260869565</v>
      </c>
      <c r="J182" s="30" t="str">
        <v>tengah</v>
      </c>
      <c r="K182" s="30">
        <f>COUNTIFS($J$170:$J$332,"Kiri",$M$2:$M$164,"3")</f>
        <v>23</v>
      </c>
      <c r="L182" s="30">
        <f t="shared" si="8"/>
        <v>0.605263157894737</v>
      </c>
      <c r="O182" s="30" t="str">
        <v>kiri</v>
      </c>
      <c r="P182" s="30">
        <f>COUNTIFS($O$170:$O$332,"Kiri",$M$2:$M$164,"3")</f>
        <v>0</v>
      </c>
      <c r="Q182" s="30">
        <f t="shared" si="9"/>
        <v>0</v>
      </c>
      <c r="T182" s="30" t="str">
        <v>kanan</v>
      </c>
      <c r="U182" s="30">
        <f>COUNTIFS($T$170:$T$332,"Kiri",$M$2:$M$164,"3")</f>
        <v>0</v>
      </c>
      <c r="V182" s="30">
        <f>U182/57</f>
        <v>0</v>
      </c>
    </row>
    <row r="183" spans="5:22">
      <c r="E183" s="30" t="str">
        <v>tengah</v>
      </c>
      <c r="F183" s="30" t="s">
        <v>194</v>
      </c>
      <c r="G183" s="30">
        <f>-(IFERROR(G180*LOG(G180,2),0)+IFERROR(G181*LOG(G181,2),0)+IFERROR(G182*LOG(G182,2),0))</f>
        <v>1.26465016752455</v>
      </c>
      <c r="J183" s="30" t="str">
        <v>tengah</v>
      </c>
      <c r="K183" s="30" t="s">
        <v>194</v>
      </c>
      <c r="L183" s="30">
        <f>-(IFERROR(L180*LOG(L180,2),0)+IFERROR(L181*LOG(L181,2),0)+IFERROR(L182*LOG(L182,2),0))</f>
        <v>1.19141063646607</v>
      </c>
      <c r="O183" s="30" t="str">
        <v>tengah</v>
      </c>
      <c r="P183" s="30" t="s">
        <v>194</v>
      </c>
      <c r="Q183" s="30">
        <f>-(IFERROR(Q180*LOG(Q180,2),0)+IFERROR(Q181*LOG(Q181,2),0)+IFERROR(Q182*LOG(Q182,2),0))</f>
        <v>0.898058793450166</v>
      </c>
      <c r="T183" s="30" t="str">
        <v>tengah</v>
      </c>
      <c r="U183" s="30" t="s">
        <v>194</v>
      </c>
      <c r="V183" s="30">
        <f>-(IFERROR(V180*LOG(V180,2),0)+IFERROR(V181*LOG(V181,2),0)+IFERROR(V182*LOG(V182,2),0))</f>
        <v>0</v>
      </c>
    </row>
    <row r="184" spans="5:22">
      <c r="E184" s="30" t="str">
        <v>tengah</v>
      </c>
      <c r="F184" s="30"/>
      <c r="G184" s="30">
        <f>SUM(F180:F182)/163</f>
        <v>0.282208588957055</v>
      </c>
      <c r="J184" s="30" t="str">
        <v>tengah</v>
      </c>
      <c r="K184" s="30"/>
      <c r="L184" s="30">
        <f>SUM(K180:K182)/163</f>
        <v>0.233128834355828</v>
      </c>
      <c r="O184" s="30" t="str">
        <v>kanan</v>
      </c>
      <c r="P184" s="30"/>
      <c r="Q184" s="30">
        <f>SUM(P180:P182)/163</f>
        <v>0.214723926380368</v>
      </c>
      <c r="T184" s="30" t="str">
        <v>kanan</v>
      </c>
      <c r="U184" s="30"/>
      <c r="V184" s="30">
        <f>SUM(U180:U182)/163</f>
        <v>0</v>
      </c>
    </row>
    <row r="185" spans="5:22">
      <c r="E185" s="30" t="str">
        <v>kanan</v>
      </c>
      <c r="F185" s="30"/>
      <c r="G185" s="37">
        <f>G183*G184</f>
        <v>0.356895139301407</v>
      </c>
      <c r="J185" s="30" t="str">
        <v>tengah</v>
      </c>
      <c r="K185" s="30"/>
      <c r="L185" s="37">
        <f>L183*L184</f>
        <v>0.277752172918471</v>
      </c>
      <c r="O185" s="30" t="str">
        <v>tengah</v>
      </c>
      <c r="P185" s="30"/>
      <c r="Q185" s="37">
        <f>Q183*Q184</f>
        <v>0.192834710250036</v>
      </c>
      <c r="T185" s="30" t="str">
        <v>kanan</v>
      </c>
      <c r="U185" s="30"/>
      <c r="V185" s="37">
        <f>V183*V184</f>
        <v>0</v>
      </c>
    </row>
    <row r="186" spans="5:22">
      <c r="E186" s="30" t="str">
        <v>kiri</v>
      </c>
      <c r="F186" s="30"/>
      <c r="G186" s="30"/>
      <c r="J186" s="30" t="str">
        <v>tengah</v>
      </c>
      <c r="K186" s="30"/>
      <c r="L186" s="30"/>
      <c r="O186" s="30" t="str">
        <v>tengah</v>
      </c>
      <c r="P186" s="30"/>
      <c r="Q186" s="30"/>
      <c r="T186" s="30" t="str">
        <v>kanan</v>
      </c>
      <c r="U186" s="30"/>
      <c r="V186" s="30"/>
    </row>
    <row r="187" spans="5:22">
      <c r="E187" s="30" t="str">
        <v>kanan</v>
      </c>
      <c r="F187" s="30"/>
      <c r="G187" s="30"/>
      <c r="J187" s="30" t="str">
        <v>kiri</v>
      </c>
      <c r="K187" s="30"/>
      <c r="L187" s="30"/>
      <c r="O187" s="30" t="str">
        <v>tengah</v>
      </c>
      <c r="P187" s="30"/>
      <c r="Q187" s="30"/>
      <c r="T187" s="30" t="str">
        <v>tengah</v>
      </c>
      <c r="U187" s="30"/>
      <c r="V187" s="30"/>
    </row>
    <row r="188" spans="5:22">
      <c r="E188" s="30" t="str">
        <v>tengah</v>
      </c>
      <c r="F188" s="30" t="s">
        <v>199</v>
      </c>
      <c r="G188" s="30"/>
      <c r="J188" s="30" t="str">
        <v>tengah</v>
      </c>
      <c r="K188" s="30" t="s">
        <v>199</v>
      </c>
      <c r="L188" s="30"/>
      <c r="O188" s="30" t="str">
        <v>kiri</v>
      </c>
      <c r="P188" s="30" t="s">
        <v>199</v>
      </c>
      <c r="Q188" s="30"/>
      <c r="T188" s="30" t="str">
        <v>kanan</v>
      </c>
      <c r="U188" s="30" t="s">
        <v>199</v>
      </c>
      <c r="V188" s="30"/>
    </row>
    <row r="189" spans="5:22">
      <c r="E189" s="30" t="str">
        <v>tengah</v>
      </c>
      <c r="F189" s="30">
        <f t="array" ref="F189">SUMPRODUCT((E170:E332="tengah")*(M2:M164=1))</f>
        <v>6</v>
      </c>
      <c r="G189" s="30">
        <f>F189/85</f>
        <v>0.0705882352941176</v>
      </c>
      <c r="J189" s="30" t="str">
        <v>tengah</v>
      </c>
      <c r="K189" s="30">
        <f>COUNTIFS($J$170:$J$332,"Tengah",$M$2:$M$164,"1")</f>
        <v>5</v>
      </c>
      <c r="L189" s="30">
        <f>K189/88</f>
        <v>0.0568181818181818</v>
      </c>
      <c r="O189" s="30" t="str">
        <v>tengah</v>
      </c>
      <c r="P189" s="30">
        <f>COUNTIFS($O$170:$O$332,"Tengah",$M$2:$M$164,"1")</f>
        <v>0</v>
      </c>
      <c r="Q189" s="30">
        <f>P189/99</f>
        <v>0</v>
      </c>
      <c r="T189" s="30" t="str">
        <v>kanan</v>
      </c>
      <c r="U189" s="30">
        <f>COUNTIFS($T$170:$T$332,"Tengah",$M$2:$M$164,"1")</f>
        <v>4</v>
      </c>
      <c r="V189" s="30">
        <f>U189/82</f>
        <v>0.0487804878048781</v>
      </c>
    </row>
    <row r="190" spans="5:22">
      <c r="E190" s="30" t="str">
        <v>kiri</v>
      </c>
      <c r="F190" s="30">
        <f t="array" ref="F190">SUMPRODUCT((E170:E332="tengah")*(M2:M164=2))</f>
        <v>48</v>
      </c>
      <c r="G190" s="30">
        <f t="shared" ref="G190:G191" si="10">F190/85</f>
        <v>0.564705882352941</v>
      </c>
      <c r="J190" s="30" t="str">
        <v>tengah</v>
      </c>
      <c r="K190" s="30">
        <f>COUNTIFS($J$170:$J$332,"Tengah",$M$2:$M$164,"2")</f>
        <v>47</v>
      </c>
      <c r="L190" s="30">
        <f>K190/88</f>
        <v>0.534090909090909</v>
      </c>
      <c r="O190" s="30" t="str">
        <v>kiri</v>
      </c>
      <c r="P190" s="30">
        <f>COUNTIFS($O$170:$O$332,"Tengah",$M$2:$M$164,"2")</f>
        <v>59</v>
      </c>
      <c r="Q190" s="30">
        <f t="shared" ref="Q190:Q191" si="11">P190/99</f>
        <v>0.595959595959596</v>
      </c>
      <c r="T190" s="30" t="str">
        <v>tengah</v>
      </c>
      <c r="U190" s="30">
        <f>COUNTIFS($T$170:$T$332,"Tengah",$M$2:$M$164,"2")</f>
        <v>39</v>
      </c>
      <c r="V190" s="30">
        <f t="shared" ref="V190:V191" si="12">U190/82</f>
        <v>0.475609756097561</v>
      </c>
    </row>
    <row r="191" spans="5:22">
      <c r="E191" s="30" t="str">
        <v>tengah</v>
      </c>
      <c r="F191" s="30">
        <f t="array" ref="F191">SUMPRODUCT((E170:E332="tengah")*(M2:M164=3))</f>
        <v>31</v>
      </c>
      <c r="G191" s="30">
        <f t="shared" si="10"/>
        <v>0.364705882352941</v>
      </c>
      <c r="J191" s="30" t="str">
        <v>tengah</v>
      </c>
      <c r="K191" s="30">
        <f>COUNTIFS($J$170:$J$332,"Tengah",$M$2:$M$164,"3")</f>
        <v>36</v>
      </c>
      <c r="L191" s="30">
        <f>K191/88</f>
        <v>0.409090909090909</v>
      </c>
      <c r="O191" s="30" t="str">
        <v>kiri</v>
      </c>
      <c r="P191" s="30">
        <f>COUNTIFS($O$170:$O$332,"Tengah",$M$2:$M$164,"3")</f>
        <v>40</v>
      </c>
      <c r="Q191" s="30">
        <f t="shared" si="11"/>
        <v>0.404040404040404</v>
      </c>
      <c r="T191" s="30" t="str">
        <v>kanan</v>
      </c>
      <c r="U191" s="30">
        <f>COUNTIFS($T$170:$T$332,"Tengah",$M$2:$M$164,"3")</f>
        <v>30</v>
      </c>
      <c r="V191" s="30">
        <f t="shared" si="12"/>
        <v>0.365853658536585</v>
      </c>
    </row>
    <row r="192" spans="5:22">
      <c r="E192" s="30" t="str">
        <v>kiri</v>
      </c>
      <c r="F192" s="30" t="s">
        <v>194</v>
      </c>
      <c r="G192" s="30">
        <f>-(IFERROR(G189*LOG(G189,2),0)+IFERROR(G190*LOG(G190,2),0)+IFERROR(G191*LOG(G191,2),0))</f>
        <v>1.26623728130317</v>
      </c>
      <c r="J192" s="30" t="str">
        <v>tengah</v>
      </c>
      <c r="K192" s="30" t="s">
        <v>194</v>
      </c>
      <c r="L192" s="30">
        <f>-(IFERROR(L189*LOG(L189,2),0)+IFERROR(L190*LOG(L190,2),0)+IFERROR(L191*LOG(L191,2),0))</f>
        <v>1.24587915778265</v>
      </c>
      <c r="O192" s="30" t="str">
        <v>kanan</v>
      </c>
      <c r="P192" s="30" t="s">
        <v>194</v>
      </c>
      <c r="Q192" s="30">
        <f>-(IFERROR(Q189*LOG(Q189,2),0)+IFERROR(Q190*LOG(Q190,2),0)+IFERROR(Q191*LOG(Q191,2),0))</f>
        <v>0.973265067475134</v>
      </c>
      <c r="T192" s="30" t="str">
        <v>tengah</v>
      </c>
      <c r="U192" s="30" t="s">
        <v>194</v>
      </c>
      <c r="V192" s="30">
        <f>-(IFERROR(V189*LOG(V189,2),0)+IFERROR(V190*LOG(V190,2),0)+IFERROR(V191*LOG(V191,2),0))</f>
        <v>1.25321819430777</v>
      </c>
    </row>
    <row r="193" spans="5:22">
      <c r="E193" s="30" t="str">
        <v>tengah</v>
      </c>
      <c r="F193" s="30"/>
      <c r="G193" s="30">
        <f>SUM(F189:F191)/163</f>
        <v>0.521472392638037</v>
      </c>
      <c r="J193" s="30" t="str">
        <v>kiri</v>
      </c>
      <c r="K193" s="30"/>
      <c r="L193" s="30">
        <f>SUM(K189:K191)/163</f>
        <v>0.539877300613497</v>
      </c>
      <c r="O193" s="30" t="str">
        <v>tengah</v>
      </c>
      <c r="P193" s="30"/>
      <c r="Q193" s="30">
        <f>SUM(P189:P191)/163</f>
        <v>0.607361963190184</v>
      </c>
      <c r="T193" s="30" t="str">
        <v>kanan</v>
      </c>
      <c r="U193" s="30"/>
      <c r="V193" s="30">
        <f>SUM(U189:U191)/163</f>
        <v>0.447852760736196</v>
      </c>
    </row>
    <row r="194" spans="5:22">
      <c r="E194" s="30" t="str">
        <v>tengah</v>
      </c>
      <c r="F194" s="30"/>
      <c r="G194" s="37">
        <f>G192*G193</f>
        <v>0.660307784728645</v>
      </c>
      <c r="J194" s="30" t="str">
        <v>tengah</v>
      </c>
      <c r="K194" s="30"/>
      <c r="L194" s="37">
        <f>L192*L193</f>
        <v>0.672621876594314</v>
      </c>
      <c r="O194" s="30" t="str">
        <v>tengah</v>
      </c>
      <c r="P194" s="30"/>
      <c r="Q194" s="37">
        <f>Q192*Q193</f>
        <v>0.591124182086124</v>
      </c>
      <c r="T194" s="30" t="str">
        <v>tengah</v>
      </c>
      <c r="U194" s="30"/>
      <c r="V194" s="37">
        <f>V192*V193</f>
        <v>0.561257228125564</v>
      </c>
    </row>
    <row r="195" spans="5:22">
      <c r="E195" s="30" t="str">
        <v>kiri</v>
      </c>
      <c r="F195" s="30"/>
      <c r="G195" s="30"/>
      <c r="J195" s="30" t="str">
        <v>kiri</v>
      </c>
      <c r="K195" s="30"/>
      <c r="L195" s="30"/>
      <c r="O195" s="30" t="str">
        <v>kanan</v>
      </c>
      <c r="P195" s="30"/>
      <c r="Q195" s="30"/>
      <c r="T195" s="30" t="str">
        <v>kanan</v>
      </c>
      <c r="U195" s="30"/>
      <c r="V195" s="30"/>
    </row>
    <row r="196" spans="5:22">
      <c r="E196" s="30" t="str">
        <v>tengah</v>
      </c>
      <c r="F196" s="30" t="s">
        <v>200</v>
      </c>
      <c r="G196" s="36" t="s">
        <v>194</v>
      </c>
      <c r="J196" s="30" t="str">
        <v>kanan</v>
      </c>
      <c r="K196" s="30" t="s">
        <v>200</v>
      </c>
      <c r="L196" s="36" t="s">
        <v>194</v>
      </c>
      <c r="O196" s="30" t="str">
        <v>tengah</v>
      </c>
      <c r="P196" s="30" t="s">
        <v>200</v>
      </c>
      <c r="Q196" s="36" t="s">
        <v>194</v>
      </c>
      <c r="T196" s="30" t="str">
        <v>kanan</v>
      </c>
      <c r="U196" s="30" t="s">
        <v>200</v>
      </c>
      <c r="V196" s="36" t="s">
        <v>194</v>
      </c>
    </row>
    <row r="197" spans="5:22">
      <c r="E197" s="30" t="str">
        <v>tengah</v>
      </c>
      <c r="F197" s="41">
        <f>P5-(G176+G185+G194)</f>
        <v>0.0181655769040394</v>
      </c>
      <c r="G197" s="37">
        <f>(G176+G185+G194)</f>
        <v>1.26510117779024</v>
      </c>
      <c r="J197" s="30" t="str">
        <v>tengah</v>
      </c>
      <c r="K197" s="41">
        <f>P5-(L176+L185+L194)</f>
        <v>0.0415517935858702</v>
      </c>
      <c r="L197" s="37">
        <f>(L176+L185+L194)</f>
        <v>1.24171496110841</v>
      </c>
      <c r="O197" s="30" t="str">
        <v>kiri</v>
      </c>
      <c r="P197" s="41">
        <f>P5-(Q176+Q185+Q194)</f>
        <v>0.499307862358116</v>
      </c>
      <c r="Q197" s="37">
        <f>(Q176+Q185+Q194)</f>
        <v>0.78395889233616</v>
      </c>
      <c r="T197" s="30" t="str">
        <v>kanan</v>
      </c>
      <c r="U197" s="41">
        <f>P5-(V176+V185+V194)</f>
        <v>0.0051734858411181</v>
      </c>
      <c r="V197" s="37">
        <f>(V176+V185+V194)</f>
        <v>1.27809326885316</v>
      </c>
    </row>
    <row r="198" spans="5:22">
      <c r="E198" s="30" t="str">
        <v>tengah</v>
      </c>
      <c r="F198" s="30"/>
      <c r="G198" s="30"/>
      <c r="J198" s="30" t="str">
        <v>kanan</v>
      </c>
      <c r="K198" s="30"/>
      <c r="L198" s="30"/>
      <c r="O198" s="30" t="str">
        <v>kiri</v>
      </c>
      <c r="P198" s="30"/>
      <c r="Q198" s="30"/>
      <c r="T198" s="30" t="str">
        <v>tengah</v>
      </c>
      <c r="U198" s="30"/>
      <c r="V198" s="30"/>
    </row>
    <row r="199" spans="5:22">
      <c r="E199" s="30" t="str">
        <v>kanan</v>
      </c>
      <c r="F199" s="30"/>
      <c r="G199" s="30"/>
      <c r="J199" s="30" t="str">
        <v>tengah</v>
      </c>
      <c r="K199" s="30"/>
      <c r="L199" s="30"/>
      <c r="O199" s="30" t="str">
        <v>tengah</v>
      </c>
      <c r="P199" s="30"/>
      <c r="Q199" s="30"/>
      <c r="T199" s="30" t="str">
        <v>tengah</v>
      </c>
      <c r="U199" s="30"/>
      <c r="V199" s="30"/>
    </row>
    <row r="200" spans="5:22">
      <c r="E200" s="30" t="str">
        <v>kiri</v>
      </c>
      <c r="F200" s="30"/>
      <c r="G200" s="30"/>
      <c r="J200" s="30" t="str">
        <v>kiri</v>
      </c>
      <c r="K200" s="30"/>
      <c r="L200" s="30"/>
      <c r="O200" s="30" t="str">
        <v>tengah</v>
      </c>
      <c r="P200" s="30"/>
      <c r="Q200" s="30"/>
      <c r="T200" s="30" t="str">
        <v>kanan</v>
      </c>
      <c r="U200" s="30"/>
      <c r="V200" s="30"/>
    </row>
    <row r="201" spans="5:22">
      <c r="E201" s="30" t="str">
        <v>kanan</v>
      </c>
      <c r="F201" s="30"/>
      <c r="G201" s="30"/>
      <c r="J201" s="30" t="str">
        <v>tengah</v>
      </c>
      <c r="K201" s="30"/>
      <c r="L201" s="30"/>
      <c r="O201" s="30" t="str">
        <v>tengah</v>
      </c>
      <c r="P201" s="30"/>
      <c r="Q201" s="30"/>
      <c r="T201" s="30" t="str">
        <v>tengah</v>
      </c>
      <c r="U201" s="30"/>
      <c r="V201" s="30"/>
    </row>
    <row r="202" spans="5:22">
      <c r="E202" s="30" t="str">
        <v>kanan</v>
      </c>
      <c r="F202" s="30"/>
      <c r="G202" s="30"/>
      <c r="J202" s="30" t="str">
        <v>kanan</v>
      </c>
      <c r="K202" s="30"/>
      <c r="L202" s="30"/>
      <c r="O202" s="30" t="str">
        <v>tengah</v>
      </c>
      <c r="P202" s="30"/>
      <c r="Q202" s="30"/>
      <c r="T202" s="30" t="str">
        <v>tengah</v>
      </c>
      <c r="U202" s="30"/>
      <c r="V202" s="30"/>
    </row>
    <row r="203" spans="5:22">
      <c r="E203" s="30" t="str">
        <v>kiri</v>
      </c>
      <c r="F203" s="30"/>
      <c r="G203" s="30"/>
      <c r="J203" s="30" t="str">
        <v>tengah</v>
      </c>
      <c r="K203" s="30"/>
      <c r="L203" s="30"/>
      <c r="O203" s="30" t="str">
        <v>kanan</v>
      </c>
      <c r="P203" s="30"/>
      <c r="Q203" s="30"/>
      <c r="T203" s="30" t="str">
        <v>kanan</v>
      </c>
      <c r="U203" s="30"/>
      <c r="V203" s="30"/>
    </row>
    <row r="204" spans="5:22">
      <c r="E204" s="30" t="str">
        <v>tengah</v>
      </c>
      <c r="F204" s="30"/>
      <c r="G204" s="30"/>
      <c r="J204" s="30" t="str">
        <v>tengah</v>
      </c>
      <c r="K204" s="30"/>
      <c r="L204" s="30"/>
      <c r="O204" s="30" t="str">
        <v>tengah</v>
      </c>
      <c r="P204" s="30"/>
      <c r="Q204" s="30"/>
      <c r="T204" s="30" t="str">
        <v>tengah</v>
      </c>
      <c r="U204" s="30"/>
      <c r="V204" s="30"/>
    </row>
    <row r="205" spans="5:22">
      <c r="E205" s="30" t="str">
        <v>kanan</v>
      </c>
      <c r="F205" s="30"/>
      <c r="G205" s="30"/>
      <c r="J205" s="30" t="str">
        <v>kiri</v>
      </c>
      <c r="K205" s="30"/>
      <c r="L205" s="30"/>
      <c r="O205" s="30" t="str">
        <v>kanan</v>
      </c>
      <c r="P205" s="30"/>
      <c r="Q205" s="30"/>
      <c r="T205" s="30" t="str">
        <v>kanan</v>
      </c>
      <c r="U205" s="30"/>
      <c r="V205" s="30"/>
    </row>
    <row r="206" spans="5:22">
      <c r="E206" s="30" t="str">
        <v>tengah</v>
      </c>
      <c r="F206" s="30"/>
      <c r="G206" s="30"/>
      <c r="J206" s="30" t="str">
        <v>tengah</v>
      </c>
      <c r="K206" s="30"/>
      <c r="L206" s="30"/>
      <c r="O206" s="30" t="str">
        <v>kiri</v>
      </c>
      <c r="P206" s="30"/>
      <c r="Q206" s="30"/>
      <c r="T206" s="30" t="str">
        <v>tengah</v>
      </c>
      <c r="U206" s="30"/>
      <c r="V206" s="30"/>
    </row>
    <row r="207" spans="5:22">
      <c r="E207" s="30" t="str">
        <v>tengah</v>
      </c>
      <c r="F207" s="30"/>
      <c r="G207" s="30"/>
      <c r="J207" s="30" t="str">
        <v>kiri</v>
      </c>
      <c r="K207" s="30"/>
      <c r="L207" s="30"/>
      <c r="O207" s="30" t="str">
        <v>kiri</v>
      </c>
      <c r="P207" s="30"/>
      <c r="Q207" s="30"/>
      <c r="T207" s="30" t="str">
        <v>kanan</v>
      </c>
      <c r="U207" s="30"/>
      <c r="V207" s="30"/>
    </row>
    <row r="208" spans="5:22">
      <c r="E208" s="30" t="str">
        <v>tengah</v>
      </c>
      <c r="F208" s="30"/>
      <c r="G208" s="30"/>
      <c r="J208" s="30" t="str">
        <v>tengah</v>
      </c>
      <c r="K208" s="30"/>
      <c r="L208" s="30"/>
      <c r="O208" s="30" t="str">
        <v>tengah</v>
      </c>
      <c r="P208" s="30"/>
      <c r="Q208" s="30"/>
      <c r="T208" s="30" t="str">
        <v>kanan</v>
      </c>
      <c r="U208" s="30"/>
      <c r="V208" s="30"/>
    </row>
    <row r="209" spans="5:22">
      <c r="E209" s="30" t="str">
        <v>kiri</v>
      </c>
      <c r="F209" s="30"/>
      <c r="G209" s="30"/>
      <c r="J209" s="30" t="str">
        <v>tengah</v>
      </c>
      <c r="K209" s="30"/>
      <c r="L209" s="30"/>
      <c r="O209" s="30" t="str">
        <v>kiri</v>
      </c>
      <c r="P209" s="30"/>
      <c r="Q209" s="30"/>
      <c r="T209" s="30" t="str">
        <v>tengah</v>
      </c>
      <c r="U209" s="30"/>
      <c r="V209" s="30"/>
    </row>
    <row r="210" spans="5:22">
      <c r="E210" s="30" t="str">
        <v>tengah</v>
      </c>
      <c r="F210" s="30"/>
      <c r="G210" s="30"/>
      <c r="J210" s="30" t="str">
        <v>tengah</v>
      </c>
      <c r="K210" s="30"/>
      <c r="L210" s="30"/>
      <c r="O210" s="30" t="str">
        <v>kanan</v>
      </c>
      <c r="P210" s="30"/>
      <c r="Q210" s="30"/>
      <c r="T210" s="30" t="str">
        <v>kanan</v>
      </c>
      <c r="U210" s="30"/>
      <c r="V210" s="30"/>
    </row>
    <row r="211" spans="5:22">
      <c r="E211" s="30" t="str">
        <v>kanan</v>
      </c>
      <c r="F211" s="30"/>
      <c r="G211" s="30"/>
      <c r="J211" s="30" t="str">
        <v>tengah</v>
      </c>
      <c r="K211" s="30"/>
      <c r="L211" s="30"/>
      <c r="O211" s="30" t="str">
        <v>tengah</v>
      </c>
      <c r="P211" s="30"/>
      <c r="Q211" s="30"/>
      <c r="T211" s="30" t="str">
        <v>kanan</v>
      </c>
      <c r="U211" s="30"/>
      <c r="V211" s="30"/>
    </row>
    <row r="212" spans="5:22">
      <c r="E212" s="30" t="str">
        <v>tengah</v>
      </c>
      <c r="F212" s="30"/>
      <c r="G212" s="30"/>
      <c r="J212" s="30" t="str">
        <v>tengah</v>
      </c>
      <c r="K212" s="30"/>
      <c r="L212" s="30"/>
      <c r="O212" s="30" t="str">
        <v>kanan</v>
      </c>
      <c r="P212" s="30"/>
      <c r="Q212" s="30"/>
      <c r="T212" s="30" t="str">
        <v>kanan</v>
      </c>
      <c r="U212" s="30"/>
      <c r="V212" s="30"/>
    </row>
    <row r="213" spans="5:22">
      <c r="E213" s="30" t="str">
        <v>kiri</v>
      </c>
      <c r="F213" s="30"/>
      <c r="G213" s="30"/>
      <c r="J213" s="30" t="str">
        <v>kanan</v>
      </c>
      <c r="K213" s="30"/>
      <c r="L213" s="30"/>
      <c r="O213" s="30" t="str">
        <v>tengah</v>
      </c>
      <c r="P213" s="30"/>
      <c r="Q213" s="30"/>
      <c r="T213" s="30" t="str">
        <v>kanan</v>
      </c>
      <c r="U213" s="30"/>
      <c r="V213" s="30"/>
    </row>
    <row r="214" spans="5:22">
      <c r="E214" s="30" t="str">
        <v>tengah</v>
      </c>
      <c r="F214" s="30"/>
      <c r="G214" s="30"/>
      <c r="J214" s="30" t="str">
        <v>kanan</v>
      </c>
      <c r="K214" s="30"/>
      <c r="L214" s="30"/>
      <c r="O214" s="30" t="str">
        <v>kiri</v>
      </c>
      <c r="P214" s="30"/>
      <c r="Q214" s="30"/>
      <c r="T214" s="30" t="str">
        <v>kanan</v>
      </c>
      <c r="U214" s="30"/>
      <c r="V214" s="30"/>
    </row>
    <row r="215" spans="5:22">
      <c r="E215" s="30" t="str">
        <v>tengah</v>
      </c>
      <c r="F215" s="30"/>
      <c r="G215" s="30"/>
      <c r="J215" s="30" t="str">
        <v>kiri</v>
      </c>
      <c r="K215" s="30"/>
      <c r="L215" s="30"/>
      <c r="O215" s="30" t="str">
        <v>kiri</v>
      </c>
      <c r="P215" s="30"/>
      <c r="Q215" s="30"/>
      <c r="T215" s="30" t="str">
        <v>kanan</v>
      </c>
      <c r="U215" s="30"/>
      <c r="V215" s="30"/>
    </row>
    <row r="216" spans="5:22">
      <c r="E216" s="30" t="str">
        <v>kiri</v>
      </c>
      <c r="F216" s="30"/>
      <c r="G216" s="30"/>
      <c r="J216" s="30" t="str">
        <v>tengah</v>
      </c>
      <c r="K216" s="30"/>
      <c r="L216" s="30"/>
      <c r="O216" s="30" t="str">
        <v>tengah</v>
      </c>
      <c r="P216" s="30"/>
      <c r="Q216" s="30"/>
      <c r="T216" s="30" t="str">
        <v>tengah</v>
      </c>
      <c r="U216" s="30"/>
      <c r="V216" s="30"/>
    </row>
    <row r="217" spans="5:22">
      <c r="E217" s="30" t="str">
        <v>tengah</v>
      </c>
      <c r="F217" s="30"/>
      <c r="G217" s="30"/>
      <c r="J217" s="30" t="str">
        <v>kiri</v>
      </c>
      <c r="K217" s="30"/>
      <c r="L217" s="30"/>
      <c r="O217" s="30" t="str">
        <v>kiri</v>
      </c>
      <c r="P217" s="30"/>
      <c r="Q217" s="30"/>
      <c r="T217" s="30" t="str">
        <v>kanan</v>
      </c>
      <c r="U217" s="30"/>
      <c r="V217" s="30"/>
    </row>
    <row r="218" spans="5:22">
      <c r="E218" s="30" t="str">
        <v>kanan</v>
      </c>
      <c r="F218" s="30"/>
      <c r="G218" s="30"/>
      <c r="J218" s="30" t="str">
        <v>kanan</v>
      </c>
      <c r="K218" s="30"/>
      <c r="L218" s="30"/>
      <c r="O218" s="30" t="str">
        <v>kiri</v>
      </c>
      <c r="P218" s="30"/>
      <c r="Q218" s="30"/>
      <c r="T218" s="30" t="str">
        <v>kanan</v>
      </c>
      <c r="U218" s="30"/>
      <c r="V218" s="30"/>
    </row>
    <row r="219" spans="5:22">
      <c r="E219" s="30" t="str">
        <v>tengah</v>
      </c>
      <c r="F219" s="30"/>
      <c r="G219" s="30"/>
      <c r="J219" s="30" t="str">
        <v>tengah</v>
      </c>
      <c r="K219" s="30"/>
      <c r="L219" s="30"/>
      <c r="O219" s="30" t="str">
        <v>tengah</v>
      </c>
      <c r="P219" s="30"/>
      <c r="Q219" s="30"/>
      <c r="T219" s="30" t="str">
        <v>tengah</v>
      </c>
      <c r="U219" s="30"/>
      <c r="V219" s="30"/>
    </row>
    <row r="220" spans="5:22">
      <c r="E220" s="30" t="str">
        <v>tengah</v>
      </c>
      <c r="F220" s="30"/>
      <c r="G220" s="30"/>
      <c r="J220" s="30" t="str">
        <v>tengah</v>
      </c>
      <c r="K220" s="30"/>
      <c r="L220" s="30"/>
      <c r="O220" s="30" t="str">
        <v>tengah</v>
      </c>
      <c r="P220" s="30"/>
      <c r="Q220" s="30"/>
      <c r="T220" s="30" t="str">
        <v>tengah</v>
      </c>
      <c r="U220" s="30"/>
      <c r="V220" s="30"/>
    </row>
    <row r="221" spans="5:22">
      <c r="E221" s="30" t="str">
        <v>kanan</v>
      </c>
      <c r="F221" s="30"/>
      <c r="G221" s="30"/>
      <c r="J221" s="30" t="str">
        <v>tengah</v>
      </c>
      <c r="K221" s="30"/>
      <c r="L221" s="30"/>
      <c r="O221" s="30" t="str">
        <v>kanan</v>
      </c>
      <c r="P221" s="30"/>
      <c r="Q221" s="30"/>
      <c r="T221" s="30" t="str">
        <v>kanan</v>
      </c>
      <c r="U221" s="30"/>
      <c r="V221" s="30"/>
    </row>
    <row r="222" spans="5:22">
      <c r="E222" s="30" t="str">
        <v>kiri</v>
      </c>
      <c r="F222" s="30"/>
      <c r="G222" s="30"/>
      <c r="J222" s="30" t="str">
        <v>tengah</v>
      </c>
      <c r="K222" s="30"/>
      <c r="L222" s="30"/>
      <c r="O222" s="30" t="str">
        <v>tengah</v>
      </c>
      <c r="P222" s="30"/>
      <c r="Q222" s="30"/>
      <c r="T222" s="30" t="str">
        <v>kanan</v>
      </c>
      <c r="U222" s="30"/>
      <c r="V222" s="30"/>
    </row>
    <row r="223" spans="5:22">
      <c r="E223" s="30" t="str">
        <v>kanan</v>
      </c>
      <c r="F223" s="30"/>
      <c r="G223" s="30"/>
      <c r="J223" s="30" t="str">
        <v>kanan</v>
      </c>
      <c r="K223" s="30"/>
      <c r="L223" s="30"/>
      <c r="O223" s="30" t="str">
        <v>tengah</v>
      </c>
      <c r="P223" s="30"/>
      <c r="Q223" s="30"/>
      <c r="T223" s="30" t="str">
        <v>tengah</v>
      </c>
      <c r="U223" s="30"/>
      <c r="V223" s="30"/>
    </row>
    <row r="224" spans="5:22">
      <c r="E224" s="30" t="str">
        <v>kanan</v>
      </c>
      <c r="F224" s="30"/>
      <c r="G224" s="30"/>
      <c r="J224" s="30" t="str">
        <v>kanan</v>
      </c>
      <c r="K224" s="30"/>
      <c r="L224" s="30"/>
      <c r="O224" s="30" t="str">
        <v>kiri</v>
      </c>
      <c r="P224" s="30"/>
      <c r="Q224" s="30"/>
      <c r="T224" s="30" t="str">
        <v>kanan</v>
      </c>
      <c r="U224" s="30"/>
      <c r="V224" s="30"/>
    </row>
    <row r="225" spans="5:22">
      <c r="E225" s="30" t="str">
        <v>tengah</v>
      </c>
      <c r="F225" s="30"/>
      <c r="G225" s="30"/>
      <c r="J225" s="30" t="str">
        <v>tengah</v>
      </c>
      <c r="K225" s="30"/>
      <c r="L225" s="30"/>
      <c r="O225" s="30" t="str">
        <v>kanan</v>
      </c>
      <c r="P225" s="30"/>
      <c r="Q225" s="30"/>
      <c r="T225" s="30" t="str">
        <v>tengah</v>
      </c>
      <c r="U225" s="30"/>
      <c r="V225" s="30"/>
    </row>
    <row r="226" spans="5:22">
      <c r="E226" s="30" t="str">
        <v>tengah</v>
      </c>
      <c r="F226" s="30"/>
      <c r="G226" s="30"/>
      <c r="J226" s="30" t="str">
        <v>kanan</v>
      </c>
      <c r="K226" s="30"/>
      <c r="L226" s="30"/>
      <c r="O226" s="30" t="str">
        <v>kiri</v>
      </c>
      <c r="P226" s="30"/>
      <c r="Q226" s="30"/>
      <c r="T226" s="30" t="str">
        <v>tengah</v>
      </c>
      <c r="U226" s="30"/>
      <c r="V226" s="30"/>
    </row>
    <row r="227" spans="5:22">
      <c r="E227" s="30" t="str">
        <v>tengah</v>
      </c>
      <c r="F227" s="30"/>
      <c r="G227" s="30"/>
      <c r="J227" s="30" t="str">
        <v>tengah</v>
      </c>
      <c r="K227" s="30"/>
      <c r="L227" s="30"/>
      <c r="O227" s="30" t="str">
        <v>kiri</v>
      </c>
      <c r="P227" s="30"/>
      <c r="Q227" s="30"/>
      <c r="T227" s="30" t="str">
        <v>kanan</v>
      </c>
      <c r="U227" s="30"/>
      <c r="V227" s="30"/>
    </row>
    <row r="228" spans="5:22">
      <c r="E228" s="30" t="str">
        <v>tengah</v>
      </c>
      <c r="F228" s="30"/>
      <c r="G228" s="30"/>
      <c r="J228" s="30" t="str">
        <v>kiri</v>
      </c>
      <c r="K228" s="30"/>
      <c r="L228" s="30"/>
      <c r="O228" s="30" t="str">
        <v>tengah</v>
      </c>
      <c r="P228" s="30"/>
      <c r="Q228" s="30"/>
      <c r="T228" s="30" t="str">
        <v>kanan</v>
      </c>
      <c r="U228" s="30"/>
      <c r="V228" s="30"/>
    </row>
    <row r="229" spans="5:22">
      <c r="E229" s="30" t="str">
        <v>kanan</v>
      </c>
      <c r="F229" s="30"/>
      <c r="G229" s="30"/>
      <c r="J229" s="30" t="str">
        <v>tengah</v>
      </c>
      <c r="K229" s="30"/>
      <c r="L229" s="30"/>
      <c r="O229" s="30" t="str">
        <v>tengah</v>
      </c>
      <c r="P229" s="30"/>
      <c r="Q229" s="30"/>
      <c r="T229" s="30" t="str">
        <v>tengah</v>
      </c>
      <c r="U229" s="30"/>
      <c r="V229" s="30"/>
    </row>
    <row r="230" spans="5:22">
      <c r="E230" s="30" t="str">
        <v>kiri</v>
      </c>
      <c r="F230" s="30"/>
      <c r="G230" s="30"/>
      <c r="J230" s="30" t="str">
        <v>kanan</v>
      </c>
      <c r="K230" s="30"/>
      <c r="L230" s="30"/>
      <c r="O230" s="30" t="str">
        <v>kiri</v>
      </c>
      <c r="P230" s="30"/>
      <c r="Q230" s="30"/>
      <c r="T230" s="30" t="str">
        <v>tengah</v>
      </c>
      <c r="U230" s="30"/>
      <c r="V230" s="30"/>
    </row>
    <row r="231" spans="5:22">
      <c r="E231" s="30" t="str">
        <v>kiri</v>
      </c>
      <c r="F231" s="30"/>
      <c r="G231" s="30"/>
      <c r="J231" s="30" t="str">
        <v>tengah</v>
      </c>
      <c r="K231" s="30"/>
      <c r="L231" s="30"/>
      <c r="O231" s="30" t="str">
        <v>tengah</v>
      </c>
      <c r="P231" s="30"/>
      <c r="Q231" s="30"/>
      <c r="T231" s="30" t="str">
        <v>tengah</v>
      </c>
      <c r="U231" s="30"/>
      <c r="V231" s="30"/>
    </row>
    <row r="232" spans="5:22">
      <c r="E232" s="30" t="str">
        <v>kiri</v>
      </c>
      <c r="F232" s="30"/>
      <c r="G232" s="30"/>
      <c r="J232" s="30" t="str">
        <v>tengah</v>
      </c>
      <c r="K232" s="30"/>
      <c r="L232" s="30"/>
      <c r="O232" s="30" t="str">
        <v>tengah</v>
      </c>
      <c r="P232" s="30"/>
      <c r="Q232" s="30"/>
      <c r="T232" s="30" t="str">
        <v>kanan</v>
      </c>
      <c r="U232" s="30"/>
      <c r="V232" s="30"/>
    </row>
    <row r="233" spans="5:22">
      <c r="E233" s="30" t="str">
        <v>tengah</v>
      </c>
      <c r="F233" s="30"/>
      <c r="G233" s="30"/>
      <c r="J233" s="30" t="str">
        <v>tengah</v>
      </c>
      <c r="K233" s="30"/>
      <c r="L233" s="30"/>
      <c r="O233" s="30" t="str">
        <v>tengah</v>
      </c>
      <c r="P233" s="30"/>
      <c r="Q233" s="30"/>
      <c r="T233" s="30" t="str">
        <v>kanan</v>
      </c>
      <c r="U233" s="30"/>
      <c r="V233" s="30"/>
    </row>
    <row r="234" spans="5:22">
      <c r="E234" s="30" t="str">
        <v>kanan</v>
      </c>
      <c r="F234" s="30"/>
      <c r="G234" s="30"/>
      <c r="J234" s="30" t="str">
        <v>kiri</v>
      </c>
      <c r="K234" s="30"/>
      <c r="L234" s="30"/>
      <c r="O234" s="30" t="str">
        <v>tengah</v>
      </c>
      <c r="P234" s="30"/>
      <c r="Q234" s="30"/>
      <c r="T234" s="30" t="str">
        <v>kanan</v>
      </c>
      <c r="U234" s="30"/>
      <c r="V234" s="30"/>
    </row>
    <row r="235" spans="5:22">
      <c r="E235" s="30" t="str">
        <v>kanan</v>
      </c>
      <c r="F235" s="30"/>
      <c r="G235" s="30"/>
      <c r="J235" s="30" t="str">
        <v>kanan</v>
      </c>
      <c r="K235" s="30"/>
      <c r="L235" s="30"/>
      <c r="O235" s="30" t="str">
        <v>tengah</v>
      </c>
      <c r="P235" s="30"/>
      <c r="Q235" s="30"/>
      <c r="T235" s="30" t="str">
        <v>kanan</v>
      </c>
      <c r="U235" s="30"/>
      <c r="V235" s="30"/>
    </row>
    <row r="236" spans="5:22">
      <c r="E236" s="30" t="str">
        <v>kiri</v>
      </c>
      <c r="F236" s="30"/>
      <c r="G236" s="30"/>
      <c r="J236" s="30" t="str">
        <v>kiri</v>
      </c>
      <c r="K236" s="30"/>
      <c r="L236" s="30"/>
      <c r="O236" s="30" t="str">
        <v>kanan</v>
      </c>
      <c r="P236" s="30"/>
      <c r="Q236" s="30"/>
      <c r="T236" s="30" t="str">
        <v>kanan</v>
      </c>
      <c r="U236" s="30"/>
      <c r="V236" s="30"/>
    </row>
    <row r="237" spans="5:22">
      <c r="E237" s="30" t="str">
        <v>kiri</v>
      </c>
      <c r="F237" s="30"/>
      <c r="G237" s="30"/>
      <c r="J237" s="30" t="str">
        <v>tengah</v>
      </c>
      <c r="K237" s="30"/>
      <c r="L237" s="30"/>
      <c r="O237" s="30" t="str">
        <v>tengah</v>
      </c>
      <c r="P237" s="30"/>
      <c r="Q237" s="30"/>
      <c r="T237" s="30" t="str">
        <v>tengah</v>
      </c>
      <c r="U237" s="30"/>
      <c r="V237" s="30"/>
    </row>
    <row r="238" spans="5:22">
      <c r="E238" s="30" t="str">
        <v>kiri</v>
      </c>
      <c r="F238" s="30"/>
      <c r="G238" s="30"/>
      <c r="J238" s="30" t="str">
        <v>tengah</v>
      </c>
      <c r="K238" s="30"/>
      <c r="L238" s="30"/>
      <c r="O238" s="30" t="str">
        <v>kanan</v>
      </c>
      <c r="P238" s="30"/>
      <c r="Q238" s="30"/>
      <c r="T238" s="30" t="str">
        <v>tengah</v>
      </c>
      <c r="U238" s="30"/>
      <c r="V238" s="30"/>
    </row>
    <row r="239" spans="5:22">
      <c r="E239" s="30" t="str">
        <v>kiri</v>
      </c>
      <c r="F239" s="30"/>
      <c r="G239" s="30"/>
      <c r="J239" s="30" t="str">
        <v>tengah</v>
      </c>
      <c r="K239" s="30"/>
      <c r="L239" s="30"/>
      <c r="O239" s="30" t="str">
        <v>tengah</v>
      </c>
      <c r="P239" s="30"/>
      <c r="Q239" s="30"/>
      <c r="T239" s="30" t="str">
        <v>kanan</v>
      </c>
      <c r="U239" s="30"/>
      <c r="V239" s="30"/>
    </row>
    <row r="240" spans="5:22">
      <c r="E240" s="30" t="str">
        <v>tengah</v>
      </c>
      <c r="F240" s="30"/>
      <c r="G240" s="30"/>
      <c r="J240" s="30" t="str">
        <v>tengah</v>
      </c>
      <c r="K240" s="30"/>
      <c r="L240" s="30"/>
      <c r="O240" s="30" t="str">
        <v>kanan</v>
      </c>
      <c r="P240" s="30"/>
      <c r="Q240" s="30"/>
      <c r="T240" s="30" t="str">
        <v>kanan</v>
      </c>
      <c r="U240" s="30"/>
      <c r="V240" s="30"/>
    </row>
    <row r="241" spans="5:22">
      <c r="E241" s="30" t="str">
        <v>tengah</v>
      </c>
      <c r="F241" s="30"/>
      <c r="G241" s="30"/>
      <c r="J241" s="30" t="str">
        <v>tengah</v>
      </c>
      <c r="K241" s="30"/>
      <c r="L241" s="30"/>
      <c r="O241" s="30" t="str">
        <v>kiri</v>
      </c>
      <c r="P241" s="30"/>
      <c r="Q241" s="30"/>
      <c r="T241" s="30" t="str">
        <v>kanan</v>
      </c>
      <c r="U241" s="30"/>
      <c r="V241" s="30"/>
    </row>
    <row r="242" spans="5:22">
      <c r="E242" s="30" t="str">
        <v>kiri</v>
      </c>
      <c r="F242" s="30"/>
      <c r="G242" s="30"/>
      <c r="J242" s="30" t="str">
        <v>tengah</v>
      </c>
      <c r="K242" s="30"/>
      <c r="L242" s="30"/>
      <c r="O242" s="30" t="str">
        <v>tengah</v>
      </c>
      <c r="P242" s="30"/>
      <c r="Q242" s="30"/>
      <c r="T242" s="30" t="str">
        <v>kanan</v>
      </c>
      <c r="U242" s="30"/>
      <c r="V242" s="30"/>
    </row>
    <row r="243" spans="5:22">
      <c r="E243" s="30" t="str">
        <v>tengah</v>
      </c>
      <c r="F243" s="30"/>
      <c r="G243" s="30"/>
      <c r="J243" s="30" t="str">
        <v>kanan</v>
      </c>
      <c r="K243" s="30"/>
      <c r="L243" s="30"/>
      <c r="O243" s="30" t="str">
        <v>kanan</v>
      </c>
      <c r="P243" s="30"/>
      <c r="Q243" s="30"/>
      <c r="T243" s="30" t="str">
        <v>tengah</v>
      </c>
      <c r="U243" s="30"/>
      <c r="V243" s="30"/>
    </row>
    <row r="244" spans="5:22">
      <c r="E244" s="30" t="str">
        <v>tengah</v>
      </c>
      <c r="F244" s="30"/>
      <c r="G244" s="30"/>
      <c r="J244" s="30" t="str">
        <v>kiri</v>
      </c>
      <c r="K244" s="30"/>
      <c r="L244" s="30"/>
      <c r="O244" s="30" t="str">
        <v>tengah</v>
      </c>
      <c r="P244" s="30"/>
      <c r="Q244" s="30"/>
      <c r="T244" s="30" t="str">
        <v>kanan</v>
      </c>
      <c r="U244" s="30"/>
      <c r="V244" s="30"/>
    </row>
    <row r="245" spans="5:22">
      <c r="E245" s="30" t="str">
        <v>tengah</v>
      </c>
      <c r="F245" s="30"/>
      <c r="G245" s="30"/>
      <c r="J245" s="30" t="str">
        <v>kiri</v>
      </c>
      <c r="K245" s="30"/>
      <c r="L245" s="30"/>
      <c r="O245" s="30" t="str">
        <v>tengah</v>
      </c>
      <c r="P245" s="30"/>
      <c r="Q245" s="30"/>
      <c r="T245" s="30" t="str">
        <v>kanan</v>
      </c>
      <c r="U245" s="30"/>
      <c r="V245" s="30"/>
    </row>
    <row r="246" spans="5:22">
      <c r="E246" s="30" t="str">
        <v>kanan</v>
      </c>
      <c r="F246" s="30"/>
      <c r="G246" s="30"/>
      <c r="J246" s="30" t="str">
        <v>kanan</v>
      </c>
      <c r="K246" s="30"/>
      <c r="L246" s="30"/>
      <c r="O246" s="30" t="str">
        <v>tengah</v>
      </c>
      <c r="P246" s="30"/>
      <c r="Q246" s="30"/>
      <c r="T246" s="30" t="str">
        <v>tengah</v>
      </c>
      <c r="U246" s="30"/>
      <c r="V246" s="30"/>
    </row>
    <row r="247" spans="5:22">
      <c r="E247" s="30" t="str">
        <v>kanan</v>
      </c>
      <c r="F247" s="30"/>
      <c r="G247" s="30"/>
      <c r="J247" s="30" t="str">
        <v>tengah</v>
      </c>
      <c r="K247" s="30"/>
      <c r="L247" s="30"/>
      <c r="O247" s="30" t="str">
        <v>kanan</v>
      </c>
      <c r="P247" s="30"/>
      <c r="Q247" s="30"/>
      <c r="T247" s="30" t="str">
        <v>kanan</v>
      </c>
      <c r="U247" s="30"/>
      <c r="V247" s="30"/>
    </row>
    <row r="248" spans="5:22">
      <c r="E248" s="30" t="str">
        <v>tengah</v>
      </c>
      <c r="F248" s="30"/>
      <c r="G248" s="30"/>
      <c r="J248" s="30" t="str">
        <v>tengah</v>
      </c>
      <c r="K248" s="30"/>
      <c r="L248" s="30"/>
      <c r="O248" s="30" t="str">
        <v>tengah</v>
      </c>
      <c r="P248" s="30"/>
      <c r="Q248" s="30"/>
      <c r="T248" s="30" t="str">
        <v>kanan</v>
      </c>
      <c r="U248" s="30"/>
      <c r="V248" s="30"/>
    </row>
    <row r="249" spans="5:22">
      <c r="E249" s="30" t="str">
        <v>kiri</v>
      </c>
      <c r="F249" s="30"/>
      <c r="G249" s="30"/>
      <c r="J249" s="30" t="str">
        <v>kanan</v>
      </c>
      <c r="K249" s="30"/>
      <c r="L249" s="30"/>
      <c r="O249" s="30" t="str">
        <v>kiri</v>
      </c>
      <c r="P249" s="30"/>
      <c r="Q249" s="30"/>
      <c r="T249" s="30" t="str">
        <v>tengah</v>
      </c>
      <c r="U249" s="30"/>
      <c r="V249" s="30"/>
    </row>
    <row r="250" spans="5:22">
      <c r="E250" s="30" t="str">
        <v>kiri</v>
      </c>
      <c r="F250" s="30"/>
      <c r="G250" s="30"/>
      <c r="J250" s="30" t="str">
        <v>tengah</v>
      </c>
      <c r="K250" s="30"/>
      <c r="L250" s="30"/>
      <c r="O250" s="30" t="str">
        <v>tengah</v>
      </c>
      <c r="P250" s="30"/>
      <c r="Q250" s="30"/>
      <c r="T250" s="30" t="str">
        <v>kanan</v>
      </c>
      <c r="U250" s="30"/>
      <c r="V250" s="30"/>
    </row>
    <row r="251" spans="5:22">
      <c r="E251" s="30" t="str">
        <v>tengah</v>
      </c>
      <c r="F251" s="30"/>
      <c r="G251" s="30"/>
      <c r="J251" s="30" t="str">
        <v>tengah</v>
      </c>
      <c r="K251" s="30"/>
      <c r="L251" s="30"/>
      <c r="O251" s="30" t="str">
        <v>kanan</v>
      </c>
      <c r="P251" s="30"/>
      <c r="Q251" s="30"/>
      <c r="T251" s="30" t="str">
        <v>kanan</v>
      </c>
      <c r="U251" s="30"/>
      <c r="V251" s="30"/>
    </row>
    <row r="252" spans="5:22">
      <c r="E252" s="30" t="str">
        <v>tengah</v>
      </c>
      <c r="F252" s="30"/>
      <c r="G252" s="30"/>
      <c r="J252" s="30" t="str">
        <v>tengah</v>
      </c>
      <c r="K252" s="30"/>
      <c r="L252" s="30"/>
      <c r="O252" s="30" t="str">
        <v>kiri</v>
      </c>
      <c r="P252" s="30"/>
      <c r="Q252" s="30"/>
      <c r="T252" s="30" t="str">
        <v>kanan</v>
      </c>
      <c r="U252" s="30"/>
      <c r="V252" s="30"/>
    </row>
    <row r="253" spans="5:22">
      <c r="E253" s="30" t="str">
        <v>tengah</v>
      </c>
      <c r="F253" s="30"/>
      <c r="G253" s="30"/>
      <c r="J253" s="30" t="str">
        <v>kanan</v>
      </c>
      <c r="K253" s="30"/>
      <c r="L253" s="30"/>
      <c r="O253" s="30" t="str">
        <v>tengah</v>
      </c>
      <c r="P253" s="30"/>
      <c r="Q253" s="30"/>
      <c r="T253" s="30" t="str">
        <v>kanan</v>
      </c>
      <c r="U253" s="30"/>
      <c r="V253" s="30"/>
    </row>
    <row r="254" spans="5:22">
      <c r="E254" s="30" t="str">
        <v>kiri</v>
      </c>
      <c r="F254" s="30"/>
      <c r="G254" s="30"/>
      <c r="J254" s="30" t="str">
        <v>tengah</v>
      </c>
      <c r="K254" s="30"/>
      <c r="L254" s="30"/>
      <c r="O254" s="30" t="str">
        <v>tengah</v>
      </c>
      <c r="P254" s="30"/>
      <c r="Q254" s="30"/>
      <c r="T254" s="30" t="str">
        <v>kanan</v>
      </c>
      <c r="U254" s="30"/>
      <c r="V254" s="30"/>
    </row>
    <row r="255" spans="5:22">
      <c r="E255" s="30" t="str">
        <v>tengah</v>
      </c>
      <c r="F255" s="30"/>
      <c r="G255" s="30"/>
      <c r="J255" s="30" t="str">
        <v>kanan</v>
      </c>
      <c r="K255" s="30"/>
      <c r="L255" s="30"/>
      <c r="O255" s="30" t="str">
        <v>kiri</v>
      </c>
      <c r="P255" s="30"/>
      <c r="Q255" s="30"/>
      <c r="T255" s="30" t="str">
        <v>kanan</v>
      </c>
      <c r="U255" s="30"/>
      <c r="V255" s="30"/>
    </row>
    <row r="256" spans="5:22">
      <c r="E256" s="30" t="str">
        <v>tengah</v>
      </c>
      <c r="F256" s="30"/>
      <c r="G256" s="30"/>
      <c r="J256" s="30" t="str">
        <v>tengah</v>
      </c>
      <c r="K256" s="30"/>
      <c r="L256" s="30"/>
      <c r="O256" s="30" t="str">
        <v>tengah</v>
      </c>
      <c r="P256" s="30"/>
      <c r="Q256" s="30"/>
      <c r="T256" s="30" t="str">
        <v>tengah</v>
      </c>
      <c r="U256" s="30"/>
      <c r="V256" s="30"/>
    </row>
    <row r="257" spans="5:22">
      <c r="E257" s="30" t="str">
        <v>tengah</v>
      </c>
      <c r="F257" s="30"/>
      <c r="G257" s="30"/>
      <c r="J257" s="30" t="str">
        <v>tengah</v>
      </c>
      <c r="K257" s="30"/>
      <c r="L257" s="30"/>
      <c r="O257" s="30" t="str">
        <v>kanan</v>
      </c>
      <c r="P257" s="30"/>
      <c r="Q257" s="30"/>
      <c r="T257" s="30" t="str">
        <v>tengah</v>
      </c>
      <c r="U257" s="30"/>
      <c r="V257" s="30"/>
    </row>
    <row r="258" spans="5:22">
      <c r="E258" s="30" t="str">
        <v>tengah</v>
      </c>
      <c r="F258" s="30"/>
      <c r="G258" s="30"/>
      <c r="J258" s="30" t="str">
        <v>kiri</v>
      </c>
      <c r="K258" s="30"/>
      <c r="L258" s="30"/>
      <c r="O258" s="30" t="str">
        <v>kiri</v>
      </c>
      <c r="P258" s="30"/>
      <c r="Q258" s="30"/>
      <c r="T258" s="30" t="str">
        <v>tengah</v>
      </c>
      <c r="U258" s="30"/>
      <c r="V258" s="30"/>
    </row>
    <row r="259" spans="5:22">
      <c r="E259" s="30" t="str">
        <v>tengah</v>
      </c>
      <c r="F259" s="30"/>
      <c r="G259" s="30"/>
      <c r="J259" s="30" t="str">
        <v>kanan</v>
      </c>
      <c r="K259" s="30"/>
      <c r="L259" s="30"/>
      <c r="O259" s="30" t="str">
        <v>tengah</v>
      </c>
      <c r="P259" s="30"/>
      <c r="Q259" s="30"/>
      <c r="T259" s="30" t="str">
        <v>kanan</v>
      </c>
      <c r="U259" s="30"/>
      <c r="V259" s="30"/>
    </row>
    <row r="260" spans="5:22">
      <c r="E260" s="30" t="str">
        <v>tengah</v>
      </c>
      <c r="F260" s="30"/>
      <c r="G260" s="30"/>
      <c r="J260" s="30" t="str">
        <v>kiri</v>
      </c>
      <c r="K260" s="30"/>
      <c r="L260" s="30"/>
      <c r="O260" s="30" t="str">
        <v>tengah</v>
      </c>
      <c r="P260" s="30"/>
      <c r="Q260" s="30"/>
      <c r="T260" s="30" t="str">
        <v>tengah</v>
      </c>
      <c r="U260" s="30"/>
      <c r="V260" s="30"/>
    </row>
    <row r="261" spans="5:22">
      <c r="E261" s="30" t="str">
        <v>tengah</v>
      </c>
      <c r="F261" s="30"/>
      <c r="G261" s="30"/>
      <c r="J261" s="30" t="str">
        <v>kiri</v>
      </c>
      <c r="K261" s="30"/>
      <c r="L261" s="30"/>
      <c r="O261" s="30" t="str">
        <v>kiri</v>
      </c>
      <c r="P261" s="30"/>
      <c r="Q261" s="30"/>
      <c r="T261" s="30" t="str">
        <v>tengah</v>
      </c>
      <c r="U261" s="30"/>
      <c r="V261" s="30"/>
    </row>
    <row r="262" spans="5:22">
      <c r="E262" s="30" t="str">
        <v>tengah</v>
      </c>
      <c r="F262" s="30"/>
      <c r="G262" s="30"/>
      <c r="J262" s="30" t="str">
        <v>tengah</v>
      </c>
      <c r="K262" s="30"/>
      <c r="L262" s="30"/>
      <c r="O262" s="30" t="str">
        <v>tengah</v>
      </c>
      <c r="P262" s="30"/>
      <c r="Q262" s="30"/>
      <c r="T262" s="30" t="str">
        <v>tengah</v>
      </c>
      <c r="U262" s="30"/>
      <c r="V262" s="30"/>
    </row>
    <row r="263" spans="5:22">
      <c r="E263" s="30" t="str">
        <v>kanan</v>
      </c>
      <c r="F263" s="30"/>
      <c r="G263" s="30"/>
      <c r="J263" s="30" t="str">
        <v>tengah</v>
      </c>
      <c r="K263" s="30"/>
      <c r="L263" s="30"/>
      <c r="O263" s="30" t="str">
        <v>kanan</v>
      </c>
      <c r="P263" s="30"/>
      <c r="Q263" s="30"/>
      <c r="T263" s="30" t="str">
        <v>kanan</v>
      </c>
      <c r="U263" s="30"/>
      <c r="V263" s="30"/>
    </row>
    <row r="264" spans="5:22">
      <c r="E264" s="30" t="str">
        <v>tengah</v>
      </c>
      <c r="F264" s="30"/>
      <c r="G264" s="30"/>
      <c r="J264" s="30" t="str">
        <v>tengah</v>
      </c>
      <c r="K264" s="30"/>
      <c r="L264" s="30"/>
      <c r="O264" s="30" t="str">
        <v>kiri</v>
      </c>
      <c r="P264" s="30"/>
      <c r="Q264" s="30"/>
      <c r="T264" s="30" t="str">
        <v>kanan</v>
      </c>
      <c r="U264" s="30"/>
      <c r="V264" s="30"/>
    </row>
    <row r="265" spans="5:22">
      <c r="E265" s="30" t="str">
        <v>kanan</v>
      </c>
      <c r="F265" s="30"/>
      <c r="G265" s="30"/>
      <c r="J265" s="30" t="str">
        <v>tengah</v>
      </c>
      <c r="K265" s="30"/>
      <c r="L265" s="30"/>
      <c r="O265" s="30" t="str">
        <v>tengah</v>
      </c>
      <c r="P265" s="30"/>
      <c r="Q265" s="30"/>
      <c r="T265" s="30" t="str">
        <v>tengah</v>
      </c>
      <c r="U265" s="30"/>
      <c r="V265" s="30"/>
    </row>
    <row r="266" spans="5:22">
      <c r="E266" s="30" t="str">
        <v>kiri</v>
      </c>
      <c r="F266" s="30"/>
      <c r="G266" s="30"/>
      <c r="J266" s="30" t="str">
        <v>tengah</v>
      </c>
      <c r="K266" s="30"/>
      <c r="L266" s="30"/>
      <c r="O266" s="30" t="str">
        <v>tengah</v>
      </c>
      <c r="P266" s="30"/>
      <c r="Q266" s="30"/>
      <c r="T266" s="30" t="str">
        <v>kanan</v>
      </c>
      <c r="U266" s="30"/>
      <c r="V266" s="30"/>
    </row>
    <row r="267" spans="5:22">
      <c r="E267" s="30" t="str">
        <v>tengah</v>
      </c>
      <c r="F267" s="30"/>
      <c r="G267" s="30"/>
      <c r="J267" s="30" t="str">
        <v>kanan</v>
      </c>
      <c r="K267" s="30"/>
      <c r="L267" s="30"/>
      <c r="O267" s="30" t="str">
        <v>tengah</v>
      </c>
      <c r="P267" s="30"/>
      <c r="Q267" s="30"/>
      <c r="T267" s="30" t="str">
        <v>tengah</v>
      </c>
      <c r="U267" s="30"/>
      <c r="V267" s="30"/>
    </row>
    <row r="268" spans="5:22">
      <c r="E268" s="30" t="str">
        <v>tengah</v>
      </c>
      <c r="F268" s="30"/>
      <c r="G268" s="30"/>
      <c r="J268" s="30" t="str">
        <v>kiri</v>
      </c>
      <c r="K268" s="30"/>
      <c r="L268" s="30"/>
      <c r="O268" s="30" t="str">
        <v>tengah</v>
      </c>
      <c r="P268" s="30"/>
      <c r="Q268" s="30"/>
      <c r="T268" s="30" t="str">
        <v>kanan</v>
      </c>
      <c r="U268" s="30"/>
      <c r="V268" s="30"/>
    </row>
    <row r="269" spans="5:22">
      <c r="E269" s="30" t="str">
        <v>tengah</v>
      </c>
      <c r="F269" s="30"/>
      <c r="G269" s="30"/>
      <c r="J269" s="30" t="str">
        <v>kanan</v>
      </c>
      <c r="K269" s="30"/>
      <c r="L269" s="30"/>
      <c r="O269" s="30" t="str">
        <v>tengah</v>
      </c>
      <c r="P269" s="30"/>
      <c r="Q269" s="30"/>
      <c r="T269" s="30" t="str">
        <v>kanan</v>
      </c>
      <c r="U269" s="30"/>
      <c r="V269" s="30"/>
    </row>
    <row r="270" spans="5:22">
      <c r="E270" s="30" t="str">
        <v>kanan</v>
      </c>
      <c r="F270" s="30"/>
      <c r="G270" s="30"/>
      <c r="J270" s="30" t="str">
        <v>kanan</v>
      </c>
      <c r="K270" s="30"/>
      <c r="L270" s="30"/>
      <c r="O270" s="30" t="str">
        <v>tengah</v>
      </c>
      <c r="P270" s="30"/>
      <c r="Q270" s="30"/>
      <c r="T270" s="30" t="str">
        <v>kanan</v>
      </c>
      <c r="U270" s="30"/>
      <c r="V270" s="30"/>
    </row>
    <row r="271" spans="5:22">
      <c r="E271" s="30" t="str">
        <v>kiri</v>
      </c>
      <c r="F271" s="30"/>
      <c r="G271" s="30"/>
      <c r="J271" s="30" t="str">
        <v>tengah</v>
      </c>
      <c r="K271" s="30"/>
      <c r="L271" s="30"/>
      <c r="O271" s="30" t="str">
        <v>tengah</v>
      </c>
      <c r="P271" s="30"/>
      <c r="Q271" s="30"/>
      <c r="T271" s="30" t="str">
        <v>tengah</v>
      </c>
      <c r="U271" s="30"/>
      <c r="V271" s="30"/>
    </row>
    <row r="272" spans="5:22">
      <c r="E272" s="30" t="str">
        <v>kiri</v>
      </c>
      <c r="F272" s="30"/>
      <c r="G272" s="30"/>
      <c r="J272" s="30" t="str">
        <v>tengah</v>
      </c>
      <c r="K272" s="30"/>
      <c r="L272" s="30"/>
      <c r="O272" s="30" t="str">
        <v>tengah</v>
      </c>
      <c r="P272" s="30"/>
      <c r="Q272" s="30"/>
      <c r="T272" s="30" t="str">
        <v>tengah</v>
      </c>
      <c r="U272" s="30"/>
      <c r="V272" s="30"/>
    </row>
    <row r="273" spans="5:22">
      <c r="E273" s="30" t="str">
        <v>kiri</v>
      </c>
      <c r="F273" s="30"/>
      <c r="G273" s="30"/>
      <c r="J273" s="30" t="str">
        <v>kiri</v>
      </c>
      <c r="K273" s="30"/>
      <c r="L273" s="30"/>
      <c r="O273" s="30" t="str">
        <v>tengah</v>
      </c>
      <c r="P273" s="30"/>
      <c r="Q273" s="30"/>
      <c r="T273" s="30" t="str">
        <v>tengah</v>
      </c>
      <c r="U273" s="30"/>
      <c r="V273" s="30"/>
    </row>
    <row r="274" spans="5:22">
      <c r="E274" s="30" t="str">
        <v>tengah</v>
      </c>
      <c r="F274" s="30"/>
      <c r="G274" s="30"/>
      <c r="J274" s="30" t="str">
        <v>tengah</v>
      </c>
      <c r="K274" s="30"/>
      <c r="L274" s="30"/>
      <c r="O274" s="30" t="str">
        <v>tengah</v>
      </c>
      <c r="P274" s="30"/>
      <c r="Q274" s="30"/>
      <c r="T274" s="30" t="str">
        <v>tengah</v>
      </c>
      <c r="U274" s="30"/>
      <c r="V274" s="30"/>
    </row>
    <row r="275" spans="5:22">
      <c r="E275" s="30" t="str">
        <v>kiri</v>
      </c>
      <c r="F275" s="30"/>
      <c r="G275" s="30"/>
      <c r="J275" s="30" t="str">
        <v>kiri</v>
      </c>
      <c r="K275" s="30"/>
      <c r="L275" s="30"/>
      <c r="O275" s="30" t="str">
        <v>kanan</v>
      </c>
      <c r="P275" s="30"/>
      <c r="Q275" s="30"/>
      <c r="T275" s="30" t="str">
        <v>tengah</v>
      </c>
      <c r="U275" s="30"/>
      <c r="V275" s="30"/>
    </row>
    <row r="276" spans="5:22">
      <c r="E276" s="30" t="str">
        <v>kiri</v>
      </c>
      <c r="F276" s="30"/>
      <c r="G276" s="30"/>
      <c r="J276" s="30" t="str">
        <v>kiri</v>
      </c>
      <c r="K276" s="30"/>
      <c r="L276" s="30"/>
      <c r="O276" s="30" t="str">
        <v>tengah</v>
      </c>
      <c r="P276" s="30"/>
      <c r="Q276" s="30"/>
      <c r="T276" s="30" t="str">
        <v>tengah</v>
      </c>
      <c r="U276" s="30"/>
      <c r="V276" s="30"/>
    </row>
    <row r="277" spans="5:22">
      <c r="E277" s="30" t="str">
        <v>tengah</v>
      </c>
      <c r="F277" s="30"/>
      <c r="G277" s="30"/>
      <c r="J277" s="30" t="str">
        <v>tengah</v>
      </c>
      <c r="K277" s="30"/>
      <c r="L277" s="30"/>
      <c r="O277" s="30" t="str">
        <v>tengah</v>
      </c>
      <c r="P277" s="30"/>
      <c r="Q277" s="30"/>
      <c r="T277" s="30" t="str">
        <v>kanan</v>
      </c>
      <c r="U277" s="30"/>
      <c r="V277" s="30"/>
    </row>
    <row r="278" spans="5:22">
      <c r="E278" s="30" t="str">
        <v>tengah</v>
      </c>
      <c r="F278" s="30"/>
      <c r="G278" s="30"/>
      <c r="J278" s="30" t="str">
        <v>tengah</v>
      </c>
      <c r="K278" s="30"/>
      <c r="L278" s="30"/>
      <c r="O278" s="30" t="str">
        <v>kiri</v>
      </c>
      <c r="P278" s="30"/>
      <c r="Q278" s="30"/>
      <c r="T278" s="30" t="str">
        <v>kanan</v>
      </c>
      <c r="U278" s="30"/>
      <c r="V278" s="30"/>
    </row>
    <row r="279" spans="5:22">
      <c r="E279" s="30" t="str">
        <v>tengah</v>
      </c>
      <c r="F279" s="30"/>
      <c r="G279" s="30"/>
      <c r="J279" s="30" t="str">
        <v>kiri</v>
      </c>
      <c r="K279" s="30"/>
      <c r="L279" s="30"/>
      <c r="O279" s="30" t="str">
        <v>tengah</v>
      </c>
      <c r="P279" s="30"/>
      <c r="Q279" s="30"/>
      <c r="T279" s="30" t="str">
        <v>kanan</v>
      </c>
      <c r="U279" s="30"/>
      <c r="V279" s="30"/>
    </row>
    <row r="280" spans="5:22">
      <c r="E280" s="30" t="str">
        <v>kanan</v>
      </c>
      <c r="F280" s="30"/>
      <c r="G280" s="30"/>
      <c r="J280" s="30" t="str">
        <v>kanan</v>
      </c>
      <c r="K280" s="30"/>
      <c r="L280" s="30"/>
      <c r="O280" s="30" t="str">
        <v>tengah</v>
      </c>
      <c r="P280" s="30"/>
      <c r="Q280" s="30"/>
      <c r="T280" s="30" t="str">
        <v>kanan</v>
      </c>
      <c r="U280" s="30"/>
      <c r="V280" s="30"/>
    </row>
    <row r="281" spans="5:22">
      <c r="E281" s="30" t="str">
        <v>kiri</v>
      </c>
      <c r="F281" s="30"/>
      <c r="G281" s="30"/>
      <c r="J281" s="30" t="str">
        <v>kiri</v>
      </c>
      <c r="K281" s="30"/>
      <c r="L281" s="30"/>
      <c r="O281" s="30" t="str">
        <v>kanan</v>
      </c>
      <c r="P281" s="30"/>
      <c r="Q281" s="30"/>
      <c r="T281" s="30" t="str">
        <v>tengah</v>
      </c>
      <c r="U281" s="30"/>
      <c r="V281" s="30"/>
    </row>
    <row r="282" spans="5:22">
      <c r="E282" s="30" t="str">
        <v>tengah</v>
      </c>
      <c r="F282" s="30"/>
      <c r="G282" s="30"/>
      <c r="J282" s="30" t="str">
        <v>kanan</v>
      </c>
      <c r="K282" s="30"/>
      <c r="L282" s="30"/>
      <c r="O282" s="30" t="str">
        <v>kiri</v>
      </c>
      <c r="P282" s="30"/>
      <c r="Q282" s="30"/>
      <c r="T282" s="30" t="str">
        <v>tengah</v>
      </c>
      <c r="U282" s="30"/>
      <c r="V282" s="30"/>
    </row>
    <row r="283" spans="5:22">
      <c r="E283" s="30" t="str">
        <v>tengah</v>
      </c>
      <c r="F283" s="30"/>
      <c r="G283" s="30"/>
      <c r="J283" s="30" t="str">
        <v>tengah</v>
      </c>
      <c r="K283" s="30"/>
      <c r="L283" s="30"/>
      <c r="O283" s="30" t="str">
        <v>tengah</v>
      </c>
      <c r="P283" s="30"/>
      <c r="Q283" s="30"/>
      <c r="T283" s="30" t="str">
        <v>tengah</v>
      </c>
      <c r="U283" s="30"/>
      <c r="V283" s="30"/>
    </row>
    <row r="284" spans="5:22">
      <c r="E284" s="30" t="str">
        <v>tengah</v>
      </c>
      <c r="F284" s="30"/>
      <c r="G284" s="30"/>
      <c r="J284" s="30" t="str">
        <v>tengah</v>
      </c>
      <c r="K284" s="30"/>
      <c r="L284" s="30"/>
      <c r="O284" s="30" t="str">
        <v>tengah</v>
      </c>
      <c r="P284" s="30"/>
      <c r="Q284" s="30"/>
      <c r="T284" s="30" t="str">
        <v>kanan</v>
      </c>
      <c r="U284" s="30"/>
      <c r="V284" s="30"/>
    </row>
    <row r="285" spans="5:22">
      <c r="E285" s="30" t="str">
        <v>kiri</v>
      </c>
      <c r="F285" s="30"/>
      <c r="G285" s="30"/>
      <c r="J285" s="30" t="str">
        <v>kiri</v>
      </c>
      <c r="K285" s="30"/>
      <c r="L285" s="30"/>
      <c r="O285" s="30" t="str">
        <v>kiri</v>
      </c>
      <c r="P285" s="30"/>
      <c r="Q285" s="30"/>
      <c r="T285" s="30" t="str">
        <v>kanan</v>
      </c>
      <c r="U285" s="30"/>
      <c r="V285" s="30"/>
    </row>
    <row r="286" spans="5:22">
      <c r="E286" s="30" t="str">
        <v>kanan</v>
      </c>
      <c r="F286" s="30"/>
      <c r="G286" s="30"/>
      <c r="J286" s="30" t="str">
        <v>tengah</v>
      </c>
      <c r="K286" s="30"/>
      <c r="L286" s="30"/>
      <c r="O286" s="30" t="str">
        <v>tengah</v>
      </c>
      <c r="P286" s="30"/>
      <c r="Q286" s="30"/>
      <c r="T286" s="30" t="str">
        <v>tengah</v>
      </c>
      <c r="U286" s="30"/>
      <c r="V286" s="30"/>
    </row>
    <row r="287" spans="5:22">
      <c r="E287" s="30" t="str">
        <v>tengah</v>
      </c>
      <c r="F287" s="30"/>
      <c r="G287" s="30"/>
      <c r="J287" s="30" t="str">
        <v>tengah</v>
      </c>
      <c r="K287" s="30"/>
      <c r="L287" s="30"/>
      <c r="O287" s="30" t="str">
        <v>kiri</v>
      </c>
      <c r="P287" s="30"/>
      <c r="Q287" s="30"/>
      <c r="T287" s="30" t="str">
        <v>tengah</v>
      </c>
      <c r="U287" s="30"/>
      <c r="V287" s="30"/>
    </row>
    <row r="288" spans="5:22">
      <c r="E288" s="30" t="str">
        <v>kanan</v>
      </c>
      <c r="F288" s="30"/>
      <c r="G288" s="30"/>
      <c r="J288" s="30" t="str">
        <v>kanan</v>
      </c>
      <c r="K288" s="30"/>
      <c r="L288" s="30"/>
      <c r="O288" s="30" t="str">
        <v>tengah</v>
      </c>
      <c r="P288" s="30"/>
      <c r="Q288" s="30"/>
      <c r="T288" s="30" t="str">
        <v>tengah</v>
      </c>
      <c r="U288" s="30"/>
      <c r="V288" s="30"/>
    </row>
    <row r="289" spans="5:22">
      <c r="E289" s="30" t="str">
        <v>tengah</v>
      </c>
      <c r="F289" s="30"/>
      <c r="G289" s="30"/>
      <c r="J289" s="30" t="str">
        <v>kanan</v>
      </c>
      <c r="K289" s="30"/>
      <c r="L289" s="30"/>
      <c r="O289" s="30" t="str">
        <v>tengah</v>
      </c>
      <c r="P289" s="30"/>
      <c r="Q289" s="30"/>
      <c r="T289" s="30" t="str">
        <v>tengah</v>
      </c>
      <c r="U289" s="30"/>
      <c r="V289" s="30"/>
    </row>
    <row r="290" spans="5:22">
      <c r="E290" s="30" t="str">
        <v>tengah</v>
      </c>
      <c r="F290" s="30"/>
      <c r="G290" s="30"/>
      <c r="J290" s="30" t="str">
        <v>kanan</v>
      </c>
      <c r="K290" s="30"/>
      <c r="L290" s="30"/>
      <c r="O290" s="30" t="str">
        <v>tengah</v>
      </c>
      <c r="P290" s="30"/>
      <c r="Q290" s="30"/>
      <c r="T290" s="30" t="str">
        <v>kanan</v>
      </c>
      <c r="U290" s="30"/>
      <c r="V290" s="30"/>
    </row>
    <row r="291" spans="5:22">
      <c r="E291" s="30" t="str">
        <v>kiri</v>
      </c>
      <c r="F291" s="30"/>
      <c r="G291" s="30"/>
      <c r="J291" s="30" t="str">
        <v>kanan</v>
      </c>
      <c r="K291" s="30"/>
      <c r="L291" s="30"/>
      <c r="O291" s="30" t="str">
        <v>kiri</v>
      </c>
      <c r="P291" s="30"/>
      <c r="Q291" s="30"/>
      <c r="T291" s="30" t="str">
        <v>kanan</v>
      </c>
      <c r="U291" s="30"/>
      <c r="V291" s="30"/>
    </row>
    <row r="292" spans="5:22">
      <c r="E292" s="30" t="str">
        <v>kiri</v>
      </c>
      <c r="F292" s="30"/>
      <c r="G292" s="30"/>
      <c r="J292" s="30" t="str">
        <v>tengah</v>
      </c>
      <c r="K292" s="30"/>
      <c r="L292" s="30"/>
      <c r="O292" s="30" t="str">
        <v>kiri</v>
      </c>
      <c r="P292" s="30"/>
      <c r="Q292" s="30"/>
      <c r="T292" s="30" t="str">
        <v>tengah</v>
      </c>
      <c r="U292" s="30"/>
      <c r="V292" s="30"/>
    </row>
    <row r="293" spans="5:22">
      <c r="E293" s="30" t="str">
        <v>tengah</v>
      </c>
      <c r="F293" s="30"/>
      <c r="G293" s="30"/>
      <c r="J293" s="30" t="str">
        <v>kiri</v>
      </c>
      <c r="K293" s="30"/>
      <c r="L293" s="30"/>
      <c r="O293" s="30" t="str">
        <v>tengah</v>
      </c>
      <c r="P293" s="30"/>
      <c r="Q293" s="30"/>
      <c r="T293" s="30" t="str">
        <v>tengah</v>
      </c>
      <c r="U293" s="30"/>
      <c r="V293" s="30"/>
    </row>
    <row r="294" spans="5:22">
      <c r="E294" s="30" t="str">
        <v>kiri</v>
      </c>
      <c r="F294" s="30"/>
      <c r="G294" s="30"/>
      <c r="J294" s="30" t="str">
        <v>tengah</v>
      </c>
      <c r="K294" s="30"/>
      <c r="L294" s="30"/>
      <c r="O294" s="30" t="str">
        <v>tengah</v>
      </c>
      <c r="P294" s="30"/>
      <c r="Q294" s="30"/>
      <c r="T294" s="30" t="str">
        <v>kanan</v>
      </c>
      <c r="U294" s="30"/>
      <c r="V294" s="30"/>
    </row>
    <row r="295" spans="5:22">
      <c r="E295" s="30" t="str">
        <v>kiri</v>
      </c>
      <c r="F295" s="30"/>
      <c r="G295" s="30"/>
      <c r="J295" s="30" t="str">
        <v>tengah</v>
      </c>
      <c r="K295" s="30"/>
      <c r="L295" s="30"/>
      <c r="O295" s="30" t="str">
        <v>tengah</v>
      </c>
      <c r="P295" s="30"/>
      <c r="Q295" s="30"/>
      <c r="T295" s="30" t="str">
        <v>tengah</v>
      </c>
      <c r="U295" s="30"/>
      <c r="V295" s="30"/>
    </row>
    <row r="296" spans="5:22">
      <c r="E296" s="30" t="str">
        <v>tengah</v>
      </c>
      <c r="F296" s="30"/>
      <c r="G296" s="30"/>
      <c r="J296" s="30" t="str">
        <v>kiri</v>
      </c>
      <c r="K296" s="30"/>
      <c r="L296" s="30"/>
      <c r="O296" s="30" t="str">
        <v>tengah</v>
      </c>
      <c r="P296" s="30"/>
      <c r="Q296" s="30"/>
      <c r="T296" s="30" t="str">
        <v>tengah</v>
      </c>
      <c r="U296" s="30"/>
      <c r="V296" s="30"/>
    </row>
    <row r="297" spans="5:22">
      <c r="E297" s="30" t="str">
        <v>tengah</v>
      </c>
      <c r="F297" s="30"/>
      <c r="G297" s="30"/>
      <c r="J297" s="30" t="str">
        <v>kiri</v>
      </c>
      <c r="K297" s="30"/>
      <c r="L297" s="30"/>
      <c r="O297" s="30" t="str">
        <v>kanan</v>
      </c>
      <c r="P297" s="30"/>
      <c r="Q297" s="30"/>
      <c r="T297" s="30" t="str">
        <v>kanan</v>
      </c>
      <c r="U297" s="30"/>
      <c r="V297" s="30"/>
    </row>
    <row r="298" spans="5:22">
      <c r="E298" s="30" t="str">
        <v>kiri</v>
      </c>
      <c r="F298" s="30"/>
      <c r="G298" s="30"/>
      <c r="J298" s="30" t="str">
        <v>tengah</v>
      </c>
      <c r="K298" s="30"/>
      <c r="L298" s="30"/>
      <c r="O298" s="30" t="str">
        <v>tengah</v>
      </c>
      <c r="P298" s="30"/>
      <c r="Q298" s="30"/>
      <c r="T298" s="30" t="str">
        <v>tengah</v>
      </c>
      <c r="U298" s="30"/>
      <c r="V298" s="30"/>
    </row>
    <row r="299" spans="5:22">
      <c r="E299" s="30" t="str">
        <v>tengah</v>
      </c>
      <c r="F299" s="30"/>
      <c r="G299" s="30"/>
      <c r="J299" s="30" t="str">
        <v>kiri</v>
      </c>
      <c r="K299" s="30"/>
      <c r="L299" s="30"/>
      <c r="O299" s="30" t="str">
        <v>kiri</v>
      </c>
      <c r="P299" s="30"/>
      <c r="Q299" s="30"/>
      <c r="T299" s="30" t="str">
        <v>kanan</v>
      </c>
      <c r="U299" s="30"/>
      <c r="V299" s="30"/>
    </row>
    <row r="300" spans="5:22">
      <c r="E300" s="30" t="str">
        <v>tengah</v>
      </c>
      <c r="F300" s="30"/>
      <c r="G300" s="30"/>
      <c r="J300" s="30" t="str">
        <v>kiri</v>
      </c>
      <c r="K300" s="30"/>
      <c r="L300" s="30"/>
      <c r="O300" s="30" t="str">
        <v>tengah</v>
      </c>
      <c r="P300" s="30"/>
      <c r="Q300" s="30"/>
      <c r="T300" s="30" t="str">
        <v>kanan</v>
      </c>
      <c r="U300" s="30"/>
      <c r="V300" s="30"/>
    </row>
    <row r="301" spans="5:22">
      <c r="E301" s="30" t="str">
        <v>kiri</v>
      </c>
      <c r="F301" s="30"/>
      <c r="G301" s="30"/>
      <c r="J301" s="30" t="str">
        <v>kiri</v>
      </c>
      <c r="K301" s="30"/>
      <c r="L301" s="30"/>
      <c r="O301" s="30" t="str">
        <v>kanan</v>
      </c>
      <c r="P301" s="30"/>
      <c r="Q301" s="30"/>
      <c r="T301" s="30" t="str">
        <v>kanan</v>
      </c>
      <c r="U301" s="30"/>
      <c r="V301" s="30"/>
    </row>
    <row r="302" spans="5:22">
      <c r="E302" s="30" t="str">
        <v>kanan</v>
      </c>
      <c r="F302" s="30"/>
      <c r="G302" s="30"/>
      <c r="J302" s="30" t="str">
        <v>kanan</v>
      </c>
      <c r="K302" s="30"/>
      <c r="L302" s="30"/>
      <c r="O302" s="30" t="str">
        <v>tengah</v>
      </c>
      <c r="P302" s="30"/>
      <c r="Q302" s="30"/>
      <c r="T302" s="30" t="str">
        <v>kanan</v>
      </c>
      <c r="U302" s="30"/>
      <c r="V302" s="30"/>
    </row>
    <row r="303" spans="5:22">
      <c r="E303" s="30" t="str">
        <v>kiri</v>
      </c>
      <c r="F303" s="30"/>
      <c r="G303" s="30"/>
      <c r="J303" s="30" t="str">
        <v>tengah</v>
      </c>
      <c r="K303" s="30"/>
      <c r="L303" s="30"/>
      <c r="O303" s="30" t="str">
        <v>tengah</v>
      </c>
      <c r="P303" s="30"/>
      <c r="Q303" s="30"/>
      <c r="T303" s="30" t="str">
        <v>tengah</v>
      </c>
      <c r="U303" s="30"/>
      <c r="V303" s="30"/>
    </row>
    <row r="304" spans="5:22">
      <c r="E304" s="30" t="str">
        <v>kiri</v>
      </c>
      <c r="F304" s="30"/>
      <c r="G304" s="30"/>
      <c r="J304" s="30" t="str">
        <v>tengah</v>
      </c>
      <c r="K304" s="30"/>
      <c r="L304" s="30"/>
      <c r="O304" s="30" t="str">
        <v>tengah</v>
      </c>
      <c r="P304" s="30"/>
      <c r="Q304" s="30"/>
      <c r="T304" s="30" t="str">
        <v>kanan</v>
      </c>
      <c r="U304" s="30"/>
      <c r="V304" s="30"/>
    </row>
    <row r="305" spans="5:22">
      <c r="E305" s="30" t="str">
        <v>kiri</v>
      </c>
      <c r="F305" s="30"/>
      <c r="G305" s="30"/>
      <c r="J305" s="30" t="str">
        <v>tengah</v>
      </c>
      <c r="K305" s="30"/>
      <c r="L305" s="30"/>
      <c r="O305" s="30" t="str">
        <v>tengah</v>
      </c>
      <c r="P305" s="30"/>
      <c r="Q305" s="30"/>
      <c r="T305" s="30" t="str">
        <v>kanan</v>
      </c>
      <c r="U305" s="30"/>
      <c r="V305" s="30"/>
    </row>
    <row r="306" spans="5:22">
      <c r="E306" s="30" t="str">
        <v>kanan</v>
      </c>
      <c r="F306" s="30"/>
      <c r="G306" s="30"/>
      <c r="J306" s="30" t="str">
        <v>tengah</v>
      </c>
      <c r="K306" s="30"/>
      <c r="L306" s="30"/>
      <c r="O306" s="30" t="str">
        <v>kanan</v>
      </c>
      <c r="P306" s="30"/>
      <c r="Q306" s="30"/>
      <c r="T306" s="30" t="str">
        <v>kanan</v>
      </c>
      <c r="U306" s="30"/>
      <c r="V306" s="30"/>
    </row>
    <row r="307" spans="5:22">
      <c r="E307" s="30" t="str">
        <v>tengah</v>
      </c>
      <c r="F307" s="30"/>
      <c r="G307" s="30"/>
      <c r="J307" s="30" t="str">
        <v>kanan</v>
      </c>
      <c r="K307" s="30"/>
      <c r="L307" s="30"/>
      <c r="O307" s="30" t="str">
        <v>tengah</v>
      </c>
      <c r="P307" s="30"/>
      <c r="Q307" s="30"/>
      <c r="T307" s="30" t="str">
        <v>tengah</v>
      </c>
      <c r="U307" s="30"/>
      <c r="V307" s="30"/>
    </row>
    <row r="308" spans="5:22">
      <c r="E308" s="30" t="str">
        <v>kanan</v>
      </c>
      <c r="F308" s="30"/>
      <c r="G308" s="30"/>
      <c r="J308" s="30" t="str">
        <v>tengah</v>
      </c>
      <c r="K308" s="30"/>
      <c r="L308" s="30"/>
      <c r="O308" s="30" t="str">
        <v>tengah</v>
      </c>
      <c r="P308" s="30"/>
      <c r="Q308" s="30"/>
      <c r="T308" s="30" t="str">
        <v>tengah</v>
      </c>
      <c r="U308" s="30"/>
      <c r="V308" s="30"/>
    </row>
    <row r="309" spans="5:22">
      <c r="E309" s="30" t="str">
        <v>tengah</v>
      </c>
      <c r="F309" s="30"/>
      <c r="G309" s="30"/>
      <c r="J309" s="30" t="str">
        <v>kanan</v>
      </c>
      <c r="K309" s="30"/>
      <c r="L309" s="30"/>
      <c r="O309" s="30" t="str">
        <v>tengah</v>
      </c>
      <c r="P309" s="30"/>
      <c r="Q309" s="30"/>
      <c r="T309" s="30" t="str">
        <v>kanan</v>
      </c>
      <c r="U309" s="30"/>
      <c r="V309" s="30"/>
    </row>
    <row r="310" spans="5:22">
      <c r="E310" s="30" t="str">
        <v>tengah</v>
      </c>
      <c r="F310" s="30"/>
      <c r="G310" s="30"/>
      <c r="J310" s="30" t="str">
        <v>tengah</v>
      </c>
      <c r="K310" s="30"/>
      <c r="L310" s="30"/>
      <c r="O310" s="30" t="str">
        <v>kanan</v>
      </c>
      <c r="P310" s="30"/>
      <c r="Q310" s="30"/>
      <c r="T310" s="30" t="str">
        <v>kanan</v>
      </c>
      <c r="U310" s="30"/>
      <c r="V310" s="30"/>
    </row>
    <row r="311" spans="5:22">
      <c r="E311" s="30" t="str">
        <v>tengah</v>
      </c>
      <c r="F311" s="30"/>
      <c r="G311" s="30"/>
      <c r="J311" s="30" t="str">
        <v>kiri</v>
      </c>
      <c r="K311" s="30"/>
      <c r="L311" s="30"/>
      <c r="O311" s="30" t="str">
        <v>tengah</v>
      </c>
      <c r="P311" s="30"/>
      <c r="Q311" s="30"/>
      <c r="T311" s="30" t="str">
        <v>kanan</v>
      </c>
      <c r="U311" s="30"/>
      <c r="V311" s="30"/>
    </row>
    <row r="312" spans="5:22">
      <c r="E312" s="30" t="str">
        <v>kiri</v>
      </c>
      <c r="F312" s="30"/>
      <c r="G312" s="30"/>
      <c r="J312" s="30" t="str">
        <v>kiri</v>
      </c>
      <c r="K312" s="30"/>
      <c r="L312" s="30"/>
      <c r="O312" s="30" t="str">
        <v>kanan</v>
      </c>
      <c r="P312" s="30"/>
      <c r="Q312" s="30"/>
      <c r="T312" s="30" t="str">
        <v>kanan</v>
      </c>
      <c r="U312" s="30"/>
      <c r="V312" s="30"/>
    </row>
    <row r="313" spans="5:22">
      <c r="E313" s="30" t="str">
        <v>tengah</v>
      </c>
      <c r="F313" s="30"/>
      <c r="G313" s="30"/>
      <c r="J313" s="30" t="str">
        <v>kiri</v>
      </c>
      <c r="K313" s="30"/>
      <c r="L313" s="30"/>
      <c r="O313" s="30" t="str">
        <v>tengah</v>
      </c>
      <c r="P313" s="30"/>
      <c r="Q313" s="30"/>
      <c r="T313" s="30" t="str">
        <v>tengah</v>
      </c>
      <c r="U313" s="30"/>
      <c r="V313" s="30"/>
    </row>
    <row r="314" spans="5:22">
      <c r="E314" s="30" t="str">
        <v>tengah</v>
      </c>
      <c r="F314" s="30"/>
      <c r="G314" s="30"/>
      <c r="J314" s="30" t="str">
        <v>tengah</v>
      </c>
      <c r="K314" s="30"/>
      <c r="L314" s="30"/>
      <c r="O314" s="30" t="str">
        <v>tengah</v>
      </c>
      <c r="P314" s="30"/>
      <c r="Q314" s="30"/>
      <c r="T314" s="30" t="str">
        <v>tengah</v>
      </c>
      <c r="U314" s="30"/>
      <c r="V314" s="30"/>
    </row>
    <row r="315" spans="5:22">
      <c r="E315" s="30" t="str">
        <v>tengah</v>
      </c>
      <c r="F315" s="30"/>
      <c r="G315" s="30"/>
      <c r="J315" s="30" t="str">
        <v>kanan</v>
      </c>
      <c r="K315" s="30"/>
      <c r="L315" s="30"/>
      <c r="O315" s="30" t="str">
        <v>tengah</v>
      </c>
      <c r="P315" s="30"/>
      <c r="Q315" s="30"/>
      <c r="T315" s="30" t="str">
        <v>kanan</v>
      </c>
      <c r="U315" s="30"/>
      <c r="V315" s="30"/>
    </row>
    <row r="316" spans="5:22">
      <c r="E316" s="30" t="str">
        <v>kanan</v>
      </c>
      <c r="F316" s="30"/>
      <c r="G316" s="30"/>
      <c r="J316" s="30" t="str">
        <v>kiri</v>
      </c>
      <c r="K316" s="30"/>
      <c r="L316" s="30"/>
      <c r="O316" s="30" t="str">
        <v>tengah</v>
      </c>
      <c r="P316" s="30"/>
      <c r="Q316" s="30"/>
      <c r="T316" s="30" t="str">
        <v>tengah</v>
      </c>
      <c r="U316" s="30"/>
      <c r="V316" s="30"/>
    </row>
    <row r="317" spans="5:22">
      <c r="E317" s="30" t="str">
        <v>tengah</v>
      </c>
      <c r="F317" s="30"/>
      <c r="G317" s="30"/>
      <c r="J317" s="30" t="str">
        <v>tengah</v>
      </c>
      <c r="K317" s="30"/>
      <c r="L317" s="30"/>
      <c r="O317" s="30" t="str">
        <v>tengah</v>
      </c>
      <c r="P317" s="30"/>
      <c r="Q317" s="30"/>
      <c r="T317" s="30" t="str">
        <v>kanan</v>
      </c>
      <c r="U317" s="30"/>
      <c r="V317" s="30"/>
    </row>
    <row r="318" spans="5:22">
      <c r="E318" s="30" t="str">
        <v>tengah</v>
      </c>
      <c r="F318" s="30"/>
      <c r="G318" s="30"/>
      <c r="J318" s="30" t="str">
        <v>tengah</v>
      </c>
      <c r="K318" s="30"/>
      <c r="L318" s="30"/>
      <c r="O318" s="30" t="str">
        <v>tengah</v>
      </c>
      <c r="P318" s="30"/>
      <c r="Q318" s="30"/>
      <c r="T318" s="30" t="str">
        <v>kanan</v>
      </c>
      <c r="U318" s="30"/>
      <c r="V318" s="30"/>
    </row>
    <row r="319" spans="5:22">
      <c r="E319" s="30" t="str">
        <v>tengah</v>
      </c>
      <c r="F319" s="30"/>
      <c r="G319" s="30"/>
      <c r="J319" s="30" t="str">
        <v>kanan</v>
      </c>
      <c r="K319" s="30"/>
      <c r="L319" s="30"/>
      <c r="O319" s="30" t="str">
        <v>kiri</v>
      </c>
      <c r="P319" s="30"/>
      <c r="Q319" s="30"/>
      <c r="T319" s="30" t="str">
        <v>kanan</v>
      </c>
      <c r="U319" s="30"/>
      <c r="V319" s="30"/>
    </row>
    <row r="320" spans="5:22">
      <c r="E320" s="30" t="str">
        <v>tengah</v>
      </c>
      <c r="F320" s="30"/>
      <c r="G320" s="30"/>
      <c r="J320" s="30" t="str">
        <v>tengah</v>
      </c>
      <c r="K320" s="30"/>
      <c r="L320" s="30"/>
      <c r="O320" s="30" t="str">
        <v>tengah</v>
      </c>
      <c r="P320" s="30"/>
      <c r="Q320" s="30"/>
      <c r="T320" s="30" t="str">
        <v>tengah</v>
      </c>
      <c r="U320" s="30"/>
      <c r="V320" s="30"/>
    </row>
    <row r="321" spans="5:22">
      <c r="E321" s="30" t="str">
        <v>kiri</v>
      </c>
      <c r="F321" s="30"/>
      <c r="G321" s="30"/>
      <c r="J321" s="30" t="str">
        <v>tengah</v>
      </c>
      <c r="K321" s="30"/>
      <c r="L321" s="30"/>
      <c r="O321" s="30" t="str">
        <v>tengah</v>
      </c>
      <c r="P321" s="30"/>
      <c r="Q321" s="30"/>
      <c r="T321" s="30" t="str">
        <v>kanan</v>
      </c>
      <c r="U321" s="30"/>
      <c r="V321" s="30"/>
    </row>
    <row r="322" spans="5:22">
      <c r="E322" s="30" t="str">
        <v>kiri</v>
      </c>
      <c r="F322" s="30"/>
      <c r="G322" s="30"/>
      <c r="J322" s="30" t="str">
        <v>kiri</v>
      </c>
      <c r="K322" s="30"/>
      <c r="L322" s="30"/>
      <c r="O322" s="30" t="str">
        <v>tengah</v>
      </c>
      <c r="P322" s="30"/>
      <c r="Q322" s="30"/>
      <c r="T322" s="30" t="str">
        <v>tengah</v>
      </c>
      <c r="U322" s="30"/>
      <c r="V322" s="30"/>
    </row>
    <row r="323" spans="5:22">
      <c r="E323" s="30" t="str">
        <v>tengah</v>
      </c>
      <c r="F323" s="30"/>
      <c r="G323" s="30"/>
      <c r="J323" s="30" t="str">
        <v>tengah</v>
      </c>
      <c r="K323" s="30"/>
      <c r="L323" s="30"/>
      <c r="O323" s="30" t="str">
        <v>tengah</v>
      </c>
      <c r="P323" s="30"/>
      <c r="Q323" s="30"/>
      <c r="T323" s="30" t="str">
        <v>kanan</v>
      </c>
      <c r="U323" s="30"/>
      <c r="V323" s="30"/>
    </row>
    <row r="324" spans="5:22">
      <c r="E324" s="30" t="str">
        <v>tengah</v>
      </c>
      <c r="F324" s="30"/>
      <c r="G324" s="30"/>
      <c r="J324" s="30" t="str">
        <v>kiri</v>
      </c>
      <c r="K324" s="30"/>
      <c r="L324" s="30"/>
      <c r="O324" s="30" t="str">
        <v>kanan</v>
      </c>
      <c r="P324" s="30"/>
      <c r="Q324" s="30"/>
      <c r="T324" s="30" t="str">
        <v>tengah</v>
      </c>
      <c r="U324" s="30"/>
      <c r="V324" s="30"/>
    </row>
    <row r="325" spans="5:22">
      <c r="E325" s="30" t="str">
        <v>tengah</v>
      </c>
      <c r="F325" s="30"/>
      <c r="G325" s="30"/>
      <c r="J325" s="30" t="str">
        <v>tengah</v>
      </c>
      <c r="K325" s="30"/>
      <c r="L325" s="30"/>
      <c r="O325" s="30" t="str">
        <v>kanan</v>
      </c>
      <c r="P325" s="30"/>
      <c r="Q325" s="30"/>
      <c r="T325" s="30" t="str">
        <v>tengah</v>
      </c>
      <c r="U325" s="30"/>
      <c r="V325" s="30"/>
    </row>
    <row r="326" spans="5:22">
      <c r="E326" s="30" t="str">
        <v>kanan</v>
      </c>
      <c r="F326" s="30"/>
      <c r="G326" s="30"/>
      <c r="J326" s="30" t="str">
        <v>tengah</v>
      </c>
      <c r="K326" s="30"/>
      <c r="L326" s="30"/>
      <c r="O326" s="30" t="str">
        <v>tengah</v>
      </c>
      <c r="P326" s="30"/>
      <c r="Q326" s="30"/>
      <c r="T326" s="30" t="str">
        <v>kanan</v>
      </c>
      <c r="U326" s="30"/>
      <c r="V326" s="30"/>
    </row>
    <row r="327" spans="5:22">
      <c r="E327" s="30" t="str">
        <v>tengah</v>
      </c>
      <c r="F327" s="30"/>
      <c r="G327" s="30"/>
      <c r="J327" s="30" t="str">
        <v>kiri</v>
      </c>
      <c r="K327" s="30"/>
      <c r="L327" s="30"/>
      <c r="O327" s="30" t="str">
        <v>kiri</v>
      </c>
      <c r="P327" s="30"/>
      <c r="Q327" s="30"/>
      <c r="T327" s="30" t="str">
        <v>kanan</v>
      </c>
      <c r="U327" s="30"/>
      <c r="V327" s="30"/>
    </row>
    <row r="328" spans="5:22">
      <c r="E328" s="30" t="str">
        <v>tengah</v>
      </c>
      <c r="F328" s="30"/>
      <c r="G328" s="30"/>
      <c r="J328" s="30" t="str">
        <v>tengah</v>
      </c>
      <c r="K328" s="30"/>
      <c r="L328" s="30"/>
      <c r="O328" s="30" t="str">
        <v>kanan</v>
      </c>
      <c r="P328" s="30"/>
      <c r="Q328" s="30"/>
      <c r="T328" s="30" t="str">
        <v>kanan</v>
      </c>
      <c r="U328" s="30"/>
      <c r="V328" s="30"/>
    </row>
    <row r="329" spans="5:22">
      <c r="E329" s="30" t="str">
        <v>kanan</v>
      </c>
      <c r="F329" s="30"/>
      <c r="G329" s="30"/>
      <c r="J329" s="30" t="str">
        <v>kanan</v>
      </c>
      <c r="K329" s="30"/>
      <c r="L329" s="30"/>
      <c r="O329" s="30" t="str">
        <v>tengah</v>
      </c>
      <c r="P329" s="30"/>
      <c r="Q329" s="30"/>
      <c r="T329" s="30" t="str">
        <v>tengah</v>
      </c>
      <c r="U329" s="30"/>
      <c r="V329" s="30"/>
    </row>
    <row r="330" spans="5:22">
      <c r="E330" s="30" t="str">
        <v>kiri</v>
      </c>
      <c r="F330" s="30"/>
      <c r="G330" s="30"/>
      <c r="J330" s="30" t="str">
        <v>kiri</v>
      </c>
      <c r="K330" s="30"/>
      <c r="L330" s="30"/>
      <c r="O330" s="30" t="str">
        <v>tengah</v>
      </c>
      <c r="P330" s="30"/>
      <c r="Q330" s="30"/>
      <c r="T330" s="30" t="str">
        <v>tengah</v>
      </c>
      <c r="U330" s="30"/>
      <c r="V330" s="30"/>
    </row>
    <row r="331" spans="5:22">
      <c r="E331" s="30" t="str">
        <v>kanan</v>
      </c>
      <c r="F331" s="30"/>
      <c r="G331" s="30"/>
      <c r="J331" s="30" t="str">
        <v>kanan</v>
      </c>
      <c r="K331" s="30"/>
      <c r="L331" s="30"/>
      <c r="O331" s="30" t="str">
        <v>tengah</v>
      </c>
      <c r="P331" s="30"/>
      <c r="Q331" s="30"/>
      <c r="T331" s="30" t="str">
        <v>tengah</v>
      </c>
      <c r="U331" s="30"/>
      <c r="V331" s="30"/>
    </row>
    <row r="332" spans="5:22">
      <c r="E332" s="30" t="str">
        <v>kanan</v>
      </c>
      <c r="F332" s="30"/>
      <c r="G332" s="30"/>
      <c r="J332" s="30" t="str">
        <v>tengah</v>
      </c>
      <c r="K332" s="30"/>
      <c r="L332" s="30"/>
      <c r="O332" s="30" t="str">
        <v>tengah</v>
      </c>
      <c r="P332" s="30"/>
      <c r="Q332" s="30"/>
      <c r="T332" s="30" t="str">
        <v>tengah</v>
      </c>
      <c r="U332" s="30"/>
      <c r="V332" s="30"/>
    </row>
  </sheetData>
  <pageMargins left="0.7" right="0.7" top="0.75" bottom="0.75" header="0.3" footer="0.3"/>
  <headerFooter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1"/>
  <sheetViews>
    <sheetView zoomScale="77" zoomScaleNormal="77" topLeftCell="A184" workbookViewId="0">
      <selection activeCell="A187" sqref="A187:F191"/>
    </sheetView>
  </sheetViews>
  <sheetFormatPr defaultColWidth="9" defaultRowHeight="15"/>
  <cols>
    <col min="2" max="2" width="17.4222222222222" customWidth="1"/>
    <col min="3" max="3" width="12.7111111111111" customWidth="1"/>
    <col min="4" max="4" width="13" customWidth="1"/>
    <col min="5" max="5" width="14.8518518518519" customWidth="1"/>
    <col min="6" max="6" width="12" customWidth="1"/>
  </cols>
  <sheetData>
    <row r="1" spans="1:1">
      <c r="A1" s="12" t="s">
        <v>225</v>
      </c>
    </row>
    <row r="2" ht="15.75"/>
    <row r="3" ht="48" spans="1:6">
      <c r="A3" s="14" t="s">
        <v>226</v>
      </c>
      <c r="B3" s="15" t="s">
        <v>227</v>
      </c>
      <c r="C3" s="15" t="s">
        <v>228</v>
      </c>
      <c r="D3" s="15" t="s">
        <v>229</v>
      </c>
      <c r="E3" s="15" t="s">
        <v>230</v>
      </c>
      <c r="F3" s="15" t="s">
        <v>231</v>
      </c>
    </row>
    <row r="4" ht="16.5" spans="1:9">
      <c r="A4" s="16">
        <v>42</v>
      </c>
      <c r="B4" s="17">
        <v>13</v>
      </c>
      <c r="C4" s="17">
        <f>ABS(B4-A4)</f>
        <v>29</v>
      </c>
      <c r="D4" s="17">
        <f>(B4-A4)^2</f>
        <v>841</v>
      </c>
      <c r="E4" s="17">
        <f>B4-$B$7</f>
        <v>-7.33333333333333</v>
      </c>
      <c r="F4" s="17">
        <f>E4^2</f>
        <v>53.7777777777778</v>
      </c>
      <c r="H4" s="19" t="s">
        <v>232</v>
      </c>
      <c r="I4" s="21">
        <f>AVERAGE(C4:C6)</f>
        <v>19.3333333333333</v>
      </c>
    </row>
    <row r="5" ht="16.5" spans="1:9">
      <c r="A5" s="16">
        <v>39</v>
      </c>
      <c r="B5" s="17">
        <v>33</v>
      </c>
      <c r="C5" s="17">
        <f t="shared" ref="C5:C6" si="0">ABS(B5-A5)</f>
        <v>6</v>
      </c>
      <c r="D5" s="17">
        <f t="shared" ref="D5:D6" si="1">(B5-A5)^2</f>
        <v>36</v>
      </c>
      <c r="E5" s="17">
        <f>B5-$B$7</f>
        <v>12.6666666666667</v>
      </c>
      <c r="F5" s="17">
        <f>E5^2</f>
        <v>160.444444444444</v>
      </c>
      <c r="H5" s="19" t="s">
        <v>233</v>
      </c>
      <c r="I5" s="21">
        <f>AVERAGE(D4:D6)</f>
        <v>468.666666666667</v>
      </c>
    </row>
    <row r="6" ht="16.5" spans="1:9">
      <c r="A6" s="16">
        <v>38</v>
      </c>
      <c r="B6" s="17">
        <v>15</v>
      </c>
      <c r="C6" s="17">
        <f t="shared" si="0"/>
        <v>23</v>
      </c>
      <c r="D6" s="17">
        <f t="shared" si="1"/>
        <v>529</v>
      </c>
      <c r="E6" s="17">
        <f>B6-$B$7</f>
        <v>-5.33333333333333</v>
      </c>
      <c r="F6" s="17">
        <f t="shared" ref="F6" si="2">E6^2</f>
        <v>28.4444444444444</v>
      </c>
      <c r="H6" s="19" t="s">
        <v>234</v>
      </c>
      <c r="I6" s="19">
        <f>SQRT(AVERAGE(D4:D6))</f>
        <v>21.6487105081727</v>
      </c>
    </row>
    <row r="7" ht="32.25" spans="1:9">
      <c r="A7" s="18" t="s">
        <v>235</v>
      </c>
      <c r="B7" s="17">
        <f>AVERAGE(B4:B6)</f>
        <v>20.3333333333333</v>
      </c>
      <c r="C7" s="17">
        <f>AVERAGE(C4:C6)</f>
        <v>19.3333333333333</v>
      </c>
      <c r="D7" s="17">
        <f>SUM(D4:D6)</f>
        <v>1406</v>
      </c>
      <c r="E7" s="17"/>
      <c r="F7" s="17"/>
      <c r="H7" s="19" t="s">
        <v>236</v>
      </c>
      <c r="I7" s="21">
        <f>1-(SUM(D4:D6)/SUM(F4:F6))</f>
        <v>-4.79395604395604</v>
      </c>
    </row>
    <row r="12" spans="1:1">
      <c r="A12" s="12" t="s">
        <v>237</v>
      </c>
    </row>
    <row r="13" ht="15.75"/>
    <row r="14" ht="48" spans="1:6">
      <c r="A14" s="14" t="s">
        <v>238</v>
      </c>
      <c r="B14" s="15" t="s">
        <v>227</v>
      </c>
      <c r="C14" s="15" t="s">
        <v>228</v>
      </c>
      <c r="D14" s="15" t="s">
        <v>229</v>
      </c>
      <c r="E14" s="15" t="s">
        <v>230</v>
      </c>
      <c r="F14" s="15" t="s">
        <v>231</v>
      </c>
    </row>
    <row r="15" ht="16.5" spans="1:9">
      <c r="A15" s="16">
        <v>55</v>
      </c>
      <c r="B15" s="17">
        <v>15</v>
      </c>
      <c r="C15" s="17">
        <f>ABS(B15-A15)</f>
        <v>40</v>
      </c>
      <c r="D15" s="17">
        <f>(B15-A15)^2</f>
        <v>1600</v>
      </c>
      <c r="E15" s="17">
        <f>B15-$B$18</f>
        <v>-8</v>
      </c>
      <c r="F15" s="17">
        <f>E15^2</f>
        <v>64</v>
      </c>
      <c r="H15" s="19" t="s">
        <v>232</v>
      </c>
      <c r="I15" s="21">
        <f>AVERAGE(C15:C17)</f>
        <v>22.6666666666667</v>
      </c>
    </row>
    <row r="16" ht="16.5" spans="1:9">
      <c r="A16" s="16">
        <v>25</v>
      </c>
      <c r="B16" s="17">
        <v>33</v>
      </c>
      <c r="C16" s="17">
        <f t="shared" ref="C16:C17" si="3">ABS(B16-A16)</f>
        <v>8</v>
      </c>
      <c r="D16" s="17">
        <f t="shared" ref="D16:D17" si="4">(B16-A16)^2</f>
        <v>64</v>
      </c>
      <c r="E16" s="17">
        <f>B16-$B$18</f>
        <v>10</v>
      </c>
      <c r="F16" s="17">
        <f t="shared" ref="F16:F17" si="5">E16^2</f>
        <v>100</v>
      </c>
      <c r="H16" s="19" t="s">
        <v>233</v>
      </c>
      <c r="I16" s="21">
        <f>AVERAGE(D15:D17)</f>
        <v>688</v>
      </c>
    </row>
    <row r="17" ht="16.5" spans="1:9">
      <c r="A17" s="16">
        <v>41</v>
      </c>
      <c r="B17" s="17">
        <v>21</v>
      </c>
      <c r="C17" s="17">
        <f t="shared" si="3"/>
        <v>20</v>
      </c>
      <c r="D17" s="17">
        <f t="shared" si="4"/>
        <v>400</v>
      </c>
      <c r="E17" s="17">
        <f>B17-$B$18</f>
        <v>-2</v>
      </c>
      <c r="F17" s="17">
        <f t="shared" si="5"/>
        <v>4</v>
      </c>
      <c r="H17" s="19" t="s">
        <v>234</v>
      </c>
      <c r="I17" s="19">
        <f>SQRT(AVERAGE(D15:D17))</f>
        <v>26.229754097208</v>
      </c>
    </row>
    <row r="18" ht="32.25" spans="1:9">
      <c r="A18" s="18" t="s">
        <v>235</v>
      </c>
      <c r="B18" s="17">
        <f>AVERAGE(B15:B17)</f>
        <v>23</v>
      </c>
      <c r="C18" s="17">
        <f>AVERAGE(C15:C17)</f>
        <v>22.6666666666667</v>
      </c>
      <c r="D18" s="17">
        <f>AVERAGE(D15:D17)</f>
        <v>688</v>
      </c>
      <c r="E18" s="17"/>
      <c r="F18" s="17"/>
      <c r="H18" s="19" t="s">
        <v>236</v>
      </c>
      <c r="I18" s="21">
        <f>1-(SUM(D15:D17)/SUM(F15:F17))</f>
        <v>-11.2857142857143</v>
      </c>
    </row>
    <row r="25" spans="1:1">
      <c r="A25" s="12" t="s">
        <v>239</v>
      </c>
    </row>
    <row r="26" ht="15.75"/>
    <row r="27" ht="48" spans="1:6">
      <c r="A27" s="14" t="s">
        <v>240</v>
      </c>
      <c r="B27" s="15" t="s">
        <v>227</v>
      </c>
      <c r="C27" s="15" t="s">
        <v>228</v>
      </c>
      <c r="D27" s="15" t="s">
        <v>229</v>
      </c>
      <c r="E27" s="15" t="s">
        <v>230</v>
      </c>
      <c r="F27" s="15" t="s">
        <v>231</v>
      </c>
    </row>
    <row r="28" ht="16.5" spans="1:9">
      <c r="A28" s="16">
        <v>16</v>
      </c>
      <c r="B28" s="17">
        <v>14</v>
      </c>
      <c r="C28" s="17">
        <f>ABS(B28-A28)</f>
        <v>2</v>
      </c>
      <c r="D28" s="17">
        <f>(B28-A28)^2</f>
        <v>4</v>
      </c>
      <c r="E28" s="17">
        <f>B28-$B$31</f>
        <v>-1.66666666666667</v>
      </c>
      <c r="F28" s="20">
        <f>E28^2</f>
        <v>2.77777777777778</v>
      </c>
      <c r="H28" s="19" t="s">
        <v>232</v>
      </c>
      <c r="I28" s="21">
        <f>AVERAGE(C28:C30)</f>
        <v>23.6666666666667</v>
      </c>
    </row>
    <row r="29" ht="16.5" spans="1:9">
      <c r="A29" s="16">
        <v>71</v>
      </c>
      <c r="B29" s="17">
        <v>18</v>
      </c>
      <c r="C29" s="17">
        <f t="shared" ref="C29:C30" si="6">ABS(B29-A29)</f>
        <v>53</v>
      </c>
      <c r="D29" s="17">
        <f t="shared" ref="D29:D30" si="7">(B29-A29)^2</f>
        <v>2809</v>
      </c>
      <c r="E29" s="17">
        <f>B29-$B$31</f>
        <v>2.33333333333333</v>
      </c>
      <c r="F29" s="20">
        <f t="shared" ref="F29:F30" si="8">E29^2</f>
        <v>5.44444444444445</v>
      </c>
      <c r="H29" s="19" t="s">
        <v>233</v>
      </c>
      <c r="I29" s="21">
        <f>AVERAGE(D28:D30)</f>
        <v>1023</v>
      </c>
    </row>
    <row r="30" ht="16.5" spans="1:9">
      <c r="A30" s="16">
        <v>31</v>
      </c>
      <c r="B30" s="17">
        <v>15</v>
      </c>
      <c r="C30" s="17">
        <f t="shared" si="6"/>
        <v>16</v>
      </c>
      <c r="D30" s="17">
        <f t="shared" si="7"/>
        <v>256</v>
      </c>
      <c r="E30" s="17">
        <f>B30-$B$31</f>
        <v>-0.666666666666666</v>
      </c>
      <c r="F30" s="20">
        <f t="shared" si="8"/>
        <v>0.444444444444444</v>
      </c>
      <c r="H30" s="19" t="s">
        <v>234</v>
      </c>
      <c r="I30" s="19">
        <f>SQRT(AVERAGE(D28:D30))</f>
        <v>31.984371183439</v>
      </c>
    </row>
    <row r="31" ht="32.25" spans="1:9">
      <c r="A31" s="18" t="s">
        <v>235</v>
      </c>
      <c r="B31" s="17">
        <f>AVERAGE(B28:B30)</f>
        <v>15.6666666666667</v>
      </c>
      <c r="C31" s="17">
        <f>AVERAGE(C28:C30)</f>
        <v>23.6666666666667</v>
      </c>
      <c r="D31" s="17">
        <f>AVERAGE(D28:D30)</f>
        <v>1023</v>
      </c>
      <c r="E31" s="17"/>
      <c r="F31" s="17"/>
      <c r="H31" s="19" t="s">
        <v>236</v>
      </c>
      <c r="I31" s="21">
        <f>1-(SUM(D28:D30)/SUM(F28:F30))</f>
        <v>-353.115384615385</v>
      </c>
    </row>
    <row r="40" spans="1:1">
      <c r="A40" s="12" t="s">
        <v>241</v>
      </c>
    </row>
    <row r="41" ht="15.75"/>
    <row r="42" ht="48" spans="1:6">
      <c r="A42" s="14" t="s">
        <v>242</v>
      </c>
      <c r="B42" s="15" t="s">
        <v>227</v>
      </c>
      <c r="C42" s="15" t="s">
        <v>228</v>
      </c>
      <c r="D42" s="15" t="s">
        <v>229</v>
      </c>
      <c r="E42" s="15" t="s">
        <v>230</v>
      </c>
      <c r="F42" s="15" t="s">
        <v>231</v>
      </c>
    </row>
    <row r="43" ht="16.5" spans="1:9">
      <c r="A43" s="16">
        <v>56</v>
      </c>
      <c r="B43" s="17">
        <v>12</v>
      </c>
      <c r="C43" s="17">
        <f>ABS(B43-A43)</f>
        <v>44</v>
      </c>
      <c r="D43" s="17">
        <f>(B43-A43)^2</f>
        <v>1936</v>
      </c>
      <c r="E43" s="17">
        <f>B43-$B$46</f>
        <v>1.33333333333333</v>
      </c>
      <c r="F43" s="17">
        <f>E43^2</f>
        <v>1.77777777777778</v>
      </c>
      <c r="H43" s="19" t="s">
        <v>232</v>
      </c>
      <c r="I43" s="21">
        <f>AVERAGE(C43:C45)</f>
        <v>29</v>
      </c>
    </row>
    <row r="44" ht="16.5" spans="1:9">
      <c r="A44" s="16">
        <v>28</v>
      </c>
      <c r="B44" s="17">
        <v>7</v>
      </c>
      <c r="C44" s="17">
        <f t="shared" ref="C44:C45" si="9">ABS(B44-A44)</f>
        <v>21</v>
      </c>
      <c r="D44" s="17">
        <f t="shared" ref="D44:D45" si="10">(B44-A44)^2</f>
        <v>441</v>
      </c>
      <c r="E44" s="17">
        <f>B44-$B$46</f>
        <v>-3.66666666666667</v>
      </c>
      <c r="F44" s="17">
        <f t="shared" ref="F44:F45" si="11">E44^2</f>
        <v>13.4444444444444</v>
      </c>
      <c r="H44" s="19" t="s">
        <v>233</v>
      </c>
      <c r="I44" s="21">
        <f>AVERAGE(D43:D45)</f>
        <v>953.666666666667</v>
      </c>
    </row>
    <row r="45" ht="16.5" spans="1:9">
      <c r="A45" s="16">
        <v>35</v>
      </c>
      <c r="B45" s="17">
        <v>13</v>
      </c>
      <c r="C45" s="17">
        <f t="shared" si="9"/>
        <v>22</v>
      </c>
      <c r="D45" s="17">
        <f t="shared" si="10"/>
        <v>484</v>
      </c>
      <c r="E45" s="17">
        <f>B45-$B$46</f>
        <v>2.33333333333333</v>
      </c>
      <c r="F45" s="17">
        <f t="shared" si="11"/>
        <v>5.44444444444445</v>
      </c>
      <c r="H45" s="19" t="s">
        <v>234</v>
      </c>
      <c r="I45" s="19">
        <f>SQRT(AVERAGE(D43:D45))</f>
        <v>30.8814939189584</v>
      </c>
    </row>
    <row r="46" ht="32.25" spans="1:9">
      <c r="A46" s="18" t="s">
        <v>235</v>
      </c>
      <c r="B46" s="17">
        <f>AVERAGE(B43:B45)</f>
        <v>10.6666666666667</v>
      </c>
      <c r="C46" s="17">
        <f>AVERAGE(C43:C45)</f>
        <v>29</v>
      </c>
      <c r="D46" s="17">
        <f>AVERAGE(D43:D45)</f>
        <v>953.666666666667</v>
      </c>
      <c r="E46" s="17"/>
      <c r="F46" s="17"/>
      <c r="H46" s="19" t="s">
        <v>236</v>
      </c>
      <c r="I46" s="21">
        <f>1-(SUM(D43:D45)/SUM(F43:F45))</f>
        <v>-137.435483870968</v>
      </c>
    </row>
    <row r="52" spans="1:1">
      <c r="A52" s="12" t="s">
        <v>243</v>
      </c>
    </row>
    <row r="53" ht="15.75"/>
    <row r="54" ht="48" spans="1:6">
      <c r="A54" s="14" t="s">
        <v>244</v>
      </c>
      <c r="B54" s="15" t="s">
        <v>245</v>
      </c>
      <c r="C54" s="15" t="s">
        <v>228</v>
      </c>
      <c r="D54" s="15" t="s">
        <v>229</v>
      </c>
      <c r="E54" s="15" t="s">
        <v>230</v>
      </c>
      <c r="F54" s="15" t="s">
        <v>231</v>
      </c>
    </row>
    <row r="55" ht="16.5" spans="1:9">
      <c r="A55" s="16">
        <v>14</v>
      </c>
      <c r="B55" s="17">
        <v>7</v>
      </c>
      <c r="C55" s="17">
        <f>ABS(B55-A55)</f>
        <v>7</v>
      </c>
      <c r="D55" s="17">
        <f>(B55-A55)^2</f>
        <v>49</v>
      </c>
      <c r="E55" s="17">
        <f>B55-$B$58</f>
        <v>-11.3333333333333</v>
      </c>
      <c r="F55" s="17">
        <f>E55^2</f>
        <v>128.444444444444</v>
      </c>
      <c r="H55" s="19" t="s">
        <v>232</v>
      </c>
      <c r="I55" s="21">
        <f>AVERAGE(C55:C57)</f>
        <v>18.6666666666667</v>
      </c>
    </row>
    <row r="56" ht="16.5" spans="1:9">
      <c r="A56" s="16">
        <v>66</v>
      </c>
      <c r="B56" s="17">
        <v>33</v>
      </c>
      <c r="C56" s="17">
        <f t="shared" ref="C56:C57" si="12">ABS(B56-A56)</f>
        <v>33</v>
      </c>
      <c r="D56" s="17">
        <f t="shared" ref="D56:D57" si="13">(B56-A56)^2</f>
        <v>1089</v>
      </c>
      <c r="E56" s="17">
        <f>B56-$B$58</f>
        <v>14.6666666666667</v>
      </c>
      <c r="F56" s="17">
        <f t="shared" ref="F56:F57" si="14">E56^2</f>
        <v>215.111111111111</v>
      </c>
      <c r="H56" s="19" t="s">
        <v>233</v>
      </c>
      <c r="I56" s="21">
        <f>AVERAGE(D55:D57)</f>
        <v>464.666666666667</v>
      </c>
    </row>
    <row r="57" ht="16.5" spans="1:9">
      <c r="A57" s="16">
        <v>31</v>
      </c>
      <c r="B57" s="17">
        <v>15</v>
      </c>
      <c r="C57" s="17">
        <f t="shared" si="12"/>
        <v>16</v>
      </c>
      <c r="D57" s="17">
        <f t="shared" si="13"/>
        <v>256</v>
      </c>
      <c r="E57" s="17">
        <f>B57-$B$58</f>
        <v>-3.33333333333333</v>
      </c>
      <c r="F57" s="17">
        <f t="shared" si="14"/>
        <v>11.1111111111111</v>
      </c>
      <c r="H57" s="19" t="s">
        <v>234</v>
      </c>
      <c r="I57" s="19">
        <f>SQRT(AVERAGE(D55:D57))</f>
        <v>21.556128285633</v>
      </c>
    </row>
    <row r="58" ht="32.25" spans="1:9">
      <c r="A58" s="18" t="s">
        <v>235</v>
      </c>
      <c r="B58" s="17">
        <f>AVERAGE(B55:B57)</f>
        <v>18.3333333333333</v>
      </c>
      <c r="C58" s="17">
        <f>AVERAGE(C55:C57)</f>
        <v>18.6666666666667</v>
      </c>
      <c r="D58" s="17">
        <f>AVERAGE(D55:D57)</f>
        <v>464.666666666667</v>
      </c>
      <c r="E58" s="17"/>
      <c r="F58" s="17"/>
      <c r="H58" s="19" t="s">
        <v>236</v>
      </c>
      <c r="I58" s="21">
        <f>1-(SUM(D55:D57)/SUM(F55:F57))</f>
        <v>-2.93045112781955</v>
      </c>
    </row>
    <row r="63" spans="1:1">
      <c r="A63" s="12" t="s">
        <v>246</v>
      </c>
    </row>
    <row r="64" ht="15.75"/>
    <row r="65" ht="48" spans="1:6">
      <c r="A65" s="14" t="s">
        <v>247</v>
      </c>
      <c r="B65" s="15" t="s">
        <v>245</v>
      </c>
      <c r="C65" s="15" t="s">
        <v>228</v>
      </c>
      <c r="D65" s="15" t="s">
        <v>229</v>
      </c>
      <c r="E65" s="15" t="s">
        <v>230</v>
      </c>
      <c r="F65" s="15" t="s">
        <v>231</v>
      </c>
    </row>
    <row r="66" ht="16.5" spans="1:9">
      <c r="A66" s="16">
        <v>16</v>
      </c>
      <c r="B66" s="17">
        <v>3</v>
      </c>
      <c r="C66" s="17">
        <f>ABS(B66-A66)</f>
        <v>13</v>
      </c>
      <c r="D66" s="17">
        <f>(B66-A66)^2</f>
        <v>169</v>
      </c>
      <c r="E66" s="17">
        <f>B66-$B$69</f>
        <v>-15</v>
      </c>
      <c r="F66" s="17">
        <f>E66^2</f>
        <v>225</v>
      </c>
      <c r="H66" s="19" t="s">
        <v>232</v>
      </c>
      <c r="I66" s="21">
        <f>AVERAGE(C66:C68)</f>
        <v>17.6666666666667</v>
      </c>
    </row>
    <row r="67" ht="16.5" spans="1:9">
      <c r="A67" s="16">
        <v>55</v>
      </c>
      <c r="B67" s="17">
        <v>18</v>
      </c>
      <c r="C67" s="17">
        <f t="shared" ref="C67:C68" si="15">ABS(B67-A67)</f>
        <v>37</v>
      </c>
      <c r="D67" s="17">
        <f t="shared" ref="D67:D68" si="16">(B67-A67)^2</f>
        <v>1369</v>
      </c>
      <c r="E67" s="17">
        <f>B67-$B$69</f>
        <v>0</v>
      </c>
      <c r="F67" s="17">
        <f t="shared" ref="F67:F68" si="17">E67^2</f>
        <v>0</v>
      </c>
      <c r="H67" s="19" t="s">
        <v>233</v>
      </c>
      <c r="I67" s="21">
        <f>AVERAGE(D66:D68)</f>
        <v>515.666666666667</v>
      </c>
    </row>
    <row r="68" ht="16.5" spans="1:9">
      <c r="A68" s="16">
        <v>30</v>
      </c>
      <c r="B68" s="17">
        <v>33</v>
      </c>
      <c r="C68" s="17">
        <f t="shared" si="15"/>
        <v>3</v>
      </c>
      <c r="D68" s="17">
        <f t="shared" si="16"/>
        <v>9</v>
      </c>
      <c r="E68" s="17">
        <f>B68-$B$69</f>
        <v>15</v>
      </c>
      <c r="F68" s="17">
        <f t="shared" si="17"/>
        <v>225</v>
      </c>
      <c r="H68" s="19" t="s">
        <v>234</v>
      </c>
      <c r="I68" s="19">
        <f>SQRT(AVERAGE(D66:D68))</f>
        <v>22.7082951070015</v>
      </c>
    </row>
    <row r="69" ht="32.25" spans="1:9">
      <c r="A69" s="18" t="s">
        <v>235</v>
      </c>
      <c r="B69" s="17">
        <f>AVERAGE(B66:B68)</f>
        <v>18</v>
      </c>
      <c r="C69" s="17">
        <f>AVERAGE(C66:C68)</f>
        <v>17.6666666666667</v>
      </c>
      <c r="D69" s="17">
        <f>AVERAGE(D66:D68)</f>
        <v>515.666666666667</v>
      </c>
      <c r="E69" s="17"/>
      <c r="F69" s="17"/>
      <c r="H69" s="19" t="s">
        <v>236</v>
      </c>
      <c r="I69" s="21">
        <f>1-(SUM(D66:D68)/SUM(F66:F68))</f>
        <v>-2.43777777777778</v>
      </c>
    </row>
    <row r="76" spans="1:1">
      <c r="A76" s="12" t="s">
        <v>248</v>
      </c>
    </row>
    <row r="77" ht="15.75"/>
    <row r="78" ht="48" spans="1:6">
      <c r="A78" s="14" t="s">
        <v>249</v>
      </c>
      <c r="B78" s="15" t="s">
        <v>245</v>
      </c>
      <c r="C78" s="15" t="s">
        <v>228</v>
      </c>
      <c r="D78" s="15" t="s">
        <v>229</v>
      </c>
      <c r="E78" s="15" t="s">
        <v>230</v>
      </c>
      <c r="F78" s="15" t="s">
        <v>231</v>
      </c>
    </row>
    <row r="79" ht="16.5" spans="1:9">
      <c r="A79" s="16">
        <v>17</v>
      </c>
      <c r="B79" s="17">
        <v>7</v>
      </c>
      <c r="C79" s="17">
        <f>ABS(B79-A79)</f>
        <v>10</v>
      </c>
      <c r="D79" s="17">
        <f>(B79-A79)^2</f>
        <v>100</v>
      </c>
      <c r="E79" s="17">
        <f>B79-$B$82</f>
        <v>-0.666666666666667</v>
      </c>
      <c r="F79" s="17">
        <f>E79^2</f>
        <v>0.444444444444445</v>
      </c>
      <c r="H79" s="19" t="s">
        <v>232</v>
      </c>
      <c r="I79" s="21">
        <f>AVERAGE(C79:C81)</f>
        <v>28.6666666666667</v>
      </c>
    </row>
    <row r="80" ht="16.5" spans="1:9">
      <c r="A80" s="16">
        <v>65</v>
      </c>
      <c r="B80" s="17">
        <v>4</v>
      </c>
      <c r="C80" s="17">
        <f t="shared" ref="C80:C81" si="18">ABS(B80-A80)</f>
        <v>61</v>
      </c>
      <c r="D80" s="17">
        <f t="shared" ref="D80:D81" si="19">(B80-A80)^2</f>
        <v>3721</v>
      </c>
      <c r="E80" s="17">
        <f>B80-$B$82</f>
        <v>-3.66666666666667</v>
      </c>
      <c r="F80" s="17">
        <f t="shared" ref="F80:F81" si="20">E80^2</f>
        <v>13.4444444444444</v>
      </c>
      <c r="H80" s="19" t="s">
        <v>233</v>
      </c>
      <c r="I80" s="21">
        <f>AVERAGE(D79:D81)</f>
        <v>1348.66666666667</v>
      </c>
    </row>
    <row r="81" ht="16.5" spans="1:9">
      <c r="A81" s="16">
        <v>27</v>
      </c>
      <c r="B81" s="17">
        <v>12</v>
      </c>
      <c r="C81" s="17">
        <f t="shared" si="18"/>
        <v>15</v>
      </c>
      <c r="D81" s="17">
        <f t="shared" si="19"/>
        <v>225</v>
      </c>
      <c r="E81" s="17">
        <f>B81-$B$82</f>
        <v>4.33333333333333</v>
      </c>
      <c r="F81" s="17">
        <f t="shared" si="20"/>
        <v>18.7777777777778</v>
      </c>
      <c r="H81" s="19" t="s">
        <v>234</v>
      </c>
      <c r="I81" s="19">
        <f>SQRT(AVERAGE(D79:D81))</f>
        <v>36.7241972909779</v>
      </c>
    </row>
    <row r="82" ht="32.25" spans="1:9">
      <c r="A82" s="18" t="s">
        <v>235</v>
      </c>
      <c r="B82" s="17">
        <f>AVERAGE(B79:B81)</f>
        <v>7.66666666666667</v>
      </c>
      <c r="C82" s="17">
        <f>AVERAGE(C79:C81)</f>
        <v>28.6666666666667</v>
      </c>
      <c r="D82" s="17">
        <f>AVERAGE(D79:D81)</f>
        <v>1348.66666666667</v>
      </c>
      <c r="E82" s="17"/>
      <c r="F82" s="17"/>
      <c r="H82" s="19" t="s">
        <v>236</v>
      </c>
      <c r="I82" s="21">
        <f>1-(SUM(D79:D81)/SUM(F79:F81))</f>
        <v>-122.857142857143</v>
      </c>
    </row>
    <row r="88" spans="1:1">
      <c r="A88" s="12" t="s">
        <v>250</v>
      </c>
    </row>
    <row r="89" ht="15.75"/>
    <row r="90" ht="31.5" spans="1:6">
      <c r="A90" s="22" t="s">
        <v>251</v>
      </c>
      <c r="B90" s="23" t="s">
        <v>245</v>
      </c>
      <c r="C90" s="22" t="s">
        <v>228</v>
      </c>
      <c r="D90" s="22" t="s">
        <v>229</v>
      </c>
      <c r="E90" s="22" t="s">
        <v>230</v>
      </c>
      <c r="F90" s="22" t="s">
        <v>231</v>
      </c>
    </row>
    <row r="91" ht="16.5" spans="1:6">
      <c r="A91" s="18"/>
      <c r="B91" s="24"/>
      <c r="C91" s="18"/>
      <c r="D91" s="18"/>
      <c r="E91" s="18"/>
      <c r="F91" s="18"/>
    </row>
    <row r="92" ht="16.5" spans="1:9">
      <c r="A92" s="16">
        <v>18</v>
      </c>
      <c r="B92" s="17">
        <v>33</v>
      </c>
      <c r="C92" s="17">
        <f>ABS(B92-A92)</f>
        <v>15</v>
      </c>
      <c r="D92" s="17">
        <f>(B92-A92)^2</f>
        <v>225</v>
      </c>
      <c r="E92" s="17">
        <f>B92-$B$95</f>
        <v>12.6666666666667</v>
      </c>
      <c r="F92" s="20">
        <f>E92^2</f>
        <v>160.444444444444</v>
      </c>
      <c r="H92" s="19" t="s">
        <v>232</v>
      </c>
      <c r="I92" s="21">
        <f>AVERAGE(C92:C94)</f>
        <v>29</v>
      </c>
    </row>
    <row r="93" ht="16.5" spans="1:9">
      <c r="A93" s="16">
        <v>68</v>
      </c>
      <c r="B93" s="17">
        <v>15</v>
      </c>
      <c r="C93" s="17">
        <f t="shared" ref="C93:C94" si="21">ABS(B93-A93)</f>
        <v>53</v>
      </c>
      <c r="D93" s="17">
        <f t="shared" ref="D93:D94" si="22">(B93-A93)^2</f>
        <v>2809</v>
      </c>
      <c r="E93" s="17">
        <f>B93-$B$95</f>
        <v>-5.33333333333333</v>
      </c>
      <c r="F93" s="20">
        <f t="shared" ref="F93:F94" si="23">E93^2</f>
        <v>28.4444444444444</v>
      </c>
      <c r="H93" s="19" t="s">
        <v>233</v>
      </c>
      <c r="I93" s="21">
        <f>AVERAGE(D92:D94)</f>
        <v>1131.66666666667</v>
      </c>
    </row>
    <row r="94" ht="16.5" spans="1:9">
      <c r="A94" s="16">
        <v>32</v>
      </c>
      <c r="B94" s="17">
        <v>13</v>
      </c>
      <c r="C94" s="17">
        <f t="shared" si="21"/>
        <v>19</v>
      </c>
      <c r="D94" s="17">
        <f t="shared" si="22"/>
        <v>361</v>
      </c>
      <c r="E94" s="17">
        <f>B94-$B$95</f>
        <v>-7.33333333333333</v>
      </c>
      <c r="F94" s="20">
        <f t="shared" si="23"/>
        <v>53.7777777777778</v>
      </c>
      <c r="H94" s="19" t="s">
        <v>234</v>
      </c>
      <c r="I94" s="19">
        <f>SQRT(AVERAGE(D92:D94))</f>
        <v>33.6402536653139</v>
      </c>
    </row>
    <row r="95" ht="32.25" spans="1:9">
      <c r="A95" s="18" t="s">
        <v>235</v>
      </c>
      <c r="B95" s="17">
        <f>AVERAGE(B92:B94)</f>
        <v>20.3333333333333</v>
      </c>
      <c r="C95" s="17">
        <f>AVERAGE(C92:C94)</f>
        <v>29</v>
      </c>
      <c r="D95" s="17">
        <f>AVERAGE(D92:D94)</f>
        <v>1131.66666666667</v>
      </c>
      <c r="E95" s="17"/>
      <c r="F95" s="17"/>
      <c r="H95" s="19" t="s">
        <v>236</v>
      </c>
      <c r="I95" s="21">
        <f>1-(SUM(D92:D94)/SUM(F92:F94))</f>
        <v>-12.9903846153846</v>
      </c>
    </row>
    <row r="103" spans="1:1">
      <c r="A103" s="12" t="s">
        <v>252</v>
      </c>
    </row>
    <row r="104" ht="15.75"/>
    <row r="105" ht="15.75" spans="1:6">
      <c r="A105" s="22" t="s">
        <v>253</v>
      </c>
      <c r="B105" s="23" t="s">
        <v>254</v>
      </c>
      <c r="C105" s="22" t="s">
        <v>228</v>
      </c>
      <c r="D105" s="22" t="s">
        <v>229</v>
      </c>
      <c r="E105" s="22" t="s">
        <v>230</v>
      </c>
      <c r="F105" s="22" t="s">
        <v>231</v>
      </c>
    </row>
    <row r="106" ht="32.25" spans="1:6">
      <c r="A106" s="18"/>
      <c r="B106" s="24" t="s">
        <v>255</v>
      </c>
      <c r="C106" s="18"/>
      <c r="D106" s="18"/>
      <c r="E106" s="18"/>
      <c r="F106" s="18"/>
    </row>
    <row r="107" ht="16.5" spans="1:9">
      <c r="A107" s="16">
        <v>15</v>
      </c>
      <c r="B107" s="17">
        <v>21</v>
      </c>
      <c r="C107" s="17">
        <f>ABS(B107-A107)</f>
        <v>6</v>
      </c>
      <c r="D107" s="17">
        <f>(B107-A107)^2</f>
        <v>36</v>
      </c>
      <c r="E107" s="17">
        <f>B107-$B$110</f>
        <v>9.33333333333333</v>
      </c>
      <c r="F107" s="17">
        <f>E107^2</f>
        <v>87.1111111111111</v>
      </c>
      <c r="H107" s="19" t="s">
        <v>232</v>
      </c>
      <c r="I107" s="21">
        <f>AVERAGE(C107:C109)</f>
        <v>29.6666666666667</v>
      </c>
    </row>
    <row r="108" ht="16.5" spans="1:9">
      <c r="A108" s="16">
        <v>67</v>
      </c>
      <c r="B108" s="17">
        <v>10</v>
      </c>
      <c r="C108" s="17">
        <f t="shared" ref="C108:C109" si="24">ABS(B108-A108)</f>
        <v>57</v>
      </c>
      <c r="D108" s="17">
        <f t="shared" ref="D108:D109" si="25">(B108-A108)^2</f>
        <v>3249</v>
      </c>
      <c r="E108" s="17">
        <f>B108-$B$110</f>
        <v>-1.66666666666667</v>
      </c>
      <c r="F108" s="17">
        <f t="shared" ref="F108:F109" si="26">E108^2</f>
        <v>2.77777777777778</v>
      </c>
      <c r="H108" s="19" t="s">
        <v>233</v>
      </c>
      <c r="I108" s="21">
        <f>AVERAGE(D107:D109)</f>
        <v>1320.33333333333</v>
      </c>
    </row>
    <row r="109" ht="16.5" spans="1:9">
      <c r="A109" s="16">
        <v>30</v>
      </c>
      <c r="B109" s="17">
        <v>4</v>
      </c>
      <c r="C109" s="17">
        <f t="shared" si="24"/>
        <v>26</v>
      </c>
      <c r="D109" s="17">
        <f t="shared" si="25"/>
        <v>676</v>
      </c>
      <c r="E109" s="17">
        <f>B109-$B$110</f>
        <v>-7.66666666666667</v>
      </c>
      <c r="F109" s="17">
        <f t="shared" si="26"/>
        <v>58.7777777777778</v>
      </c>
      <c r="H109" s="19" t="s">
        <v>234</v>
      </c>
      <c r="I109" s="19">
        <f>SQRT(AVERAGE(D107:D109))</f>
        <v>36.3363913086225</v>
      </c>
    </row>
    <row r="110" ht="32.25" spans="1:9">
      <c r="A110" s="18" t="s">
        <v>235</v>
      </c>
      <c r="B110" s="17">
        <f>AVERAGE(B107:B109)</f>
        <v>11.6666666666667</v>
      </c>
      <c r="C110" s="17">
        <f>AVERAGE(C107:C109)</f>
        <v>29.6666666666667</v>
      </c>
      <c r="D110" s="17">
        <f>AVERAGE(D107:D109)</f>
        <v>1320.33333333333</v>
      </c>
      <c r="E110" s="17"/>
      <c r="F110" s="17"/>
      <c r="H110" s="19" t="s">
        <v>236</v>
      </c>
      <c r="I110" s="21">
        <f>1-(SUM(D107:D109)/SUM(F107:F109))</f>
        <v>-25.6434977578475</v>
      </c>
    </row>
    <row r="115" spans="1:1">
      <c r="A115" s="12" t="s">
        <v>256</v>
      </c>
    </row>
    <row r="116" ht="15.75"/>
    <row r="117" customHeight="1" spans="1:6">
      <c r="A117" s="22" t="s">
        <v>257</v>
      </c>
      <c r="B117" s="23" t="s">
        <v>254</v>
      </c>
      <c r="C117" s="22" t="s">
        <v>228</v>
      </c>
      <c r="D117" s="22" t="s">
        <v>229</v>
      </c>
      <c r="E117" s="22" t="s">
        <v>230</v>
      </c>
      <c r="F117" s="22" t="s">
        <v>231</v>
      </c>
    </row>
    <row r="118" ht="31.5" spans="1:6">
      <c r="A118" s="25"/>
      <c r="B118" s="26" t="s">
        <v>255</v>
      </c>
      <c r="C118" s="25"/>
      <c r="D118" s="25"/>
      <c r="E118" s="25"/>
      <c r="F118" s="25"/>
    </row>
    <row r="119" ht="16.5" spans="1:6">
      <c r="A119" s="18"/>
      <c r="B119" s="24" t="s">
        <v>258</v>
      </c>
      <c r="C119" s="18"/>
      <c r="D119" s="18"/>
      <c r="E119" s="18"/>
      <c r="F119" s="18"/>
    </row>
    <row r="120" ht="16.5" spans="1:9">
      <c r="A120" s="16">
        <v>39</v>
      </c>
      <c r="B120" s="17">
        <v>12</v>
      </c>
      <c r="C120" s="17">
        <f>ABS(B120-A120)</f>
        <v>27</v>
      </c>
      <c r="D120" s="17">
        <f>(B120-A120)^2</f>
        <v>729</v>
      </c>
      <c r="E120" s="17">
        <f>B120-$B$123</f>
        <v>1</v>
      </c>
      <c r="F120" s="17">
        <f>E120^2</f>
        <v>1</v>
      </c>
      <c r="H120" s="19" t="s">
        <v>232</v>
      </c>
      <c r="I120" s="21">
        <f>AVERAGE(C120:C122)</f>
        <v>28</v>
      </c>
    </row>
    <row r="121" ht="16.5" spans="1:9">
      <c r="A121" s="16">
        <v>44</v>
      </c>
      <c r="B121" s="17">
        <v>7</v>
      </c>
      <c r="C121" s="17">
        <f t="shared" ref="C121:C122" si="27">ABS(B121-A121)</f>
        <v>37</v>
      </c>
      <c r="D121" s="17">
        <f t="shared" ref="D121:D122" si="28">(B121-A121)^2</f>
        <v>1369</v>
      </c>
      <c r="E121" s="17">
        <f>B121-$B$123</f>
        <v>-4</v>
      </c>
      <c r="F121" s="17">
        <f t="shared" ref="F121:F122" si="29">E121^2</f>
        <v>16</v>
      </c>
      <c r="H121" s="19" t="s">
        <v>233</v>
      </c>
      <c r="I121" s="21">
        <f>AVERAGE(D120:D122)</f>
        <v>832.666666666667</v>
      </c>
    </row>
    <row r="122" ht="16.5" spans="1:9">
      <c r="A122" s="16">
        <v>34</v>
      </c>
      <c r="B122" s="17">
        <v>14</v>
      </c>
      <c r="C122" s="17">
        <f t="shared" si="27"/>
        <v>20</v>
      </c>
      <c r="D122" s="17">
        <f t="shared" si="28"/>
        <v>400</v>
      </c>
      <c r="E122" s="17">
        <f>B122-$B$123</f>
        <v>3</v>
      </c>
      <c r="F122" s="17">
        <f t="shared" si="29"/>
        <v>9</v>
      </c>
      <c r="H122" s="19" t="s">
        <v>234</v>
      </c>
      <c r="I122" s="19">
        <f>SQRT(AVERAGE(D120:D122))</f>
        <v>28.8559641437722</v>
      </c>
    </row>
    <row r="123" ht="32.25" spans="1:9">
      <c r="A123" s="18" t="s">
        <v>235</v>
      </c>
      <c r="B123" s="17">
        <f>AVERAGE(B120:B122)</f>
        <v>11</v>
      </c>
      <c r="C123" s="17">
        <f>AVERAGE(C120:C122)</f>
        <v>28</v>
      </c>
      <c r="D123" s="17">
        <f>AVERAGE(D120:D122)</f>
        <v>832.666666666667</v>
      </c>
      <c r="E123" s="17"/>
      <c r="F123" s="17"/>
      <c r="H123" s="19" t="s">
        <v>236</v>
      </c>
      <c r="I123" s="21">
        <f>1-(SUM(D120:D122)/SUM(F120:F122))</f>
        <v>-95.0769230769231</v>
      </c>
    </row>
    <row r="131" spans="1:1">
      <c r="A131" s="12" t="s">
        <v>259</v>
      </c>
    </row>
    <row r="132" ht="15.75"/>
    <row r="133" ht="15.75" spans="1:6">
      <c r="A133" s="22" t="s">
        <v>260</v>
      </c>
      <c r="B133" s="23" t="s">
        <v>254</v>
      </c>
      <c r="C133" s="22" t="s">
        <v>228</v>
      </c>
      <c r="D133" s="22" t="s">
        <v>229</v>
      </c>
      <c r="E133" s="22" t="s">
        <v>230</v>
      </c>
      <c r="F133" s="22" t="s">
        <v>231</v>
      </c>
    </row>
    <row r="134" ht="32.25" spans="1:6">
      <c r="A134" s="18"/>
      <c r="B134" s="24" t="s">
        <v>255</v>
      </c>
      <c r="C134" s="18"/>
      <c r="D134" s="18"/>
      <c r="E134" s="18"/>
      <c r="F134" s="18"/>
    </row>
    <row r="135" ht="16.5" spans="1:9">
      <c r="A135" s="16">
        <v>11</v>
      </c>
      <c r="B135" s="17">
        <v>15</v>
      </c>
      <c r="C135" s="17">
        <f>ABS(B135-A135)</f>
        <v>4</v>
      </c>
      <c r="D135" s="17">
        <f>(B135-A135)^2</f>
        <v>16</v>
      </c>
      <c r="E135" s="17">
        <f>B135-$B$138</f>
        <v>0.666666666666666</v>
      </c>
      <c r="F135" s="17">
        <f>E135^2</f>
        <v>0.444444444444444</v>
      </c>
      <c r="H135" s="19" t="s">
        <v>232</v>
      </c>
      <c r="I135" s="21">
        <f>AVERAGE(C135:C137)</f>
        <v>11.3333333333333</v>
      </c>
    </row>
    <row r="136" ht="16.5" spans="1:9">
      <c r="A136" s="16">
        <v>30</v>
      </c>
      <c r="B136" s="17">
        <v>10</v>
      </c>
      <c r="C136" s="17">
        <f t="shared" ref="C136:C137" si="30">ABS(B136-A136)</f>
        <v>20</v>
      </c>
      <c r="D136" s="17">
        <f t="shared" ref="D136:D137" si="31">(B136-A136)^2</f>
        <v>400</v>
      </c>
      <c r="E136" s="17">
        <f>B136-$B$138</f>
        <v>-4.33333333333333</v>
      </c>
      <c r="F136" s="17">
        <f t="shared" ref="F136:F137" si="32">E136^2</f>
        <v>18.7777777777778</v>
      </c>
      <c r="H136" s="19" t="s">
        <v>233</v>
      </c>
      <c r="I136" s="21">
        <f>AVERAGE(D135:D137)</f>
        <v>172</v>
      </c>
    </row>
    <row r="137" ht="16.5" spans="1:9">
      <c r="A137" s="16">
        <v>28</v>
      </c>
      <c r="B137" s="17">
        <v>18</v>
      </c>
      <c r="C137" s="17">
        <f t="shared" si="30"/>
        <v>10</v>
      </c>
      <c r="D137" s="17">
        <f t="shared" si="31"/>
        <v>100</v>
      </c>
      <c r="E137" s="17">
        <f>B137-$B$138</f>
        <v>3.66666666666667</v>
      </c>
      <c r="F137" s="17">
        <f t="shared" si="32"/>
        <v>13.4444444444444</v>
      </c>
      <c r="H137" s="19" t="s">
        <v>234</v>
      </c>
      <c r="I137" s="19">
        <f>SQRT(AVERAGE(D135:D137))</f>
        <v>13.114877048604</v>
      </c>
    </row>
    <row r="138" ht="32.25" spans="1:9">
      <c r="A138" s="18" t="s">
        <v>235</v>
      </c>
      <c r="B138" s="17">
        <f>AVERAGE(B135:B137)</f>
        <v>14.3333333333333</v>
      </c>
      <c r="C138" s="17">
        <f>AVERAGE(C135:C137)</f>
        <v>11.3333333333333</v>
      </c>
      <c r="D138" s="17">
        <f>AVERAGE(D135:D137)</f>
        <v>172</v>
      </c>
      <c r="E138" s="17"/>
      <c r="F138" s="20"/>
      <c r="H138" s="19" t="s">
        <v>236</v>
      </c>
      <c r="I138" s="21">
        <f>1-(SUM(D135:D137)/SUM(F135:F137))</f>
        <v>-14.7959183673469</v>
      </c>
    </row>
    <row r="147" spans="1:1">
      <c r="A147" s="12" t="s">
        <v>261</v>
      </c>
    </row>
    <row r="148" ht="15.75"/>
    <row r="149" ht="48" spans="1:6">
      <c r="A149" s="14" t="s">
        <v>262</v>
      </c>
      <c r="B149" s="15" t="s">
        <v>263</v>
      </c>
      <c r="C149" s="15" t="s">
        <v>228</v>
      </c>
      <c r="D149" s="15" t="s">
        <v>229</v>
      </c>
      <c r="E149" s="15" t="s">
        <v>230</v>
      </c>
      <c r="F149" s="15" t="s">
        <v>231</v>
      </c>
    </row>
    <row r="150" ht="16.5" spans="1:9">
      <c r="A150" s="16">
        <v>18</v>
      </c>
      <c r="B150" s="17">
        <v>15</v>
      </c>
      <c r="C150" s="17">
        <f>ABS(B150-A150)</f>
        <v>3</v>
      </c>
      <c r="D150" s="17">
        <f>(B150-A150)^2</f>
        <v>9</v>
      </c>
      <c r="E150" s="17">
        <f>B150-$B$153</f>
        <v>2.33333333333333</v>
      </c>
      <c r="F150" s="17">
        <f>E150^2</f>
        <v>5.44444444444445</v>
      </c>
      <c r="H150" s="19" t="s">
        <v>232</v>
      </c>
      <c r="I150" s="21">
        <f>AVERAGE(C150:C152)</f>
        <v>23.6666666666667</v>
      </c>
    </row>
    <row r="151" ht="16.5" spans="1:9">
      <c r="A151" s="16">
        <v>65</v>
      </c>
      <c r="B151" s="17">
        <v>13</v>
      </c>
      <c r="C151" s="17">
        <f t="shared" ref="C151:C152" si="33">ABS(B151-A151)</f>
        <v>52</v>
      </c>
      <c r="D151" s="17">
        <f t="shared" ref="D151:D152" si="34">(B151-A151)^2</f>
        <v>2704</v>
      </c>
      <c r="E151" s="17">
        <f>B151-$B$153</f>
        <v>0.333333333333334</v>
      </c>
      <c r="F151" s="17">
        <f t="shared" ref="F151:F152" si="35">E151^2</f>
        <v>0.111111111111112</v>
      </c>
      <c r="H151" s="19" t="s">
        <v>233</v>
      </c>
      <c r="I151" s="21">
        <f>AVERAGE(D150:D152)</f>
        <v>989.666666666667</v>
      </c>
    </row>
    <row r="152" ht="16.5" spans="1:9">
      <c r="A152" s="16">
        <v>26</v>
      </c>
      <c r="B152" s="17">
        <v>10</v>
      </c>
      <c r="C152" s="17">
        <f t="shared" si="33"/>
        <v>16</v>
      </c>
      <c r="D152" s="17">
        <f t="shared" si="34"/>
        <v>256</v>
      </c>
      <c r="E152" s="17">
        <f>B152-$B$153</f>
        <v>-2.66666666666667</v>
      </c>
      <c r="F152" s="17">
        <f t="shared" si="35"/>
        <v>7.11111111111111</v>
      </c>
      <c r="H152" s="19" t="s">
        <v>234</v>
      </c>
      <c r="I152" s="19">
        <f>SQRT(AVERAGE(D150:D152))</f>
        <v>31.4589679847681</v>
      </c>
    </row>
    <row r="153" ht="32.25" spans="1:9">
      <c r="A153" s="18" t="s">
        <v>235</v>
      </c>
      <c r="B153" s="17">
        <f>AVERAGE(B150:B152)</f>
        <v>12.6666666666667</v>
      </c>
      <c r="C153" s="17">
        <f>AVERAGE(C150:C152)</f>
        <v>23.6666666666667</v>
      </c>
      <c r="D153" s="20">
        <f>AVERAGE(D150:D152)</f>
        <v>989.666666666667</v>
      </c>
      <c r="E153" s="17"/>
      <c r="F153" s="20"/>
      <c r="H153" s="19" t="s">
        <v>236</v>
      </c>
      <c r="I153" s="21">
        <f>1-(SUM(D150:D152)/SUM(F150:F152))</f>
        <v>-233.394736842105</v>
      </c>
    </row>
    <row r="159" spans="1:1">
      <c r="A159" s="12" t="s">
        <v>264</v>
      </c>
    </row>
    <row r="160" ht="15.75"/>
    <row r="161" ht="48" spans="1:6">
      <c r="A161" s="14" t="s">
        <v>265</v>
      </c>
      <c r="B161" s="15" t="s">
        <v>245</v>
      </c>
      <c r="C161" s="15" t="s">
        <v>228</v>
      </c>
      <c r="D161" s="15" t="s">
        <v>229</v>
      </c>
      <c r="E161" s="15" t="s">
        <v>230</v>
      </c>
      <c r="F161" s="15" t="s">
        <v>231</v>
      </c>
    </row>
    <row r="162" ht="16.5" spans="1:9">
      <c r="A162" s="16">
        <v>26</v>
      </c>
      <c r="B162" s="17">
        <v>18</v>
      </c>
      <c r="C162" s="17">
        <f>ABS(B162-A162)</f>
        <v>8</v>
      </c>
      <c r="D162" s="17">
        <f>(B162-A162)^2</f>
        <v>64</v>
      </c>
      <c r="E162" s="17">
        <f>B162-$B$165</f>
        <v>-0.333333333333332</v>
      </c>
      <c r="F162" s="17">
        <f>E162^2</f>
        <v>0.11111111111111</v>
      </c>
      <c r="H162" s="19" t="s">
        <v>232</v>
      </c>
      <c r="I162" s="21">
        <f>AVERAGE(C162:C164)</f>
        <v>20.3333333333333</v>
      </c>
    </row>
    <row r="163" ht="16.5" spans="1:9">
      <c r="A163" s="16">
        <v>65</v>
      </c>
      <c r="B163" s="17">
        <v>33</v>
      </c>
      <c r="C163" s="17">
        <f t="shared" ref="C163:C164" si="36">ABS(B163-A163)</f>
        <v>32</v>
      </c>
      <c r="D163" s="17">
        <f t="shared" ref="D163:D164" si="37">(B163-A163)^2</f>
        <v>1024</v>
      </c>
      <c r="E163" s="17">
        <f>B163-$B$165</f>
        <v>14.6666666666667</v>
      </c>
      <c r="F163" s="17">
        <f t="shared" ref="F163:F164" si="38">E163^2</f>
        <v>215.111111111111</v>
      </c>
      <c r="H163" s="19" t="s">
        <v>233</v>
      </c>
      <c r="I163" s="21">
        <f>AVERAGE(D162:D164)</f>
        <v>509.666666666667</v>
      </c>
    </row>
    <row r="164" ht="16.5" spans="1:9">
      <c r="A164" s="16">
        <v>25</v>
      </c>
      <c r="B164" s="17">
        <v>4</v>
      </c>
      <c r="C164" s="17">
        <f t="shared" si="36"/>
        <v>21</v>
      </c>
      <c r="D164" s="17">
        <f t="shared" si="37"/>
        <v>441</v>
      </c>
      <c r="E164" s="17">
        <f>B164-$B$165</f>
        <v>-14.3333333333333</v>
      </c>
      <c r="F164" s="17">
        <f t="shared" si="38"/>
        <v>205.444444444444</v>
      </c>
      <c r="H164" s="19" t="s">
        <v>234</v>
      </c>
      <c r="I164" s="19">
        <f>SQRT(AVERAGE(D162:D164))</f>
        <v>22.5757982509294</v>
      </c>
    </row>
    <row r="165" ht="32.25" spans="1:9">
      <c r="A165" s="18" t="s">
        <v>235</v>
      </c>
      <c r="B165" s="17">
        <f>AVERAGE(B162:B164)</f>
        <v>18.3333333333333</v>
      </c>
      <c r="C165" s="17">
        <f>AVERAGE(C162:C164)</f>
        <v>20.3333333333333</v>
      </c>
      <c r="D165" s="20">
        <f>AVERAGE(D162:D164)</f>
        <v>509.666666666667</v>
      </c>
      <c r="E165" s="17"/>
      <c r="F165" s="17"/>
      <c r="H165" s="19" t="s">
        <v>236</v>
      </c>
      <c r="I165" s="21">
        <f>1-(SUM(D162:D164)/SUM(F162:F164))</f>
        <v>-2.63470681458003</v>
      </c>
    </row>
    <row r="170" spans="1:1">
      <c r="A170" s="12" t="s">
        <v>266</v>
      </c>
    </row>
    <row r="171" ht="15.75"/>
    <row r="172" ht="48" spans="1:6">
      <c r="A172" s="14" t="s">
        <v>267</v>
      </c>
      <c r="B172" s="15" t="s">
        <v>245</v>
      </c>
      <c r="C172" s="15" t="s">
        <v>228</v>
      </c>
      <c r="D172" s="15" t="s">
        <v>229</v>
      </c>
      <c r="E172" s="15" t="s">
        <v>230</v>
      </c>
      <c r="F172" s="15" t="s">
        <v>231</v>
      </c>
    </row>
    <row r="173" ht="16.5" spans="1:9">
      <c r="A173" s="16">
        <v>45</v>
      </c>
      <c r="B173" s="17">
        <v>21</v>
      </c>
      <c r="C173" s="17">
        <f>ABS(B173-A173)</f>
        <v>24</v>
      </c>
      <c r="D173" s="17">
        <f>(B173-A173)^2</f>
        <v>576</v>
      </c>
      <c r="E173" s="17">
        <f>B173-$B$176</f>
        <v>9.33333333333333</v>
      </c>
      <c r="F173" s="17">
        <f>E173^2</f>
        <v>87.1111111111111</v>
      </c>
      <c r="H173" s="19" t="s">
        <v>232</v>
      </c>
      <c r="I173" s="21">
        <f>AVERAGE(C173:C175)</f>
        <v>23</v>
      </c>
    </row>
    <row r="174" ht="16.5" spans="1:9">
      <c r="A174" s="16">
        <v>30</v>
      </c>
      <c r="B174" s="17">
        <v>7</v>
      </c>
      <c r="C174" s="17">
        <f t="shared" ref="C174:C175" si="39">ABS(B174-A174)</f>
        <v>23</v>
      </c>
      <c r="D174" s="17">
        <f t="shared" ref="D174:D175" si="40">(B174-A174)^2</f>
        <v>529</v>
      </c>
      <c r="E174" s="17">
        <f>B174-$B$176</f>
        <v>-4.66666666666667</v>
      </c>
      <c r="F174" s="17">
        <f t="shared" ref="F174:F175" si="41">E174^2</f>
        <v>21.7777777777778</v>
      </c>
      <c r="H174" s="19" t="s">
        <v>233</v>
      </c>
      <c r="I174" s="21">
        <f>AVERAGE(D173:D175)</f>
        <v>529.666666666667</v>
      </c>
    </row>
    <row r="175" ht="16.5" spans="1:9">
      <c r="A175" s="16">
        <v>29</v>
      </c>
      <c r="B175" s="17">
        <v>7</v>
      </c>
      <c r="C175" s="17">
        <f t="shared" si="39"/>
        <v>22</v>
      </c>
      <c r="D175" s="17">
        <f t="shared" si="40"/>
        <v>484</v>
      </c>
      <c r="E175" s="17">
        <f>B175-$B$176</f>
        <v>-4.66666666666667</v>
      </c>
      <c r="F175" s="17">
        <f t="shared" si="41"/>
        <v>21.7777777777778</v>
      </c>
      <c r="H175" s="19" t="s">
        <v>234</v>
      </c>
      <c r="I175" s="19">
        <f>SQRT(AVERAGE(D173:D175))</f>
        <v>23.0144881904132</v>
      </c>
    </row>
    <row r="176" ht="32.25" spans="1:9">
      <c r="A176" s="14" t="s">
        <v>235</v>
      </c>
      <c r="B176" s="27">
        <f>AVERAGE(B173:B175)</f>
        <v>11.6666666666667</v>
      </c>
      <c r="C176" s="27">
        <f>AVERAGE(C173:C175)</f>
        <v>23</v>
      </c>
      <c r="D176" s="28">
        <f>AVERAGE(D173:D175)</f>
        <v>529.666666666667</v>
      </c>
      <c r="E176" s="27"/>
      <c r="F176" s="28"/>
      <c r="H176" s="19" t="s">
        <v>236</v>
      </c>
      <c r="I176" s="21">
        <f>1-(SUM(D173:D175)/SUM(F173:F175))</f>
        <v>-11.1607142857143</v>
      </c>
    </row>
    <row r="185" spans="1:1">
      <c r="A185" s="12" t="s">
        <v>268</v>
      </c>
    </row>
    <row r="186" ht="15.75"/>
    <row r="187" ht="48" spans="1:6">
      <c r="A187" s="14" t="s">
        <v>269</v>
      </c>
      <c r="B187" s="15" t="s">
        <v>245</v>
      </c>
      <c r="C187" s="15" t="s">
        <v>228</v>
      </c>
      <c r="D187" s="15" t="s">
        <v>229</v>
      </c>
      <c r="E187" s="15" t="s">
        <v>230</v>
      </c>
      <c r="F187" s="15" t="s">
        <v>231</v>
      </c>
    </row>
    <row r="188" ht="16.5" spans="1:9">
      <c r="A188" s="16">
        <v>24</v>
      </c>
      <c r="B188" s="17">
        <v>12</v>
      </c>
      <c r="C188" s="17">
        <f>ABS(B188-A188)</f>
        <v>12</v>
      </c>
      <c r="D188" s="17">
        <f>(B188-A188)^2</f>
        <v>144</v>
      </c>
      <c r="E188" s="17">
        <f>B188-$B$191</f>
        <v>-10</v>
      </c>
      <c r="F188" s="20">
        <f>E188^2</f>
        <v>100</v>
      </c>
      <c r="H188" s="19" t="s">
        <v>232</v>
      </c>
      <c r="I188" s="21">
        <f>AVERAGE(C188:C190)</f>
        <v>18</v>
      </c>
    </row>
    <row r="189" ht="16.5" spans="1:9">
      <c r="A189" s="16">
        <v>59</v>
      </c>
      <c r="B189" s="17">
        <v>21</v>
      </c>
      <c r="C189" s="17">
        <f t="shared" ref="C189:C190" si="42">ABS(B189-A189)</f>
        <v>38</v>
      </c>
      <c r="D189" s="17">
        <f t="shared" ref="D189:D190" si="43">(B189-A189)^2</f>
        <v>1444</v>
      </c>
      <c r="E189" s="17">
        <f>B189-$B$191</f>
        <v>-1</v>
      </c>
      <c r="F189" s="20">
        <f t="shared" ref="F189:F190" si="44">E189^2</f>
        <v>1</v>
      </c>
      <c r="H189" s="19" t="s">
        <v>233</v>
      </c>
      <c r="I189" s="21">
        <f>AVERAGE(D188:D190)</f>
        <v>534.666666666667</v>
      </c>
    </row>
    <row r="190" ht="16.5" spans="1:9">
      <c r="A190" s="16">
        <v>29</v>
      </c>
      <c r="B190" s="17">
        <v>33</v>
      </c>
      <c r="C190" s="17">
        <f t="shared" si="42"/>
        <v>4</v>
      </c>
      <c r="D190" s="17">
        <f t="shared" si="43"/>
        <v>16</v>
      </c>
      <c r="E190" s="17">
        <f>B190-$B$191</f>
        <v>11</v>
      </c>
      <c r="F190" s="20">
        <f t="shared" si="44"/>
        <v>121</v>
      </c>
      <c r="H190" s="19" t="s">
        <v>234</v>
      </c>
      <c r="I190" s="19">
        <f>SQRT(AVERAGE(D188:D190))</f>
        <v>23.1228602613662</v>
      </c>
    </row>
    <row r="191" ht="32.25" spans="1:9">
      <c r="A191" s="18" t="s">
        <v>235</v>
      </c>
      <c r="B191" s="17">
        <f>AVERAGE(B188:B190)</f>
        <v>22</v>
      </c>
      <c r="C191" s="17">
        <f>AVERAGE(C188:C190)</f>
        <v>18</v>
      </c>
      <c r="D191" s="20">
        <f>AVERAGE(D188:D190)</f>
        <v>534.666666666667</v>
      </c>
      <c r="E191" s="17"/>
      <c r="F191" s="17"/>
      <c r="H191" s="19" t="s">
        <v>236</v>
      </c>
      <c r="I191" s="21">
        <f>1-(SUM(D188:D190)/SUM(F188:F190))</f>
        <v>-6.22522522522523</v>
      </c>
    </row>
  </sheetData>
  <mergeCells count="20">
    <mergeCell ref="A90:A91"/>
    <mergeCell ref="A105:A106"/>
    <mergeCell ref="A117:A119"/>
    <mergeCell ref="A133:A134"/>
    <mergeCell ref="C90:C91"/>
    <mergeCell ref="C105:C106"/>
    <mergeCell ref="C117:C119"/>
    <mergeCell ref="C133:C134"/>
    <mergeCell ref="D90:D91"/>
    <mergeCell ref="D105:D106"/>
    <mergeCell ref="D117:D119"/>
    <mergeCell ref="D133:D134"/>
    <mergeCell ref="E90:E91"/>
    <mergeCell ref="E105:E106"/>
    <mergeCell ref="E117:E119"/>
    <mergeCell ref="E133:E134"/>
    <mergeCell ref="F90:F91"/>
    <mergeCell ref="F105:F106"/>
    <mergeCell ref="F117:F119"/>
    <mergeCell ref="F133:F134"/>
  </mergeCells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6"/>
  <sheetViews>
    <sheetView workbookViewId="0">
      <selection activeCell="A1" sqref="A1:E16"/>
    </sheetView>
  </sheetViews>
  <sheetFormatPr defaultColWidth="9" defaultRowHeight="15" outlineLevelCol="5"/>
  <cols>
    <col min="2" max="2" width="19.4222222222222" customWidth="1"/>
    <col min="3" max="3" width="15.1407407407407" customWidth="1"/>
    <col min="4" max="4" width="14.7111111111111" customWidth="1"/>
    <col min="5" max="5" width="16" customWidth="1"/>
  </cols>
  <sheetData>
    <row r="1" ht="16.5" spans="1:5">
      <c r="A1" s="1" t="s">
        <v>175</v>
      </c>
      <c r="B1" s="2" t="s">
        <v>270</v>
      </c>
      <c r="C1" s="2" t="s">
        <v>232</v>
      </c>
      <c r="D1" s="2" t="s">
        <v>234</v>
      </c>
      <c r="E1" s="2" t="s">
        <v>236</v>
      </c>
    </row>
    <row r="2" ht="16.5" spans="1:5">
      <c r="A2" s="3">
        <v>1</v>
      </c>
      <c r="B2" s="4" t="s">
        <v>271</v>
      </c>
      <c r="C2" s="4">
        <v>19.33</v>
      </c>
      <c r="D2" s="4">
        <v>21.648</v>
      </c>
      <c r="E2" s="4">
        <v>-4.794</v>
      </c>
    </row>
    <row r="3" ht="16.5" spans="1:5">
      <c r="A3" s="3">
        <v>2</v>
      </c>
      <c r="B3" s="4" t="s">
        <v>272</v>
      </c>
      <c r="C3" s="4">
        <v>22.66</v>
      </c>
      <c r="D3" s="4">
        <v>26.229</v>
      </c>
      <c r="E3" s="4">
        <v>-11.286</v>
      </c>
    </row>
    <row r="4" ht="16.5" spans="1:5">
      <c r="A4" s="3">
        <v>3</v>
      </c>
      <c r="B4" s="4" t="s">
        <v>273</v>
      </c>
      <c r="C4" s="4">
        <v>23.66</v>
      </c>
      <c r="D4" s="4">
        <v>31.984</v>
      </c>
      <c r="E4" s="4">
        <v>-353.12</v>
      </c>
    </row>
    <row r="5" ht="16.5" spans="1:5">
      <c r="A5" s="5">
        <v>4</v>
      </c>
      <c r="B5" s="6" t="s">
        <v>274</v>
      </c>
      <c r="C5" s="6">
        <v>29</v>
      </c>
      <c r="D5" s="6">
        <v>30.881</v>
      </c>
      <c r="E5" s="11">
        <v>-137.44</v>
      </c>
    </row>
    <row r="6" ht="16.5" spans="1:5">
      <c r="A6" s="5">
        <v>5</v>
      </c>
      <c r="B6" s="6" t="s">
        <v>275</v>
      </c>
      <c r="C6" s="6">
        <v>18.66</v>
      </c>
      <c r="D6" s="6">
        <v>21.556</v>
      </c>
      <c r="E6" s="6">
        <v>-2.9305</v>
      </c>
    </row>
    <row r="7" ht="16.5" spans="1:5">
      <c r="A7" s="7">
        <v>6</v>
      </c>
      <c r="B7" s="8" t="s">
        <v>276</v>
      </c>
      <c r="C7" s="8">
        <v>17.66</v>
      </c>
      <c r="D7" s="8">
        <v>22.708</v>
      </c>
      <c r="E7" s="8">
        <v>-2.4378</v>
      </c>
    </row>
    <row r="8" ht="16.5" spans="1:5">
      <c r="A8" s="3">
        <v>7</v>
      </c>
      <c r="B8" s="4" t="s">
        <v>277</v>
      </c>
      <c r="C8" s="4">
        <v>28.66</v>
      </c>
      <c r="D8" s="4">
        <v>36.72</v>
      </c>
      <c r="E8" s="4">
        <v>-122.86</v>
      </c>
    </row>
    <row r="9" ht="16.5" spans="1:5">
      <c r="A9" s="3">
        <v>8</v>
      </c>
      <c r="B9" s="4" t="s">
        <v>278</v>
      </c>
      <c r="C9" s="4">
        <v>29</v>
      </c>
      <c r="D9" s="4">
        <v>33.64</v>
      </c>
      <c r="E9" s="4">
        <v>-12.99</v>
      </c>
    </row>
    <row r="10" ht="16.5" spans="1:5">
      <c r="A10" s="3">
        <v>9</v>
      </c>
      <c r="B10" s="4" t="s">
        <v>279</v>
      </c>
      <c r="C10" s="4">
        <v>29.66</v>
      </c>
      <c r="D10" s="4">
        <v>36.33</v>
      </c>
      <c r="E10" s="4">
        <v>-25.643</v>
      </c>
    </row>
    <row r="11" ht="16.5" spans="1:5">
      <c r="A11" s="3">
        <v>10</v>
      </c>
      <c r="B11" s="4" t="s">
        <v>280</v>
      </c>
      <c r="C11" s="4">
        <v>28</v>
      </c>
      <c r="D11" s="4">
        <v>28.856</v>
      </c>
      <c r="E11" s="4">
        <v>-95.077</v>
      </c>
    </row>
    <row r="12" ht="16.5" spans="1:6">
      <c r="A12" s="9">
        <v>11</v>
      </c>
      <c r="B12" s="10" t="s">
        <v>281</v>
      </c>
      <c r="C12" s="10">
        <v>11.333</v>
      </c>
      <c r="D12" s="10">
        <v>13.114</v>
      </c>
      <c r="E12" s="10">
        <v>-14.796</v>
      </c>
      <c r="F12" s="12"/>
    </row>
    <row r="13" ht="16.5" spans="1:5">
      <c r="A13" s="3">
        <v>12</v>
      </c>
      <c r="B13" s="4" t="s">
        <v>282</v>
      </c>
      <c r="C13" s="4">
        <v>23.66</v>
      </c>
      <c r="D13" s="4">
        <v>31.459</v>
      </c>
      <c r="E13" s="13">
        <v>-233.39</v>
      </c>
    </row>
    <row r="14" ht="16.5" spans="1:5">
      <c r="A14" s="3">
        <v>13</v>
      </c>
      <c r="B14" s="4" t="s">
        <v>283</v>
      </c>
      <c r="C14" s="4">
        <v>20.33</v>
      </c>
      <c r="D14" s="4">
        <v>22.575</v>
      </c>
      <c r="E14" s="4">
        <v>-2.634</v>
      </c>
    </row>
    <row r="15" ht="16.5" spans="1:5">
      <c r="A15" s="3">
        <v>14</v>
      </c>
      <c r="B15" s="4" t="s">
        <v>284</v>
      </c>
      <c r="C15" s="4">
        <v>23</v>
      </c>
      <c r="D15" s="4">
        <v>23.014</v>
      </c>
      <c r="E15" s="4">
        <v>-11.161</v>
      </c>
    </row>
    <row r="16" ht="16.5" spans="1:5">
      <c r="A16" s="3">
        <v>15</v>
      </c>
      <c r="B16" s="4" t="s">
        <v>285</v>
      </c>
      <c r="C16" s="4">
        <v>18</v>
      </c>
      <c r="D16" s="4">
        <v>23.122</v>
      </c>
      <c r="E16" s="4">
        <v>-6.225</v>
      </c>
    </row>
  </sheetData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Data_DBD</vt:lpstr>
      <vt:lpstr>Pemilihan Fitur</vt:lpstr>
      <vt:lpstr>Data Uji</vt:lpstr>
      <vt:lpstr>Data Latih</vt:lpstr>
      <vt:lpstr>Pohon 1</vt:lpstr>
      <vt:lpstr>Pohon 2</vt:lpstr>
      <vt:lpstr>Pohon 3</vt:lpstr>
      <vt:lpstr>Pohon 4</vt:lpstr>
      <vt:lpstr>Pohon 5</vt:lpstr>
      <vt:lpstr>Pohon 6</vt:lpstr>
      <vt:lpstr>Pohon 7</vt:lpstr>
      <vt:lpstr>Pohon 8</vt:lpstr>
      <vt:lpstr>Pohon 9</vt:lpstr>
      <vt:lpstr>Pohon 10</vt:lpstr>
      <vt:lpstr>Pohon 11</vt:lpstr>
      <vt:lpstr>Pohon 12</vt:lpstr>
      <vt:lpstr>Pohon 13</vt:lpstr>
      <vt:lpstr>Pohon 14</vt:lpstr>
      <vt:lpstr>Pohon 15</vt:lpstr>
      <vt:lpstr>PerhitunganRF</vt:lpstr>
      <vt:lpstr>PenentuanPohonterbaik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Ghina Lutfiyyah</dc:creator>
  <cp:lastModifiedBy>vue</cp:lastModifiedBy>
  <dcterms:created xsi:type="dcterms:W3CDTF">2026-06-02T17:47:00Z</dcterms:created>
  <dcterms:modified xsi:type="dcterms:W3CDTF">2026-08-03T10:27:01Z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47EA536D8EFE4697A8E59E8949CBD34B_12</vt:lpwstr>
  </property>
  <property fmtid="{D5CDD505-2E9C-101B-9397-08002B2CF9AE}" pid="3" name="KSOProductBuildVer">
    <vt:lpwstr>1033-11.1.0.11723</vt:lpwstr>
  </property>
  <property fmtid="{D5CDD505-2E9C-101B-9397-08002B2CF9AE}" pid="4" name="CalculationRule">
    <vt:i4>0</vt:i4>
  </property>
</Properties>
</file>