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Dokumen Kampus\SKRIPSI\"/>
    </mc:Choice>
  </mc:AlternateContent>
  <xr:revisionPtr revIDLastSave="0" documentId="13_ncr:1_{FE00B85F-B917-4E6A-8FF6-7D668E609238}" xr6:coauthVersionLast="47" xr6:coauthVersionMax="47" xr10:uidLastSave="{00000000-0000-0000-0000-000000000000}"/>
  <bookViews>
    <workbookView xWindow="10140" yWindow="0" windowWidth="10455" windowHeight="10905" firstSheet="5" activeTab="5" xr2:uid="{00000000-000D-0000-FFFF-FFFF00000000}"/>
  </bookViews>
  <sheets>
    <sheet name="Data_DBD" sheetId="1" r:id="rId1"/>
    <sheet name="Pohon 1" sheetId="2" r:id="rId2"/>
    <sheet name="Pohon 2" sheetId="4" r:id="rId3"/>
    <sheet name="Pohon 3" sheetId="5" r:id="rId4"/>
    <sheet name="Pohon 4" sheetId="6" r:id="rId5"/>
    <sheet name="Pohon 5" sheetId="7" r:id="rId6"/>
    <sheet name="Pohon 6" sheetId="16" r:id="rId7"/>
    <sheet name="Pohon 7(BP)" sheetId="17" r:id="rId8"/>
    <sheet name="Pohon 8 (BP)" sheetId="18" r:id="rId9"/>
    <sheet name="Pohon 9" sheetId="8" r:id="rId10"/>
    <sheet name="Pohon 10" sheetId="9" r:id="rId11"/>
    <sheet name="Pohon 11" sheetId="11" r:id="rId12"/>
    <sheet name="Pohon 12" sheetId="12" r:id="rId13"/>
    <sheet name="Pohon 13" sheetId="13" r:id="rId14"/>
    <sheet name="Pohon 14" sheetId="14" r:id="rId15"/>
    <sheet name="Pohon 15" sheetId="15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7" i="6" l="1"/>
  <c r="F197" i="4"/>
  <c r="G176" i="4"/>
  <c r="G175" i="4"/>
  <c r="G174" i="4"/>
  <c r="F197" i="17"/>
  <c r="O197" i="17"/>
  <c r="G189" i="4"/>
  <c r="F171" i="4"/>
  <c r="Q2" i="2" l="1"/>
  <c r="O171" i="17" l="1"/>
  <c r="A2" i="18"/>
  <c r="B2" i="18" s="1" a="1"/>
  <c r="B2" i="18" s="1"/>
  <c r="P2" i="18"/>
  <c r="Q2" i="18"/>
  <c r="A3" i="18"/>
  <c r="B3" i="18" s="1" a="1"/>
  <c r="B3" i="18" s="1"/>
  <c r="P3" i="18"/>
  <c r="Q3" i="18"/>
  <c r="A4" i="18"/>
  <c r="P4" i="18"/>
  <c r="Q4" i="18" s="1"/>
  <c r="P5" i="18" s="1"/>
  <c r="A5" i="18"/>
  <c r="C5" i="18" s="1" a="1"/>
  <c r="C5" i="18" s="1"/>
  <c r="A6" i="18"/>
  <c r="A7" i="18"/>
  <c r="A8" i="18"/>
  <c r="A9" i="18"/>
  <c r="C9" i="18" s="1" a="1"/>
  <c r="C9" i="18" s="1"/>
  <c r="A10" i="18"/>
  <c r="B10" i="18" s="1" a="1"/>
  <c r="B10" i="18" s="1"/>
  <c r="A11" i="18"/>
  <c r="A12" i="18"/>
  <c r="A13" i="18"/>
  <c r="C13" i="18" s="1" a="1"/>
  <c r="C13" i="18" s="1"/>
  <c r="A14" i="18"/>
  <c r="A15" i="18"/>
  <c r="C15" i="18" s="1" a="1"/>
  <c r="C15" i="18" s="1"/>
  <c r="A16" i="18"/>
  <c r="C16" i="18" s="1" a="1"/>
  <c r="C16" i="18" s="1"/>
  <c r="A17" i="18"/>
  <c r="A18" i="18"/>
  <c r="B18" i="18" s="1" a="1"/>
  <c r="B18" i="18" s="1"/>
  <c r="A19" i="18"/>
  <c r="A20" i="18"/>
  <c r="A21" i="18"/>
  <c r="C21" i="18" s="1" a="1"/>
  <c r="C21" i="18" s="1"/>
  <c r="A22" i="18"/>
  <c r="A23" i="18"/>
  <c r="C23" i="18" s="1" a="1"/>
  <c r="C23" i="18" s="1"/>
  <c r="A24" i="18"/>
  <c r="C24" i="18" s="1" a="1"/>
  <c r="C24" i="18" s="1"/>
  <c r="A25" i="18"/>
  <c r="A26" i="18"/>
  <c r="B26" i="18" s="1" a="1"/>
  <c r="B26" i="18" s="1"/>
  <c r="A27" i="18"/>
  <c r="C27" i="18" s="1" a="1"/>
  <c r="C27" i="18" s="1"/>
  <c r="A28" i="18"/>
  <c r="C28" i="18" s="1" a="1"/>
  <c r="C28" i="18" s="1"/>
  <c r="A29" i="18"/>
  <c r="C29" i="18" s="1" a="1"/>
  <c r="C29" i="18" s="1"/>
  <c r="A30" i="18"/>
  <c r="B30" i="18" s="1" a="1"/>
  <c r="B30" i="18" s="1"/>
  <c r="A31" i="18"/>
  <c r="A32" i="18"/>
  <c r="A33" i="18"/>
  <c r="A34" i="18"/>
  <c r="A35" i="18"/>
  <c r="C35" i="18" s="1" a="1"/>
  <c r="C35" i="18" s="1"/>
  <c r="A36" i="18"/>
  <c r="C36" i="18" s="1" a="1"/>
  <c r="C36" i="18" s="1"/>
  <c r="A37" i="18"/>
  <c r="A38" i="18"/>
  <c r="A39" i="18"/>
  <c r="A40" i="18"/>
  <c r="A41" i="18"/>
  <c r="C41" i="18" s="1" a="1"/>
  <c r="C41" i="18" s="1"/>
  <c r="A42" i="18"/>
  <c r="B42" i="18" s="1" a="1"/>
  <c r="B42" i="18" s="1"/>
  <c r="A43" i="18"/>
  <c r="A44" i="18"/>
  <c r="A45" i="18"/>
  <c r="C45" i="18" s="1" a="1"/>
  <c r="C45" i="18" s="1"/>
  <c r="A46" i="18"/>
  <c r="B46" i="18" s="1" a="1"/>
  <c r="B46" i="18" s="1"/>
  <c r="A47" i="18"/>
  <c r="B47" i="18" s="1" a="1"/>
  <c r="B47" i="18" s="1"/>
  <c r="A48" i="18"/>
  <c r="C48" i="18" s="1" a="1"/>
  <c r="C48" i="18" s="1"/>
  <c r="A49" i="18"/>
  <c r="A50" i="18"/>
  <c r="B50" i="18" s="1" a="1"/>
  <c r="B50" i="18" s="1"/>
  <c r="A51" i="18"/>
  <c r="B51" i="18" s="1" a="1"/>
  <c r="B51" i="18" s="1"/>
  <c r="A52" i="18"/>
  <c r="C52" i="18" s="1" a="1"/>
  <c r="C52" i="18" s="1"/>
  <c r="A53" i="18"/>
  <c r="A54" i="18"/>
  <c r="A55" i="18"/>
  <c r="A56" i="18"/>
  <c r="A57" i="18"/>
  <c r="C57" i="18" s="1" a="1"/>
  <c r="C57" i="18" s="1"/>
  <c r="A58" i="18"/>
  <c r="B58" i="18" s="1" a="1"/>
  <c r="B58" i="18" s="1"/>
  <c r="A59" i="18"/>
  <c r="A60" i="18"/>
  <c r="A61" i="18"/>
  <c r="C61" i="18" s="1" a="1"/>
  <c r="C61" i="18" s="1"/>
  <c r="A62" i="18"/>
  <c r="B62" i="18" s="1" a="1"/>
  <c r="B62" i="18" s="1"/>
  <c r="A63" i="18"/>
  <c r="A64" i="18"/>
  <c r="C64" i="18" s="1" a="1"/>
  <c r="C64" i="18" s="1"/>
  <c r="A65" i="18"/>
  <c r="C65" i="18" s="1" a="1"/>
  <c r="C65" i="18" s="1"/>
  <c r="A66" i="18"/>
  <c r="A67" i="18"/>
  <c r="C67" i="18" s="1" a="1"/>
  <c r="C67" i="18" s="1"/>
  <c r="A68" i="18"/>
  <c r="C68" i="18" s="1" a="1"/>
  <c r="C68" i="18" s="1"/>
  <c r="A69" i="18"/>
  <c r="B69" i="18" s="1" a="1"/>
  <c r="B69" i="18" s="1"/>
  <c r="A70" i="18"/>
  <c r="B70" i="18" s="1" a="1"/>
  <c r="B70" i="18" s="1"/>
  <c r="A71" i="18"/>
  <c r="A72" i="18"/>
  <c r="A73" i="18"/>
  <c r="C73" i="18" s="1" a="1"/>
  <c r="C73" i="18" s="1"/>
  <c r="A74" i="18"/>
  <c r="B74" i="18" s="1" a="1"/>
  <c r="B74" i="18" s="1"/>
  <c r="A75" i="18"/>
  <c r="C75" i="18" s="1" a="1"/>
  <c r="C75" i="18" s="1"/>
  <c r="A76" i="18"/>
  <c r="A77" i="18"/>
  <c r="B77" i="18" s="1" a="1"/>
  <c r="B77" i="18" s="1"/>
  <c r="A78" i="18"/>
  <c r="B78" i="18" s="1" a="1"/>
  <c r="B78" i="18" s="1"/>
  <c r="A79" i="18"/>
  <c r="A80" i="18"/>
  <c r="C80" i="18" s="1" a="1"/>
  <c r="C80" i="18" s="1"/>
  <c r="A81" i="18"/>
  <c r="C81" i="18" s="1" a="1"/>
  <c r="C81" i="18" s="1"/>
  <c r="A82" i="18"/>
  <c r="A83" i="18"/>
  <c r="C83" i="18" s="1" a="1"/>
  <c r="C83" i="18" s="1"/>
  <c r="A84" i="18"/>
  <c r="C84" i="18" s="1" a="1"/>
  <c r="C84" i="18" s="1"/>
  <c r="A85" i="18"/>
  <c r="B85" i="18" s="1" a="1"/>
  <c r="B85" i="18" s="1"/>
  <c r="A86" i="18"/>
  <c r="C86" i="18" s="1" a="1"/>
  <c r="C86" i="18" s="1"/>
  <c r="A87" i="18"/>
  <c r="C87" i="18" s="1" a="1"/>
  <c r="C87" i="18" s="1"/>
  <c r="A88" i="18"/>
  <c r="B88" i="18" s="1" a="1"/>
  <c r="B88" i="18" s="1"/>
  <c r="A89" i="18"/>
  <c r="C89" i="18" s="1" a="1"/>
  <c r="C89" i="18" s="1"/>
  <c r="A90" i="18"/>
  <c r="C90" i="18" s="1" a="1"/>
  <c r="C90" i="18" s="1"/>
  <c r="A91" i="18"/>
  <c r="C91" i="18" s="1" a="1"/>
  <c r="C91" i="18" s="1"/>
  <c r="A92" i="18"/>
  <c r="B92" i="18" s="1" a="1"/>
  <c r="B92" i="18" s="1"/>
  <c r="A93" i="18"/>
  <c r="C93" i="18" s="1" a="1"/>
  <c r="C93" i="18" s="1"/>
  <c r="A94" i="18"/>
  <c r="C94" i="18" s="1" a="1"/>
  <c r="C94" i="18" s="1"/>
  <c r="A95" i="18"/>
  <c r="C95" i="18" s="1" a="1"/>
  <c r="C95" i="18" s="1"/>
  <c r="A96" i="18"/>
  <c r="B96" i="18" s="1" a="1"/>
  <c r="B96" i="18" s="1"/>
  <c r="A97" i="18"/>
  <c r="A98" i="18"/>
  <c r="A99" i="18"/>
  <c r="C99" i="18" s="1" a="1"/>
  <c r="C99" i="18" s="1"/>
  <c r="A100" i="18"/>
  <c r="B100" i="18" s="1" a="1"/>
  <c r="B100" i="18" s="1"/>
  <c r="A101" i="18"/>
  <c r="C101" i="18" s="1" a="1"/>
  <c r="C101" i="18" s="1"/>
  <c r="A102" i="18"/>
  <c r="C102" i="18" s="1" a="1"/>
  <c r="C102" i="18" s="1"/>
  <c r="A103" i="18"/>
  <c r="A104" i="18"/>
  <c r="B104" i="18" s="1" a="1"/>
  <c r="B104" i="18" s="1"/>
  <c r="A105" i="18"/>
  <c r="A106" i="18"/>
  <c r="A107" i="18"/>
  <c r="C107" i="18" s="1" a="1"/>
  <c r="C107" i="18" s="1"/>
  <c r="A108" i="18"/>
  <c r="A109" i="18"/>
  <c r="B109" i="18" s="1" a="1"/>
  <c r="B109" i="18" s="1"/>
  <c r="A110" i="18"/>
  <c r="C110" i="18" s="1" a="1"/>
  <c r="C110" i="18" s="1"/>
  <c r="A111" i="18"/>
  <c r="C111" i="18" s="1" a="1"/>
  <c r="C111" i="18" s="1"/>
  <c r="A112" i="18"/>
  <c r="B112" i="18" s="1" a="1"/>
  <c r="B112" i="18" s="1"/>
  <c r="A113" i="18"/>
  <c r="B113" i="18" s="1" a="1"/>
  <c r="B113" i="18" s="1"/>
  <c r="A114" i="18"/>
  <c r="C114" i="18" s="1" a="1"/>
  <c r="C114" i="18" s="1"/>
  <c r="A115" i="18"/>
  <c r="C115" i="18" s="1" a="1"/>
  <c r="C115" i="18" s="1"/>
  <c r="A116" i="18"/>
  <c r="B116" i="18" s="1" a="1"/>
  <c r="B116" i="18" s="1"/>
  <c r="A117" i="18"/>
  <c r="B117" i="18" s="1" a="1"/>
  <c r="B117" i="18" s="1"/>
  <c r="A118" i="18"/>
  <c r="C118" i="18" s="1" a="1"/>
  <c r="C118" i="18" s="1"/>
  <c r="A119" i="18"/>
  <c r="C119" i="18" s="1" a="1"/>
  <c r="C119" i="18" s="1"/>
  <c r="A120" i="18"/>
  <c r="B120" i="18" s="1" a="1"/>
  <c r="B120" i="18" s="1"/>
  <c r="A121" i="18"/>
  <c r="B121" i="18" s="1" a="1"/>
  <c r="B121" i="18" s="1"/>
  <c r="A122" i="18"/>
  <c r="C122" i="18" s="1" a="1"/>
  <c r="C122" i="18" s="1"/>
  <c r="A123" i="18"/>
  <c r="C123" i="18" s="1" a="1"/>
  <c r="C123" i="18" s="1"/>
  <c r="A124" i="18"/>
  <c r="B124" i="18" s="1" a="1"/>
  <c r="B124" i="18" s="1"/>
  <c r="A125" i="18"/>
  <c r="A126" i="18"/>
  <c r="A127" i="18"/>
  <c r="C127" i="18" s="1" a="1"/>
  <c r="C127" i="18" s="1"/>
  <c r="A128" i="18"/>
  <c r="A129" i="18"/>
  <c r="C129" i="18" s="1" a="1"/>
  <c r="C129" i="18" s="1"/>
  <c r="A130" i="18"/>
  <c r="C130" i="18" s="1" a="1"/>
  <c r="C130" i="18" s="1"/>
  <c r="A131" i="18"/>
  <c r="C131" i="18" s="1" a="1"/>
  <c r="C131" i="18" s="1"/>
  <c r="A132" i="18"/>
  <c r="B132" i="18" s="1" a="1"/>
  <c r="B132" i="18" s="1"/>
  <c r="A133" i="18"/>
  <c r="A134" i="18"/>
  <c r="A135" i="18"/>
  <c r="C135" i="18" s="1" a="1"/>
  <c r="C135" i="18" s="1"/>
  <c r="A136" i="18"/>
  <c r="B136" i="18" s="1" a="1"/>
  <c r="B136" i="18" s="1"/>
  <c r="A137" i="18"/>
  <c r="C137" i="18" s="1" a="1"/>
  <c r="C137" i="18" s="1"/>
  <c r="A138" i="18"/>
  <c r="C138" i="18" s="1" a="1"/>
  <c r="C138" i="18" s="1"/>
  <c r="A139" i="18"/>
  <c r="A140" i="18"/>
  <c r="B140" i="18" s="1" a="1"/>
  <c r="B140" i="18" s="1"/>
  <c r="A141" i="18"/>
  <c r="B141" i="18" s="1" a="1"/>
  <c r="B141" i="18" s="1"/>
  <c r="A142" i="18"/>
  <c r="C142" i="18" s="1" a="1"/>
  <c r="C142" i="18" s="1"/>
  <c r="A143" i="18"/>
  <c r="C143" i="18" s="1" a="1"/>
  <c r="C143" i="18" s="1"/>
  <c r="A144" i="18"/>
  <c r="B144" i="18" s="1" a="1"/>
  <c r="B144" i="18" s="1"/>
  <c r="A145" i="18"/>
  <c r="B145" i="18" s="1" a="1"/>
  <c r="B145" i="18" s="1"/>
  <c r="A146" i="18"/>
  <c r="C146" i="18" s="1" a="1"/>
  <c r="C146" i="18" s="1"/>
  <c r="A147" i="18"/>
  <c r="C147" i="18" s="1" a="1"/>
  <c r="C147" i="18" s="1"/>
  <c r="A148" i="18"/>
  <c r="B148" i="18" s="1" a="1"/>
  <c r="B148" i="18" s="1"/>
  <c r="A149" i="18"/>
  <c r="C149" i="18" s="1" a="1"/>
  <c r="C149" i="18" s="1"/>
  <c r="A150" i="18"/>
  <c r="C150" i="18" s="1" a="1"/>
  <c r="C150" i="18" s="1"/>
  <c r="A151" i="18"/>
  <c r="C151" i="18" s="1" a="1"/>
  <c r="C151" i="18" s="1"/>
  <c r="A152" i="18"/>
  <c r="B152" i="18" s="1" a="1"/>
  <c r="B152" i="18" s="1"/>
  <c r="A153" i="18"/>
  <c r="C153" i="18" s="1" a="1"/>
  <c r="C153" i="18" s="1"/>
  <c r="A154" i="18"/>
  <c r="C154" i="18" s="1" a="1"/>
  <c r="C154" i="18" s="1"/>
  <c r="A155" i="18"/>
  <c r="C155" i="18" s="1" a="1"/>
  <c r="C155" i="18" s="1"/>
  <c r="A156" i="18"/>
  <c r="B156" i="18" s="1" a="1"/>
  <c r="B156" i="18" s="1"/>
  <c r="A157" i="18"/>
  <c r="A158" i="18"/>
  <c r="A159" i="18"/>
  <c r="C159" i="18" s="1" a="1"/>
  <c r="C159" i="18" s="1"/>
  <c r="A160" i="18"/>
  <c r="A161" i="18"/>
  <c r="A162" i="18"/>
  <c r="A163" i="18"/>
  <c r="C163" i="18" s="1" a="1"/>
  <c r="C163" i="18" s="1"/>
  <c r="A164" i="18"/>
  <c r="B164" i="18" s="1" a="1"/>
  <c r="B164" i="18" s="1"/>
  <c r="I165" i="18"/>
  <c r="F169" i="18"/>
  <c r="G169" i="18"/>
  <c r="E170" i="18" a="1"/>
  <c r="E170" i="18" s="1"/>
  <c r="F172" i="18"/>
  <c r="G172" i="18" s="1"/>
  <c r="F180" i="18"/>
  <c r="G180" i="18"/>
  <c r="F189" i="18"/>
  <c r="G189" i="18" s="1"/>
  <c r="F191" i="18"/>
  <c r="G191" i="18" s="1"/>
  <c r="A2" i="17"/>
  <c r="B2" i="17" s="1" a="1"/>
  <c r="B2" i="17" s="1"/>
  <c r="P2" i="17"/>
  <c r="Q2" i="17" s="1"/>
  <c r="A3" i="17"/>
  <c r="B3" i="17" s="1" a="1"/>
  <c r="B3" i="17" s="1"/>
  <c r="P3" i="17"/>
  <c r="Q3" i="17" s="1"/>
  <c r="A4" i="17"/>
  <c r="B4" i="17" s="1" a="1"/>
  <c r="B4" i="17" s="1"/>
  <c r="P4" i="17"/>
  <c r="Q4" i="17" s="1"/>
  <c r="A5" i="17"/>
  <c r="D5" i="17" s="1" a="1"/>
  <c r="D5" i="17" s="1"/>
  <c r="A6" i="17"/>
  <c r="C6" i="17" s="1" a="1"/>
  <c r="C6" i="17" s="1"/>
  <c r="A7" i="17"/>
  <c r="A8" i="17"/>
  <c r="C8" i="17" s="1" a="1"/>
  <c r="C8" i="17" s="1"/>
  <c r="A9" i="17"/>
  <c r="C9" i="17" s="1" a="1"/>
  <c r="C9" i="17" s="1"/>
  <c r="A10" i="17"/>
  <c r="D10" i="17" s="1" a="1"/>
  <c r="D10" i="17" s="1"/>
  <c r="A11" i="17"/>
  <c r="A12" i="17"/>
  <c r="A13" i="17"/>
  <c r="B13" i="17" s="1" a="1"/>
  <c r="B13" i="17" s="1"/>
  <c r="A14" i="17"/>
  <c r="C14" i="17" s="1" a="1"/>
  <c r="C14" i="17" s="1"/>
  <c r="A15" i="17"/>
  <c r="C15" i="17" s="1" a="1"/>
  <c r="C15" i="17" s="1"/>
  <c r="A16" i="17"/>
  <c r="C16" i="17" s="1" a="1"/>
  <c r="C16" i="17" s="1"/>
  <c r="A17" i="17"/>
  <c r="C17" i="17" s="1" a="1"/>
  <c r="C17" i="17" s="1"/>
  <c r="A18" i="17"/>
  <c r="D18" i="17" s="1" a="1"/>
  <c r="D18" i="17" s="1"/>
  <c r="A19" i="17"/>
  <c r="A20" i="17"/>
  <c r="A21" i="17"/>
  <c r="A22" i="17"/>
  <c r="A23" i="17"/>
  <c r="A24" i="17"/>
  <c r="C24" i="17" s="1" a="1"/>
  <c r="C24" i="17" s="1"/>
  <c r="A25" i="17"/>
  <c r="C25" i="17" s="1" a="1"/>
  <c r="C25" i="17" s="1"/>
  <c r="A26" i="17"/>
  <c r="D26" i="17" s="1" a="1"/>
  <c r="D26" i="17" s="1"/>
  <c r="A27" i="17"/>
  <c r="A28" i="17"/>
  <c r="A29" i="17"/>
  <c r="B29" i="17" s="1" a="1"/>
  <c r="B29" i="17" s="1"/>
  <c r="A30" i="17"/>
  <c r="C30" i="17" s="1" a="1"/>
  <c r="C30" i="17" s="1"/>
  <c r="A31" i="17"/>
  <c r="B31" i="17" s="1" a="1"/>
  <c r="B31" i="17" s="1"/>
  <c r="A32" i="17"/>
  <c r="C32" i="17" s="1" a="1"/>
  <c r="C32" i="17" s="1"/>
  <c r="A33" i="17"/>
  <c r="C33" i="17" s="1" a="1"/>
  <c r="C33" i="17" s="1"/>
  <c r="A34" i="17"/>
  <c r="D34" i="17" s="1" a="1"/>
  <c r="D34" i="17" s="1"/>
  <c r="A35" i="17"/>
  <c r="C35" i="17" s="1" a="1"/>
  <c r="C35" i="17" s="1"/>
  <c r="A36" i="17"/>
  <c r="A37" i="17"/>
  <c r="A38" i="17"/>
  <c r="C38" i="17" s="1" a="1"/>
  <c r="C38" i="17" s="1"/>
  <c r="A39" i="17"/>
  <c r="B39" i="17" s="1" a="1"/>
  <c r="B39" i="17" s="1"/>
  <c r="A40" i="17"/>
  <c r="C40" i="17" s="1" a="1"/>
  <c r="C40" i="17" s="1"/>
  <c r="A41" i="17"/>
  <c r="C41" i="17" s="1" a="1"/>
  <c r="C41" i="17" s="1"/>
  <c r="A42" i="17"/>
  <c r="D42" i="17" s="1" a="1"/>
  <c r="D42" i="17" s="1"/>
  <c r="A43" i="17"/>
  <c r="B43" i="17" s="1" a="1"/>
  <c r="B43" i="17" s="1"/>
  <c r="A44" i="17"/>
  <c r="A45" i="17"/>
  <c r="A46" i="17"/>
  <c r="C46" i="17" s="1" a="1"/>
  <c r="C46" i="17" s="1"/>
  <c r="A47" i="17"/>
  <c r="D47" i="17" s="1" a="1"/>
  <c r="D47" i="17" s="1"/>
  <c r="A48" i="17"/>
  <c r="C48" i="17" s="1" a="1"/>
  <c r="C48" i="17" s="1"/>
  <c r="A49" i="17"/>
  <c r="C49" i="17" s="1" a="1"/>
  <c r="C49" i="17" s="1"/>
  <c r="A50" i="17"/>
  <c r="D50" i="17" s="1" a="1"/>
  <c r="D50" i="17" s="1"/>
  <c r="A51" i="17"/>
  <c r="B51" i="17" s="1" a="1"/>
  <c r="B51" i="17" s="1"/>
  <c r="A52" i="17"/>
  <c r="A53" i="17"/>
  <c r="B53" i="17" s="1" a="1"/>
  <c r="B53" i="17" s="1"/>
  <c r="A54" i="17"/>
  <c r="C54" i="17" s="1" a="1"/>
  <c r="C54" i="17" s="1"/>
  <c r="A55" i="17"/>
  <c r="C55" i="17" s="1" a="1"/>
  <c r="C55" i="17" s="1"/>
  <c r="A56" i="17"/>
  <c r="C56" i="17" s="1" a="1"/>
  <c r="C56" i="17" s="1"/>
  <c r="A57" i="17"/>
  <c r="C57" i="17" s="1" a="1"/>
  <c r="C57" i="17" s="1"/>
  <c r="A58" i="17"/>
  <c r="B58" i="17" s="1" a="1"/>
  <c r="B58" i="17" s="1"/>
  <c r="A59" i="17"/>
  <c r="C59" i="17" s="1" a="1"/>
  <c r="C59" i="17" s="1"/>
  <c r="A60" i="17"/>
  <c r="A61" i="17"/>
  <c r="C61" i="17" s="1" a="1"/>
  <c r="C61" i="17" s="1"/>
  <c r="A62" i="17"/>
  <c r="C62" i="17" s="1" a="1"/>
  <c r="C62" i="17" s="1"/>
  <c r="A63" i="17"/>
  <c r="C63" i="17" s="1" a="1"/>
  <c r="C63" i="17" s="1"/>
  <c r="A64" i="17"/>
  <c r="A65" i="17"/>
  <c r="C65" i="17" s="1" a="1"/>
  <c r="C65" i="17" s="1"/>
  <c r="A66" i="17"/>
  <c r="A67" i="17"/>
  <c r="C67" i="17" s="1" a="1"/>
  <c r="C67" i="17" s="1"/>
  <c r="A68" i="17"/>
  <c r="A69" i="17"/>
  <c r="D69" i="17" s="1" a="1"/>
  <c r="D69" i="17" s="1"/>
  <c r="A70" i="17"/>
  <c r="B70" i="17" s="1" a="1"/>
  <c r="B70" i="17" s="1"/>
  <c r="A71" i="17"/>
  <c r="A72" i="17"/>
  <c r="A73" i="17"/>
  <c r="B73" i="17" s="1" a="1"/>
  <c r="B73" i="17" s="1"/>
  <c r="A74" i="17"/>
  <c r="B74" i="17" s="1" a="1"/>
  <c r="B74" i="17" s="1"/>
  <c r="A75" i="17"/>
  <c r="C75" i="17" s="1" a="1"/>
  <c r="C75" i="17" s="1"/>
  <c r="A76" i="17"/>
  <c r="A77" i="17"/>
  <c r="D77" i="17" s="1" a="1"/>
  <c r="D77" i="17" s="1"/>
  <c r="A78" i="17"/>
  <c r="B78" i="17" s="1" a="1"/>
  <c r="B78" i="17" s="1"/>
  <c r="A79" i="17"/>
  <c r="A80" i="17"/>
  <c r="A81" i="17"/>
  <c r="C81" i="17" s="1" a="1"/>
  <c r="C81" i="17" s="1"/>
  <c r="A82" i="17"/>
  <c r="B82" i="17" s="1" a="1"/>
  <c r="B82" i="17" s="1"/>
  <c r="A83" i="17"/>
  <c r="A84" i="17"/>
  <c r="B84" i="17" s="1" a="1"/>
  <c r="B84" i="17" s="1"/>
  <c r="A85" i="17"/>
  <c r="A86" i="17"/>
  <c r="D86" i="17" s="1" a="1"/>
  <c r="D86" i="17" s="1"/>
  <c r="A87" i="17"/>
  <c r="A88" i="17"/>
  <c r="A89" i="17"/>
  <c r="A90" i="17"/>
  <c r="A91" i="17"/>
  <c r="B91" i="17" s="1" a="1"/>
  <c r="B91" i="17" s="1"/>
  <c r="A92" i="17"/>
  <c r="B92" i="17" s="1" a="1"/>
  <c r="B92" i="17" s="1"/>
  <c r="A93" i="17"/>
  <c r="A94" i="17"/>
  <c r="A95" i="17"/>
  <c r="B95" i="17" s="1" a="1"/>
  <c r="B95" i="17" s="1"/>
  <c r="A96" i="17"/>
  <c r="B96" i="17" s="1" a="1"/>
  <c r="B96" i="17" s="1"/>
  <c r="A97" i="17"/>
  <c r="A98" i="17"/>
  <c r="D98" i="17" s="1" a="1"/>
  <c r="D98" i="17" s="1"/>
  <c r="A99" i="17"/>
  <c r="B99" i="17" s="1" a="1"/>
  <c r="B99" i="17" s="1"/>
  <c r="A100" i="17"/>
  <c r="A101" i="17"/>
  <c r="A102" i="17"/>
  <c r="D102" i="17" s="1" a="1"/>
  <c r="D102" i="17" s="1"/>
  <c r="A103" i="17"/>
  <c r="B103" i="17" s="1" a="1"/>
  <c r="B103" i="17" s="1"/>
  <c r="A104" i="17"/>
  <c r="B104" i="17" s="1" a="1"/>
  <c r="B104" i="17" s="1"/>
  <c r="A105" i="17"/>
  <c r="A106" i="17"/>
  <c r="A107" i="17"/>
  <c r="B107" i="17" s="1" a="1"/>
  <c r="B107" i="17" s="1"/>
  <c r="A108" i="17"/>
  <c r="B108" i="17" s="1" a="1"/>
  <c r="B108" i="17" s="1"/>
  <c r="A109" i="17"/>
  <c r="C109" i="17" s="1" a="1"/>
  <c r="C109" i="17" s="1"/>
  <c r="A110" i="17"/>
  <c r="C110" i="17" s="1" a="1"/>
  <c r="C110" i="17" s="1"/>
  <c r="A111" i="17"/>
  <c r="D111" i="17" s="1" a="1"/>
  <c r="D111" i="17" s="1"/>
  <c r="A112" i="17"/>
  <c r="B112" i="17" s="1" a="1"/>
  <c r="B112" i="17" s="1"/>
  <c r="A113" i="17"/>
  <c r="C113" i="17" s="1" a="1"/>
  <c r="C113" i="17" s="1"/>
  <c r="A114" i="17"/>
  <c r="C114" i="17" s="1" a="1"/>
  <c r="C114" i="17" s="1"/>
  <c r="A115" i="17"/>
  <c r="C115" i="17" s="1" a="1"/>
  <c r="C115" i="17" s="1"/>
  <c r="A116" i="17"/>
  <c r="C116" i="17" s="1" a="1"/>
  <c r="C116" i="17" s="1"/>
  <c r="A117" i="17"/>
  <c r="B117" i="17" s="1" a="1"/>
  <c r="B117" i="17" s="1"/>
  <c r="A118" i="17"/>
  <c r="C118" i="17" s="1" a="1"/>
  <c r="C118" i="17" s="1"/>
  <c r="A119" i="17"/>
  <c r="D119" i="17" s="1" a="1"/>
  <c r="D119" i="17" s="1"/>
  <c r="A120" i="17"/>
  <c r="C120" i="17" s="1" a="1"/>
  <c r="C120" i="17" s="1"/>
  <c r="A121" i="17"/>
  <c r="B121" i="17" s="1" a="1"/>
  <c r="B121" i="17" s="1"/>
  <c r="A122" i="17"/>
  <c r="C122" i="17" s="1" a="1"/>
  <c r="C122" i="17" s="1"/>
  <c r="A123" i="17"/>
  <c r="B123" i="17" s="1" a="1"/>
  <c r="B123" i="17" s="1"/>
  <c r="A124" i="17"/>
  <c r="B124" i="17" s="1" a="1"/>
  <c r="B124" i="17" s="1"/>
  <c r="A125" i="17"/>
  <c r="B125" i="17" s="1" a="1"/>
  <c r="B125" i="17" s="1"/>
  <c r="A126" i="17"/>
  <c r="B126" i="17" s="1" a="1"/>
  <c r="B126" i="17" s="1"/>
  <c r="A127" i="17"/>
  <c r="D127" i="17" s="1" a="1"/>
  <c r="D127" i="17" s="1"/>
  <c r="A128" i="17"/>
  <c r="B128" i="17" s="1" a="1"/>
  <c r="B128" i="17" s="1"/>
  <c r="A129" i="17"/>
  <c r="B129" i="17" s="1" a="1"/>
  <c r="B129" i="17" s="1"/>
  <c r="A130" i="17"/>
  <c r="B130" i="17" s="1" a="1"/>
  <c r="B130" i="17" s="1"/>
  <c r="A131" i="17"/>
  <c r="D131" i="17" s="1" a="1"/>
  <c r="D131" i="17" s="1"/>
  <c r="A132" i="17"/>
  <c r="B132" i="17" s="1" a="1"/>
  <c r="B132" i="17" s="1"/>
  <c r="A133" i="17"/>
  <c r="B133" i="17" s="1" a="1"/>
  <c r="B133" i="17" s="1"/>
  <c r="A134" i="17"/>
  <c r="B134" i="17" s="1" a="1"/>
  <c r="B134" i="17" s="1"/>
  <c r="A135" i="17"/>
  <c r="A136" i="17"/>
  <c r="B136" i="17" s="1" a="1"/>
  <c r="B136" i="17" s="1"/>
  <c r="A137" i="17"/>
  <c r="B137" i="17" s="1" a="1"/>
  <c r="B137" i="17" s="1"/>
  <c r="A138" i="17"/>
  <c r="B138" i="17" s="1" a="1"/>
  <c r="B138" i="17" s="1"/>
  <c r="A139" i="17"/>
  <c r="D139" i="17" s="1" a="1"/>
  <c r="D139" i="17" s="1"/>
  <c r="A140" i="17"/>
  <c r="B140" i="17" s="1" a="1"/>
  <c r="B140" i="17" s="1"/>
  <c r="A141" i="17"/>
  <c r="B141" i="17" s="1" a="1"/>
  <c r="B141" i="17" s="1"/>
  <c r="A142" i="17"/>
  <c r="B142" i="17" s="1" a="1"/>
  <c r="B142" i="17" s="1"/>
  <c r="A143" i="17"/>
  <c r="D143" i="17" s="1" a="1"/>
  <c r="D143" i="17" s="1"/>
  <c r="A144" i="17"/>
  <c r="B144" i="17" s="1" a="1"/>
  <c r="B144" i="17" s="1"/>
  <c r="A145" i="17"/>
  <c r="B145" i="17" s="1" a="1"/>
  <c r="B145" i="17" s="1"/>
  <c r="A146" i="17"/>
  <c r="B146" i="17" s="1" a="1"/>
  <c r="B146" i="17" s="1"/>
  <c r="A147" i="17"/>
  <c r="D147" i="17" s="1" a="1"/>
  <c r="D147" i="17" s="1"/>
  <c r="A148" i="17"/>
  <c r="B148" i="17" s="1" a="1"/>
  <c r="B148" i="17" s="1"/>
  <c r="A149" i="17"/>
  <c r="B149" i="17" s="1" a="1"/>
  <c r="B149" i="17" s="1"/>
  <c r="A150" i="17"/>
  <c r="B150" i="17" s="1" a="1"/>
  <c r="B150" i="17" s="1"/>
  <c r="A151" i="17"/>
  <c r="A152" i="17"/>
  <c r="B152" i="17" s="1" a="1"/>
  <c r="B152" i="17" s="1"/>
  <c r="A153" i="17"/>
  <c r="B153" i="17" s="1" a="1"/>
  <c r="B153" i="17" s="1"/>
  <c r="A154" i="17"/>
  <c r="B154" i="17" s="1" a="1"/>
  <c r="B154" i="17" s="1"/>
  <c r="A155" i="17"/>
  <c r="D155" i="17" s="1" a="1"/>
  <c r="D155" i="17" s="1"/>
  <c r="A156" i="17"/>
  <c r="B156" i="17" s="1" a="1"/>
  <c r="B156" i="17" s="1"/>
  <c r="A157" i="17"/>
  <c r="B157" i="17" s="1" a="1"/>
  <c r="B157" i="17" s="1"/>
  <c r="A158" i="17"/>
  <c r="B158" i="17" s="1" a="1"/>
  <c r="B158" i="17" s="1"/>
  <c r="A159" i="17"/>
  <c r="A160" i="17"/>
  <c r="B160" i="17" s="1" a="1"/>
  <c r="B160" i="17" s="1"/>
  <c r="A161" i="17"/>
  <c r="B161" i="17" s="1" a="1"/>
  <c r="B161" i="17" s="1"/>
  <c r="A162" i="17"/>
  <c r="B162" i="17" s="1" a="1"/>
  <c r="B162" i="17" s="1"/>
  <c r="A163" i="17"/>
  <c r="C163" i="17" s="1" a="1"/>
  <c r="C163" i="17" s="1"/>
  <c r="A164" i="17"/>
  <c r="B164" i="17" s="1" a="1"/>
  <c r="B164" i="17" s="1"/>
  <c r="I165" i="17"/>
  <c r="J165" i="17"/>
  <c r="F169" i="17"/>
  <c r="G169" i="17"/>
  <c r="E170" i="17" s="1" a="1"/>
  <c r="E170" i="17" s="1"/>
  <c r="O169" i="17"/>
  <c r="P169" i="17"/>
  <c r="N170" i="17" a="1"/>
  <c r="N170" i="17" s="1"/>
  <c r="A2" i="16"/>
  <c r="B2" i="16" s="1" a="1"/>
  <c r="B2" i="16" s="1"/>
  <c r="P2" i="16"/>
  <c r="Q2" i="16" s="1"/>
  <c r="P5" i="16" s="1"/>
  <c r="A3" i="16"/>
  <c r="P3" i="16"/>
  <c r="Q3" i="16"/>
  <c r="A4" i="16"/>
  <c r="P4" i="16"/>
  <c r="Q4" i="16"/>
  <c r="A5" i="16"/>
  <c r="A6" i="16"/>
  <c r="B6" i="16" s="1" a="1"/>
  <c r="B6" i="16" s="1"/>
  <c r="A7" i="16"/>
  <c r="B7" i="16" s="1" a="1"/>
  <c r="B7" i="16" s="1"/>
  <c r="A8" i="16"/>
  <c r="C8" i="16" s="1" a="1"/>
  <c r="C8" i="16" s="1"/>
  <c r="A9" i="16"/>
  <c r="C9" i="16" s="1" a="1"/>
  <c r="C9" i="16" s="1"/>
  <c r="A10" i="16"/>
  <c r="B10" i="16" s="1" a="1"/>
  <c r="B10" i="16" s="1"/>
  <c r="A11" i="16"/>
  <c r="A12" i="16"/>
  <c r="A13" i="16"/>
  <c r="C13" i="16" s="1" a="1"/>
  <c r="C13" i="16" s="1"/>
  <c r="A14" i="16"/>
  <c r="A15" i="16"/>
  <c r="B15" i="16" s="1" a="1"/>
  <c r="B15" i="16" s="1"/>
  <c r="A16" i="16"/>
  <c r="C16" i="16" s="1" a="1"/>
  <c r="C16" i="16" s="1"/>
  <c r="A17" i="16"/>
  <c r="D17" i="16" s="1" a="1"/>
  <c r="D17" i="16" s="1"/>
  <c r="A18" i="16"/>
  <c r="A19" i="16"/>
  <c r="C19" i="16" s="1" a="1"/>
  <c r="C19" i="16" s="1"/>
  <c r="A20" i="16"/>
  <c r="A21" i="16"/>
  <c r="B21" i="16" s="1" a="1"/>
  <c r="B21" i="16" s="1"/>
  <c r="A22" i="16"/>
  <c r="B22" i="16" s="1" a="1"/>
  <c r="B22" i="16" s="1"/>
  <c r="A23" i="16"/>
  <c r="C23" i="16" s="1" a="1"/>
  <c r="C23" i="16" s="1"/>
  <c r="A24" i="16"/>
  <c r="C24" i="16" s="1" a="1"/>
  <c r="C24" i="16" s="1"/>
  <c r="A25" i="16"/>
  <c r="B25" i="16" s="1" a="1"/>
  <c r="B25" i="16" s="1"/>
  <c r="A26" i="16"/>
  <c r="B26" i="16" s="1" a="1"/>
  <c r="B26" i="16" s="1"/>
  <c r="A27" i="16"/>
  <c r="D27" i="16" s="1" a="1"/>
  <c r="D27" i="16" s="1"/>
  <c r="A28" i="16"/>
  <c r="C28" i="16" s="1" a="1"/>
  <c r="C28" i="16" s="1"/>
  <c r="A29" i="16"/>
  <c r="B29" i="16" s="1" a="1"/>
  <c r="B29" i="16" s="1"/>
  <c r="A30" i="16"/>
  <c r="B30" i="16" s="1" a="1"/>
  <c r="B30" i="16" s="1"/>
  <c r="A31" i="16"/>
  <c r="B31" i="16" s="1" a="1"/>
  <c r="B31" i="16" s="1"/>
  <c r="A32" i="16"/>
  <c r="E32" i="16" s="1" a="1"/>
  <c r="E32" i="16" s="1"/>
  <c r="A33" i="16"/>
  <c r="B33" i="16" s="1" a="1"/>
  <c r="B33" i="16" s="1"/>
  <c r="A34" i="16"/>
  <c r="B34" i="16" s="1" a="1"/>
  <c r="B34" i="16" s="1"/>
  <c r="A35" i="16"/>
  <c r="A36" i="16"/>
  <c r="C36" i="16" s="1" a="1"/>
  <c r="C36" i="16" s="1"/>
  <c r="A37" i="16"/>
  <c r="B37" i="16" s="1" a="1"/>
  <c r="B37" i="16" s="1"/>
  <c r="A38" i="16"/>
  <c r="D38" i="16" s="1" a="1"/>
  <c r="D38" i="16" s="1"/>
  <c r="A39" i="16"/>
  <c r="B39" i="16" s="1" a="1"/>
  <c r="B39" i="16" s="1"/>
  <c r="A40" i="16"/>
  <c r="A41" i="16"/>
  <c r="B41" i="16" s="1" a="1"/>
  <c r="B41" i="16" s="1"/>
  <c r="A42" i="16"/>
  <c r="B42" i="16" s="1" a="1"/>
  <c r="B42" i="16" s="1"/>
  <c r="A43" i="16"/>
  <c r="D43" i="16" s="1" a="1"/>
  <c r="D43" i="16" s="1"/>
  <c r="A44" i="16"/>
  <c r="A45" i="16"/>
  <c r="B45" i="16" s="1" a="1"/>
  <c r="B45" i="16" s="1"/>
  <c r="A46" i="16"/>
  <c r="A47" i="16"/>
  <c r="A48" i="16"/>
  <c r="B48" i="16" s="1" a="1"/>
  <c r="B48" i="16" s="1"/>
  <c r="A49" i="16"/>
  <c r="B49" i="16" s="1" a="1"/>
  <c r="B49" i="16" s="1"/>
  <c r="A50" i="16"/>
  <c r="A51" i="16"/>
  <c r="D51" i="16" s="1" a="1"/>
  <c r="D51" i="16" s="1"/>
  <c r="A52" i="16"/>
  <c r="B52" i="16" s="1" a="1"/>
  <c r="B52" i="16" s="1"/>
  <c r="A53" i="16"/>
  <c r="B53" i="16" s="1" a="1"/>
  <c r="B53" i="16" s="1"/>
  <c r="A54" i="16"/>
  <c r="A55" i="16"/>
  <c r="B55" i="16" s="1" a="1"/>
  <c r="B55" i="16" s="1"/>
  <c r="A56" i="16"/>
  <c r="B56" i="16" s="1" a="1"/>
  <c r="B56" i="16" s="1"/>
  <c r="A57" i="16"/>
  <c r="A58" i="16"/>
  <c r="A59" i="16"/>
  <c r="B59" i="16" s="1" a="1"/>
  <c r="B59" i="16" s="1"/>
  <c r="A60" i="16"/>
  <c r="C60" i="16" s="1" a="1"/>
  <c r="C60" i="16" s="1"/>
  <c r="A61" i="16"/>
  <c r="D61" i="16" s="1" a="1"/>
  <c r="D61" i="16" s="1"/>
  <c r="A62" i="16"/>
  <c r="C62" i="16" s="1" a="1"/>
  <c r="C62" i="16" s="1"/>
  <c r="A63" i="16"/>
  <c r="A64" i="16"/>
  <c r="A65" i="16"/>
  <c r="A66" i="16"/>
  <c r="C66" i="16" s="1" a="1"/>
  <c r="C66" i="16" s="1"/>
  <c r="A67" i="16"/>
  <c r="B67" i="16" s="1" a="1"/>
  <c r="B67" i="16" s="1"/>
  <c r="A68" i="16"/>
  <c r="C68" i="16" s="1" a="1"/>
  <c r="C68" i="16" s="1"/>
  <c r="A69" i="16"/>
  <c r="C69" i="16" s="1" a="1"/>
  <c r="C69" i="16" s="1"/>
  <c r="A70" i="16"/>
  <c r="C70" i="16" s="1" a="1"/>
  <c r="C70" i="16" s="1"/>
  <c r="A71" i="16"/>
  <c r="A72" i="16"/>
  <c r="E72" i="16" s="1" a="1"/>
  <c r="E72" i="16" s="1"/>
  <c r="A73" i="16"/>
  <c r="C73" i="16" s="1" a="1"/>
  <c r="C73" i="16" s="1"/>
  <c r="A74" i="16"/>
  <c r="C74" i="16" s="1" a="1"/>
  <c r="C74" i="16" s="1"/>
  <c r="A75" i="16"/>
  <c r="B75" i="16" s="1" a="1"/>
  <c r="B75" i="16" s="1"/>
  <c r="A76" i="16"/>
  <c r="C76" i="16" s="1" a="1"/>
  <c r="C76" i="16" s="1"/>
  <c r="A77" i="16"/>
  <c r="D77" i="16" s="1" a="1"/>
  <c r="D77" i="16" s="1"/>
  <c r="A78" i="16"/>
  <c r="C78" i="16" s="1" a="1"/>
  <c r="C78" i="16" s="1"/>
  <c r="A79" i="16"/>
  <c r="A80" i="16"/>
  <c r="C80" i="16" s="1" a="1"/>
  <c r="C80" i="16" s="1"/>
  <c r="A81" i="16"/>
  <c r="B81" i="16" s="1" a="1"/>
  <c r="B81" i="16" s="1"/>
  <c r="A82" i="16"/>
  <c r="A83" i="16"/>
  <c r="B83" i="16" s="1" a="1"/>
  <c r="B83" i="16" s="1"/>
  <c r="A84" i="16"/>
  <c r="C84" i="16" s="1" a="1"/>
  <c r="C84" i="16" s="1"/>
  <c r="A85" i="16"/>
  <c r="B85" i="16" s="1" a="1"/>
  <c r="B85" i="16" s="1"/>
  <c r="A86" i="16"/>
  <c r="A87" i="16"/>
  <c r="A88" i="16"/>
  <c r="C88" i="16" s="1" a="1"/>
  <c r="C88" i="16" s="1"/>
  <c r="A89" i="16"/>
  <c r="B89" i="16" s="1" a="1"/>
  <c r="B89" i="16" s="1"/>
  <c r="A90" i="16"/>
  <c r="A91" i="16"/>
  <c r="E91" i="16" s="1" a="1"/>
  <c r="E91" i="16" s="1"/>
  <c r="A92" i="16"/>
  <c r="C92" i="16" s="1" a="1"/>
  <c r="C92" i="16" s="1"/>
  <c r="A93" i="16"/>
  <c r="C93" i="16" s="1" a="1"/>
  <c r="C93" i="16" s="1"/>
  <c r="A94" i="16"/>
  <c r="B94" i="16" s="1" a="1"/>
  <c r="B94" i="16" s="1"/>
  <c r="A95" i="16"/>
  <c r="B95" i="16" s="1" a="1"/>
  <c r="B95" i="16" s="1"/>
  <c r="A96" i="16"/>
  <c r="A97" i="16"/>
  <c r="D97" i="16" s="1" a="1"/>
  <c r="D97" i="16" s="1"/>
  <c r="A98" i="16"/>
  <c r="D98" i="16" s="1" a="1"/>
  <c r="D98" i="16" s="1"/>
  <c r="A99" i="16"/>
  <c r="B99" i="16" s="1" a="1"/>
  <c r="B99" i="16" s="1"/>
  <c r="A100" i="16"/>
  <c r="C100" i="16" s="1" a="1"/>
  <c r="C100" i="16" s="1"/>
  <c r="A101" i="16"/>
  <c r="B101" i="16" s="1" a="1"/>
  <c r="B101" i="16" s="1"/>
  <c r="A102" i="16"/>
  <c r="B102" i="16" s="1" a="1"/>
  <c r="B102" i="16" s="1"/>
  <c r="A103" i="16"/>
  <c r="B103" i="16" s="1" a="1"/>
  <c r="B103" i="16" s="1"/>
  <c r="A104" i="16"/>
  <c r="E104" i="16" s="1" a="1"/>
  <c r="E104" i="16" s="1"/>
  <c r="A105" i="16"/>
  <c r="C105" i="16" s="1" a="1"/>
  <c r="C105" i="16" s="1"/>
  <c r="A106" i="16"/>
  <c r="D106" i="16" s="1" a="1"/>
  <c r="D106" i="16" s="1"/>
  <c r="A107" i="16"/>
  <c r="C107" i="16" s="1" a="1"/>
  <c r="C107" i="16" s="1"/>
  <c r="A108" i="16"/>
  <c r="E108" i="16" s="1" a="1"/>
  <c r="E108" i="16" s="1"/>
  <c r="A109" i="16"/>
  <c r="C109" i="16" s="1" a="1"/>
  <c r="C109" i="16" s="1"/>
  <c r="A110" i="16"/>
  <c r="B110" i="16" s="1" a="1"/>
  <c r="B110" i="16" s="1"/>
  <c r="A111" i="16"/>
  <c r="D111" i="16" s="1" a="1"/>
  <c r="D111" i="16" s="1"/>
  <c r="A112" i="16"/>
  <c r="C112" i="16" s="1" a="1"/>
  <c r="C112" i="16" s="1"/>
  <c r="A113" i="16"/>
  <c r="C113" i="16" s="1" a="1"/>
  <c r="C113" i="16" s="1"/>
  <c r="A114" i="16"/>
  <c r="B114" i="16" s="1" a="1"/>
  <c r="B114" i="16" s="1"/>
  <c r="A115" i="16"/>
  <c r="B115" i="16" s="1" a="1"/>
  <c r="B115" i="16" s="1"/>
  <c r="A116" i="16"/>
  <c r="E116" i="16" s="1" a="1"/>
  <c r="E116" i="16" s="1"/>
  <c r="A117" i="16"/>
  <c r="B117" i="16" s="1" a="1"/>
  <c r="B117" i="16" s="1"/>
  <c r="A118" i="16"/>
  <c r="D118" i="16" s="1" a="1"/>
  <c r="D118" i="16" s="1"/>
  <c r="A119" i="16"/>
  <c r="C119" i="16" s="1" a="1"/>
  <c r="C119" i="16" s="1"/>
  <c r="A120" i="16"/>
  <c r="C120" i="16" s="1" a="1"/>
  <c r="C120" i="16" s="1"/>
  <c r="A121" i="16"/>
  <c r="B121" i="16" s="1" a="1"/>
  <c r="B121" i="16" s="1"/>
  <c r="A122" i="16"/>
  <c r="D122" i="16" s="1" a="1"/>
  <c r="D122" i="16" s="1"/>
  <c r="A123" i="16"/>
  <c r="C123" i="16" s="1" a="1"/>
  <c r="C123" i="16" s="1"/>
  <c r="A124" i="16"/>
  <c r="C124" i="16" s="1" a="1"/>
  <c r="C124" i="16" s="1"/>
  <c r="A125" i="16"/>
  <c r="C125" i="16" s="1" a="1"/>
  <c r="C125" i="16" s="1"/>
  <c r="A126" i="16"/>
  <c r="C126" i="16" s="1" a="1"/>
  <c r="C126" i="16" s="1"/>
  <c r="A127" i="16"/>
  <c r="C127" i="16" s="1" a="1"/>
  <c r="C127" i="16" s="1"/>
  <c r="A128" i="16"/>
  <c r="A129" i="16"/>
  <c r="B129" i="16" s="1" a="1"/>
  <c r="B129" i="16" s="1"/>
  <c r="A130" i="16"/>
  <c r="C130" i="16" s="1" a="1"/>
  <c r="C130" i="16" s="1"/>
  <c r="A131" i="16"/>
  <c r="C131" i="16" s="1" a="1"/>
  <c r="C131" i="16" s="1"/>
  <c r="A132" i="16"/>
  <c r="A133" i="16"/>
  <c r="B133" i="16" s="1" a="1"/>
  <c r="B133" i="16" s="1"/>
  <c r="A134" i="16"/>
  <c r="C134" i="16" s="1" a="1"/>
  <c r="C134" i="16" s="1"/>
  <c r="A135" i="16"/>
  <c r="C135" i="16" s="1" a="1"/>
  <c r="C135" i="16" s="1"/>
  <c r="A136" i="16"/>
  <c r="A137" i="16"/>
  <c r="B137" i="16" s="1" a="1"/>
  <c r="B137" i="16" s="1"/>
  <c r="A138" i="16"/>
  <c r="C138" i="16" s="1" a="1"/>
  <c r="C138" i="16" s="1"/>
  <c r="A139" i="16"/>
  <c r="C139" i="16" s="1" a="1"/>
  <c r="C139" i="16" s="1"/>
  <c r="A140" i="16"/>
  <c r="A141" i="16"/>
  <c r="B141" i="16" s="1" a="1"/>
  <c r="B141" i="16" s="1"/>
  <c r="A142" i="16"/>
  <c r="C142" i="16" s="1" a="1"/>
  <c r="C142" i="16" s="1"/>
  <c r="A143" i="16"/>
  <c r="C143" i="16" s="1" a="1"/>
  <c r="C143" i="16" s="1"/>
  <c r="A144" i="16"/>
  <c r="A145" i="16"/>
  <c r="B145" i="16" s="1" a="1"/>
  <c r="B145" i="16" s="1"/>
  <c r="A146" i="16"/>
  <c r="A147" i="16"/>
  <c r="B147" i="16" s="1" a="1"/>
  <c r="B147" i="16" s="1"/>
  <c r="A148" i="16"/>
  <c r="C148" i="16" s="1" a="1"/>
  <c r="C148" i="16" s="1"/>
  <c r="A149" i="16"/>
  <c r="B149" i="16" s="1" a="1"/>
  <c r="B149" i="16" s="1"/>
  <c r="A150" i="16"/>
  <c r="C150" i="16" s="1" a="1"/>
  <c r="C150" i="16" s="1"/>
  <c r="A151" i="16"/>
  <c r="B151" i="16" s="1" a="1"/>
  <c r="B151" i="16" s="1"/>
  <c r="A152" i="16"/>
  <c r="E152" i="16" s="1" a="1"/>
  <c r="E152" i="16" s="1"/>
  <c r="A153" i="16"/>
  <c r="E153" i="16" s="1" a="1"/>
  <c r="E153" i="16" s="1"/>
  <c r="A154" i="16"/>
  <c r="C154" i="16" s="1" a="1"/>
  <c r="C154" i="16" s="1"/>
  <c r="A155" i="16"/>
  <c r="B155" i="16" s="1" a="1"/>
  <c r="B155" i="16" s="1"/>
  <c r="A156" i="16"/>
  <c r="C156" i="16" s="1" a="1"/>
  <c r="C156" i="16" s="1"/>
  <c r="A157" i="16"/>
  <c r="A158" i="16"/>
  <c r="B158" i="16" s="1" a="1"/>
  <c r="B158" i="16" s="1"/>
  <c r="A159" i="16"/>
  <c r="D159" i="16" s="1" a="1"/>
  <c r="D159" i="16" s="1"/>
  <c r="A160" i="16"/>
  <c r="C160" i="16" s="1" a="1"/>
  <c r="C160" i="16" s="1"/>
  <c r="A161" i="16"/>
  <c r="C161" i="16" s="1" a="1"/>
  <c r="C161" i="16" s="1"/>
  <c r="A162" i="16"/>
  <c r="D162" i="16" s="1" a="1"/>
  <c r="D162" i="16" s="1"/>
  <c r="A163" i="16"/>
  <c r="A164" i="16"/>
  <c r="E164" i="16" s="1" a="1"/>
  <c r="E164" i="16" s="1"/>
  <c r="I165" i="16"/>
  <c r="J165" i="16"/>
  <c r="K165" i="16"/>
  <c r="F169" i="16"/>
  <c r="G169" i="16"/>
  <c r="K169" i="16"/>
  <c r="L169" i="16"/>
  <c r="U169" i="16"/>
  <c r="V169" i="16"/>
  <c r="T170" i="16" s="1" a="1"/>
  <c r="T170" i="16" s="1"/>
  <c r="E170" i="16" a="1"/>
  <c r="E170" i="16" s="1"/>
  <c r="J170" i="16" a="1"/>
  <c r="J170" i="16"/>
  <c r="K171" i="16" s="1"/>
  <c r="K180" i="16"/>
  <c r="L180" i="16" s="1"/>
  <c r="K182" i="16"/>
  <c r="L182" i="16" s="1"/>
  <c r="B84" i="18" l="1" a="1"/>
  <c r="B84" i="18" s="1"/>
  <c r="D152" i="17" a="1"/>
  <c r="D152" i="17" s="1"/>
  <c r="C149" i="17" a="1"/>
  <c r="C149" i="17" s="1"/>
  <c r="D95" i="17" a="1"/>
  <c r="D95" i="17" s="1"/>
  <c r="C92" i="17" a="1"/>
  <c r="C92" i="17" s="1"/>
  <c r="C74" i="18" a="1"/>
  <c r="C74" i="18" s="1"/>
  <c r="C51" i="18" a="1"/>
  <c r="C51" i="18" s="1"/>
  <c r="C144" i="18" a="1"/>
  <c r="C144" i="18" s="1"/>
  <c r="C121" i="18" a="1"/>
  <c r="C121" i="18" s="1"/>
  <c r="B83" i="18" a="1"/>
  <c r="B83" i="18" s="1"/>
  <c r="B68" i="18" a="1"/>
  <c r="B68" i="18" s="1"/>
  <c r="B15" i="18" a="1"/>
  <c r="B15" i="18" s="1"/>
  <c r="B48" i="18" a="1"/>
  <c r="B48" i="18" s="1"/>
  <c r="B45" i="18" a="1"/>
  <c r="B45" i="18" s="1"/>
  <c r="C42" i="18" a="1"/>
  <c r="C42" i="18" s="1"/>
  <c r="C10" i="18" a="1"/>
  <c r="C10" i="18" s="1"/>
  <c r="C3" i="18" a="1"/>
  <c r="C3" i="18" s="1"/>
  <c r="C2" i="18" a="1"/>
  <c r="C2" i="18" s="1"/>
  <c r="C104" i="16" a="1"/>
  <c r="C104" i="16" s="1"/>
  <c r="C129" i="17" a="1"/>
  <c r="C129" i="17" s="1"/>
  <c r="D17" i="17" a="1"/>
  <c r="D17" i="17" s="1"/>
  <c r="B6" i="17" a="1"/>
  <c r="B6" i="17" s="1"/>
  <c r="D4" i="17" a="1"/>
  <c r="D4" i="17" s="1"/>
  <c r="C156" i="18" a="1"/>
  <c r="C156" i="18" s="1"/>
  <c r="C92" i="18" a="1"/>
  <c r="C92" i="18" s="1"/>
  <c r="B75" i="18" a="1"/>
  <c r="B75" i="18" s="1"/>
  <c r="B73" i="18" a="1"/>
  <c r="B73" i="18" s="1"/>
  <c r="B67" i="18" a="1"/>
  <c r="B67" i="18" s="1"/>
  <c r="B64" i="18" a="1"/>
  <c r="B64" i="18" s="1"/>
  <c r="B153" i="18" a="1"/>
  <c r="B153" i="18" s="1"/>
  <c r="B150" i="18" a="1"/>
  <c r="B150" i="18" s="1"/>
  <c r="B142" i="18" a="1"/>
  <c r="B142" i="18" s="1"/>
  <c r="B123" i="18" a="1"/>
  <c r="B123" i="18" s="1"/>
  <c r="B118" i="18" a="1"/>
  <c r="B118" i="18" s="1"/>
  <c r="C112" i="18" a="1"/>
  <c r="C112" i="18" s="1"/>
  <c r="C109" i="18" a="1"/>
  <c r="C109" i="18" s="1"/>
  <c r="B89" i="18" a="1"/>
  <c r="B89" i="18" s="1"/>
  <c r="B86" i="18" a="1"/>
  <c r="B86" i="18" s="1"/>
  <c r="B81" i="18" a="1"/>
  <c r="B81" i="18" s="1"/>
  <c r="C78" i="18" a="1"/>
  <c r="C78" i="18" s="1"/>
  <c r="B61" i="18" a="1"/>
  <c r="B61" i="18" s="1"/>
  <c r="C58" i="18" a="1"/>
  <c r="C58" i="18" s="1"/>
  <c r="B52" i="18" a="1"/>
  <c r="B52" i="18" s="1"/>
  <c r="D136" i="17" a="1"/>
  <c r="D136" i="17" s="1"/>
  <c r="C133" i="17" a="1"/>
  <c r="C133" i="17" s="1"/>
  <c r="B38" i="17" a="1"/>
  <c r="B38" i="17" s="1"/>
  <c r="C70" i="18" a="1"/>
  <c r="C70" i="18" s="1"/>
  <c r="C47" i="18" a="1"/>
  <c r="C47" i="18" s="1"/>
  <c r="B51" i="16" a="1"/>
  <c r="B51" i="16" s="1"/>
  <c r="D48" i="16" a="1"/>
  <c r="D48" i="16" s="1"/>
  <c r="D41" i="16" a="1"/>
  <c r="D41" i="16" s="1"/>
  <c r="C141" i="17" a="1"/>
  <c r="C141" i="17" s="1"/>
  <c r="B154" i="18" a="1"/>
  <c r="B154" i="18" s="1"/>
  <c r="B149" i="18" a="1"/>
  <c r="B149" i="18" s="1"/>
  <c r="B146" i="18" a="1"/>
  <c r="B146" i="18" s="1"/>
  <c r="C113" i="18" a="1"/>
  <c r="C113" i="18" s="1"/>
  <c r="B90" i="18" a="1"/>
  <c r="B90" i="18" s="1"/>
  <c r="C77" i="18" a="1"/>
  <c r="C77" i="18" s="1"/>
  <c r="D78" i="17" a="1"/>
  <c r="D78" i="17" s="1"/>
  <c r="C145" i="18" a="1"/>
  <c r="C145" i="18" s="1"/>
  <c r="C141" i="18" a="1"/>
  <c r="C141" i="18" s="1"/>
  <c r="B119" i="18" a="1"/>
  <c r="B119" i="18" s="1"/>
  <c r="C117" i="18" a="1"/>
  <c r="C117" i="18" s="1"/>
  <c r="B80" i="18" a="1"/>
  <c r="B80" i="18" s="1"/>
  <c r="B163" i="17" a="1"/>
  <c r="B163" i="17" s="1"/>
  <c r="D156" i="17" a="1"/>
  <c r="D156" i="17" s="1"/>
  <c r="C153" i="17" a="1"/>
  <c r="C153" i="17" s="1"/>
  <c r="D148" i="17" a="1"/>
  <c r="D148" i="17" s="1"/>
  <c r="C137" i="17" a="1"/>
  <c r="C137" i="17" s="1"/>
  <c r="D132" i="17" a="1"/>
  <c r="D132" i="17" s="1"/>
  <c r="B115" i="17" a="1"/>
  <c r="B115" i="17" s="1"/>
  <c r="D99" i="17" a="1"/>
  <c r="D99" i="17" s="1"/>
  <c r="C96" i="17" a="1"/>
  <c r="C96" i="17" s="1"/>
  <c r="C84" i="17" a="1"/>
  <c r="C84" i="17" s="1"/>
  <c r="B62" i="17" a="1"/>
  <c r="B62" i="17" s="1"/>
  <c r="D43" i="17" a="1"/>
  <c r="D43" i="17" s="1"/>
  <c r="B41" i="17" a="1"/>
  <c r="B41" i="17" s="1"/>
  <c r="D39" i="17" a="1"/>
  <c r="D39" i="17" s="1"/>
  <c r="B33" i="17" a="1"/>
  <c r="B33" i="17" s="1"/>
  <c r="B15" i="17" a="1"/>
  <c r="B15" i="17" s="1"/>
  <c r="B155" i="18" a="1"/>
  <c r="B155" i="18" s="1"/>
  <c r="B151" i="18" a="1"/>
  <c r="B151" i="18" s="1"/>
  <c r="C124" i="18" a="1"/>
  <c r="C124" i="18" s="1"/>
  <c r="B122" i="18" a="1"/>
  <c r="B122" i="18" s="1"/>
  <c r="B114" i="18" a="1"/>
  <c r="B114" i="18" s="1"/>
  <c r="B110" i="18" a="1"/>
  <c r="B110" i="18" s="1"/>
  <c r="B91" i="18" a="1"/>
  <c r="B91" i="18" s="1"/>
  <c r="B87" i="18" a="1"/>
  <c r="B87" i="18" s="1"/>
  <c r="C85" i="18" a="1"/>
  <c r="C85" i="18" s="1"/>
  <c r="C69" i="18" a="1"/>
  <c r="C69" i="18" s="1"/>
  <c r="B65" i="18" a="1"/>
  <c r="B65" i="18" s="1"/>
  <c r="C50" i="18" a="1"/>
  <c r="C50" i="18" s="1"/>
  <c r="C46" i="18" a="1"/>
  <c r="C46" i="18" s="1"/>
  <c r="C26" i="18" a="1"/>
  <c r="C26" i="18" s="1"/>
  <c r="B16" i="18" a="1"/>
  <c r="B16" i="18" s="1"/>
  <c r="B5" i="18" a="1"/>
  <c r="B5" i="18" s="1"/>
  <c r="B100" i="17" a="1"/>
  <c r="B100" i="17" s="1"/>
  <c r="C100" i="17" a="1"/>
  <c r="C100" i="17" s="1"/>
  <c r="C86" i="17" a="1"/>
  <c r="C86" i="17" s="1"/>
  <c r="B86" i="17" a="1"/>
  <c r="B86" i="17" s="1"/>
  <c r="C76" i="17" a="1"/>
  <c r="C76" i="17" s="1"/>
  <c r="B76" i="17" a="1"/>
  <c r="B76" i="17" s="1"/>
  <c r="B72" i="17" a="1"/>
  <c r="B72" i="17" s="1"/>
  <c r="C72" i="17" a="1"/>
  <c r="C72" i="17" s="1"/>
  <c r="B11" i="17" a="1"/>
  <c r="B11" i="17" s="1"/>
  <c r="C11" i="17" a="1"/>
  <c r="C11" i="17" s="1"/>
  <c r="C162" i="18" a="1"/>
  <c r="C162" i="18" s="1"/>
  <c r="B162" i="18" a="1"/>
  <c r="B162" i="18" s="1"/>
  <c r="C157" i="18" a="1"/>
  <c r="C157" i="18" s="1"/>
  <c r="B157" i="18" a="1"/>
  <c r="B157" i="18" s="1"/>
  <c r="B108" i="18" a="1"/>
  <c r="B108" i="18" s="1"/>
  <c r="C108" i="18" a="1"/>
  <c r="C108" i="18" s="1"/>
  <c r="C98" i="18" a="1"/>
  <c r="C98" i="18" s="1"/>
  <c r="B98" i="18" a="1"/>
  <c r="B98" i="18" s="1"/>
  <c r="B59" i="18" a="1"/>
  <c r="B59" i="18" s="1"/>
  <c r="C59" i="18" a="1"/>
  <c r="C59" i="18" s="1"/>
  <c r="C53" i="18" a="1"/>
  <c r="C53" i="18" s="1"/>
  <c r="B53" i="18" a="1"/>
  <c r="B53" i="18" s="1"/>
  <c r="C40" i="18" a="1"/>
  <c r="C40" i="18" s="1"/>
  <c r="B40" i="18" a="1"/>
  <c r="B40" i="18" s="1"/>
  <c r="B7" i="18" a="1"/>
  <c r="B7" i="18" s="1"/>
  <c r="C7" i="18" a="1"/>
  <c r="C7" i="18" s="1"/>
  <c r="B133" i="18" a="1"/>
  <c r="B133" i="18" s="1"/>
  <c r="C133" i="18" a="1"/>
  <c r="C133" i="18" s="1"/>
  <c r="B105" i="18" a="1"/>
  <c r="B105" i="18" s="1"/>
  <c r="C105" i="18" a="1"/>
  <c r="C105" i="18" s="1"/>
  <c r="B79" i="18" a="1"/>
  <c r="B79" i="18" s="1"/>
  <c r="C79" i="18" a="1"/>
  <c r="C79" i="18" s="1"/>
  <c r="C60" i="18" a="1"/>
  <c r="C60" i="18" s="1"/>
  <c r="B60" i="18" a="1"/>
  <c r="B60" i="18" s="1"/>
  <c r="C37" i="18" a="1"/>
  <c r="C37" i="18" s="1"/>
  <c r="B37" i="18" a="1"/>
  <c r="B37" i="18" s="1"/>
  <c r="B19" i="18" a="1"/>
  <c r="B19" i="18" s="1"/>
  <c r="C19" i="18" a="1"/>
  <c r="C19" i="18" s="1"/>
  <c r="C8" i="18" a="1"/>
  <c r="C8" i="18" s="1"/>
  <c r="B8" i="18" a="1"/>
  <c r="B8" i="18" s="1"/>
  <c r="E113" i="16" a="1"/>
  <c r="E113" i="16" s="1"/>
  <c r="B88" i="17" a="1"/>
  <c r="B88" i="17" s="1"/>
  <c r="C88" i="17" a="1"/>
  <c r="C88" i="17" s="1"/>
  <c r="C64" i="17" a="1"/>
  <c r="C64" i="17" s="1"/>
  <c r="B64" i="17" a="1"/>
  <c r="B64" i="17" s="1"/>
  <c r="C126" i="18" a="1"/>
  <c r="C126" i="18" s="1"/>
  <c r="B126" i="18" a="1"/>
  <c r="B126" i="18" s="1"/>
  <c r="C103" i="18" a="1"/>
  <c r="C103" i="18" s="1"/>
  <c r="B103" i="18" a="1"/>
  <c r="B103" i="18" s="1"/>
  <c r="B97" i="18" a="1"/>
  <c r="B97" i="18" s="1"/>
  <c r="C97" i="18" a="1"/>
  <c r="C97" i="18" s="1"/>
  <c r="B82" i="18" a="1"/>
  <c r="B82" i="18" s="1"/>
  <c r="C82" i="18" a="1"/>
  <c r="C82" i="18" s="1"/>
  <c r="C76" i="18" a="1"/>
  <c r="C76" i="18" s="1"/>
  <c r="B76" i="18" a="1"/>
  <c r="B76" i="18" s="1"/>
  <c r="C72" i="18" a="1"/>
  <c r="C72" i="18" s="1"/>
  <c r="B72" i="18" a="1"/>
  <c r="B72" i="18" s="1"/>
  <c r="B66" i="18" a="1"/>
  <c r="B66" i="18" s="1"/>
  <c r="C66" i="18" a="1"/>
  <c r="C66" i="18" s="1"/>
  <c r="C56" i="18" a="1"/>
  <c r="C56" i="18" s="1"/>
  <c r="B56" i="18" a="1"/>
  <c r="B56" i="18" s="1"/>
  <c r="B39" i="18" a="1"/>
  <c r="B39" i="18" s="1"/>
  <c r="C39" i="18" a="1"/>
  <c r="C39" i="18" s="1"/>
  <c r="C32" i="18" a="1"/>
  <c r="C32" i="18" s="1"/>
  <c r="B32" i="18" a="1"/>
  <c r="B32" i="18" s="1"/>
  <c r="C12" i="18" a="1"/>
  <c r="C12" i="18" s="1"/>
  <c r="B12" i="18" a="1"/>
  <c r="B12" i="18" s="1"/>
  <c r="C90" i="17" a="1"/>
  <c r="C90" i="17" s="1"/>
  <c r="D90" i="17" a="1"/>
  <c r="D90" i="17" s="1"/>
  <c r="C22" i="17" a="1"/>
  <c r="C22" i="17" s="1"/>
  <c r="B22" i="17" a="1"/>
  <c r="B22" i="17" s="1"/>
  <c r="B160" i="18" a="1"/>
  <c r="B160" i="18" s="1"/>
  <c r="C160" i="18" a="1"/>
  <c r="C160" i="18" s="1"/>
  <c r="C139" i="18" a="1"/>
  <c r="C139" i="18" s="1"/>
  <c r="B139" i="18" a="1"/>
  <c r="B139" i="18" s="1"/>
  <c r="B128" i="18" a="1"/>
  <c r="B128" i="18" s="1"/>
  <c r="C128" i="18" a="1"/>
  <c r="C128" i="18" s="1"/>
  <c r="B43" i="18" a="1"/>
  <c r="B43" i="18" s="1"/>
  <c r="C43" i="18" a="1"/>
  <c r="C43" i="18" s="1"/>
  <c r="B34" i="18" a="1"/>
  <c r="B34" i="18" s="1"/>
  <c r="C34" i="18" a="1"/>
  <c r="C34" i="18" s="1"/>
  <c r="C25" i="18" a="1"/>
  <c r="C25" i="18" s="1"/>
  <c r="B25" i="18" a="1"/>
  <c r="B25" i="18" s="1"/>
  <c r="B14" i="18" a="1"/>
  <c r="B14" i="18" s="1"/>
  <c r="C14" i="18" a="1"/>
  <c r="C14" i="18" s="1"/>
  <c r="B98" i="16" a="1"/>
  <c r="B98" i="16" s="1"/>
  <c r="D163" i="17" a="1"/>
  <c r="D163" i="17" s="1"/>
  <c r="C157" i="17" a="1"/>
  <c r="C157" i="17" s="1"/>
  <c r="C145" i="17" a="1"/>
  <c r="C145" i="17" s="1"/>
  <c r="D140" i="17" a="1"/>
  <c r="D140" i="17" s="1"/>
  <c r="C125" i="17" a="1"/>
  <c r="C125" i="17" s="1"/>
  <c r="C104" i="17" a="1"/>
  <c r="C104" i="17" s="1"/>
  <c r="B90" i="17" a="1"/>
  <c r="B90" i="17" s="1"/>
  <c r="C66" i="17" a="1"/>
  <c r="C66" i="17" s="1"/>
  <c r="B66" i="17" a="1"/>
  <c r="B66" i="17" s="1"/>
  <c r="C27" i="17" a="1"/>
  <c r="C27" i="17" s="1"/>
  <c r="B27" i="17" a="1"/>
  <c r="B27" i="17" s="1"/>
  <c r="B19" i="17" a="1"/>
  <c r="B19" i="17" s="1"/>
  <c r="D19" i="17" a="1"/>
  <c r="D19" i="17" s="1"/>
  <c r="B161" i="18" a="1"/>
  <c r="B161" i="18" s="1"/>
  <c r="C161" i="18" a="1"/>
  <c r="C161" i="18" s="1"/>
  <c r="C158" i="18" a="1"/>
  <c r="C158" i="18" s="1"/>
  <c r="B158" i="18" a="1"/>
  <c r="B158" i="18" s="1"/>
  <c r="C134" i="18" a="1"/>
  <c r="C134" i="18" s="1"/>
  <c r="B134" i="18" a="1"/>
  <c r="B134" i="18" s="1"/>
  <c r="B125" i="18" a="1"/>
  <c r="B125" i="18" s="1"/>
  <c r="C125" i="18" a="1"/>
  <c r="C125" i="18" s="1"/>
  <c r="C106" i="18" a="1"/>
  <c r="C106" i="18" s="1"/>
  <c r="B106" i="18" a="1"/>
  <c r="B106" i="18" s="1"/>
  <c r="B71" i="18" a="1"/>
  <c r="B71" i="18" s="1"/>
  <c r="C71" i="18" a="1"/>
  <c r="C71" i="18" s="1"/>
  <c r="B63" i="18" a="1"/>
  <c r="B63" i="18" s="1"/>
  <c r="C63" i="18" a="1"/>
  <c r="C63" i="18" s="1"/>
  <c r="B55" i="18" a="1"/>
  <c r="B55" i="18" s="1"/>
  <c r="C55" i="18" a="1"/>
  <c r="C55" i="18" s="1"/>
  <c r="C44" i="18" a="1"/>
  <c r="C44" i="18" s="1"/>
  <c r="B44" i="18" a="1"/>
  <c r="B44" i="18" s="1"/>
  <c r="B31" i="18" a="1"/>
  <c r="B31" i="18" s="1"/>
  <c r="C31" i="18" a="1"/>
  <c r="C31" i="18" s="1"/>
  <c r="C20" i="18" a="1"/>
  <c r="C20" i="18" s="1"/>
  <c r="B20" i="18" a="1"/>
  <c r="B20" i="18" s="1"/>
  <c r="B11" i="18" a="1"/>
  <c r="B11" i="18" s="1"/>
  <c r="C11" i="18" a="1"/>
  <c r="C11" i="18" s="1"/>
  <c r="C140" i="18" a="1"/>
  <c r="C140" i="18" s="1"/>
  <c r="B138" i="18" a="1"/>
  <c r="B138" i="18" s="1"/>
  <c r="B137" i="18" a="1"/>
  <c r="B137" i="18" s="1"/>
  <c r="B135" i="18" a="1"/>
  <c r="B135" i="18" s="1"/>
  <c r="B130" i="18" a="1"/>
  <c r="B130" i="18" s="1"/>
  <c r="B129" i="18" a="1"/>
  <c r="B129" i="18" s="1"/>
  <c r="B107" i="18" a="1"/>
  <c r="B107" i="18" s="1"/>
  <c r="B102" i="18" a="1"/>
  <c r="B102" i="18" s="1"/>
  <c r="B101" i="18" a="1"/>
  <c r="B101" i="18" s="1"/>
  <c r="C96" i="18" a="1"/>
  <c r="C96" i="18" s="1"/>
  <c r="B94" i="18" a="1"/>
  <c r="B94" i="18" s="1"/>
  <c r="B93" i="18" a="1"/>
  <c r="B93" i="18" s="1"/>
  <c r="C62" i="18" a="1"/>
  <c r="C62" i="18" s="1"/>
  <c r="B57" i="18" a="1"/>
  <c r="B57" i="18" s="1"/>
  <c r="B41" i="18" a="1"/>
  <c r="B41" i="18" s="1"/>
  <c r="B36" i="18" a="1"/>
  <c r="B36" i="18" s="1"/>
  <c r="B35" i="18" a="1"/>
  <c r="B35" i="18" s="1"/>
  <c r="C30" i="18" a="1"/>
  <c r="C30" i="18" s="1"/>
  <c r="B28" i="18" a="1"/>
  <c r="B28" i="18" s="1"/>
  <c r="B27" i="18" a="1"/>
  <c r="B27" i="18" s="1"/>
  <c r="B24" i="18" a="1"/>
  <c r="B24" i="18" s="1"/>
  <c r="B23" i="18" a="1"/>
  <c r="B23" i="18" s="1"/>
  <c r="B21" i="18" a="1"/>
  <c r="B21" i="18" s="1"/>
  <c r="B9" i="18" a="1"/>
  <c r="B9" i="18" s="1"/>
  <c r="D15" i="17" a="1"/>
  <c r="D15" i="17" s="1"/>
  <c r="C135" i="17" a="1"/>
  <c r="C135" i="17" s="1"/>
  <c r="B135" i="17" a="1"/>
  <c r="B135" i="17" s="1"/>
  <c r="G184" i="18"/>
  <c r="C159" i="17" a="1"/>
  <c r="C159" i="17" s="1"/>
  <c r="D159" i="17" a="1"/>
  <c r="D159" i="17" s="1"/>
  <c r="C143" i="17" a="1"/>
  <c r="C143" i="17" s="1"/>
  <c r="B143" i="17" a="1"/>
  <c r="B143" i="17" s="1"/>
  <c r="C127" i="17" a="1"/>
  <c r="C127" i="17" s="1"/>
  <c r="B127" i="17" a="1"/>
  <c r="B127" i="17" s="1"/>
  <c r="C102" i="17" a="1"/>
  <c r="C102" i="17" s="1"/>
  <c r="B102" i="17" a="1"/>
  <c r="B102" i="17" s="1"/>
  <c r="B87" i="17" a="1"/>
  <c r="B87" i="17" s="1"/>
  <c r="D87" i="17" a="1"/>
  <c r="D87" i="17" s="1"/>
  <c r="D55" i="17" a="1"/>
  <c r="D55" i="17" s="1"/>
  <c r="C23" i="17" a="1"/>
  <c r="C23" i="17" s="1"/>
  <c r="B23" i="17" a="1"/>
  <c r="B23" i="17" s="1"/>
  <c r="F181" i="18"/>
  <c r="G181" i="18" s="1"/>
  <c r="F171" i="18"/>
  <c r="F173" i="18"/>
  <c r="G173" i="18" s="1"/>
  <c r="F190" i="18"/>
  <c r="G190" i="18" s="1"/>
  <c r="B163" i="18" a="1"/>
  <c r="B163" i="18" s="1"/>
  <c r="C152" i="18" a="1"/>
  <c r="C152" i="18" s="1"/>
  <c r="B147" i="18" a="1"/>
  <c r="B147" i="18" s="1"/>
  <c r="C136" i="18" a="1"/>
  <c r="C136" i="18" s="1"/>
  <c r="B131" i="18" a="1"/>
  <c r="B131" i="18" s="1"/>
  <c r="C120" i="18" a="1"/>
  <c r="C120" i="18" s="1"/>
  <c r="B115" i="18" a="1"/>
  <c r="B115" i="18" s="1"/>
  <c r="C104" i="18" a="1"/>
  <c r="C104" i="18" s="1"/>
  <c r="B99" i="18" a="1"/>
  <c r="B99" i="18" s="1"/>
  <c r="C88" i="18" a="1"/>
  <c r="C88" i="18" s="1"/>
  <c r="C49" i="18" a="1"/>
  <c r="C49" i="18" s="1"/>
  <c r="B49" i="18" a="1"/>
  <c r="B49" i="18" s="1"/>
  <c r="B38" i="18" a="1"/>
  <c r="B38" i="18" s="1"/>
  <c r="C38" i="18" a="1"/>
  <c r="C38" i="18" s="1"/>
  <c r="B29" i="18" a="1"/>
  <c r="B29" i="18" s="1"/>
  <c r="C18" i="18" a="1"/>
  <c r="C18" i="18" s="1"/>
  <c r="C151" i="17" a="1"/>
  <c r="C151" i="17" s="1"/>
  <c r="B151" i="17" a="1"/>
  <c r="B151" i="17" s="1"/>
  <c r="B80" i="17" a="1"/>
  <c r="B80" i="17" s="1"/>
  <c r="C80" i="17" a="1"/>
  <c r="C80" i="17" s="1"/>
  <c r="C37" i="17" a="1"/>
  <c r="C37" i="17" s="1"/>
  <c r="D37" i="17" a="1"/>
  <c r="D37" i="17" s="1"/>
  <c r="G192" i="18"/>
  <c r="G194" i="18" s="1"/>
  <c r="C17" i="18" a="1"/>
  <c r="C17" i="18" s="1"/>
  <c r="B17" i="18" a="1"/>
  <c r="B17" i="18" s="1"/>
  <c r="B6" i="18" a="1"/>
  <c r="B6" i="18" s="1"/>
  <c r="C6" i="18" a="1"/>
  <c r="C6" i="18" s="1"/>
  <c r="D119" i="16" a="1"/>
  <c r="D119" i="16" s="1"/>
  <c r="B119" i="16" a="1"/>
  <c r="B119" i="16" s="1"/>
  <c r="C155" i="17" a="1"/>
  <c r="C155" i="17" s="1"/>
  <c r="B155" i="17" a="1"/>
  <c r="B155" i="17" s="1"/>
  <c r="C139" i="17" a="1"/>
  <c r="C139" i="17" s="1"/>
  <c r="B139" i="17" a="1"/>
  <c r="B139" i="17" s="1"/>
  <c r="C98" i="17" a="1"/>
  <c r="C98" i="17" s="1"/>
  <c r="B98" i="17" a="1"/>
  <c r="B98" i="17" s="1"/>
  <c r="B83" i="17" a="1"/>
  <c r="B83" i="17" s="1"/>
  <c r="D83" i="17" a="1"/>
  <c r="D83" i="17" s="1"/>
  <c r="C73" i="17" a="1"/>
  <c r="C73" i="17" s="1"/>
  <c r="D73" i="17" a="1"/>
  <c r="D73" i="17" s="1"/>
  <c r="C45" i="17" a="1"/>
  <c r="C45" i="17" s="1"/>
  <c r="B45" i="17" a="1"/>
  <c r="B45" i="17" s="1"/>
  <c r="D45" i="17" a="1"/>
  <c r="D45" i="17" s="1"/>
  <c r="B21" i="17" a="1"/>
  <c r="B21" i="17" s="1"/>
  <c r="C21" i="17" a="1"/>
  <c r="C21" i="17" s="1"/>
  <c r="B7" i="17" a="1"/>
  <c r="B7" i="17" s="1"/>
  <c r="C7" i="17" a="1"/>
  <c r="C7" i="17" s="1"/>
  <c r="G193" i="18"/>
  <c r="B54" i="18" a="1"/>
  <c r="B54" i="18" s="1"/>
  <c r="C54" i="18" a="1"/>
  <c r="C54" i="18" s="1"/>
  <c r="C4" i="18" a="1"/>
  <c r="C4" i="18" s="1"/>
  <c r="B4" i="18" a="1"/>
  <c r="B4" i="18" s="1"/>
  <c r="E77" i="16" a="1"/>
  <c r="E77" i="16" s="1"/>
  <c r="B77" i="16" a="1"/>
  <c r="B77" i="16" s="1"/>
  <c r="D151" i="17" a="1"/>
  <c r="D151" i="17" s="1"/>
  <c r="C147" i="17" a="1"/>
  <c r="C147" i="17" s="1"/>
  <c r="B147" i="17" a="1"/>
  <c r="B147" i="17" s="1"/>
  <c r="D144" i="17" a="1"/>
  <c r="D144" i="17" s="1"/>
  <c r="D135" i="17" a="1"/>
  <c r="D135" i="17" s="1"/>
  <c r="C131" i="17" a="1"/>
  <c r="C131" i="17" s="1"/>
  <c r="B131" i="17" a="1"/>
  <c r="B131" i="17" s="1"/>
  <c r="D128" i="17" a="1"/>
  <c r="D128" i="17" s="1"/>
  <c r="C106" i="17" a="1"/>
  <c r="C106" i="17" s="1"/>
  <c r="B106" i="17" a="1"/>
  <c r="B106" i="17" s="1"/>
  <c r="D103" i="17" a="1"/>
  <c r="D103" i="17" s="1"/>
  <c r="C94" i="17" a="1"/>
  <c r="C94" i="17" s="1"/>
  <c r="B94" i="17" a="1"/>
  <c r="B94" i="17" s="1"/>
  <c r="D94" i="17" a="1"/>
  <c r="D94" i="17" s="1"/>
  <c r="C74" i="17" a="1"/>
  <c r="C74" i="17" s="1"/>
  <c r="D74" i="17" a="1"/>
  <c r="D74" i="17" s="1"/>
  <c r="C58" i="17" a="1"/>
  <c r="C58" i="17" s="1"/>
  <c r="D58" i="17" a="1"/>
  <c r="D58" i="17" s="1"/>
  <c r="B55" i="17" a="1"/>
  <c r="B55" i="17" s="1"/>
  <c r="C53" i="17" a="1"/>
  <c r="C53" i="17" s="1"/>
  <c r="D53" i="17" a="1"/>
  <c r="D53" i="17" s="1"/>
  <c r="C47" i="17" a="1"/>
  <c r="C47" i="17" s="1"/>
  <c r="B47" i="17" a="1"/>
  <c r="B47" i="17" s="1"/>
  <c r="B37" i="17" a="1"/>
  <c r="B37" i="17" s="1"/>
  <c r="D31" i="17" a="1"/>
  <c r="D31" i="17" s="1"/>
  <c r="B25" i="17" a="1"/>
  <c r="B25" i="17" s="1"/>
  <c r="F182" i="18"/>
  <c r="G182" i="18" s="1"/>
  <c r="G183" i="18" s="1"/>
  <c r="G185" i="18" s="1"/>
  <c r="C164" i="18" a="1"/>
  <c r="C164" i="18" s="1"/>
  <c r="B159" i="18" a="1"/>
  <c r="B159" i="18" s="1"/>
  <c r="C148" i="18" a="1"/>
  <c r="C148" i="18" s="1"/>
  <c r="B143" i="18" a="1"/>
  <c r="B143" i="18" s="1"/>
  <c r="C132" i="18" a="1"/>
  <c r="C132" i="18" s="1"/>
  <c r="B127" i="18" a="1"/>
  <c r="B127" i="18" s="1"/>
  <c r="C116" i="18" a="1"/>
  <c r="C116" i="18" s="1"/>
  <c r="B111" i="18" a="1"/>
  <c r="B111" i="18" s="1"/>
  <c r="C100" i="18" a="1"/>
  <c r="C100" i="18" s="1"/>
  <c r="B95" i="18" a="1"/>
  <c r="B95" i="18" s="1"/>
  <c r="C33" i="18" a="1"/>
  <c r="C33" i="18" s="1"/>
  <c r="B33" i="18" a="1"/>
  <c r="B33" i="18" s="1"/>
  <c r="B22" i="18" a="1"/>
  <c r="B22" i="18" s="1"/>
  <c r="C22" i="18" a="1"/>
  <c r="C22" i="18" s="1"/>
  <c r="B13" i="18" a="1"/>
  <c r="B13" i="18" s="1"/>
  <c r="D91" i="17" a="1"/>
  <c r="D91" i="17" s="1"/>
  <c r="C161" i="17" a="1"/>
  <c r="C161" i="17" s="1"/>
  <c r="B159" i="17" a="1"/>
  <c r="B159" i="17" s="1"/>
  <c r="D107" i="17" a="1"/>
  <c r="D107" i="17" s="1"/>
  <c r="C103" i="17" a="1"/>
  <c r="C103" i="17" s="1"/>
  <c r="C99" i="17" a="1"/>
  <c r="C99" i="17" s="1"/>
  <c r="C95" i="17" a="1"/>
  <c r="C95" i="17" s="1"/>
  <c r="C91" i="17" a="1"/>
  <c r="C91" i="17" s="1"/>
  <c r="C87" i="17" a="1"/>
  <c r="C87" i="17" s="1"/>
  <c r="C83" i="17" a="1"/>
  <c r="C83" i="17" s="1"/>
  <c r="D82" i="17" a="1"/>
  <c r="D82" i="17" s="1"/>
  <c r="D51" i="17" a="1"/>
  <c r="D51" i="17" s="1"/>
  <c r="D29" i="17" a="1"/>
  <c r="D29" i="17" s="1"/>
  <c r="C19" i="17" a="1"/>
  <c r="C19" i="17" s="1"/>
  <c r="C4" i="17" a="1"/>
  <c r="C4" i="17" s="1"/>
  <c r="D124" i="17" a="1"/>
  <c r="D124" i="17" s="1"/>
  <c r="C119" i="17" a="1"/>
  <c r="C119" i="17" s="1"/>
  <c r="C111" i="17" a="1"/>
  <c r="C111" i="17" s="1"/>
  <c r="C107" i="17" a="1"/>
  <c r="C107" i="17" s="1"/>
  <c r="C82" i="17" a="1"/>
  <c r="C82" i="17" s="1"/>
  <c r="D81" i="17" a="1"/>
  <c r="D81" i="17" s="1"/>
  <c r="D66" i="17" a="1"/>
  <c r="D66" i="17" s="1"/>
  <c r="D62" i="17" a="1"/>
  <c r="D62" i="17" s="1"/>
  <c r="D61" i="17" a="1"/>
  <c r="D61" i="17" s="1"/>
  <c r="C51" i="17" a="1"/>
  <c r="C51" i="17" s="1"/>
  <c r="D35" i="17" a="1"/>
  <c r="D35" i="17" s="1"/>
  <c r="C29" i="17" a="1"/>
  <c r="C29" i="17" s="1"/>
  <c r="D22" i="17" a="1"/>
  <c r="D22" i="17" s="1"/>
  <c r="D21" i="17" a="1"/>
  <c r="D21" i="17" s="1"/>
  <c r="C32" i="16" a="1"/>
  <c r="C32" i="16" s="1"/>
  <c r="D29" i="16" a="1"/>
  <c r="D29" i="16" s="1"/>
  <c r="C124" i="17" a="1"/>
  <c r="C124" i="17" s="1"/>
  <c r="B119" i="17" a="1"/>
  <c r="B119" i="17" s="1"/>
  <c r="D117" i="17" a="1"/>
  <c r="D117" i="17" s="1"/>
  <c r="D115" i="17" a="1"/>
  <c r="D115" i="17" s="1"/>
  <c r="C112" i="17" a="1"/>
  <c r="C112" i="17" s="1"/>
  <c r="B111" i="17" a="1"/>
  <c r="B111" i="17" s="1"/>
  <c r="C108" i="17" a="1"/>
  <c r="C108" i="17" s="1"/>
  <c r="B81" i="17" a="1"/>
  <c r="B81" i="17" s="1"/>
  <c r="D70" i="17" a="1"/>
  <c r="D70" i="17" s="1"/>
  <c r="B65" i="17" a="1"/>
  <c r="B65" i="17" s="1"/>
  <c r="B61" i="17" a="1"/>
  <c r="B61" i="17" s="1"/>
  <c r="B35" i="17" a="1"/>
  <c r="B35" i="17" s="1"/>
  <c r="B30" i="17" a="1"/>
  <c r="B30" i="17" s="1"/>
  <c r="D27" i="17" a="1"/>
  <c r="D27" i="17" s="1"/>
  <c r="D25" i="17" a="1"/>
  <c r="D25" i="17" s="1"/>
  <c r="D23" i="17" a="1"/>
  <c r="D23" i="17" s="1"/>
  <c r="D14" i="17" a="1"/>
  <c r="D14" i="17" s="1"/>
  <c r="D11" i="17" a="1"/>
  <c r="D11" i="17" s="1"/>
  <c r="D7" i="17" a="1"/>
  <c r="D7" i="17" s="1"/>
  <c r="D6" i="17" a="1"/>
  <c r="D6" i="17" s="1"/>
  <c r="C146" i="16" a="1"/>
  <c r="C146" i="16" s="1"/>
  <c r="B146" i="16" a="1"/>
  <c r="B146" i="16" s="1"/>
  <c r="E12" i="16" a="1"/>
  <c r="E12" i="16" s="1"/>
  <c r="C12" i="16" a="1"/>
  <c r="C12" i="16" s="1"/>
  <c r="B157" i="16" a="1"/>
  <c r="B157" i="16" s="1"/>
  <c r="E157" i="16" a="1"/>
  <c r="E157" i="16" s="1"/>
  <c r="C163" i="16" a="1"/>
  <c r="C163" i="16" s="1"/>
  <c r="B163" i="16" a="1"/>
  <c r="B163" i="16" s="1"/>
  <c r="C82" i="16" a="1"/>
  <c r="C82" i="16" s="1"/>
  <c r="D82" i="16" a="1"/>
  <c r="D82" i="16" s="1"/>
  <c r="C164" i="17" a="1"/>
  <c r="C164" i="17" s="1"/>
  <c r="C160" i="17" a="1"/>
  <c r="C160" i="17" s="1"/>
  <c r="C156" i="17" a="1"/>
  <c r="C156" i="17" s="1"/>
  <c r="C152" i="17" a="1"/>
  <c r="C152" i="17" s="1"/>
  <c r="C148" i="17" a="1"/>
  <c r="C148" i="17" s="1"/>
  <c r="C144" i="17" a="1"/>
  <c r="C144" i="17" s="1"/>
  <c r="C140" i="17" a="1"/>
  <c r="C140" i="17" s="1"/>
  <c r="C136" i="17" a="1"/>
  <c r="C136" i="17" s="1"/>
  <c r="C132" i="17" a="1"/>
  <c r="C132" i="17" s="1"/>
  <c r="C128" i="17" a="1"/>
  <c r="C128" i="17" s="1"/>
  <c r="C123" i="17" a="1"/>
  <c r="C123" i="17" s="1"/>
  <c r="D121" i="17" a="1"/>
  <c r="D121" i="17" s="1"/>
  <c r="C78" i="17" a="1"/>
  <c r="C78" i="17" s="1"/>
  <c r="C70" i="17" a="1"/>
  <c r="C70" i="17" s="1"/>
  <c r="D54" i="17" a="1"/>
  <c r="D54" i="17" s="1"/>
  <c r="D46" i="17" a="1"/>
  <c r="D46" i="17" s="1"/>
  <c r="C43" i="17" a="1"/>
  <c r="C43" i="17" s="1"/>
  <c r="C39" i="17" a="1"/>
  <c r="C39" i="17" s="1"/>
  <c r="C31" i="17" a="1"/>
  <c r="C31" i="17" s="1"/>
  <c r="D123" i="17" a="1"/>
  <c r="D123" i="17" s="1"/>
  <c r="E161" i="16" a="1"/>
  <c r="E161" i="16" s="1"/>
  <c r="D122" i="17" a="1"/>
  <c r="D122" i="17" s="1"/>
  <c r="C121" i="17" a="1"/>
  <c r="C121" i="17" s="1"/>
  <c r="D80" i="17" a="1"/>
  <c r="D80" i="17" s="1"/>
  <c r="D72" i="17" a="1"/>
  <c r="D72" i="17" s="1"/>
  <c r="D49" i="17" a="1"/>
  <c r="D49" i="17" s="1"/>
  <c r="D38" i="17" a="1"/>
  <c r="D38" i="17" s="1"/>
  <c r="D30" i="17" a="1"/>
  <c r="D30" i="17" s="1"/>
  <c r="B17" i="17" a="1"/>
  <c r="B17" i="17" s="1"/>
  <c r="B14" i="17" a="1"/>
  <c r="B14" i="17" s="1"/>
  <c r="C13" i="17" a="1"/>
  <c r="C13" i="17" s="1"/>
  <c r="D9" i="17" a="1"/>
  <c r="D9" i="17" s="1"/>
  <c r="C2" i="17" a="1"/>
  <c r="C2" i="17" s="1"/>
  <c r="D164" i="17" a="1"/>
  <c r="D164" i="17" s="1"/>
  <c r="D160" i="17" a="1"/>
  <c r="D160" i="17" s="1"/>
  <c r="D13" i="17" a="1"/>
  <c r="D13" i="17" s="1"/>
  <c r="E119" i="16" a="1"/>
  <c r="E119" i="16" s="1"/>
  <c r="B122" i="17" a="1"/>
  <c r="B122" i="17" s="1"/>
  <c r="D118" i="17" a="1"/>
  <c r="D118" i="17" s="1"/>
  <c r="D114" i="17" a="1"/>
  <c r="D114" i="17" s="1"/>
  <c r="D76" i="17" a="1"/>
  <c r="D76" i="17" s="1"/>
  <c r="D65" i="17" a="1"/>
  <c r="D65" i="17" s="1"/>
  <c r="D64" i="17" a="1"/>
  <c r="D64" i="17" s="1"/>
  <c r="B57" i="17" a="1"/>
  <c r="B57" i="17" s="1"/>
  <c r="B54" i="17" a="1"/>
  <c r="B54" i="17" s="1"/>
  <c r="B49" i="17" a="1"/>
  <c r="B49" i="17" s="1"/>
  <c r="B46" i="17" a="1"/>
  <c r="B46" i="17" s="1"/>
  <c r="D41" i="17" a="1"/>
  <c r="D41" i="17" s="1"/>
  <c r="D33" i="17" a="1"/>
  <c r="D33" i="17" s="1"/>
  <c r="B9" i="17" a="1"/>
  <c r="B9" i="17" s="1"/>
  <c r="C3" i="17" a="1"/>
  <c r="C3" i="17" s="1"/>
  <c r="O172" i="17"/>
  <c r="P172" i="17" s="1"/>
  <c r="O173" i="17"/>
  <c r="P173" i="17" s="1"/>
  <c r="O189" i="17"/>
  <c r="O190" i="17"/>
  <c r="P190" i="17" s="1"/>
  <c r="O191" i="17"/>
  <c r="P191" i="17" s="1"/>
  <c r="O180" i="17"/>
  <c r="O181" i="17"/>
  <c r="P181" i="17" s="1"/>
  <c r="O182" i="17"/>
  <c r="P182" i="17" s="1"/>
  <c r="F180" i="17"/>
  <c r="F181" i="17"/>
  <c r="G181" i="17" s="1"/>
  <c r="F182" i="17"/>
  <c r="G182" i="17" s="1"/>
  <c r="F171" i="17"/>
  <c r="F172" i="17"/>
  <c r="G172" i="17" s="1"/>
  <c r="F173" i="17"/>
  <c r="G173" i="17" s="1"/>
  <c r="F189" i="17"/>
  <c r="F190" i="17"/>
  <c r="G190" i="17" s="1"/>
  <c r="F191" i="17"/>
  <c r="G191" i="17" s="1"/>
  <c r="B105" i="17" a="1"/>
  <c r="B105" i="17" s="1"/>
  <c r="D105" i="17" a="1"/>
  <c r="D105" i="17" s="1"/>
  <c r="B89" i="17" a="1"/>
  <c r="B89" i="17" s="1"/>
  <c r="D89" i="17" a="1"/>
  <c r="D89" i="17" s="1"/>
  <c r="C89" i="17" a="1"/>
  <c r="C89" i="17" s="1"/>
  <c r="D161" i="16" a="1"/>
  <c r="D161" i="16" s="1"/>
  <c r="E19" i="16" a="1"/>
  <c r="E19" i="16" s="1"/>
  <c r="C162" i="17" a="1"/>
  <c r="C162" i="17" s="1"/>
  <c r="C158" i="17" a="1"/>
  <c r="C158" i="17" s="1"/>
  <c r="C154" i="17" a="1"/>
  <c r="C154" i="17" s="1"/>
  <c r="C150" i="17" a="1"/>
  <c r="C150" i="17" s="1"/>
  <c r="C146" i="17" a="1"/>
  <c r="C146" i="17" s="1"/>
  <c r="C142" i="17" a="1"/>
  <c r="C142" i="17" s="1"/>
  <c r="C138" i="17" a="1"/>
  <c r="C138" i="17" s="1"/>
  <c r="C134" i="17" a="1"/>
  <c r="C134" i="17" s="1"/>
  <c r="C130" i="17" a="1"/>
  <c r="C130" i="17" s="1"/>
  <c r="C126" i="17" a="1"/>
  <c r="C126" i="17" s="1"/>
  <c r="B116" i="17" a="1"/>
  <c r="B116" i="17" s="1"/>
  <c r="D116" i="17" a="1"/>
  <c r="D116" i="17" s="1"/>
  <c r="D110" i="17" a="1"/>
  <c r="D110" i="17" s="1"/>
  <c r="B101" i="17" a="1"/>
  <c r="B101" i="17" s="1"/>
  <c r="D101" i="17" a="1"/>
  <c r="D101" i="17" s="1"/>
  <c r="C101" i="17" a="1"/>
  <c r="C101" i="17" s="1"/>
  <c r="B85" i="17" a="1"/>
  <c r="B85" i="17" s="1"/>
  <c r="D85" i="17" a="1"/>
  <c r="D85" i="17" s="1"/>
  <c r="C85" i="17" a="1"/>
  <c r="C85" i="17" s="1"/>
  <c r="B79" i="17" a="1"/>
  <c r="B79" i="17" s="1"/>
  <c r="D79" i="17" a="1"/>
  <c r="D79" i="17" s="1"/>
  <c r="C79" i="17" a="1"/>
  <c r="C79" i="17" s="1"/>
  <c r="C77" i="17" a="1"/>
  <c r="C77" i="17" s="1"/>
  <c r="B77" i="17" a="1"/>
  <c r="B77" i="17" s="1"/>
  <c r="D153" i="16" a="1"/>
  <c r="D153" i="16" s="1"/>
  <c r="E69" i="16" a="1"/>
  <c r="E69" i="16" s="1"/>
  <c r="B66" i="16" a="1"/>
  <c r="B66" i="16" s="1"/>
  <c r="D52" i="16" a="1"/>
  <c r="D52" i="16" s="1"/>
  <c r="E33" i="16" a="1"/>
  <c r="E33" i="16" s="1"/>
  <c r="E25" i="16" a="1"/>
  <c r="E25" i="16" s="1"/>
  <c r="E23" i="16" a="1"/>
  <c r="E23" i="16" s="1"/>
  <c r="D21" i="16" a="1"/>
  <c r="D21" i="16" s="1"/>
  <c r="B19" i="16" a="1"/>
  <c r="B19" i="16" s="1"/>
  <c r="E16" i="16" a="1"/>
  <c r="E16" i="16" s="1"/>
  <c r="B13" i="16" a="1"/>
  <c r="B13" i="16" s="1"/>
  <c r="D7" i="16" a="1"/>
  <c r="D7" i="16" s="1"/>
  <c r="D161" i="17" a="1"/>
  <c r="D161" i="17" s="1"/>
  <c r="D157" i="17" a="1"/>
  <c r="D157" i="17" s="1"/>
  <c r="D153" i="17" a="1"/>
  <c r="D153" i="17" s="1"/>
  <c r="D149" i="17" a="1"/>
  <c r="D149" i="17" s="1"/>
  <c r="D145" i="17" a="1"/>
  <c r="D145" i="17" s="1"/>
  <c r="D141" i="17" a="1"/>
  <c r="D141" i="17" s="1"/>
  <c r="D137" i="17" a="1"/>
  <c r="D137" i="17" s="1"/>
  <c r="D133" i="17" a="1"/>
  <c r="D133" i="17" s="1"/>
  <c r="D129" i="17" a="1"/>
  <c r="D129" i="17" s="1"/>
  <c r="D125" i="17" a="1"/>
  <c r="D125" i="17" s="1"/>
  <c r="B118" i="17" a="1"/>
  <c r="B118" i="17" s="1"/>
  <c r="C117" i="17" a="1"/>
  <c r="C117" i="17" s="1"/>
  <c r="B114" i="17" a="1"/>
  <c r="B114" i="17" s="1"/>
  <c r="B113" i="17" a="1"/>
  <c r="B113" i="17" s="1"/>
  <c r="D113" i="17" a="1"/>
  <c r="D113" i="17" s="1"/>
  <c r="D106" i="17" a="1"/>
  <c r="D106" i="17" s="1"/>
  <c r="B97" i="17" a="1"/>
  <c r="B97" i="17" s="1"/>
  <c r="D97" i="17" a="1"/>
  <c r="D97" i="17" s="1"/>
  <c r="C97" i="17" a="1"/>
  <c r="C97" i="17" s="1"/>
  <c r="B71" i="17" a="1"/>
  <c r="B71" i="17" s="1"/>
  <c r="D71" i="17" a="1"/>
  <c r="D71" i="17" s="1"/>
  <c r="C71" i="17" a="1"/>
  <c r="C71" i="17" s="1"/>
  <c r="C69" i="17" a="1"/>
  <c r="C69" i="17" s="1"/>
  <c r="B69" i="17" a="1"/>
  <c r="B69" i="17" s="1"/>
  <c r="C164" i="16" a="1"/>
  <c r="C164" i="16" s="1"/>
  <c r="B161" i="16" a="1"/>
  <c r="B161" i="16" s="1"/>
  <c r="D155" i="16" a="1"/>
  <c r="D155" i="16" s="1"/>
  <c r="B153" i="16" a="1"/>
  <c r="B153" i="16" s="1"/>
  <c r="D133" i="16" a="1"/>
  <c r="D133" i="16" s="1"/>
  <c r="B130" i="16" a="1"/>
  <c r="B130" i="16" s="1"/>
  <c r="C108" i="16" a="1"/>
  <c r="C108" i="16" s="1"/>
  <c r="D102" i="16" a="1"/>
  <c r="D102" i="16" s="1"/>
  <c r="D93" i="16" a="1"/>
  <c r="D93" i="16" s="1"/>
  <c r="D81" i="16" a="1"/>
  <c r="D81" i="16" s="1"/>
  <c r="E27" i="16" a="1"/>
  <c r="E27" i="16" s="1"/>
  <c r="B23" i="16" a="1"/>
  <c r="B23" i="16" s="1"/>
  <c r="D162" i="17" a="1"/>
  <c r="D162" i="17" s="1"/>
  <c r="D158" i="17" a="1"/>
  <c r="D158" i="17" s="1"/>
  <c r="D154" i="17" a="1"/>
  <c r="D154" i="17" s="1"/>
  <c r="D150" i="17" a="1"/>
  <c r="D150" i="17" s="1"/>
  <c r="D146" i="17" a="1"/>
  <c r="D146" i="17" s="1"/>
  <c r="D142" i="17" a="1"/>
  <c r="D142" i="17" s="1"/>
  <c r="D138" i="17" a="1"/>
  <c r="D138" i="17" s="1"/>
  <c r="D134" i="17" a="1"/>
  <c r="D134" i="17" s="1"/>
  <c r="D130" i="17" a="1"/>
  <c r="D130" i="17" s="1"/>
  <c r="D126" i="17" a="1"/>
  <c r="D126" i="17" s="1"/>
  <c r="B120" i="17" a="1"/>
  <c r="B120" i="17" s="1"/>
  <c r="D120" i="17" a="1"/>
  <c r="D120" i="17" s="1"/>
  <c r="B110" i="17" a="1"/>
  <c r="B110" i="17" s="1"/>
  <c r="B109" i="17" a="1"/>
  <c r="B109" i="17" s="1"/>
  <c r="D109" i="17" a="1"/>
  <c r="D109" i="17" s="1"/>
  <c r="C105" i="17" a="1"/>
  <c r="C105" i="17" s="1"/>
  <c r="B93" i="17" a="1"/>
  <c r="B93" i="17" s="1"/>
  <c r="D93" i="17" a="1"/>
  <c r="D93" i="17" s="1"/>
  <c r="C93" i="17" a="1"/>
  <c r="C93" i="17" s="1"/>
  <c r="C68" i="17" a="1"/>
  <c r="C68" i="17" s="1"/>
  <c r="B68" i="17" a="1"/>
  <c r="B68" i="17" s="1"/>
  <c r="D68" i="17" a="1"/>
  <c r="D68" i="17" s="1"/>
  <c r="C60" i="17" a="1"/>
  <c r="C60" i="17" s="1"/>
  <c r="B60" i="17" a="1"/>
  <c r="B60" i="17" s="1"/>
  <c r="D60" i="17" a="1"/>
  <c r="D60" i="17" s="1"/>
  <c r="B63" i="17" a="1"/>
  <c r="B63" i="17" s="1"/>
  <c r="D63" i="17" a="1"/>
  <c r="D63" i="17" s="1"/>
  <c r="B44" i="17" a="1"/>
  <c r="B44" i="17" s="1"/>
  <c r="D44" i="17" a="1"/>
  <c r="D44" i="17" s="1"/>
  <c r="C44" i="17" a="1"/>
  <c r="C44" i="17" s="1"/>
  <c r="C42" i="17" a="1"/>
  <c r="C42" i="17" s="1"/>
  <c r="B42" i="17" a="1"/>
  <c r="B42" i="17" s="1"/>
  <c r="B28" i="17" a="1"/>
  <c r="B28" i="17" s="1"/>
  <c r="D28" i="17" a="1"/>
  <c r="D28" i="17" s="1"/>
  <c r="C28" i="17" a="1"/>
  <c r="C28" i="17" s="1"/>
  <c r="C26" i="17" a="1"/>
  <c r="C26" i="17" s="1"/>
  <c r="B26" i="17" a="1"/>
  <c r="B26" i="17" s="1"/>
  <c r="B12" i="17" a="1"/>
  <c r="B12" i="17" s="1"/>
  <c r="D12" i="17" a="1"/>
  <c r="D12" i="17" s="1"/>
  <c r="C12" i="17" a="1"/>
  <c r="C12" i="17" s="1"/>
  <c r="C10" i="17" a="1"/>
  <c r="C10" i="17" s="1"/>
  <c r="B10" i="17" a="1"/>
  <c r="B10" i="17" s="1"/>
  <c r="D112" i="17" a="1"/>
  <c r="D112" i="17" s="1"/>
  <c r="D108" i="17" a="1"/>
  <c r="D108" i="17" s="1"/>
  <c r="D104" i="17" a="1"/>
  <c r="D104" i="17" s="1"/>
  <c r="D100" i="17" a="1"/>
  <c r="D100" i="17" s="1"/>
  <c r="D96" i="17" a="1"/>
  <c r="D96" i="17" s="1"/>
  <c r="D92" i="17" a="1"/>
  <c r="D92" i="17" s="1"/>
  <c r="D88" i="17" a="1"/>
  <c r="D88" i="17" s="1"/>
  <c r="D84" i="17" a="1"/>
  <c r="D84" i="17" s="1"/>
  <c r="B75" i="17" a="1"/>
  <c r="B75" i="17" s="1"/>
  <c r="D75" i="17" a="1"/>
  <c r="D75" i="17" s="1"/>
  <c r="B52" i="17" a="1"/>
  <c r="B52" i="17" s="1"/>
  <c r="D52" i="17" a="1"/>
  <c r="D52" i="17" s="1"/>
  <c r="C52" i="17" a="1"/>
  <c r="C52" i="17" s="1"/>
  <c r="B67" i="17" a="1"/>
  <c r="B67" i="17" s="1"/>
  <c r="D67" i="17" a="1"/>
  <c r="D67" i="17" s="1"/>
  <c r="B59" i="17" a="1"/>
  <c r="B59" i="17" s="1"/>
  <c r="D59" i="17" a="1"/>
  <c r="D59" i="17" s="1"/>
  <c r="D57" i="17" a="1"/>
  <c r="D57" i="17" s="1"/>
  <c r="C50" i="17" a="1"/>
  <c r="C50" i="17" s="1"/>
  <c r="B50" i="17" a="1"/>
  <c r="B50" i="17" s="1"/>
  <c r="B36" i="17" a="1"/>
  <c r="B36" i="17" s="1"/>
  <c r="D36" i="17" a="1"/>
  <c r="D36" i="17" s="1"/>
  <c r="C36" i="17" a="1"/>
  <c r="C36" i="17" s="1"/>
  <c r="C34" i="17" a="1"/>
  <c r="C34" i="17" s="1"/>
  <c r="B34" i="17" a="1"/>
  <c r="B34" i="17" s="1"/>
  <c r="B20" i="17" a="1"/>
  <c r="B20" i="17" s="1"/>
  <c r="D20" i="17" a="1"/>
  <c r="D20" i="17" s="1"/>
  <c r="C20" i="17" a="1"/>
  <c r="C20" i="17" s="1"/>
  <c r="C18" i="17" a="1"/>
  <c r="C18" i="17" s="1"/>
  <c r="B18" i="17" a="1"/>
  <c r="B18" i="17" s="1"/>
  <c r="C5" i="17" a="1"/>
  <c r="C5" i="17" s="1"/>
  <c r="B5" i="17" a="1"/>
  <c r="B5" i="17" s="1"/>
  <c r="P5" i="17"/>
  <c r="B56" i="17" a="1"/>
  <c r="B56" i="17" s="1"/>
  <c r="D56" i="17" a="1"/>
  <c r="D56" i="17" s="1"/>
  <c r="B48" i="17" a="1"/>
  <c r="B48" i="17" s="1"/>
  <c r="D48" i="17" a="1"/>
  <c r="D48" i="17" s="1"/>
  <c r="B40" i="17" a="1"/>
  <c r="B40" i="17" s="1"/>
  <c r="D40" i="17" a="1"/>
  <c r="D40" i="17" s="1"/>
  <c r="B32" i="17" a="1"/>
  <c r="B32" i="17" s="1"/>
  <c r="D32" i="17" a="1"/>
  <c r="D32" i="17" s="1"/>
  <c r="B24" i="17" a="1"/>
  <c r="B24" i="17" s="1"/>
  <c r="D24" i="17" a="1"/>
  <c r="D24" i="17" s="1"/>
  <c r="B16" i="17" a="1"/>
  <c r="B16" i="17" s="1"/>
  <c r="D16" i="17" a="1"/>
  <c r="D16" i="17" s="1"/>
  <c r="B8" i="17" a="1"/>
  <c r="B8" i="17" s="1"/>
  <c r="D8" i="17" a="1"/>
  <c r="D8" i="17" s="1"/>
  <c r="D3" i="17" a="1"/>
  <c r="D3" i="17" s="1"/>
  <c r="D2" i="17" a="1"/>
  <c r="D2" i="17" s="1"/>
  <c r="E105" i="16" a="1"/>
  <c r="E105" i="16" s="1"/>
  <c r="D33" i="16" a="1"/>
  <c r="D33" i="16" s="1"/>
  <c r="E8" i="16" a="1"/>
  <c r="E8" i="16" s="1"/>
  <c r="D158" i="16" a="1"/>
  <c r="D158" i="16" s="1"/>
  <c r="D154" i="16" a="1"/>
  <c r="D154" i="16" s="1"/>
  <c r="D105" i="16" a="1"/>
  <c r="D105" i="16" s="1"/>
  <c r="D101" i="16" a="1"/>
  <c r="D101" i="16" s="1"/>
  <c r="D99" i="16" a="1"/>
  <c r="D99" i="16" s="1"/>
  <c r="E92" i="16" a="1"/>
  <c r="E92" i="16" s="1"/>
  <c r="E73" i="16" a="1"/>
  <c r="E73" i="16" s="1"/>
  <c r="D62" i="16" a="1"/>
  <c r="D62" i="16" s="1"/>
  <c r="E53" i="16" a="1"/>
  <c r="E53" i="16" s="1"/>
  <c r="E51" i="16" a="1"/>
  <c r="E51" i="16" s="1"/>
  <c r="C33" i="16" a="1"/>
  <c r="C33" i="16" s="1"/>
  <c r="E9" i="16" a="1"/>
  <c r="E9" i="16" s="1"/>
  <c r="E163" i="16" a="1"/>
  <c r="E163" i="16" s="1"/>
  <c r="B154" i="16" a="1"/>
  <c r="B154" i="16" s="1"/>
  <c r="D149" i="16" a="1"/>
  <c r="D149" i="16" s="1"/>
  <c r="D141" i="16" a="1"/>
  <c r="D141" i="16" s="1"/>
  <c r="B138" i="16" a="1"/>
  <c r="B138" i="16" s="1"/>
  <c r="E125" i="16" a="1"/>
  <c r="E125" i="16" s="1"/>
  <c r="B122" i="16" a="1"/>
  <c r="B122" i="16" s="1"/>
  <c r="B118" i="16" a="1"/>
  <c r="B118" i="16" s="1"/>
  <c r="B105" i="16" a="1"/>
  <c r="B105" i="16" s="1"/>
  <c r="C101" i="16" a="1"/>
  <c r="C101" i="16" s="1"/>
  <c r="E93" i="16" a="1"/>
  <c r="E93" i="16" s="1"/>
  <c r="C89" i="16" a="1"/>
  <c r="C89" i="16" s="1"/>
  <c r="B73" i="16" a="1"/>
  <c r="B73" i="16" s="1"/>
  <c r="D70" i="16" a="1"/>
  <c r="D70" i="16" s="1"/>
  <c r="D55" i="16" a="1"/>
  <c r="D55" i="16" s="1"/>
  <c r="C51" i="16" a="1"/>
  <c r="C51" i="16" s="1"/>
  <c r="E49" i="16" a="1"/>
  <c r="E49" i="16" s="1"/>
  <c r="C37" i="16" a="1"/>
  <c r="C37" i="16" s="1"/>
  <c r="D9" i="16" a="1"/>
  <c r="D9" i="16" s="1"/>
  <c r="D121" i="16" a="1"/>
  <c r="D121" i="16" s="1"/>
  <c r="E15" i="16" a="1"/>
  <c r="E15" i="16" s="1"/>
  <c r="E159" i="16" a="1"/>
  <c r="E159" i="16" s="1"/>
  <c r="D157" i="16" a="1"/>
  <c r="D157" i="16" s="1"/>
  <c r="C149" i="16" a="1"/>
  <c r="C149" i="16" s="1"/>
  <c r="D125" i="16" a="1"/>
  <c r="D125" i="16" s="1"/>
  <c r="E124" i="16" a="1"/>
  <c r="E124" i="16" s="1"/>
  <c r="E115" i="16" a="1"/>
  <c r="E115" i="16" s="1"/>
  <c r="E109" i="16" a="1"/>
  <c r="E109" i="16" s="1"/>
  <c r="C81" i="16" a="1"/>
  <c r="C81" i="16" s="1"/>
  <c r="E80" i="16" a="1"/>
  <c r="E80" i="16" s="1"/>
  <c r="D74" i="16" a="1"/>
  <c r="D74" i="16" s="1"/>
  <c r="D53" i="16" a="1"/>
  <c r="D53" i="16" s="1"/>
  <c r="D49" i="16" a="1"/>
  <c r="D49" i="16" s="1"/>
  <c r="E39" i="16" a="1"/>
  <c r="E39" i="16" s="1"/>
  <c r="D15" i="16" a="1"/>
  <c r="D15" i="16" s="1"/>
  <c r="C121" i="16" a="1"/>
  <c r="C121" i="16" s="1"/>
  <c r="C159" i="16" a="1"/>
  <c r="C159" i="16" s="1"/>
  <c r="C157" i="16" a="1"/>
  <c r="C157" i="16" s="1"/>
  <c r="E149" i="16" a="1"/>
  <c r="E149" i="16" s="1"/>
  <c r="E123" i="16" a="1"/>
  <c r="E123" i="16" s="1"/>
  <c r="D117" i="16" a="1"/>
  <c r="D117" i="16" s="1"/>
  <c r="D115" i="16" a="1"/>
  <c r="D115" i="16" s="1"/>
  <c r="D114" i="16" a="1"/>
  <c r="D114" i="16" s="1"/>
  <c r="B113" i="16" a="1"/>
  <c r="B113" i="16" s="1"/>
  <c r="B106" i="16" a="1"/>
  <c r="B106" i="16" s="1"/>
  <c r="D103" i="16" a="1"/>
  <c r="D103" i="16" s="1"/>
  <c r="C99" i="16" a="1"/>
  <c r="C99" i="16" s="1"/>
  <c r="B93" i="16" a="1"/>
  <c r="B93" i="16" s="1"/>
  <c r="E88" i="16" a="1"/>
  <c r="E88" i="16" s="1"/>
  <c r="D85" i="16" a="1"/>
  <c r="D85" i="16" s="1"/>
  <c r="E81" i="16" a="1"/>
  <c r="E81" i="16" s="1"/>
  <c r="C77" i="16" a="1"/>
  <c r="C77" i="16" s="1"/>
  <c r="C72" i="16" a="1"/>
  <c r="C72" i="16" s="1"/>
  <c r="B70" i="16" a="1"/>
  <c r="B70" i="16" s="1"/>
  <c r="D69" i="16" a="1"/>
  <c r="D69" i="16" s="1"/>
  <c r="B62" i="16" a="1"/>
  <c r="B62" i="16" s="1"/>
  <c r="D56" i="16" a="1"/>
  <c r="D56" i="16" s="1"/>
  <c r="C53" i="16" a="1"/>
  <c r="C53" i="16" s="1"/>
  <c r="C49" i="16" a="1"/>
  <c r="C49" i="16" s="1"/>
  <c r="E45" i="16" a="1"/>
  <c r="E45" i="16" s="1"/>
  <c r="C41" i="16" a="1"/>
  <c r="C41" i="16" s="1"/>
  <c r="D39" i="16" a="1"/>
  <c r="D39" i="16" s="1"/>
  <c r="E36" i="16" a="1"/>
  <c r="E36" i="16" s="1"/>
  <c r="C29" i="16" a="1"/>
  <c r="C29" i="16" s="1"/>
  <c r="D25" i="16" a="1"/>
  <c r="D25" i="16" s="1"/>
  <c r="E24" i="16" a="1"/>
  <c r="E24" i="16" s="1"/>
  <c r="D23" i="16" a="1"/>
  <c r="D23" i="16" s="1"/>
  <c r="D22" i="16" a="1"/>
  <c r="D22" i="16" s="1"/>
  <c r="C21" i="16" a="1"/>
  <c r="C21" i="16" s="1"/>
  <c r="D19" i="16" a="1"/>
  <c r="D19" i="16" s="1"/>
  <c r="C15" i="16" a="1"/>
  <c r="C15" i="16" s="1"/>
  <c r="E13" i="16" a="1"/>
  <c r="E13" i="16" s="1"/>
  <c r="B9" i="16" a="1"/>
  <c r="B9" i="16" s="1"/>
  <c r="B162" i="16" a="1"/>
  <c r="B162" i="16" s="1"/>
  <c r="B159" i="16" a="1"/>
  <c r="B159" i="16" s="1"/>
  <c r="D145" i="16" a="1"/>
  <c r="D145" i="16" s="1"/>
  <c r="B142" i="16" a="1"/>
  <c r="B142" i="16" s="1"/>
  <c r="D137" i="16" a="1"/>
  <c r="D137" i="16" s="1"/>
  <c r="B134" i="16" a="1"/>
  <c r="B134" i="16" s="1"/>
  <c r="D129" i="16" a="1"/>
  <c r="D129" i="16" s="1"/>
  <c r="B125" i="16" a="1"/>
  <c r="B125" i="16" s="1"/>
  <c r="B123" i="16" a="1"/>
  <c r="B123" i="16" s="1"/>
  <c r="E121" i="16" a="1"/>
  <c r="E121" i="16" s="1"/>
  <c r="C115" i="16" a="1"/>
  <c r="C115" i="16" s="1"/>
  <c r="D110" i="16" a="1"/>
  <c r="D110" i="16" s="1"/>
  <c r="B109" i="16" a="1"/>
  <c r="B109" i="16" s="1"/>
  <c r="C103" i="16" a="1"/>
  <c r="C103" i="16" s="1"/>
  <c r="E100" i="16" a="1"/>
  <c r="E100" i="16" s="1"/>
  <c r="D89" i="16" a="1"/>
  <c r="D89" i="16" s="1"/>
  <c r="C85" i="16" a="1"/>
  <c r="C85" i="16" s="1"/>
  <c r="B74" i="16" a="1"/>
  <c r="B74" i="16" s="1"/>
  <c r="D73" i="16" a="1"/>
  <c r="D73" i="16" s="1"/>
  <c r="B69" i="16" a="1"/>
  <c r="B69" i="16" s="1"/>
  <c r="D45" i="16" a="1"/>
  <c r="D45" i="16" s="1"/>
  <c r="C39" i="16" a="1"/>
  <c r="C39" i="16" s="1"/>
  <c r="D37" i="16" a="1"/>
  <c r="D37" i="16" s="1"/>
  <c r="C25" i="16" a="1"/>
  <c r="C25" i="16" s="1"/>
  <c r="D13" i="16" a="1"/>
  <c r="D13" i="16" s="1"/>
  <c r="E7" i="16" a="1"/>
  <c r="E7" i="16" s="1"/>
  <c r="B65" i="16" a="1"/>
  <c r="B65" i="16" s="1"/>
  <c r="E65" i="16" a="1"/>
  <c r="E65" i="16" s="1"/>
  <c r="C65" i="16" a="1"/>
  <c r="C65" i="16" s="1"/>
  <c r="B57" i="16" a="1"/>
  <c r="B57" i="16" s="1"/>
  <c r="E57" i="16" a="1"/>
  <c r="E57" i="16" s="1"/>
  <c r="C57" i="16" a="1"/>
  <c r="C57" i="16" s="1"/>
  <c r="B47" i="16" a="1"/>
  <c r="B47" i="16" s="1"/>
  <c r="E47" i="16" a="1"/>
  <c r="E47" i="16" s="1"/>
  <c r="C47" i="16" a="1"/>
  <c r="C47" i="16" s="1"/>
  <c r="D47" i="16" a="1"/>
  <c r="D47" i="16" s="1"/>
  <c r="B11" i="16" a="1"/>
  <c r="B11" i="16" s="1"/>
  <c r="C11" i="16" a="1"/>
  <c r="C11" i="16" s="1"/>
  <c r="D11" i="16" a="1"/>
  <c r="D11" i="16" s="1"/>
  <c r="E160" i="16" a="1"/>
  <c r="E160" i="16" s="1"/>
  <c r="E156" i="16" a="1"/>
  <c r="E156" i="16" s="1"/>
  <c r="D150" i="16" a="1"/>
  <c r="D150" i="16" s="1"/>
  <c r="C145" i="16" a="1"/>
  <c r="C145" i="16" s="1"/>
  <c r="C141" i="16" a="1"/>
  <c r="C141" i="16" s="1"/>
  <c r="C137" i="16" a="1"/>
  <c r="C137" i="16" s="1"/>
  <c r="C133" i="16" a="1"/>
  <c r="C133" i="16" s="1"/>
  <c r="C129" i="16" a="1"/>
  <c r="C129" i="16" s="1"/>
  <c r="E120" i="16" a="1"/>
  <c r="E120" i="16" s="1"/>
  <c r="C117" i="16" a="1"/>
  <c r="C117" i="16" s="1"/>
  <c r="B91" i="16" a="1"/>
  <c r="B91" i="16" s="1"/>
  <c r="C91" i="16" a="1"/>
  <c r="C91" i="16" s="1"/>
  <c r="D91" i="16" a="1"/>
  <c r="D91" i="16" s="1"/>
  <c r="C86" i="16" a="1"/>
  <c r="C86" i="16" s="1"/>
  <c r="B86" i="16" a="1"/>
  <c r="B86" i="16" s="1"/>
  <c r="D86" i="16" a="1"/>
  <c r="D86" i="16" s="1"/>
  <c r="C64" i="16" a="1"/>
  <c r="C64" i="16" s="1"/>
  <c r="E64" i="16" a="1"/>
  <c r="E64" i="16" s="1"/>
  <c r="C20" i="16" a="1"/>
  <c r="C20" i="16" s="1"/>
  <c r="E20" i="16" a="1"/>
  <c r="E20" i="16" s="1"/>
  <c r="B17" i="16" a="1"/>
  <c r="B17" i="16" s="1"/>
  <c r="E17" i="16" a="1"/>
  <c r="E17" i="16" s="1"/>
  <c r="C17" i="16" a="1"/>
  <c r="C17" i="16" s="1"/>
  <c r="D163" i="16" a="1"/>
  <c r="D163" i="16" s="1"/>
  <c r="C153" i="16" a="1"/>
  <c r="C153" i="16" s="1"/>
  <c r="D146" i="16" a="1"/>
  <c r="D146" i="16" s="1"/>
  <c r="E145" i="16" a="1"/>
  <c r="E145" i="16" s="1"/>
  <c r="D143" i="16" a="1"/>
  <c r="D143" i="16" s="1"/>
  <c r="D142" i="16" a="1"/>
  <c r="D142" i="16" s="1"/>
  <c r="E141" i="16" a="1"/>
  <c r="E141" i="16" s="1"/>
  <c r="D139" i="16" a="1"/>
  <c r="D139" i="16" s="1"/>
  <c r="D138" i="16" a="1"/>
  <c r="D138" i="16" s="1"/>
  <c r="E137" i="16" a="1"/>
  <c r="E137" i="16" s="1"/>
  <c r="D135" i="16" a="1"/>
  <c r="D135" i="16" s="1"/>
  <c r="D134" i="16" a="1"/>
  <c r="D134" i="16" s="1"/>
  <c r="E133" i="16" a="1"/>
  <c r="E133" i="16" s="1"/>
  <c r="D131" i="16" a="1"/>
  <c r="D131" i="16" s="1"/>
  <c r="D130" i="16" a="1"/>
  <c r="D130" i="16" s="1"/>
  <c r="E129" i="16" a="1"/>
  <c r="E129" i="16" s="1"/>
  <c r="D127" i="16" a="1"/>
  <c r="D127" i="16" s="1"/>
  <c r="D126" i="16" a="1"/>
  <c r="D126" i="16" s="1"/>
  <c r="D123" i="16" a="1"/>
  <c r="D123" i="16" s="1"/>
  <c r="D113" i="16" a="1"/>
  <c r="D113" i="16" s="1"/>
  <c r="E112" i="16" a="1"/>
  <c r="E112" i="16" s="1"/>
  <c r="B111" i="16" a="1"/>
  <c r="B111" i="16" s="1"/>
  <c r="C111" i="16" a="1"/>
  <c r="C111" i="16" s="1"/>
  <c r="C90" i="16" a="1"/>
  <c r="C90" i="16" s="1"/>
  <c r="B90" i="16" a="1"/>
  <c r="B90" i="16" s="1"/>
  <c r="D90" i="16" a="1"/>
  <c r="D90" i="16" s="1"/>
  <c r="B44" i="16" a="1"/>
  <c r="B44" i="16" s="1"/>
  <c r="D44" i="16" a="1"/>
  <c r="D44" i="16" s="1"/>
  <c r="C40" i="16" a="1"/>
  <c r="C40" i="16" s="1"/>
  <c r="E40" i="16" a="1"/>
  <c r="E40" i="16" s="1"/>
  <c r="B4" i="16" a="1"/>
  <c r="B4" i="16" s="1"/>
  <c r="E4" i="16" a="1"/>
  <c r="E4" i="16" s="1"/>
  <c r="C4" i="16" a="1"/>
  <c r="C4" i="16" s="1"/>
  <c r="D4" i="16" a="1"/>
  <c r="D4" i="16" s="1"/>
  <c r="C96" i="16" a="1"/>
  <c r="C96" i="16" s="1"/>
  <c r="E96" i="16" a="1"/>
  <c r="E96" i="16" s="1"/>
  <c r="B150" i="16" a="1"/>
  <c r="B150" i="16" s="1"/>
  <c r="D147" i="16" a="1"/>
  <c r="D147" i="16" s="1"/>
  <c r="B143" i="16" a="1"/>
  <c r="B143" i="16" s="1"/>
  <c r="B139" i="16" a="1"/>
  <c r="B139" i="16" s="1"/>
  <c r="B135" i="16" a="1"/>
  <c r="B135" i="16" s="1"/>
  <c r="B131" i="16" a="1"/>
  <c r="B131" i="16" s="1"/>
  <c r="B127" i="16" a="1"/>
  <c r="B127" i="16" s="1"/>
  <c r="B126" i="16" a="1"/>
  <c r="B126" i="16" s="1"/>
  <c r="E117" i="16" a="1"/>
  <c r="E117" i="16" s="1"/>
  <c r="C116" i="16" a="1"/>
  <c r="C116" i="16" s="1"/>
  <c r="D109" i="16" a="1"/>
  <c r="D109" i="16" s="1"/>
  <c r="B107" i="16" a="1"/>
  <c r="B107" i="16" s="1"/>
  <c r="D107" i="16" a="1"/>
  <c r="D107" i="16" s="1"/>
  <c r="B97" i="16" a="1"/>
  <c r="B97" i="16" s="1"/>
  <c r="E97" i="16" a="1"/>
  <c r="E97" i="16" s="1"/>
  <c r="C97" i="16" a="1"/>
  <c r="C97" i="16" s="1"/>
  <c r="D65" i="16" a="1"/>
  <c r="D65" i="16" s="1"/>
  <c r="B61" i="16" a="1"/>
  <c r="B61" i="16" s="1"/>
  <c r="E61" i="16" a="1"/>
  <c r="E61" i="16" s="1"/>
  <c r="C61" i="16" a="1"/>
  <c r="C61" i="16" s="1"/>
  <c r="D57" i="16" a="1"/>
  <c r="D57" i="16" s="1"/>
  <c r="D35" i="16" a="1"/>
  <c r="D35" i="16" s="1"/>
  <c r="B35" i="16" a="1"/>
  <c r="B35" i="16" s="1"/>
  <c r="C35" i="16" a="1"/>
  <c r="C35" i="16" s="1"/>
  <c r="E35" i="16" a="1"/>
  <c r="E35" i="16" s="1"/>
  <c r="E11" i="16" a="1"/>
  <c r="E11" i="16" s="1"/>
  <c r="D95" i="16" a="1"/>
  <c r="D95" i="16" s="1"/>
  <c r="D94" i="16" a="1"/>
  <c r="D94" i="16" s="1"/>
  <c r="E89" i="16" a="1"/>
  <c r="E89" i="16" s="1"/>
  <c r="E85" i="16" a="1"/>
  <c r="E85" i="16" s="1"/>
  <c r="D78" i="16" a="1"/>
  <c r="D78" i="16" s="1"/>
  <c r="C55" i="16" a="1"/>
  <c r="C55" i="16" s="1"/>
  <c r="C45" i="16" a="1"/>
  <c r="C45" i="16" s="1"/>
  <c r="D34" i="16" a="1"/>
  <c r="D34" i="16" s="1"/>
  <c r="E28" i="16" a="1"/>
  <c r="E28" i="16" s="1"/>
  <c r="D10" i="16" a="1"/>
  <c r="D10" i="16" s="1"/>
  <c r="C7" i="16" a="1"/>
  <c r="C7" i="16" s="1"/>
  <c r="D6" i="16" a="1"/>
  <c r="D6" i="16" s="1"/>
  <c r="E2" i="16" a="1"/>
  <c r="E2" i="16" s="1"/>
  <c r="E101" i="16" a="1"/>
  <c r="E101" i="16" s="1"/>
  <c r="C95" i="16" a="1"/>
  <c r="C95" i="16" s="1"/>
  <c r="B82" i="16" a="1"/>
  <c r="B82" i="16" s="1"/>
  <c r="B78" i="16" a="1"/>
  <c r="B78" i="16" s="1"/>
  <c r="D66" i="16" a="1"/>
  <c r="D66" i="16" s="1"/>
  <c r="E55" i="16" a="1"/>
  <c r="E55" i="16" s="1"/>
  <c r="E41" i="16" a="1"/>
  <c r="E41" i="16" s="1"/>
  <c r="E37" i="16" a="1"/>
  <c r="E37" i="16" s="1"/>
  <c r="E29" i="16" a="1"/>
  <c r="E29" i="16" s="1"/>
  <c r="E21" i="16" a="1"/>
  <c r="E21" i="16" s="1"/>
  <c r="C2" i="16" a="1"/>
  <c r="C2" i="16" s="1"/>
  <c r="F172" i="16"/>
  <c r="G172" i="16" s="1"/>
  <c r="F189" i="16"/>
  <c r="F191" i="16"/>
  <c r="G191" i="16" s="1"/>
  <c r="F180" i="16"/>
  <c r="F182" i="16"/>
  <c r="G182" i="16" s="1"/>
  <c r="F171" i="16"/>
  <c r="F173" i="16"/>
  <c r="G173" i="16" s="1"/>
  <c r="F190" i="16"/>
  <c r="G190" i="16" s="1"/>
  <c r="F181" i="16"/>
  <c r="G181" i="16" s="1"/>
  <c r="U172" i="16"/>
  <c r="V172" i="16" s="1"/>
  <c r="U189" i="16"/>
  <c r="U191" i="16"/>
  <c r="V191" i="16" s="1"/>
  <c r="U180" i="16"/>
  <c r="U182" i="16"/>
  <c r="V182" i="16" s="1"/>
  <c r="U171" i="16"/>
  <c r="U173" i="16"/>
  <c r="V173" i="16" s="1"/>
  <c r="U190" i="16"/>
  <c r="V190" i="16" s="1"/>
  <c r="U181" i="16"/>
  <c r="V181" i="16" s="1"/>
  <c r="L171" i="16"/>
  <c r="K191" i="16"/>
  <c r="L191" i="16" s="1"/>
  <c r="K189" i="16"/>
  <c r="K172" i="16"/>
  <c r="L172" i="16" s="1"/>
  <c r="C162" i="16" a="1"/>
  <c r="C162" i="16" s="1"/>
  <c r="E162" i="16" a="1"/>
  <c r="E162" i="16" s="1"/>
  <c r="C158" i="16" a="1"/>
  <c r="C158" i="16" s="1"/>
  <c r="E158" i="16" a="1"/>
  <c r="E158" i="16" s="1"/>
  <c r="C151" i="16" a="1"/>
  <c r="C151" i="16" s="1"/>
  <c r="E151" i="16" a="1"/>
  <c r="E151" i="16" s="1"/>
  <c r="C71" i="16" a="1"/>
  <c r="C71" i="16" s="1"/>
  <c r="E71" i="16" a="1"/>
  <c r="E71" i="16" s="1"/>
  <c r="B71" i="16" a="1"/>
  <c r="B71" i="16" s="1"/>
  <c r="D71" i="16" a="1"/>
  <c r="D71" i="16" s="1"/>
  <c r="B152" i="16" a="1"/>
  <c r="B152" i="16" s="1"/>
  <c r="D152" i="16" a="1"/>
  <c r="D152" i="16" s="1"/>
  <c r="B140" i="16" a="1"/>
  <c r="B140" i="16" s="1"/>
  <c r="D140" i="16" a="1"/>
  <c r="D140" i="16" s="1"/>
  <c r="C140" i="16" a="1"/>
  <c r="C140" i="16" s="1"/>
  <c r="E140" i="16" a="1"/>
  <c r="E140" i="16" s="1"/>
  <c r="B132" i="16" a="1"/>
  <c r="B132" i="16" s="1"/>
  <c r="D132" i="16" a="1"/>
  <c r="D132" i="16" s="1"/>
  <c r="C132" i="16" a="1"/>
  <c r="C132" i="16" s="1"/>
  <c r="E132" i="16" a="1"/>
  <c r="E132" i="16" s="1"/>
  <c r="C79" i="16" a="1"/>
  <c r="C79" i="16" s="1"/>
  <c r="E79" i="16" a="1"/>
  <c r="E79" i="16" s="1"/>
  <c r="B79" i="16" a="1"/>
  <c r="B79" i="16" s="1"/>
  <c r="D79" i="16" a="1"/>
  <c r="D79" i="16" s="1"/>
  <c r="K181" i="16"/>
  <c r="B156" i="16" a="1"/>
  <c r="B156" i="16" s="1"/>
  <c r="D156" i="16" a="1"/>
  <c r="D156" i="16" s="1"/>
  <c r="D151" i="16" a="1"/>
  <c r="D151" i="16" s="1"/>
  <c r="B148" i="16" a="1"/>
  <c r="B148" i="16" s="1"/>
  <c r="D148" i="16" a="1"/>
  <c r="D148" i="16" s="1"/>
  <c r="B144" i="16" a="1"/>
  <c r="B144" i="16" s="1"/>
  <c r="D144" i="16" a="1"/>
  <c r="D144" i="16" s="1"/>
  <c r="C144" i="16" a="1"/>
  <c r="C144" i="16" s="1"/>
  <c r="E144" i="16" a="1"/>
  <c r="E144" i="16" s="1"/>
  <c r="B136" i="16" a="1"/>
  <c r="B136" i="16" s="1"/>
  <c r="D136" i="16" a="1"/>
  <c r="D136" i="16" s="1"/>
  <c r="C136" i="16" a="1"/>
  <c r="C136" i="16" s="1"/>
  <c r="E136" i="16" a="1"/>
  <c r="E136" i="16" s="1"/>
  <c r="B128" i="16" a="1"/>
  <c r="B128" i="16" s="1"/>
  <c r="D128" i="16" a="1"/>
  <c r="D128" i="16" s="1"/>
  <c r="C128" i="16" a="1"/>
  <c r="C128" i="16" s="1"/>
  <c r="E128" i="16" a="1"/>
  <c r="E128" i="16" s="1"/>
  <c r="C63" i="16" a="1"/>
  <c r="C63" i="16" s="1"/>
  <c r="E63" i="16" a="1"/>
  <c r="E63" i="16" s="1"/>
  <c r="B63" i="16" a="1"/>
  <c r="B63" i="16" s="1"/>
  <c r="D63" i="16" a="1"/>
  <c r="D63" i="16" s="1"/>
  <c r="K190" i="16"/>
  <c r="L190" i="16" s="1"/>
  <c r="K173" i="16"/>
  <c r="L173" i="16" s="1"/>
  <c r="B164" i="16" a="1"/>
  <c r="B164" i="16" s="1"/>
  <c r="D164" i="16" a="1"/>
  <c r="D164" i="16" s="1"/>
  <c r="B160" i="16" a="1"/>
  <c r="B160" i="16" s="1"/>
  <c r="D160" i="16" a="1"/>
  <c r="D160" i="16" s="1"/>
  <c r="C155" i="16" a="1"/>
  <c r="C155" i="16" s="1"/>
  <c r="E155" i="16" a="1"/>
  <c r="E155" i="16" s="1"/>
  <c r="C152" i="16" a="1"/>
  <c r="C152" i="16" s="1"/>
  <c r="E148" i="16" a="1"/>
  <c r="E148" i="16" s="1"/>
  <c r="C147" i="16" a="1"/>
  <c r="C147" i="16" s="1"/>
  <c r="E147" i="16" a="1"/>
  <c r="E147" i="16" s="1"/>
  <c r="C87" i="16" a="1"/>
  <c r="C87" i="16" s="1"/>
  <c r="E87" i="16" a="1"/>
  <c r="E87" i="16" s="1"/>
  <c r="B87" i="16" a="1"/>
  <c r="B87" i="16" s="1"/>
  <c r="D87" i="16" a="1"/>
  <c r="D87" i="16" s="1"/>
  <c r="C14" i="16" a="1"/>
  <c r="C14" i="16" s="1"/>
  <c r="E14" i="16" a="1"/>
  <c r="E14" i="16" s="1"/>
  <c r="D14" i="16" a="1"/>
  <c r="D14" i="16" s="1"/>
  <c r="B14" i="16" a="1"/>
  <c r="B14" i="16" s="1"/>
  <c r="C122" i="16" a="1"/>
  <c r="C122" i="16" s="1"/>
  <c r="E122" i="16" a="1"/>
  <c r="E122" i="16" s="1"/>
  <c r="C118" i="16" a="1"/>
  <c r="C118" i="16" s="1"/>
  <c r="E118" i="16" a="1"/>
  <c r="E118" i="16" s="1"/>
  <c r="C114" i="16" a="1"/>
  <c r="C114" i="16" s="1"/>
  <c r="E114" i="16" a="1"/>
  <c r="E114" i="16" s="1"/>
  <c r="E111" i="16" a="1"/>
  <c r="E111" i="16" s="1"/>
  <c r="C110" i="16" a="1"/>
  <c r="C110" i="16" s="1"/>
  <c r="E110" i="16" a="1"/>
  <c r="E110" i="16" s="1"/>
  <c r="E107" i="16" a="1"/>
  <c r="E107" i="16" s="1"/>
  <c r="C106" i="16" a="1"/>
  <c r="C106" i="16" s="1"/>
  <c r="E106" i="16" a="1"/>
  <c r="E106" i="16" s="1"/>
  <c r="E103" i="16" a="1"/>
  <c r="E103" i="16" s="1"/>
  <c r="C102" i="16" a="1"/>
  <c r="C102" i="16" s="1"/>
  <c r="E102" i="16" a="1"/>
  <c r="E102" i="16" s="1"/>
  <c r="E99" i="16" a="1"/>
  <c r="E99" i="16" s="1"/>
  <c r="C98" i="16" a="1"/>
  <c r="C98" i="16" s="1"/>
  <c r="E98" i="16" a="1"/>
  <c r="E98" i="16" s="1"/>
  <c r="E95" i="16" a="1"/>
  <c r="E95" i="16" s="1"/>
  <c r="C94" i="16" a="1"/>
  <c r="C94" i="16" s="1"/>
  <c r="E94" i="16" a="1"/>
  <c r="E94" i="16" s="1"/>
  <c r="B84" i="16" a="1"/>
  <c r="B84" i="16" s="1"/>
  <c r="D84" i="16" a="1"/>
  <c r="D84" i="16" s="1"/>
  <c r="B76" i="16" a="1"/>
  <c r="B76" i="16" s="1"/>
  <c r="D76" i="16" a="1"/>
  <c r="D76" i="16" s="1"/>
  <c r="B68" i="16" a="1"/>
  <c r="B68" i="16" s="1"/>
  <c r="D68" i="16" a="1"/>
  <c r="D68" i="16" s="1"/>
  <c r="B60" i="16" a="1"/>
  <c r="B60" i="16" s="1"/>
  <c r="D60" i="16" a="1"/>
  <c r="D60" i="16" s="1"/>
  <c r="B58" i="16" a="1"/>
  <c r="B58" i="16" s="1"/>
  <c r="D58" i="16" a="1"/>
  <c r="D58" i="16" s="1"/>
  <c r="E58" i="16" a="1"/>
  <c r="E58" i="16" s="1"/>
  <c r="C58" i="16" a="1"/>
  <c r="C58" i="16" s="1"/>
  <c r="B50" i="16" a="1"/>
  <c r="B50" i="16" s="1"/>
  <c r="D50" i="16" a="1"/>
  <c r="D50" i="16" s="1"/>
  <c r="E50" i="16" a="1"/>
  <c r="E50" i="16" s="1"/>
  <c r="C50" i="16" a="1"/>
  <c r="C50" i="16" s="1"/>
  <c r="C31" i="16" a="1"/>
  <c r="C31" i="16" s="1"/>
  <c r="D31" i="16" a="1"/>
  <c r="D31" i="16" s="1"/>
  <c r="C26" i="16" a="1"/>
  <c r="C26" i="16" s="1"/>
  <c r="E26" i="16" a="1"/>
  <c r="E26" i="16" s="1"/>
  <c r="D26" i="16" a="1"/>
  <c r="D26" i="16" s="1"/>
  <c r="C18" i="16" a="1"/>
  <c r="C18" i="16" s="1"/>
  <c r="E18" i="16" a="1"/>
  <c r="E18" i="16" s="1"/>
  <c r="B18" i="16" a="1"/>
  <c r="B18" i="16" s="1"/>
  <c r="D18" i="16" a="1"/>
  <c r="D18" i="16" s="1"/>
  <c r="E143" i="16" a="1"/>
  <c r="E143" i="16" s="1"/>
  <c r="E139" i="16" a="1"/>
  <c r="E139" i="16" s="1"/>
  <c r="E135" i="16" a="1"/>
  <c r="E135" i="16" s="1"/>
  <c r="E131" i="16" a="1"/>
  <c r="E131" i="16" s="1"/>
  <c r="E127" i="16" a="1"/>
  <c r="E127" i="16" s="1"/>
  <c r="E84" i="16" a="1"/>
  <c r="E84" i="16" s="1"/>
  <c r="C83" i="16" a="1"/>
  <c r="C83" i="16" s="1"/>
  <c r="E83" i="16" a="1"/>
  <c r="E83" i="16" s="1"/>
  <c r="E76" i="16" a="1"/>
  <c r="E76" i="16" s="1"/>
  <c r="C75" i="16" a="1"/>
  <c r="C75" i="16" s="1"/>
  <c r="E75" i="16" a="1"/>
  <c r="E75" i="16" s="1"/>
  <c r="E68" i="16" a="1"/>
  <c r="E68" i="16" s="1"/>
  <c r="C67" i="16" a="1"/>
  <c r="C67" i="16" s="1"/>
  <c r="E67" i="16" a="1"/>
  <c r="E67" i="16" s="1"/>
  <c r="E60" i="16" a="1"/>
  <c r="E60" i="16" s="1"/>
  <c r="C59" i="16" a="1"/>
  <c r="C59" i="16" s="1"/>
  <c r="E59" i="16" a="1"/>
  <c r="E59" i="16" s="1"/>
  <c r="C42" i="16" a="1"/>
  <c r="C42" i="16" s="1"/>
  <c r="E42" i="16" a="1"/>
  <c r="E42" i="16" s="1"/>
  <c r="D42" i="16" a="1"/>
  <c r="D42" i="16" s="1"/>
  <c r="B27" i="16" a="1"/>
  <c r="B27" i="16" s="1"/>
  <c r="C27" i="16" a="1"/>
  <c r="C27" i="16" s="1"/>
  <c r="E154" i="16" a="1"/>
  <c r="E154" i="16" s="1"/>
  <c r="E150" i="16" a="1"/>
  <c r="E150" i="16" s="1"/>
  <c r="E146" i="16" a="1"/>
  <c r="E146" i="16" s="1"/>
  <c r="E142" i="16" a="1"/>
  <c r="E142" i="16" s="1"/>
  <c r="E138" i="16" a="1"/>
  <c r="E138" i="16" s="1"/>
  <c r="E134" i="16" a="1"/>
  <c r="E134" i="16" s="1"/>
  <c r="E130" i="16" a="1"/>
  <c r="E130" i="16" s="1"/>
  <c r="E126" i="16" a="1"/>
  <c r="E126" i="16" s="1"/>
  <c r="B124" i="16" a="1"/>
  <c r="B124" i="16" s="1"/>
  <c r="D124" i="16" a="1"/>
  <c r="D124" i="16" s="1"/>
  <c r="B120" i="16" a="1"/>
  <c r="B120" i="16" s="1"/>
  <c r="D120" i="16" a="1"/>
  <c r="D120" i="16" s="1"/>
  <c r="B116" i="16" a="1"/>
  <c r="B116" i="16" s="1"/>
  <c r="D116" i="16" a="1"/>
  <c r="D116" i="16" s="1"/>
  <c r="B112" i="16" a="1"/>
  <c r="B112" i="16" s="1"/>
  <c r="D112" i="16" a="1"/>
  <c r="D112" i="16" s="1"/>
  <c r="B108" i="16" a="1"/>
  <c r="B108" i="16" s="1"/>
  <c r="D108" i="16" a="1"/>
  <c r="D108" i="16" s="1"/>
  <c r="B104" i="16" a="1"/>
  <c r="B104" i="16" s="1"/>
  <c r="D104" i="16" a="1"/>
  <c r="D104" i="16" s="1"/>
  <c r="B100" i="16" a="1"/>
  <c r="B100" i="16" s="1"/>
  <c r="D100" i="16" a="1"/>
  <c r="D100" i="16" s="1"/>
  <c r="B96" i="16" a="1"/>
  <c r="B96" i="16" s="1"/>
  <c r="D96" i="16" a="1"/>
  <c r="D96" i="16" s="1"/>
  <c r="B92" i="16" a="1"/>
  <c r="B92" i="16" s="1"/>
  <c r="D92" i="16" a="1"/>
  <c r="D92" i="16" s="1"/>
  <c r="B88" i="16" a="1"/>
  <c r="B88" i="16" s="1"/>
  <c r="D88" i="16" a="1"/>
  <c r="D88" i="16" s="1"/>
  <c r="D83" i="16" a="1"/>
  <c r="D83" i="16" s="1"/>
  <c r="B80" i="16" a="1"/>
  <c r="B80" i="16" s="1"/>
  <c r="D80" i="16" a="1"/>
  <c r="D80" i="16" s="1"/>
  <c r="D75" i="16" a="1"/>
  <c r="D75" i="16" s="1"/>
  <c r="B72" i="16" a="1"/>
  <c r="B72" i="16" s="1"/>
  <c r="D72" i="16" a="1"/>
  <c r="D72" i="16" s="1"/>
  <c r="D67" i="16" a="1"/>
  <c r="D67" i="16" s="1"/>
  <c r="B64" i="16" a="1"/>
  <c r="B64" i="16" s="1"/>
  <c r="D64" i="16" a="1"/>
  <c r="D64" i="16" s="1"/>
  <c r="D59" i="16" a="1"/>
  <c r="D59" i="16" s="1"/>
  <c r="B54" i="16" a="1"/>
  <c r="B54" i="16" s="1"/>
  <c r="D54" i="16" a="1"/>
  <c r="D54" i="16" s="1"/>
  <c r="E54" i="16" a="1"/>
  <c r="E54" i="16" s="1"/>
  <c r="C54" i="16" a="1"/>
  <c r="C54" i="16" s="1"/>
  <c r="B46" i="16" a="1"/>
  <c r="B46" i="16" s="1"/>
  <c r="D46" i="16" a="1"/>
  <c r="D46" i="16" s="1"/>
  <c r="E46" i="16" a="1"/>
  <c r="E46" i="16" s="1"/>
  <c r="C46" i="16" a="1"/>
  <c r="C46" i="16" s="1"/>
  <c r="B43" i="16" a="1"/>
  <c r="B43" i="16" s="1"/>
  <c r="E43" i="16" a="1"/>
  <c r="E43" i="16" s="1"/>
  <c r="C43" i="16" a="1"/>
  <c r="C43" i="16" s="1"/>
  <c r="C38" i="16" a="1"/>
  <c r="C38" i="16" s="1"/>
  <c r="E38" i="16" a="1"/>
  <c r="E38" i="16" s="1"/>
  <c r="B38" i="16" a="1"/>
  <c r="B38" i="16" s="1"/>
  <c r="E31" i="16" a="1"/>
  <c r="E31" i="16" s="1"/>
  <c r="C56" i="16" a="1"/>
  <c r="C56" i="16" s="1"/>
  <c r="E56" i="16" a="1"/>
  <c r="E56" i="16" s="1"/>
  <c r="C52" i="16" a="1"/>
  <c r="C52" i="16" s="1"/>
  <c r="E52" i="16" a="1"/>
  <c r="E52" i="16" s="1"/>
  <c r="C48" i="16" a="1"/>
  <c r="C48" i="16" s="1"/>
  <c r="E48" i="16" a="1"/>
  <c r="E48" i="16" s="1"/>
  <c r="C44" i="16" a="1"/>
  <c r="C44" i="16" s="1"/>
  <c r="E44" i="16" a="1"/>
  <c r="E44" i="16" s="1"/>
  <c r="C30" i="16" a="1"/>
  <c r="C30" i="16" s="1"/>
  <c r="E30" i="16" a="1"/>
  <c r="E30" i="16" s="1"/>
  <c r="C10" i="16" a="1"/>
  <c r="C10" i="16" s="1"/>
  <c r="E10" i="16" a="1"/>
  <c r="E10" i="16" s="1"/>
  <c r="B5" i="16" a="1"/>
  <c r="B5" i="16" s="1"/>
  <c r="D5" i="16" a="1"/>
  <c r="D5" i="16" s="1"/>
  <c r="E5" i="16" a="1"/>
  <c r="E5" i="16" s="1"/>
  <c r="C5" i="16" a="1"/>
  <c r="C5" i="16" s="1"/>
  <c r="E90" i="16" a="1"/>
  <c r="E90" i="16" s="1"/>
  <c r="E86" i="16" a="1"/>
  <c r="E86" i="16" s="1"/>
  <c r="E82" i="16" a="1"/>
  <c r="E82" i="16" s="1"/>
  <c r="E78" i="16" a="1"/>
  <c r="E78" i="16" s="1"/>
  <c r="E74" i="16" a="1"/>
  <c r="E74" i="16" s="1"/>
  <c r="E70" i="16" a="1"/>
  <c r="E70" i="16" s="1"/>
  <c r="E66" i="16" a="1"/>
  <c r="E66" i="16" s="1"/>
  <c r="E62" i="16" a="1"/>
  <c r="E62" i="16" s="1"/>
  <c r="C34" i="16" a="1"/>
  <c r="C34" i="16" s="1"/>
  <c r="E34" i="16" a="1"/>
  <c r="E34" i="16" s="1"/>
  <c r="D30" i="16" a="1"/>
  <c r="D30" i="16" s="1"/>
  <c r="C22" i="16" a="1"/>
  <c r="C22" i="16" s="1"/>
  <c r="E22" i="16" a="1"/>
  <c r="E22" i="16" s="1"/>
  <c r="C6" i="16" a="1"/>
  <c r="C6" i="16" s="1"/>
  <c r="E6" i="16" a="1"/>
  <c r="E6" i="16" s="1"/>
  <c r="B40" i="16" a="1"/>
  <c r="B40" i="16" s="1"/>
  <c r="D40" i="16" a="1"/>
  <c r="D40" i="16" s="1"/>
  <c r="B36" i="16" a="1"/>
  <c r="B36" i="16" s="1"/>
  <c r="D36" i="16" a="1"/>
  <c r="D36" i="16" s="1"/>
  <c r="B32" i="16" a="1"/>
  <c r="B32" i="16" s="1"/>
  <c r="D32" i="16" a="1"/>
  <c r="D32" i="16" s="1"/>
  <c r="B28" i="16" a="1"/>
  <c r="B28" i="16" s="1"/>
  <c r="D28" i="16" a="1"/>
  <c r="D28" i="16" s="1"/>
  <c r="B24" i="16" a="1"/>
  <c r="B24" i="16" s="1"/>
  <c r="D24" i="16" a="1"/>
  <c r="D24" i="16" s="1"/>
  <c r="B20" i="16" a="1"/>
  <c r="B20" i="16" s="1"/>
  <c r="D20" i="16" a="1"/>
  <c r="D20" i="16" s="1"/>
  <c r="B16" i="16" a="1"/>
  <c r="B16" i="16" s="1"/>
  <c r="D16" i="16" a="1"/>
  <c r="D16" i="16" s="1"/>
  <c r="B12" i="16" a="1"/>
  <c r="B12" i="16" s="1"/>
  <c r="D12" i="16" a="1"/>
  <c r="D12" i="16" s="1"/>
  <c r="B8" i="16" a="1"/>
  <c r="B8" i="16" s="1"/>
  <c r="D8" i="16" a="1"/>
  <c r="D8" i="16" s="1"/>
  <c r="B3" i="16" a="1"/>
  <c r="B3" i="16" s="1"/>
  <c r="D3" i="16" a="1"/>
  <c r="D3" i="16" s="1"/>
  <c r="C3" i="16" a="1"/>
  <c r="C3" i="16" s="1"/>
  <c r="E3" i="16" a="1"/>
  <c r="E3" i="16" s="1"/>
  <c r="D2" i="16" a="1"/>
  <c r="D2" i="16" s="1"/>
  <c r="G175" i="18" l="1"/>
  <c r="G171" i="18"/>
  <c r="G174" i="18" s="1"/>
  <c r="G176" i="18" s="1"/>
  <c r="F197" i="18" s="1"/>
  <c r="G193" i="17"/>
  <c r="G189" i="17"/>
  <c r="G192" i="17" s="1"/>
  <c r="G194" i="17" s="1"/>
  <c r="P189" i="17"/>
  <c r="P192" i="17" s="1"/>
  <c r="P194" i="17" s="1"/>
  <c r="P193" i="17"/>
  <c r="P180" i="17"/>
  <c r="P183" i="17" s="1"/>
  <c r="P184" i="17"/>
  <c r="G180" i="17"/>
  <c r="G183" i="17" s="1"/>
  <c r="G185" i="17" s="1"/>
  <c r="G184" i="17"/>
  <c r="G175" i="17"/>
  <c r="G171" i="17"/>
  <c r="G174" i="17" s="1"/>
  <c r="G176" i="17" s="1"/>
  <c r="P171" i="17"/>
  <c r="P174" i="17" s="1"/>
  <c r="P175" i="17"/>
  <c r="V175" i="16"/>
  <c r="V171" i="16"/>
  <c r="V174" i="16" s="1"/>
  <c r="V176" i="16" s="1"/>
  <c r="L181" i="16"/>
  <c r="L183" i="16" s="1"/>
  <c r="L184" i="16"/>
  <c r="G171" i="16"/>
  <c r="G174" i="16" s="1"/>
  <c r="G175" i="16"/>
  <c r="G189" i="16"/>
  <c r="G192" i="16" s="1"/>
  <c r="G193" i="16"/>
  <c r="L193" i="16"/>
  <c r="L189" i="16"/>
  <c r="L192" i="16" s="1"/>
  <c r="L194" i="16" s="1"/>
  <c r="L174" i="16"/>
  <c r="V184" i="16"/>
  <c r="V180" i="16"/>
  <c r="V183" i="16" s="1"/>
  <c r="V189" i="16"/>
  <c r="V192" i="16" s="1"/>
  <c r="V193" i="16"/>
  <c r="L175" i="16"/>
  <c r="G180" i="16"/>
  <c r="G183" i="16" s="1"/>
  <c r="G185" i="16" s="1"/>
  <c r="G184" i="16"/>
  <c r="P176" i="17" l="1"/>
  <c r="P185" i="17"/>
  <c r="L176" i="16"/>
  <c r="G194" i="16"/>
  <c r="L185" i="16"/>
  <c r="V194" i="16"/>
  <c r="U197" i="16" s="1"/>
  <c r="V185" i="16"/>
  <c r="G176" i="16"/>
  <c r="F197" i="16" s="1"/>
  <c r="K197" i="16" l="1"/>
  <c r="O191" i="15" l="1"/>
  <c r="O190" i="15" l="1"/>
  <c r="O189" i="15"/>
  <c r="O173" i="15"/>
  <c r="O172" i="15"/>
  <c r="O171" i="15"/>
  <c r="N171" i="15"/>
  <c r="N169" i="15"/>
  <c r="K191" i="15"/>
  <c r="K190" i="15"/>
  <c r="K189" i="15"/>
  <c r="K182" i="15"/>
  <c r="K181" i="15"/>
  <c r="K180" i="15"/>
  <c r="K173" i="15"/>
  <c r="K172" i="15"/>
  <c r="K171" i="15"/>
  <c r="J171" i="15"/>
  <c r="I170" i="15" a="1"/>
  <c r="I170" i="15" s="1"/>
  <c r="K169" i="15"/>
  <c r="J169" i="15"/>
  <c r="O169" i="15"/>
  <c r="M170" i="15" a="1"/>
  <c r="M170" i="15" s="1"/>
  <c r="P4" i="15"/>
  <c r="P3" i="15"/>
  <c r="P2" i="15"/>
  <c r="Q4" i="15"/>
  <c r="Q3" i="15"/>
  <c r="Q2" i="15"/>
  <c r="J165" i="15"/>
  <c r="I165" i="15"/>
  <c r="A164" i="15"/>
  <c r="D164" i="15" s="1" a="1"/>
  <c r="D164" i="15" s="1"/>
  <c r="A163" i="15"/>
  <c r="D163" i="15" s="1" a="1"/>
  <c r="D163" i="15" s="1"/>
  <c r="A162" i="15"/>
  <c r="D162" i="15" s="1" a="1"/>
  <c r="D162" i="15" s="1"/>
  <c r="A161" i="15"/>
  <c r="A160" i="15"/>
  <c r="D160" i="15" s="1" a="1"/>
  <c r="D160" i="15" s="1"/>
  <c r="A159" i="15"/>
  <c r="D159" i="15" s="1" a="1"/>
  <c r="D159" i="15" s="1"/>
  <c r="A158" i="15"/>
  <c r="D158" i="15" s="1" a="1"/>
  <c r="D158" i="15" s="1"/>
  <c r="A157" i="15"/>
  <c r="A156" i="15"/>
  <c r="D156" i="15" s="1" a="1"/>
  <c r="D156" i="15" s="1"/>
  <c r="A155" i="15"/>
  <c r="D155" i="15" s="1" a="1"/>
  <c r="D155" i="15" s="1"/>
  <c r="A154" i="15"/>
  <c r="B154" i="15" s="1" a="1"/>
  <c r="B154" i="15" s="1"/>
  <c r="A153" i="15"/>
  <c r="A152" i="15"/>
  <c r="D152" i="15" s="1" a="1"/>
  <c r="D152" i="15" s="1"/>
  <c r="A151" i="15"/>
  <c r="D151" i="15" s="1" a="1"/>
  <c r="D151" i="15" s="1"/>
  <c r="A150" i="15"/>
  <c r="C150" i="15" s="1" a="1"/>
  <c r="C150" i="15" s="1"/>
  <c r="A149" i="15"/>
  <c r="A148" i="15"/>
  <c r="D148" i="15" s="1" a="1"/>
  <c r="D148" i="15" s="1"/>
  <c r="A147" i="15"/>
  <c r="D147" i="15" s="1" a="1"/>
  <c r="D147" i="15" s="1"/>
  <c r="A146" i="15"/>
  <c r="D146" i="15" s="1" a="1"/>
  <c r="D146" i="15" s="1"/>
  <c r="A145" i="15"/>
  <c r="A144" i="15"/>
  <c r="D144" i="15" s="1" a="1"/>
  <c r="D144" i="15" s="1"/>
  <c r="A143" i="15"/>
  <c r="D143" i="15" s="1" a="1"/>
  <c r="D143" i="15" s="1"/>
  <c r="A142" i="15"/>
  <c r="B142" i="15" s="1" a="1"/>
  <c r="B142" i="15" s="1"/>
  <c r="A141" i="15"/>
  <c r="A140" i="15"/>
  <c r="D140" i="15" s="1" a="1"/>
  <c r="D140" i="15" s="1"/>
  <c r="A139" i="15"/>
  <c r="D139" i="15" s="1" a="1"/>
  <c r="D139" i="15" s="1"/>
  <c r="A138" i="15"/>
  <c r="B138" i="15" s="1" a="1"/>
  <c r="B138" i="15" s="1"/>
  <c r="A137" i="15"/>
  <c r="A136" i="15"/>
  <c r="D136" i="15" s="1" a="1"/>
  <c r="D136" i="15" s="1"/>
  <c r="A135" i="15"/>
  <c r="D135" i="15" s="1" a="1"/>
  <c r="D135" i="15" s="1"/>
  <c r="A134" i="15"/>
  <c r="C134" i="15" s="1" a="1"/>
  <c r="C134" i="15" s="1"/>
  <c r="A133" i="15"/>
  <c r="A132" i="15"/>
  <c r="C132" i="15" s="1" a="1"/>
  <c r="C132" i="15" s="1"/>
  <c r="A131" i="15"/>
  <c r="D131" i="15" s="1" a="1"/>
  <c r="D131" i="15" s="1"/>
  <c r="A130" i="15"/>
  <c r="B130" i="15" s="1" a="1"/>
  <c r="B130" i="15" s="1"/>
  <c r="A129" i="15"/>
  <c r="C129" i="15" s="1" a="1"/>
  <c r="C129" i="15" s="1"/>
  <c r="A128" i="15"/>
  <c r="A127" i="15"/>
  <c r="D127" i="15" s="1" a="1"/>
  <c r="D127" i="15" s="1"/>
  <c r="A126" i="15"/>
  <c r="D126" i="15" s="1" a="1"/>
  <c r="D126" i="15" s="1"/>
  <c r="A125" i="15"/>
  <c r="A124" i="15"/>
  <c r="D124" i="15" s="1" a="1"/>
  <c r="D124" i="15" s="1"/>
  <c r="A123" i="15"/>
  <c r="C123" i="15" s="1" a="1"/>
  <c r="C123" i="15" s="1"/>
  <c r="A122" i="15"/>
  <c r="D122" i="15" s="1" a="1"/>
  <c r="D122" i="15" s="1"/>
  <c r="A121" i="15"/>
  <c r="C121" i="15" s="1" a="1"/>
  <c r="C121" i="15" s="1"/>
  <c r="A120" i="15"/>
  <c r="D120" i="15" s="1" a="1"/>
  <c r="D120" i="15" s="1"/>
  <c r="A119" i="15"/>
  <c r="A118" i="15"/>
  <c r="D118" i="15" s="1" a="1"/>
  <c r="D118" i="15" s="1"/>
  <c r="A117" i="15"/>
  <c r="D117" i="15" s="1" a="1"/>
  <c r="D117" i="15" s="1"/>
  <c r="A116" i="15"/>
  <c r="D116" i="15" s="1" a="1"/>
  <c r="D116" i="15" s="1"/>
  <c r="A115" i="15"/>
  <c r="C115" i="15" s="1" a="1"/>
  <c r="C115" i="15" s="1"/>
  <c r="A114" i="15"/>
  <c r="C114" i="15" s="1" a="1"/>
  <c r="C114" i="15" s="1"/>
  <c r="A113" i="15"/>
  <c r="C113" i="15" s="1" a="1"/>
  <c r="C113" i="15" s="1"/>
  <c r="A112" i="15"/>
  <c r="D112" i="15" s="1" a="1"/>
  <c r="D112" i="15" s="1"/>
  <c r="A111" i="15"/>
  <c r="A110" i="15"/>
  <c r="B110" i="15" s="1" a="1"/>
  <c r="B110" i="15" s="1"/>
  <c r="A109" i="15"/>
  <c r="A108" i="15"/>
  <c r="C108" i="15" s="1" a="1"/>
  <c r="C108" i="15" s="1"/>
  <c r="A107" i="15"/>
  <c r="C107" i="15" s="1" a="1"/>
  <c r="C107" i="15" s="1"/>
  <c r="A106" i="15"/>
  <c r="A105" i="15"/>
  <c r="D105" i="15" s="1" a="1"/>
  <c r="D105" i="15" s="1"/>
  <c r="A104" i="15"/>
  <c r="C104" i="15" s="1" a="1"/>
  <c r="C104" i="15" s="1"/>
  <c r="A103" i="15"/>
  <c r="C103" i="15" s="1" a="1"/>
  <c r="C103" i="15" s="1"/>
  <c r="A102" i="15"/>
  <c r="A101" i="15"/>
  <c r="C101" i="15" s="1" a="1"/>
  <c r="C101" i="15" s="1"/>
  <c r="A100" i="15"/>
  <c r="C100" i="15" s="1" a="1"/>
  <c r="C100" i="15" s="1"/>
  <c r="A99" i="15"/>
  <c r="C99" i="15" s="1" a="1"/>
  <c r="C99" i="15" s="1"/>
  <c r="A98" i="15"/>
  <c r="A97" i="15"/>
  <c r="D97" i="15" s="1" a="1"/>
  <c r="D97" i="15" s="1"/>
  <c r="A96" i="15"/>
  <c r="C96" i="15" s="1" a="1"/>
  <c r="C96" i="15" s="1"/>
  <c r="A95" i="15"/>
  <c r="C95" i="15" s="1" a="1"/>
  <c r="C95" i="15" s="1"/>
  <c r="A94" i="15"/>
  <c r="A93" i="15"/>
  <c r="B93" i="15" s="1" a="1"/>
  <c r="B93" i="15" s="1"/>
  <c r="A92" i="15"/>
  <c r="C92" i="15" s="1" a="1"/>
  <c r="C92" i="15" s="1"/>
  <c r="A91" i="15"/>
  <c r="C91" i="15" s="1" a="1"/>
  <c r="C91" i="15" s="1"/>
  <c r="A90" i="15"/>
  <c r="A89" i="15"/>
  <c r="B89" i="15" s="1" a="1"/>
  <c r="B89" i="15" s="1"/>
  <c r="A88" i="15"/>
  <c r="C88" i="15" s="1" a="1"/>
  <c r="C88" i="15" s="1"/>
  <c r="A87" i="15"/>
  <c r="C87" i="15" s="1" a="1"/>
  <c r="C87" i="15" s="1"/>
  <c r="A86" i="15"/>
  <c r="A85" i="15"/>
  <c r="C85" i="15" s="1" a="1"/>
  <c r="C85" i="15" s="1"/>
  <c r="A84" i="15"/>
  <c r="D84" i="15" s="1" a="1"/>
  <c r="D84" i="15" s="1"/>
  <c r="A83" i="15"/>
  <c r="D83" i="15" s="1" a="1"/>
  <c r="D83" i="15" s="1"/>
  <c r="A82" i="15"/>
  <c r="C82" i="15" s="1" a="1"/>
  <c r="C82" i="15" s="1"/>
  <c r="A81" i="15"/>
  <c r="C81" i="15" s="1" a="1"/>
  <c r="C81" i="15" s="1"/>
  <c r="A80" i="15"/>
  <c r="C80" i="15" s="1" a="1"/>
  <c r="C80" i="15" s="1"/>
  <c r="A79" i="15"/>
  <c r="C79" i="15" s="1" a="1"/>
  <c r="C79" i="15" s="1"/>
  <c r="A78" i="15"/>
  <c r="A77" i="15"/>
  <c r="D77" i="15" s="1" a="1"/>
  <c r="D77" i="15" s="1"/>
  <c r="A76" i="15"/>
  <c r="D76" i="15" s="1" a="1"/>
  <c r="D76" i="15" s="1"/>
  <c r="A75" i="15"/>
  <c r="C75" i="15" s="1" a="1"/>
  <c r="C75" i="15" s="1"/>
  <c r="A74" i="15"/>
  <c r="A73" i="15"/>
  <c r="D73" i="15" s="1" a="1"/>
  <c r="D73" i="15" s="1"/>
  <c r="A72" i="15"/>
  <c r="D72" i="15" s="1" a="1"/>
  <c r="D72" i="15" s="1"/>
  <c r="A71" i="15"/>
  <c r="D71" i="15" s="1" a="1"/>
  <c r="D71" i="15" s="1"/>
  <c r="A70" i="15"/>
  <c r="A69" i="15"/>
  <c r="D69" i="15" s="1" a="1"/>
  <c r="D69" i="15" s="1"/>
  <c r="A68" i="15"/>
  <c r="D68" i="15" s="1" a="1"/>
  <c r="D68" i="15" s="1"/>
  <c r="A67" i="15"/>
  <c r="D67" i="15" s="1" a="1"/>
  <c r="D67" i="15" s="1"/>
  <c r="A66" i="15"/>
  <c r="A65" i="15"/>
  <c r="D65" i="15" s="1" a="1"/>
  <c r="D65" i="15" s="1"/>
  <c r="A64" i="15"/>
  <c r="D64" i="15" s="1" a="1"/>
  <c r="D64" i="15" s="1"/>
  <c r="A63" i="15"/>
  <c r="B63" i="15" s="1" a="1"/>
  <c r="B63" i="15" s="1"/>
  <c r="A62" i="15"/>
  <c r="A61" i="15"/>
  <c r="D61" i="15" s="1" a="1"/>
  <c r="D61" i="15" s="1"/>
  <c r="A60" i="15"/>
  <c r="D60" i="15" s="1" a="1"/>
  <c r="D60" i="15" s="1"/>
  <c r="A59" i="15"/>
  <c r="C59" i="15" s="1" a="1"/>
  <c r="C59" i="15" s="1"/>
  <c r="A58" i="15"/>
  <c r="A57" i="15"/>
  <c r="D57" i="15" s="1" a="1"/>
  <c r="D57" i="15" s="1"/>
  <c r="A56" i="15"/>
  <c r="D56" i="15" s="1" a="1"/>
  <c r="D56" i="15" s="1"/>
  <c r="A55" i="15"/>
  <c r="D55" i="15" s="1" a="1"/>
  <c r="D55" i="15" s="1"/>
  <c r="A54" i="15"/>
  <c r="A53" i="15"/>
  <c r="D53" i="15" s="1" a="1"/>
  <c r="D53" i="15" s="1"/>
  <c r="A52" i="15"/>
  <c r="D52" i="15" s="1" a="1"/>
  <c r="D52" i="15" s="1"/>
  <c r="A51" i="15"/>
  <c r="C51" i="15" s="1" a="1"/>
  <c r="C51" i="15" s="1"/>
  <c r="A50" i="15"/>
  <c r="A49" i="15"/>
  <c r="D49" i="15" s="1" a="1"/>
  <c r="D49" i="15" s="1"/>
  <c r="A48" i="15"/>
  <c r="D48" i="15" s="1" a="1"/>
  <c r="D48" i="15" s="1"/>
  <c r="A47" i="15"/>
  <c r="B47" i="15" s="1" a="1"/>
  <c r="B47" i="15" s="1"/>
  <c r="A46" i="15"/>
  <c r="C46" i="15" s="1" a="1"/>
  <c r="C46" i="15" s="1"/>
  <c r="A45" i="15"/>
  <c r="A44" i="15"/>
  <c r="D44" i="15" s="1" a="1"/>
  <c r="D44" i="15" s="1"/>
  <c r="A43" i="15"/>
  <c r="B43" i="15" s="1" a="1"/>
  <c r="B43" i="15" s="1"/>
  <c r="A42" i="15"/>
  <c r="C42" i="15" s="1" a="1"/>
  <c r="C42" i="15" s="1"/>
  <c r="A41" i="15"/>
  <c r="C41" i="15" s="1" a="1"/>
  <c r="C41" i="15" s="1"/>
  <c r="A40" i="15"/>
  <c r="D40" i="15" s="1" a="1"/>
  <c r="D40" i="15" s="1"/>
  <c r="A39" i="15"/>
  <c r="C39" i="15" s="1" a="1"/>
  <c r="C39" i="15" s="1"/>
  <c r="A38" i="15"/>
  <c r="C38" i="15" s="1" a="1"/>
  <c r="C38" i="15" s="1"/>
  <c r="A37" i="15"/>
  <c r="C37" i="15" s="1" a="1"/>
  <c r="C37" i="15" s="1"/>
  <c r="A36" i="15"/>
  <c r="D36" i="15" s="1" a="1"/>
  <c r="D36" i="15" s="1"/>
  <c r="A35" i="15"/>
  <c r="C35" i="15" s="1" a="1"/>
  <c r="C35" i="15" s="1"/>
  <c r="A34" i="15"/>
  <c r="C34" i="15" s="1" a="1"/>
  <c r="C34" i="15" s="1"/>
  <c r="A33" i="15"/>
  <c r="C33" i="15" s="1" a="1"/>
  <c r="C33" i="15" s="1"/>
  <c r="A32" i="15"/>
  <c r="D32" i="15" s="1" a="1"/>
  <c r="D32" i="15" s="1"/>
  <c r="A31" i="15"/>
  <c r="C31" i="15" s="1" a="1"/>
  <c r="C31" i="15" s="1"/>
  <c r="A30" i="15"/>
  <c r="C30" i="15" s="1" a="1"/>
  <c r="C30" i="15" s="1"/>
  <c r="A29" i="15"/>
  <c r="C29" i="15" s="1" a="1"/>
  <c r="C29" i="15" s="1"/>
  <c r="A28" i="15"/>
  <c r="D28" i="15" s="1" a="1"/>
  <c r="D28" i="15" s="1"/>
  <c r="A27" i="15"/>
  <c r="C27" i="15" s="1" a="1"/>
  <c r="C27" i="15" s="1"/>
  <c r="A26" i="15"/>
  <c r="C26" i="15" s="1" a="1"/>
  <c r="C26" i="15" s="1"/>
  <c r="A25" i="15"/>
  <c r="D25" i="15" s="1" a="1"/>
  <c r="D25" i="15" s="1"/>
  <c r="A24" i="15"/>
  <c r="D24" i="15" s="1" a="1"/>
  <c r="D24" i="15" s="1"/>
  <c r="A23" i="15"/>
  <c r="C23" i="15" s="1" a="1"/>
  <c r="C23" i="15" s="1"/>
  <c r="A22" i="15"/>
  <c r="C22" i="15" s="1" a="1"/>
  <c r="C22" i="15" s="1"/>
  <c r="A21" i="15"/>
  <c r="D21" i="15" s="1" a="1"/>
  <c r="D21" i="15" s="1"/>
  <c r="A20" i="15"/>
  <c r="D20" i="15" s="1" a="1"/>
  <c r="D20" i="15" s="1"/>
  <c r="A19" i="15"/>
  <c r="C19" i="15" s="1" a="1"/>
  <c r="C19" i="15" s="1"/>
  <c r="A18" i="15"/>
  <c r="C18" i="15" s="1" a="1"/>
  <c r="C18" i="15" s="1"/>
  <c r="A17" i="15"/>
  <c r="D17" i="15" s="1" a="1"/>
  <c r="D17" i="15" s="1"/>
  <c r="A16" i="15"/>
  <c r="D16" i="15" s="1" a="1"/>
  <c r="D16" i="15" s="1"/>
  <c r="A15" i="15"/>
  <c r="C15" i="15" s="1" a="1"/>
  <c r="C15" i="15" s="1"/>
  <c r="A14" i="15"/>
  <c r="C14" i="15" s="1" a="1"/>
  <c r="C14" i="15" s="1"/>
  <c r="A13" i="15"/>
  <c r="D13" i="15" s="1" a="1"/>
  <c r="D13" i="15" s="1"/>
  <c r="A12" i="15"/>
  <c r="D12" i="15" s="1" a="1"/>
  <c r="D12" i="15" s="1"/>
  <c r="A11" i="15"/>
  <c r="C11" i="15" s="1" a="1"/>
  <c r="C11" i="15" s="1"/>
  <c r="A10" i="15"/>
  <c r="C10" i="15" s="1" a="1"/>
  <c r="C10" i="15" s="1"/>
  <c r="A9" i="15"/>
  <c r="D9" i="15" s="1" a="1"/>
  <c r="D9" i="15" s="1"/>
  <c r="A8" i="15"/>
  <c r="D8" i="15" s="1" a="1"/>
  <c r="D8" i="15" s="1"/>
  <c r="A7" i="15"/>
  <c r="C7" i="15" s="1" a="1"/>
  <c r="C7" i="15" s="1"/>
  <c r="A6" i="15"/>
  <c r="C6" i="15" s="1" a="1"/>
  <c r="C6" i="15" s="1"/>
  <c r="A5" i="15"/>
  <c r="D5" i="15" s="1" a="1"/>
  <c r="D5" i="15" s="1"/>
  <c r="A4" i="15"/>
  <c r="D4" i="15" s="1" a="1"/>
  <c r="D4" i="15" s="1"/>
  <c r="A3" i="15"/>
  <c r="C3" i="15" s="1" a="1"/>
  <c r="C3" i="15" s="1"/>
  <c r="A2" i="15"/>
  <c r="C2" i="15" s="1" a="1"/>
  <c r="C2" i="15" s="1"/>
  <c r="F197" i="14"/>
  <c r="P4" i="14"/>
  <c r="P3" i="14"/>
  <c r="P2" i="14"/>
  <c r="Q4" i="14"/>
  <c r="Q3" i="14"/>
  <c r="Q2" i="14"/>
  <c r="G191" i="14"/>
  <c r="G190" i="14"/>
  <c r="G189" i="14"/>
  <c r="G182" i="14"/>
  <c r="G181" i="14"/>
  <c r="G180" i="14"/>
  <c r="G173" i="14"/>
  <c r="G172" i="14"/>
  <c r="G171" i="14"/>
  <c r="K191" i="14"/>
  <c r="K190" i="14"/>
  <c r="K189" i="14"/>
  <c r="K182" i="14"/>
  <c r="K181" i="14"/>
  <c r="K180" i="14"/>
  <c r="J180" i="14"/>
  <c r="K173" i="14"/>
  <c r="K172" i="14"/>
  <c r="K171" i="14"/>
  <c r="F171" i="14"/>
  <c r="E170" i="14" a="1"/>
  <c r="E170" i="14" s="1"/>
  <c r="F169" i="14"/>
  <c r="O182" i="14"/>
  <c r="N182" i="14"/>
  <c r="O181" i="14"/>
  <c r="N181" i="14"/>
  <c r="I170" i="14" a="1"/>
  <c r="I170" i="14" s="1"/>
  <c r="O169" i="14"/>
  <c r="N169" i="14"/>
  <c r="M170" i="14" s="1" a="1"/>
  <c r="M170" i="14" s="1"/>
  <c r="K169" i="14"/>
  <c r="J169" i="14"/>
  <c r="G169" i="14"/>
  <c r="K165" i="14"/>
  <c r="J165" i="14"/>
  <c r="I165" i="14"/>
  <c r="A164" i="14"/>
  <c r="E164" i="14" s="1" a="1"/>
  <c r="E164" i="14" s="1"/>
  <c r="A163" i="14"/>
  <c r="A162" i="14"/>
  <c r="E162" i="14" s="1" a="1"/>
  <c r="E162" i="14" s="1"/>
  <c r="A161" i="14"/>
  <c r="A160" i="14"/>
  <c r="E160" i="14" s="1" a="1"/>
  <c r="E160" i="14" s="1"/>
  <c r="A159" i="14"/>
  <c r="A158" i="14"/>
  <c r="E158" i="14" s="1" a="1"/>
  <c r="E158" i="14" s="1"/>
  <c r="A157" i="14"/>
  <c r="A156" i="14"/>
  <c r="E156" i="14" s="1" a="1"/>
  <c r="E156" i="14" s="1"/>
  <c r="A155" i="14"/>
  <c r="D155" i="14" s="1" a="1"/>
  <c r="D155" i="14" s="1"/>
  <c r="A154" i="14"/>
  <c r="D154" i="14" s="1" a="1"/>
  <c r="D154" i="14" s="1"/>
  <c r="A153" i="14"/>
  <c r="A152" i="14"/>
  <c r="E152" i="14" s="1" a="1"/>
  <c r="E152" i="14" s="1"/>
  <c r="A151" i="14"/>
  <c r="D151" i="14" s="1" a="1"/>
  <c r="D151" i="14" s="1"/>
  <c r="A150" i="14"/>
  <c r="C150" i="14" s="1" a="1"/>
  <c r="C150" i="14" s="1"/>
  <c r="A149" i="14"/>
  <c r="A148" i="14"/>
  <c r="A147" i="14"/>
  <c r="D147" i="14" s="1" a="1"/>
  <c r="D147" i="14" s="1"/>
  <c r="A146" i="14"/>
  <c r="E146" i="14" s="1" a="1"/>
  <c r="E146" i="14" s="1"/>
  <c r="A145" i="14"/>
  <c r="A144" i="14"/>
  <c r="E144" i="14" s="1" a="1"/>
  <c r="E144" i="14" s="1"/>
  <c r="A143" i="14"/>
  <c r="D143" i="14" s="1" a="1"/>
  <c r="D143" i="14" s="1"/>
  <c r="A142" i="14"/>
  <c r="E142" i="14" s="1" a="1"/>
  <c r="E142" i="14" s="1"/>
  <c r="A141" i="14"/>
  <c r="A140" i="14"/>
  <c r="E140" i="14" s="1" a="1"/>
  <c r="E140" i="14" s="1"/>
  <c r="A139" i="14"/>
  <c r="A138" i="14"/>
  <c r="E138" i="14" s="1" a="1"/>
  <c r="E138" i="14" s="1"/>
  <c r="A137" i="14"/>
  <c r="A136" i="14"/>
  <c r="E136" i="14" s="1" a="1"/>
  <c r="E136" i="14" s="1"/>
  <c r="A135" i="14"/>
  <c r="A134" i="14"/>
  <c r="E134" i="14" s="1" a="1"/>
  <c r="E134" i="14" s="1"/>
  <c r="A133" i="14"/>
  <c r="A132" i="14"/>
  <c r="E132" i="14" s="1" a="1"/>
  <c r="E132" i="14" s="1"/>
  <c r="A131" i="14"/>
  <c r="A130" i="14"/>
  <c r="E130" i="14" s="1" a="1"/>
  <c r="E130" i="14" s="1"/>
  <c r="A129" i="14"/>
  <c r="A128" i="14"/>
  <c r="E128" i="14" s="1" a="1"/>
  <c r="E128" i="14" s="1"/>
  <c r="A127" i="14"/>
  <c r="B127" i="14" s="1" a="1"/>
  <c r="B127" i="14" s="1"/>
  <c r="A126" i="14"/>
  <c r="E126" i="14" s="1" a="1"/>
  <c r="E126" i="14" s="1"/>
  <c r="A125" i="14"/>
  <c r="A124" i="14"/>
  <c r="E124" i="14" s="1" a="1"/>
  <c r="E124" i="14" s="1"/>
  <c r="A123" i="14"/>
  <c r="B123" i="14" s="1" a="1"/>
  <c r="B123" i="14" s="1"/>
  <c r="A122" i="14"/>
  <c r="E122" i="14" s="1" a="1"/>
  <c r="E122" i="14" s="1"/>
  <c r="A121" i="14"/>
  <c r="D121" i="14" s="1" a="1"/>
  <c r="D121" i="14" s="1"/>
  <c r="A120" i="14"/>
  <c r="A119" i="14"/>
  <c r="A118" i="14"/>
  <c r="A117" i="14"/>
  <c r="D117" i="14" s="1" a="1"/>
  <c r="D117" i="14" s="1"/>
  <c r="A116" i="14"/>
  <c r="A115" i="14"/>
  <c r="A114" i="14"/>
  <c r="A113" i="14"/>
  <c r="B113" i="14" s="1" a="1"/>
  <c r="B113" i="14" s="1"/>
  <c r="A112" i="14"/>
  <c r="D112" i="14" s="1" a="1"/>
  <c r="D112" i="14" s="1"/>
  <c r="A111" i="14"/>
  <c r="A110" i="14"/>
  <c r="E110" i="14" s="1" a="1"/>
  <c r="E110" i="14" s="1"/>
  <c r="A109" i="14"/>
  <c r="D109" i="14" s="1" a="1"/>
  <c r="D109" i="14" s="1"/>
  <c r="A108" i="14"/>
  <c r="E108" i="14" s="1" a="1"/>
  <c r="E108" i="14" s="1"/>
  <c r="A107" i="14"/>
  <c r="B107" i="14" s="1" a="1"/>
  <c r="B107" i="14" s="1"/>
  <c r="A106" i="14"/>
  <c r="E106" i="14" s="1" a="1"/>
  <c r="E106" i="14" s="1"/>
  <c r="A105" i="14"/>
  <c r="D105" i="14" s="1" a="1"/>
  <c r="D105" i="14" s="1"/>
  <c r="A104" i="14"/>
  <c r="E104" i="14" s="1" a="1"/>
  <c r="E104" i="14" s="1"/>
  <c r="A103" i="14"/>
  <c r="A102" i="14"/>
  <c r="E102" i="14" s="1" a="1"/>
  <c r="E102" i="14" s="1"/>
  <c r="A101" i="14"/>
  <c r="D101" i="14" s="1" a="1"/>
  <c r="D101" i="14" s="1"/>
  <c r="A100" i="14"/>
  <c r="A99" i="14"/>
  <c r="D99" i="14" s="1" a="1"/>
  <c r="D99" i="14" s="1"/>
  <c r="A98" i="14"/>
  <c r="E98" i="14" s="1" a="1"/>
  <c r="E98" i="14" s="1"/>
  <c r="A97" i="14"/>
  <c r="D97" i="14" s="1" a="1"/>
  <c r="D97" i="14" s="1"/>
  <c r="A96" i="14"/>
  <c r="E96" i="14" s="1" a="1"/>
  <c r="E96" i="14" s="1"/>
  <c r="A95" i="14"/>
  <c r="A94" i="14"/>
  <c r="A93" i="14"/>
  <c r="D93" i="14" s="1" a="1"/>
  <c r="D93" i="14" s="1"/>
  <c r="A92" i="14"/>
  <c r="A91" i="14"/>
  <c r="C91" i="14" s="1" a="1"/>
  <c r="C91" i="14" s="1"/>
  <c r="A90" i="14"/>
  <c r="A89" i="14"/>
  <c r="A88" i="14"/>
  <c r="E88" i="14" s="1" a="1"/>
  <c r="E88" i="14" s="1"/>
  <c r="A87" i="14"/>
  <c r="D87" i="14" s="1" a="1"/>
  <c r="D87" i="14" s="1"/>
  <c r="A86" i="14"/>
  <c r="D86" i="14" s="1" a="1"/>
  <c r="D86" i="14" s="1"/>
  <c r="A85" i="14"/>
  <c r="A84" i="14"/>
  <c r="B84" i="14" s="1" a="1"/>
  <c r="B84" i="14" s="1"/>
  <c r="A83" i="14"/>
  <c r="D83" i="14" s="1" a="1"/>
  <c r="D83" i="14" s="1"/>
  <c r="A82" i="14"/>
  <c r="D82" i="14" s="1" a="1"/>
  <c r="D82" i="14" s="1"/>
  <c r="A81" i="14"/>
  <c r="A80" i="14"/>
  <c r="E80" i="14" s="1" a="1"/>
  <c r="E80" i="14" s="1"/>
  <c r="A79" i="14"/>
  <c r="A78" i="14"/>
  <c r="D78" i="14" s="1" a="1"/>
  <c r="D78" i="14" s="1"/>
  <c r="A77" i="14"/>
  <c r="A76" i="14"/>
  <c r="E76" i="14" s="1" a="1"/>
  <c r="E76" i="14" s="1"/>
  <c r="A75" i="14"/>
  <c r="D75" i="14" s="1" a="1"/>
  <c r="D75" i="14" s="1"/>
  <c r="A74" i="14"/>
  <c r="A73" i="14"/>
  <c r="A72" i="14"/>
  <c r="E72" i="14" s="1" a="1"/>
  <c r="E72" i="14" s="1"/>
  <c r="A71" i="14"/>
  <c r="D71" i="14" s="1" a="1"/>
  <c r="D71" i="14" s="1"/>
  <c r="A70" i="14"/>
  <c r="E70" i="14" s="1" a="1"/>
  <c r="E70" i="14" s="1"/>
  <c r="A69" i="14"/>
  <c r="B69" i="14" s="1" a="1"/>
  <c r="B69" i="14" s="1"/>
  <c r="A68" i="14"/>
  <c r="D68" i="14" s="1" a="1"/>
  <c r="D68" i="14" s="1"/>
  <c r="A67" i="14"/>
  <c r="A66" i="14"/>
  <c r="A65" i="14"/>
  <c r="A64" i="14"/>
  <c r="E64" i="14" s="1" a="1"/>
  <c r="E64" i="14" s="1"/>
  <c r="A63" i="14"/>
  <c r="A62" i="14"/>
  <c r="A61" i="14"/>
  <c r="B61" i="14" s="1" a="1"/>
  <c r="B61" i="14" s="1"/>
  <c r="A60" i="14"/>
  <c r="D60" i="14" s="1" a="1"/>
  <c r="D60" i="14" s="1"/>
  <c r="A59" i="14"/>
  <c r="E59" i="14" s="1" a="1"/>
  <c r="E59" i="14" s="1"/>
  <c r="A58" i="14"/>
  <c r="E58" i="14" s="1" a="1"/>
  <c r="E58" i="14" s="1"/>
  <c r="A57" i="14"/>
  <c r="E57" i="14" s="1" a="1"/>
  <c r="E57" i="14" s="1"/>
  <c r="A56" i="14"/>
  <c r="E56" i="14" s="1" a="1"/>
  <c r="E56" i="14" s="1"/>
  <c r="A55" i="14"/>
  <c r="D55" i="14" s="1" a="1"/>
  <c r="D55" i="14" s="1"/>
  <c r="A54" i="14"/>
  <c r="E54" i="14" s="1" a="1"/>
  <c r="E54" i="14" s="1"/>
  <c r="A53" i="14"/>
  <c r="E53" i="14" s="1" a="1"/>
  <c r="E53" i="14" s="1"/>
  <c r="A52" i="14"/>
  <c r="E52" i="14" s="1" a="1"/>
  <c r="E52" i="14" s="1"/>
  <c r="A51" i="14"/>
  <c r="D51" i="14" s="1" a="1"/>
  <c r="D51" i="14" s="1"/>
  <c r="A50" i="14"/>
  <c r="E50" i="14" s="1" a="1"/>
  <c r="E50" i="14" s="1"/>
  <c r="A49" i="14"/>
  <c r="E49" i="14" s="1" a="1"/>
  <c r="E49" i="14" s="1"/>
  <c r="A48" i="14"/>
  <c r="E48" i="14" s="1" a="1"/>
  <c r="E48" i="14" s="1"/>
  <c r="A47" i="14"/>
  <c r="D47" i="14" s="1" a="1"/>
  <c r="D47" i="14" s="1"/>
  <c r="A46" i="14"/>
  <c r="E46" i="14" s="1" a="1"/>
  <c r="E46" i="14" s="1"/>
  <c r="A45" i="14"/>
  <c r="E45" i="14" s="1" a="1"/>
  <c r="E45" i="14" s="1"/>
  <c r="A44" i="14"/>
  <c r="E44" i="14" s="1" a="1"/>
  <c r="E44" i="14" s="1"/>
  <c r="A43" i="14"/>
  <c r="D43" i="14" s="1" a="1"/>
  <c r="D43" i="14" s="1"/>
  <c r="A42" i="14"/>
  <c r="E42" i="14" s="1" a="1"/>
  <c r="E42" i="14" s="1"/>
  <c r="A41" i="14"/>
  <c r="E41" i="14" s="1" a="1"/>
  <c r="E41" i="14" s="1"/>
  <c r="A40" i="14"/>
  <c r="E40" i="14" s="1" a="1"/>
  <c r="E40" i="14" s="1"/>
  <c r="A39" i="14"/>
  <c r="D39" i="14" s="1" a="1"/>
  <c r="D39" i="14" s="1"/>
  <c r="A38" i="14"/>
  <c r="E38" i="14" s="1" a="1"/>
  <c r="E38" i="14" s="1"/>
  <c r="A37" i="14"/>
  <c r="E37" i="14" s="1" a="1"/>
  <c r="E37" i="14" s="1"/>
  <c r="A36" i="14"/>
  <c r="E36" i="14" s="1" a="1"/>
  <c r="E36" i="14" s="1"/>
  <c r="A35" i="14"/>
  <c r="D35" i="14" s="1" a="1"/>
  <c r="D35" i="14" s="1"/>
  <c r="A34" i="14"/>
  <c r="E34" i="14" s="1" a="1"/>
  <c r="E34" i="14" s="1"/>
  <c r="A33" i="14"/>
  <c r="E33" i="14" s="1" a="1"/>
  <c r="E33" i="14" s="1"/>
  <c r="A32" i="14"/>
  <c r="E32" i="14" s="1" a="1"/>
  <c r="E32" i="14" s="1"/>
  <c r="A31" i="14"/>
  <c r="D31" i="14" s="1" a="1"/>
  <c r="D31" i="14" s="1"/>
  <c r="A30" i="14"/>
  <c r="E30" i="14" s="1" a="1"/>
  <c r="E30" i="14" s="1"/>
  <c r="A29" i="14"/>
  <c r="E29" i="14" s="1" a="1"/>
  <c r="E29" i="14" s="1"/>
  <c r="A28" i="14"/>
  <c r="E28" i="14" s="1" a="1"/>
  <c r="E28" i="14" s="1"/>
  <c r="A27" i="14"/>
  <c r="D27" i="14" s="1" a="1"/>
  <c r="D27" i="14" s="1"/>
  <c r="A26" i="14"/>
  <c r="E26" i="14" s="1" a="1"/>
  <c r="E26" i="14" s="1"/>
  <c r="A25" i="14"/>
  <c r="E25" i="14" s="1" a="1"/>
  <c r="E25" i="14" s="1"/>
  <c r="A24" i="14"/>
  <c r="A23" i="14"/>
  <c r="D23" i="14" s="1" a="1"/>
  <c r="D23" i="14" s="1"/>
  <c r="A22" i="14"/>
  <c r="E22" i="14" s="1" a="1"/>
  <c r="E22" i="14" s="1"/>
  <c r="A21" i="14"/>
  <c r="E21" i="14" s="1" a="1"/>
  <c r="E21" i="14" s="1"/>
  <c r="A20" i="14"/>
  <c r="C20" i="14" s="1" a="1"/>
  <c r="C20" i="14" s="1"/>
  <c r="A19" i="14"/>
  <c r="D19" i="14" s="1" a="1"/>
  <c r="D19" i="14" s="1"/>
  <c r="A18" i="14"/>
  <c r="E18" i="14" s="1" a="1"/>
  <c r="E18" i="14" s="1"/>
  <c r="A17" i="14"/>
  <c r="E17" i="14" s="1" a="1"/>
  <c r="E17" i="14" s="1"/>
  <c r="A16" i="14"/>
  <c r="C16" i="14" s="1" a="1"/>
  <c r="C16" i="14" s="1"/>
  <c r="A15" i="14"/>
  <c r="D15" i="14" s="1" a="1"/>
  <c r="D15" i="14" s="1"/>
  <c r="A14" i="14"/>
  <c r="E14" i="14" s="1" a="1"/>
  <c r="E14" i="14" s="1"/>
  <c r="A13" i="14"/>
  <c r="E13" i="14" s="1" a="1"/>
  <c r="E13" i="14" s="1"/>
  <c r="A12" i="14"/>
  <c r="C12" i="14" s="1" a="1"/>
  <c r="C12" i="14" s="1"/>
  <c r="A11" i="14"/>
  <c r="D11" i="14" s="1" a="1"/>
  <c r="D11" i="14" s="1"/>
  <c r="A10" i="14"/>
  <c r="E10" i="14" s="1" a="1"/>
  <c r="E10" i="14" s="1"/>
  <c r="A9" i="14"/>
  <c r="E9" i="14" s="1" a="1"/>
  <c r="E9" i="14" s="1"/>
  <c r="A8" i="14"/>
  <c r="C8" i="14" s="1" a="1"/>
  <c r="C8" i="14" s="1"/>
  <c r="A7" i="14"/>
  <c r="D7" i="14" s="1" a="1"/>
  <c r="D7" i="14" s="1"/>
  <c r="A6" i="14"/>
  <c r="E6" i="14" s="1" a="1"/>
  <c r="E6" i="14" s="1"/>
  <c r="A5" i="14"/>
  <c r="E5" i="14" s="1" a="1"/>
  <c r="E5" i="14" s="1"/>
  <c r="A4" i="14"/>
  <c r="C4" i="14" s="1" a="1"/>
  <c r="C4" i="14" s="1"/>
  <c r="A3" i="14"/>
  <c r="D3" i="14" s="1" a="1"/>
  <c r="D3" i="14" s="1"/>
  <c r="A2" i="14"/>
  <c r="D2" i="14" s="1" a="1"/>
  <c r="D2" i="14" s="1"/>
  <c r="V191" i="13"/>
  <c r="V190" i="13"/>
  <c r="V189" i="13"/>
  <c r="V182" i="13"/>
  <c r="V181" i="13"/>
  <c r="V180" i="13"/>
  <c r="V173" i="13"/>
  <c r="V172" i="13"/>
  <c r="V171" i="13"/>
  <c r="Q191" i="13"/>
  <c r="Q190" i="13"/>
  <c r="Q189" i="13"/>
  <c r="P189" i="13"/>
  <c r="Q182" i="13"/>
  <c r="Q181" i="13"/>
  <c r="Q180" i="13"/>
  <c r="P180" i="13"/>
  <c r="Q173" i="13"/>
  <c r="Q172" i="13"/>
  <c r="Q171" i="13"/>
  <c r="P173" i="13"/>
  <c r="P172" i="13"/>
  <c r="P171" i="13"/>
  <c r="Q169" i="13"/>
  <c r="P169" i="13"/>
  <c r="L191" i="13"/>
  <c r="L190" i="13"/>
  <c r="L189" i="13"/>
  <c r="L182" i="13"/>
  <c r="L181" i="13"/>
  <c r="L180" i="13"/>
  <c r="K180" i="13"/>
  <c r="L173" i="13"/>
  <c r="L172" i="13"/>
  <c r="L171" i="13"/>
  <c r="K172" i="13"/>
  <c r="F171" i="13"/>
  <c r="K171" i="13"/>
  <c r="J170" i="13" a="1"/>
  <c r="J170" i="13" s="1"/>
  <c r="L169" i="13"/>
  <c r="K169" i="13"/>
  <c r="G191" i="13"/>
  <c r="G190" i="13"/>
  <c r="G189" i="13"/>
  <c r="G182" i="13"/>
  <c r="G181" i="13"/>
  <c r="G180" i="13"/>
  <c r="F180" i="13"/>
  <c r="G173" i="13"/>
  <c r="G172" i="13"/>
  <c r="G171" i="13"/>
  <c r="F173" i="13"/>
  <c r="F172" i="13"/>
  <c r="E170" i="13" a="1"/>
  <c r="E170" i="13" s="1"/>
  <c r="G169" i="13"/>
  <c r="F169" i="13"/>
  <c r="V169" i="13"/>
  <c r="U169" i="13"/>
  <c r="T170" i="13" s="1" a="1"/>
  <c r="T170" i="13" s="1"/>
  <c r="O170" i="13" a="1"/>
  <c r="O170" i="13" s="1"/>
  <c r="L165" i="13"/>
  <c r="K165" i="13"/>
  <c r="J165" i="13"/>
  <c r="I165" i="13"/>
  <c r="I165" i="8"/>
  <c r="P4" i="13"/>
  <c r="Q4" i="13" s="1"/>
  <c r="Q3" i="13"/>
  <c r="P3" i="13"/>
  <c r="P2" i="13"/>
  <c r="Q2" i="13" s="1"/>
  <c r="P5" i="13" s="1"/>
  <c r="A164" i="13"/>
  <c r="A163" i="13"/>
  <c r="A162" i="13"/>
  <c r="E162" i="13" s="1" a="1"/>
  <c r="E162" i="13" s="1"/>
  <c r="A161" i="13"/>
  <c r="A160" i="13"/>
  <c r="F160" i="13" s="1" a="1"/>
  <c r="F160" i="13" s="1"/>
  <c r="A159" i="13"/>
  <c r="F159" i="13" s="1" a="1"/>
  <c r="F159" i="13" s="1"/>
  <c r="A158" i="13"/>
  <c r="E158" i="13" s="1" a="1"/>
  <c r="E158" i="13" s="1"/>
  <c r="A157" i="13"/>
  <c r="A156" i="13"/>
  <c r="A155" i="13"/>
  <c r="A154" i="13"/>
  <c r="E154" i="13" s="1" a="1"/>
  <c r="E154" i="13" s="1"/>
  <c r="A153" i="13"/>
  <c r="A152" i="13"/>
  <c r="F152" i="13" s="1" a="1"/>
  <c r="F152" i="13" s="1"/>
  <c r="A151" i="13"/>
  <c r="F151" i="13" s="1" a="1"/>
  <c r="F151" i="13" s="1"/>
  <c r="A150" i="13"/>
  <c r="D150" i="13" s="1" a="1"/>
  <c r="D150" i="13" s="1"/>
  <c r="A149" i="13"/>
  <c r="A148" i="13"/>
  <c r="A147" i="13"/>
  <c r="A146" i="13"/>
  <c r="E146" i="13" s="1" a="1"/>
  <c r="E146" i="13" s="1"/>
  <c r="A145" i="13"/>
  <c r="A144" i="13"/>
  <c r="F144" i="13" s="1" a="1"/>
  <c r="F144" i="13" s="1"/>
  <c r="A143" i="13"/>
  <c r="F143" i="13" s="1" a="1"/>
  <c r="F143" i="13" s="1"/>
  <c r="A142" i="13"/>
  <c r="D142" i="13" s="1" a="1"/>
  <c r="D142" i="13" s="1"/>
  <c r="A141" i="13"/>
  <c r="D141" i="13" s="1" a="1"/>
  <c r="D141" i="13" s="1"/>
  <c r="A140" i="13"/>
  <c r="E140" i="13" s="1" a="1"/>
  <c r="E140" i="13" s="1"/>
  <c r="A139" i="13"/>
  <c r="F139" i="13" s="1" a="1"/>
  <c r="F139" i="13" s="1"/>
  <c r="A138" i="13"/>
  <c r="D138" i="13" s="1" a="1"/>
  <c r="D138" i="13" s="1"/>
  <c r="A137" i="13"/>
  <c r="F137" i="13" s="1" a="1"/>
  <c r="F137" i="13" s="1"/>
  <c r="A136" i="13"/>
  <c r="A135" i="13"/>
  <c r="E135" i="13" s="1" a="1"/>
  <c r="E135" i="13" s="1"/>
  <c r="A134" i="13"/>
  <c r="D134" i="13" s="1" a="1"/>
  <c r="D134" i="13" s="1"/>
  <c r="A133" i="13"/>
  <c r="B133" i="13" s="1" a="1"/>
  <c r="B133" i="13" s="1"/>
  <c r="A132" i="13"/>
  <c r="D132" i="13" s="1" a="1"/>
  <c r="D132" i="13" s="1"/>
  <c r="A131" i="13"/>
  <c r="A130" i="13"/>
  <c r="E130" i="13" s="1" a="1"/>
  <c r="E130" i="13" s="1"/>
  <c r="A129" i="13"/>
  <c r="A128" i="13"/>
  <c r="E128" i="13" s="1" a="1"/>
  <c r="E128" i="13" s="1"/>
  <c r="A127" i="13"/>
  <c r="F127" i="13" s="1" a="1"/>
  <c r="F127" i="13" s="1"/>
  <c r="A126" i="13"/>
  <c r="F126" i="13" s="1" a="1"/>
  <c r="F126" i="13" s="1"/>
  <c r="A125" i="13"/>
  <c r="A124" i="13"/>
  <c r="E124" i="13" s="1" a="1"/>
  <c r="E124" i="13" s="1"/>
  <c r="A123" i="13"/>
  <c r="F123" i="13" s="1" a="1"/>
  <c r="F123" i="13" s="1"/>
  <c r="A122" i="13"/>
  <c r="E122" i="13" s="1" a="1"/>
  <c r="E122" i="13" s="1"/>
  <c r="A121" i="13"/>
  <c r="A120" i="13"/>
  <c r="E120" i="13" s="1" a="1"/>
  <c r="E120" i="13" s="1"/>
  <c r="A119" i="13"/>
  <c r="A118" i="13"/>
  <c r="F118" i="13" s="1" a="1"/>
  <c r="F118" i="13" s="1"/>
  <c r="A117" i="13"/>
  <c r="A116" i="13"/>
  <c r="E116" i="13" s="1" a="1"/>
  <c r="E116" i="13" s="1"/>
  <c r="A115" i="13"/>
  <c r="A114" i="13"/>
  <c r="E114" i="13" s="1" a="1"/>
  <c r="E114" i="13" s="1"/>
  <c r="A113" i="13"/>
  <c r="A112" i="13"/>
  <c r="E112" i="13" s="1" a="1"/>
  <c r="E112" i="13" s="1"/>
  <c r="A111" i="13"/>
  <c r="A110" i="13"/>
  <c r="F110" i="13" s="1" a="1"/>
  <c r="F110" i="13" s="1"/>
  <c r="A109" i="13"/>
  <c r="A108" i="13"/>
  <c r="E108" i="13" s="1" a="1"/>
  <c r="E108" i="13" s="1"/>
  <c r="A107" i="13"/>
  <c r="A106" i="13"/>
  <c r="E106" i="13" s="1" a="1"/>
  <c r="E106" i="13" s="1"/>
  <c r="A105" i="13"/>
  <c r="A104" i="13"/>
  <c r="E104" i="13" s="1" a="1"/>
  <c r="E104" i="13" s="1"/>
  <c r="A103" i="13"/>
  <c r="A102" i="13"/>
  <c r="F102" i="13" s="1" a="1"/>
  <c r="F102" i="13" s="1"/>
  <c r="A101" i="13"/>
  <c r="C101" i="13" s="1" a="1"/>
  <c r="C101" i="13" s="1"/>
  <c r="A100" i="13"/>
  <c r="F100" i="13" s="1" a="1"/>
  <c r="F100" i="13" s="1"/>
  <c r="A99" i="13"/>
  <c r="A98" i="13"/>
  <c r="A97" i="13"/>
  <c r="D97" i="13" s="1" a="1"/>
  <c r="D97" i="13" s="1"/>
  <c r="A96" i="13"/>
  <c r="A95" i="13"/>
  <c r="A94" i="13"/>
  <c r="C94" i="13" s="1" a="1"/>
  <c r="C94" i="13" s="1"/>
  <c r="A93" i="13"/>
  <c r="B93" i="13" s="1" a="1"/>
  <c r="B93" i="13" s="1"/>
  <c r="A92" i="13"/>
  <c r="B92" i="13" s="1" a="1"/>
  <c r="B92" i="13" s="1"/>
  <c r="A91" i="13"/>
  <c r="E91" i="13" s="1" a="1"/>
  <c r="E91" i="13" s="1"/>
  <c r="A90" i="13"/>
  <c r="A89" i="13"/>
  <c r="A88" i="13"/>
  <c r="F88" i="13" s="1" a="1"/>
  <c r="F88" i="13" s="1"/>
  <c r="A87" i="13"/>
  <c r="A86" i="13"/>
  <c r="A85" i="13"/>
  <c r="C85" i="13" s="1" a="1"/>
  <c r="C85" i="13" s="1"/>
  <c r="A84" i="13"/>
  <c r="F84" i="13" s="1" a="1"/>
  <c r="F84" i="13" s="1"/>
  <c r="A83" i="13"/>
  <c r="E83" i="13" s="1" a="1"/>
  <c r="E83" i="13" s="1"/>
  <c r="A82" i="13"/>
  <c r="C82" i="13" s="1" a="1"/>
  <c r="C82" i="13" s="1"/>
  <c r="A81" i="13"/>
  <c r="A80" i="13"/>
  <c r="D80" i="13" s="1" a="1"/>
  <c r="D80" i="13" s="1"/>
  <c r="A79" i="13"/>
  <c r="A78" i="13"/>
  <c r="F78" i="13" s="1" a="1"/>
  <c r="F78" i="13" s="1"/>
  <c r="A77" i="13"/>
  <c r="E77" i="13" s="1" a="1"/>
  <c r="E77" i="13" s="1"/>
  <c r="A76" i="13"/>
  <c r="A75" i="13"/>
  <c r="E75" i="13" s="1" a="1"/>
  <c r="E75" i="13" s="1"/>
  <c r="A74" i="13"/>
  <c r="F74" i="13" s="1" a="1"/>
  <c r="F74" i="13" s="1"/>
  <c r="A73" i="13"/>
  <c r="E73" i="13" s="1" a="1"/>
  <c r="E73" i="13" s="1"/>
  <c r="A72" i="13"/>
  <c r="A71" i="13"/>
  <c r="A70" i="13"/>
  <c r="F70" i="13" s="1" a="1"/>
  <c r="F70" i="13" s="1"/>
  <c r="A69" i="13"/>
  <c r="A68" i="13"/>
  <c r="A67" i="13"/>
  <c r="E67" i="13" s="1" a="1"/>
  <c r="E67" i="13" s="1"/>
  <c r="A66" i="13"/>
  <c r="F66" i="13" s="1" a="1"/>
  <c r="F66" i="13" s="1"/>
  <c r="A65" i="13"/>
  <c r="E65" i="13" s="1" a="1"/>
  <c r="E65" i="13" s="1"/>
  <c r="A64" i="13"/>
  <c r="A63" i="13"/>
  <c r="A62" i="13"/>
  <c r="F62" i="13" s="1" a="1"/>
  <c r="F62" i="13" s="1"/>
  <c r="A61" i="13"/>
  <c r="D61" i="13" s="1" a="1"/>
  <c r="D61" i="13" s="1"/>
  <c r="A60" i="13"/>
  <c r="A59" i="13"/>
  <c r="E59" i="13" s="1" a="1"/>
  <c r="E59" i="13" s="1"/>
  <c r="A58" i="13"/>
  <c r="F58" i="13" s="1" a="1"/>
  <c r="F58" i="13" s="1"/>
  <c r="A57" i="13"/>
  <c r="E57" i="13" s="1" a="1"/>
  <c r="E57" i="13" s="1"/>
  <c r="A56" i="13"/>
  <c r="A55" i="13"/>
  <c r="D55" i="13" s="1" a="1"/>
  <c r="D55" i="13" s="1"/>
  <c r="A54" i="13"/>
  <c r="F54" i="13" s="1" a="1"/>
  <c r="F54" i="13" s="1"/>
  <c r="A53" i="13"/>
  <c r="C53" i="13" s="1" a="1"/>
  <c r="C53" i="13" s="1"/>
  <c r="A52" i="13"/>
  <c r="A51" i="13"/>
  <c r="E51" i="13" s="1" a="1"/>
  <c r="E51" i="13" s="1"/>
  <c r="A50" i="13"/>
  <c r="F50" i="13" s="1" a="1"/>
  <c r="F50" i="13" s="1"/>
  <c r="A49" i="13"/>
  <c r="E49" i="13" s="1" a="1"/>
  <c r="E49" i="13" s="1"/>
  <c r="A48" i="13"/>
  <c r="A47" i="13"/>
  <c r="D47" i="13" s="1" a="1"/>
  <c r="D47" i="13" s="1"/>
  <c r="A46" i="13"/>
  <c r="A45" i="13"/>
  <c r="C45" i="13" s="1" a="1"/>
  <c r="C45" i="13" s="1"/>
  <c r="A44" i="13"/>
  <c r="A43" i="13"/>
  <c r="F43" i="13" s="1" a="1"/>
  <c r="F43" i="13" s="1"/>
  <c r="A42" i="13"/>
  <c r="A41" i="13"/>
  <c r="F41" i="13" s="1" a="1"/>
  <c r="F41" i="13" s="1"/>
  <c r="A40" i="13"/>
  <c r="A39" i="13"/>
  <c r="E39" i="13" s="1" a="1"/>
  <c r="E39" i="13" s="1"/>
  <c r="A38" i="13"/>
  <c r="A37" i="13"/>
  <c r="D37" i="13" s="1" a="1"/>
  <c r="D37" i="13" s="1"/>
  <c r="A36" i="13"/>
  <c r="A35" i="13"/>
  <c r="C35" i="13" s="1" a="1"/>
  <c r="C35" i="13" s="1"/>
  <c r="A34" i="13"/>
  <c r="A33" i="13"/>
  <c r="F33" i="13" s="1" a="1"/>
  <c r="F33" i="13" s="1"/>
  <c r="A32" i="13"/>
  <c r="A31" i="13"/>
  <c r="E31" i="13" s="1" a="1"/>
  <c r="E31" i="13" s="1"/>
  <c r="A30" i="13"/>
  <c r="A29" i="13"/>
  <c r="D29" i="13" s="1" a="1"/>
  <c r="D29" i="13" s="1"/>
  <c r="A28" i="13"/>
  <c r="A27" i="13"/>
  <c r="C27" i="13" s="1" a="1"/>
  <c r="C27" i="13" s="1"/>
  <c r="A26" i="13"/>
  <c r="A25" i="13"/>
  <c r="F25" i="13" s="1" a="1"/>
  <c r="F25" i="13" s="1"/>
  <c r="A24" i="13"/>
  <c r="A23" i="13"/>
  <c r="E23" i="13" s="1" a="1"/>
  <c r="E23" i="13" s="1"/>
  <c r="A22" i="13"/>
  <c r="A21" i="13"/>
  <c r="D21" i="13" s="1" a="1"/>
  <c r="D21" i="13" s="1"/>
  <c r="A20" i="13"/>
  <c r="A19" i="13"/>
  <c r="B19" i="13" s="1" a="1"/>
  <c r="B19" i="13" s="1"/>
  <c r="A18" i="13"/>
  <c r="E18" i="13" s="1" a="1"/>
  <c r="E18" i="13" s="1"/>
  <c r="A17" i="13"/>
  <c r="E17" i="13" s="1" a="1"/>
  <c r="E17" i="13" s="1"/>
  <c r="A16" i="13"/>
  <c r="F16" i="13" s="1" a="1"/>
  <c r="F16" i="13" s="1"/>
  <c r="A15" i="13"/>
  <c r="E15" i="13" s="1" a="1"/>
  <c r="E15" i="13" s="1"/>
  <c r="A14" i="13"/>
  <c r="E14" i="13" s="1" a="1"/>
  <c r="E14" i="13" s="1"/>
  <c r="A13" i="13"/>
  <c r="E13" i="13" s="1" a="1"/>
  <c r="E13" i="13" s="1"/>
  <c r="A12" i="13"/>
  <c r="F12" i="13" s="1" a="1"/>
  <c r="F12" i="13" s="1"/>
  <c r="A11" i="13"/>
  <c r="F11" i="13" s="1" a="1"/>
  <c r="F11" i="13" s="1"/>
  <c r="A10" i="13"/>
  <c r="E10" i="13" s="1" a="1"/>
  <c r="E10" i="13" s="1"/>
  <c r="A9" i="13"/>
  <c r="E9" i="13" s="1" a="1"/>
  <c r="E9" i="13" s="1"/>
  <c r="A8" i="13"/>
  <c r="F8" i="13" s="1" a="1"/>
  <c r="F8" i="13" s="1"/>
  <c r="A7" i="13"/>
  <c r="D7" i="13" s="1" a="1"/>
  <c r="D7" i="13" s="1"/>
  <c r="A6" i="13"/>
  <c r="E6" i="13" s="1" a="1"/>
  <c r="E6" i="13" s="1"/>
  <c r="A5" i="13"/>
  <c r="E5" i="13" s="1" a="1"/>
  <c r="E5" i="13" s="1"/>
  <c r="A4" i="13"/>
  <c r="F4" i="13" s="1" a="1"/>
  <c r="F4" i="13" s="1"/>
  <c r="A3" i="13"/>
  <c r="B3" i="13" s="1" a="1"/>
  <c r="B3" i="13" s="1"/>
  <c r="A2" i="13"/>
  <c r="E2" i="13" s="1" a="1"/>
  <c r="E2" i="13" s="1"/>
  <c r="F197" i="12"/>
  <c r="G191" i="12"/>
  <c r="G190" i="12"/>
  <c r="G189" i="12"/>
  <c r="G182" i="12"/>
  <c r="G181" i="12"/>
  <c r="G180" i="12"/>
  <c r="G173" i="12"/>
  <c r="G172" i="12"/>
  <c r="G171" i="12"/>
  <c r="F191" i="12"/>
  <c r="F190" i="12"/>
  <c r="F189" i="12"/>
  <c r="F182" i="12"/>
  <c r="F181" i="12"/>
  <c r="F180" i="12"/>
  <c r="F173" i="12"/>
  <c r="G175" i="12"/>
  <c r="F172" i="12"/>
  <c r="F171" i="12"/>
  <c r="E170" i="12" a="1"/>
  <c r="E170" i="12" s="1"/>
  <c r="G169" i="12"/>
  <c r="F169" i="12"/>
  <c r="F165" i="12"/>
  <c r="J169" i="11"/>
  <c r="I165" i="11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O191" i="11"/>
  <c r="O190" i="11"/>
  <c r="O189" i="11"/>
  <c r="N191" i="11"/>
  <c r="N190" i="11"/>
  <c r="N189" i="11"/>
  <c r="O174" i="11"/>
  <c r="O173" i="11"/>
  <c r="O172" i="11"/>
  <c r="O171" i="11"/>
  <c r="N173" i="11"/>
  <c r="N172" i="11"/>
  <c r="N171" i="11"/>
  <c r="M170" i="11" a="1"/>
  <c r="M170" i="11" s="1"/>
  <c r="O169" i="11"/>
  <c r="N169" i="11"/>
  <c r="I170" i="11" a="1"/>
  <c r="I170" i="11" s="1"/>
  <c r="K169" i="11"/>
  <c r="P4" i="11"/>
  <c r="P3" i="11"/>
  <c r="P2" i="11"/>
  <c r="Q4" i="11"/>
  <c r="Q3" i="11"/>
  <c r="Q2" i="11"/>
  <c r="J165" i="11"/>
  <c r="I165" i="9"/>
  <c r="A164" i="11"/>
  <c r="D164" i="11" s="1" a="1"/>
  <c r="D164" i="11" s="1"/>
  <c r="A163" i="11"/>
  <c r="A162" i="11"/>
  <c r="A161" i="11"/>
  <c r="C161" i="11" s="1" a="1"/>
  <c r="C161" i="11" s="1"/>
  <c r="A160" i="11"/>
  <c r="D160" i="11" s="1" a="1"/>
  <c r="D160" i="11" s="1"/>
  <c r="A159" i="11"/>
  <c r="A158" i="11"/>
  <c r="D158" i="11" s="1" a="1"/>
  <c r="D158" i="11" s="1"/>
  <c r="A157" i="11"/>
  <c r="A156" i="11"/>
  <c r="D156" i="11" s="1" a="1"/>
  <c r="D156" i="11" s="1"/>
  <c r="A155" i="11"/>
  <c r="B155" i="11" s="1" a="1"/>
  <c r="B155" i="11" s="1"/>
  <c r="A154" i="11"/>
  <c r="D154" i="11" s="1" a="1"/>
  <c r="D154" i="11" s="1"/>
  <c r="A153" i="11"/>
  <c r="A152" i="11"/>
  <c r="A151" i="11"/>
  <c r="D151" i="11" s="1" a="1"/>
  <c r="D151" i="11" s="1"/>
  <c r="A150" i="11"/>
  <c r="D150" i="11" s="1" a="1"/>
  <c r="D150" i="11" s="1"/>
  <c r="A149" i="11"/>
  <c r="A148" i="11"/>
  <c r="D148" i="11" s="1" a="1"/>
  <c r="D148" i="11" s="1"/>
  <c r="A147" i="11"/>
  <c r="C147" i="11" s="1" a="1"/>
  <c r="C147" i="11" s="1"/>
  <c r="A146" i="11"/>
  <c r="D146" i="11" s="1" a="1"/>
  <c r="D146" i="11" s="1"/>
  <c r="A145" i="11"/>
  <c r="C145" i="11" s="1" a="1"/>
  <c r="C145" i="11" s="1"/>
  <c r="A144" i="11"/>
  <c r="D144" i="11" s="1" a="1"/>
  <c r="D144" i="11" s="1"/>
  <c r="A143" i="11"/>
  <c r="C143" i="11" s="1" a="1"/>
  <c r="C143" i="11" s="1"/>
  <c r="A142" i="11"/>
  <c r="A141" i="11"/>
  <c r="A140" i="11"/>
  <c r="A139" i="11"/>
  <c r="D139" i="11" s="1" a="1"/>
  <c r="D139" i="11" s="1"/>
  <c r="A138" i="11"/>
  <c r="D138" i="11" s="1" a="1"/>
  <c r="D138" i="11" s="1"/>
  <c r="A137" i="11"/>
  <c r="C137" i="11" s="1" a="1"/>
  <c r="C137" i="11" s="1"/>
  <c r="A136" i="11"/>
  <c r="D136" i="11" s="1" a="1"/>
  <c r="D136" i="11" s="1"/>
  <c r="A135" i="11"/>
  <c r="C135" i="11" s="1" a="1"/>
  <c r="C135" i="11" s="1"/>
  <c r="A134" i="11"/>
  <c r="D134" i="11" s="1" a="1"/>
  <c r="D134" i="11" s="1"/>
  <c r="A133" i="11"/>
  <c r="A132" i="11"/>
  <c r="D132" i="11" s="1" a="1"/>
  <c r="D132" i="11" s="1"/>
  <c r="A131" i="11"/>
  <c r="A130" i="11"/>
  <c r="A129" i="11"/>
  <c r="A128" i="11"/>
  <c r="A127" i="11"/>
  <c r="C127" i="11" s="1" a="1"/>
  <c r="C127" i="11" s="1"/>
  <c r="A126" i="11"/>
  <c r="A125" i="11"/>
  <c r="D125" i="11" s="1" a="1"/>
  <c r="D125" i="11" s="1"/>
  <c r="A124" i="11"/>
  <c r="A123" i="11"/>
  <c r="A122" i="11"/>
  <c r="A121" i="11"/>
  <c r="D121" i="11" s="1" a="1"/>
  <c r="D121" i="11" s="1"/>
  <c r="A120" i="11"/>
  <c r="C120" i="11" s="1" a="1"/>
  <c r="C120" i="11" s="1"/>
  <c r="A119" i="11"/>
  <c r="D119" i="11" s="1" a="1"/>
  <c r="D119" i="11" s="1"/>
  <c r="A118" i="11"/>
  <c r="A117" i="11"/>
  <c r="D117" i="11" s="1" a="1"/>
  <c r="D117" i="11" s="1"/>
  <c r="A116" i="11"/>
  <c r="C116" i="11" s="1" a="1"/>
  <c r="C116" i="11" s="1"/>
  <c r="A115" i="11"/>
  <c r="A114" i="11"/>
  <c r="A113" i="11"/>
  <c r="D113" i="11" s="1" a="1"/>
  <c r="D113" i="11" s="1"/>
  <c r="A112" i="11"/>
  <c r="C112" i="11" s="1" a="1"/>
  <c r="C112" i="11" s="1"/>
  <c r="A111" i="11"/>
  <c r="A110" i="11"/>
  <c r="C110" i="11" s="1" a="1"/>
  <c r="C110" i="11" s="1"/>
  <c r="A109" i="11"/>
  <c r="D109" i="11" s="1" a="1"/>
  <c r="D109" i="11" s="1"/>
  <c r="A108" i="11"/>
  <c r="C108" i="11" s="1" a="1"/>
  <c r="C108" i="11" s="1"/>
  <c r="A107" i="11"/>
  <c r="D107" i="11" s="1" a="1"/>
  <c r="D107" i="11" s="1"/>
  <c r="A106" i="11"/>
  <c r="C106" i="11" s="1" a="1"/>
  <c r="C106" i="11" s="1"/>
  <c r="A105" i="11"/>
  <c r="D105" i="11" s="1" a="1"/>
  <c r="D105" i="11" s="1"/>
  <c r="A104" i="11"/>
  <c r="A103" i="11"/>
  <c r="D103" i="11" s="1" a="1"/>
  <c r="D103" i="11" s="1"/>
  <c r="A102" i="11"/>
  <c r="A101" i="11"/>
  <c r="A100" i="11"/>
  <c r="C100" i="11" s="1" a="1"/>
  <c r="C100" i="11" s="1"/>
  <c r="A99" i="11"/>
  <c r="D99" i="11" s="1" a="1"/>
  <c r="D99" i="11" s="1"/>
  <c r="A98" i="11"/>
  <c r="C98" i="11" s="1" a="1"/>
  <c r="C98" i="11" s="1"/>
  <c r="A97" i="11"/>
  <c r="C97" i="11" s="1" a="1"/>
  <c r="C97" i="11" s="1"/>
  <c r="A96" i="11"/>
  <c r="A95" i="11"/>
  <c r="D95" i="11" s="1" a="1"/>
  <c r="D95" i="11" s="1"/>
  <c r="A94" i="11"/>
  <c r="A93" i="11"/>
  <c r="D93" i="11" s="1" a="1"/>
  <c r="D93" i="11" s="1"/>
  <c r="A92" i="11"/>
  <c r="A91" i="11"/>
  <c r="D91" i="11" s="1" a="1"/>
  <c r="D91" i="11" s="1"/>
  <c r="A90" i="11"/>
  <c r="A89" i="11"/>
  <c r="D89" i="11" s="1" a="1"/>
  <c r="D89" i="11" s="1"/>
  <c r="A88" i="11"/>
  <c r="A87" i="11"/>
  <c r="D87" i="11" s="1" a="1"/>
  <c r="D87" i="11" s="1"/>
  <c r="A86" i="11"/>
  <c r="A85" i="11"/>
  <c r="D85" i="11" s="1" a="1"/>
  <c r="D85" i="11" s="1"/>
  <c r="A84" i="11"/>
  <c r="D84" i="11" s="1" a="1"/>
  <c r="D84" i="11" s="1"/>
  <c r="A83" i="11"/>
  <c r="C83" i="11" s="1" a="1"/>
  <c r="C83" i="11" s="1"/>
  <c r="A82" i="11"/>
  <c r="C82" i="11" s="1" a="1"/>
  <c r="C82" i="11" s="1"/>
  <c r="A81" i="11"/>
  <c r="D81" i="11" s="1" a="1"/>
  <c r="D81" i="11" s="1"/>
  <c r="A80" i="11"/>
  <c r="D80" i="11" s="1" a="1"/>
  <c r="D80" i="11" s="1"/>
  <c r="A79" i="11"/>
  <c r="B79" i="11" s="1" a="1"/>
  <c r="B79" i="11" s="1"/>
  <c r="A78" i="11"/>
  <c r="A77" i="11"/>
  <c r="C77" i="11" s="1" a="1"/>
  <c r="C77" i="11" s="1"/>
  <c r="A76" i="11"/>
  <c r="D76" i="11" s="1" a="1"/>
  <c r="D76" i="11" s="1"/>
  <c r="A75" i="11"/>
  <c r="B75" i="11" s="1" a="1"/>
  <c r="B75" i="11" s="1"/>
  <c r="A74" i="11"/>
  <c r="A73" i="11"/>
  <c r="C73" i="11" s="1" a="1"/>
  <c r="C73" i="11" s="1"/>
  <c r="A72" i="11"/>
  <c r="A71" i="11"/>
  <c r="C71" i="11" s="1" a="1"/>
  <c r="C71" i="11" s="1"/>
  <c r="A70" i="11"/>
  <c r="D70" i="11" s="1" a="1"/>
  <c r="D70" i="11" s="1"/>
  <c r="A69" i="11"/>
  <c r="D69" i="11" s="1" a="1"/>
  <c r="D69" i="11" s="1"/>
  <c r="A68" i="11"/>
  <c r="C68" i="11" s="1" a="1"/>
  <c r="C68" i="11" s="1"/>
  <c r="A67" i="11"/>
  <c r="C67" i="11" s="1" a="1"/>
  <c r="C67" i="11" s="1"/>
  <c r="A66" i="11"/>
  <c r="D66" i="11" s="1" a="1"/>
  <c r="D66" i="11" s="1"/>
  <c r="A65" i="11"/>
  <c r="D65" i="11" s="1" a="1"/>
  <c r="D65" i="11" s="1"/>
  <c r="A64" i="11"/>
  <c r="C64" i="11" s="1" a="1"/>
  <c r="C64" i="11" s="1"/>
  <c r="A63" i="11"/>
  <c r="C63" i="11" s="1" a="1"/>
  <c r="C63" i="11" s="1"/>
  <c r="A62" i="11"/>
  <c r="D62" i="11" s="1" a="1"/>
  <c r="D62" i="11" s="1"/>
  <c r="A61" i="11"/>
  <c r="D61" i="11" s="1" a="1"/>
  <c r="D61" i="11" s="1"/>
  <c r="A60" i="11"/>
  <c r="C60" i="11" s="1" a="1"/>
  <c r="C60" i="11" s="1"/>
  <c r="A59" i="11"/>
  <c r="C59" i="11" s="1" a="1"/>
  <c r="C59" i="11" s="1"/>
  <c r="A58" i="11"/>
  <c r="D58" i="11" s="1" a="1"/>
  <c r="D58" i="11" s="1"/>
  <c r="A57" i="11"/>
  <c r="D57" i="11" s="1" a="1"/>
  <c r="D57" i="11" s="1"/>
  <c r="A56" i="11"/>
  <c r="C56" i="11" s="1" a="1"/>
  <c r="C56" i="11" s="1"/>
  <c r="A55" i="11"/>
  <c r="C55" i="11" s="1" a="1"/>
  <c r="C55" i="11" s="1"/>
  <c r="A54" i="11"/>
  <c r="A53" i="11"/>
  <c r="A52" i="11"/>
  <c r="A51" i="11"/>
  <c r="A50" i="11"/>
  <c r="A49" i="11"/>
  <c r="A48" i="11"/>
  <c r="D48" i="11" s="1" a="1"/>
  <c r="D48" i="11" s="1"/>
  <c r="A47" i="11"/>
  <c r="A46" i="11"/>
  <c r="A45" i="11"/>
  <c r="A44" i="11"/>
  <c r="A43" i="11"/>
  <c r="A42" i="11"/>
  <c r="A41" i="11"/>
  <c r="A40" i="11"/>
  <c r="D40" i="11" s="1" a="1"/>
  <c r="D40" i="11" s="1"/>
  <c r="A39" i="11"/>
  <c r="A38" i="11"/>
  <c r="A37" i="11"/>
  <c r="A36" i="11"/>
  <c r="D36" i="11" s="1" a="1"/>
  <c r="D36" i="11" s="1"/>
  <c r="A35" i="11"/>
  <c r="C35" i="11" s="1" a="1"/>
  <c r="C35" i="11" s="1"/>
  <c r="A34" i="11"/>
  <c r="A33" i="11"/>
  <c r="D33" i="11" s="1" a="1"/>
  <c r="D33" i="11" s="1"/>
  <c r="A32" i="11"/>
  <c r="A31" i="11"/>
  <c r="A30" i="11"/>
  <c r="A29" i="11"/>
  <c r="A28" i="11"/>
  <c r="C28" i="11" s="1" a="1"/>
  <c r="C28" i="11" s="1"/>
  <c r="A27" i="11"/>
  <c r="C27" i="11" s="1" a="1"/>
  <c r="C27" i="11" s="1"/>
  <c r="A26" i="11"/>
  <c r="A25" i="11"/>
  <c r="D25" i="11" s="1" a="1"/>
  <c r="D25" i="11" s="1"/>
  <c r="A24" i="11"/>
  <c r="D24" i="11" s="1" a="1"/>
  <c r="D24" i="11" s="1"/>
  <c r="A23" i="11"/>
  <c r="C23" i="11" s="1" a="1"/>
  <c r="C23" i="11" s="1"/>
  <c r="A22" i="11"/>
  <c r="A21" i="11"/>
  <c r="D21" i="11" s="1" a="1"/>
  <c r="D21" i="11" s="1"/>
  <c r="A20" i="11"/>
  <c r="C20" i="11" s="1" a="1"/>
  <c r="C20" i="11" s="1"/>
  <c r="A19" i="11"/>
  <c r="C19" i="11" s="1" a="1"/>
  <c r="C19" i="11" s="1"/>
  <c r="A18" i="11"/>
  <c r="A17" i="11"/>
  <c r="D17" i="11" s="1" a="1"/>
  <c r="D17" i="11" s="1"/>
  <c r="A16" i="11"/>
  <c r="D16" i="11" s="1" a="1"/>
  <c r="D16" i="11" s="1"/>
  <c r="A15" i="11"/>
  <c r="C15" i="11" s="1" a="1"/>
  <c r="C15" i="11" s="1"/>
  <c r="A14" i="11"/>
  <c r="A13" i="11"/>
  <c r="D13" i="11" s="1" a="1"/>
  <c r="D13" i="11" s="1"/>
  <c r="A12" i="11"/>
  <c r="C12" i="11" s="1" a="1"/>
  <c r="C12" i="11" s="1"/>
  <c r="A11" i="11"/>
  <c r="C11" i="11" s="1" a="1"/>
  <c r="C11" i="11" s="1"/>
  <c r="A10" i="11"/>
  <c r="A9" i="11"/>
  <c r="D9" i="11" s="1" a="1"/>
  <c r="D9" i="11" s="1"/>
  <c r="A8" i="11"/>
  <c r="D8" i="11" s="1" a="1"/>
  <c r="D8" i="11" s="1"/>
  <c r="A7" i="11"/>
  <c r="C7" i="11" s="1" a="1"/>
  <c r="C7" i="11" s="1"/>
  <c r="A6" i="11"/>
  <c r="A5" i="11"/>
  <c r="D5" i="11" s="1" a="1"/>
  <c r="D5" i="11" s="1"/>
  <c r="A4" i="11"/>
  <c r="C4" i="11" s="1" a="1"/>
  <c r="C4" i="11" s="1"/>
  <c r="A3" i="11"/>
  <c r="C3" i="11" s="1" a="1"/>
  <c r="C3" i="11" s="1"/>
  <c r="A2" i="11"/>
  <c r="J172" i="15" l="1"/>
  <c r="J182" i="15"/>
  <c r="J181" i="15"/>
  <c r="J180" i="15"/>
  <c r="J191" i="15"/>
  <c r="J190" i="15"/>
  <c r="J189" i="15"/>
  <c r="J173" i="15"/>
  <c r="N191" i="15"/>
  <c r="N190" i="15"/>
  <c r="N189" i="15"/>
  <c r="N173" i="15"/>
  <c r="N172" i="15"/>
  <c r="P5" i="15"/>
  <c r="B95" i="15" a="1"/>
  <c r="B95" i="15" s="1"/>
  <c r="B8" i="15" a="1"/>
  <c r="B8" i="15" s="1"/>
  <c r="C52" i="15" a="1"/>
  <c r="C52" i="15" s="1"/>
  <c r="C61" i="15" a="1"/>
  <c r="C61" i="15" s="1"/>
  <c r="D75" i="15" a="1"/>
  <c r="D75" i="15" s="1"/>
  <c r="D108" i="15" a="1"/>
  <c r="D108" i="15" s="1"/>
  <c r="C5" i="15" a="1"/>
  <c r="C5" i="15" s="1"/>
  <c r="D92" i="15" a="1"/>
  <c r="D92" i="15" s="1"/>
  <c r="C120" i="15" a="1"/>
  <c r="C120" i="15" s="1"/>
  <c r="C69" i="15" a="1"/>
  <c r="C69" i="15" s="1"/>
  <c r="B46" i="15" a="1"/>
  <c r="B46" i="15" s="1"/>
  <c r="C21" i="15" a="1"/>
  <c r="C21" i="15" s="1"/>
  <c r="B24" i="15" a="1"/>
  <c r="B24" i="15" s="1"/>
  <c r="B67" i="15" a="1"/>
  <c r="B67" i="15" s="1"/>
  <c r="C68" i="15" a="1"/>
  <c r="C68" i="15" s="1"/>
  <c r="C77" i="15" a="1"/>
  <c r="C77" i="15" s="1"/>
  <c r="C143" i="15" a="1"/>
  <c r="C143" i="15" s="1"/>
  <c r="B150" i="15" a="1"/>
  <c r="B150" i="15" s="1"/>
  <c r="C13" i="15" a="1"/>
  <c r="C13" i="15" s="1"/>
  <c r="B16" i="15" a="1"/>
  <c r="B16" i="15" s="1"/>
  <c r="B51" i="15" a="1"/>
  <c r="B51" i="15" s="1"/>
  <c r="C67" i="15" a="1"/>
  <c r="C67" i="15" s="1"/>
  <c r="C122" i="15" a="1"/>
  <c r="C122" i="15" s="1"/>
  <c r="C16" i="15" a="1"/>
  <c r="C16" i="15" s="1"/>
  <c r="D134" i="15" a="1"/>
  <c r="D134" i="15" s="1"/>
  <c r="C12" i="15" a="1"/>
  <c r="C12" i="15" s="1"/>
  <c r="D51" i="15" a="1"/>
  <c r="D51" i="15" s="1"/>
  <c r="C53" i="15" a="1"/>
  <c r="C53" i="15" s="1"/>
  <c r="C60" i="15" a="1"/>
  <c r="C60" i="15" s="1"/>
  <c r="C76" i="15" a="1"/>
  <c r="C76" i="15" s="1"/>
  <c r="B81" i="15" a="1"/>
  <c r="B81" i="15" s="1"/>
  <c r="C83" i="15" a="1"/>
  <c r="C83" i="15" s="1"/>
  <c r="B116" i="15" a="1"/>
  <c r="B116" i="15" s="1"/>
  <c r="B118" i="15" a="1"/>
  <c r="B118" i="15" s="1"/>
  <c r="C127" i="15" a="1"/>
  <c r="C127" i="15" s="1"/>
  <c r="C130" i="15" a="1"/>
  <c r="C130" i="15" s="1"/>
  <c r="C138" i="15" a="1"/>
  <c r="C138" i="15" s="1"/>
  <c r="C154" i="15" a="1"/>
  <c r="C154" i="15" s="1"/>
  <c r="D81" i="15" a="1"/>
  <c r="D81" i="15" s="1"/>
  <c r="C97" i="15" a="1"/>
  <c r="C97" i="15" s="1"/>
  <c r="B100" i="15" a="1"/>
  <c r="B100" i="15" s="1"/>
  <c r="C142" i="15" a="1"/>
  <c r="C142" i="15" s="1"/>
  <c r="C131" i="15" a="1"/>
  <c r="C131" i="15" s="1"/>
  <c r="B134" i="15" a="1"/>
  <c r="B134" i="15" s="1"/>
  <c r="B4" i="15" a="1"/>
  <c r="B4" i="15" s="1"/>
  <c r="C8" i="15" a="1"/>
  <c r="C8" i="15" s="1"/>
  <c r="C17" i="15" a="1"/>
  <c r="C17" i="15" s="1"/>
  <c r="B20" i="15" a="1"/>
  <c r="B20" i="15" s="1"/>
  <c r="C24" i="15" a="1"/>
  <c r="C24" i="15" s="1"/>
  <c r="B59" i="15" a="1"/>
  <c r="B59" i="15" s="1"/>
  <c r="C63" i="15" a="1"/>
  <c r="C63" i="15" s="1"/>
  <c r="D91" i="15" a="1"/>
  <c r="D91" i="15" s="1"/>
  <c r="D100" i="15" a="1"/>
  <c r="D100" i="15" s="1"/>
  <c r="B103" i="15" a="1"/>
  <c r="B103" i="15" s="1"/>
  <c r="B105" i="15" a="1"/>
  <c r="B105" i="15" s="1"/>
  <c r="D107" i="15" a="1"/>
  <c r="D107" i="15" s="1"/>
  <c r="B112" i="15" a="1"/>
  <c r="B112" i="15" s="1"/>
  <c r="C118" i="15" a="1"/>
  <c r="C118" i="15" s="1"/>
  <c r="B126" i="15" a="1"/>
  <c r="B126" i="15" s="1"/>
  <c r="C135" i="15" a="1"/>
  <c r="C135" i="15" s="1"/>
  <c r="D142" i="15" a="1"/>
  <c r="D142" i="15" s="1"/>
  <c r="C144" i="15" a="1"/>
  <c r="C144" i="15" s="1"/>
  <c r="D150" i="15" a="1"/>
  <c r="D150" i="15" s="1"/>
  <c r="C152" i="15" a="1"/>
  <c r="C152" i="15" s="1"/>
  <c r="B158" i="15" a="1"/>
  <c r="B158" i="15" s="1"/>
  <c r="C159" i="15" a="1"/>
  <c r="C159" i="15" s="1"/>
  <c r="C4" i="15" a="1"/>
  <c r="C4" i="15" s="1"/>
  <c r="C20" i="15" a="1"/>
  <c r="C20" i="15" s="1"/>
  <c r="D59" i="15" a="1"/>
  <c r="D59" i="15" s="1"/>
  <c r="D103" i="15" a="1"/>
  <c r="D103" i="15" s="1"/>
  <c r="C105" i="15" a="1"/>
  <c r="C105" i="15" s="1"/>
  <c r="C126" i="15" a="1"/>
  <c r="C126" i="15" s="1"/>
  <c r="C158" i="15" a="1"/>
  <c r="C158" i="15" s="1"/>
  <c r="C9" i="15" a="1"/>
  <c r="C9" i="15" s="1"/>
  <c r="B12" i="15" a="1"/>
  <c r="B12" i="15" s="1"/>
  <c r="C47" i="15" a="1"/>
  <c r="C47" i="15" s="1"/>
  <c r="B75" i="15" a="1"/>
  <c r="B75" i="15" s="1"/>
  <c r="B83" i="15" a="1"/>
  <c r="B83" i="15" s="1"/>
  <c r="B92" i="15" a="1"/>
  <c r="B92" i="15" s="1"/>
  <c r="B97" i="15" a="1"/>
  <c r="B97" i="15" s="1"/>
  <c r="B108" i="15" a="1"/>
  <c r="B108" i="15" s="1"/>
  <c r="B113" i="15" a="1"/>
  <c r="B113" i="15" s="1"/>
  <c r="B122" i="15" a="1"/>
  <c r="B122" i="15" s="1"/>
  <c r="C136" i="15" a="1"/>
  <c r="C136" i="15" s="1"/>
  <c r="C151" i="15" a="1"/>
  <c r="C151" i="15" s="1"/>
  <c r="C160" i="15" a="1"/>
  <c r="C160" i="15" s="1"/>
  <c r="D85" i="15" a="1"/>
  <c r="D85" i="15" s="1"/>
  <c r="D101" i="15" a="1"/>
  <c r="D101" i="15" s="1"/>
  <c r="B3" i="15" a="1"/>
  <c r="B3" i="15" s="1"/>
  <c r="B7" i="15" a="1"/>
  <c r="B7" i="15" s="1"/>
  <c r="B11" i="15" a="1"/>
  <c r="B11" i="15" s="1"/>
  <c r="B15" i="15" a="1"/>
  <c r="B15" i="15" s="1"/>
  <c r="B19" i="15" a="1"/>
  <c r="B19" i="15" s="1"/>
  <c r="B23" i="15" a="1"/>
  <c r="B23" i="15" s="1"/>
  <c r="B27" i="15" a="1"/>
  <c r="B27" i="15" s="1"/>
  <c r="C28" i="15" a="1"/>
  <c r="C28" i="15" s="1"/>
  <c r="B31" i="15" a="1"/>
  <c r="B31" i="15" s="1"/>
  <c r="B32" i="15" a="1"/>
  <c r="B32" i="15" s="1"/>
  <c r="D34" i="15" a="1"/>
  <c r="D34" i="15" s="1"/>
  <c r="D35" i="15" a="1"/>
  <c r="D35" i="15" s="1"/>
  <c r="D38" i="15" a="1"/>
  <c r="D38" i="15" s="1"/>
  <c r="D39" i="15" a="1"/>
  <c r="D39" i="15" s="1"/>
  <c r="D42" i="15" a="1"/>
  <c r="D42" i="15" s="1"/>
  <c r="C43" i="15" a="1"/>
  <c r="C43" i="15" s="1"/>
  <c r="C44" i="15" a="1"/>
  <c r="C44" i="15" s="1"/>
  <c r="D47" i="15" a="1"/>
  <c r="D47" i="15" s="1"/>
  <c r="C49" i="15" a="1"/>
  <c r="C49" i="15" s="1"/>
  <c r="B55" i="15" a="1"/>
  <c r="B55" i="15" s="1"/>
  <c r="C56" i="15" a="1"/>
  <c r="C56" i="15" s="1"/>
  <c r="D63" i="15" a="1"/>
  <c r="D63" i="15" s="1"/>
  <c r="C65" i="15" a="1"/>
  <c r="C65" i="15" s="1"/>
  <c r="B71" i="15" a="1"/>
  <c r="B71" i="15" s="1"/>
  <c r="C72" i="15" a="1"/>
  <c r="C72" i="15" s="1"/>
  <c r="B85" i="15" a="1"/>
  <c r="B85" i="15" s="1"/>
  <c r="C89" i="15" a="1"/>
  <c r="C89" i="15" s="1"/>
  <c r="C93" i="15" a="1"/>
  <c r="C93" i="15" s="1"/>
  <c r="B96" i="15" a="1"/>
  <c r="B96" i="15" s="1"/>
  <c r="B99" i="15" a="1"/>
  <c r="B99" i="15" s="1"/>
  <c r="B101" i="15" a="1"/>
  <c r="B101" i="15" s="1"/>
  <c r="D104" i="15" a="1"/>
  <c r="D104" i="15" s="1"/>
  <c r="C110" i="15" a="1"/>
  <c r="C110" i="15" s="1"/>
  <c r="B114" i="15" a="1"/>
  <c r="B114" i="15" s="1"/>
  <c r="B124" i="15" a="1"/>
  <c r="B124" i="15" s="1"/>
  <c r="B129" i="15" a="1"/>
  <c r="B129" i="15" s="1"/>
  <c r="D130" i="15" a="1"/>
  <c r="D130" i="15" s="1"/>
  <c r="D138" i="15" a="1"/>
  <c r="D138" i="15" s="1"/>
  <c r="C140" i="15" a="1"/>
  <c r="C140" i="15" s="1"/>
  <c r="B146" i="15" a="1"/>
  <c r="B146" i="15" s="1"/>
  <c r="C147" i="15" a="1"/>
  <c r="C147" i="15" s="1"/>
  <c r="D154" i="15" a="1"/>
  <c r="D154" i="15" s="1"/>
  <c r="C156" i="15" a="1"/>
  <c r="C156" i="15" s="1"/>
  <c r="B162" i="15" a="1"/>
  <c r="B162" i="15" s="1"/>
  <c r="C163" i="15" a="1"/>
  <c r="C163" i="15" s="1"/>
  <c r="D114" i="15" a="1"/>
  <c r="D114" i="15" s="1"/>
  <c r="D3" i="15" a="1"/>
  <c r="D3" i="15" s="1"/>
  <c r="D7" i="15" a="1"/>
  <c r="D7" i="15" s="1"/>
  <c r="D11" i="15" a="1"/>
  <c r="D11" i="15" s="1"/>
  <c r="D15" i="15" a="1"/>
  <c r="D15" i="15" s="1"/>
  <c r="D19" i="15" a="1"/>
  <c r="D19" i="15" s="1"/>
  <c r="D23" i="15" a="1"/>
  <c r="D23" i="15" s="1"/>
  <c r="D43" i="15" a="1"/>
  <c r="D43" i="15" s="1"/>
  <c r="C55" i="15" a="1"/>
  <c r="C55" i="15" s="1"/>
  <c r="C71" i="15" a="1"/>
  <c r="C71" i="15" s="1"/>
  <c r="D89" i="15" a="1"/>
  <c r="D89" i="15" s="1"/>
  <c r="D93" i="15" a="1"/>
  <c r="D93" i="15" s="1"/>
  <c r="D99" i="15" a="1"/>
  <c r="D99" i="15" s="1"/>
  <c r="D110" i="15" a="1"/>
  <c r="D110" i="15" s="1"/>
  <c r="C146" i="15" a="1"/>
  <c r="C146" i="15" s="1"/>
  <c r="C162" i="15" a="1"/>
  <c r="C162" i="15" s="1"/>
  <c r="D26" i="15" a="1"/>
  <c r="D26" i="15" s="1"/>
  <c r="D27" i="15" a="1"/>
  <c r="D27" i="15" s="1"/>
  <c r="D30" i="15" a="1"/>
  <c r="D30" i="15" s="1"/>
  <c r="D31" i="15" a="1"/>
  <c r="D31" i="15" s="1"/>
  <c r="C32" i="15" a="1"/>
  <c r="C32" i="15" s="1"/>
  <c r="B34" i="15" a="1"/>
  <c r="B34" i="15" s="1"/>
  <c r="B35" i="15" a="1"/>
  <c r="B35" i="15" s="1"/>
  <c r="C36" i="15" a="1"/>
  <c r="C36" i="15" s="1"/>
  <c r="B38" i="15" a="1"/>
  <c r="B38" i="15" s="1"/>
  <c r="B39" i="15" a="1"/>
  <c r="B39" i="15" s="1"/>
  <c r="C40" i="15" a="1"/>
  <c r="C40" i="15" s="1"/>
  <c r="B42" i="15" a="1"/>
  <c r="B42" i="15" s="1"/>
  <c r="C48" i="15" a="1"/>
  <c r="C48" i="15" s="1"/>
  <c r="C57" i="15" a="1"/>
  <c r="C57" i="15" s="1"/>
  <c r="C64" i="15" a="1"/>
  <c r="C64" i="15" s="1"/>
  <c r="C73" i="15" a="1"/>
  <c r="C73" i="15" s="1"/>
  <c r="D95" i="15" a="1"/>
  <c r="D95" i="15" s="1"/>
  <c r="D96" i="15" a="1"/>
  <c r="D96" i="15" s="1"/>
  <c r="B104" i="15" a="1"/>
  <c r="B104" i="15" s="1"/>
  <c r="B107" i="15" a="1"/>
  <c r="B107" i="15" s="1"/>
  <c r="C112" i="15" a="1"/>
  <c r="C112" i="15" s="1"/>
  <c r="B120" i="15" a="1"/>
  <c r="B120" i="15" s="1"/>
  <c r="B121" i="15" a="1"/>
  <c r="B121" i="15" s="1"/>
  <c r="C139" i="15" a="1"/>
  <c r="C139" i="15" s="1"/>
  <c r="C148" i="15" a="1"/>
  <c r="C148" i="15" s="1"/>
  <c r="C155" i="15" a="1"/>
  <c r="C155" i="15" s="1"/>
  <c r="C164" i="15" a="1"/>
  <c r="C164" i="15" s="1"/>
  <c r="D45" i="15" a="1"/>
  <c r="D45" i="15" s="1"/>
  <c r="B45" i="15" a="1"/>
  <c r="B45" i="15" s="1"/>
  <c r="C133" i="15" a="1"/>
  <c r="C133" i="15" s="1"/>
  <c r="D133" i="15" a="1"/>
  <c r="D133" i="15" s="1"/>
  <c r="B133" i="15" a="1"/>
  <c r="B133" i="15" s="1"/>
  <c r="B2" i="15" a="1"/>
  <c r="B2" i="15" s="1"/>
  <c r="D2" i="15" a="1"/>
  <c r="D2" i="15" s="1"/>
  <c r="B6" i="15" a="1"/>
  <c r="B6" i="15" s="1"/>
  <c r="D6" i="15" a="1"/>
  <c r="D6" i="15" s="1"/>
  <c r="B10" i="15" a="1"/>
  <c r="B10" i="15" s="1"/>
  <c r="D10" i="15" a="1"/>
  <c r="D10" i="15" s="1"/>
  <c r="B14" i="15" a="1"/>
  <c r="B14" i="15" s="1"/>
  <c r="D14" i="15" a="1"/>
  <c r="D14" i="15" s="1"/>
  <c r="B18" i="15" a="1"/>
  <c r="B18" i="15" s="1"/>
  <c r="D18" i="15" a="1"/>
  <c r="D18" i="15" s="1"/>
  <c r="B22" i="15" a="1"/>
  <c r="B22" i="15" s="1"/>
  <c r="D22" i="15" a="1"/>
  <c r="D22" i="15" s="1"/>
  <c r="C45" i="15" a="1"/>
  <c r="C45" i="15" s="1"/>
  <c r="D86" i="15" a="1"/>
  <c r="D86" i="15" s="1"/>
  <c r="B86" i="15" a="1"/>
  <c r="B86" i="15" s="1"/>
  <c r="C86" i="15" a="1"/>
  <c r="C86" i="15" s="1"/>
  <c r="C102" i="15" a="1"/>
  <c r="C102" i="15" s="1"/>
  <c r="D102" i="15" a="1"/>
  <c r="D102" i="15" s="1"/>
  <c r="B102" i="15" a="1"/>
  <c r="B102" i="15" s="1"/>
  <c r="C106" i="15" a="1"/>
  <c r="C106" i="15" s="1"/>
  <c r="D106" i="15" a="1"/>
  <c r="D106" i="15" s="1"/>
  <c r="B106" i="15" a="1"/>
  <c r="B106" i="15" s="1"/>
  <c r="C149" i="15" a="1"/>
  <c r="C149" i="15" s="1"/>
  <c r="D149" i="15" a="1"/>
  <c r="D149" i="15" s="1"/>
  <c r="B149" i="15" a="1"/>
  <c r="B149" i="15" s="1"/>
  <c r="B5" i="15" a="1"/>
  <c r="B5" i="15" s="1"/>
  <c r="B9" i="15" a="1"/>
  <c r="B9" i="15" s="1"/>
  <c r="B13" i="15" a="1"/>
  <c r="B13" i="15" s="1"/>
  <c r="B17" i="15" a="1"/>
  <c r="B17" i="15" s="1"/>
  <c r="B21" i="15" a="1"/>
  <c r="B21" i="15" s="1"/>
  <c r="B25" i="15" a="1"/>
  <c r="B25" i="15" s="1"/>
  <c r="B26" i="15" a="1"/>
  <c r="B26" i="15" s="1"/>
  <c r="D29" i="15" a="1"/>
  <c r="D29" i="15" s="1"/>
  <c r="B29" i="15" a="1"/>
  <c r="B29" i="15" s="1"/>
  <c r="B30" i="15" a="1"/>
  <c r="B30" i="15" s="1"/>
  <c r="D46" i="15" a="1"/>
  <c r="D46" i="15" s="1"/>
  <c r="C50" i="15" a="1"/>
  <c r="C50" i="15" s="1"/>
  <c r="D50" i="15" a="1"/>
  <c r="D50" i="15" s="1"/>
  <c r="B50" i="15" a="1"/>
  <c r="B50" i="15" s="1"/>
  <c r="C54" i="15" a="1"/>
  <c r="C54" i="15" s="1"/>
  <c r="D54" i="15" a="1"/>
  <c r="D54" i="15" s="1"/>
  <c r="B54" i="15" a="1"/>
  <c r="B54" i="15" s="1"/>
  <c r="C58" i="15" a="1"/>
  <c r="C58" i="15" s="1"/>
  <c r="D58" i="15" a="1"/>
  <c r="D58" i="15" s="1"/>
  <c r="B58" i="15" a="1"/>
  <c r="B58" i="15" s="1"/>
  <c r="C62" i="15" a="1"/>
  <c r="C62" i="15" s="1"/>
  <c r="D62" i="15" a="1"/>
  <c r="D62" i="15" s="1"/>
  <c r="B62" i="15" a="1"/>
  <c r="B62" i="15" s="1"/>
  <c r="C66" i="15" a="1"/>
  <c r="C66" i="15" s="1"/>
  <c r="D66" i="15" a="1"/>
  <c r="D66" i="15" s="1"/>
  <c r="B66" i="15" a="1"/>
  <c r="B66" i="15" s="1"/>
  <c r="C70" i="15" a="1"/>
  <c r="C70" i="15" s="1"/>
  <c r="D70" i="15" a="1"/>
  <c r="D70" i="15" s="1"/>
  <c r="B70" i="15" a="1"/>
  <c r="B70" i="15" s="1"/>
  <c r="C74" i="15" a="1"/>
  <c r="C74" i="15" s="1"/>
  <c r="D74" i="15" a="1"/>
  <c r="D74" i="15" s="1"/>
  <c r="B74" i="15" a="1"/>
  <c r="B74" i="15" s="1"/>
  <c r="D78" i="15" a="1"/>
  <c r="D78" i="15" s="1"/>
  <c r="B78" i="15" a="1"/>
  <c r="B78" i="15" s="1"/>
  <c r="C78" i="15" a="1"/>
  <c r="C78" i="15" s="1"/>
  <c r="C84" i="15" a="1"/>
  <c r="C84" i="15" s="1"/>
  <c r="B84" i="15" a="1"/>
  <c r="B84" i="15" s="1"/>
  <c r="C98" i="15" a="1"/>
  <c r="C98" i="15" s="1"/>
  <c r="D98" i="15" a="1"/>
  <c r="D98" i="15" s="1"/>
  <c r="B98" i="15" a="1"/>
  <c r="B98" i="15" s="1"/>
  <c r="C25" i="15" a="1"/>
  <c r="C25" i="15" s="1"/>
  <c r="D33" i="15" a="1"/>
  <c r="D33" i="15" s="1"/>
  <c r="B33" i="15" a="1"/>
  <c r="B33" i="15" s="1"/>
  <c r="D37" i="15" a="1"/>
  <c r="D37" i="15" s="1"/>
  <c r="B37" i="15" a="1"/>
  <c r="B37" i="15" s="1"/>
  <c r="D41" i="15" a="1"/>
  <c r="D41" i="15" s="1"/>
  <c r="B41" i="15" a="1"/>
  <c r="B41" i="15" s="1"/>
  <c r="C94" i="15" a="1"/>
  <c r="C94" i="15" s="1"/>
  <c r="D94" i="15" a="1"/>
  <c r="D94" i="15" s="1"/>
  <c r="B94" i="15" a="1"/>
  <c r="B94" i="15" s="1"/>
  <c r="D79" i="15" a="1"/>
  <c r="D79" i="15" s="1"/>
  <c r="D87" i="15" a="1"/>
  <c r="D87" i="15" s="1"/>
  <c r="C109" i="15" a="1"/>
  <c r="C109" i="15" s="1"/>
  <c r="B109" i="15" a="1"/>
  <c r="B109" i="15" s="1"/>
  <c r="D111" i="15" a="1"/>
  <c r="D111" i="15" s="1"/>
  <c r="B111" i="15" a="1"/>
  <c r="B111" i="15" s="1"/>
  <c r="C111" i="15" a="1"/>
  <c r="C111" i="15" s="1"/>
  <c r="C125" i="15" a="1"/>
  <c r="C125" i="15" s="1"/>
  <c r="B125" i="15" a="1"/>
  <c r="B125" i="15" s="1"/>
  <c r="C137" i="15" a="1"/>
  <c r="C137" i="15" s="1"/>
  <c r="D137" i="15" a="1"/>
  <c r="D137" i="15" s="1"/>
  <c r="B137" i="15" a="1"/>
  <c r="B137" i="15" s="1"/>
  <c r="C153" i="15" a="1"/>
  <c r="C153" i="15" s="1"/>
  <c r="D153" i="15" a="1"/>
  <c r="D153" i="15" s="1"/>
  <c r="B153" i="15" a="1"/>
  <c r="B153" i="15" s="1"/>
  <c r="B49" i="15" a="1"/>
  <c r="B49" i="15" s="1"/>
  <c r="B53" i="15" a="1"/>
  <c r="B53" i="15" s="1"/>
  <c r="B57" i="15" a="1"/>
  <c r="B57" i="15" s="1"/>
  <c r="B61" i="15" a="1"/>
  <c r="B61" i="15" s="1"/>
  <c r="B65" i="15" a="1"/>
  <c r="B65" i="15" s="1"/>
  <c r="B69" i="15" a="1"/>
  <c r="B69" i="15" s="1"/>
  <c r="B73" i="15" a="1"/>
  <c r="B73" i="15" s="1"/>
  <c r="B77" i="15" a="1"/>
  <c r="B77" i="15" s="1"/>
  <c r="B79" i="15" a="1"/>
  <c r="B79" i="15" s="1"/>
  <c r="D80" i="15" a="1"/>
  <c r="D80" i="15" s="1"/>
  <c r="D82" i="15" a="1"/>
  <c r="D82" i="15" s="1"/>
  <c r="B82" i="15" a="1"/>
  <c r="B82" i="15" s="1"/>
  <c r="B87" i="15" a="1"/>
  <c r="B87" i="15" s="1"/>
  <c r="D88" i="15" a="1"/>
  <c r="D88" i="15" s="1"/>
  <c r="D90" i="15" a="1"/>
  <c r="D90" i="15" s="1"/>
  <c r="B90" i="15" a="1"/>
  <c r="B90" i="15" s="1"/>
  <c r="B91" i="15" a="1"/>
  <c r="B91" i="15" s="1"/>
  <c r="D109" i="15" a="1"/>
  <c r="D109" i="15" s="1"/>
  <c r="D125" i="15" a="1"/>
  <c r="D125" i="15" s="1"/>
  <c r="C141" i="15" a="1"/>
  <c r="C141" i="15" s="1"/>
  <c r="D141" i="15" a="1"/>
  <c r="D141" i="15" s="1"/>
  <c r="B141" i="15" a="1"/>
  <c r="B141" i="15" s="1"/>
  <c r="C157" i="15" a="1"/>
  <c r="C157" i="15" s="1"/>
  <c r="D157" i="15" a="1"/>
  <c r="D157" i="15" s="1"/>
  <c r="B157" i="15" a="1"/>
  <c r="B157" i="15" s="1"/>
  <c r="B28" i="15" a="1"/>
  <c r="B28" i="15" s="1"/>
  <c r="B36" i="15" a="1"/>
  <c r="B36" i="15" s="1"/>
  <c r="B40" i="15" a="1"/>
  <c r="B40" i="15" s="1"/>
  <c r="B44" i="15" a="1"/>
  <c r="B44" i="15" s="1"/>
  <c r="B48" i="15" a="1"/>
  <c r="B48" i="15" s="1"/>
  <c r="B52" i="15" a="1"/>
  <c r="B52" i="15" s="1"/>
  <c r="B56" i="15" a="1"/>
  <c r="B56" i="15" s="1"/>
  <c r="B60" i="15" a="1"/>
  <c r="B60" i="15" s="1"/>
  <c r="B64" i="15" a="1"/>
  <c r="B64" i="15" s="1"/>
  <c r="B68" i="15" a="1"/>
  <c r="B68" i="15" s="1"/>
  <c r="B72" i="15" a="1"/>
  <c r="B72" i="15" s="1"/>
  <c r="B76" i="15" a="1"/>
  <c r="B76" i="15" s="1"/>
  <c r="B80" i="15" a="1"/>
  <c r="B80" i="15" s="1"/>
  <c r="B88" i="15" a="1"/>
  <c r="B88" i="15" s="1"/>
  <c r="C90" i="15" a="1"/>
  <c r="C90" i="15" s="1"/>
  <c r="C117" i="15" a="1"/>
  <c r="C117" i="15" s="1"/>
  <c r="B117" i="15" a="1"/>
  <c r="B117" i="15" s="1"/>
  <c r="D119" i="15" a="1"/>
  <c r="D119" i="15" s="1"/>
  <c r="B119" i="15" a="1"/>
  <c r="B119" i="15" s="1"/>
  <c r="C119" i="15" a="1"/>
  <c r="C119" i="15" s="1"/>
  <c r="D128" i="15" a="1"/>
  <c r="D128" i="15" s="1"/>
  <c r="B128" i="15" a="1"/>
  <c r="B128" i="15" s="1"/>
  <c r="C128" i="15" a="1"/>
  <c r="C128" i="15" s="1"/>
  <c r="C145" i="15" a="1"/>
  <c r="C145" i="15" s="1"/>
  <c r="D145" i="15" a="1"/>
  <c r="D145" i="15" s="1"/>
  <c r="B145" i="15" a="1"/>
  <c r="B145" i="15" s="1"/>
  <c r="C161" i="15" a="1"/>
  <c r="C161" i="15" s="1"/>
  <c r="D161" i="15" a="1"/>
  <c r="D161" i="15" s="1"/>
  <c r="B161" i="15" a="1"/>
  <c r="B161" i="15" s="1"/>
  <c r="C116" i="15" a="1"/>
  <c r="C116" i="15" s="1"/>
  <c r="C124" i="15" a="1"/>
  <c r="C124" i="15" s="1"/>
  <c r="D132" i="15" a="1"/>
  <c r="D132" i="15" s="1"/>
  <c r="B132" i="15" a="1"/>
  <c r="B132" i="15" s="1"/>
  <c r="D113" i="15" a="1"/>
  <c r="D113" i="15" s="1"/>
  <c r="D115" i="15" a="1"/>
  <c r="D115" i="15" s="1"/>
  <c r="B115" i="15" a="1"/>
  <c r="B115" i="15" s="1"/>
  <c r="D121" i="15" a="1"/>
  <c r="D121" i="15" s="1"/>
  <c r="D123" i="15" a="1"/>
  <c r="D123" i="15" s="1"/>
  <c r="B123" i="15" a="1"/>
  <c r="B123" i="15" s="1"/>
  <c r="D129" i="15" a="1"/>
  <c r="D129" i="15" s="1"/>
  <c r="B136" i="15" a="1"/>
  <c r="B136" i="15" s="1"/>
  <c r="B140" i="15" a="1"/>
  <c r="B140" i="15" s="1"/>
  <c r="B144" i="15" a="1"/>
  <c r="B144" i="15" s="1"/>
  <c r="B148" i="15" a="1"/>
  <c r="B148" i="15" s="1"/>
  <c r="B152" i="15" a="1"/>
  <c r="B152" i="15" s="1"/>
  <c r="B156" i="15" a="1"/>
  <c r="B156" i="15" s="1"/>
  <c r="B160" i="15" a="1"/>
  <c r="B160" i="15" s="1"/>
  <c r="B164" i="15" a="1"/>
  <c r="B164" i="15" s="1"/>
  <c r="B127" i="15" a="1"/>
  <c r="B127" i="15" s="1"/>
  <c r="B131" i="15" a="1"/>
  <c r="B131" i="15" s="1"/>
  <c r="B135" i="15" a="1"/>
  <c r="B135" i="15" s="1"/>
  <c r="B139" i="15" a="1"/>
  <c r="B139" i="15" s="1"/>
  <c r="B143" i="15" a="1"/>
  <c r="B143" i="15" s="1"/>
  <c r="B147" i="15" a="1"/>
  <c r="B147" i="15" s="1"/>
  <c r="B151" i="15" a="1"/>
  <c r="B151" i="15" s="1"/>
  <c r="B155" i="15" a="1"/>
  <c r="B155" i="15" s="1"/>
  <c r="B159" i="15" a="1"/>
  <c r="B159" i="15" s="1"/>
  <c r="B163" i="15" a="1"/>
  <c r="B163" i="15" s="1"/>
  <c r="P5" i="14"/>
  <c r="N180" i="14"/>
  <c r="N173" i="14"/>
  <c r="O173" i="14" s="1"/>
  <c r="N191" i="14"/>
  <c r="O191" i="14" s="1"/>
  <c r="N189" i="14"/>
  <c r="O189" i="14" s="1"/>
  <c r="N172" i="14"/>
  <c r="O172" i="14" s="1"/>
  <c r="N190" i="14"/>
  <c r="O190" i="14" s="1"/>
  <c r="N171" i="14"/>
  <c r="O171" i="14" s="1"/>
  <c r="F182" i="14"/>
  <c r="F180" i="14"/>
  <c r="F191" i="14"/>
  <c r="F189" i="14"/>
  <c r="F172" i="14"/>
  <c r="F190" i="14"/>
  <c r="F173" i="14"/>
  <c r="F181" i="14"/>
  <c r="J181" i="14"/>
  <c r="J191" i="14"/>
  <c r="J189" i="14"/>
  <c r="J190" i="14"/>
  <c r="J173" i="14"/>
  <c r="J171" i="14"/>
  <c r="J182" i="14"/>
  <c r="J172" i="14"/>
  <c r="B88" i="14" a="1"/>
  <c r="B88" i="14" s="1"/>
  <c r="B26" i="14" a="1"/>
  <c r="B26" i="14" s="1"/>
  <c r="E83" i="14" a="1"/>
  <c r="E83" i="14" s="1"/>
  <c r="D150" i="14" a="1"/>
  <c r="D150" i="14" s="1"/>
  <c r="C6" i="14" a="1"/>
  <c r="C6" i="14" s="1"/>
  <c r="E78" i="14" a="1"/>
  <c r="E78" i="14" s="1"/>
  <c r="C84" i="14" a="1"/>
  <c r="C84" i="14" s="1"/>
  <c r="B14" i="14" a="1"/>
  <c r="B14" i="14" s="1"/>
  <c r="D69" i="14" a="1"/>
  <c r="D69" i="14" s="1"/>
  <c r="C72" i="14" a="1"/>
  <c r="C72" i="14" s="1"/>
  <c r="C82" i="14" a="1"/>
  <c r="C82" i="14" s="1"/>
  <c r="C86" i="14" a="1"/>
  <c r="C86" i="14" s="1"/>
  <c r="B154" i="14" a="1"/>
  <c r="B154" i="14" s="1"/>
  <c r="E82" i="14" a="1"/>
  <c r="E82" i="14" s="1"/>
  <c r="B152" i="14" a="1"/>
  <c r="B152" i="14" s="1"/>
  <c r="B64" i="14" a="1"/>
  <c r="B64" i="14" s="1"/>
  <c r="C101" i="14" a="1"/>
  <c r="C101" i="14" s="1"/>
  <c r="D4" i="14" a="1"/>
  <c r="D4" i="14" s="1"/>
  <c r="B10" i="14" a="1"/>
  <c r="B10" i="14" s="1"/>
  <c r="C14" i="14" a="1"/>
  <c r="C14" i="14" s="1"/>
  <c r="D20" i="14" a="1"/>
  <c r="D20" i="14" s="1"/>
  <c r="D26" i="14" a="1"/>
  <c r="D26" i="14" s="1"/>
  <c r="C87" i="14" a="1"/>
  <c r="C87" i="14" s="1"/>
  <c r="C88" i="14" a="1"/>
  <c r="C88" i="14" s="1"/>
  <c r="C113" i="14" a="1"/>
  <c r="C113" i="14" s="1"/>
  <c r="C158" i="14" a="1"/>
  <c r="C158" i="14" s="1"/>
  <c r="C10" i="14" a="1"/>
  <c r="C10" i="14" s="1"/>
  <c r="D14" i="14" a="1"/>
  <c r="D14" i="14" s="1"/>
  <c r="E87" i="14" a="1"/>
  <c r="E87" i="14" s="1"/>
  <c r="D88" i="14" a="1"/>
  <c r="D88" i="14" s="1"/>
  <c r="B101" i="14" a="1"/>
  <c r="B101" i="14" s="1"/>
  <c r="D107" i="14" a="1"/>
  <c r="D107" i="14" s="1"/>
  <c r="B117" i="14" a="1"/>
  <c r="B117" i="14" s="1"/>
  <c r="B151" i="14" a="1"/>
  <c r="B151" i="14" s="1"/>
  <c r="D10" i="14" a="1"/>
  <c r="D10" i="14" s="1"/>
  <c r="E93" i="14" a="1"/>
  <c r="E93" i="14" s="1"/>
  <c r="D6" i="14" a="1"/>
  <c r="D6" i="14" s="1"/>
  <c r="B18" i="14" a="1"/>
  <c r="B18" i="14" s="1"/>
  <c r="B22" i="14" a="1"/>
  <c r="B22" i="14" s="1"/>
  <c r="C26" i="14" a="1"/>
  <c r="C26" i="14" s="1"/>
  <c r="D28" i="14" a="1"/>
  <c r="D28" i="14" s="1"/>
  <c r="B30" i="14" a="1"/>
  <c r="B30" i="14" s="1"/>
  <c r="B34" i="14" a="1"/>
  <c r="B34" i="14" s="1"/>
  <c r="B38" i="14" a="1"/>
  <c r="B38" i="14" s="1"/>
  <c r="B42" i="14" a="1"/>
  <c r="B42" i="14" s="1"/>
  <c r="B46" i="14" a="1"/>
  <c r="B46" i="14" s="1"/>
  <c r="B50" i="14" a="1"/>
  <c r="B50" i="14" s="1"/>
  <c r="B54" i="14" a="1"/>
  <c r="B54" i="14" s="1"/>
  <c r="B58" i="14" a="1"/>
  <c r="B58" i="14" s="1"/>
  <c r="E71" i="14" a="1"/>
  <c r="E71" i="14" s="1"/>
  <c r="D72" i="14" a="1"/>
  <c r="D72" i="14" s="1"/>
  <c r="C75" i="14" a="1"/>
  <c r="C75" i="14" s="1"/>
  <c r="B93" i="14" a="1"/>
  <c r="B93" i="14" s="1"/>
  <c r="D102" i="14" a="1"/>
  <c r="D102" i="14" s="1"/>
  <c r="B105" i="14" a="1"/>
  <c r="B105" i="14" s="1"/>
  <c r="D106" i="14" a="1"/>
  <c r="D106" i="14" s="1"/>
  <c r="B110" i="14" a="1"/>
  <c r="B110" i="14" s="1"/>
  <c r="C112" i="14" a="1"/>
  <c r="C112" i="14" s="1"/>
  <c r="E113" i="14" a="1"/>
  <c r="E113" i="14" s="1"/>
  <c r="B122" i="14" a="1"/>
  <c r="B122" i="14" s="1"/>
  <c r="C124" i="14" a="1"/>
  <c r="C124" i="14" s="1"/>
  <c r="B126" i="14" a="1"/>
  <c r="B126" i="14" s="1"/>
  <c r="C128" i="14" a="1"/>
  <c r="C128" i="14" s="1"/>
  <c r="B130" i="14" a="1"/>
  <c r="B130" i="14" s="1"/>
  <c r="B134" i="14" a="1"/>
  <c r="B134" i="14" s="1"/>
  <c r="B138" i="14" a="1"/>
  <c r="B138" i="14" s="1"/>
  <c r="B142" i="14" a="1"/>
  <c r="B142" i="14" s="1"/>
  <c r="B146" i="14" a="1"/>
  <c r="B146" i="14" s="1"/>
  <c r="D152" i="14" a="1"/>
  <c r="D152" i="14" s="1"/>
  <c r="C154" i="14" a="1"/>
  <c r="C154" i="14" s="1"/>
  <c r="C162" i="14" a="1"/>
  <c r="C162" i="14" s="1"/>
  <c r="C18" i="14" a="1"/>
  <c r="C18" i="14" s="1"/>
  <c r="C22" i="14" a="1"/>
  <c r="C22" i="14" s="1"/>
  <c r="C30" i="14" a="1"/>
  <c r="C30" i="14" s="1"/>
  <c r="C34" i="14" a="1"/>
  <c r="C34" i="14" s="1"/>
  <c r="C38" i="14" a="1"/>
  <c r="C38" i="14" s="1"/>
  <c r="C42" i="14" a="1"/>
  <c r="C42" i="14" s="1"/>
  <c r="C46" i="14" a="1"/>
  <c r="C46" i="14" s="1"/>
  <c r="C50" i="14" a="1"/>
  <c r="C50" i="14" s="1"/>
  <c r="C54" i="14" a="1"/>
  <c r="C54" i="14" s="1"/>
  <c r="C58" i="14" a="1"/>
  <c r="C58" i="14" s="1"/>
  <c r="C93" i="14" a="1"/>
  <c r="C93" i="14" s="1"/>
  <c r="D110" i="14" a="1"/>
  <c r="D110" i="14" s="1"/>
  <c r="E112" i="14" a="1"/>
  <c r="E112" i="14" s="1"/>
  <c r="D122" i="14" a="1"/>
  <c r="D122" i="14" s="1"/>
  <c r="C126" i="14" a="1"/>
  <c r="C126" i="14" s="1"/>
  <c r="C130" i="14" a="1"/>
  <c r="C130" i="14" s="1"/>
  <c r="C134" i="14" a="1"/>
  <c r="C134" i="14" s="1"/>
  <c r="C138" i="14" a="1"/>
  <c r="C138" i="14" s="1"/>
  <c r="C142" i="14" a="1"/>
  <c r="C142" i="14" s="1"/>
  <c r="C146" i="14" a="1"/>
  <c r="C146" i="14" s="1"/>
  <c r="E154" i="14" a="1"/>
  <c r="E154" i="14" s="1"/>
  <c r="B6" i="14" a="1"/>
  <c r="B6" i="14" s="1"/>
  <c r="D12" i="14" a="1"/>
  <c r="D12" i="14" s="1"/>
  <c r="D18" i="14" a="1"/>
  <c r="D18" i="14" s="1"/>
  <c r="D22" i="14" a="1"/>
  <c r="D22" i="14" s="1"/>
  <c r="D30" i="14" a="1"/>
  <c r="D30" i="14" s="1"/>
  <c r="D34" i="14" a="1"/>
  <c r="D34" i="14" s="1"/>
  <c r="D38" i="14" a="1"/>
  <c r="D38" i="14" s="1"/>
  <c r="D42" i="14" a="1"/>
  <c r="D42" i="14" s="1"/>
  <c r="D46" i="14" a="1"/>
  <c r="D46" i="14" s="1"/>
  <c r="D50" i="14" a="1"/>
  <c r="D50" i="14" s="1"/>
  <c r="D54" i="14" a="1"/>
  <c r="D54" i="14" s="1"/>
  <c r="D58" i="14" a="1"/>
  <c r="D58" i="14" s="1"/>
  <c r="C71" i="14" a="1"/>
  <c r="C71" i="14" s="1"/>
  <c r="B72" i="14" a="1"/>
  <c r="B72" i="14" s="1"/>
  <c r="B76" i="14" a="1"/>
  <c r="B76" i="14" s="1"/>
  <c r="D84" i="14" a="1"/>
  <c r="D84" i="14" s="1"/>
  <c r="B98" i="14" a="1"/>
  <c r="B98" i="14" s="1"/>
  <c r="E101" i="14" a="1"/>
  <c r="E101" i="14" s="1"/>
  <c r="B106" i="14" a="1"/>
  <c r="B106" i="14" s="1"/>
  <c r="B109" i="14" a="1"/>
  <c r="B109" i="14" s="1"/>
  <c r="C121" i="14" a="1"/>
  <c r="C121" i="14" s="1"/>
  <c r="D130" i="14" a="1"/>
  <c r="D130" i="14" s="1"/>
  <c r="D134" i="14" a="1"/>
  <c r="D134" i="14" s="1"/>
  <c r="D138" i="14" a="1"/>
  <c r="D138" i="14" s="1"/>
  <c r="D142" i="14" a="1"/>
  <c r="D142" i="14" s="1"/>
  <c r="D146" i="14" a="1"/>
  <c r="D146" i="14" s="1"/>
  <c r="C24" i="14" a="1"/>
  <c r="C24" i="14" s="1"/>
  <c r="B24" i="14" a="1"/>
  <c r="B24" i="14" s="1"/>
  <c r="B2" i="14" a="1"/>
  <c r="B2" i="14" s="1"/>
  <c r="E4" i="14" a="1"/>
  <c r="E4" i="14" s="1"/>
  <c r="B8" i="14" a="1"/>
  <c r="B8" i="14" s="1"/>
  <c r="E12" i="14" a="1"/>
  <c r="E12" i="14" s="1"/>
  <c r="B16" i="14" a="1"/>
  <c r="B16" i="14" s="1"/>
  <c r="E20" i="14" a="1"/>
  <c r="E20" i="14" s="1"/>
  <c r="D24" i="14" a="1"/>
  <c r="D24" i="14" s="1"/>
  <c r="C28" i="14" a="1"/>
  <c r="C28" i="14" s="1"/>
  <c r="B28" i="14" a="1"/>
  <c r="B28" i="14" s="1"/>
  <c r="E118" i="14" a="1"/>
  <c r="E118" i="14" s="1"/>
  <c r="D118" i="14" a="1"/>
  <c r="D118" i="14" s="1"/>
  <c r="B118" i="14" a="1"/>
  <c r="B118" i="14" s="1"/>
  <c r="E163" i="14" a="1"/>
  <c r="E163" i="14" s="1"/>
  <c r="D163" i="14" a="1"/>
  <c r="D163" i="14" s="1"/>
  <c r="B163" i="14" a="1"/>
  <c r="B163" i="14" s="1"/>
  <c r="E2" i="14" a="1"/>
  <c r="E2" i="14" s="1"/>
  <c r="E62" i="14" a="1"/>
  <c r="E62" i="14" s="1"/>
  <c r="C62" i="14" a="1"/>
  <c r="C62" i="14" s="1"/>
  <c r="C97" i="14" a="1"/>
  <c r="C97" i="14" s="1"/>
  <c r="E97" i="14" a="1"/>
  <c r="E97" i="14" s="1"/>
  <c r="B97" i="14" a="1"/>
  <c r="B97" i="14" s="1"/>
  <c r="C2" i="14" a="1"/>
  <c r="C2" i="14" s="1"/>
  <c r="D8" i="14" a="1"/>
  <c r="D8" i="14" s="1"/>
  <c r="D16" i="14" a="1"/>
  <c r="D16" i="14" s="1"/>
  <c r="E24" i="14" a="1"/>
  <c r="E24" i="14" s="1"/>
  <c r="C32" i="14" a="1"/>
  <c r="C32" i="14" s="1"/>
  <c r="B32" i="14" a="1"/>
  <c r="B32" i="14" s="1"/>
  <c r="D67" i="14" a="1"/>
  <c r="D67" i="14" s="1"/>
  <c r="E67" i="14" a="1"/>
  <c r="E67" i="14" s="1"/>
  <c r="C67" i="14" a="1"/>
  <c r="C67" i="14" s="1"/>
  <c r="D74" i="14" a="1"/>
  <c r="D74" i="14" s="1"/>
  <c r="E74" i="14" a="1"/>
  <c r="E74" i="14" s="1"/>
  <c r="C74" i="14" a="1"/>
  <c r="C74" i="14" s="1"/>
  <c r="D79" i="14" a="1"/>
  <c r="D79" i="14" s="1"/>
  <c r="E79" i="14" a="1"/>
  <c r="E79" i="14" s="1"/>
  <c r="C79" i="14" a="1"/>
  <c r="C79" i="14" s="1"/>
  <c r="E100" i="14" a="1"/>
  <c r="E100" i="14" s="1"/>
  <c r="C100" i="14" a="1"/>
  <c r="C100" i="14" s="1"/>
  <c r="D116" i="14" a="1"/>
  <c r="D116" i="14" s="1"/>
  <c r="E116" i="14" a="1"/>
  <c r="E116" i="14" s="1"/>
  <c r="C116" i="14" a="1"/>
  <c r="C116" i="14" s="1"/>
  <c r="C60" i="14" a="1"/>
  <c r="C60" i="14" s="1"/>
  <c r="E60" i="14" a="1"/>
  <c r="E60" i="14" s="1"/>
  <c r="B60" i="14" a="1"/>
  <c r="B60" i="14" s="1"/>
  <c r="D65" i="14" a="1"/>
  <c r="D65" i="14" s="1"/>
  <c r="B65" i="14" a="1"/>
  <c r="B65" i="14" s="1"/>
  <c r="E114" i="14" a="1"/>
  <c r="E114" i="14" s="1"/>
  <c r="D114" i="14" a="1"/>
  <c r="D114" i="14" s="1"/>
  <c r="B114" i="14" a="1"/>
  <c r="B114" i="14" s="1"/>
  <c r="B4" i="14" a="1"/>
  <c r="B4" i="14" s="1"/>
  <c r="E8" i="14" a="1"/>
  <c r="E8" i="14" s="1"/>
  <c r="B12" i="14" a="1"/>
  <c r="B12" i="14" s="1"/>
  <c r="E16" i="14" a="1"/>
  <c r="E16" i="14" s="1"/>
  <c r="B20" i="14" a="1"/>
  <c r="B20" i="14" s="1"/>
  <c r="D32" i="14" a="1"/>
  <c r="D32" i="14" s="1"/>
  <c r="D36" i="14" a="1"/>
  <c r="D36" i="14" s="1"/>
  <c r="C36" i="14" a="1"/>
  <c r="C36" i="14" s="1"/>
  <c r="B36" i="14" a="1"/>
  <c r="B36" i="14" s="1"/>
  <c r="D40" i="14" a="1"/>
  <c r="D40" i="14" s="1"/>
  <c r="C40" i="14" a="1"/>
  <c r="C40" i="14" s="1"/>
  <c r="B40" i="14" a="1"/>
  <c r="B40" i="14" s="1"/>
  <c r="D44" i="14" a="1"/>
  <c r="D44" i="14" s="1"/>
  <c r="C44" i="14" a="1"/>
  <c r="C44" i="14" s="1"/>
  <c r="B44" i="14" a="1"/>
  <c r="B44" i="14" s="1"/>
  <c r="D48" i="14" a="1"/>
  <c r="D48" i="14" s="1"/>
  <c r="C48" i="14" a="1"/>
  <c r="C48" i="14" s="1"/>
  <c r="B48" i="14" a="1"/>
  <c r="B48" i="14" s="1"/>
  <c r="D52" i="14" a="1"/>
  <c r="D52" i="14" s="1"/>
  <c r="C52" i="14" a="1"/>
  <c r="C52" i="14" s="1"/>
  <c r="B52" i="14" a="1"/>
  <c r="B52" i="14" s="1"/>
  <c r="D56" i="14" a="1"/>
  <c r="D56" i="14" s="1"/>
  <c r="C56" i="14" a="1"/>
  <c r="C56" i="14" s="1"/>
  <c r="B56" i="14" a="1"/>
  <c r="B56" i="14" s="1"/>
  <c r="C68" i="14" a="1"/>
  <c r="C68" i="14" s="1"/>
  <c r="E68" i="14" a="1"/>
  <c r="E68" i="14" s="1"/>
  <c r="B68" i="14" a="1"/>
  <c r="B68" i="14" s="1"/>
  <c r="D80" i="14" a="1"/>
  <c r="D80" i="14" s="1"/>
  <c r="C80" i="14" a="1"/>
  <c r="C80" i="14" s="1"/>
  <c r="B80" i="14" a="1"/>
  <c r="B80" i="14" s="1"/>
  <c r="E90" i="14" a="1"/>
  <c r="E90" i="14" s="1"/>
  <c r="C90" i="14" a="1"/>
  <c r="C90" i="14" s="1"/>
  <c r="D120" i="14" a="1"/>
  <c r="D120" i="14" s="1"/>
  <c r="E120" i="14" a="1"/>
  <c r="E120" i="14" s="1"/>
  <c r="C120" i="14" a="1"/>
  <c r="C120" i="14" s="1"/>
  <c r="D132" i="14" a="1"/>
  <c r="D132" i="14" s="1"/>
  <c r="C132" i="14" a="1"/>
  <c r="C132" i="14" s="1"/>
  <c r="B132" i="14" a="1"/>
  <c r="B132" i="14" s="1"/>
  <c r="D136" i="14" a="1"/>
  <c r="D136" i="14" s="1"/>
  <c r="C136" i="14" a="1"/>
  <c r="C136" i="14" s="1"/>
  <c r="B136" i="14" a="1"/>
  <c r="B136" i="14" s="1"/>
  <c r="D140" i="14" a="1"/>
  <c r="D140" i="14" s="1"/>
  <c r="C140" i="14" a="1"/>
  <c r="C140" i="14" s="1"/>
  <c r="B140" i="14" a="1"/>
  <c r="B140" i="14" s="1"/>
  <c r="D144" i="14" a="1"/>
  <c r="D144" i="14" s="1"/>
  <c r="C144" i="14" a="1"/>
  <c r="C144" i="14" s="1"/>
  <c r="B144" i="14" a="1"/>
  <c r="B144" i="14" s="1"/>
  <c r="E148" i="14" a="1"/>
  <c r="E148" i="14" s="1"/>
  <c r="D148" i="14" a="1"/>
  <c r="D148" i="14" s="1"/>
  <c r="C148" i="14" a="1"/>
  <c r="C148" i="14" s="1"/>
  <c r="B148" i="14" a="1"/>
  <c r="B148" i="14" s="1"/>
  <c r="E159" i="14" a="1"/>
  <c r="E159" i="14" s="1"/>
  <c r="D159" i="14" a="1"/>
  <c r="D159" i="14" s="1"/>
  <c r="B159" i="14" a="1"/>
  <c r="B159" i="14" s="1"/>
  <c r="C64" i="14" a="1"/>
  <c r="C64" i="14" s="1"/>
  <c r="C76" i="14" a="1"/>
  <c r="C76" i="14" s="1"/>
  <c r="E84" i="14" a="1"/>
  <c r="E84" i="14" s="1"/>
  <c r="E86" i="14" a="1"/>
  <c r="E86" i="14" s="1"/>
  <c r="D98" i="14" a="1"/>
  <c r="D98" i="14" s="1"/>
  <c r="E105" i="14" a="1"/>
  <c r="E105" i="14" s="1"/>
  <c r="E109" i="14" a="1"/>
  <c r="E109" i="14" s="1"/>
  <c r="D113" i="14" a="1"/>
  <c r="D113" i="14" s="1"/>
  <c r="E121" i="14" a="1"/>
  <c r="E121" i="14" s="1"/>
  <c r="D158" i="14" a="1"/>
  <c r="D158" i="14" s="1"/>
  <c r="D162" i="14" a="1"/>
  <c r="D162" i="14" s="1"/>
  <c r="D64" i="14" a="1"/>
  <c r="D64" i="14" s="1"/>
  <c r="E75" i="14" a="1"/>
  <c r="E75" i="14" s="1"/>
  <c r="D76" i="14" a="1"/>
  <c r="D76" i="14" s="1"/>
  <c r="C78" i="14" a="1"/>
  <c r="C78" i="14" s="1"/>
  <c r="C83" i="14" a="1"/>
  <c r="C83" i="14" s="1"/>
  <c r="B102" i="14" a="1"/>
  <c r="B102" i="14" s="1"/>
  <c r="C105" i="14" a="1"/>
  <c r="C105" i="14" s="1"/>
  <c r="C108" i="14" a="1"/>
  <c r="C108" i="14" s="1"/>
  <c r="C109" i="14" a="1"/>
  <c r="C109" i="14" s="1"/>
  <c r="C117" i="14" a="1"/>
  <c r="C117" i="14" s="1"/>
  <c r="D126" i="14" a="1"/>
  <c r="D126" i="14" s="1"/>
  <c r="B150" i="14" a="1"/>
  <c r="B150" i="14" s="1"/>
  <c r="E150" i="14" a="1"/>
  <c r="E150" i="14" s="1"/>
  <c r="B155" i="14" a="1"/>
  <c r="B155" i="14" s="1"/>
  <c r="B156" i="14" a="1"/>
  <c r="B156" i="14" s="1"/>
  <c r="B158" i="14" a="1"/>
  <c r="B158" i="14" s="1"/>
  <c r="B160" i="14" a="1"/>
  <c r="B160" i="14" s="1"/>
  <c r="B162" i="14" a="1"/>
  <c r="B162" i="14" s="1"/>
  <c r="B164" i="14" a="1"/>
  <c r="B164" i="14" s="1"/>
  <c r="E117" i="14" a="1"/>
  <c r="E117" i="14" s="1"/>
  <c r="D156" i="14" a="1"/>
  <c r="D156" i="14" s="1"/>
  <c r="D160" i="14" a="1"/>
  <c r="D160" i="14" s="1"/>
  <c r="D164" i="14" a="1"/>
  <c r="D164" i="14" s="1"/>
  <c r="D66" i="14" a="1"/>
  <c r="D66" i="14" s="1"/>
  <c r="B66" i="14" a="1"/>
  <c r="B66" i="14" s="1"/>
  <c r="E103" i="14" a="1"/>
  <c r="E103" i="14" s="1"/>
  <c r="C103" i="14" a="1"/>
  <c r="C103" i="14" s="1"/>
  <c r="D103" i="14" a="1"/>
  <c r="D103" i="14" s="1"/>
  <c r="B103" i="14" a="1"/>
  <c r="B103" i="14" s="1"/>
  <c r="C3" i="14" a="1"/>
  <c r="C3" i="14" s="1"/>
  <c r="E3" i="14" a="1"/>
  <c r="E3" i="14" s="1"/>
  <c r="B5" i="14" a="1"/>
  <c r="B5" i="14" s="1"/>
  <c r="D5" i="14" a="1"/>
  <c r="D5" i="14" s="1"/>
  <c r="C7" i="14" a="1"/>
  <c r="C7" i="14" s="1"/>
  <c r="E7" i="14" a="1"/>
  <c r="E7" i="14" s="1"/>
  <c r="B9" i="14" a="1"/>
  <c r="B9" i="14" s="1"/>
  <c r="D9" i="14" a="1"/>
  <c r="D9" i="14" s="1"/>
  <c r="C11" i="14" a="1"/>
  <c r="C11" i="14" s="1"/>
  <c r="E11" i="14" a="1"/>
  <c r="E11" i="14" s="1"/>
  <c r="B13" i="14" a="1"/>
  <c r="B13" i="14" s="1"/>
  <c r="D13" i="14" a="1"/>
  <c r="D13" i="14" s="1"/>
  <c r="C15" i="14" a="1"/>
  <c r="C15" i="14" s="1"/>
  <c r="E15" i="14" a="1"/>
  <c r="E15" i="14" s="1"/>
  <c r="B17" i="14" a="1"/>
  <c r="B17" i="14" s="1"/>
  <c r="D17" i="14" a="1"/>
  <c r="D17" i="14" s="1"/>
  <c r="C19" i="14" a="1"/>
  <c r="C19" i="14" s="1"/>
  <c r="E19" i="14" a="1"/>
  <c r="E19" i="14" s="1"/>
  <c r="B21" i="14" a="1"/>
  <c r="B21" i="14" s="1"/>
  <c r="D21" i="14" a="1"/>
  <c r="D21" i="14" s="1"/>
  <c r="C23" i="14" a="1"/>
  <c r="C23" i="14" s="1"/>
  <c r="E23" i="14" a="1"/>
  <c r="E23" i="14" s="1"/>
  <c r="B25" i="14" a="1"/>
  <c r="B25" i="14" s="1"/>
  <c r="D25" i="14" a="1"/>
  <c r="D25" i="14" s="1"/>
  <c r="C27" i="14" a="1"/>
  <c r="C27" i="14" s="1"/>
  <c r="E27" i="14" a="1"/>
  <c r="E27" i="14" s="1"/>
  <c r="B29" i="14" a="1"/>
  <c r="B29" i="14" s="1"/>
  <c r="D29" i="14" a="1"/>
  <c r="D29" i="14" s="1"/>
  <c r="C31" i="14" a="1"/>
  <c r="C31" i="14" s="1"/>
  <c r="E31" i="14" a="1"/>
  <c r="E31" i="14" s="1"/>
  <c r="B33" i="14" a="1"/>
  <c r="B33" i="14" s="1"/>
  <c r="D33" i="14" a="1"/>
  <c r="D33" i="14" s="1"/>
  <c r="C35" i="14" a="1"/>
  <c r="C35" i="14" s="1"/>
  <c r="E35" i="14" a="1"/>
  <c r="E35" i="14" s="1"/>
  <c r="B37" i="14" a="1"/>
  <c r="B37" i="14" s="1"/>
  <c r="D37" i="14" a="1"/>
  <c r="D37" i="14" s="1"/>
  <c r="C39" i="14" a="1"/>
  <c r="C39" i="14" s="1"/>
  <c r="E39" i="14" a="1"/>
  <c r="E39" i="14" s="1"/>
  <c r="B41" i="14" a="1"/>
  <c r="B41" i="14" s="1"/>
  <c r="D41" i="14" a="1"/>
  <c r="D41" i="14" s="1"/>
  <c r="C43" i="14" a="1"/>
  <c r="C43" i="14" s="1"/>
  <c r="E43" i="14" a="1"/>
  <c r="E43" i="14" s="1"/>
  <c r="B45" i="14" a="1"/>
  <c r="B45" i="14" s="1"/>
  <c r="D45" i="14" a="1"/>
  <c r="D45" i="14" s="1"/>
  <c r="C47" i="14" a="1"/>
  <c r="C47" i="14" s="1"/>
  <c r="E47" i="14" a="1"/>
  <c r="E47" i="14" s="1"/>
  <c r="B49" i="14" a="1"/>
  <c r="B49" i="14" s="1"/>
  <c r="D49" i="14" a="1"/>
  <c r="D49" i="14" s="1"/>
  <c r="C51" i="14" a="1"/>
  <c r="C51" i="14" s="1"/>
  <c r="E51" i="14" a="1"/>
  <c r="E51" i="14" s="1"/>
  <c r="B53" i="14" a="1"/>
  <c r="B53" i="14" s="1"/>
  <c r="D53" i="14" a="1"/>
  <c r="D53" i="14" s="1"/>
  <c r="C55" i="14" a="1"/>
  <c r="C55" i="14" s="1"/>
  <c r="E55" i="14" a="1"/>
  <c r="E55" i="14" s="1"/>
  <c r="B57" i="14" a="1"/>
  <c r="B57" i="14" s="1"/>
  <c r="D57" i="14" a="1"/>
  <c r="D57" i="14" s="1"/>
  <c r="D59" i="14" a="1"/>
  <c r="D59" i="14" s="1"/>
  <c r="B59" i="14" a="1"/>
  <c r="B59" i="14" s="1"/>
  <c r="D63" i="14" a="1"/>
  <c r="D63" i="14" s="1"/>
  <c r="B63" i="14" a="1"/>
  <c r="B63" i="14" s="1"/>
  <c r="C66" i="14" a="1"/>
  <c r="C66" i="14" s="1"/>
  <c r="E69" i="14" a="1"/>
  <c r="E69" i="14" s="1"/>
  <c r="C69" i="14" a="1"/>
  <c r="C69" i="14" s="1"/>
  <c r="E73" i="14" a="1"/>
  <c r="E73" i="14" s="1"/>
  <c r="C73" i="14" a="1"/>
  <c r="C73" i="14" s="1"/>
  <c r="D73" i="14" a="1"/>
  <c r="D73" i="14" s="1"/>
  <c r="B73" i="14" a="1"/>
  <c r="B73" i="14" s="1"/>
  <c r="E77" i="14" a="1"/>
  <c r="E77" i="14" s="1"/>
  <c r="C77" i="14" a="1"/>
  <c r="C77" i="14" s="1"/>
  <c r="D77" i="14" a="1"/>
  <c r="D77" i="14" s="1"/>
  <c r="B77" i="14" a="1"/>
  <c r="B77" i="14" s="1"/>
  <c r="E81" i="14" a="1"/>
  <c r="E81" i="14" s="1"/>
  <c r="C81" i="14" a="1"/>
  <c r="C81" i="14" s="1"/>
  <c r="D81" i="14" a="1"/>
  <c r="D81" i="14" s="1"/>
  <c r="B81" i="14" a="1"/>
  <c r="B81" i="14" s="1"/>
  <c r="E85" i="14" a="1"/>
  <c r="E85" i="14" s="1"/>
  <c r="C85" i="14" a="1"/>
  <c r="C85" i="14" s="1"/>
  <c r="D85" i="14" a="1"/>
  <c r="D85" i="14" s="1"/>
  <c r="B85" i="14" a="1"/>
  <c r="B85" i="14" s="1"/>
  <c r="E89" i="14" a="1"/>
  <c r="E89" i="14" s="1"/>
  <c r="C89" i="14" a="1"/>
  <c r="C89" i="14" s="1"/>
  <c r="D89" i="14" a="1"/>
  <c r="D89" i="14" s="1"/>
  <c r="B89" i="14" a="1"/>
  <c r="B89" i="14" s="1"/>
  <c r="D92" i="14" a="1"/>
  <c r="D92" i="14" s="1"/>
  <c r="B92" i="14" a="1"/>
  <c r="B92" i="14" s="1"/>
  <c r="C92" i="14" a="1"/>
  <c r="C92" i="14" s="1"/>
  <c r="E92" i="14" a="1"/>
  <c r="E92" i="14" s="1"/>
  <c r="D62" i="14" a="1"/>
  <c r="D62" i="14" s="1"/>
  <c r="E63" i="14" a="1"/>
  <c r="E63" i="14" s="1"/>
  <c r="D70" i="14" a="1"/>
  <c r="D70" i="14" s="1"/>
  <c r="B70" i="14" a="1"/>
  <c r="B70" i="14" s="1"/>
  <c r="B3" i="14" a="1"/>
  <c r="B3" i="14" s="1"/>
  <c r="C5" i="14" a="1"/>
  <c r="C5" i="14" s="1"/>
  <c r="B7" i="14" a="1"/>
  <c r="B7" i="14" s="1"/>
  <c r="C9" i="14" a="1"/>
  <c r="C9" i="14" s="1"/>
  <c r="B11" i="14" a="1"/>
  <c r="B11" i="14" s="1"/>
  <c r="C13" i="14" a="1"/>
  <c r="C13" i="14" s="1"/>
  <c r="B15" i="14" a="1"/>
  <c r="B15" i="14" s="1"/>
  <c r="C17" i="14" a="1"/>
  <c r="C17" i="14" s="1"/>
  <c r="B19" i="14" a="1"/>
  <c r="B19" i="14" s="1"/>
  <c r="C21" i="14" a="1"/>
  <c r="C21" i="14" s="1"/>
  <c r="B23" i="14" a="1"/>
  <c r="B23" i="14" s="1"/>
  <c r="C25" i="14" a="1"/>
  <c r="C25" i="14" s="1"/>
  <c r="B27" i="14" a="1"/>
  <c r="B27" i="14" s="1"/>
  <c r="C29" i="14" a="1"/>
  <c r="C29" i="14" s="1"/>
  <c r="B31" i="14" a="1"/>
  <c r="B31" i="14" s="1"/>
  <c r="C33" i="14" a="1"/>
  <c r="C33" i="14" s="1"/>
  <c r="B35" i="14" a="1"/>
  <c r="B35" i="14" s="1"/>
  <c r="C37" i="14" a="1"/>
  <c r="C37" i="14" s="1"/>
  <c r="B39" i="14" a="1"/>
  <c r="B39" i="14" s="1"/>
  <c r="C41" i="14" a="1"/>
  <c r="C41" i="14" s="1"/>
  <c r="B43" i="14" a="1"/>
  <c r="B43" i="14" s="1"/>
  <c r="C45" i="14" a="1"/>
  <c r="C45" i="14" s="1"/>
  <c r="B47" i="14" a="1"/>
  <c r="B47" i="14" s="1"/>
  <c r="C49" i="14" a="1"/>
  <c r="C49" i="14" s="1"/>
  <c r="B51" i="14" a="1"/>
  <c r="B51" i="14" s="1"/>
  <c r="C53" i="14" a="1"/>
  <c r="C53" i="14" s="1"/>
  <c r="B55" i="14" a="1"/>
  <c r="B55" i="14" s="1"/>
  <c r="C57" i="14" a="1"/>
  <c r="C57" i="14" s="1"/>
  <c r="C59" i="14" a="1"/>
  <c r="C59" i="14" s="1"/>
  <c r="E61" i="14" a="1"/>
  <c r="E61" i="14" s="1"/>
  <c r="C61" i="14" a="1"/>
  <c r="C61" i="14" s="1"/>
  <c r="D61" i="14" a="1"/>
  <c r="D61" i="14" s="1"/>
  <c r="B62" i="14" a="1"/>
  <c r="B62" i="14" s="1"/>
  <c r="C63" i="14" a="1"/>
  <c r="C63" i="14" s="1"/>
  <c r="E65" i="14" a="1"/>
  <c r="E65" i="14" s="1"/>
  <c r="C65" i="14" a="1"/>
  <c r="C65" i="14" s="1"/>
  <c r="E66" i="14" a="1"/>
  <c r="E66" i="14" s="1"/>
  <c r="C70" i="14" a="1"/>
  <c r="C70" i="14" s="1"/>
  <c r="E95" i="14" a="1"/>
  <c r="E95" i="14" s="1"/>
  <c r="C95" i="14" a="1"/>
  <c r="C95" i="14" s="1"/>
  <c r="D95" i="14" a="1"/>
  <c r="D95" i="14" s="1"/>
  <c r="B95" i="14" a="1"/>
  <c r="B95" i="14" s="1"/>
  <c r="D91" i="14" a="1"/>
  <c r="D91" i="14" s="1"/>
  <c r="D96" i="14" a="1"/>
  <c r="D96" i="14" s="1"/>
  <c r="B96" i="14" a="1"/>
  <c r="B96" i="14" s="1"/>
  <c r="D104" i="14" a="1"/>
  <c r="D104" i="14" s="1"/>
  <c r="B104" i="14" a="1"/>
  <c r="B104" i="14" s="1"/>
  <c r="E119" i="14" a="1"/>
  <c r="E119" i="14" s="1"/>
  <c r="C119" i="14" a="1"/>
  <c r="C119" i="14" s="1"/>
  <c r="D119" i="14" a="1"/>
  <c r="D119" i="14" s="1"/>
  <c r="B119" i="14" a="1"/>
  <c r="B119" i="14" s="1"/>
  <c r="E153" i="14" a="1"/>
  <c r="E153" i="14" s="1"/>
  <c r="C153" i="14" a="1"/>
  <c r="C153" i="14" s="1"/>
  <c r="D153" i="14" a="1"/>
  <c r="D153" i="14" s="1"/>
  <c r="B153" i="14" a="1"/>
  <c r="B153" i="14" s="1"/>
  <c r="B74" i="14" a="1"/>
  <c r="B74" i="14" s="1"/>
  <c r="B78" i="14" a="1"/>
  <c r="B78" i="14" s="1"/>
  <c r="B82" i="14" a="1"/>
  <c r="B82" i="14" s="1"/>
  <c r="B86" i="14" a="1"/>
  <c r="B86" i="14" s="1"/>
  <c r="B90" i="14" a="1"/>
  <c r="B90" i="14" s="1"/>
  <c r="D90" i="14" a="1"/>
  <c r="D90" i="14" s="1"/>
  <c r="B91" i="14" a="1"/>
  <c r="B91" i="14" s="1"/>
  <c r="E91" i="14" a="1"/>
  <c r="E91" i="14" s="1"/>
  <c r="E94" i="14" a="1"/>
  <c r="E94" i="14" s="1"/>
  <c r="C94" i="14" a="1"/>
  <c r="C94" i="14" s="1"/>
  <c r="D94" i="14" a="1"/>
  <c r="D94" i="14" s="1"/>
  <c r="C96" i="14" a="1"/>
  <c r="C96" i="14" s="1"/>
  <c r="E99" i="14" a="1"/>
  <c r="E99" i="14" s="1"/>
  <c r="C99" i="14" a="1"/>
  <c r="C99" i="14" s="1"/>
  <c r="C104" i="14" a="1"/>
  <c r="C104" i="14" s="1"/>
  <c r="E107" i="14" a="1"/>
  <c r="E107" i="14" s="1"/>
  <c r="C107" i="14" a="1"/>
  <c r="C107" i="14" s="1"/>
  <c r="E111" i="14" a="1"/>
  <c r="E111" i="14" s="1"/>
  <c r="C111" i="14" a="1"/>
  <c r="C111" i="14" s="1"/>
  <c r="D111" i="14" a="1"/>
  <c r="D111" i="14" s="1"/>
  <c r="B111" i="14" a="1"/>
  <c r="B111" i="14" s="1"/>
  <c r="E115" i="14" a="1"/>
  <c r="E115" i="14" s="1"/>
  <c r="C115" i="14" a="1"/>
  <c r="C115" i="14" s="1"/>
  <c r="D115" i="14" a="1"/>
  <c r="D115" i="14" s="1"/>
  <c r="B115" i="14" a="1"/>
  <c r="B115" i="14" s="1"/>
  <c r="B67" i="14" a="1"/>
  <c r="B67" i="14" s="1"/>
  <c r="B71" i="14" a="1"/>
  <c r="B71" i="14" s="1"/>
  <c r="B75" i="14" a="1"/>
  <c r="B75" i="14" s="1"/>
  <c r="B79" i="14" a="1"/>
  <c r="B79" i="14" s="1"/>
  <c r="B83" i="14" a="1"/>
  <c r="B83" i="14" s="1"/>
  <c r="B87" i="14" a="1"/>
  <c r="B87" i="14" s="1"/>
  <c r="B94" i="14" a="1"/>
  <c r="B94" i="14" s="1"/>
  <c r="B99" i="14" a="1"/>
  <c r="B99" i="14" s="1"/>
  <c r="D100" i="14" a="1"/>
  <c r="D100" i="14" s="1"/>
  <c r="B100" i="14" a="1"/>
  <c r="B100" i="14" s="1"/>
  <c r="D108" i="14" a="1"/>
  <c r="D108" i="14" s="1"/>
  <c r="B108" i="14" a="1"/>
  <c r="B108" i="14" s="1"/>
  <c r="E149" i="14" a="1"/>
  <c r="E149" i="14" s="1"/>
  <c r="C149" i="14" a="1"/>
  <c r="C149" i="14" s="1"/>
  <c r="D149" i="14" a="1"/>
  <c r="D149" i="14" s="1"/>
  <c r="B149" i="14" a="1"/>
  <c r="B149" i="14" s="1"/>
  <c r="E157" i="14" a="1"/>
  <c r="E157" i="14" s="1"/>
  <c r="C157" i="14" a="1"/>
  <c r="C157" i="14" s="1"/>
  <c r="D157" i="14" a="1"/>
  <c r="D157" i="14" s="1"/>
  <c r="B157" i="14" a="1"/>
  <c r="B157" i="14" s="1"/>
  <c r="D125" i="14" a="1"/>
  <c r="D125" i="14" s="1"/>
  <c r="B125" i="14" a="1"/>
  <c r="B125" i="14" s="1"/>
  <c r="E129" i="14" a="1"/>
  <c r="E129" i="14" s="1"/>
  <c r="C129" i="14" a="1"/>
  <c r="C129" i="14" s="1"/>
  <c r="D129" i="14" a="1"/>
  <c r="D129" i="14" s="1"/>
  <c r="B129" i="14" a="1"/>
  <c r="B129" i="14" s="1"/>
  <c r="E133" i="14" a="1"/>
  <c r="E133" i="14" s="1"/>
  <c r="C133" i="14" a="1"/>
  <c r="C133" i="14" s="1"/>
  <c r="D133" i="14" a="1"/>
  <c r="D133" i="14" s="1"/>
  <c r="B133" i="14" a="1"/>
  <c r="B133" i="14" s="1"/>
  <c r="E137" i="14" a="1"/>
  <c r="E137" i="14" s="1"/>
  <c r="C137" i="14" a="1"/>
  <c r="C137" i="14" s="1"/>
  <c r="D137" i="14" a="1"/>
  <c r="D137" i="14" s="1"/>
  <c r="B137" i="14" a="1"/>
  <c r="B137" i="14" s="1"/>
  <c r="E141" i="14" a="1"/>
  <c r="E141" i="14" s="1"/>
  <c r="C141" i="14" a="1"/>
  <c r="C141" i="14" s="1"/>
  <c r="D141" i="14" a="1"/>
  <c r="D141" i="14" s="1"/>
  <c r="B141" i="14" a="1"/>
  <c r="B141" i="14" s="1"/>
  <c r="E145" i="14" a="1"/>
  <c r="E145" i="14" s="1"/>
  <c r="C145" i="14" a="1"/>
  <c r="C145" i="14" s="1"/>
  <c r="D145" i="14" a="1"/>
  <c r="D145" i="14" s="1"/>
  <c r="B145" i="14" a="1"/>
  <c r="B145" i="14" s="1"/>
  <c r="C98" i="14" a="1"/>
  <c r="C98" i="14" s="1"/>
  <c r="C102" i="14" a="1"/>
  <c r="C102" i="14" s="1"/>
  <c r="C106" i="14" a="1"/>
  <c r="C106" i="14" s="1"/>
  <c r="C110" i="14" a="1"/>
  <c r="C110" i="14" s="1"/>
  <c r="B112" i="14" a="1"/>
  <c r="B112" i="14" s="1"/>
  <c r="C114" i="14" a="1"/>
  <c r="C114" i="14" s="1"/>
  <c r="B116" i="14" a="1"/>
  <c r="B116" i="14" s="1"/>
  <c r="C118" i="14" a="1"/>
  <c r="C118" i="14" s="1"/>
  <c r="B120" i="14" a="1"/>
  <c r="B120" i="14" s="1"/>
  <c r="C122" i="14" a="1"/>
  <c r="C122" i="14" s="1"/>
  <c r="D124" i="14" a="1"/>
  <c r="D124" i="14" s="1"/>
  <c r="E125" i="14" a="1"/>
  <c r="E125" i="14" s="1"/>
  <c r="D128" i="14" a="1"/>
  <c r="D128" i="14" s="1"/>
  <c r="E161" i="14" a="1"/>
  <c r="E161" i="14" s="1"/>
  <c r="C161" i="14" a="1"/>
  <c r="C161" i="14" s="1"/>
  <c r="D161" i="14" a="1"/>
  <c r="D161" i="14" s="1"/>
  <c r="B161" i="14" a="1"/>
  <c r="B161" i="14" s="1"/>
  <c r="B121" i="14" a="1"/>
  <c r="B121" i="14" s="1"/>
  <c r="E123" i="14" a="1"/>
  <c r="E123" i="14" s="1"/>
  <c r="C123" i="14" a="1"/>
  <c r="C123" i="14" s="1"/>
  <c r="D123" i="14" a="1"/>
  <c r="D123" i="14" s="1"/>
  <c r="B124" i="14" a="1"/>
  <c r="B124" i="14" s="1"/>
  <c r="C125" i="14" a="1"/>
  <c r="C125" i="14" s="1"/>
  <c r="E127" i="14" a="1"/>
  <c r="E127" i="14" s="1"/>
  <c r="C127" i="14" a="1"/>
  <c r="C127" i="14" s="1"/>
  <c r="D127" i="14" a="1"/>
  <c r="D127" i="14" s="1"/>
  <c r="B128" i="14" a="1"/>
  <c r="B128" i="14" s="1"/>
  <c r="D131" i="14" a="1"/>
  <c r="D131" i="14" s="1"/>
  <c r="B131" i="14" a="1"/>
  <c r="B131" i="14" s="1"/>
  <c r="E131" i="14" a="1"/>
  <c r="E131" i="14" s="1"/>
  <c r="C131" i="14" a="1"/>
  <c r="C131" i="14" s="1"/>
  <c r="D135" i="14" a="1"/>
  <c r="D135" i="14" s="1"/>
  <c r="B135" i="14" a="1"/>
  <c r="B135" i="14" s="1"/>
  <c r="E135" i="14" a="1"/>
  <c r="E135" i="14" s="1"/>
  <c r="C135" i="14" a="1"/>
  <c r="C135" i="14" s="1"/>
  <c r="D139" i="14" a="1"/>
  <c r="D139" i="14" s="1"/>
  <c r="B139" i="14" a="1"/>
  <c r="B139" i="14" s="1"/>
  <c r="E139" i="14" a="1"/>
  <c r="E139" i="14" s="1"/>
  <c r="C139" i="14" a="1"/>
  <c r="C139" i="14" s="1"/>
  <c r="C143" i="14" a="1"/>
  <c r="C143" i="14" s="1"/>
  <c r="E143" i="14" a="1"/>
  <c r="E143" i="14" s="1"/>
  <c r="C147" i="14" a="1"/>
  <c r="C147" i="14" s="1"/>
  <c r="E147" i="14" a="1"/>
  <c r="E147" i="14" s="1"/>
  <c r="C151" i="14" a="1"/>
  <c r="C151" i="14" s="1"/>
  <c r="E151" i="14" a="1"/>
  <c r="E151" i="14" s="1"/>
  <c r="C155" i="14" a="1"/>
  <c r="C155" i="14" s="1"/>
  <c r="E155" i="14" a="1"/>
  <c r="E155" i="14" s="1"/>
  <c r="C159" i="14" a="1"/>
  <c r="C159" i="14" s="1"/>
  <c r="C163" i="14" a="1"/>
  <c r="C163" i="14" s="1"/>
  <c r="C152" i="14" a="1"/>
  <c r="C152" i="14" s="1"/>
  <c r="C156" i="14" a="1"/>
  <c r="C156" i="14" s="1"/>
  <c r="C160" i="14" a="1"/>
  <c r="C160" i="14" s="1"/>
  <c r="C164" i="14" a="1"/>
  <c r="C164" i="14" s="1"/>
  <c r="B143" i="14" a="1"/>
  <c r="B143" i="14" s="1"/>
  <c r="B147" i="14" a="1"/>
  <c r="B147" i="14" s="1"/>
  <c r="P191" i="13"/>
  <c r="P182" i="13"/>
  <c r="P181" i="13"/>
  <c r="P190" i="13"/>
  <c r="F190" i="13"/>
  <c r="F191" i="13"/>
  <c r="F189" i="13"/>
  <c r="F182" i="13"/>
  <c r="F181" i="13"/>
  <c r="U191" i="13"/>
  <c r="U190" i="13"/>
  <c r="U189" i="13"/>
  <c r="U182" i="13"/>
  <c r="U181" i="13"/>
  <c r="U180" i="13"/>
  <c r="U173" i="13"/>
  <c r="U172" i="13"/>
  <c r="U171" i="13"/>
  <c r="K191" i="13"/>
  <c r="K190" i="13"/>
  <c r="K189" i="13"/>
  <c r="K182" i="13"/>
  <c r="K181" i="13"/>
  <c r="K173" i="13"/>
  <c r="B45" i="13" a="1"/>
  <c r="B45" i="13" s="1"/>
  <c r="D31" i="13" a="1"/>
  <c r="D31" i="13" s="1"/>
  <c r="C106" i="13" a="1"/>
  <c r="C106" i="13" s="1"/>
  <c r="E118" i="13" a="1"/>
  <c r="E118" i="13" s="1"/>
  <c r="D77" i="13" a="1"/>
  <c r="D77" i="13" s="1"/>
  <c r="F134" i="13" a="1"/>
  <c r="F134" i="13" s="1"/>
  <c r="B67" i="13" a="1"/>
  <c r="B67" i="13" s="1"/>
  <c r="F6" i="13" a="1"/>
  <c r="F6" i="13" s="1"/>
  <c r="E7" i="13" a="1"/>
  <c r="E7" i="13" s="1"/>
  <c r="C4" i="13" a="1"/>
  <c r="C4" i="13" s="1"/>
  <c r="E61" i="13" a="1"/>
  <c r="E61" i="13" s="1"/>
  <c r="D67" i="13" a="1"/>
  <c r="D67" i="13" s="1"/>
  <c r="B31" i="13" a="1"/>
  <c r="B31" i="13" s="1"/>
  <c r="D35" i="13" a="1"/>
  <c r="D35" i="13" s="1"/>
  <c r="B49" i="13" a="1"/>
  <c r="B49" i="13" s="1"/>
  <c r="D59" i="13" a="1"/>
  <c r="D59" i="13" s="1"/>
  <c r="D85" i="13" a="1"/>
  <c r="D85" i="13" s="1"/>
  <c r="E126" i="13" a="1"/>
  <c r="E126" i="13" s="1"/>
  <c r="C140" i="13" a="1"/>
  <c r="C140" i="13" s="1"/>
  <c r="B6" i="13" a="1"/>
  <c r="B6" i="13" s="1"/>
  <c r="B77" i="13" a="1"/>
  <c r="B77" i="13" s="1"/>
  <c r="E152" i="13" a="1"/>
  <c r="E152" i="13" s="1"/>
  <c r="C3" i="13" a="1"/>
  <c r="C3" i="13" s="1"/>
  <c r="E16" i="13" a="1"/>
  <c r="E16" i="13" s="1"/>
  <c r="F19" i="13" a="1"/>
  <c r="F19" i="13" s="1"/>
  <c r="D101" i="13" a="1"/>
  <c r="D101" i="13" s="1"/>
  <c r="F120" i="13" a="1"/>
  <c r="F120" i="13" s="1"/>
  <c r="C130" i="13" a="1"/>
  <c r="C130" i="13" s="1"/>
  <c r="F133" i="13" a="1"/>
  <c r="F133" i="13" s="1"/>
  <c r="C143" i="13" a="1"/>
  <c r="C143" i="13" s="1"/>
  <c r="C159" i="13" a="1"/>
  <c r="C159" i="13" s="1"/>
  <c r="B162" i="13" a="1"/>
  <c r="B162" i="13" s="1"/>
  <c r="F3" i="13" a="1"/>
  <c r="F3" i="13" s="1"/>
  <c r="B7" i="13" a="1"/>
  <c r="B7" i="13" s="1"/>
  <c r="E102" i="13" a="1"/>
  <c r="E102" i="13" s="1"/>
  <c r="B112" i="13" a="1"/>
  <c r="B112" i="13" s="1"/>
  <c r="B134" i="13" a="1"/>
  <c r="B134" i="13" s="1"/>
  <c r="F142" i="13" a="1"/>
  <c r="F142" i="13" s="1"/>
  <c r="E144" i="13" a="1"/>
  <c r="E144" i="13" s="1"/>
  <c r="C154" i="13" a="1"/>
  <c r="C154" i="13" s="1"/>
  <c r="F18" i="13" a="1"/>
  <c r="F18" i="13" s="1"/>
  <c r="D49" i="13" a="1"/>
  <c r="D49" i="13" s="1"/>
  <c r="C65" i="13" a="1"/>
  <c r="C65" i="13" s="1"/>
  <c r="C67" i="13" a="1"/>
  <c r="C67" i="13" s="1"/>
  <c r="B73" i="13" a="1"/>
  <c r="B73" i="13" s="1"/>
  <c r="C75" i="13" a="1"/>
  <c r="C75" i="13" s="1"/>
  <c r="C77" i="13" a="1"/>
  <c r="C77" i="13" s="1"/>
  <c r="F85" i="13" a="1"/>
  <c r="F85" i="13" s="1"/>
  <c r="F104" i="13" a="1"/>
  <c r="F104" i="13" s="1"/>
  <c r="E110" i="13" a="1"/>
  <c r="E110" i="13" s="1"/>
  <c r="F112" i="13" a="1"/>
  <c r="F112" i="13" s="1"/>
  <c r="B132" i="13" a="1"/>
  <c r="B132" i="13" s="1"/>
  <c r="E151" i="13" a="1"/>
  <c r="E151" i="13" s="1"/>
  <c r="F154" i="13" a="1"/>
  <c r="F154" i="13" s="1"/>
  <c r="E160" i="13" a="1"/>
  <c r="E160" i="13" s="1"/>
  <c r="C162" i="13" a="1"/>
  <c r="C162" i="13" s="1"/>
  <c r="F73" i="13" a="1"/>
  <c r="F73" i="13" s="1"/>
  <c r="E132" i="13" a="1"/>
  <c r="E132" i="13" s="1"/>
  <c r="E3" i="13" a="1"/>
  <c r="E3" i="13" s="1"/>
  <c r="E4" i="13" a="1"/>
  <c r="E4" i="13" s="1"/>
  <c r="D6" i="13" a="1"/>
  <c r="D6" i="13" s="1"/>
  <c r="C7" i="13" a="1"/>
  <c r="C7" i="13" s="1"/>
  <c r="C19" i="13" a="1"/>
  <c r="C19" i="13" s="1"/>
  <c r="D25" i="13" a="1"/>
  <c r="D25" i="13" s="1"/>
  <c r="C31" i="13" a="1"/>
  <c r="C31" i="13" s="1"/>
  <c r="C33" i="13" a="1"/>
  <c r="C33" i="13" s="1"/>
  <c r="C39" i="13" a="1"/>
  <c r="C39" i="13" s="1"/>
  <c r="E45" i="13" a="1"/>
  <c r="E45" i="13" s="1"/>
  <c r="C57" i="13" a="1"/>
  <c r="C57" i="13" s="1"/>
  <c r="B59" i="13" a="1"/>
  <c r="B59" i="13" s="1"/>
  <c r="C61" i="13" a="1"/>
  <c r="C61" i="13" s="1"/>
  <c r="B85" i="13" a="1"/>
  <c r="B85" i="13" s="1"/>
  <c r="B120" i="13" a="1"/>
  <c r="B120" i="13" s="1"/>
  <c r="C122" i="13" a="1"/>
  <c r="C122" i="13" s="1"/>
  <c r="C134" i="13" a="1"/>
  <c r="C134" i="13" s="1"/>
  <c r="B142" i="13" a="1"/>
  <c r="B142" i="13" s="1"/>
  <c r="C146" i="13" a="1"/>
  <c r="C146" i="13" s="1"/>
  <c r="C152" i="13" a="1"/>
  <c r="C152" i="13" s="1"/>
  <c r="B154" i="13" a="1"/>
  <c r="B154" i="13" s="1"/>
  <c r="F23" i="13" a="1"/>
  <c r="F23" i="13" s="1"/>
  <c r="D2" i="13" a="1"/>
  <c r="D2" i="13" s="1"/>
  <c r="C15" i="13" a="1"/>
  <c r="C15" i="13" s="1"/>
  <c r="B23" i="13" a="1"/>
  <c r="B23" i="13" s="1"/>
  <c r="D39" i="13" a="1"/>
  <c r="D39" i="13" s="1"/>
  <c r="C41" i="13" a="1"/>
  <c r="C41" i="13" s="1"/>
  <c r="D43" i="13" a="1"/>
  <c r="D43" i="13" s="1"/>
  <c r="D45" i="13" a="1"/>
  <c r="D45" i="13" s="1"/>
  <c r="E47" i="13" a="1"/>
  <c r="E47" i="13" s="1"/>
  <c r="C49" i="13" a="1"/>
  <c r="C49" i="13" s="1"/>
  <c r="D53" i="13" a="1"/>
  <c r="D53" i="13" s="1"/>
  <c r="D57" i="13" a="1"/>
  <c r="D57" i="13" s="1"/>
  <c r="F59" i="13" a="1"/>
  <c r="F59" i="13" s="1"/>
  <c r="F65" i="13" a="1"/>
  <c r="F65" i="13" s="1"/>
  <c r="F75" i="13" a="1"/>
  <c r="F75" i="13" s="1"/>
  <c r="E85" i="13" a="1"/>
  <c r="E85" i="13" s="1"/>
  <c r="E93" i="13" a="1"/>
  <c r="E93" i="13" s="1"/>
  <c r="F101" i="13" a="1"/>
  <c r="F101" i="13" s="1"/>
  <c r="D106" i="13" a="1"/>
  <c r="D106" i="13" s="1"/>
  <c r="C112" i="13" a="1"/>
  <c r="C112" i="13" s="1"/>
  <c r="B114" i="13" a="1"/>
  <c r="B114" i="13" s="1"/>
  <c r="D122" i="13" a="1"/>
  <c r="D122" i="13" s="1"/>
  <c r="F130" i="13" a="1"/>
  <c r="F130" i="13" s="1"/>
  <c r="E134" i="13" a="1"/>
  <c r="E134" i="13" s="1"/>
  <c r="B138" i="13" a="1"/>
  <c r="B138" i="13" s="1"/>
  <c r="C139" i="13" a="1"/>
  <c r="C139" i="13" s="1"/>
  <c r="E142" i="13" a="1"/>
  <c r="E142" i="13" s="1"/>
  <c r="E143" i="13" a="1"/>
  <c r="E143" i="13" s="1"/>
  <c r="F146" i="13" a="1"/>
  <c r="F146" i="13" s="1"/>
  <c r="D158" i="13" a="1"/>
  <c r="D158" i="13" s="1"/>
  <c r="E159" i="13" a="1"/>
  <c r="E159" i="13" s="1"/>
  <c r="F162" i="13" a="1"/>
  <c r="F162" i="13" s="1"/>
  <c r="F114" i="13" a="1"/>
  <c r="F114" i="13" s="1"/>
  <c r="F2" i="13" a="1"/>
  <c r="F2" i="13" s="1"/>
  <c r="F15" i="13" a="1"/>
  <c r="F15" i="13" s="1"/>
  <c r="C23" i="13" a="1"/>
  <c r="C23" i="13" s="1"/>
  <c r="F39" i="13" a="1"/>
  <c r="F39" i="13" s="1"/>
  <c r="D41" i="13" a="1"/>
  <c r="D41" i="13" s="1"/>
  <c r="E53" i="13" a="1"/>
  <c r="E53" i="13" s="1"/>
  <c r="F57" i="13" a="1"/>
  <c r="F57" i="13" s="1"/>
  <c r="F106" i="13" a="1"/>
  <c r="F106" i="13" s="1"/>
  <c r="C114" i="13" a="1"/>
  <c r="C114" i="13" s="1"/>
  <c r="F122" i="13" a="1"/>
  <c r="F122" i="13" s="1"/>
  <c r="E138" i="13" a="1"/>
  <c r="E138" i="13" s="1"/>
  <c r="E139" i="13" a="1"/>
  <c r="E139" i="13" s="1"/>
  <c r="F7" i="13" a="1"/>
  <c r="F7" i="13" s="1"/>
  <c r="F14" i="13" a="1"/>
  <c r="F14" i="13" s="1"/>
  <c r="D18" i="13" a="1"/>
  <c r="D18" i="13" s="1"/>
  <c r="E19" i="13" a="1"/>
  <c r="E19" i="13" s="1"/>
  <c r="D23" i="13" a="1"/>
  <c r="D23" i="13" s="1"/>
  <c r="C25" i="13" a="1"/>
  <c r="C25" i="13" s="1"/>
  <c r="D27" i="13" a="1"/>
  <c r="D27" i="13" s="1"/>
  <c r="F31" i="13" a="1"/>
  <c r="F31" i="13" s="1"/>
  <c r="D33" i="13" a="1"/>
  <c r="D33" i="13" s="1"/>
  <c r="B39" i="13" a="1"/>
  <c r="B39" i="13" s="1"/>
  <c r="F49" i="13" a="1"/>
  <c r="F49" i="13" s="1"/>
  <c r="B57" i="13" a="1"/>
  <c r="B57" i="13" s="1"/>
  <c r="C59" i="13" a="1"/>
  <c r="C59" i="13" s="1"/>
  <c r="B65" i="13" a="1"/>
  <c r="B65" i="13" s="1"/>
  <c r="F67" i="13" a="1"/>
  <c r="F67" i="13" s="1"/>
  <c r="C73" i="13" a="1"/>
  <c r="C73" i="13" s="1"/>
  <c r="B75" i="13" a="1"/>
  <c r="B75" i="13" s="1"/>
  <c r="F77" i="13" a="1"/>
  <c r="F77" i="13" s="1"/>
  <c r="C83" i="13" a="1"/>
  <c r="C83" i="13" s="1"/>
  <c r="C102" i="13" a="1"/>
  <c r="C102" i="13" s="1"/>
  <c r="B104" i="13" a="1"/>
  <c r="B104" i="13" s="1"/>
  <c r="B106" i="13" a="1"/>
  <c r="B106" i="13" s="1"/>
  <c r="D114" i="13" a="1"/>
  <c r="D114" i="13" s="1"/>
  <c r="C120" i="13" a="1"/>
  <c r="C120" i="13" s="1"/>
  <c r="B122" i="13" a="1"/>
  <c r="B122" i="13" s="1"/>
  <c r="B130" i="13" a="1"/>
  <c r="B130" i="13" s="1"/>
  <c r="B137" i="13" a="1"/>
  <c r="B137" i="13" s="1"/>
  <c r="F138" i="13" a="1"/>
  <c r="F138" i="13" s="1"/>
  <c r="C144" i="13" a="1"/>
  <c r="C144" i="13" s="1"/>
  <c r="B146" i="13" a="1"/>
  <c r="B146" i="13" s="1"/>
  <c r="C151" i="13" a="1"/>
  <c r="C151" i="13" s="1"/>
  <c r="C160" i="13" a="1"/>
  <c r="C160" i="13" s="1"/>
  <c r="E29" i="13" a="1"/>
  <c r="E29" i="13" s="1"/>
  <c r="E37" i="13" a="1"/>
  <c r="E37" i="13" s="1"/>
  <c r="F55" i="13" a="1"/>
  <c r="F55" i="13" s="1"/>
  <c r="D63" i="13" a="1"/>
  <c r="D63" i="13" s="1"/>
  <c r="C63" i="13" a="1"/>
  <c r="C63" i="13" s="1"/>
  <c r="C69" i="13" a="1"/>
  <c r="C69" i="13" s="1"/>
  <c r="F69" i="13" a="1"/>
  <c r="F69" i="13" s="1"/>
  <c r="B69" i="13" a="1"/>
  <c r="B69" i="13" s="1"/>
  <c r="D71" i="13" a="1"/>
  <c r="D71" i="13" s="1"/>
  <c r="C71" i="13" a="1"/>
  <c r="C71" i="13" s="1"/>
  <c r="B10" i="13" a="1"/>
  <c r="B10" i="13" s="1"/>
  <c r="D15" i="13" a="1"/>
  <c r="D15" i="13" s="1"/>
  <c r="B21" i="13" a="1"/>
  <c r="B21" i="13" s="1"/>
  <c r="F21" i="13" a="1"/>
  <c r="F21" i="13" s="1"/>
  <c r="E27" i="13" a="1"/>
  <c r="E27" i="13" s="1"/>
  <c r="B37" i="13" a="1"/>
  <c r="B37" i="13" s="1"/>
  <c r="F37" i="13" a="1"/>
  <c r="F37" i="13" s="1"/>
  <c r="F51" i="13" a="1"/>
  <c r="F51" i="13" s="1"/>
  <c r="B51" i="13" a="1"/>
  <c r="B51" i="13" s="1"/>
  <c r="B55" i="13" a="1"/>
  <c r="B55" i="13" s="1"/>
  <c r="B71" i="13" a="1"/>
  <c r="B71" i="13" s="1"/>
  <c r="C79" i="13" a="1"/>
  <c r="C79" i="13" s="1"/>
  <c r="F79" i="13" a="1"/>
  <c r="F79" i="13" s="1"/>
  <c r="B79" i="13" a="1"/>
  <c r="B79" i="13" s="1"/>
  <c r="F89" i="13" a="1"/>
  <c r="F89" i="13" s="1"/>
  <c r="C89" i="13" a="1"/>
  <c r="C89" i="13" s="1"/>
  <c r="E89" i="13" a="1"/>
  <c r="E89" i="13" s="1"/>
  <c r="B89" i="13" a="1"/>
  <c r="B89" i="13" s="1"/>
  <c r="C131" i="13" a="1"/>
  <c r="C131" i="13" s="1"/>
  <c r="E131" i="13" a="1"/>
  <c r="E131" i="13" s="1"/>
  <c r="C136" i="13" a="1"/>
  <c r="C136" i="13" s="1"/>
  <c r="F136" i="13" a="1"/>
  <c r="F136" i="13" s="1"/>
  <c r="E136" i="13" a="1"/>
  <c r="E136" i="13" s="1"/>
  <c r="F147" i="13" a="1"/>
  <c r="F147" i="13" s="1"/>
  <c r="E147" i="13" a="1"/>
  <c r="E147" i="13" s="1"/>
  <c r="C147" i="13" a="1"/>
  <c r="C147" i="13" s="1"/>
  <c r="F156" i="13" a="1"/>
  <c r="F156" i="13" s="1"/>
  <c r="E156" i="13" a="1"/>
  <c r="E156" i="13" s="1"/>
  <c r="C156" i="13" a="1"/>
  <c r="C156" i="13" s="1"/>
  <c r="F163" i="13" a="1"/>
  <c r="F163" i="13" s="1"/>
  <c r="E163" i="13" a="1"/>
  <c r="E163" i="13" s="1"/>
  <c r="C163" i="13" a="1"/>
  <c r="C163" i="13" s="1"/>
  <c r="D3" i="13" a="1"/>
  <c r="D3" i="13" s="1"/>
  <c r="E8" i="13" a="1"/>
  <c r="E8" i="13" s="1"/>
  <c r="D10" i="13" a="1"/>
  <c r="D10" i="13" s="1"/>
  <c r="E11" i="13" a="1"/>
  <c r="E11" i="13" s="1"/>
  <c r="C12" i="13" a="1"/>
  <c r="C12" i="13" s="1"/>
  <c r="B14" i="13" a="1"/>
  <c r="B14" i="13" s="1"/>
  <c r="B15" i="13" a="1"/>
  <c r="B15" i="13" s="1"/>
  <c r="D19" i="13" a="1"/>
  <c r="D19" i="13" s="1"/>
  <c r="C21" i="13" a="1"/>
  <c r="C21" i="13" s="1"/>
  <c r="E25" i="13" a="1"/>
  <c r="E25" i="13" s="1"/>
  <c r="B27" i="13" a="1"/>
  <c r="B27" i="13" s="1"/>
  <c r="F27" i="13" a="1"/>
  <c r="F27" i="13" s="1"/>
  <c r="C29" i="13" a="1"/>
  <c r="C29" i="13" s="1"/>
  <c r="E33" i="13" a="1"/>
  <c r="E33" i="13" s="1"/>
  <c r="B35" i="13" a="1"/>
  <c r="B35" i="13" s="1"/>
  <c r="F35" i="13" a="1"/>
  <c r="F35" i="13" s="1"/>
  <c r="C37" i="13" a="1"/>
  <c r="C37" i="13" s="1"/>
  <c r="E41" i="13" a="1"/>
  <c r="E41" i="13" s="1"/>
  <c r="B43" i="13" a="1"/>
  <c r="B43" i="13" s="1"/>
  <c r="B47" i="13" a="1"/>
  <c r="B47" i="13" s="1"/>
  <c r="C51" i="13" a="1"/>
  <c r="C51" i="13" s="1"/>
  <c r="F53" i="13" a="1"/>
  <c r="F53" i="13" s="1"/>
  <c r="C55" i="13" a="1"/>
  <c r="C55" i="13" s="1"/>
  <c r="E63" i="13" a="1"/>
  <c r="E63" i="13" s="1"/>
  <c r="E69" i="13" a="1"/>
  <c r="E69" i="13" s="1"/>
  <c r="E71" i="13" a="1"/>
  <c r="E71" i="13" s="1"/>
  <c r="D79" i="13" a="1"/>
  <c r="D79" i="13" s="1"/>
  <c r="F81" i="13" a="1"/>
  <c r="F81" i="13" s="1"/>
  <c r="C81" i="13" a="1"/>
  <c r="C81" i="13" s="1"/>
  <c r="E81" i="13" a="1"/>
  <c r="E81" i="13" s="1"/>
  <c r="B81" i="13" a="1"/>
  <c r="B81" i="13" s="1"/>
  <c r="D89" i="13" a="1"/>
  <c r="D89" i="13" s="1"/>
  <c r="F97" i="13" a="1"/>
  <c r="F97" i="13" s="1"/>
  <c r="C97" i="13" a="1"/>
  <c r="C97" i="13" s="1"/>
  <c r="E97" i="13" a="1"/>
  <c r="E97" i="13" s="1"/>
  <c r="C108" i="13" a="1"/>
  <c r="C108" i="13" s="1"/>
  <c r="F108" i="13" a="1"/>
  <c r="F108" i="13" s="1"/>
  <c r="B108" i="13" a="1"/>
  <c r="B108" i="13" s="1"/>
  <c r="D110" i="13" a="1"/>
  <c r="D110" i="13" s="1"/>
  <c r="C110" i="13" a="1"/>
  <c r="C110" i="13" s="1"/>
  <c r="C116" i="13" a="1"/>
  <c r="C116" i="13" s="1"/>
  <c r="F116" i="13" a="1"/>
  <c r="F116" i="13" s="1"/>
  <c r="B116" i="13" a="1"/>
  <c r="B116" i="13" s="1"/>
  <c r="D118" i="13" a="1"/>
  <c r="D118" i="13" s="1"/>
  <c r="C118" i="13" a="1"/>
  <c r="C118" i="13" s="1"/>
  <c r="C124" i="13" a="1"/>
  <c r="C124" i="13" s="1"/>
  <c r="F124" i="13" a="1"/>
  <c r="F124" i="13" s="1"/>
  <c r="B124" i="13" a="1"/>
  <c r="B124" i="13" s="1"/>
  <c r="D126" i="13" a="1"/>
  <c r="D126" i="13" s="1"/>
  <c r="C126" i="13" a="1"/>
  <c r="C126" i="13" s="1"/>
  <c r="B136" i="13" a="1"/>
  <c r="B136" i="13" s="1"/>
  <c r="D11" i="13" a="1"/>
  <c r="D11" i="13" s="1"/>
  <c r="E21" i="13" a="1"/>
  <c r="E21" i="13" s="1"/>
  <c r="F90" i="13" a="1"/>
  <c r="F90" i="13" s="1"/>
  <c r="E90" i="13" a="1"/>
  <c r="E90" i="13" s="1"/>
  <c r="E96" i="13" a="1"/>
  <c r="E96" i="13" s="1"/>
  <c r="F96" i="13" a="1"/>
  <c r="F96" i="13" s="1"/>
  <c r="D96" i="13" a="1"/>
  <c r="D96" i="13" s="1"/>
  <c r="D128" i="13" a="1"/>
  <c r="D128" i="13" s="1"/>
  <c r="C128" i="13" a="1"/>
  <c r="C128" i="13" s="1"/>
  <c r="C8" i="13" a="1"/>
  <c r="C8" i="13" s="1"/>
  <c r="B11" i="13" a="1"/>
  <c r="B11" i="13" s="1"/>
  <c r="B29" i="13" a="1"/>
  <c r="B29" i="13" s="1"/>
  <c r="F29" i="13" a="1"/>
  <c r="F29" i="13" s="1"/>
  <c r="E35" i="13" a="1"/>
  <c r="E35" i="13" s="1"/>
  <c r="E43" i="13" a="1"/>
  <c r="E43" i="13" s="1"/>
  <c r="F47" i="13" a="1"/>
  <c r="F47" i="13" s="1"/>
  <c r="B63" i="13" a="1"/>
  <c r="B63" i="13" s="1"/>
  <c r="D69" i="13" a="1"/>
  <c r="D69" i="13" s="1"/>
  <c r="F86" i="13" a="1"/>
  <c r="F86" i="13" s="1"/>
  <c r="E86" i="13" a="1"/>
  <c r="E86" i="13" s="1"/>
  <c r="C86" i="13" a="1"/>
  <c r="C86" i="13" s="1"/>
  <c r="C90" i="13" a="1"/>
  <c r="C90" i="13" s="1"/>
  <c r="D93" i="13" a="1"/>
  <c r="D93" i="13" s="1"/>
  <c r="F93" i="13" a="1"/>
  <c r="F93" i="13" s="1"/>
  <c r="C93" i="13" a="1"/>
  <c r="C93" i="13" s="1"/>
  <c r="F94" i="13" a="1"/>
  <c r="F94" i="13" s="1"/>
  <c r="E94" i="13" a="1"/>
  <c r="E94" i="13" s="1"/>
  <c r="B96" i="13" a="1"/>
  <c r="B96" i="13" s="1"/>
  <c r="E100" i="13" a="1"/>
  <c r="E100" i="13" s="1"/>
  <c r="D100" i="13" a="1"/>
  <c r="D100" i="13" s="1"/>
  <c r="B100" i="13" a="1"/>
  <c r="B100" i="13" s="1"/>
  <c r="B128" i="13" a="1"/>
  <c r="B128" i="13" s="1"/>
  <c r="C150" i="13" a="1"/>
  <c r="C150" i="13" s="1"/>
  <c r="F150" i="13" a="1"/>
  <c r="F150" i="13" s="1"/>
  <c r="B150" i="13" a="1"/>
  <c r="B150" i="13" s="1"/>
  <c r="B2" i="13" a="1"/>
  <c r="B2" i="13" s="1"/>
  <c r="F10" i="13" a="1"/>
  <c r="F10" i="13" s="1"/>
  <c r="C11" i="13" a="1"/>
  <c r="C11" i="13" s="1"/>
  <c r="E12" i="13" a="1"/>
  <c r="E12" i="13" s="1"/>
  <c r="D14" i="13" a="1"/>
  <c r="D14" i="13" s="1"/>
  <c r="C16" i="13" a="1"/>
  <c r="C16" i="13" s="1"/>
  <c r="B18" i="13" a="1"/>
  <c r="B18" i="13" s="1"/>
  <c r="B25" i="13" a="1"/>
  <c r="B25" i="13" s="1"/>
  <c r="B33" i="13" a="1"/>
  <c r="B33" i="13" s="1"/>
  <c r="B41" i="13" a="1"/>
  <c r="B41" i="13" s="1"/>
  <c r="C43" i="13" a="1"/>
  <c r="C43" i="13" s="1"/>
  <c r="F45" i="13" a="1"/>
  <c r="F45" i="13" s="1"/>
  <c r="C47" i="13" a="1"/>
  <c r="C47" i="13" s="1"/>
  <c r="D51" i="13" a="1"/>
  <c r="D51" i="13" s="1"/>
  <c r="B53" i="13" a="1"/>
  <c r="B53" i="13" s="1"/>
  <c r="E55" i="13" a="1"/>
  <c r="E55" i="13" s="1"/>
  <c r="F61" i="13" a="1"/>
  <c r="F61" i="13" s="1"/>
  <c r="B61" i="13" a="1"/>
  <c r="B61" i="13" s="1"/>
  <c r="F63" i="13" a="1"/>
  <c r="F63" i="13" s="1"/>
  <c r="F71" i="13" a="1"/>
  <c r="F71" i="13" s="1"/>
  <c r="E79" i="13" a="1"/>
  <c r="E79" i="13" s="1"/>
  <c r="D81" i="13" a="1"/>
  <c r="D81" i="13" s="1"/>
  <c r="D88" i="13" a="1"/>
  <c r="D88" i="13" s="1"/>
  <c r="B88" i="13" a="1"/>
  <c r="B88" i="13" s="1"/>
  <c r="F92" i="13" a="1"/>
  <c r="F92" i="13" s="1"/>
  <c r="D92" i="13" a="1"/>
  <c r="D92" i="13" s="1"/>
  <c r="B97" i="13" a="1"/>
  <c r="B97" i="13" s="1"/>
  <c r="F98" i="13" a="1"/>
  <c r="F98" i="13" s="1"/>
  <c r="E98" i="13" a="1"/>
  <c r="E98" i="13" s="1"/>
  <c r="C98" i="13" a="1"/>
  <c r="C98" i="13" s="1"/>
  <c r="E101" i="13" a="1"/>
  <c r="E101" i="13" s="1"/>
  <c r="B101" i="13" a="1"/>
  <c r="B101" i="13" s="1"/>
  <c r="D108" i="13" a="1"/>
  <c r="D108" i="13" s="1"/>
  <c r="B110" i="13" a="1"/>
  <c r="B110" i="13" s="1"/>
  <c r="D116" i="13" a="1"/>
  <c r="D116" i="13" s="1"/>
  <c r="B118" i="13" a="1"/>
  <c r="B118" i="13" s="1"/>
  <c r="D124" i="13" a="1"/>
  <c r="D124" i="13" s="1"/>
  <c r="B126" i="13" a="1"/>
  <c r="B126" i="13" s="1"/>
  <c r="F128" i="13" a="1"/>
  <c r="F128" i="13" s="1"/>
  <c r="F148" i="13" a="1"/>
  <c r="F148" i="13" s="1"/>
  <c r="E148" i="13" a="1"/>
  <c r="E148" i="13" s="1"/>
  <c r="C148" i="13" a="1"/>
  <c r="C148" i="13" s="1"/>
  <c r="E150" i="13" a="1"/>
  <c r="E150" i="13" s="1"/>
  <c r="F155" i="13" a="1"/>
  <c r="F155" i="13" s="1"/>
  <c r="E155" i="13" a="1"/>
  <c r="E155" i="13" s="1"/>
  <c r="C155" i="13" a="1"/>
  <c r="C155" i="13" s="1"/>
  <c r="C158" i="13" a="1"/>
  <c r="C158" i="13" s="1"/>
  <c r="F158" i="13" a="1"/>
  <c r="F158" i="13" s="1"/>
  <c r="B158" i="13" a="1"/>
  <c r="B158" i="13" s="1"/>
  <c r="F164" i="13" a="1"/>
  <c r="F164" i="13" s="1"/>
  <c r="E164" i="13" a="1"/>
  <c r="E164" i="13" s="1"/>
  <c r="C164" i="13" a="1"/>
  <c r="C164" i="13" s="1"/>
  <c r="D65" i="13" a="1"/>
  <c r="D65" i="13" s="1"/>
  <c r="D73" i="13" a="1"/>
  <c r="D73" i="13" s="1"/>
  <c r="D75" i="13" a="1"/>
  <c r="D75" i="13" s="1"/>
  <c r="D112" i="13" a="1"/>
  <c r="D112" i="13" s="1"/>
  <c r="D120" i="13" a="1"/>
  <c r="D120" i="13" s="1"/>
  <c r="D130" i="13" a="1"/>
  <c r="D130" i="13" s="1"/>
  <c r="F132" i="13" a="1"/>
  <c r="F132" i="13" s="1"/>
  <c r="C138" i="13" a="1"/>
  <c r="C138" i="13" s="1"/>
  <c r="C142" i="13" a="1"/>
  <c r="C142" i="13" s="1"/>
  <c r="D146" i="13" a="1"/>
  <c r="D146" i="13" s="1"/>
  <c r="D154" i="13" a="1"/>
  <c r="D154" i="13" s="1"/>
  <c r="D162" i="13" a="1"/>
  <c r="D162" i="13" s="1"/>
  <c r="B5" i="13" a="1"/>
  <c r="B5" i="13" s="1"/>
  <c r="D5" i="13" a="1"/>
  <c r="D5" i="13" s="1"/>
  <c r="F5" i="13" a="1"/>
  <c r="F5" i="13" s="1"/>
  <c r="B9" i="13" a="1"/>
  <c r="B9" i="13" s="1"/>
  <c r="D9" i="13" a="1"/>
  <c r="D9" i="13" s="1"/>
  <c r="F9" i="13" a="1"/>
  <c r="F9" i="13" s="1"/>
  <c r="B13" i="13" a="1"/>
  <c r="B13" i="13" s="1"/>
  <c r="D13" i="13" a="1"/>
  <c r="D13" i="13" s="1"/>
  <c r="F13" i="13" a="1"/>
  <c r="F13" i="13" s="1"/>
  <c r="B17" i="13" a="1"/>
  <c r="B17" i="13" s="1"/>
  <c r="D17" i="13" a="1"/>
  <c r="D17" i="13" s="1"/>
  <c r="F17" i="13" a="1"/>
  <c r="F17" i="13" s="1"/>
  <c r="E20" i="13" a="1"/>
  <c r="E20" i="13" s="1"/>
  <c r="C20" i="13" a="1"/>
  <c r="C20" i="13" s="1"/>
  <c r="F20" i="13" a="1"/>
  <c r="F20" i="13" s="1"/>
  <c r="D20" i="13" a="1"/>
  <c r="D20" i="13" s="1"/>
  <c r="E52" i="13" a="1"/>
  <c r="E52" i="13" s="1"/>
  <c r="C52" i="13" a="1"/>
  <c r="C52" i="13" s="1"/>
  <c r="F52" i="13" a="1"/>
  <c r="F52" i="13" s="1"/>
  <c r="D52" i="13" a="1"/>
  <c r="D52" i="13" s="1"/>
  <c r="B52" i="13" a="1"/>
  <c r="B52" i="13" s="1"/>
  <c r="E68" i="13" a="1"/>
  <c r="E68" i="13" s="1"/>
  <c r="C68" i="13" a="1"/>
  <c r="C68" i="13" s="1"/>
  <c r="F68" i="13" a="1"/>
  <c r="F68" i="13" s="1"/>
  <c r="D68" i="13" a="1"/>
  <c r="D68" i="13" s="1"/>
  <c r="B68" i="13" a="1"/>
  <c r="B68" i="13" s="1"/>
  <c r="E99" i="13" a="1"/>
  <c r="E99" i="13" s="1"/>
  <c r="C99" i="13" a="1"/>
  <c r="C99" i="13" s="1"/>
  <c r="F99" i="13" a="1"/>
  <c r="F99" i="13" s="1"/>
  <c r="D99" i="13" a="1"/>
  <c r="D99" i="13" s="1"/>
  <c r="B99" i="13" a="1"/>
  <c r="B99" i="13" s="1"/>
  <c r="E125" i="13" a="1"/>
  <c r="E125" i="13" s="1"/>
  <c r="C125" i="13" a="1"/>
  <c r="C125" i="13" s="1"/>
  <c r="F125" i="13" a="1"/>
  <c r="F125" i="13" s="1"/>
  <c r="D125" i="13" a="1"/>
  <c r="D125" i="13" s="1"/>
  <c r="B125" i="13" a="1"/>
  <c r="B125" i="13" s="1"/>
  <c r="C2" i="13" a="1"/>
  <c r="C2" i="13" s="1"/>
  <c r="B4" i="13" a="1"/>
  <c r="B4" i="13" s="1"/>
  <c r="D4" i="13" a="1"/>
  <c r="D4" i="13" s="1"/>
  <c r="C6" i="13" a="1"/>
  <c r="C6" i="13" s="1"/>
  <c r="B8" i="13" a="1"/>
  <c r="B8" i="13" s="1"/>
  <c r="D8" i="13" a="1"/>
  <c r="D8" i="13" s="1"/>
  <c r="C10" i="13" a="1"/>
  <c r="C10" i="13" s="1"/>
  <c r="B12" i="13" a="1"/>
  <c r="B12" i="13" s="1"/>
  <c r="D12" i="13" a="1"/>
  <c r="D12" i="13" s="1"/>
  <c r="C14" i="13" a="1"/>
  <c r="C14" i="13" s="1"/>
  <c r="B16" i="13" a="1"/>
  <c r="B16" i="13" s="1"/>
  <c r="D16" i="13" a="1"/>
  <c r="D16" i="13" s="1"/>
  <c r="C18" i="13" a="1"/>
  <c r="C18" i="13" s="1"/>
  <c r="B20" i="13" a="1"/>
  <c r="B20" i="13" s="1"/>
  <c r="F22" i="13" a="1"/>
  <c r="F22" i="13" s="1"/>
  <c r="D22" i="13" a="1"/>
  <c r="D22" i="13" s="1"/>
  <c r="B22" i="13" a="1"/>
  <c r="B22" i="13" s="1"/>
  <c r="E22" i="13" a="1"/>
  <c r="E22" i="13" s="1"/>
  <c r="C22" i="13" a="1"/>
  <c r="C22" i="13" s="1"/>
  <c r="E24" i="13" a="1"/>
  <c r="E24" i="13" s="1"/>
  <c r="C24" i="13" a="1"/>
  <c r="C24" i="13" s="1"/>
  <c r="F24" i="13" a="1"/>
  <c r="F24" i="13" s="1"/>
  <c r="D24" i="13" a="1"/>
  <c r="D24" i="13" s="1"/>
  <c r="B24" i="13" a="1"/>
  <c r="B24" i="13" s="1"/>
  <c r="F26" i="13" a="1"/>
  <c r="F26" i="13" s="1"/>
  <c r="D26" i="13" a="1"/>
  <c r="D26" i="13" s="1"/>
  <c r="B26" i="13" a="1"/>
  <c r="B26" i="13" s="1"/>
  <c r="E26" i="13" a="1"/>
  <c r="E26" i="13" s="1"/>
  <c r="C26" i="13" a="1"/>
  <c r="C26" i="13" s="1"/>
  <c r="E28" i="13" a="1"/>
  <c r="E28" i="13" s="1"/>
  <c r="C28" i="13" a="1"/>
  <c r="C28" i="13" s="1"/>
  <c r="F28" i="13" a="1"/>
  <c r="F28" i="13" s="1"/>
  <c r="D28" i="13" a="1"/>
  <c r="D28" i="13" s="1"/>
  <c r="B28" i="13" a="1"/>
  <c r="B28" i="13" s="1"/>
  <c r="F30" i="13" a="1"/>
  <c r="F30" i="13" s="1"/>
  <c r="D30" i="13" a="1"/>
  <c r="D30" i="13" s="1"/>
  <c r="B30" i="13" a="1"/>
  <c r="B30" i="13" s="1"/>
  <c r="E30" i="13" a="1"/>
  <c r="E30" i="13" s="1"/>
  <c r="C30" i="13" a="1"/>
  <c r="C30" i="13" s="1"/>
  <c r="E32" i="13" a="1"/>
  <c r="E32" i="13" s="1"/>
  <c r="C32" i="13" a="1"/>
  <c r="C32" i="13" s="1"/>
  <c r="F32" i="13" a="1"/>
  <c r="F32" i="13" s="1"/>
  <c r="D32" i="13" a="1"/>
  <c r="D32" i="13" s="1"/>
  <c r="B32" i="13" a="1"/>
  <c r="B32" i="13" s="1"/>
  <c r="F34" i="13" a="1"/>
  <c r="F34" i="13" s="1"/>
  <c r="D34" i="13" a="1"/>
  <c r="D34" i="13" s="1"/>
  <c r="B34" i="13" a="1"/>
  <c r="B34" i="13" s="1"/>
  <c r="E34" i="13" a="1"/>
  <c r="E34" i="13" s="1"/>
  <c r="C34" i="13" a="1"/>
  <c r="C34" i="13" s="1"/>
  <c r="E36" i="13" a="1"/>
  <c r="E36" i="13" s="1"/>
  <c r="C36" i="13" a="1"/>
  <c r="C36" i="13" s="1"/>
  <c r="F36" i="13" a="1"/>
  <c r="F36" i="13" s="1"/>
  <c r="D36" i="13" a="1"/>
  <c r="D36" i="13" s="1"/>
  <c r="B36" i="13" a="1"/>
  <c r="B36" i="13" s="1"/>
  <c r="F38" i="13" a="1"/>
  <c r="F38" i="13" s="1"/>
  <c r="D38" i="13" a="1"/>
  <c r="D38" i="13" s="1"/>
  <c r="B38" i="13" a="1"/>
  <c r="B38" i="13" s="1"/>
  <c r="E38" i="13" a="1"/>
  <c r="E38" i="13" s="1"/>
  <c r="C38" i="13" a="1"/>
  <c r="C38" i="13" s="1"/>
  <c r="E40" i="13" a="1"/>
  <c r="E40" i="13" s="1"/>
  <c r="C40" i="13" a="1"/>
  <c r="C40" i="13" s="1"/>
  <c r="F40" i="13" a="1"/>
  <c r="F40" i="13" s="1"/>
  <c r="D40" i="13" a="1"/>
  <c r="D40" i="13" s="1"/>
  <c r="B40" i="13" a="1"/>
  <c r="B40" i="13" s="1"/>
  <c r="F42" i="13" a="1"/>
  <c r="F42" i="13" s="1"/>
  <c r="D42" i="13" a="1"/>
  <c r="D42" i="13" s="1"/>
  <c r="B42" i="13" a="1"/>
  <c r="B42" i="13" s="1"/>
  <c r="E42" i="13" a="1"/>
  <c r="E42" i="13" s="1"/>
  <c r="C42" i="13" a="1"/>
  <c r="C42" i="13" s="1"/>
  <c r="E44" i="13" a="1"/>
  <c r="E44" i="13" s="1"/>
  <c r="C44" i="13" a="1"/>
  <c r="C44" i="13" s="1"/>
  <c r="F44" i="13" a="1"/>
  <c r="F44" i="13" s="1"/>
  <c r="D44" i="13" a="1"/>
  <c r="D44" i="13" s="1"/>
  <c r="B44" i="13" a="1"/>
  <c r="B44" i="13" s="1"/>
  <c r="F46" i="13" a="1"/>
  <c r="F46" i="13" s="1"/>
  <c r="D46" i="13" a="1"/>
  <c r="D46" i="13" s="1"/>
  <c r="B46" i="13" a="1"/>
  <c r="B46" i="13" s="1"/>
  <c r="E46" i="13" a="1"/>
  <c r="E46" i="13" s="1"/>
  <c r="C46" i="13" a="1"/>
  <c r="C46" i="13" s="1"/>
  <c r="E48" i="13" a="1"/>
  <c r="E48" i="13" s="1"/>
  <c r="C48" i="13" a="1"/>
  <c r="C48" i="13" s="1"/>
  <c r="F48" i="13" a="1"/>
  <c r="F48" i="13" s="1"/>
  <c r="D48" i="13" a="1"/>
  <c r="D48" i="13" s="1"/>
  <c r="B48" i="13" a="1"/>
  <c r="B48" i="13" s="1"/>
  <c r="E64" i="13" a="1"/>
  <c r="E64" i="13" s="1"/>
  <c r="C64" i="13" a="1"/>
  <c r="C64" i="13" s="1"/>
  <c r="F64" i="13" a="1"/>
  <c r="F64" i="13" s="1"/>
  <c r="D64" i="13" a="1"/>
  <c r="D64" i="13" s="1"/>
  <c r="B64" i="13" a="1"/>
  <c r="B64" i="13" s="1"/>
  <c r="E80" i="13" a="1"/>
  <c r="E80" i="13" s="1"/>
  <c r="C80" i="13" a="1"/>
  <c r="C80" i="13" s="1"/>
  <c r="F80" i="13" a="1"/>
  <c r="F80" i="13" s="1"/>
  <c r="B80" i="13" a="1"/>
  <c r="B80" i="13" s="1"/>
  <c r="E56" i="13" a="1"/>
  <c r="E56" i="13" s="1"/>
  <c r="C56" i="13" a="1"/>
  <c r="C56" i="13" s="1"/>
  <c r="F56" i="13" a="1"/>
  <c r="F56" i="13" s="1"/>
  <c r="D56" i="13" a="1"/>
  <c r="D56" i="13" s="1"/>
  <c r="B56" i="13" a="1"/>
  <c r="B56" i="13" s="1"/>
  <c r="E72" i="13" a="1"/>
  <c r="E72" i="13" s="1"/>
  <c r="C72" i="13" a="1"/>
  <c r="C72" i="13" s="1"/>
  <c r="F72" i="13" a="1"/>
  <c r="F72" i="13" s="1"/>
  <c r="D72" i="13" a="1"/>
  <c r="D72" i="13" s="1"/>
  <c r="B72" i="13" a="1"/>
  <c r="B72" i="13" s="1"/>
  <c r="C5" i="13" a="1"/>
  <c r="C5" i="13" s="1"/>
  <c r="C9" i="13" a="1"/>
  <c r="C9" i="13" s="1"/>
  <c r="C13" i="13" a="1"/>
  <c r="C13" i="13" s="1"/>
  <c r="C17" i="13" a="1"/>
  <c r="C17" i="13" s="1"/>
  <c r="E60" i="13" a="1"/>
  <c r="E60" i="13" s="1"/>
  <c r="C60" i="13" a="1"/>
  <c r="C60" i="13" s="1"/>
  <c r="F60" i="13" a="1"/>
  <c r="F60" i="13" s="1"/>
  <c r="D60" i="13" a="1"/>
  <c r="D60" i="13" s="1"/>
  <c r="B60" i="13" a="1"/>
  <c r="B60" i="13" s="1"/>
  <c r="E76" i="13" a="1"/>
  <c r="E76" i="13" s="1"/>
  <c r="C76" i="13" a="1"/>
  <c r="C76" i="13" s="1"/>
  <c r="F76" i="13" a="1"/>
  <c r="F76" i="13" s="1"/>
  <c r="D76" i="13" a="1"/>
  <c r="D76" i="13" s="1"/>
  <c r="B76" i="13" a="1"/>
  <c r="B76" i="13" s="1"/>
  <c r="F87" i="13" a="1"/>
  <c r="F87" i="13" s="1"/>
  <c r="D87" i="13" a="1"/>
  <c r="D87" i="13" s="1"/>
  <c r="B87" i="13" a="1"/>
  <c r="B87" i="13" s="1"/>
  <c r="E87" i="13" a="1"/>
  <c r="E87" i="13" s="1"/>
  <c r="C87" i="13" a="1"/>
  <c r="C87" i="13" s="1"/>
  <c r="C50" i="13" a="1"/>
  <c r="C50" i="13" s="1"/>
  <c r="E50" i="13" a="1"/>
  <c r="E50" i="13" s="1"/>
  <c r="C54" i="13" a="1"/>
  <c r="C54" i="13" s="1"/>
  <c r="E54" i="13" a="1"/>
  <c r="E54" i="13" s="1"/>
  <c r="C58" i="13" a="1"/>
  <c r="C58" i="13" s="1"/>
  <c r="E58" i="13" a="1"/>
  <c r="E58" i="13" s="1"/>
  <c r="C62" i="13" a="1"/>
  <c r="C62" i="13" s="1"/>
  <c r="E62" i="13" a="1"/>
  <c r="E62" i="13" s="1"/>
  <c r="C66" i="13" a="1"/>
  <c r="C66" i="13" s="1"/>
  <c r="E66" i="13" a="1"/>
  <c r="E66" i="13" s="1"/>
  <c r="C70" i="13" a="1"/>
  <c r="C70" i="13" s="1"/>
  <c r="E70" i="13" a="1"/>
  <c r="E70" i="13" s="1"/>
  <c r="C74" i="13" a="1"/>
  <c r="C74" i="13" s="1"/>
  <c r="E74" i="13" a="1"/>
  <c r="E74" i="13" s="1"/>
  <c r="C78" i="13" a="1"/>
  <c r="C78" i="13" s="1"/>
  <c r="E78" i="13" a="1"/>
  <c r="E78" i="13" s="1"/>
  <c r="F83" i="13" a="1"/>
  <c r="F83" i="13" s="1"/>
  <c r="E88" i="13" a="1"/>
  <c r="E88" i="13" s="1"/>
  <c r="C88" i="13" a="1"/>
  <c r="C88" i="13" s="1"/>
  <c r="E95" i="13" a="1"/>
  <c r="E95" i="13" s="1"/>
  <c r="C95" i="13" a="1"/>
  <c r="C95" i="13" s="1"/>
  <c r="F95" i="13" a="1"/>
  <c r="F95" i="13" s="1"/>
  <c r="D95" i="13" a="1"/>
  <c r="D95" i="13" s="1"/>
  <c r="B95" i="13" a="1"/>
  <c r="B95" i="13" s="1"/>
  <c r="F82" i="13" a="1"/>
  <c r="F82" i="13" s="1"/>
  <c r="D82" i="13" a="1"/>
  <c r="D82" i="13" s="1"/>
  <c r="B82" i="13" a="1"/>
  <c r="B82" i="13" s="1"/>
  <c r="D83" i="13" a="1"/>
  <c r="D83" i="13" s="1"/>
  <c r="E84" i="13" a="1"/>
  <c r="E84" i="13" s="1"/>
  <c r="C84" i="13" a="1"/>
  <c r="C84" i="13" s="1"/>
  <c r="D84" i="13" a="1"/>
  <c r="D84" i="13" s="1"/>
  <c r="F91" i="13" a="1"/>
  <c r="F91" i="13" s="1"/>
  <c r="D91" i="13" a="1"/>
  <c r="D91" i="13" s="1"/>
  <c r="B91" i="13" a="1"/>
  <c r="B91" i="13" s="1"/>
  <c r="B50" i="13" a="1"/>
  <c r="B50" i="13" s="1"/>
  <c r="D50" i="13" a="1"/>
  <c r="D50" i="13" s="1"/>
  <c r="B54" i="13" a="1"/>
  <c r="B54" i="13" s="1"/>
  <c r="D54" i="13" a="1"/>
  <c r="D54" i="13" s="1"/>
  <c r="B58" i="13" a="1"/>
  <c r="B58" i="13" s="1"/>
  <c r="D58" i="13" a="1"/>
  <c r="D58" i="13" s="1"/>
  <c r="B62" i="13" a="1"/>
  <c r="B62" i="13" s="1"/>
  <c r="D62" i="13" a="1"/>
  <c r="D62" i="13" s="1"/>
  <c r="B66" i="13" a="1"/>
  <c r="B66" i="13" s="1"/>
  <c r="D66" i="13" a="1"/>
  <c r="D66" i="13" s="1"/>
  <c r="B70" i="13" a="1"/>
  <c r="B70" i="13" s="1"/>
  <c r="D70" i="13" a="1"/>
  <c r="D70" i="13" s="1"/>
  <c r="B74" i="13" a="1"/>
  <c r="B74" i="13" s="1"/>
  <c r="D74" i="13" a="1"/>
  <c r="D74" i="13" s="1"/>
  <c r="B78" i="13" a="1"/>
  <c r="B78" i="13" s="1"/>
  <c r="D78" i="13" a="1"/>
  <c r="D78" i="13" s="1"/>
  <c r="E82" i="13" a="1"/>
  <c r="E82" i="13" s="1"/>
  <c r="B83" i="13" a="1"/>
  <c r="B83" i="13" s="1"/>
  <c r="B84" i="13" a="1"/>
  <c r="B84" i="13" s="1"/>
  <c r="C91" i="13" a="1"/>
  <c r="C91" i="13" s="1"/>
  <c r="E92" i="13" a="1"/>
  <c r="E92" i="13" s="1"/>
  <c r="C92" i="13" a="1"/>
  <c r="C92" i="13" s="1"/>
  <c r="E103" i="13" a="1"/>
  <c r="E103" i="13" s="1"/>
  <c r="C103" i="13" a="1"/>
  <c r="C103" i="13" s="1"/>
  <c r="F103" i="13" a="1"/>
  <c r="F103" i="13" s="1"/>
  <c r="D103" i="13" a="1"/>
  <c r="D103" i="13" s="1"/>
  <c r="B103" i="13" a="1"/>
  <c r="B103" i="13" s="1"/>
  <c r="C104" i="13" a="1"/>
  <c r="C104" i="13" s="1"/>
  <c r="E105" i="13" a="1"/>
  <c r="E105" i="13" s="1"/>
  <c r="C105" i="13" a="1"/>
  <c r="C105" i="13" s="1"/>
  <c r="F105" i="13" a="1"/>
  <c r="F105" i="13" s="1"/>
  <c r="D105" i="13" a="1"/>
  <c r="D105" i="13" s="1"/>
  <c r="B105" i="13" a="1"/>
  <c r="B105" i="13" s="1"/>
  <c r="F107" i="13" a="1"/>
  <c r="F107" i="13" s="1"/>
  <c r="D107" i="13" a="1"/>
  <c r="D107" i="13" s="1"/>
  <c r="B107" i="13" a="1"/>
  <c r="B107" i="13" s="1"/>
  <c r="E107" i="13" a="1"/>
  <c r="E107" i="13" s="1"/>
  <c r="C107" i="13" a="1"/>
  <c r="C107" i="13" s="1"/>
  <c r="E109" i="13" a="1"/>
  <c r="E109" i="13" s="1"/>
  <c r="C109" i="13" a="1"/>
  <c r="C109" i="13" s="1"/>
  <c r="F109" i="13" a="1"/>
  <c r="F109" i="13" s="1"/>
  <c r="D109" i="13" a="1"/>
  <c r="D109" i="13" s="1"/>
  <c r="B109" i="13" a="1"/>
  <c r="B109" i="13" s="1"/>
  <c r="F111" i="13" a="1"/>
  <c r="F111" i="13" s="1"/>
  <c r="D111" i="13" a="1"/>
  <c r="D111" i="13" s="1"/>
  <c r="B111" i="13" a="1"/>
  <c r="B111" i="13" s="1"/>
  <c r="E111" i="13" a="1"/>
  <c r="E111" i="13" s="1"/>
  <c r="C111" i="13" a="1"/>
  <c r="C111" i="13" s="1"/>
  <c r="E113" i="13" a="1"/>
  <c r="E113" i="13" s="1"/>
  <c r="C113" i="13" a="1"/>
  <c r="C113" i="13" s="1"/>
  <c r="F113" i="13" a="1"/>
  <c r="F113" i="13" s="1"/>
  <c r="D113" i="13" a="1"/>
  <c r="D113" i="13" s="1"/>
  <c r="B113" i="13" a="1"/>
  <c r="B113" i="13" s="1"/>
  <c r="F115" i="13" a="1"/>
  <c r="F115" i="13" s="1"/>
  <c r="D115" i="13" a="1"/>
  <c r="D115" i="13" s="1"/>
  <c r="B115" i="13" a="1"/>
  <c r="B115" i="13" s="1"/>
  <c r="E115" i="13" a="1"/>
  <c r="E115" i="13" s="1"/>
  <c r="C115" i="13" a="1"/>
  <c r="C115" i="13" s="1"/>
  <c r="E117" i="13" a="1"/>
  <c r="E117" i="13" s="1"/>
  <c r="C117" i="13" a="1"/>
  <c r="C117" i="13" s="1"/>
  <c r="F117" i="13" a="1"/>
  <c r="F117" i="13" s="1"/>
  <c r="D117" i="13" a="1"/>
  <c r="D117" i="13" s="1"/>
  <c r="B117" i="13" a="1"/>
  <c r="B117" i="13" s="1"/>
  <c r="F119" i="13" a="1"/>
  <c r="F119" i="13" s="1"/>
  <c r="D119" i="13" a="1"/>
  <c r="D119" i="13" s="1"/>
  <c r="B119" i="13" a="1"/>
  <c r="B119" i="13" s="1"/>
  <c r="E119" i="13" a="1"/>
  <c r="E119" i="13" s="1"/>
  <c r="C119" i="13" a="1"/>
  <c r="C119" i="13" s="1"/>
  <c r="E121" i="13" a="1"/>
  <c r="E121" i="13" s="1"/>
  <c r="C121" i="13" a="1"/>
  <c r="C121" i="13" s="1"/>
  <c r="F121" i="13" a="1"/>
  <c r="F121" i="13" s="1"/>
  <c r="D121" i="13" a="1"/>
  <c r="D121" i="13" s="1"/>
  <c r="B121" i="13" a="1"/>
  <c r="B121" i="13" s="1"/>
  <c r="E157" i="13" a="1"/>
  <c r="E157" i="13" s="1"/>
  <c r="C157" i="13" a="1"/>
  <c r="C157" i="13" s="1"/>
  <c r="F157" i="13" a="1"/>
  <c r="F157" i="13" s="1"/>
  <c r="D157" i="13" a="1"/>
  <c r="D157" i="13" s="1"/>
  <c r="B157" i="13" a="1"/>
  <c r="B157" i="13" s="1"/>
  <c r="B86" i="13" a="1"/>
  <c r="B86" i="13" s="1"/>
  <c r="D86" i="13" a="1"/>
  <c r="D86" i="13" s="1"/>
  <c r="B90" i="13" a="1"/>
  <c r="B90" i="13" s="1"/>
  <c r="D90" i="13" a="1"/>
  <c r="D90" i="13" s="1"/>
  <c r="B94" i="13" a="1"/>
  <c r="B94" i="13" s="1"/>
  <c r="D94" i="13" a="1"/>
  <c r="D94" i="13" s="1"/>
  <c r="C96" i="13" a="1"/>
  <c r="C96" i="13" s="1"/>
  <c r="B98" i="13" a="1"/>
  <c r="B98" i="13" s="1"/>
  <c r="D98" i="13" a="1"/>
  <c r="D98" i="13" s="1"/>
  <c r="C100" i="13" a="1"/>
  <c r="C100" i="13" s="1"/>
  <c r="B102" i="13" a="1"/>
  <c r="B102" i="13" s="1"/>
  <c r="D102" i="13" a="1"/>
  <c r="D102" i="13" s="1"/>
  <c r="D104" i="13" a="1"/>
  <c r="D104" i="13" s="1"/>
  <c r="E149" i="13" a="1"/>
  <c r="E149" i="13" s="1"/>
  <c r="C149" i="13" a="1"/>
  <c r="C149" i="13" s="1"/>
  <c r="F149" i="13" a="1"/>
  <c r="F149" i="13" s="1"/>
  <c r="D149" i="13" a="1"/>
  <c r="D149" i="13" s="1"/>
  <c r="B149" i="13" a="1"/>
  <c r="B149" i="13" s="1"/>
  <c r="E129" i="13" a="1"/>
  <c r="E129" i="13" s="1"/>
  <c r="C129" i="13" a="1"/>
  <c r="C129" i="13" s="1"/>
  <c r="F129" i="13" a="1"/>
  <c r="F129" i="13" s="1"/>
  <c r="D129" i="13" a="1"/>
  <c r="D129" i="13" s="1"/>
  <c r="B129" i="13" a="1"/>
  <c r="B129" i="13" s="1"/>
  <c r="C123" i="13" a="1"/>
  <c r="C123" i="13" s="1"/>
  <c r="E123" i="13" a="1"/>
  <c r="E123" i="13" s="1"/>
  <c r="C127" i="13" a="1"/>
  <c r="C127" i="13" s="1"/>
  <c r="E127" i="13" a="1"/>
  <c r="E127" i="13" s="1"/>
  <c r="C132" i="13" a="1"/>
  <c r="C132" i="13" s="1"/>
  <c r="F135" i="13" a="1"/>
  <c r="F135" i="13" s="1"/>
  <c r="D135" i="13" a="1"/>
  <c r="D135" i="13" s="1"/>
  <c r="B135" i="13" a="1"/>
  <c r="B135" i="13" s="1"/>
  <c r="D136" i="13" a="1"/>
  <c r="D136" i="13" s="1"/>
  <c r="E137" i="13" a="1"/>
  <c r="E137" i="13" s="1"/>
  <c r="C137" i="13" a="1"/>
  <c r="C137" i="13" s="1"/>
  <c r="D137" i="13" a="1"/>
  <c r="D137" i="13" s="1"/>
  <c r="F140" i="13" a="1"/>
  <c r="F140" i="13" s="1"/>
  <c r="D140" i="13" a="1"/>
  <c r="D140" i="13" s="1"/>
  <c r="B140" i="13" a="1"/>
  <c r="B140" i="13" s="1"/>
  <c r="F131" i="13" a="1"/>
  <c r="F131" i="13" s="1"/>
  <c r="D131" i="13" a="1"/>
  <c r="D131" i="13" s="1"/>
  <c r="E141" i="13" a="1"/>
  <c r="E141" i="13" s="1"/>
  <c r="C141" i="13" a="1"/>
  <c r="C141" i="13" s="1"/>
  <c r="E145" i="13" a="1"/>
  <c r="E145" i="13" s="1"/>
  <c r="C145" i="13" a="1"/>
  <c r="C145" i="13" s="1"/>
  <c r="F145" i="13" a="1"/>
  <c r="F145" i="13" s="1"/>
  <c r="D145" i="13" a="1"/>
  <c r="D145" i="13" s="1"/>
  <c r="B145" i="13" a="1"/>
  <c r="B145" i="13" s="1"/>
  <c r="E153" i="13" a="1"/>
  <c r="E153" i="13" s="1"/>
  <c r="C153" i="13" a="1"/>
  <c r="C153" i="13" s="1"/>
  <c r="F153" i="13" a="1"/>
  <c r="F153" i="13" s="1"/>
  <c r="D153" i="13" a="1"/>
  <c r="D153" i="13" s="1"/>
  <c r="B153" i="13" a="1"/>
  <c r="B153" i="13" s="1"/>
  <c r="E161" i="13" a="1"/>
  <c r="E161" i="13" s="1"/>
  <c r="C161" i="13" a="1"/>
  <c r="C161" i="13" s="1"/>
  <c r="F161" i="13" a="1"/>
  <c r="F161" i="13" s="1"/>
  <c r="D161" i="13" a="1"/>
  <c r="D161" i="13" s="1"/>
  <c r="B161" i="13" a="1"/>
  <c r="B161" i="13" s="1"/>
  <c r="B123" i="13" a="1"/>
  <c r="B123" i="13" s="1"/>
  <c r="D123" i="13" a="1"/>
  <c r="D123" i="13" s="1"/>
  <c r="B127" i="13" a="1"/>
  <c r="B127" i="13" s="1"/>
  <c r="D127" i="13" a="1"/>
  <c r="D127" i="13" s="1"/>
  <c r="B131" i="13" a="1"/>
  <c r="B131" i="13" s="1"/>
  <c r="E133" i="13" a="1"/>
  <c r="E133" i="13" s="1"/>
  <c r="C133" i="13" a="1"/>
  <c r="C133" i="13" s="1"/>
  <c r="D133" i="13" a="1"/>
  <c r="D133" i="13" s="1"/>
  <c r="C135" i="13" a="1"/>
  <c r="C135" i="13" s="1"/>
  <c r="B141" i="13" a="1"/>
  <c r="B141" i="13" s="1"/>
  <c r="F141" i="13" a="1"/>
  <c r="F141" i="13" s="1"/>
  <c r="B144" i="13" a="1"/>
  <c r="B144" i="13" s="1"/>
  <c r="D144" i="13" a="1"/>
  <c r="D144" i="13" s="1"/>
  <c r="B148" i="13" a="1"/>
  <c r="B148" i="13" s="1"/>
  <c r="D148" i="13" a="1"/>
  <c r="D148" i="13" s="1"/>
  <c r="B152" i="13" a="1"/>
  <c r="B152" i="13" s="1"/>
  <c r="D152" i="13" a="1"/>
  <c r="D152" i="13" s="1"/>
  <c r="B156" i="13" a="1"/>
  <c r="B156" i="13" s="1"/>
  <c r="D156" i="13" a="1"/>
  <c r="D156" i="13" s="1"/>
  <c r="B160" i="13" a="1"/>
  <c r="B160" i="13" s="1"/>
  <c r="D160" i="13" a="1"/>
  <c r="D160" i="13" s="1"/>
  <c r="B164" i="13" a="1"/>
  <c r="B164" i="13" s="1"/>
  <c r="D164" i="13" a="1"/>
  <c r="D164" i="13" s="1"/>
  <c r="B139" i="13" a="1"/>
  <c r="B139" i="13" s="1"/>
  <c r="D139" i="13" a="1"/>
  <c r="D139" i="13" s="1"/>
  <c r="B143" i="13" a="1"/>
  <c r="B143" i="13" s="1"/>
  <c r="D143" i="13" a="1"/>
  <c r="D143" i="13" s="1"/>
  <c r="B147" i="13" a="1"/>
  <c r="B147" i="13" s="1"/>
  <c r="D147" i="13" a="1"/>
  <c r="D147" i="13" s="1"/>
  <c r="B151" i="13" a="1"/>
  <c r="B151" i="13" s="1"/>
  <c r="D151" i="13" a="1"/>
  <c r="D151" i="13" s="1"/>
  <c r="B155" i="13" a="1"/>
  <c r="B155" i="13" s="1"/>
  <c r="D155" i="13" a="1"/>
  <c r="D155" i="13" s="1"/>
  <c r="B159" i="13" a="1"/>
  <c r="B159" i="13" s="1"/>
  <c r="D159" i="13" a="1"/>
  <c r="D159" i="13" s="1"/>
  <c r="B163" i="13" a="1"/>
  <c r="B163" i="13" s="1"/>
  <c r="D163" i="13" a="1"/>
  <c r="D163" i="13" s="1"/>
  <c r="G192" i="12"/>
  <c r="G193" i="12"/>
  <c r="G194" i="12"/>
  <c r="G184" i="12"/>
  <c r="G183" i="12"/>
  <c r="G185" i="12" s="1"/>
  <c r="G174" i="12"/>
  <c r="G176" i="12" s="1"/>
  <c r="J190" i="11"/>
  <c r="J180" i="11"/>
  <c r="J181" i="11"/>
  <c r="K181" i="11" s="1"/>
  <c r="J189" i="11"/>
  <c r="K189" i="11" s="1"/>
  <c r="J173" i="11"/>
  <c r="J182" i="11"/>
  <c r="J172" i="11"/>
  <c r="K172" i="11" s="1"/>
  <c r="J171" i="11"/>
  <c r="K171" i="11" s="1"/>
  <c r="B38" i="12" a="1"/>
  <c r="B38" i="12" s="1"/>
  <c r="B62" i="12" a="1"/>
  <c r="B62" i="12" s="1"/>
  <c r="C86" i="12" a="1"/>
  <c r="C86" i="12" s="1"/>
  <c r="B98" i="12" a="1"/>
  <c r="B98" i="12" s="1"/>
  <c r="C110" i="12" a="1"/>
  <c r="C110" i="12" s="1"/>
  <c r="C122" i="12" a="1"/>
  <c r="C122" i="12" s="1"/>
  <c r="C7" i="12" a="1"/>
  <c r="C7" i="12" s="1"/>
  <c r="C11" i="12" a="1"/>
  <c r="C11" i="12" s="1"/>
  <c r="C15" i="12" a="1"/>
  <c r="C15" i="12" s="1"/>
  <c r="C23" i="12" a="1"/>
  <c r="C23" i="12" s="1"/>
  <c r="C27" i="12" a="1"/>
  <c r="C27" i="12" s="1"/>
  <c r="C31" i="12" a="1"/>
  <c r="C31" i="12" s="1"/>
  <c r="C39" i="12" a="1"/>
  <c r="C39" i="12" s="1"/>
  <c r="C43" i="12" a="1"/>
  <c r="C43" i="12" s="1"/>
  <c r="C47" i="12" a="1"/>
  <c r="C47" i="12" s="1"/>
  <c r="C51" i="12" a="1"/>
  <c r="C51" i="12" s="1"/>
  <c r="C55" i="12" a="1"/>
  <c r="C55" i="12" s="1"/>
  <c r="C59" i="12" a="1"/>
  <c r="C59" i="12" s="1"/>
  <c r="C63" i="12" a="1"/>
  <c r="C63" i="12" s="1"/>
  <c r="C67" i="12" a="1"/>
  <c r="C67" i="12" s="1"/>
  <c r="C71" i="12" a="1"/>
  <c r="C71" i="12" s="1"/>
  <c r="C75" i="12" a="1"/>
  <c r="C75" i="12" s="1"/>
  <c r="B79" i="12" a="1"/>
  <c r="B79" i="12" s="1"/>
  <c r="B83" i="12" a="1"/>
  <c r="B83" i="12" s="1"/>
  <c r="B2" i="12" a="1"/>
  <c r="B2" i="12" s="1"/>
  <c r="B18" i="12" a="1"/>
  <c r="B18" i="12" s="1"/>
  <c r="B34" i="12" a="1"/>
  <c r="B34" i="12" s="1"/>
  <c r="B46" i="12" a="1"/>
  <c r="B46" i="12" s="1"/>
  <c r="C82" i="12" a="1"/>
  <c r="C82" i="12" s="1"/>
  <c r="C94" i="12" a="1"/>
  <c r="C94" i="12" s="1"/>
  <c r="C106" i="12" a="1"/>
  <c r="C106" i="12" s="1"/>
  <c r="C44" i="12" a="1"/>
  <c r="C44" i="12" s="1"/>
  <c r="C52" i="12" a="1"/>
  <c r="C52" i="12" s="1"/>
  <c r="C60" i="12" a="1"/>
  <c r="C60" i="12" s="1"/>
  <c r="C68" i="12" a="1"/>
  <c r="C68" i="12" s="1"/>
  <c r="C76" i="12" a="1"/>
  <c r="C76" i="12" s="1"/>
  <c r="B80" i="12" a="1"/>
  <c r="B80" i="12" s="1"/>
  <c r="B88" i="12" a="1"/>
  <c r="B88" i="12" s="1"/>
  <c r="C112" i="12" a="1"/>
  <c r="C112" i="12" s="1"/>
  <c r="C120" i="12" a="1"/>
  <c r="C120" i="12" s="1"/>
  <c r="B124" i="12" a="1"/>
  <c r="B124" i="12" s="1"/>
  <c r="B128" i="12" a="1"/>
  <c r="B128" i="12" s="1"/>
  <c r="B136" i="12" a="1"/>
  <c r="B136" i="12" s="1"/>
  <c r="B140" i="12" a="1"/>
  <c r="B140" i="12" s="1"/>
  <c r="B144" i="12" a="1"/>
  <c r="B144" i="12" s="1"/>
  <c r="B152" i="12" a="1"/>
  <c r="B152" i="12" s="1"/>
  <c r="B156" i="12" a="1"/>
  <c r="B156" i="12" s="1"/>
  <c r="B6" i="12" a="1"/>
  <c r="B6" i="12" s="1"/>
  <c r="B22" i="12" a="1"/>
  <c r="B22" i="12" s="1"/>
  <c r="C54" i="12" a="1"/>
  <c r="C54" i="12" s="1"/>
  <c r="B102" i="12" a="1"/>
  <c r="B102" i="12" s="1"/>
  <c r="C114" i="12" a="1"/>
  <c r="C114" i="12" s="1"/>
  <c r="B9" i="12" a="1"/>
  <c r="B9" i="12" s="1"/>
  <c r="B13" i="12" a="1"/>
  <c r="B13" i="12" s="1"/>
  <c r="B17" i="12" a="1"/>
  <c r="B17" i="12" s="1"/>
  <c r="B25" i="12" a="1"/>
  <c r="B25" i="12" s="1"/>
  <c r="B29" i="12" a="1"/>
  <c r="B29" i="12" s="1"/>
  <c r="B33" i="12" a="1"/>
  <c r="B33" i="12" s="1"/>
  <c r="B41" i="12" a="1"/>
  <c r="B41" i="12" s="1"/>
  <c r="B81" i="12" a="1"/>
  <c r="B81" i="12" s="1"/>
  <c r="B85" i="12" a="1"/>
  <c r="B85" i="12" s="1"/>
  <c r="B105" i="12" a="1"/>
  <c r="B105" i="12" s="1"/>
  <c r="B109" i="12" a="1"/>
  <c r="B109" i="12" s="1"/>
  <c r="B113" i="12" a="1"/>
  <c r="B113" i="12" s="1"/>
  <c r="B121" i="12" a="1"/>
  <c r="B121" i="12" s="1"/>
  <c r="B129" i="12" a="1"/>
  <c r="B129" i="12" s="1"/>
  <c r="C137" i="12" a="1"/>
  <c r="C137" i="12" s="1"/>
  <c r="B141" i="12" a="1"/>
  <c r="B141" i="12" s="1"/>
  <c r="C153" i="12" a="1"/>
  <c r="C153" i="12" s="1"/>
  <c r="B157" i="12" a="1"/>
  <c r="B157" i="12" s="1"/>
  <c r="C134" i="12" a="1"/>
  <c r="C134" i="12" s="1"/>
  <c r="C138" i="12" a="1"/>
  <c r="C138" i="12" s="1"/>
  <c r="C142" i="12" a="1"/>
  <c r="C142" i="12" s="1"/>
  <c r="C146" i="12" a="1"/>
  <c r="C146" i="12" s="1"/>
  <c r="B150" i="12" a="1"/>
  <c r="B150" i="12" s="1"/>
  <c r="C154" i="12" a="1"/>
  <c r="C154" i="12" s="1"/>
  <c r="C158" i="12" a="1"/>
  <c r="C158" i="12" s="1"/>
  <c r="C162" i="12" a="1"/>
  <c r="C162" i="12" s="1"/>
  <c r="B87" i="12" a="1"/>
  <c r="B87" i="12" s="1"/>
  <c r="B91" i="12" a="1"/>
  <c r="B91" i="12" s="1"/>
  <c r="B95" i="12" a="1"/>
  <c r="B95" i="12" s="1"/>
  <c r="B99" i="12" a="1"/>
  <c r="B99" i="12" s="1"/>
  <c r="B103" i="12" a="1"/>
  <c r="B103" i="12" s="1"/>
  <c r="B111" i="12" a="1"/>
  <c r="B111" i="12" s="1"/>
  <c r="B119" i="12" a="1"/>
  <c r="B119" i="12" s="1"/>
  <c r="C127" i="12" a="1"/>
  <c r="C127" i="12" s="1"/>
  <c r="C131" i="12" a="1"/>
  <c r="C131" i="12" s="1"/>
  <c r="C135" i="12" a="1"/>
  <c r="C135" i="12" s="1"/>
  <c r="C139" i="12" a="1"/>
  <c r="C139" i="12" s="1"/>
  <c r="C151" i="12" a="1"/>
  <c r="C151" i="12" s="1"/>
  <c r="C155" i="12" a="1"/>
  <c r="C155" i="12" s="1"/>
  <c r="C159" i="12" a="1"/>
  <c r="C159" i="12" s="1"/>
  <c r="C163" i="12" a="1"/>
  <c r="C163" i="12" s="1"/>
  <c r="B11" i="12" a="1"/>
  <c r="B11" i="12" s="1"/>
  <c r="B51" i="12" a="1"/>
  <c r="B51" i="12" s="1"/>
  <c r="B23" i="12" a="1"/>
  <c r="B23" i="12" s="1"/>
  <c r="C46" i="12" a="1"/>
  <c r="C46" i="12" s="1"/>
  <c r="C150" i="12" a="1"/>
  <c r="C150" i="12" s="1"/>
  <c r="B120" i="12" a="1"/>
  <c r="B120" i="12" s="1"/>
  <c r="C13" i="12" a="1"/>
  <c r="C13" i="12" s="1"/>
  <c r="B151" i="12" a="1"/>
  <c r="B151" i="12" s="1"/>
  <c r="C2" i="12" a="1"/>
  <c r="C2" i="12" s="1"/>
  <c r="C9" i="12" a="1"/>
  <c r="C9" i="12" s="1"/>
  <c r="B63" i="12" a="1"/>
  <c r="B63" i="12" s="1"/>
  <c r="B138" i="12" a="1"/>
  <c r="B138" i="12" s="1"/>
  <c r="B7" i="12" a="1"/>
  <c r="B7" i="12" s="1"/>
  <c r="C18" i="12" a="1"/>
  <c r="C18" i="12" s="1"/>
  <c r="C38" i="12" a="1"/>
  <c r="C38" i="12" s="1"/>
  <c r="B67" i="12" a="1"/>
  <c r="B67" i="12" s="1"/>
  <c r="C102" i="12" a="1"/>
  <c r="C102" i="12" s="1"/>
  <c r="B131" i="12" a="1"/>
  <c r="B131" i="12" s="1"/>
  <c r="B135" i="12" a="1"/>
  <c r="B135" i="12" s="1"/>
  <c r="C25" i="12" a="1"/>
  <c r="C25" i="12" s="1"/>
  <c r="C41" i="12" a="1"/>
  <c r="C41" i="12" s="1"/>
  <c r="B52" i="12" a="1"/>
  <c r="B52" i="12" s="1"/>
  <c r="C62" i="12" a="1"/>
  <c r="C62" i="12" s="1"/>
  <c r="B70" i="12" a="1"/>
  <c r="B70" i="12" s="1"/>
  <c r="B112" i="12" a="1"/>
  <c r="B112" i="12" s="1"/>
  <c r="B134" i="12" a="1"/>
  <c r="B134" i="12" s="1"/>
  <c r="B39" i="12" a="1"/>
  <c r="B39" i="12" s="1"/>
  <c r="B47" i="12" a="1"/>
  <c r="B47" i="12" s="1"/>
  <c r="B68" i="12" a="1"/>
  <c r="B68" i="12" s="1"/>
  <c r="C80" i="12" a="1"/>
  <c r="C80" i="12" s="1"/>
  <c r="B94" i="12" a="1"/>
  <c r="B94" i="12" s="1"/>
  <c r="B110" i="12" a="1"/>
  <c r="B110" i="12" s="1"/>
  <c r="C17" i="12" a="1"/>
  <c r="C17" i="12" s="1"/>
  <c r="B43" i="12" a="1"/>
  <c r="B43" i="12" s="1"/>
  <c r="B55" i="12" a="1"/>
  <c r="B55" i="12" s="1"/>
  <c r="B60" i="12" a="1"/>
  <c r="B60" i="12" s="1"/>
  <c r="C70" i="12" a="1"/>
  <c r="C70" i="12" s="1"/>
  <c r="B75" i="12" a="1"/>
  <c r="B75" i="12" s="1"/>
  <c r="C81" i="12" a="1"/>
  <c r="C81" i="12" s="1"/>
  <c r="B82" i="12" a="1"/>
  <c r="B82" i="12" s="1"/>
  <c r="B127" i="12" a="1"/>
  <c r="B127" i="12" s="1"/>
  <c r="B139" i="12" a="1"/>
  <c r="B139" i="12" s="1"/>
  <c r="B146" i="12" a="1"/>
  <c r="B146" i="12" s="1"/>
  <c r="B155" i="12" a="1"/>
  <c r="B155" i="12" s="1"/>
  <c r="C6" i="12" a="1"/>
  <c r="C6" i="12" s="1"/>
  <c r="C22" i="12" a="1"/>
  <c r="C22" i="12" s="1"/>
  <c r="C34" i="12" a="1"/>
  <c r="C34" i="12" s="1"/>
  <c r="B54" i="12" a="1"/>
  <c r="B54" i="12" s="1"/>
  <c r="C85" i="12" a="1"/>
  <c r="C85" i="12" s="1"/>
  <c r="C98" i="12" a="1"/>
  <c r="C98" i="12" s="1"/>
  <c r="C141" i="12" a="1"/>
  <c r="C141" i="12" s="1"/>
  <c r="B142" i="12" a="1"/>
  <c r="B142" i="12" s="1"/>
  <c r="B27" i="12" a="1"/>
  <c r="B27" i="12" s="1"/>
  <c r="C29" i="12" a="1"/>
  <c r="C29" i="12" s="1"/>
  <c r="B44" i="12" a="1"/>
  <c r="B44" i="12" s="1"/>
  <c r="B59" i="12" a="1"/>
  <c r="B59" i="12" s="1"/>
  <c r="B71" i="12" a="1"/>
  <c r="B71" i="12" s="1"/>
  <c r="B76" i="12" a="1"/>
  <c r="B76" i="12" s="1"/>
  <c r="B86" i="12" a="1"/>
  <c r="B86" i="12" s="1"/>
  <c r="C88" i="12" a="1"/>
  <c r="C88" i="12" s="1"/>
  <c r="B154" i="12" a="1"/>
  <c r="B154" i="12" s="1"/>
  <c r="B126" i="12" a="1"/>
  <c r="B126" i="12" s="1"/>
  <c r="C33" i="12" a="1"/>
  <c r="C33" i="12" s="1"/>
  <c r="C66" i="12" a="1"/>
  <c r="C66" i="12" s="1"/>
  <c r="B66" i="12" a="1"/>
  <c r="B66" i="12" s="1"/>
  <c r="B90" i="12" a="1"/>
  <c r="B90" i="12" s="1"/>
  <c r="B96" i="12" a="1"/>
  <c r="B96" i="12" s="1"/>
  <c r="C96" i="12" a="1"/>
  <c r="C96" i="12" s="1"/>
  <c r="C118" i="12" a="1"/>
  <c r="C118" i="12" s="1"/>
  <c r="B118" i="12" a="1"/>
  <c r="B118" i="12" s="1"/>
  <c r="B15" i="12" a="1"/>
  <c r="B15" i="12" s="1"/>
  <c r="C35" i="12" a="1"/>
  <c r="C35" i="12" s="1"/>
  <c r="B35" i="12" a="1"/>
  <c r="B35" i="12" s="1"/>
  <c r="C50" i="12" a="1"/>
  <c r="C50" i="12" s="1"/>
  <c r="B50" i="12" a="1"/>
  <c r="B50" i="12" s="1"/>
  <c r="B21" i="12" a="1"/>
  <c r="B21" i="12" s="1"/>
  <c r="C21" i="12" a="1"/>
  <c r="C21" i="12" s="1"/>
  <c r="B31" i="12" a="1"/>
  <c r="B31" i="12" s="1"/>
  <c r="B89" i="12" a="1"/>
  <c r="B89" i="12" s="1"/>
  <c r="C90" i="12" a="1"/>
  <c r="C90" i="12" s="1"/>
  <c r="B130" i="12" a="1"/>
  <c r="B130" i="12" s="1"/>
  <c r="C143" i="12" a="1"/>
  <c r="C143" i="12" s="1"/>
  <c r="B143" i="12" a="1"/>
  <c r="B143" i="12" s="1"/>
  <c r="B161" i="12" a="1"/>
  <c r="B161" i="12" s="1"/>
  <c r="C19" i="12" a="1"/>
  <c r="C19" i="12" s="1"/>
  <c r="B19" i="12" a="1"/>
  <c r="B19" i="12" s="1"/>
  <c r="B26" i="12" a="1"/>
  <c r="B26" i="12" s="1"/>
  <c r="C26" i="12" a="1"/>
  <c r="C26" i="12" s="1"/>
  <c r="B30" i="12" a="1"/>
  <c r="B30" i="12" s="1"/>
  <c r="C30" i="12" a="1"/>
  <c r="C30" i="12" s="1"/>
  <c r="C78" i="12" a="1"/>
  <c r="C78" i="12" s="1"/>
  <c r="B78" i="12" a="1"/>
  <c r="B78" i="12" s="1"/>
  <c r="C123" i="12" a="1"/>
  <c r="C123" i="12" s="1"/>
  <c r="B123" i="12" a="1"/>
  <c r="B123" i="12" s="1"/>
  <c r="B5" i="12" a="1"/>
  <c r="B5" i="12" s="1"/>
  <c r="C5" i="12" a="1"/>
  <c r="C5" i="12" s="1"/>
  <c r="C42" i="12" a="1"/>
  <c r="C42" i="12" s="1"/>
  <c r="B42" i="12" a="1"/>
  <c r="B42" i="12" s="1"/>
  <c r="C58" i="12" a="1"/>
  <c r="C58" i="12" s="1"/>
  <c r="B58" i="12" a="1"/>
  <c r="B58" i="12" s="1"/>
  <c r="C74" i="12" a="1"/>
  <c r="C74" i="12" s="1"/>
  <c r="B74" i="12" a="1"/>
  <c r="B74" i="12" s="1"/>
  <c r="B93" i="12" a="1"/>
  <c r="B93" i="12" s="1"/>
  <c r="C93" i="12" a="1"/>
  <c r="C93" i="12" s="1"/>
  <c r="B97" i="12" a="1"/>
  <c r="B97" i="12" s="1"/>
  <c r="C97" i="12" a="1"/>
  <c r="C97" i="12" s="1"/>
  <c r="B101" i="12" a="1"/>
  <c r="B101" i="12" s="1"/>
  <c r="C101" i="12" a="1"/>
  <c r="C101" i="12" s="1"/>
  <c r="B104" i="12" a="1"/>
  <c r="B104" i="12" s="1"/>
  <c r="C104" i="12" a="1"/>
  <c r="C104" i="12" s="1"/>
  <c r="C126" i="12" a="1"/>
  <c r="C126" i="12" s="1"/>
  <c r="B145" i="12" a="1"/>
  <c r="B145" i="12" s="1"/>
  <c r="C147" i="12" a="1"/>
  <c r="C147" i="12" s="1"/>
  <c r="B147" i="12" a="1"/>
  <c r="B147" i="12" s="1"/>
  <c r="C3" i="12" a="1"/>
  <c r="C3" i="12" s="1"/>
  <c r="B3" i="12" a="1"/>
  <c r="B3" i="12" s="1"/>
  <c r="B10" i="12" a="1"/>
  <c r="B10" i="12" s="1"/>
  <c r="C10" i="12" a="1"/>
  <c r="C10" i="12" s="1"/>
  <c r="B14" i="12" a="1"/>
  <c r="B14" i="12" s="1"/>
  <c r="C14" i="12" a="1"/>
  <c r="C14" i="12" s="1"/>
  <c r="B37" i="12" a="1"/>
  <c r="B37" i="12" s="1"/>
  <c r="C37" i="12" a="1"/>
  <c r="C37" i="12" s="1"/>
  <c r="C48" i="12" a="1"/>
  <c r="C48" i="12" s="1"/>
  <c r="B48" i="12" a="1"/>
  <c r="B48" i="12" s="1"/>
  <c r="C56" i="12" a="1"/>
  <c r="C56" i="12" s="1"/>
  <c r="B56" i="12" a="1"/>
  <c r="B56" i="12" s="1"/>
  <c r="C64" i="12" a="1"/>
  <c r="C64" i="12" s="1"/>
  <c r="B64" i="12" a="1"/>
  <c r="B64" i="12" s="1"/>
  <c r="C72" i="12" a="1"/>
  <c r="C72" i="12" s="1"/>
  <c r="B72" i="12" a="1"/>
  <c r="B72" i="12" s="1"/>
  <c r="B77" i="12" a="1"/>
  <c r="B77" i="12" s="1"/>
  <c r="C89" i="12" a="1"/>
  <c r="C89" i="12" s="1"/>
  <c r="B114" i="12" a="1"/>
  <c r="B114" i="12" s="1"/>
  <c r="B117" i="12" a="1"/>
  <c r="B117" i="12" s="1"/>
  <c r="B125" i="12" a="1"/>
  <c r="B125" i="12" s="1"/>
  <c r="C125" i="12" a="1"/>
  <c r="C125" i="12" s="1"/>
  <c r="C130" i="12" a="1"/>
  <c r="C130" i="12" s="1"/>
  <c r="C105" i="12" a="1"/>
  <c r="C105" i="12" s="1"/>
  <c r="B106" i="12" a="1"/>
  <c r="B106" i="12" s="1"/>
  <c r="C121" i="12" a="1"/>
  <c r="C121" i="12" s="1"/>
  <c r="B122" i="12" a="1"/>
  <c r="B122" i="12" s="1"/>
  <c r="C157" i="12" a="1"/>
  <c r="C157" i="12" s="1"/>
  <c r="B158" i="12" a="1"/>
  <c r="B158" i="12" s="1"/>
  <c r="B159" i="12" a="1"/>
  <c r="B159" i="12" s="1"/>
  <c r="B162" i="12" a="1"/>
  <c r="B162" i="12" s="1"/>
  <c r="B163" i="12" a="1"/>
  <c r="B163" i="12" s="1"/>
  <c r="C113" i="12" a="1"/>
  <c r="C113" i="12" s="1"/>
  <c r="B45" i="12" a="1"/>
  <c r="B45" i="12" s="1"/>
  <c r="C45" i="12" a="1"/>
  <c r="C45" i="12" s="1"/>
  <c r="B53" i="12" a="1"/>
  <c r="B53" i="12" s="1"/>
  <c r="C53" i="12" a="1"/>
  <c r="C53" i="12" s="1"/>
  <c r="B61" i="12" a="1"/>
  <c r="B61" i="12" s="1"/>
  <c r="C61" i="12" a="1"/>
  <c r="C61" i="12" s="1"/>
  <c r="B65" i="12" a="1"/>
  <c r="B65" i="12" s="1"/>
  <c r="C65" i="12" a="1"/>
  <c r="C65" i="12" s="1"/>
  <c r="B73" i="12" a="1"/>
  <c r="B73" i="12" s="1"/>
  <c r="C73" i="12" a="1"/>
  <c r="C73" i="12" s="1"/>
  <c r="B92" i="12" a="1"/>
  <c r="B92" i="12" s="1"/>
  <c r="C92" i="12" a="1"/>
  <c r="C92" i="12" s="1"/>
  <c r="B133" i="12" a="1"/>
  <c r="B133" i="12" s="1"/>
  <c r="C133" i="12" a="1"/>
  <c r="C133" i="12" s="1"/>
  <c r="B49" i="12" a="1"/>
  <c r="B49" i="12" s="1"/>
  <c r="C49" i="12" a="1"/>
  <c r="C49" i="12" s="1"/>
  <c r="B57" i="12" a="1"/>
  <c r="B57" i="12" s="1"/>
  <c r="C57" i="12" a="1"/>
  <c r="C57" i="12" s="1"/>
  <c r="B69" i="12" a="1"/>
  <c r="B69" i="12" s="1"/>
  <c r="C69" i="12" a="1"/>
  <c r="C69" i="12" s="1"/>
  <c r="B84" i="12" a="1"/>
  <c r="B84" i="12" s="1"/>
  <c r="C84" i="12" a="1"/>
  <c r="C84" i="12" s="1"/>
  <c r="C4" i="12" a="1"/>
  <c r="C4" i="12" s="1"/>
  <c r="C8" i="12" a="1"/>
  <c r="C8" i="12" s="1"/>
  <c r="C12" i="12" a="1"/>
  <c r="C12" i="12" s="1"/>
  <c r="C16" i="12" a="1"/>
  <c r="C16" i="12" s="1"/>
  <c r="C20" i="12" a="1"/>
  <c r="C20" i="12" s="1"/>
  <c r="C24" i="12" a="1"/>
  <c r="C24" i="12" s="1"/>
  <c r="C28" i="12" a="1"/>
  <c r="C28" i="12" s="1"/>
  <c r="C32" i="12" a="1"/>
  <c r="C32" i="12" s="1"/>
  <c r="C36" i="12" a="1"/>
  <c r="C36" i="12" s="1"/>
  <c r="C40" i="12" a="1"/>
  <c r="C40" i="12" s="1"/>
  <c r="B108" i="12" a="1"/>
  <c r="B108" i="12" s="1"/>
  <c r="C108" i="12" a="1"/>
  <c r="C108" i="12" s="1"/>
  <c r="B4" i="12" a="1"/>
  <c r="B4" i="12" s="1"/>
  <c r="B8" i="12" a="1"/>
  <c r="B8" i="12" s="1"/>
  <c r="B12" i="12" a="1"/>
  <c r="B12" i="12" s="1"/>
  <c r="B16" i="12" a="1"/>
  <c r="B16" i="12" s="1"/>
  <c r="B20" i="12" a="1"/>
  <c r="B20" i="12" s="1"/>
  <c r="B24" i="12" a="1"/>
  <c r="B24" i="12" s="1"/>
  <c r="B28" i="12" a="1"/>
  <c r="B28" i="12" s="1"/>
  <c r="B32" i="12" a="1"/>
  <c r="B32" i="12" s="1"/>
  <c r="B36" i="12" a="1"/>
  <c r="B36" i="12" s="1"/>
  <c r="B40" i="12" a="1"/>
  <c r="B40" i="12" s="1"/>
  <c r="B100" i="12" a="1"/>
  <c r="B100" i="12" s="1"/>
  <c r="C100" i="12" a="1"/>
  <c r="C100" i="12" s="1"/>
  <c r="B116" i="12" a="1"/>
  <c r="B116" i="12" s="1"/>
  <c r="C116" i="12" a="1"/>
  <c r="C116" i="12" s="1"/>
  <c r="C107" i="12" a="1"/>
  <c r="C107" i="12" s="1"/>
  <c r="C115" i="12" a="1"/>
  <c r="C115" i="12" s="1"/>
  <c r="B115" i="12" a="1"/>
  <c r="B115" i="12" s="1"/>
  <c r="C148" i="12" a="1"/>
  <c r="C148" i="12" s="1"/>
  <c r="B148" i="12" a="1"/>
  <c r="B148" i="12" s="1"/>
  <c r="C160" i="12" a="1"/>
  <c r="C160" i="12" s="1"/>
  <c r="B107" i="12" a="1"/>
  <c r="B107" i="12" s="1"/>
  <c r="B149" i="12" a="1"/>
  <c r="B149" i="12" s="1"/>
  <c r="C149" i="12" a="1"/>
  <c r="C149" i="12" s="1"/>
  <c r="B160" i="12" a="1"/>
  <c r="B160" i="12" s="1"/>
  <c r="C83" i="12" a="1"/>
  <c r="C83" i="12" s="1"/>
  <c r="C91" i="12" a="1"/>
  <c r="C91" i="12" s="1"/>
  <c r="C99" i="12" a="1"/>
  <c r="C99" i="12" s="1"/>
  <c r="C128" i="12" a="1"/>
  <c r="C128" i="12" s="1"/>
  <c r="B137" i="12" a="1"/>
  <c r="B137" i="12" s="1"/>
  <c r="C77" i="12" a="1"/>
  <c r="C77" i="12" s="1"/>
  <c r="C79" i="12" a="1"/>
  <c r="C79" i="12" s="1"/>
  <c r="C87" i="12" a="1"/>
  <c r="C87" i="12" s="1"/>
  <c r="C95" i="12" a="1"/>
  <c r="C95" i="12" s="1"/>
  <c r="C103" i="12" a="1"/>
  <c r="C103" i="12" s="1"/>
  <c r="C132" i="12" a="1"/>
  <c r="C132" i="12" s="1"/>
  <c r="B132" i="12" a="1"/>
  <c r="B132" i="12" s="1"/>
  <c r="C144" i="12" a="1"/>
  <c r="C144" i="12" s="1"/>
  <c r="B153" i="12" a="1"/>
  <c r="B153" i="12" s="1"/>
  <c r="C164" i="12" a="1"/>
  <c r="C164" i="12" s="1"/>
  <c r="B164" i="12" a="1"/>
  <c r="B164" i="12" s="1"/>
  <c r="C109" i="12" a="1"/>
  <c r="C109" i="12" s="1"/>
  <c r="C111" i="12" a="1"/>
  <c r="C111" i="12" s="1"/>
  <c r="C117" i="12" a="1"/>
  <c r="C117" i="12" s="1"/>
  <c r="C119" i="12" a="1"/>
  <c r="C119" i="12" s="1"/>
  <c r="C129" i="12" a="1"/>
  <c r="C129" i="12" s="1"/>
  <c r="C136" i="12" a="1"/>
  <c r="C136" i="12" s="1"/>
  <c r="C145" i="12" a="1"/>
  <c r="C145" i="12" s="1"/>
  <c r="C152" i="12" a="1"/>
  <c r="C152" i="12" s="1"/>
  <c r="C161" i="12" a="1"/>
  <c r="C161" i="12" s="1"/>
  <c r="C124" i="12" a="1"/>
  <c r="C124" i="12" s="1"/>
  <c r="C140" i="12" a="1"/>
  <c r="C140" i="12" s="1"/>
  <c r="C156" i="12" a="1"/>
  <c r="C156" i="12" s="1"/>
  <c r="K180" i="11"/>
  <c r="J191" i="11"/>
  <c r="K191" i="11" s="1"/>
  <c r="K190" i="11"/>
  <c r="K182" i="11"/>
  <c r="K173" i="11"/>
  <c r="P5" i="11"/>
  <c r="C160" i="11" a="1"/>
  <c r="C160" i="11" s="1"/>
  <c r="D20" i="11" a="1"/>
  <c r="D20" i="11" s="1"/>
  <c r="C13" i="11" a="1"/>
  <c r="C13" i="11" s="1"/>
  <c r="B24" i="11" a="1"/>
  <c r="B24" i="11" s="1"/>
  <c r="B77" i="11" a="1"/>
  <c r="B77" i="11" s="1"/>
  <c r="D108" i="11" a="1"/>
  <c r="D108" i="11" s="1"/>
  <c r="D127" i="11" a="1"/>
  <c r="D127" i="11" s="1"/>
  <c r="D73" i="11" a="1"/>
  <c r="D73" i="11" s="1"/>
  <c r="B76" i="11" a="1"/>
  <c r="B76" i="11" s="1"/>
  <c r="D4" i="11" a="1"/>
  <c r="D4" i="11" s="1"/>
  <c r="B60" i="11" a="1"/>
  <c r="B60" i="11" s="1"/>
  <c r="D63" i="11" a="1"/>
  <c r="D63" i="11" s="1"/>
  <c r="B125" i="11" a="1"/>
  <c r="B125" i="11" s="1"/>
  <c r="D143" i="11" a="1"/>
  <c r="D143" i="11" s="1"/>
  <c r="C33" i="11" a="1"/>
  <c r="C33" i="11" s="1"/>
  <c r="B59" i="11" a="1"/>
  <c r="B59" i="11" s="1"/>
  <c r="D59" i="11" a="1"/>
  <c r="D59" i="11" s="1"/>
  <c r="C5" i="11" a="1"/>
  <c r="C5" i="11" s="1"/>
  <c r="B12" i="11" a="1"/>
  <c r="B12" i="11" s="1"/>
  <c r="B28" i="11" a="1"/>
  <c r="B28" i="11" s="1"/>
  <c r="B36" i="11" a="1"/>
  <c r="B36" i="11" s="1"/>
  <c r="C57" i="11" a="1"/>
  <c r="C57" i="11" s="1"/>
  <c r="B68" i="11" a="1"/>
  <c r="B68" i="11" s="1"/>
  <c r="B85" i="11" a="1"/>
  <c r="B85" i="11" s="1"/>
  <c r="B103" i="11" a="1"/>
  <c r="B103" i="11" s="1"/>
  <c r="B119" i="11" a="1"/>
  <c r="B119" i="11" s="1"/>
  <c r="B120" i="11" a="1"/>
  <c r="B120" i="11" s="1"/>
  <c r="B35" i="11" a="1"/>
  <c r="B35" i="11" s="1"/>
  <c r="D68" i="11" a="1"/>
  <c r="D68" i="11" s="1"/>
  <c r="C109" i="11" a="1"/>
  <c r="C109" i="11" s="1"/>
  <c r="D120" i="11" a="1"/>
  <c r="D120" i="11" s="1"/>
  <c r="C132" i="11" a="1"/>
  <c r="C132" i="11" s="1"/>
  <c r="B138" i="11" a="1"/>
  <c r="B138" i="11" s="1"/>
  <c r="C144" i="11" a="1"/>
  <c r="C144" i="11" s="1"/>
  <c r="C156" i="11" a="1"/>
  <c r="C156" i="11" s="1"/>
  <c r="D35" i="11" a="1"/>
  <c r="D35" i="11" s="1"/>
  <c r="B108" i="11" a="1"/>
  <c r="B108" i="11" s="1"/>
  <c r="B127" i="11" a="1"/>
  <c r="B127" i="11" s="1"/>
  <c r="D7" i="11" a="1"/>
  <c r="D7" i="11" s="1"/>
  <c r="B16" i="11" a="1"/>
  <c r="B16" i="11" s="1"/>
  <c r="D23" i="11" a="1"/>
  <c r="D23" i="11" s="1"/>
  <c r="B67" i="11" a="1"/>
  <c r="B67" i="11" s="1"/>
  <c r="B81" i="11" a="1"/>
  <c r="B81" i="11" s="1"/>
  <c r="B89" i="11" a="1"/>
  <c r="B89" i="11" s="1"/>
  <c r="B116" i="11" a="1"/>
  <c r="B116" i="11" s="1"/>
  <c r="D155" i="11" a="1"/>
  <c r="D155" i="11" s="1"/>
  <c r="B159" i="11" a="1"/>
  <c r="B159" i="11" s="1"/>
  <c r="B163" i="11" a="1"/>
  <c r="B163" i="11" s="1"/>
  <c r="D135" i="11" a="1"/>
  <c r="D135" i="11" s="1"/>
  <c r="D12" i="11" a="1"/>
  <c r="D12" i="11" s="1"/>
  <c r="C21" i="11" a="1"/>
  <c r="C21" i="11" s="1"/>
  <c r="D28" i="11" a="1"/>
  <c r="D28" i="11" s="1"/>
  <c r="B63" i="11" a="1"/>
  <c r="B63" i="11" s="1"/>
  <c r="C65" i="11" a="1"/>
  <c r="C65" i="11" s="1"/>
  <c r="D67" i="11" a="1"/>
  <c r="D67" i="11" s="1"/>
  <c r="D77" i="11" a="1"/>
  <c r="D77" i="11" s="1"/>
  <c r="B80" i="11" a="1"/>
  <c r="B80" i="11" s="1"/>
  <c r="B84" i="11" a="1"/>
  <c r="B84" i="11" s="1"/>
  <c r="B93" i="11" a="1"/>
  <c r="B93" i="11" s="1"/>
  <c r="B99" i="11" a="1"/>
  <c r="B99" i="11" s="1"/>
  <c r="C121" i="11" a="1"/>
  <c r="C121" i="11" s="1"/>
  <c r="B139" i="11" a="1"/>
  <c r="B139" i="11" s="1"/>
  <c r="B146" i="11" a="1"/>
  <c r="B146" i="11" s="1"/>
  <c r="B147" i="11" a="1"/>
  <c r="B147" i="11" s="1"/>
  <c r="B151" i="11" a="1"/>
  <c r="B151" i="11" s="1"/>
  <c r="B154" i="11" a="1"/>
  <c r="B154" i="11" s="1"/>
  <c r="D159" i="11" a="1"/>
  <c r="D159" i="11" s="1"/>
  <c r="D163" i="11" a="1"/>
  <c r="D163" i="11" s="1"/>
  <c r="B4" i="11" a="1"/>
  <c r="B4" i="11" s="1"/>
  <c r="B8" i="11" a="1"/>
  <c r="B8" i="11" s="1"/>
  <c r="D15" i="11" a="1"/>
  <c r="D15" i="11" s="1"/>
  <c r="B20" i="11" a="1"/>
  <c r="B20" i="11" s="1"/>
  <c r="C61" i="11" a="1"/>
  <c r="C61" i="11" s="1"/>
  <c r="B64" i="11" a="1"/>
  <c r="B64" i="11" s="1"/>
  <c r="B112" i="11" a="1"/>
  <c r="B112" i="11" s="1"/>
  <c r="B135" i="11" a="1"/>
  <c r="B135" i="11" s="1"/>
  <c r="D147" i="11" a="1"/>
  <c r="D147" i="11" s="1"/>
  <c r="C31" i="11" a="1"/>
  <c r="C31" i="11" s="1"/>
  <c r="D31" i="11" a="1"/>
  <c r="D31" i="11" s="1"/>
  <c r="B31" i="11" a="1"/>
  <c r="B31" i="11" s="1"/>
  <c r="D86" i="11" a="1"/>
  <c r="D86" i="11" s="1"/>
  <c r="C86" i="11" a="1"/>
  <c r="C86" i="11" s="1"/>
  <c r="B3" i="11" a="1"/>
  <c r="B3" i="11" s="1"/>
  <c r="C8" i="11" a="1"/>
  <c r="C8" i="11" s="1"/>
  <c r="C16" i="11" a="1"/>
  <c r="C16" i="11" s="1"/>
  <c r="B19" i="11" a="1"/>
  <c r="B19" i="11" s="1"/>
  <c r="C24" i="11" a="1"/>
  <c r="C24" i="11" s="1"/>
  <c r="B27" i="11" a="1"/>
  <c r="B27" i="11" s="1"/>
  <c r="D29" i="11" a="1"/>
  <c r="D29" i="11" s="1"/>
  <c r="C44" i="11" a="1"/>
  <c r="C44" i="11" s="1"/>
  <c r="B44" i="11" a="1"/>
  <c r="B44" i="11" s="1"/>
  <c r="C52" i="11" a="1"/>
  <c r="C52" i="11" s="1"/>
  <c r="B52" i="11" a="1"/>
  <c r="B52" i="11" s="1"/>
  <c r="C131" i="11" a="1"/>
  <c r="C131" i="11" s="1"/>
  <c r="B131" i="11" a="1"/>
  <c r="B131" i="11" s="1"/>
  <c r="D131" i="11" a="1"/>
  <c r="D131" i="11" s="1"/>
  <c r="D3" i="11" a="1"/>
  <c r="D3" i="11" s="1"/>
  <c r="C9" i="11" a="1"/>
  <c r="C9" i="11" s="1"/>
  <c r="D11" i="11" a="1"/>
  <c r="D11" i="11" s="1"/>
  <c r="C17" i="11" a="1"/>
  <c r="C17" i="11" s="1"/>
  <c r="D19" i="11" a="1"/>
  <c r="D19" i="11" s="1"/>
  <c r="C25" i="11" a="1"/>
  <c r="C25" i="11" s="1"/>
  <c r="D27" i="11" a="1"/>
  <c r="D27" i="11" s="1"/>
  <c r="C29" i="11" a="1"/>
  <c r="C29" i="11" s="1"/>
  <c r="C39" i="11" a="1"/>
  <c r="C39" i="11" s="1"/>
  <c r="D39" i="11" a="1"/>
  <c r="D39" i="11" s="1"/>
  <c r="B39" i="11" a="1"/>
  <c r="B39" i="11" s="1"/>
  <c r="D41" i="11" a="1"/>
  <c r="D41" i="11" s="1"/>
  <c r="C41" i="11" a="1"/>
  <c r="C41" i="11" s="1"/>
  <c r="C47" i="11" a="1"/>
  <c r="C47" i="11" s="1"/>
  <c r="D47" i="11" a="1"/>
  <c r="D47" i="11" s="1"/>
  <c r="B47" i="11" a="1"/>
  <c r="B47" i="11" s="1"/>
  <c r="D49" i="11" a="1"/>
  <c r="D49" i="11" s="1"/>
  <c r="C49" i="11" a="1"/>
  <c r="C49" i="11" s="1"/>
  <c r="D90" i="11" a="1"/>
  <c r="D90" i="11" s="1"/>
  <c r="C90" i="11" a="1"/>
  <c r="C90" i="11" s="1"/>
  <c r="D101" i="11" a="1"/>
  <c r="D101" i="11" s="1"/>
  <c r="C101" i="11" a="1"/>
  <c r="C101" i="11" s="1"/>
  <c r="C104" i="11" a="1"/>
  <c r="C104" i="11" s="1"/>
  <c r="D104" i="11" a="1"/>
  <c r="D104" i="11" s="1"/>
  <c r="B104" i="11" a="1"/>
  <c r="B104" i="11" s="1"/>
  <c r="D152" i="11" a="1"/>
  <c r="D152" i="11" s="1"/>
  <c r="C152" i="11" a="1"/>
  <c r="C152" i="11" s="1"/>
  <c r="D162" i="11" a="1"/>
  <c r="D162" i="11" s="1"/>
  <c r="B162" i="11" a="1"/>
  <c r="B162" i="11" s="1"/>
  <c r="D37" i="11" a="1"/>
  <c r="D37" i="11" s="1"/>
  <c r="C37" i="11" a="1"/>
  <c r="C37" i="11" s="1"/>
  <c r="C43" i="11" a="1"/>
  <c r="C43" i="11" s="1"/>
  <c r="D43" i="11" a="1"/>
  <c r="D43" i="11" s="1"/>
  <c r="B43" i="11" a="1"/>
  <c r="B43" i="11" s="1"/>
  <c r="D45" i="11" a="1"/>
  <c r="D45" i="11" s="1"/>
  <c r="C45" i="11" a="1"/>
  <c r="C45" i="11" s="1"/>
  <c r="C51" i="11" a="1"/>
  <c r="C51" i="11" s="1"/>
  <c r="D51" i="11" a="1"/>
  <c r="D51" i="11" s="1"/>
  <c r="B51" i="11" a="1"/>
  <c r="B51" i="11" s="1"/>
  <c r="D53" i="11" a="1"/>
  <c r="D53" i="11" s="1"/>
  <c r="C53" i="11" a="1"/>
  <c r="C53" i="11" s="1"/>
  <c r="C72" i="11" a="1"/>
  <c r="C72" i="11" s="1"/>
  <c r="D72" i="11" a="1"/>
  <c r="D72" i="11" s="1"/>
  <c r="B72" i="11" a="1"/>
  <c r="B72" i="11" s="1"/>
  <c r="D94" i="11" a="1"/>
  <c r="D94" i="11" s="1"/>
  <c r="C94" i="11" a="1"/>
  <c r="C94" i="11" s="1"/>
  <c r="C114" i="11" a="1"/>
  <c r="C114" i="11" s="1"/>
  <c r="C123" i="11" a="1"/>
  <c r="C123" i="11" s="1"/>
  <c r="B123" i="11" a="1"/>
  <c r="B123" i="11" s="1"/>
  <c r="B11" i="11" a="1"/>
  <c r="B11" i="11" s="1"/>
  <c r="B32" i="11" a="1"/>
  <c r="B32" i="11" s="1"/>
  <c r="D32" i="11" a="1"/>
  <c r="D32" i="11" s="1"/>
  <c r="D111" i="11" a="1"/>
  <c r="D111" i="11" s="1"/>
  <c r="B111" i="11" a="1"/>
  <c r="B111" i="11" s="1"/>
  <c r="D123" i="11" a="1"/>
  <c r="D123" i="11" s="1"/>
  <c r="D140" i="11" a="1"/>
  <c r="D140" i="11" s="1"/>
  <c r="C140" i="11" a="1"/>
  <c r="C140" i="11" s="1"/>
  <c r="B7" i="11" a="1"/>
  <c r="B7" i="11" s="1"/>
  <c r="B15" i="11" a="1"/>
  <c r="B15" i="11" s="1"/>
  <c r="B23" i="11" a="1"/>
  <c r="B23" i="11" s="1"/>
  <c r="C32" i="11" a="1"/>
  <c r="C32" i="11" s="1"/>
  <c r="C40" i="11" a="1"/>
  <c r="C40" i="11" s="1"/>
  <c r="B40" i="11" a="1"/>
  <c r="B40" i="11" s="1"/>
  <c r="D44" i="11" a="1"/>
  <c r="D44" i="11" s="1"/>
  <c r="C48" i="11" a="1"/>
  <c r="C48" i="11" s="1"/>
  <c r="B48" i="11" a="1"/>
  <c r="B48" i="11" s="1"/>
  <c r="D52" i="11" a="1"/>
  <c r="D52" i="11" s="1"/>
  <c r="B56" i="11" a="1"/>
  <c r="B56" i="11" s="1"/>
  <c r="D56" i="11" a="1"/>
  <c r="D56" i="11" s="1"/>
  <c r="C102" i="11" a="1"/>
  <c r="C102" i="11" s="1"/>
  <c r="D129" i="11" a="1"/>
  <c r="D129" i="11" s="1"/>
  <c r="B129" i="11" a="1"/>
  <c r="B129" i="11" s="1"/>
  <c r="C153" i="11" a="1"/>
  <c r="C153" i="11" s="1"/>
  <c r="C81" i="11" a="1"/>
  <c r="C81" i="11" s="1"/>
  <c r="C85" i="11" a="1"/>
  <c r="C85" i="11" s="1"/>
  <c r="C89" i="11" a="1"/>
  <c r="C89" i="11" s="1"/>
  <c r="C93" i="11" a="1"/>
  <c r="C93" i="11" s="1"/>
  <c r="C139" i="11" a="1"/>
  <c r="C139" i="11" s="1"/>
  <c r="C151" i="11" a="1"/>
  <c r="C151" i="11" s="1"/>
  <c r="C36" i="11" a="1"/>
  <c r="C36" i="11" s="1"/>
  <c r="B55" i="11" a="1"/>
  <c r="B55" i="11" s="1"/>
  <c r="D60" i="11" a="1"/>
  <c r="D60" i="11" s="1"/>
  <c r="D64" i="11" a="1"/>
  <c r="D64" i="11" s="1"/>
  <c r="B71" i="11" a="1"/>
  <c r="B71" i="11" s="1"/>
  <c r="B73" i="11" a="1"/>
  <c r="B73" i="11" s="1"/>
  <c r="B100" i="11" a="1"/>
  <c r="B100" i="11" s="1"/>
  <c r="C105" i="11" a="1"/>
  <c r="C105" i="11" s="1"/>
  <c r="B107" i="11" a="1"/>
  <c r="B107" i="11" s="1"/>
  <c r="D112" i="11" a="1"/>
  <c r="D112" i="11" s="1"/>
  <c r="C113" i="11" a="1"/>
  <c r="C113" i="11" s="1"/>
  <c r="D116" i="11" a="1"/>
  <c r="D116" i="11" s="1"/>
  <c r="B117" i="11" a="1"/>
  <c r="B117" i="11" s="1"/>
  <c r="B143" i="11" a="1"/>
  <c r="B143" i="11" s="1"/>
  <c r="C155" i="11" a="1"/>
  <c r="C155" i="11" s="1"/>
  <c r="C159" i="11" a="1"/>
  <c r="C159" i="11" s="1"/>
  <c r="C163" i="11" a="1"/>
  <c r="C163" i="11" s="1"/>
  <c r="D55" i="11" a="1"/>
  <c r="D55" i="11" s="1"/>
  <c r="C69" i="11" a="1"/>
  <c r="C69" i="11" s="1"/>
  <c r="D71" i="11" a="1"/>
  <c r="D71" i="11" s="1"/>
  <c r="C87" i="11" a="1"/>
  <c r="C87" i="11" s="1"/>
  <c r="C91" i="11" a="1"/>
  <c r="C91" i="11" s="1"/>
  <c r="C95" i="11" a="1"/>
  <c r="C95" i="11" s="1"/>
  <c r="D100" i="11" a="1"/>
  <c r="D100" i="11" s="1"/>
  <c r="C117" i="11" a="1"/>
  <c r="C117" i="11" s="1"/>
  <c r="B121" i="11" a="1"/>
  <c r="B121" i="11" s="1"/>
  <c r="C136" i="11" a="1"/>
  <c r="C136" i="11" s="1"/>
  <c r="C148" i="11" a="1"/>
  <c r="C148" i="11" s="1"/>
  <c r="C164" i="11" a="1"/>
  <c r="C164" i="11" s="1"/>
  <c r="D50" i="11" a="1"/>
  <c r="D50" i="11" s="1"/>
  <c r="B50" i="11" a="1"/>
  <c r="B50" i="11" s="1"/>
  <c r="C50" i="11" a="1"/>
  <c r="C50" i="11" s="1"/>
  <c r="D46" i="11" a="1"/>
  <c r="D46" i="11" s="1"/>
  <c r="B46" i="11" a="1"/>
  <c r="B46" i="11" s="1"/>
  <c r="C46" i="11" a="1"/>
  <c r="C46" i="11" s="1"/>
  <c r="D42" i="11" a="1"/>
  <c r="D42" i="11" s="1"/>
  <c r="B42" i="11" a="1"/>
  <c r="B42" i="11" s="1"/>
  <c r="C42" i="11" a="1"/>
  <c r="C42" i="11" s="1"/>
  <c r="D2" i="11" a="1"/>
  <c r="D2" i="11" s="1"/>
  <c r="B2" i="11" a="1"/>
  <c r="B2" i="11" s="1"/>
  <c r="C2" i="11" a="1"/>
  <c r="C2" i="11" s="1"/>
  <c r="D6" i="11" a="1"/>
  <c r="D6" i="11" s="1"/>
  <c r="B6" i="11" a="1"/>
  <c r="B6" i="11" s="1"/>
  <c r="C6" i="11" a="1"/>
  <c r="C6" i="11" s="1"/>
  <c r="D10" i="11" a="1"/>
  <c r="D10" i="11" s="1"/>
  <c r="B10" i="11" a="1"/>
  <c r="B10" i="11" s="1"/>
  <c r="C10" i="11" a="1"/>
  <c r="C10" i="11" s="1"/>
  <c r="D14" i="11" a="1"/>
  <c r="D14" i="11" s="1"/>
  <c r="B14" i="11" a="1"/>
  <c r="B14" i="11" s="1"/>
  <c r="C14" i="11" a="1"/>
  <c r="C14" i="11" s="1"/>
  <c r="D18" i="11" a="1"/>
  <c r="D18" i="11" s="1"/>
  <c r="B18" i="11" a="1"/>
  <c r="B18" i="11" s="1"/>
  <c r="C18" i="11" a="1"/>
  <c r="C18" i="11" s="1"/>
  <c r="D22" i="11" a="1"/>
  <c r="D22" i="11" s="1"/>
  <c r="B22" i="11" a="1"/>
  <c r="B22" i="11" s="1"/>
  <c r="C22" i="11" a="1"/>
  <c r="C22" i="11" s="1"/>
  <c r="D26" i="11" a="1"/>
  <c r="D26" i="11" s="1"/>
  <c r="B26" i="11" a="1"/>
  <c r="B26" i="11" s="1"/>
  <c r="C26" i="11" a="1"/>
  <c r="C26" i="11" s="1"/>
  <c r="D30" i="11" a="1"/>
  <c r="D30" i="11" s="1"/>
  <c r="B30" i="11" a="1"/>
  <c r="B30" i="11" s="1"/>
  <c r="C30" i="11" a="1"/>
  <c r="C30" i="11" s="1"/>
  <c r="D34" i="11" a="1"/>
  <c r="D34" i="11" s="1"/>
  <c r="B34" i="11" a="1"/>
  <c r="B34" i="11" s="1"/>
  <c r="C34" i="11" a="1"/>
  <c r="C34" i="11" s="1"/>
  <c r="D38" i="11" a="1"/>
  <c r="D38" i="11" s="1"/>
  <c r="B38" i="11" a="1"/>
  <c r="B38" i="11" s="1"/>
  <c r="C38" i="11" a="1"/>
  <c r="C38" i="11" s="1"/>
  <c r="D54" i="11" a="1"/>
  <c r="D54" i="11" s="1"/>
  <c r="B54" i="11" a="1"/>
  <c r="B54" i="11" s="1"/>
  <c r="C54" i="11" a="1"/>
  <c r="C54" i="11" s="1"/>
  <c r="C75" i="11" a="1"/>
  <c r="C75" i="11" s="1"/>
  <c r="C58" i="11" a="1"/>
  <c r="C58" i="11" s="1"/>
  <c r="C62" i="11" a="1"/>
  <c r="C62" i="11" s="1"/>
  <c r="C66" i="11" a="1"/>
  <c r="C66" i="11" s="1"/>
  <c r="C70" i="11" a="1"/>
  <c r="C70" i="11" s="1"/>
  <c r="D74" i="11" a="1"/>
  <c r="D74" i="11" s="1"/>
  <c r="B74" i="11" a="1"/>
  <c r="B74" i="11" s="1"/>
  <c r="C74" i="11" a="1"/>
  <c r="C74" i="11" s="1"/>
  <c r="D75" i="11" a="1"/>
  <c r="D75" i="11" s="1"/>
  <c r="D78" i="11" a="1"/>
  <c r="D78" i="11" s="1"/>
  <c r="B78" i="11" a="1"/>
  <c r="B78" i="11" s="1"/>
  <c r="C78" i="11" a="1"/>
  <c r="C78" i="11" s="1"/>
  <c r="D79" i="11" a="1"/>
  <c r="D79" i="11" s="1"/>
  <c r="D82" i="11" a="1"/>
  <c r="D82" i="11" s="1"/>
  <c r="B82" i="11" a="1"/>
  <c r="B82" i="11" s="1"/>
  <c r="D92" i="11" a="1"/>
  <c r="D92" i="11" s="1"/>
  <c r="B92" i="11" a="1"/>
  <c r="B92" i="11" s="1"/>
  <c r="C92" i="11" a="1"/>
  <c r="C92" i="11" s="1"/>
  <c r="C142" i="11" a="1"/>
  <c r="C142" i="11" s="1"/>
  <c r="B142" i="11" a="1"/>
  <c r="B142" i="11" s="1"/>
  <c r="D142" i="11" a="1"/>
  <c r="D142" i="11" s="1"/>
  <c r="C79" i="11" a="1"/>
  <c r="C79" i="11" s="1"/>
  <c r="D118" i="11" a="1"/>
  <c r="D118" i="11" s="1"/>
  <c r="B118" i="11" a="1"/>
  <c r="B118" i="11" s="1"/>
  <c r="C118" i="11" a="1"/>
  <c r="C118" i="11" s="1"/>
  <c r="B5" i="11" a="1"/>
  <c r="B5" i="11" s="1"/>
  <c r="B9" i="11" a="1"/>
  <c r="B9" i="11" s="1"/>
  <c r="B13" i="11" a="1"/>
  <c r="B13" i="11" s="1"/>
  <c r="B17" i="11" a="1"/>
  <c r="B17" i="11" s="1"/>
  <c r="B21" i="11" a="1"/>
  <c r="B21" i="11" s="1"/>
  <c r="B25" i="11" a="1"/>
  <c r="B25" i="11" s="1"/>
  <c r="B29" i="11" a="1"/>
  <c r="B29" i="11" s="1"/>
  <c r="B33" i="11" a="1"/>
  <c r="B33" i="11" s="1"/>
  <c r="B37" i="11" a="1"/>
  <c r="B37" i="11" s="1"/>
  <c r="B41" i="11" a="1"/>
  <c r="B41" i="11" s="1"/>
  <c r="B45" i="11" a="1"/>
  <c r="B45" i="11" s="1"/>
  <c r="B49" i="11" a="1"/>
  <c r="B49" i="11" s="1"/>
  <c r="B53" i="11" a="1"/>
  <c r="B53" i="11" s="1"/>
  <c r="B57" i="11" a="1"/>
  <c r="B57" i="11" s="1"/>
  <c r="B61" i="11" a="1"/>
  <c r="B61" i="11" s="1"/>
  <c r="B65" i="11" a="1"/>
  <c r="B65" i="11" s="1"/>
  <c r="B69" i="11" a="1"/>
  <c r="B69" i="11" s="1"/>
  <c r="D83" i="11" a="1"/>
  <c r="D83" i="11" s="1"/>
  <c r="B83" i="11" a="1"/>
  <c r="B83" i="11" s="1"/>
  <c r="C115" i="11" a="1"/>
  <c r="C115" i="11" s="1"/>
  <c r="D115" i="11" a="1"/>
  <c r="D115" i="11" s="1"/>
  <c r="B115" i="11" a="1"/>
  <c r="B115" i="11" s="1"/>
  <c r="B58" i="11" a="1"/>
  <c r="B58" i="11" s="1"/>
  <c r="B62" i="11" a="1"/>
  <c r="B62" i="11" s="1"/>
  <c r="B66" i="11" a="1"/>
  <c r="B66" i="11" s="1"/>
  <c r="B70" i="11" a="1"/>
  <c r="B70" i="11" s="1"/>
  <c r="C76" i="11" a="1"/>
  <c r="C76" i="11" s="1"/>
  <c r="C80" i="11" a="1"/>
  <c r="C80" i="11" s="1"/>
  <c r="C84" i="11" a="1"/>
  <c r="C84" i="11" s="1"/>
  <c r="D88" i="11" a="1"/>
  <c r="D88" i="11" s="1"/>
  <c r="B88" i="11" a="1"/>
  <c r="B88" i="11" s="1"/>
  <c r="C88" i="11" a="1"/>
  <c r="C88" i="11" s="1"/>
  <c r="D96" i="11" a="1"/>
  <c r="D96" i="11" s="1"/>
  <c r="B96" i="11" a="1"/>
  <c r="B96" i="11" s="1"/>
  <c r="C96" i="11" a="1"/>
  <c r="C96" i="11" s="1"/>
  <c r="C126" i="11" a="1"/>
  <c r="C126" i="11" s="1"/>
  <c r="B126" i="11" a="1"/>
  <c r="B126" i="11" s="1"/>
  <c r="D126" i="11" a="1"/>
  <c r="D126" i="11" s="1"/>
  <c r="B86" i="11" a="1"/>
  <c r="B86" i="11" s="1"/>
  <c r="B90" i="11" a="1"/>
  <c r="B90" i="11" s="1"/>
  <c r="B94" i="11" a="1"/>
  <c r="B94" i="11" s="1"/>
  <c r="D97" i="11" a="1"/>
  <c r="D97" i="11" s="1"/>
  <c r="B97" i="11" a="1"/>
  <c r="B97" i="11" s="1"/>
  <c r="C119" i="11" a="1"/>
  <c r="C119" i="11" s="1"/>
  <c r="C122" i="11" a="1"/>
  <c r="C122" i="11" s="1"/>
  <c r="B122" i="11" a="1"/>
  <c r="B122" i="11" s="1"/>
  <c r="D122" i="11" a="1"/>
  <c r="D122" i="11" s="1"/>
  <c r="D141" i="11" a="1"/>
  <c r="D141" i="11" s="1"/>
  <c r="B141" i="11" a="1"/>
  <c r="B141" i="11" s="1"/>
  <c r="C141" i="11" a="1"/>
  <c r="C141" i="11" s="1"/>
  <c r="C158" i="11" a="1"/>
  <c r="C158" i="11" s="1"/>
  <c r="B158" i="11" a="1"/>
  <c r="B158" i="11" s="1"/>
  <c r="B87" i="11" a="1"/>
  <c r="B87" i="11" s="1"/>
  <c r="B91" i="11" a="1"/>
  <c r="B91" i="11" s="1"/>
  <c r="B95" i="11" a="1"/>
  <c r="B95" i="11" s="1"/>
  <c r="D98" i="11" a="1"/>
  <c r="D98" i="11" s="1"/>
  <c r="B98" i="11" a="1"/>
  <c r="B98" i="11" s="1"/>
  <c r="D102" i="11" a="1"/>
  <c r="D102" i="11" s="1"/>
  <c r="B102" i="11" a="1"/>
  <c r="B102" i="11" s="1"/>
  <c r="D106" i="11" a="1"/>
  <c r="D106" i="11" s="1"/>
  <c r="B106" i="11" a="1"/>
  <c r="B106" i="11" s="1"/>
  <c r="D110" i="11" a="1"/>
  <c r="D110" i="11" s="1"/>
  <c r="B110" i="11" a="1"/>
  <c r="B110" i="11" s="1"/>
  <c r="C130" i="11" a="1"/>
  <c r="C130" i="11" s="1"/>
  <c r="B130" i="11" a="1"/>
  <c r="B130" i="11" s="1"/>
  <c r="D130" i="11" a="1"/>
  <c r="D130" i="11" s="1"/>
  <c r="C134" i="11" a="1"/>
  <c r="C134" i="11" s="1"/>
  <c r="B134" i="11" a="1"/>
  <c r="B134" i="11" s="1"/>
  <c r="C150" i="11" a="1"/>
  <c r="C150" i="11" s="1"/>
  <c r="B150" i="11" a="1"/>
  <c r="B150" i="11" s="1"/>
  <c r="D157" i="11" a="1"/>
  <c r="D157" i="11" s="1"/>
  <c r="B157" i="11" a="1"/>
  <c r="B157" i="11" s="1"/>
  <c r="C157" i="11" a="1"/>
  <c r="C157" i="11" s="1"/>
  <c r="C99" i="11" a="1"/>
  <c r="C99" i="11" s="1"/>
  <c r="C103" i="11" a="1"/>
  <c r="C103" i="11" s="1"/>
  <c r="C107" i="11" a="1"/>
  <c r="C107" i="11" s="1"/>
  <c r="C111" i="11" a="1"/>
  <c r="C111" i="11" s="1"/>
  <c r="D114" i="11" a="1"/>
  <c r="D114" i="11" s="1"/>
  <c r="B114" i="11" a="1"/>
  <c r="B114" i="11" s="1"/>
  <c r="D133" i="11" a="1"/>
  <c r="D133" i="11" s="1"/>
  <c r="B133" i="11" a="1"/>
  <c r="B133" i="11" s="1"/>
  <c r="C133" i="11" a="1"/>
  <c r="C133" i="11" s="1"/>
  <c r="D149" i="11" a="1"/>
  <c r="D149" i="11" s="1"/>
  <c r="B149" i="11" a="1"/>
  <c r="B149" i="11" s="1"/>
  <c r="C149" i="11" a="1"/>
  <c r="C149" i="11" s="1"/>
  <c r="B101" i="11" a="1"/>
  <c r="B101" i="11" s="1"/>
  <c r="B105" i="11" a="1"/>
  <c r="B105" i="11" s="1"/>
  <c r="B109" i="11" a="1"/>
  <c r="B109" i="11" s="1"/>
  <c r="B113" i="11" a="1"/>
  <c r="B113" i="11" s="1"/>
  <c r="C125" i="11" a="1"/>
  <c r="C125" i="11" s="1"/>
  <c r="C129" i="11" a="1"/>
  <c r="C129" i="11" s="1"/>
  <c r="D137" i="11" a="1"/>
  <c r="D137" i="11" s="1"/>
  <c r="B137" i="11" a="1"/>
  <c r="B137" i="11" s="1"/>
  <c r="D145" i="11" a="1"/>
  <c r="D145" i="11" s="1"/>
  <c r="B145" i="11" a="1"/>
  <c r="B145" i="11" s="1"/>
  <c r="D153" i="11" a="1"/>
  <c r="D153" i="11" s="1"/>
  <c r="B153" i="11" a="1"/>
  <c r="B153" i="11" s="1"/>
  <c r="D161" i="11" a="1"/>
  <c r="D161" i="11" s="1"/>
  <c r="B161" i="11" a="1"/>
  <c r="B161" i="11" s="1"/>
  <c r="D124" i="11" a="1"/>
  <c r="D124" i="11" s="1"/>
  <c r="B124" i="11" a="1"/>
  <c r="B124" i="11" s="1"/>
  <c r="C124" i="11" a="1"/>
  <c r="C124" i="11" s="1"/>
  <c r="D128" i="11" a="1"/>
  <c r="D128" i="11" s="1"/>
  <c r="B128" i="11" a="1"/>
  <c r="B128" i="11" s="1"/>
  <c r="C128" i="11" a="1"/>
  <c r="C128" i="11" s="1"/>
  <c r="C138" i="11" a="1"/>
  <c r="C138" i="11" s="1"/>
  <c r="C146" i="11" a="1"/>
  <c r="C146" i="11" s="1"/>
  <c r="C154" i="11" a="1"/>
  <c r="C154" i="11" s="1"/>
  <c r="C162" i="11" a="1"/>
  <c r="C162" i="11" s="1"/>
  <c r="B132" i="11" a="1"/>
  <c r="B132" i="11" s="1"/>
  <c r="B136" i="11" a="1"/>
  <c r="B136" i="11" s="1"/>
  <c r="B140" i="11" a="1"/>
  <c r="B140" i="11" s="1"/>
  <c r="B144" i="11" a="1"/>
  <c r="B144" i="11" s="1"/>
  <c r="B148" i="11" a="1"/>
  <c r="B148" i="11" s="1"/>
  <c r="B152" i="11" a="1"/>
  <c r="B152" i="11" s="1"/>
  <c r="B156" i="11" a="1"/>
  <c r="B156" i="11" s="1"/>
  <c r="B160" i="11" a="1"/>
  <c r="B160" i="11" s="1"/>
  <c r="B164" i="11" a="1"/>
  <c r="B164" i="11" s="1"/>
  <c r="O193" i="15" l="1"/>
  <c r="O192" i="15"/>
  <c r="O194" i="15" s="1"/>
  <c r="O175" i="15"/>
  <c r="O174" i="15"/>
  <c r="O176" i="15" s="1"/>
  <c r="K193" i="15"/>
  <c r="K192" i="15"/>
  <c r="K183" i="15"/>
  <c r="K184" i="15"/>
  <c r="K175" i="15"/>
  <c r="K174" i="15"/>
  <c r="G193" i="14"/>
  <c r="G192" i="14"/>
  <c r="G194" i="14" s="1"/>
  <c r="K193" i="14"/>
  <c r="K192" i="14"/>
  <c r="K194" i="14" s="1"/>
  <c r="O175" i="14"/>
  <c r="O174" i="14"/>
  <c r="O176" i="14" s="1"/>
  <c r="O192" i="14"/>
  <c r="O193" i="14"/>
  <c r="K174" i="14"/>
  <c r="K175" i="14"/>
  <c r="G175" i="14"/>
  <c r="G174" i="14"/>
  <c r="G176" i="14" s="1"/>
  <c r="K183" i="14"/>
  <c r="K184" i="14"/>
  <c r="G183" i="14"/>
  <c r="G184" i="14"/>
  <c r="O184" i="14"/>
  <c r="O180" i="14"/>
  <c r="O183" i="14" s="1"/>
  <c r="O185" i="14" s="1"/>
  <c r="V184" i="13"/>
  <c r="V183" i="13"/>
  <c r="V185" i="13" s="1"/>
  <c r="Q184" i="13"/>
  <c r="Q183" i="13"/>
  <c r="Q185" i="13" s="1"/>
  <c r="V175" i="13"/>
  <c r="V174" i="13"/>
  <c r="V176" i="13" s="1"/>
  <c r="Q175" i="13"/>
  <c r="Q174" i="13"/>
  <c r="Q176" i="13" s="1"/>
  <c r="L174" i="13"/>
  <c r="L175" i="13"/>
  <c r="L192" i="13"/>
  <c r="L193" i="13"/>
  <c r="G174" i="13"/>
  <c r="G175" i="13"/>
  <c r="G192" i="13"/>
  <c r="G193" i="13"/>
  <c r="Q193" i="13"/>
  <c r="Q192" i="13"/>
  <c r="Q194" i="13" s="1"/>
  <c r="L183" i="13"/>
  <c r="L184" i="13"/>
  <c r="V193" i="13"/>
  <c r="V192" i="13"/>
  <c r="V194" i="13" s="1"/>
  <c r="G184" i="13"/>
  <c r="G183" i="13"/>
  <c r="G185" i="13" s="1"/>
  <c r="J4" i="12"/>
  <c r="K4" i="12" s="1"/>
  <c r="J3" i="12"/>
  <c r="K3" i="12" s="1"/>
  <c r="J2" i="12"/>
  <c r="K2" i="12" s="1"/>
  <c r="K192" i="11"/>
  <c r="K193" i="11"/>
  <c r="K184" i="11"/>
  <c r="K183" i="11"/>
  <c r="K185" i="11" s="1"/>
  <c r="K175" i="11"/>
  <c r="K174" i="11"/>
  <c r="K185" i="15" l="1"/>
  <c r="K176" i="15"/>
  <c r="K194" i="15"/>
  <c r="G185" i="14"/>
  <c r="O194" i="14"/>
  <c r="N197" i="14"/>
  <c r="K185" i="14"/>
  <c r="K176" i="14"/>
  <c r="J197" i="14" s="1"/>
  <c r="P197" i="13"/>
  <c r="L185" i="13"/>
  <c r="G194" i="13"/>
  <c r="L194" i="13"/>
  <c r="U197" i="13"/>
  <c r="G176" i="13"/>
  <c r="L176" i="13"/>
  <c r="K176" i="11"/>
  <c r="J5" i="12"/>
  <c r="K194" i="11"/>
  <c r="J197" i="11" s="1"/>
  <c r="J197" i="15" l="1"/>
  <c r="F197" i="13"/>
  <c r="K197" i="13"/>
  <c r="O173" i="9" l="1"/>
  <c r="O172" i="9"/>
  <c r="O171" i="9"/>
  <c r="N172" i="9"/>
  <c r="N171" i="9"/>
  <c r="M170" i="9" a="1"/>
  <c r="M170" i="9" s="1"/>
  <c r="J172" i="9"/>
  <c r="J171" i="9"/>
  <c r="O169" i="9"/>
  <c r="N169" i="9"/>
  <c r="O182" i="9"/>
  <c r="N182" i="9"/>
  <c r="O181" i="9"/>
  <c r="N181" i="9"/>
  <c r="K191" i="9"/>
  <c r="K190" i="9"/>
  <c r="K189" i="9"/>
  <c r="J191" i="9"/>
  <c r="J190" i="9"/>
  <c r="J189" i="9"/>
  <c r="J181" i="9"/>
  <c r="K181" i="9" s="1"/>
  <c r="J180" i="9"/>
  <c r="K180" i="9" s="1"/>
  <c r="K182" i="9"/>
  <c r="J182" i="9"/>
  <c r="K173" i="9"/>
  <c r="K172" i="9"/>
  <c r="K171" i="9"/>
  <c r="J173" i="9"/>
  <c r="I170" i="9" a="1"/>
  <c r="I170" i="9" s="1"/>
  <c r="K169" i="9"/>
  <c r="J169" i="9"/>
  <c r="G169" i="9"/>
  <c r="F169" i="9"/>
  <c r="E170" i="9" s="1" a="1"/>
  <c r="E170" i="9" s="1"/>
  <c r="F171" i="9" s="1"/>
  <c r="G171" i="9" s="1"/>
  <c r="K165" i="9"/>
  <c r="J165" i="9"/>
  <c r="I165" i="4"/>
  <c r="P5" i="9"/>
  <c r="P4" i="9"/>
  <c r="Q4" i="9" s="1"/>
  <c r="Q3" i="9"/>
  <c r="P3" i="9"/>
  <c r="P2" i="9"/>
  <c r="Q2" i="9" s="1"/>
  <c r="A164" i="9"/>
  <c r="A163" i="9"/>
  <c r="B163" i="9" s="1" a="1"/>
  <c r="B163" i="9" s="1"/>
  <c r="A162" i="9"/>
  <c r="A161" i="9"/>
  <c r="A160" i="9"/>
  <c r="A159" i="9"/>
  <c r="B159" i="9" s="1" a="1"/>
  <c r="B159" i="9" s="1"/>
  <c r="A158" i="9"/>
  <c r="A157" i="9"/>
  <c r="A156" i="9"/>
  <c r="A155" i="9"/>
  <c r="B155" i="9" s="1" a="1"/>
  <c r="B155" i="9" s="1"/>
  <c r="A154" i="9"/>
  <c r="A153" i="9"/>
  <c r="A152" i="9"/>
  <c r="A151" i="9"/>
  <c r="B151" i="9" s="1" a="1"/>
  <c r="B151" i="9" s="1"/>
  <c r="A150" i="9"/>
  <c r="A149" i="9"/>
  <c r="A148" i="9"/>
  <c r="A147" i="9"/>
  <c r="B147" i="9" s="1" a="1"/>
  <c r="B147" i="9" s="1"/>
  <c r="A146" i="9"/>
  <c r="A145" i="9"/>
  <c r="A144" i="9"/>
  <c r="A143" i="9"/>
  <c r="B143" i="9" s="1" a="1"/>
  <c r="B143" i="9" s="1"/>
  <c r="A142" i="9"/>
  <c r="A141" i="9"/>
  <c r="A140" i="9"/>
  <c r="A139" i="9"/>
  <c r="B139" i="9" s="1" a="1"/>
  <c r="B139" i="9" s="1"/>
  <c r="A138" i="9"/>
  <c r="A137" i="9"/>
  <c r="A136" i="9"/>
  <c r="D136" i="9" s="1" a="1"/>
  <c r="D136" i="9" s="1"/>
  <c r="A135" i="9"/>
  <c r="E135" i="9" s="1" a="1"/>
  <c r="E135" i="9" s="1"/>
  <c r="A134" i="9"/>
  <c r="D134" i="9" s="1" a="1"/>
  <c r="D134" i="9" s="1"/>
  <c r="A133" i="9"/>
  <c r="E133" i="9" s="1" a="1"/>
  <c r="E133" i="9" s="1"/>
  <c r="A132" i="9"/>
  <c r="D132" i="9" s="1" a="1"/>
  <c r="D132" i="9" s="1"/>
  <c r="A131" i="9"/>
  <c r="A130" i="9"/>
  <c r="D130" i="9" s="1" a="1"/>
  <c r="D130" i="9" s="1"/>
  <c r="A129" i="9"/>
  <c r="E129" i="9" s="1" a="1"/>
  <c r="E129" i="9" s="1"/>
  <c r="A128" i="9"/>
  <c r="D128" i="9" s="1" a="1"/>
  <c r="D128" i="9" s="1"/>
  <c r="A127" i="9"/>
  <c r="D127" i="9" s="1" a="1"/>
  <c r="D127" i="9" s="1"/>
  <c r="A126" i="9"/>
  <c r="D126" i="9" s="1" a="1"/>
  <c r="D126" i="9" s="1"/>
  <c r="A125" i="9"/>
  <c r="C125" i="9" s="1" a="1"/>
  <c r="C125" i="9" s="1"/>
  <c r="A124" i="9"/>
  <c r="A123" i="9"/>
  <c r="D123" i="9" s="1" a="1"/>
  <c r="D123" i="9" s="1"/>
  <c r="A122" i="9"/>
  <c r="D122" i="9" s="1" a="1"/>
  <c r="D122" i="9" s="1"/>
  <c r="A121" i="9"/>
  <c r="E121" i="9" s="1" a="1"/>
  <c r="E121" i="9" s="1"/>
  <c r="A120" i="9"/>
  <c r="D120" i="9" s="1" a="1"/>
  <c r="D120" i="9" s="1"/>
  <c r="A119" i="9"/>
  <c r="A118" i="9"/>
  <c r="B118" i="9" s="1" a="1"/>
  <c r="B118" i="9" s="1"/>
  <c r="A117" i="9"/>
  <c r="A116" i="9"/>
  <c r="D116" i="9" s="1" a="1"/>
  <c r="D116" i="9" s="1"/>
  <c r="A115" i="9"/>
  <c r="E115" i="9" s="1" a="1"/>
  <c r="E115" i="9" s="1"/>
  <c r="A114" i="9"/>
  <c r="D114" i="9" s="1" a="1"/>
  <c r="D114" i="9" s="1"/>
  <c r="A113" i="9"/>
  <c r="A112" i="9"/>
  <c r="D112" i="9" s="1" a="1"/>
  <c r="D112" i="9" s="1"/>
  <c r="A111" i="9"/>
  <c r="E111" i="9" s="1" a="1"/>
  <c r="E111" i="9" s="1"/>
  <c r="A110" i="9"/>
  <c r="A109" i="9"/>
  <c r="D109" i="9" s="1" a="1"/>
  <c r="D109" i="9" s="1"/>
  <c r="A108" i="9"/>
  <c r="D108" i="9" s="1" a="1"/>
  <c r="D108" i="9" s="1"/>
  <c r="A107" i="9"/>
  <c r="A106" i="9"/>
  <c r="A105" i="9"/>
  <c r="A104" i="9"/>
  <c r="A103" i="9"/>
  <c r="E103" i="9" s="1" a="1"/>
  <c r="E103" i="9" s="1"/>
  <c r="A102" i="9"/>
  <c r="C102" i="9" s="1" a="1"/>
  <c r="C102" i="9" s="1"/>
  <c r="A101" i="9"/>
  <c r="D101" i="9" s="1" a="1"/>
  <c r="D101" i="9" s="1"/>
  <c r="A100" i="9"/>
  <c r="D100" i="9" s="1" a="1"/>
  <c r="D100" i="9" s="1"/>
  <c r="A99" i="9"/>
  <c r="C99" i="9" s="1" a="1"/>
  <c r="C99" i="9" s="1"/>
  <c r="A98" i="9"/>
  <c r="A97" i="9"/>
  <c r="A96" i="9"/>
  <c r="D96" i="9" s="1" a="1"/>
  <c r="D96" i="9" s="1"/>
  <c r="A95" i="9"/>
  <c r="E95" i="9" s="1" a="1"/>
  <c r="E95" i="9" s="1"/>
  <c r="A94" i="9"/>
  <c r="A93" i="9"/>
  <c r="D93" i="9" s="1" a="1"/>
  <c r="D93" i="9" s="1"/>
  <c r="A92" i="9"/>
  <c r="A91" i="9"/>
  <c r="A90" i="9"/>
  <c r="D90" i="9" s="1" a="1"/>
  <c r="D90" i="9" s="1"/>
  <c r="A89" i="9"/>
  <c r="D89" i="9" s="1" a="1"/>
  <c r="D89" i="9" s="1"/>
  <c r="A88" i="9"/>
  <c r="A87" i="9"/>
  <c r="D87" i="9" s="1" a="1"/>
  <c r="D87" i="9" s="1"/>
  <c r="A86" i="9"/>
  <c r="E86" i="9" s="1" a="1"/>
  <c r="E86" i="9" s="1"/>
  <c r="A85" i="9"/>
  <c r="A84" i="9"/>
  <c r="E84" i="9" s="1" a="1"/>
  <c r="E84" i="9" s="1"/>
  <c r="A83" i="9"/>
  <c r="B83" i="9" s="1" a="1"/>
  <c r="B83" i="9" s="1"/>
  <c r="A82" i="9"/>
  <c r="A81" i="9"/>
  <c r="A80" i="9"/>
  <c r="E80" i="9" s="1" a="1"/>
  <c r="E80" i="9" s="1"/>
  <c r="A79" i="9"/>
  <c r="B79" i="9" s="1" a="1"/>
  <c r="B79" i="9" s="1"/>
  <c r="A78" i="9"/>
  <c r="A77" i="9"/>
  <c r="A76" i="9"/>
  <c r="E76" i="9" s="1" a="1"/>
  <c r="E76" i="9" s="1"/>
  <c r="A75" i="9"/>
  <c r="B75" i="9" s="1" a="1"/>
  <c r="B75" i="9" s="1"/>
  <c r="A74" i="9"/>
  <c r="E74" i="9" s="1" a="1"/>
  <c r="E74" i="9" s="1"/>
  <c r="A73" i="9"/>
  <c r="A72" i="9"/>
  <c r="E72" i="9" s="1" a="1"/>
  <c r="E72" i="9" s="1"/>
  <c r="A71" i="9"/>
  <c r="B71" i="9" s="1" a="1"/>
  <c r="B71" i="9" s="1"/>
  <c r="A70" i="9"/>
  <c r="B70" i="9" s="1" a="1"/>
  <c r="B70" i="9" s="1"/>
  <c r="A69" i="9"/>
  <c r="A68" i="9"/>
  <c r="A67" i="9"/>
  <c r="D67" i="9" s="1" a="1"/>
  <c r="D67" i="9" s="1"/>
  <c r="A66" i="9"/>
  <c r="D66" i="9" s="1" a="1"/>
  <c r="D66" i="9" s="1"/>
  <c r="A65" i="9"/>
  <c r="B65" i="9" s="1" a="1"/>
  <c r="B65" i="9" s="1"/>
  <c r="A64" i="9"/>
  <c r="E64" i="9" s="1" a="1"/>
  <c r="E64" i="9" s="1"/>
  <c r="A63" i="9"/>
  <c r="B63" i="9" s="1" a="1"/>
  <c r="B63" i="9" s="1"/>
  <c r="A62" i="9"/>
  <c r="A61" i="9"/>
  <c r="B61" i="9" s="1" a="1"/>
  <c r="B61" i="9" s="1"/>
  <c r="A60" i="9"/>
  <c r="E60" i="9" s="1" a="1"/>
  <c r="E60" i="9" s="1"/>
  <c r="A59" i="9"/>
  <c r="B59" i="9" s="1" a="1"/>
  <c r="B59" i="9" s="1"/>
  <c r="A58" i="9"/>
  <c r="E58" i="9" s="1" a="1"/>
  <c r="E58" i="9" s="1"/>
  <c r="A57" i="9"/>
  <c r="B57" i="9" s="1" a="1"/>
  <c r="B57" i="9" s="1"/>
  <c r="A56" i="9"/>
  <c r="E56" i="9" s="1" a="1"/>
  <c r="E56" i="9" s="1"/>
  <c r="A55" i="9"/>
  <c r="B55" i="9" s="1" a="1"/>
  <c r="B55" i="9" s="1"/>
  <c r="A54" i="9"/>
  <c r="C54" i="9" s="1" a="1"/>
  <c r="C54" i="9" s="1"/>
  <c r="A53" i="9"/>
  <c r="B53" i="9" s="1" a="1"/>
  <c r="B53" i="9" s="1"/>
  <c r="A52" i="9"/>
  <c r="E52" i="9" s="1" a="1"/>
  <c r="E52" i="9" s="1"/>
  <c r="A51" i="9"/>
  <c r="E51" i="9" s="1" a="1"/>
  <c r="E51" i="9" s="1"/>
  <c r="A50" i="9"/>
  <c r="E50" i="9" s="1" a="1"/>
  <c r="E50" i="9" s="1"/>
  <c r="A49" i="9"/>
  <c r="D49" i="9" s="1" a="1"/>
  <c r="D49" i="9" s="1"/>
  <c r="A48" i="9"/>
  <c r="E48" i="9" s="1" a="1"/>
  <c r="E48" i="9" s="1"/>
  <c r="A47" i="9"/>
  <c r="E47" i="9" s="1" a="1"/>
  <c r="E47" i="9" s="1"/>
  <c r="A46" i="9"/>
  <c r="A45" i="9"/>
  <c r="D45" i="9" s="1" a="1"/>
  <c r="D45" i="9" s="1"/>
  <c r="A44" i="9"/>
  <c r="E44" i="9" s="1" a="1"/>
  <c r="E44" i="9" s="1"/>
  <c r="A43" i="9"/>
  <c r="E43" i="9" s="1" a="1"/>
  <c r="E43" i="9" s="1"/>
  <c r="A42" i="9"/>
  <c r="E42" i="9" s="1" a="1"/>
  <c r="E42" i="9" s="1"/>
  <c r="A41" i="9"/>
  <c r="D41" i="9" s="1" a="1"/>
  <c r="D41" i="9" s="1"/>
  <c r="A40" i="9"/>
  <c r="E40" i="9" s="1" a="1"/>
  <c r="E40" i="9" s="1"/>
  <c r="A39" i="9"/>
  <c r="E39" i="9" s="1" a="1"/>
  <c r="E39" i="9" s="1"/>
  <c r="A38" i="9"/>
  <c r="C38" i="9" s="1" a="1"/>
  <c r="C38" i="9" s="1"/>
  <c r="A37" i="9"/>
  <c r="D37" i="9" s="1" a="1"/>
  <c r="D37" i="9" s="1"/>
  <c r="A36" i="9"/>
  <c r="E36" i="9" s="1" a="1"/>
  <c r="E36" i="9" s="1"/>
  <c r="A35" i="9"/>
  <c r="E35" i="9" s="1" a="1"/>
  <c r="E35" i="9" s="1"/>
  <c r="A34" i="9"/>
  <c r="E34" i="9" s="1" a="1"/>
  <c r="E34" i="9" s="1"/>
  <c r="A33" i="9"/>
  <c r="D33" i="9" s="1" a="1"/>
  <c r="D33" i="9" s="1"/>
  <c r="A32" i="9"/>
  <c r="E32" i="9" s="1" a="1"/>
  <c r="E32" i="9" s="1"/>
  <c r="A31" i="9"/>
  <c r="E31" i="9" s="1" a="1"/>
  <c r="E31" i="9" s="1"/>
  <c r="A30" i="9"/>
  <c r="C30" i="9" s="1" a="1"/>
  <c r="C30" i="9" s="1"/>
  <c r="A29" i="9"/>
  <c r="E29" i="9" s="1" a="1"/>
  <c r="E29" i="9" s="1"/>
  <c r="A28" i="9"/>
  <c r="B28" i="9" s="1" a="1"/>
  <c r="B28" i="9" s="1"/>
  <c r="A27" i="9"/>
  <c r="E27" i="9" s="1" a="1"/>
  <c r="E27" i="9" s="1"/>
  <c r="A26" i="9"/>
  <c r="C26" i="9" s="1" a="1"/>
  <c r="C26" i="9" s="1"/>
  <c r="A25" i="9"/>
  <c r="E25" i="9" s="1" a="1"/>
  <c r="E25" i="9" s="1"/>
  <c r="A24" i="9"/>
  <c r="B24" i="9" s="1" a="1"/>
  <c r="B24" i="9" s="1"/>
  <c r="A23" i="9"/>
  <c r="C23" i="9" s="1" a="1"/>
  <c r="C23" i="9" s="1"/>
  <c r="A22" i="9"/>
  <c r="E22" i="9" s="1" a="1"/>
  <c r="E22" i="9" s="1"/>
  <c r="A21" i="9"/>
  <c r="E21" i="9" s="1" a="1"/>
  <c r="E21" i="9" s="1"/>
  <c r="A20" i="9"/>
  <c r="B20" i="9" s="1" a="1"/>
  <c r="B20" i="9" s="1"/>
  <c r="A19" i="9"/>
  <c r="E19" i="9" s="1" a="1"/>
  <c r="E19" i="9" s="1"/>
  <c r="A18" i="9"/>
  <c r="C18" i="9" s="1" a="1"/>
  <c r="C18" i="9" s="1"/>
  <c r="A17" i="9"/>
  <c r="E17" i="9" s="1" a="1"/>
  <c r="E17" i="9" s="1"/>
  <c r="A16" i="9"/>
  <c r="B16" i="9" s="1" a="1"/>
  <c r="B16" i="9" s="1"/>
  <c r="A15" i="9"/>
  <c r="C15" i="9" s="1" a="1"/>
  <c r="C15" i="9" s="1"/>
  <c r="A14" i="9"/>
  <c r="E14" i="9" s="1" a="1"/>
  <c r="E14" i="9" s="1"/>
  <c r="A13" i="9"/>
  <c r="E13" i="9" s="1" a="1"/>
  <c r="E13" i="9" s="1"/>
  <c r="A12" i="9"/>
  <c r="B12" i="9" s="1" a="1"/>
  <c r="B12" i="9" s="1"/>
  <c r="A11" i="9"/>
  <c r="E11" i="9" s="1" a="1"/>
  <c r="E11" i="9" s="1"/>
  <c r="A10" i="9"/>
  <c r="C10" i="9" s="1" a="1"/>
  <c r="C10" i="9" s="1"/>
  <c r="A9" i="9"/>
  <c r="E9" i="9" s="1" a="1"/>
  <c r="E9" i="9" s="1"/>
  <c r="A8" i="9"/>
  <c r="B8" i="9" s="1" a="1"/>
  <c r="B8" i="9" s="1"/>
  <c r="A7" i="9"/>
  <c r="C7" i="9" s="1" a="1"/>
  <c r="C7" i="9" s="1"/>
  <c r="A6" i="9"/>
  <c r="E6" i="9" s="1" a="1"/>
  <c r="E6" i="9" s="1"/>
  <c r="A5" i="9"/>
  <c r="E5" i="9" s="1" a="1"/>
  <c r="E5" i="9" s="1"/>
  <c r="A4" i="9"/>
  <c r="B4" i="9" s="1" a="1"/>
  <c r="B4" i="9" s="1"/>
  <c r="A3" i="9"/>
  <c r="E3" i="9" s="1" a="1"/>
  <c r="E3" i="9" s="1"/>
  <c r="A2" i="9"/>
  <c r="D2" i="9" s="1" a="1"/>
  <c r="D2" i="9" s="1"/>
  <c r="U197" i="8"/>
  <c r="V191" i="8"/>
  <c r="V190" i="8"/>
  <c r="V189" i="8"/>
  <c r="V182" i="8"/>
  <c r="V181" i="8"/>
  <c r="V180" i="8"/>
  <c r="V173" i="8"/>
  <c r="V172" i="8"/>
  <c r="V171" i="8"/>
  <c r="U171" i="8"/>
  <c r="V169" i="8"/>
  <c r="U169" i="8"/>
  <c r="T170" i="8" s="1" a="1"/>
  <c r="T170" i="8" s="1"/>
  <c r="P197" i="8"/>
  <c r="Q191" i="8"/>
  <c r="Q190" i="8"/>
  <c r="Q189" i="8"/>
  <c r="Q182" i="8"/>
  <c r="Q181" i="8"/>
  <c r="Q171" i="8"/>
  <c r="P171" i="8"/>
  <c r="Q169" i="8"/>
  <c r="P169" i="8"/>
  <c r="O170" i="8" s="1" a="1"/>
  <c r="O170" i="8" s="1"/>
  <c r="K197" i="8"/>
  <c r="L191" i="8"/>
  <c r="L190" i="8"/>
  <c r="L189" i="8"/>
  <c r="L182" i="8"/>
  <c r="L181" i="8"/>
  <c r="L180" i="8"/>
  <c r="L173" i="8"/>
  <c r="L172" i="8"/>
  <c r="L171" i="8"/>
  <c r="K171" i="8"/>
  <c r="K169" i="8"/>
  <c r="J170" i="8" s="1" a="1"/>
  <c r="J170" i="8" s="1"/>
  <c r="L169" i="8"/>
  <c r="F169" i="8"/>
  <c r="G169" i="8"/>
  <c r="P4" i="8"/>
  <c r="Q4" i="8" s="1"/>
  <c r="Q3" i="8"/>
  <c r="P3" i="8"/>
  <c r="P2" i="8"/>
  <c r="Q2" i="8" s="1"/>
  <c r="P5" i="8" s="1"/>
  <c r="L165" i="8"/>
  <c r="K165" i="8"/>
  <c r="J165" i="8"/>
  <c r="I165" i="2"/>
  <c r="A164" i="8"/>
  <c r="A163" i="8"/>
  <c r="C163" i="8" s="1" a="1"/>
  <c r="C163" i="8" s="1"/>
  <c r="A162" i="8"/>
  <c r="E162" i="8" s="1" a="1"/>
  <c r="E162" i="8" s="1"/>
  <c r="A161" i="8"/>
  <c r="A160" i="8"/>
  <c r="E160" i="8" s="1" a="1"/>
  <c r="E160" i="8" s="1"/>
  <c r="A159" i="8"/>
  <c r="F159" i="8" s="1" a="1"/>
  <c r="F159" i="8" s="1"/>
  <c r="A158" i="8"/>
  <c r="E158" i="8" s="1" a="1"/>
  <c r="E158" i="8" s="1"/>
  <c r="A157" i="8"/>
  <c r="A156" i="8"/>
  <c r="D156" i="8" s="1" a="1"/>
  <c r="D156" i="8" s="1"/>
  <c r="A155" i="8"/>
  <c r="F155" i="8" s="1" a="1"/>
  <c r="F155" i="8" s="1"/>
  <c r="A154" i="8"/>
  <c r="D154" i="8" s="1" a="1"/>
  <c r="D154" i="8" s="1"/>
  <c r="A153" i="8"/>
  <c r="A152" i="8"/>
  <c r="C152" i="8" s="1" a="1"/>
  <c r="C152" i="8" s="1"/>
  <c r="A151" i="8"/>
  <c r="A150" i="8"/>
  <c r="E150" i="8" s="1" a="1"/>
  <c r="E150" i="8" s="1"/>
  <c r="A149" i="8"/>
  <c r="A148" i="8"/>
  <c r="E148" i="8" s="1" a="1"/>
  <c r="E148" i="8" s="1"/>
  <c r="A147" i="8"/>
  <c r="A146" i="8"/>
  <c r="D146" i="8" s="1" a="1"/>
  <c r="D146" i="8" s="1"/>
  <c r="A145" i="8"/>
  <c r="A144" i="8"/>
  <c r="C144" i="8" s="1" a="1"/>
  <c r="C144" i="8" s="1"/>
  <c r="A143" i="8"/>
  <c r="A142" i="8"/>
  <c r="E142" i="8" s="1" a="1"/>
  <c r="E142" i="8" s="1"/>
  <c r="A141" i="8"/>
  <c r="A140" i="8"/>
  <c r="E140" i="8" s="1" a="1"/>
  <c r="E140" i="8" s="1"/>
  <c r="A139" i="8"/>
  <c r="A138" i="8"/>
  <c r="E138" i="8" s="1" a="1"/>
  <c r="E138" i="8" s="1"/>
  <c r="A137" i="8"/>
  <c r="A136" i="8"/>
  <c r="A135" i="8"/>
  <c r="A134" i="8"/>
  <c r="A133" i="8"/>
  <c r="F133" i="8" s="1" a="1"/>
  <c r="F133" i="8" s="1"/>
  <c r="A132" i="8"/>
  <c r="E132" i="8" s="1" a="1"/>
  <c r="E132" i="8" s="1"/>
  <c r="A131" i="8"/>
  <c r="B131" i="8" s="1" a="1"/>
  <c r="B131" i="8" s="1"/>
  <c r="A130" i="8"/>
  <c r="F130" i="8" s="1" a="1"/>
  <c r="F130" i="8" s="1"/>
  <c r="A129" i="8"/>
  <c r="E129" i="8" s="1" a="1"/>
  <c r="E129" i="8" s="1"/>
  <c r="A128" i="8"/>
  <c r="A127" i="8"/>
  <c r="E127" i="8" s="1" a="1"/>
  <c r="E127" i="8" s="1"/>
  <c r="A126" i="8"/>
  <c r="F126" i="8" s="1" a="1"/>
  <c r="F126" i="8" s="1"/>
  <c r="A125" i="8"/>
  <c r="D125" i="8" s="1" a="1"/>
  <c r="D125" i="8" s="1"/>
  <c r="A124" i="8"/>
  <c r="A123" i="8"/>
  <c r="C123" i="8" s="1" a="1"/>
  <c r="C123" i="8" s="1"/>
  <c r="A122" i="8"/>
  <c r="A121" i="8"/>
  <c r="E121" i="8" s="1" a="1"/>
  <c r="E121" i="8" s="1"/>
  <c r="A120" i="8"/>
  <c r="A119" i="8"/>
  <c r="E119" i="8" s="1" a="1"/>
  <c r="E119" i="8" s="1"/>
  <c r="A118" i="8"/>
  <c r="A117" i="8"/>
  <c r="D117" i="8" s="1" a="1"/>
  <c r="D117" i="8" s="1"/>
  <c r="A116" i="8"/>
  <c r="A115" i="8"/>
  <c r="C115" i="8" s="1" a="1"/>
  <c r="C115" i="8" s="1"/>
  <c r="A114" i="8"/>
  <c r="A113" i="8"/>
  <c r="A112" i="8"/>
  <c r="A111" i="8"/>
  <c r="E111" i="8" s="1" a="1"/>
  <c r="E111" i="8" s="1"/>
  <c r="A110" i="8"/>
  <c r="A109" i="8"/>
  <c r="D109" i="8" s="1" a="1"/>
  <c r="D109" i="8" s="1"/>
  <c r="A108" i="8"/>
  <c r="A107" i="8"/>
  <c r="C107" i="8" s="1" a="1"/>
  <c r="C107" i="8" s="1"/>
  <c r="A106" i="8"/>
  <c r="C106" i="8" s="1" a="1"/>
  <c r="C106" i="8" s="1"/>
  <c r="A105" i="8"/>
  <c r="C105" i="8" s="1" a="1"/>
  <c r="C105" i="8" s="1"/>
  <c r="A104" i="8"/>
  <c r="A103" i="8"/>
  <c r="E103" i="8" s="1" a="1"/>
  <c r="E103" i="8" s="1"/>
  <c r="A102" i="8"/>
  <c r="F102" i="8" s="1" a="1"/>
  <c r="F102" i="8" s="1"/>
  <c r="A101" i="8"/>
  <c r="E101" i="8" s="1" a="1"/>
  <c r="E101" i="8" s="1"/>
  <c r="A100" i="8"/>
  <c r="A99" i="8"/>
  <c r="D99" i="8" s="1" a="1"/>
  <c r="D99" i="8" s="1"/>
  <c r="A98" i="8"/>
  <c r="F98" i="8" s="1" a="1"/>
  <c r="F98" i="8" s="1"/>
  <c r="A97" i="8"/>
  <c r="C97" i="8" s="1" a="1"/>
  <c r="C97" i="8" s="1"/>
  <c r="A96" i="8"/>
  <c r="A95" i="8"/>
  <c r="E95" i="8" s="1" a="1"/>
  <c r="E95" i="8" s="1"/>
  <c r="A94" i="8"/>
  <c r="F94" i="8" s="1" a="1"/>
  <c r="F94" i="8" s="1"/>
  <c r="A93" i="8"/>
  <c r="E93" i="8" s="1" a="1"/>
  <c r="E93" i="8" s="1"/>
  <c r="A92" i="8"/>
  <c r="A91" i="8"/>
  <c r="E91" i="8" s="1" a="1"/>
  <c r="E91" i="8" s="1"/>
  <c r="A90" i="8"/>
  <c r="F90" i="8" s="1" a="1"/>
  <c r="F90" i="8" s="1"/>
  <c r="A89" i="8"/>
  <c r="E89" i="8" s="1" a="1"/>
  <c r="E89" i="8" s="1"/>
  <c r="A88" i="8"/>
  <c r="A87" i="8"/>
  <c r="D87" i="8" s="1" a="1"/>
  <c r="D87" i="8" s="1"/>
  <c r="A86" i="8"/>
  <c r="F86" i="8" s="1" a="1"/>
  <c r="F86" i="8" s="1"/>
  <c r="A85" i="8"/>
  <c r="C85" i="8" s="1" a="1"/>
  <c r="C85" i="8" s="1"/>
  <c r="A84" i="8"/>
  <c r="A83" i="8"/>
  <c r="C83" i="8" s="1" a="1"/>
  <c r="C83" i="8" s="1"/>
  <c r="A82" i="8"/>
  <c r="F82" i="8" s="1" a="1"/>
  <c r="F82" i="8" s="1"/>
  <c r="A81" i="8"/>
  <c r="E81" i="8" s="1" a="1"/>
  <c r="E81" i="8" s="1"/>
  <c r="A80" i="8"/>
  <c r="A79" i="8"/>
  <c r="D79" i="8" s="1" a="1"/>
  <c r="D79" i="8" s="1"/>
  <c r="A78" i="8"/>
  <c r="F78" i="8" s="1" a="1"/>
  <c r="F78" i="8" s="1"/>
  <c r="A77" i="8"/>
  <c r="C77" i="8" s="1" a="1"/>
  <c r="C77" i="8" s="1"/>
  <c r="A76" i="8"/>
  <c r="A75" i="8"/>
  <c r="A74" i="8"/>
  <c r="A73" i="8"/>
  <c r="E73" i="8" s="1" a="1"/>
  <c r="E73" i="8" s="1"/>
  <c r="A72" i="8"/>
  <c r="A71" i="8"/>
  <c r="D71" i="8" s="1" a="1"/>
  <c r="D71" i="8" s="1"/>
  <c r="A70" i="8"/>
  <c r="A69" i="8"/>
  <c r="C69" i="8" s="1" a="1"/>
  <c r="C69" i="8" s="1"/>
  <c r="A68" i="8"/>
  <c r="A67" i="8"/>
  <c r="E67" i="8" s="1" a="1"/>
  <c r="E67" i="8" s="1"/>
  <c r="A66" i="8"/>
  <c r="A65" i="8"/>
  <c r="E65" i="8" s="1" a="1"/>
  <c r="E65" i="8" s="1"/>
  <c r="A64" i="8"/>
  <c r="A63" i="8"/>
  <c r="D63" i="8" s="1" a="1"/>
  <c r="D63" i="8" s="1"/>
  <c r="A62" i="8"/>
  <c r="A61" i="8"/>
  <c r="C61" i="8" s="1" a="1"/>
  <c r="C61" i="8" s="1"/>
  <c r="A60" i="8"/>
  <c r="A59" i="8"/>
  <c r="E59" i="8" s="1" a="1"/>
  <c r="E59" i="8" s="1"/>
  <c r="A58" i="8"/>
  <c r="A57" i="8"/>
  <c r="E57" i="8" s="1" a="1"/>
  <c r="E57" i="8" s="1"/>
  <c r="A56" i="8"/>
  <c r="A55" i="8"/>
  <c r="D55" i="8" s="1" a="1"/>
  <c r="D55" i="8" s="1"/>
  <c r="A54" i="8"/>
  <c r="A53" i="8"/>
  <c r="C53" i="8" s="1" a="1"/>
  <c r="C53" i="8" s="1"/>
  <c r="A52" i="8"/>
  <c r="A51" i="8"/>
  <c r="E51" i="8" s="1" a="1"/>
  <c r="E51" i="8" s="1"/>
  <c r="A50" i="8"/>
  <c r="A49" i="8"/>
  <c r="E49" i="8" s="1" a="1"/>
  <c r="E49" i="8" s="1"/>
  <c r="A48" i="8"/>
  <c r="C48" i="8" s="1" a="1"/>
  <c r="C48" i="8" s="1"/>
  <c r="A47" i="8"/>
  <c r="D47" i="8" s="1" a="1"/>
  <c r="D47" i="8" s="1"/>
  <c r="A46" i="8"/>
  <c r="E46" i="8" s="1" a="1"/>
  <c r="E46" i="8" s="1"/>
  <c r="A45" i="8"/>
  <c r="B45" i="8" s="1" a="1"/>
  <c r="B45" i="8" s="1"/>
  <c r="A44" i="8"/>
  <c r="F44" i="8" s="1" a="1"/>
  <c r="F44" i="8" s="1"/>
  <c r="A43" i="8"/>
  <c r="A42" i="8"/>
  <c r="A41" i="8"/>
  <c r="E41" i="8" s="1" a="1"/>
  <c r="E41" i="8" s="1"/>
  <c r="A40" i="8"/>
  <c r="F40" i="8" s="1" a="1"/>
  <c r="F40" i="8" s="1"/>
  <c r="A39" i="8"/>
  <c r="C39" i="8" s="1" a="1"/>
  <c r="C39" i="8" s="1"/>
  <c r="A38" i="8"/>
  <c r="E38" i="8" s="1" a="1"/>
  <c r="E38" i="8" s="1"/>
  <c r="A37" i="8"/>
  <c r="E37" i="8" s="1" a="1"/>
  <c r="E37" i="8" s="1"/>
  <c r="A36" i="8"/>
  <c r="F36" i="8" s="1" a="1"/>
  <c r="F36" i="8" s="1"/>
  <c r="A35" i="8"/>
  <c r="C35" i="8" s="1" a="1"/>
  <c r="C35" i="8" s="1"/>
  <c r="A34" i="8"/>
  <c r="A33" i="8"/>
  <c r="F33" i="8" s="1" a="1"/>
  <c r="F33" i="8" s="1"/>
  <c r="A32" i="8"/>
  <c r="F32" i="8" s="1" a="1"/>
  <c r="F32" i="8" s="1"/>
  <c r="A31" i="8"/>
  <c r="D31" i="8" s="1" a="1"/>
  <c r="D31" i="8" s="1"/>
  <c r="A30" i="8"/>
  <c r="E30" i="8" s="1" a="1"/>
  <c r="E30" i="8" s="1"/>
  <c r="A29" i="8"/>
  <c r="E29" i="8" s="1" a="1"/>
  <c r="E29" i="8" s="1"/>
  <c r="A28" i="8"/>
  <c r="F28" i="8" s="1" a="1"/>
  <c r="F28" i="8" s="1"/>
  <c r="A27" i="8"/>
  <c r="C27" i="8" s="1" a="1"/>
  <c r="C27" i="8" s="1"/>
  <c r="A26" i="8"/>
  <c r="A25" i="8"/>
  <c r="D25" i="8" s="1" a="1"/>
  <c r="D25" i="8" s="1"/>
  <c r="A24" i="8"/>
  <c r="E24" i="8" s="1" a="1"/>
  <c r="E24" i="8" s="1"/>
  <c r="A23" i="8"/>
  <c r="E23" i="8" s="1" a="1"/>
  <c r="E23" i="8" s="1"/>
  <c r="A22" i="8"/>
  <c r="F22" i="8" s="1" a="1"/>
  <c r="F22" i="8" s="1"/>
  <c r="A21" i="8"/>
  <c r="B21" i="8" s="1" a="1"/>
  <c r="B21" i="8" s="1"/>
  <c r="A20" i="8"/>
  <c r="E20" i="8" s="1" a="1"/>
  <c r="E20" i="8" s="1"/>
  <c r="A19" i="8"/>
  <c r="E19" i="8" s="1" a="1"/>
  <c r="E19" i="8" s="1"/>
  <c r="A18" i="8"/>
  <c r="F18" i="8" s="1" a="1"/>
  <c r="F18" i="8" s="1"/>
  <c r="A17" i="8"/>
  <c r="E17" i="8" s="1" a="1"/>
  <c r="E17" i="8" s="1"/>
  <c r="A16" i="8"/>
  <c r="E16" i="8" s="1" a="1"/>
  <c r="E16" i="8" s="1"/>
  <c r="A15" i="8"/>
  <c r="E15" i="8" s="1" a="1"/>
  <c r="E15" i="8" s="1"/>
  <c r="A14" i="8"/>
  <c r="F14" i="8" s="1" a="1"/>
  <c r="F14" i="8" s="1"/>
  <c r="A13" i="8"/>
  <c r="A12" i="8"/>
  <c r="A11" i="8"/>
  <c r="E11" i="8" s="1" a="1"/>
  <c r="E11" i="8" s="1"/>
  <c r="A10" i="8"/>
  <c r="A9" i="8"/>
  <c r="D9" i="8" s="1" a="1"/>
  <c r="D9" i="8" s="1"/>
  <c r="A8" i="8"/>
  <c r="E8" i="8" s="1" a="1"/>
  <c r="E8" i="8" s="1"/>
  <c r="A7" i="8"/>
  <c r="E7" i="8" s="1" a="1"/>
  <c r="E7" i="8" s="1"/>
  <c r="A6" i="8"/>
  <c r="F6" i="8" s="1" a="1"/>
  <c r="F6" i="8" s="1"/>
  <c r="A5" i="8"/>
  <c r="B5" i="8" s="1" a="1"/>
  <c r="B5" i="8" s="1"/>
  <c r="A4" i="8"/>
  <c r="E4" i="8" s="1" a="1"/>
  <c r="E4" i="8" s="1"/>
  <c r="A3" i="8"/>
  <c r="E3" i="8" s="1" a="1"/>
  <c r="E3" i="8" s="1"/>
  <c r="A2" i="8"/>
  <c r="F2" i="8" s="1" a="1"/>
  <c r="F2" i="8" s="1"/>
  <c r="V191" i="7"/>
  <c r="V190" i="7"/>
  <c r="V189" i="7"/>
  <c r="V182" i="7"/>
  <c r="V181" i="7"/>
  <c r="V180" i="7"/>
  <c r="V173" i="7"/>
  <c r="V172" i="7"/>
  <c r="V171" i="7"/>
  <c r="V169" i="7"/>
  <c r="U169" i="7"/>
  <c r="T170" i="7" s="1" a="1"/>
  <c r="T170" i="7" s="1"/>
  <c r="Q191" i="7"/>
  <c r="Q190" i="7"/>
  <c r="Q189" i="7"/>
  <c r="Q182" i="7"/>
  <c r="Q181" i="7"/>
  <c r="Q173" i="7"/>
  <c r="Q172" i="7"/>
  <c r="Q171" i="7"/>
  <c r="Q174" i="7" s="1"/>
  <c r="P172" i="7"/>
  <c r="P169" i="7"/>
  <c r="Q169" i="7"/>
  <c r="O170" i="7" a="1"/>
  <c r="O170" i="7" s="1"/>
  <c r="L191" i="7"/>
  <c r="L190" i="7"/>
  <c r="L189" i="7"/>
  <c r="L182" i="7"/>
  <c r="L181" i="7"/>
  <c r="L180" i="7"/>
  <c r="L173" i="7"/>
  <c r="L172" i="7"/>
  <c r="L171" i="7"/>
  <c r="K171" i="7"/>
  <c r="K169" i="7"/>
  <c r="J170" i="7" s="1" a="1"/>
  <c r="J170" i="7" s="1"/>
  <c r="L169" i="7"/>
  <c r="F197" i="7"/>
  <c r="G191" i="7"/>
  <c r="G190" i="7"/>
  <c r="G189" i="7"/>
  <c r="G182" i="7"/>
  <c r="G181" i="7"/>
  <c r="G180" i="7"/>
  <c r="F180" i="7"/>
  <c r="G173" i="7"/>
  <c r="G172" i="7"/>
  <c r="G171" i="7"/>
  <c r="F171" i="7"/>
  <c r="E170" i="7" a="1"/>
  <c r="E170" i="7" s="1"/>
  <c r="F169" i="7"/>
  <c r="G169" i="7"/>
  <c r="P5" i="7"/>
  <c r="P2" i="7"/>
  <c r="P4" i="7"/>
  <c r="Q4" i="7" s="1"/>
  <c r="Q3" i="7"/>
  <c r="P3" i="7"/>
  <c r="Q2" i="7"/>
  <c r="L165" i="7"/>
  <c r="K165" i="7"/>
  <c r="J165" i="7"/>
  <c r="I165" i="7"/>
  <c r="A164" i="7"/>
  <c r="E164" i="7" s="1" a="1"/>
  <c r="E164" i="7" s="1"/>
  <c r="A163" i="7"/>
  <c r="E163" i="7" s="1" a="1"/>
  <c r="E163" i="7" s="1"/>
  <c r="A162" i="7"/>
  <c r="A161" i="7"/>
  <c r="D161" i="7" s="1" a="1"/>
  <c r="D161" i="7" s="1"/>
  <c r="A160" i="7"/>
  <c r="A159" i="7"/>
  <c r="A158" i="7"/>
  <c r="A157" i="7"/>
  <c r="B157" i="7" s="1" a="1"/>
  <c r="B157" i="7" s="1"/>
  <c r="A156" i="7"/>
  <c r="E156" i="7" s="1" a="1"/>
  <c r="E156" i="7" s="1"/>
  <c r="A155" i="7"/>
  <c r="E155" i="7" s="1" a="1"/>
  <c r="E155" i="7" s="1"/>
  <c r="A154" i="7"/>
  <c r="A153" i="7"/>
  <c r="E153" i="7" s="1" a="1"/>
  <c r="E153" i="7" s="1"/>
  <c r="A152" i="7"/>
  <c r="F152" i="7" s="1" a="1"/>
  <c r="F152" i="7" s="1"/>
  <c r="A151" i="7"/>
  <c r="E151" i="7" s="1" a="1"/>
  <c r="E151" i="7" s="1"/>
  <c r="A150" i="7"/>
  <c r="A149" i="7"/>
  <c r="E149" i="7" s="1" a="1"/>
  <c r="E149" i="7" s="1"/>
  <c r="A148" i="7"/>
  <c r="F148" i="7" s="1" a="1"/>
  <c r="F148" i="7" s="1"/>
  <c r="A147" i="7"/>
  <c r="E147" i="7" s="1" a="1"/>
  <c r="E147" i="7" s="1"/>
  <c r="A146" i="7"/>
  <c r="A145" i="7"/>
  <c r="A144" i="7"/>
  <c r="A143" i="7"/>
  <c r="E143" i="7" s="1" a="1"/>
  <c r="E143" i="7" s="1"/>
  <c r="A142" i="7"/>
  <c r="C142" i="7" s="1" a="1"/>
  <c r="C142" i="7" s="1"/>
  <c r="A141" i="7"/>
  <c r="C141" i="7" s="1" a="1"/>
  <c r="C141" i="7" s="1"/>
  <c r="A140" i="7"/>
  <c r="F140" i="7" s="1" a="1"/>
  <c r="F140" i="7" s="1"/>
  <c r="A139" i="7"/>
  <c r="A138" i="7"/>
  <c r="C138" i="7" s="1" a="1"/>
  <c r="C138" i="7" s="1"/>
  <c r="A137" i="7"/>
  <c r="B137" i="7" s="1" a="1"/>
  <c r="B137" i="7" s="1"/>
  <c r="A136" i="7"/>
  <c r="F136" i="7" s="1" a="1"/>
  <c r="F136" i="7" s="1"/>
  <c r="A135" i="7"/>
  <c r="A134" i="7"/>
  <c r="C134" i="7" s="1" a="1"/>
  <c r="C134" i="7" s="1"/>
  <c r="A133" i="7"/>
  <c r="F133" i="7" s="1" a="1"/>
  <c r="F133" i="7" s="1"/>
  <c r="A132" i="7"/>
  <c r="A131" i="7"/>
  <c r="D131" i="7" s="1" a="1"/>
  <c r="D131" i="7" s="1"/>
  <c r="A130" i="7"/>
  <c r="A129" i="7"/>
  <c r="F129" i="7" s="1" a="1"/>
  <c r="F129" i="7" s="1"/>
  <c r="A128" i="7"/>
  <c r="A127" i="7"/>
  <c r="A126" i="7"/>
  <c r="A125" i="7"/>
  <c r="A124" i="7"/>
  <c r="D124" i="7" s="1" a="1"/>
  <c r="D124" i="7" s="1"/>
  <c r="A123" i="7"/>
  <c r="E123" i="7" s="1" a="1"/>
  <c r="E123" i="7" s="1"/>
  <c r="A122" i="7"/>
  <c r="A121" i="7"/>
  <c r="F121" i="7" s="1" a="1"/>
  <c r="F121" i="7" s="1"/>
  <c r="A120" i="7"/>
  <c r="F120" i="7" s="1" a="1"/>
  <c r="F120" i="7" s="1"/>
  <c r="A119" i="7"/>
  <c r="B119" i="7" s="1" a="1"/>
  <c r="B119" i="7" s="1"/>
  <c r="A118" i="7"/>
  <c r="E118" i="7" s="1" a="1"/>
  <c r="E118" i="7" s="1"/>
  <c r="A117" i="7"/>
  <c r="F117" i="7" s="1" a="1"/>
  <c r="F117" i="7" s="1"/>
  <c r="A116" i="7"/>
  <c r="E116" i="7" s="1" a="1"/>
  <c r="E116" i="7" s="1"/>
  <c r="A115" i="7"/>
  <c r="D115" i="7" s="1" a="1"/>
  <c r="D115" i="7" s="1"/>
  <c r="A114" i="7"/>
  <c r="A113" i="7"/>
  <c r="F113" i="7" s="1" a="1"/>
  <c r="F113" i="7" s="1"/>
  <c r="A112" i="7"/>
  <c r="E112" i="7" s="1" a="1"/>
  <c r="E112" i="7" s="1"/>
  <c r="A111" i="7"/>
  <c r="D111" i="7" s="1" a="1"/>
  <c r="D111" i="7" s="1"/>
  <c r="A110" i="7"/>
  <c r="D110" i="7" s="1" a="1"/>
  <c r="D110" i="7" s="1"/>
  <c r="A109" i="7"/>
  <c r="B109" i="7" s="1" a="1"/>
  <c r="B109" i="7" s="1"/>
  <c r="A108" i="7"/>
  <c r="A107" i="7"/>
  <c r="F107" i="7" s="1" a="1"/>
  <c r="F107" i="7" s="1"/>
  <c r="A106" i="7"/>
  <c r="A105" i="7"/>
  <c r="F105" i="7" s="1" a="1"/>
  <c r="F105" i="7" s="1"/>
  <c r="A104" i="7"/>
  <c r="A103" i="7"/>
  <c r="F103" i="7" s="1" a="1"/>
  <c r="F103" i="7" s="1"/>
  <c r="A102" i="7"/>
  <c r="F102" i="7" s="1" a="1"/>
  <c r="F102" i="7" s="1"/>
  <c r="A101" i="7"/>
  <c r="C101" i="7" s="1" a="1"/>
  <c r="C101" i="7" s="1"/>
  <c r="A100" i="7"/>
  <c r="A99" i="7"/>
  <c r="F99" i="7" s="1" a="1"/>
  <c r="F99" i="7" s="1"/>
  <c r="A98" i="7"/>
  <c r="F98" i="7" s="1" a="1"/>
  <c r="F98" i="7" s="1"/>
  <c r="A97" i="7"/>
  <c r="A96" i="7"/>
  <c r="A95" i="7"/>
  <c r="A94" i="7"/>
  <c r="F94" i="7" s="1" a="1"/>
  <c r="F94" i="7" s="1"/>
  <c r="A93" i="7"/>
  <c r="E93" i="7" s="1" a="1"/>
  <c r="E93" i="7" s="1"/>
  <c r="A92" i="7"/>
  <c r="D92" i="7" s="1" a="1"/>
  <c r="D92" i="7" s="1"/>
  <c r="A91" i="7"/>
  <c r="D91" i="7" s="1" a="1"/>
  <c r="D91" i="7" s="1"/>
  <c r="A90" i="7"/>
  <c r="A89" i="7"/>
  <c r="D89" i="7" s="1" a="1"/>
  <c r="D89" i="7" s="1"/>
  <c r="A88" i="7"/>
  <c r="F88" i="7" s="1" a="1"/>
  <c r="F88" i="7" s="1"/>
  <c r="A87" i="7"/>
  <c r="E87" i="7" s="1" a="1"/>
  <c r="E87" i="7" s="1"/>
  <c r="A86" i="7"/>
  <c r="C86" i="7" s="1" a="1"/>
  <c r="C86" i="7" s="1"/>
  <c r="A85" i="7"/>
  <c r="D85" i="7" s="1" a="1"/>
  <c r="D85" i="7" s="1"/>
  <c r="A84" i="7"/>
  <c r="D84" i="7" s="1" a="1"/>
  <c r="D84" i="7" s="1"/>
  <c r="A83" i="7"/>
  <c r="E83" i="7" s="1" a="1"/>
  <c r="E83" i="7" s="1"/>
  <c r="A82" i="7"/>
  <c r="F82" i="7" s="1" a="1"/>
  <c r="F82" i="7" s="1"/>
  <c r="A81" i="7"/>
  <c r="E81" i="7" s="1" a="1"/>
  <c r="E81" i="7" s="1"/>
  <c r="A80" i="7"/>
  <c r="A79" i="7"/>
  <c r="E79" i="7" s="1" a="1"/>
  <c r="E79" i="7" s="1"/>
  <c r="A78" i="7"/>
  <c r="F78" i="7" s="1" a="1"/>
  <c r="F78" i="7" s="1"/>
  <c r="A77" i="7"/>
  <c r="F77" i="7" s="1" a="1"/>
  <c r="F77" i="7" s="1"/>
  <c r="A76" i="7"/>
  <c r="A75" i="7"/>
  <c r="D75" i="7" s="1" a="1"/>
  <c r="D75" i="7" s="1"/>
  <c r="A74" i="7"/>
  <c r="A73" i="7"/>
  <c r="E73" i="7" s="1" a="1"/>
  <c r="E73" i="7" s="1"/>
  <c r="A72" i="7"/>
  <c r="A71" i="7"/>
  <c r="E71" i="7" s="1" a="1"/>
  <c r="E71" i="7" s="1"/>
  <c r="A70" i="7"/>
  <c r="A69" i="7"/>
  <c r="F69" i="7" s="1" a="1"/>
  <c r="F69" i="7" s="1"/>
  <c r="A68" i="7"/>
  <c r="A67" i="7"/>
  <c r="D67" i="7" s="1" a="1"/>
  <c r="D67" i="7" s="1"/>
  <c r="A66" i="7"/>
  <c r="A65" i="7"/>
  <c r="E65" i="7" s="1" a="1"/>
  <c r="E65" i="7" s="1"/>
  <c r="A64" i="7"/>
  <c r="A63" i="7"/>
  <c r="E63" i="7" s="1" a="1"/>
  <c r="E63" i="7" s="1"/>
  <c r="A62" i="7"/>
  <c r="A61" i="7"/>
  <c r="F61" i="7" s="1" a="1"/>
  <c r="F61" i="7" s="1"/>
  <c r="A60" i="7"/>
  <c r="A59" i="7"/>
  <c r="E59" i="7" s="1" a="1"/>
  <c r="E59" i="7" s="1"/>
  <c r="A58" i="7"/>
  <c r="F58" i="7" s="1" a="1"/>
  <c r="F58" i="7" s="1"/>
  <c r="A57" i="7"/>
  <c r="E57" i="7" s="1" a="1"/>
  <c r="E57" i="7" s="1"/>
  <c r="A56" i="7"/>
  <c r="A55" i="7"/>
  <c r="E55" i="7" s="1" a="1"/>
  <c r="E55" i="7" s="1"/>
  <c r="A54" i="7"/>
  <c r="F54" i="7" s="1" a="1"/>
  <c r="F54" i="7" s="1"/>
  <c r="A53" i="7"/>
  <c r="E53" i="7" s="1" a="1"/>
  <c r="E53" i="7" s="1"/>
  <c r="A52" i="7"/>
  <c r="A51" i="7"/>
  <c r="F51" i="7" s="1" a="1"/>
  <c r="F51" i="7" s="1"/>
  <c r="A50" i="7"/>
  <c r="F50" i="7" s="1" a="1"/>
  <c r="F50" i="7" s="1"/>
  <c r="A49" i="7"/>
  <c r="E49" i="7" s="1" a="1"/>
  <c r="E49" i="7" s="1"/>
  <c r="A48" i="7"/>
  <c r="A47" i="7"/>
  <c r="E47" i="7" s="1" a="1"/>
  <c r="E47" i="7" s="1"/>
  <c r="A46" i="7"/>
  <c r="F46" i="7" s="1" a="1"/>
  <c r="F46" i="7" s="1"/>
  <c r="A45" i="7"/>
  <c r="E45" i="7" s="1" a="1"/>
  <c r="E45" i="7" s="1"/>
  <c r="A44" i="7"/>
  <c r="A43" i="7"/>
  <c r="F43" i="7" s="1" a="1"/>
  <c r="F43" i="7" s="1"/>
  <c r="A42" i="7"/>
  <c r="F42" i="7" s="1" a="1"/>
  <c r="F42" i="7" s="1"/>
  <c r="A41" i="7"/>
  <c r="F41" i="7" s="1" a="1"/>
  <c r="F41" i="7" s="1"/>
  <c r="A40" i="7"/>
  <c r="A39" i="7"/>
  <c r="E39" i="7" s="1" a="1"/>
  <c r="E39" i="7" s="1"/>
  <c r="A38" i="7"/>
  <c r="F38" i="7" s="1" a="1"/>
  <c r="F38" i="7" s="1"/>
  <c r="A37" i="7"/>
  <c r="E37" i="7" s="1" a="1"/>
  <c r="E37" i="7" s="1"/>
  <c r="A36" i="7"/>
  <c r="A35" i="7"/>
  <c r="D35" i="7" s="1" a="1"/>
  <c r="D35" i="7" s="1"/>
  <c r="A34" i="7"/>
  <c r="F34" i="7" s="1" a="1"/>
  <c r="F34" i="7" s="1"/>
  <c r="A33" i="7"/>
  <c r="D33" i="7" s="1" a="1"/>
  <c r="D33" i="7" s="1"/>
  <c r="A32" i="7"/>
  <c r="A31" i="7"/>
  <c r="C31" i="7" s="1" a="1"/>
  <c r="C31" i="7" s="1"/>
  <c r="A30" i="7"/>
  <c r="F30" i="7" s="1" a="1"/>
  <c r="F30" i="7" s="1"/>
  <c r="A29" i="7"/>
  <c r="E29" i="7" s="1" a="1"/>
  <c r="E29" i="7" s="1"/>
  <c r="A28" i="7"/>
  <c r="A27" i="7"/>
  <c r="E27" i="7" s="1" a="1"/>
  <c r="E27" i="7" s="1"/>
  <c r="A26" i="7"/>
  <c r="F26" i="7" s="1" a="1"/>
  <c r="F26" i="7" s="1"/>
  <c r="A25" i="7"/>
  <c r="E25" i="7" s="1" a="1"/>
  <c r="E25" i="7" s="1"/>
  <c r="A24" i="7"/>
  <c r="A23" i="7"/>
  <c r="D23" i="7" s="1" a="1"/>
  <c r="D23" i="7" s="1"/>
  <c r="A22" i="7"/>
  <c r="F22" i="7" s="1" a="1"/>
  <c r="F22" i="7" s="1"/>
  <c r="A21" i="7"/>
  <c r="C21" i="7" s="1" a="1"/>
  <c r="C21" i="7" s="1"/>
  <c r="A20" i="7"/>
  <c r="A19" i="7"/>
  <c r="A18" i="7"/>
  <c r="F18" i="7" s="1" a="1"/>
  <c r="F18" i="7" s="1"/>
  <c r="A17" i="7"/>
  <c r="E17" i="7" s="1" a="1"/>
  <c r="E17" i="7" s="1"/>
  <c r="A16" i="7"/>
  <c r="A15" i="7"/>
  <c r="E15" i="7" s="1" a="1"/>
  <c r="E15" i="7" s="1"/>
  <c r="A14" i="7"/>
  <c r="F14" i="7" s="1" a="1"/>
  <c r="F14" i="7" s="1"/>
  <c r="A13" i="7"/>
  <c r="F13" i="7" s="1" a="1"/>
  <c r="F13" i="7" s="1"/>
  <c r="A12" i="7"/>
  <c r="A11" i="7"/>
  <c r="E11" i="7" s="1" a="1"/>
  <c r="E11" i="7" s="1"/>
  <c r="A10" i="7"/>
  <c r="F10" i="7" s="1" a="1"/>
  <c r="F10" i="7" s="1"/>
  <c r="A9" i="7"/>
  <c r="E9" i="7" s="1" a="1"/>
  <c r="E9" i="7" s="1"/>
  <c r="A8" i="7"/>
  <c r="A7" i="7"/>
  <c r="E7" i="7" s="1" a="1"/>
  <c r="E7" i="7" s="1"/>
  <c r="A6" i="7"/>
  <c r="F6" i="7" s="1" a="1"/>
  <c r="F6" i="7" s="1"/>
  <c r="A5" i="7"/>
  <c r="D5" i="7" s="1" a="1"/>
  <c r="D5" i="7" s="1"/>
  <c r="A4" i="7"/>
  <c r="A3" i="7"/>
  <c r="F3" i="7" s="1" a="1"/>
  <c r="F3" i="7" s="1"/>
  <c r="A2" i="7"/>
  <c r="F2" i="7" s="1" a="1"/>
  <c r="F2" i="7" s="1"/>
  <c r="J191" i="6"/>
  <c r="J190" i="6"/>
  <c r="J189" i="6"/>
  <c r="I191" i="6"/>
  <c r="I190" i="6"/>
  <c r="I189" i="6"/>
  <c r="I182" i="6"/>
  <c r="I181" i="6"/>
  <c r="I180" i="6"/>
  <c r="J175" i="6"/>
  <c r="J174" i="6"/>
  <c r="J173" i="6"/>
  <c r="J172" i="6"/>
  <c r="J171" i="6"/>
  <c r="I173" i="6"/>
  <c r="I172" i="6"/>
  <c r="I171" i="6"/>
  <c r="O171" i="5"/>
  <c r="H170" i="6" a="1"/>
  <c r="H170" i="6" s="1"/>
  <c r="N170" i="5" a="1"/>
  <c r="N170" i="5" s="1"/>
  <c r="J169" i="6"/>
  <c r="I169" i="6"/>
  <c r="J182" i="6"/>
  <c r="J181" i="6"/>
  <c r="P5" i="6"/>
  <c r="P4" i="6"/>
  <c r="P3" i="6"/>
  <c r="P2" i="6"/>
  <c r="Q4" i="6"/>
  <c r="Q3" i="6"/>
  <c r="Q2" i="6"/>
  <c r="I165" i="6"/>
  <c r="J165" i="5"/>
  <c r="A164" i="6"/>
  <c r="C164" i="6" s="1" a="1"/>
  <c r="C164" i="6" s="1"/>
  <c r="A163" i="6"/>
  <c r="A162" i="6"/>
  <c r="B162" i="6" s="1" a="1"/>
  <c r="B162" i="6" s="1"/>
  <c r="A161" i="6"/>
  <c r="A160" i="6"/>
  <c r="C160" i="6" s="1" a="1"/>
  <c r="C160" i="6" s="1"/>
  <c r="A159" i="6"/>
  <c r="A158" i="6"/>
  <c r="B158" i="6" s="1" a="1"/>
  <c r="B158" i="6" s="1"/>
  <c r="A157" i="6"/>
  <c r="A156" i="6"/>
  <c r="A155" i="6"/>
  <c r="A154" i="6"/>
  <c r="B154" i="6" s="1" a="1"/>
  <c r="B154" i="6" s="1"/>
  <c r="A153" i="6"/>
  <c r="A152" i="6"/>
  <c r="C152" i="6" s="1" a="1"/>
  <c r="C152" i="6" s="1"/>
  <c r="A151" i="6"/>
  <c r="A150" i="6"/>
  <c r="B150" i="6" s="1" a="1"/>
  <c r="B150" i="6" s="1"/>
  <c r="A149" i="6"/>
  <c r="A148" i="6"/>
  <c r="A147" i="6"/>
  <c r="A146" i="6"/>
  <c r="C146" i="6" s="1" a="1"/>
  <c r="C146" i="6" s="1"/>
  <c r="A145" i="6"/>
  <c r="A144" i="6"/>
  <c r="C144" i="6" s="1" a="1"/>
  <c r="C144" i="6" s="1"/>
  <c r="A143" i="6"/>
  <c r="A142" i="6"/>
  <c r="B142" i="6" s="1" a="1"/>
  <c r="B142" i="6" s="1"/>
  <c r="A141" i="6"/>
  <c r="A140" i="6"/>
  <c r="B140" i="6" s="1" a="1"/>
  <c r="B140" i="6" s="1"/>
  <c r="A139" i="6"/>
  <c r="A138" i="6"/>
  <c r="B138" i="6" s="1" a="1"/>
  <c r="B138" i="6" s="1"/>
  <c r="A137" i="6"/>
  <c r="A136" i="6"/>
  <c r="C136" i="6" s="1" a="1"/>
  <c r="C136" i="6" s="1"/>
  <c r="A135" i="6"/>
  <c r="A134" i="6"/>
  <c r="B134" i="6" s="1" a="1"/>
  <c r="B134" i="6" s="1"/>
  <c r="A133" i="6"/>
  <c r="A132" i="6"/>
  <c r="A131" i="6"/>
  <c r="A130" i="6"/>
  <c r="C130" i="6" s="1" a="1"/>
  <c r="C130" i="6" s="1"/>
  <c r="A129" i="6"/>
  <c r="A128" i="6"/>
  <c r="C128" i="6" s="1" a="1"/>
  <c r="C128" i="6" s="1"/>
  <c r="A127" i="6"/>
  <c r="A126" i="6"/>
  <c r="B126" i="6" s="1" a="1"/>
  <c r="B126" i="6" s="1"/>
  <c r="A125" i="6"/>
  <c r="A124" i="6"/>
  <c r="A123" i="6"/>
  <c r="A122" i="6"/>
  <c r="C122" i="6" s="1" a="1"/>
  <c r="C122" i="6" s="1"/>
  <c r="A121" i="6"/>
  <c r="A120" i="6"/>
  <c r="C120" i="6" s="1" a="1"/>
  <c r="C120" i="6" s="1"/>
  <c r="A119" i="6"/>
  <c r="A118" i="6"/>
  <c r="B118" i="6" s="1" a="1"/>
  <c r="B118" i="6" s="1"/>
  <c r="A117" i="6"/>
  <c r="A116" i="6"/>
  <c r="A115" i="6"/>
  <c r="A114" i="6"/>
  <c r="C114" i="6" s="1" a="1"/>
  <c r="C114" i="6" s="1"/>
  <c r="A113" i="6"/>
  <c r="A112" i="6"/>
  <c r="C112" i="6" s="1" a="1"/>
  <c r="C112" i="6" s="1"/>
  <c r="A111" i="6"/>
  <c r="A110" i="6"/>
  <c r="B110" i="6" s="1" a="1"/>
  <c r="B110" i="6" s="1"/>
  <c r="A109" i="6"/>
  <c r="A108" i="6"/>
  <c r="A107" i="6"/>
  <c r="A106" i="6"/>
  <c r="B106" i="6" s="1" a="1"/>
  <c r="B106" i="6" s="1"/>
  <c r="A105" i="6"/>
  <c r="A104" i="6"/>
  <c r="C104" i="6" s="1" a="1"/>
  <c r="C104" i="6" s="1"/>
  <c r="A103" i="6"/>
  <c r="A102" i="6"/>
  <c r="B102" i="6" s="1" a="1"/>
  <c r="B102" i="6" s="1"/>
  <c r="A101" i="6"/>
  <c r="A100" i="6"/>
  <c r="C100" i="6" s="1" a="1"/>
  <c r="C100" i="6" s="1"/>
  <c r="A99" i="6"/>
  <c r="A98" i="6"/>
  <c r="B98" i="6" s="1" a="1"/>
  <c r="B98" i="6" s="1"/>
  <c r="A97" i="6"/>
  <c r="A96" i="6"/>
  <c r="C96" i="6" s="1" a="1"/>
  <c r="C96" i="6" s="1"/>
  <c r="A95" i="6"/>
  <c r="A94" i="6"/>
  <c r="B94" i="6" s="1" a="1"/>
  <c r="B94" i="6" s="1"/>
  <c r="A93" i="6"/>
  <c r="A92" i="6"/>
  <c r="C92" i="6" s="1" a="1"/>
  <c r="C92" i="6" s="1"/>
  <c r="A91" i="6"/>
  <c r="A90" i="6"/>
  <c r="B90" i="6" s="1" a="1"/>
  <c r="B90" i="6" s="1"/>
  <c r="A89" i="6"/>
  <c r="A88" i="6"/>
  <c r="C88" i="6" s="1" a="1"/>
  <c r="C88" i="6" s="1"/>
  <c r="A87" i="6"/>
  <c r="A86" i="6"/>
  <c r="B86" i="6" s="1" a="1"/>
  <c r="B86" i="6" s="1"/>
  <c r="A85" i="6"/>
  <c r="A84" i="6"/>
  <c r="C84" i="6" s="1" a="1"/>
  <c r="C84" i="6" s="1"/>
  <c r="A83" i="6"/>
  <c r="A82" i="6"/>
  <c r="B82" i="6" s="1" a="1"/>
  <c r="B82" i="6" s="1"/>
  <c r="A81" i="6"/>
  <c r="B81" i="6" s="1" a="1"/>
  <c r="B81" i="6" s="1"/>
  <c r="A80" i="6"/>
  <c r="B80" i="6" s="1" a="1"/>
  <c r="B80" i="6" s="1"/>
  <c r="A79" i="6"/>
  <c r="C79" i="6" s="1" a="1"/>
  <c r="C79" i="6" s="1"/>
  <c r="A78" i="6"/>
  <c r="B78" i="6" s="1" a="1"/>
  <c r="B78" i="6" s="1"/>
  <c r="A77" i="6"/>
  <c r="C77" i="6" s="1" a="1"/>
  <c r="C77" i="6" s="1"/>
  <c r="A76" i="6"/>
  <c r="B76" i="6" s="1" a="1"/>
  <c r="B76" i="6" s="1"/>
  <c r="A75" i="6"/>
  <c r="C75" i="6" s="1" a="1"/>
  <c r="C75" i="6" s="1"/>
  <c r="A74" i="6"/>
  <c r="B74" i="6" s="1" a="1"/>
  <c r="B74" i="6" s="1"/>
  <c r="A73" i="6"/>
  <c r="C73" i="6" s="1" a="1"/>
  <c r="C73" i="6" s="1"/>
  <c r="A72" i="6"/>
  <c r="A71" i="6"/>
  <c r="B71" i="6" s="1" a="1"/>
  <c r="B71" i="6" s="1"/>
  <c r="A70" i="6"/>
  <c r="B70" i="6" s="1" a="1"/>
  <c r="B70" i="6" s="1"/>
  <c r="A69" i="6"/>
  <c r="C69" i="6" s="1" a="1"/>
  <c r="C69" i="6" s="1"/>
  <c r="A68" i="6"/>
  <c r="B68" i="6" s="1" a="1"/>
  <c r="B68" i="6" s="1"/>
  <c r="A67" i="6"/>
  <c r="A66" i="6"/>
  <c r="B66" i="6" s="1" a="1"/>
  <c r="B66" i="6" s="1"/>
  <c r="A65" i="6"/>
  <c r="C65" i="6" s="1" a="1"/>
  <c r="C65" i="6" s="1"/>
  <c r="A64" i="6"/>
  <c r="A63" i="6"/>
  <c r="C63" i="6" s="1" a="1"/>
  <c r="C63" i="6" s="1"/>
  <c r="A62" i="6"/>
  <c r="B62" i="6" s="1" a="1"/>
  <c r="B62" i="6" s="1"/>
  <c r="A61" i="6"/>
  <c r="C61" i="6" s="1" a="1"/>
  <c r="C61" i="6" s="1"/>
  <c r="A60" i="6"/>
  <c r="B60" i="6" s="1" a="1"/>
  <c r="B60" i="6" s="1"/>
  <c r="A59" i="6"/>
  <c r="C59" i="6" s="1" a="1"/>
  <c r="C59" i="6" s="1"/>
  <c r="A58" i="6"/>
  <c r="B58" i="6" s="1" a="1"/>
  <c r="B58" i="6" s="1"/>
  <c r="A57" i="6"/>
  <c r="B57" i="6" s="1" a="1"/>
  <c r="B57" i="6" s="1"/>
  <c r="A56" i="6"/>
  <c r="B56" i="6" s="1" a="1"/>
  <c r="B56" i="6" s="1"/>
  <c r="A55" i="6"/>
  <c r="C55" i="6" s="1" a="1"/>
  <c r="C55" i="6" s="1"/>
  <c r="A54" i="6"/>
  <c r="A53" i="6"/>
  <c r="B53" i="6" s="1" a="1"/>
  <c r="B53" i="6" s="1"/>
  <c r="A52" i="6"/>
  <c r="B52" i="6" s="1" a="1"/>
  <c r="B52" i="6" s="1"/>
  <c r="A51" i="6"/>
  <c r="C51" i="6" s="1" a="1"/>
  <c r="C51" i="6" s="1"/>
  <c r="A50" i="6"/>
  <c r="C50" i="6" s="1" a="1"/>
  <c r="C50" i="6" s="1"/>
  <c r="A49" i="6"/>
  <c r="B49" i="6" s="1" a="1"/>
  <c r="B49" i="6" s="1"/>
  <c r="A48" i="6"/>
  <c r="B48" i="6" s="1" a="1"/>
  <c r="B48" i="6" s="1"/>
  <c r="A47" i="6"/>
  <c r="C47" i="6" s="1" a="1"/>
  <c r="C47" i="6" s="1"/>
  <c r="A46" i="6"/>
  <c r="A45" i="6"/>
  <c r="B45" i="6" s="1" a="1"/>
  <c r="B45" i="6" s="1"/>
  <c r="A44" i="6"/>
  <c r="B44" i="6" s="1" a="1"/>
  <c r="B44" i="6" s="1"/>
  <c r="A43" i="6"/>
  <c r="C43" i="6" s="1" a="1"/>
  <c r="C43" i="6" s="1"/>
  <c r="A42" i="6"/>
  <c r="C42" i="6" s="1" a="1"/>
  <c r="C42" i="6" s="1"/>
  <c r="A41" i="6"/>
  <c r="B41" i="6" s="1" a="1"/>
  <c r="B41" i="6" s="1"/>
  <c r="A40" i="6"/>
  <c r="B40" i="6" s="1" a="1"/>
  <c r="B40" i="6" s="1"/>
  <c r="A39" i="6"/>
  <c r="C39" i="6" s="1" a="1"/>
  <c r="C39" i="6" s="1"/>
  <c r="A38" i="6"/>
  <c r="B38" i="6" s="1" a="1"/>
  <c r="B38" i="6" s="1"/>
  <c r="A37" i="6"/>
  <c r="B37" i="6" s="1" a="1"/>
  <c r="B37" i="6" s="1"/>
  <c r="A36" i="6"/>
  <c r="B36" i="6" s="1" a="1"/>
  <c r="B36" i="6" s="1"/>
  <c r="A35" i="6"/>
  <c r="C35" i="6" s="1" a="1"/>
  <c r="C35" i="6" s="1"/>
  <c r="A34" i="6"/>
  <c r="C34" i="6" s="1" a="1"/>
  <c r="C34" i="6" s="1"/>
  <c r="A33" i="6"/>
  <c r="B33" i="6" s="1" a="1"/>
  <c r="B33" i="6" s="1"/>
  <c r="A32" i="6"/>
  <c r="B32" i="6" s="1" a="1"/>
  <c r="B32" i="6" s="1"/>
  <c r="A31" i="6"/>
  <c r="C31" i="6" s="1" a="1"/>
  <c r="C31" i="6" s="1"/>
  <c r="A30" i="6"/>
  <c r="A29" i="6"/>
  <c r="B29" i="6" s="1" a="1"/>
  <c r="B29" i="6" s="1"/>
  <c r="A28" i="6"/>
  <c r="B28" i="6" s="1" a="1"/>
  <c r="B28" i="6" s="1"/>
  <c r="A27" i="6"/>
  <c r="C27" i="6" s="1" a="1"/>
  <c r="C27" i="6" s="1"/>
  <c r="A26" i="6"/>
  <c r="C26" i="6" s="1" a="1"/>
  <c r="C26" i="6" s="1"/>
  <c r="A25" i="6"/>
  <c r="B25" i="6" s="1" a="1"/>
  <c r="B25" i="6" s="1"/>
  <c r="A24" i="6"/>
  <c r="B24" i="6" s="1" a="1"/>
  <c r="B24" i="6" s="1"/>
  <c r="A23" i="6"/>
  <c r="C23" i="6" s="1" a="1"/>
  <c r="C23" i="6" s="1"/>
  <c r="A22" i="6"/>
  <c r="A21" i="6"/>
  <c r="B21" i="6" s="1" a="1"/>
  <c r="B21" i="6" s="1"/>
  <c r="A20" i="6"/>
  <c r="B20" i="6" s="1" a="1"/>
  <c r="B20" i="6" s="1"/>
  <c r="A19" i="6"/>
  <c r="C19" i="6" s="1" a="1"/>
  <c r="C19" i="6" s="1"/>
  <c r="A18" i="6"/>
  <c r="C18" i="6" s="1" a="1"/>
  <c r="C18" i="6" s="1"/>
  <c r="A17" i="6"/>
  <c r="B17" i="6" s="1" a="1"/>
  <c r="B17" i="6" s="1"/>
  <c r="A16" i="6"/>
  <c r="B16" i="6" s="1" a="1"/>
  <c r="B16" i="6" s="1"/>
  <c r="A15" i="6"/>
  <c r="C15" i="6" s="1" a="1"/>
  <c r="C15" i="6" s="1"/>
  <c r="A14" i="6"/>
  <c r="A13" i="6"/>
  <c r="B13" i="6" s="1" a="1"/>
  <c r="B13" i="6" s="1"/>
  <c r="A12" i="6"/>
  <c r="B12" i="6" s="1" a="1"/>
  <c r="B12" i="6" s="1"/>
  <c r="A11" i="6"/>
  <c r="C11" i="6" s="1" a="1"/>
  <c r="C11" i="6" s="1"/>
  <c r="A10" i="6"/>
  <c r="C10" i="6" s="1" a="1"/>
  <c r="C10" i="6" s="1"/>
  <c r="A9" i="6"/>
  <c r="B9" i="6" s="1" a="1"/>
  <c r="B9" i="6" s="1"/>
  <c r="A8" i="6"/>
  <c r="B8" i="6" s="1" a="1"/>
  <c r="B8" i="6" s="1"/>
  <c r="A7" i="6"/>
  <c r="C7" i="6" s="1" a="1"/>
  <c r="C7" i="6" s="1"/>
  <c r="A6" i="6"/>
  <c r="A5" i="6"/>
  <c r="B5" i="6" s="1" a="1"/>
  <c r="B5" i="6" s="1"/>
  <c r="A4" i="6"/>
  <c r="B4" i="6" s="1" a="1"/>
  <c r="B4" i="6" s="1"/>
  <c r="A3" i="6"/>
  <c r="C3" i="6" s="1" a="1"/>
  <c r="C3" i="6" s="1"/>
  <c r="A2" i="6"/>
  <c r="C2" i="6" s="1" a="1"/>
  <c r="C2" i="6" s="1"/>
  <c r="I170" i="5" a="1"/>
  <c r="I170" i="5" s="1"/>
  <c r="P169" i="5"/>
  <c r="O169" i="5"/>
  <c r="K169" i="5"/>
  <c r="J169" i="5"/>
  <c r="U197" i="4"/>
  <c r="K197" i="4"/>
  <c r="V194" i="4"/>
  <c r="L194" i="4"/>
  <c r="V193" i="4"/>
  <c r="L193" i="4"/>
  <c r="V192" i="4"/>
  <c r="L192" i="4"/>
  <c r="V191" i="4"/>
  <c r="U191" i="4"/>
  <c r="L191" i="4"/>
  <c r="K191" i="4"/>
  <c r="V190" i="4"/>
  <c r="U190" i="4"/>
  <c r="L190" i="4"/>
  <c r="K190" i="4"/>
  <c r="V189" i="4"/>
  <c r="U189" i="4"/>
  <c r="L189" i="4"/>
  <c r="K189" i="4"/>
  <c r="V185" i="4"/>
  <c r="L185" i="4"/>
  <c r="V184" i="4"/>
  <c r="L184" i="4"/>
  <c r="V183" i="4"/>
  <c r="L183" i="4"/>
  <c r="V182" i="4"/>
  <c r="U182" i="4"/>
  <c r="L182" i="4"/>
  <c r="K182" i="4"/>
  <c r="V181" i="4"/>
  <c r="U181" i="4"/>
  <c r="L181" i="4"/>
  <c r="K181" i="4"/>
  <c r="V180" i="4"/>
  <c r="U180" i="4"/>
  <c r="L180" i="4"/>
  <c r="K180" i="4"/>
  <c r="V176" i="4"/>
  <c r="L176" i="4"/>
  <c r="V175" i="4"/>
  <c r="L175" i="4"/>
  <c r="V174" i="4"/>
  <c r="L174" i="4"/>
  <c r="V173" i="4"/>
  <c r="U173" i="4"/>
  <c r="L173" i="4"/>
  <c r="K173" i="4"/>
  <c r="V172" i="4"/>
  <c r="U172" i="4"/>
  <c r="L172" i="4"/>
  <c r="K172" i="4"/>
  <c r="V171" i="4"/>
  <c r="U171" i="4"/>
  <c r="L171" i="4"/>
  <c r="K171" i="4"/>
  <c r="T170" i="4" a="1"/>
  <c r="T170" i="4"/>
  <c r="J170" i="4" a="1"/>
  <c r="J170" i="4"/>
  <c r="V169" i="4"/>
  <c r="U169" i="4"/>
  <c r="L169" i="4"/>
  <c r="K169" i="4"/>
  <c r="G169" i="4"/>
  <c r="F169" i="4"/>
  <c r="E170" i="4" s="1" a="1"/>
  <c r="E170" i="4" s="1"/>
  <c r="K165" i="4"/>
  <c r="J165" i="4"/>
  <c r="E164" i="4" a="1"/>
  <c r="D164" i="4" a="1"/>
  <c r="C164" i="4" a="1"/>
  <c r="B164" i="4" a="1"/>
  <c r="A164" i="4"/>
  <c r="D164" i="4" s="1"/>
  <c r="E163" i="4" a="1"/>
  <c r="D163" i="4" a="1"/>
  <c r="C163" i="4" a="1"/>
  <c r="B163" i="4" a="1"/>
  <c r="A163" i="4"/>
  <c r="D163" i="4" s="1"/>
  <c r="E162" i="4" a="1"/>
  <c r="D162" i="4" a="1"/>
  <c r="C162" i="4" a="1"/>
  <c r="B162" i="4" a="1"/>
  <c r="A162" i="4"/>
  <c r="E162" i="4" s="1"/>
  <c r="E161" i="4" a="1"/>
  <c r="D161" i="4" a="1"/>
  <c r="C161" i="4" a="1"/>
  <c r="B161" i="4" a="1"/>
  <c r="A161" i="4"/>
  <c r="E161" i="4" s="1"/>
  <c r="E160" i="4" a="1"/>
  <c r="D160" i="4" a="1"/>
  <c r="C160" i="4" a="1"/>
  <c r="B160" i="4" a="1"/>
  <c r="A160" i="4"/>
  <c r="E160" i="4" s="1"/>
  <c r="E159" i="4" a="1"/>
  <c r="D159" i="4" a="1"/>
  <c r="C159" i="4" a="1"/>
  <c r="B159" i="4" a="1"/>
  <c r="A159" i="4"/>
  <c r="D159" i="4" s="1"/>
  <c r="E158" i="4" a="1"/>
  <c r="D158" i="4" a="1"/>
  <c r="C158" i="4" a="1"/>
  <c r="B158" i="4" a="1"/>
  <c r="A158" i="4"/>
  <c r="E157" i="4" a="1"/>
  <c r="D157" i="4" a="1"/>
  <c r="C157" i="4" a="1"/>
  <c r="B157" i="4" a="1"/>
  <c r="A157" i="4"/>
  <c r="E156" i="4" a="1"/>
  <c r="D156" i="4" a="1"/>
  <c r="C156" i="4" a="1"/>
  <c r="B156" i="4" a="1"/>
  <c r="A156" i="4"/>
  <c r="B156" i="4" s="1"/>
  <c r="E155" i="4" a="1"/>
  <c r="D155" i="4" a="1"/>
  <c r="C155" i="4" a="1"/>
  <c r="B155" i="4" a="1"/>
  <c r="A155" i="4"/>
  <c r="D155" i="4" s="1"/>
  <c r="E154" i="4" a="1"/>
  <c r="D154" i="4" a="1"/>
  <c r="C154" i="4" a="1"/>
  <c r="B154" i="4" a="1"/>
  <c r="A154" i="4"/>
  <c r="E154" i="4" s="1"/>
  <c r="E153" i="4" a="1"/>
  <c r="D153" i="4" a="1"/>
  <c r="C153" i="4" a="1"/>
  <c r="B153" i="4" a="1"/>
  <c r="A153" i="4"/>
  <c r="E152" i="4" a="1"/>
  <c r="D152" i="4" a="1"/>
  <c r="C152" i="4" a="1"/>
  <c r="B152" i="4" a="1"/>
  <c r="A152" i="4"/>
  <c r="D152" i="4" s="1"/>
  <c r="E151" i="4" a="1"/>
  <c r="D151" i="4" a="1"/>
  <c r="C151" i="4" a="1"/>
  <c r="B151" i="4" a="1"/>
  <c r="A151" i="4"/>
  <c r="D151" i="4" s="1"/>
  <c r="E150" i="4" a="1"/>
  <c r="D150" i="4" a="1"/>
  <c r="C150" i="4" a="1"/>
  <c r="B150" i="4" a="1"/>
  <c r="A150" i="4"/>
  <c r="E150" i="4" s="1"/>
  <c r="E149" i="4" a="1"/>
  <c r="D149" i="4" a="1"/>
  <c r="C149" i="4" a="1"/>
  <c r="B149" i="4" a="1"/>
  <c r="A149" i="4"/>
  <c r="D149" i="4" s="1"/>
  <c r="E148" i="4" a="1"/>
  <c r="D148" i="4" a="1"/>
  <c r="C148" i="4" a="1"/>
  <c r="B148" i="4" a="1"/>
  <c r="A148" i="4"/>
  <c r="B148" i="4" s="1"/>
  <c r="E147" i="4" a="1"/>
  <c r="D147" i="4" a="1"/>
  <c r="C147" i="4" a="1"/>
  <c r="B147" i="4" a="1"/>
  <c r="A147" i="4"/>
  <c r="D147" i="4" s="1"/>
  <c r="E146" i="4" a="1"/>
  <c r="D146" i="4" a="1"/>
  <c r="C146" i="4" a="1"/>
  <c r="B146" i="4" a="1"/>
  <c r="A146" i="4"/>
  <c r="E146" i="4" s="1"/>
  <c r="E145" i="4" a="1"/>
  <c r="D145" i="4" a="1"/>
  <c r="C145" i="4" a="1"/>
  <c r="B145" i="4" a="1"/>
  <c r="A145" i="4"/>
  <c r="E144" i="4" a="1"/>
  <c r="D144" i="4" a="1"/>
  <c r="C144" i="4" a="1"/>
  <c r="B144" i="4" a="1"/>
  <c r="A144" i="4"/>
  <c r="D144" i="4" s="1"/>
  <c r="E143" i="4" a="1"/>
  <c r="D143" i="4" a="1"/>
  <c r="C143" i="4" a="1"/>
  <c r="B143" i="4" a="1"/>
  <c r="A143" i="4"/>
  <c r="D143" i="4" s="1"/>
  <c r="E142" i="4" a="1"/>
  <c r="D142" i="4" a="1"/>
  <c r="C142" i="4" a="1"/>
  <c r="B142" i="4" a="1"/>
  <c r="A142" i="4"/>
  <c r="D142" i="4" s="1"/>
  <c r="E141" i="4" a="1"/>
  <c r="D141" i="4" a="1"/>
  <c r="C141" i="4" a="1"/>
  <c r="B141" i="4" a="1"/>
  <c r="A141" i="4"/>
  <c r="D141" i="4" s="1"/>
  <c r="E140" i="4" a="1"/>
  <c r="D140" i="4" a="1"/>
  <c r="C140" i="4" a="1"/>
  <c r="B140" i="4" a="1"/>
  <c r="A140" i="4"/>
  <c r="B140" i="4" s="1"/>
  <c r="E139" i="4" a="1"/>
  <c r="D139" i="4" a="1"/>
  <c r="C139" i="4" a="1"/>
  <c r="B139" i="4" a="1"/>
  <c r="A139" i="4"/>
  <c r="E138" i="4" a="1"/>
  <c r="D138" i="4" a="1"/>
  <c r="C138" i="4" a="1"/>
  <c r="B138" i="4" a="1"/>
  <c r="A138" i="4"/>
  <c r="E137" i="4" a="1"/>
  <c r="D137" i="4" a="1"/>
  <c r="C137" i="4" a="1"/>
  <c r="B137" i="4" a="1"/>
  <c r="A137" i="4"/>
  <c r="E137" i="4" s="1"/>
  <c r="E136" i="4" a="1"/>
  <c r="D136" i="4" a="1"/>
  <c r="C136" i="4" a="1"/>
  <c r="B136" i="4" a="1"/>
  <c r="A136" i="4"/>
  <c r="B136" i="4" s="1"/>
  <c r="E135" i="4" a="1"/>
  <c r="D135" i="4" a="1"/>
  <c r="C135" i="4" a="1"/>
  <c r="B135" i="4" a="1"/>
  <c r="A135" i="4"/>
  <c r="E134" i="4" a="1"/>
  <c r="D134" i="4" a="1"/>
  <c r="C134" i="4" a="1"/>
  <c r="B134" i="4" a="1"/>
  <c r="A134" i="4"/>
  <c r="E134" i="4" s="1"/>
  <c r="E133" i="4" a="1"/>
  <c r="D133" i="4" a="1"/>
  <c r="C133" i="4" a="1"/>
  <c r="B133" i="4" a="1"/>
  <c r="A133" i="4"/>
  <c r="D133" i="4" s="1"/>
  <c r="E132" i="4" a="1"/>
  <c r="D132" i="4" a="1"/>
  <c r="C132" i="4" a="1"/>
  <c r="B132" i="4" a="1"/>
  <c r="A132" i="4"/>
  <c r="C132" i="4" s="1"/>
  <c r="E131" i="4" a="1"/>
  <c r="D131" i="4" a="1"/>
  <c r="C131" i="4" a="1"/>
  <c r="B131" i="4" a="1"/>
  <c r="A131" i="4"/>
  <c r="E130" i="4" a="1"/>
  <c r="D130" i="4" a="1"/>
  <c r="C130" i="4" a="1"/>
  <c r="B130" i="4" a="1"/>
  <c r="A130" i="4"/>
  <c r="E129" i="4" a="1"/>
  <c r="D129" i="4" a="1"/>
  <c r="C129" i="4" a="1"/>
  <c r="B129" i="4" a="1"/>
  <c r="A129" i="4"/>
  <c r="E129" i="4" s="1"/>
  <c r="E128" i="4" a="1"/>
  <c r="D128" i="4" a="1"/>
  <c r="C128" i="4" a="1"/>
  <c r="B128" i="4" a="1"/>
  <c r="A128" i="4"/>
  <c r="C128" i="4" s="1"/>
  <c r="E127" i="4" a="1"/>
  <c r="D127" i="4" a="1"/>
  <c r="C127" i="4" a="1"/>
  <c r="B127" i="4" a="1"/>
  <c r="A127" i="4"/>
  <c r="E126" i="4" a="1"/>
  <c r="D126" i="4" a="1"/>
  <c r="C126" i="4" a="1"/>
  <c r="B126" i="4" a="1"/>
  <c r="A126" i="4"/>
  <c r="E125" i="4" a="1"/>
  <c r="D125" i="4" a="1"/>
  <c r="C125" i="4" a="1"/>
  <c r="B125" i="4" a="1"/>
  <c r="A125" i="4"/>
  <c r="E125" i="4" s="1"/>
  <c r="E124" i="4" a="1"/>
  <c r="D124" i="4" a="1"/>
  <c r="C124" i="4" a="1"/>
  <c r="B124" i="4" a="1"/>
  <c r="A124" i="4"/>
  <c r="E123" i="4" a="1"/>
  <c r="D123" i="4" a="1"/>
  <c r="C123" i="4" a="1"/>
  <c r="B123" i="4" a="1"/>
  <c r="A123" i="4"/>
  <c r="E122" i="4" a="1"/>
  <c r="D122" i="4" a="1"/>
  <c r="C122" i="4" a="1"/>
  <c r="B122" i="4" a="1"/>
  <c r="A122" i="4"/>
  <c r="E121" i="4" a="1"/>
  <c r="D121" i="4" a="1"/>
  <c r="C121" i="4" a="1"/>
  <c r="B121" i="4" a="1"/>
  <c r="A121" i="4"/>
  <c r="E120" i="4" a="1"/>
  <c r="D120" i="4" a="1"/>
  <c r="C120" i="4" a="1"/>
  <c r="B120" i="4" a="1"/>
  <c r="A120" i="4"/>
  <c r="E119" i="4" a="1"/>
  <c r="D119" i="4" a="1"/>
  <c r="C119" i="4" a="1"/>
  <c r="B119" i="4" a="1"/>
  <c r="A119" i="4"/>
  <c r="E118" i="4" a="1"/>
  <c r="D118" i="4" a="1"/>
  <c r="C118" i="4" a="1"/>
  <c r="B118" i="4" a="1"/>
  <c r="A118" i="4"/>
  <c r="E118" i="4" s="1"/>
  <c r="E117" i="4" a="1"/>
  <c r="D117" i="4" a="1"/>
  <c r="C117" i="4" a="1"/>
  <c r="B117" i="4" a="1"/>
  <c r="A117" i="4"/>
  <c r="D117" i="4" s="1"/>
  <c r="E116" i="4" a="1"/>
  <c r="D116" i="4" a="1"/>
  <c r="C116" i="4" a="1"/>
  <c r="B116" i="4" a="1"/>
  <c r="A116" i="4"/>
  <c r="D116" i="4" s="1"/>
  <c r="E115" i="4" a="1"/>
  <c r="D115" i="4" a="1"/>
  <c r="C115" i="4" a="1"/>
  <c r="B115" i="4" a="1"/>
  <c r="A115" i="4"/>
  <c r="E114" i="4" a="1"/>
  <c r="D114" i="4" a="1"/>
  <c r="C114" i="4" a="1"/>
  <c r="B114" i="4" a="1"/>
  <c r="A114" i="4"/>
  <c r="E114" i="4" s="1"/>
  <c r="E113" i="4" a="1"/>
  <c r="D113" i="4" a="1"/>
  <c r="C113" i="4" a="1"/>
  <c r="B113" i="4" a="1"/>
  <c r="A113" i="4"/>
  <c r="D113" i="4" s="1"/>
  <c r="E112" i="4" a="1"/>
  <c r="D112" i="4" a="1"/>
  <c r="C112" i="4" a="1"/>
  <c r="B112" i="4" a="1"/>
  <c r="A112" i="4"/>
  <c r="E111" i="4" a="1"/>
  <c r="D111" i="4" a="1"/>
  <c r="C111" i="4" a="1"/>
  <c r="B111" i="4" a="1"/>
  <c r="A111" i="4"/>
  <c r="C111" i="4" s="1"/>
  <c r="E110" i="4" a="1"/>
  <c r="D110" i="4" a="1"/>
  <c r="C110" i="4" a="1"/>
  <c r="B110" i="4" a="1"/>
  <c r="A110" i="4"/>
  <c r="B110" i="4" s="1"/>
  <c r="E109" i="4" a="1"/>
  <c r="D109" i="4" a="1"/>
  <c r="C109" i="4" a="1"/>
  <c r="B109" i="4" a="1"/>
  <c r="A109" i="4"/>
  <c r="E109" i="4" s="1"/>
  <c r="E108" i="4" a="1"/>
  <c r="D108" i="4" a="1"/>
  <c r="C108" i="4" a="1"/>
  <c r="B108" i="4" a="1"/>
  <c r="A108" i="4"/>
  <c r="E108" i="4" s="1"/>
  <c r="E107" i="4" a="1"/>
  <c r="D107" i="4" a="1"/>
  <c r="C107" i="4" a="1"/>
  <c r="B107" i="4" a="1"/>
  <c r="A107" i="4"/>
  <c r="E106" i="4" a="1"/>
  <c r="D106" i="4" a="1"/>
  <c r="C106" i="4" a="1"/>
  <c r="B106" i="4" a="1"/>
  <c r="A106" i="4"/>
  <c r="E105" i="4" a="1"/>
  <c r="D105" i="4" a="1"/>
  <c r="C105" i="4" a="1"/>
  <c r="B105" i="4" a="1"/>
  <c r="A105" i="4"/>
  <c r="D105" i="4" s="1"/>
  <c r="E104" i="4" a="1"/>
  <c r="D104" i="4" a="1"/>
  <c r="C104" i="4" a="1"/>
  <c r="B104" i="4" a="1"/>
  <c r="A104" i="4"/>
  <c r="D104" i="4" s="1"/>
  <c r="E103" i="4" a="1"/>
  <c r="D103" i="4" a="1"/>
  <c r="C103" i="4" a="1"/>
  <c r="B103" i="4" a="1"/>
  <c r="A103" i="4"/>
  <c r="E103" i="4" s="1"/>
  <c r="E102" i="4" a="1"/>
  <c r="D102" i="4" a="1"/>
  <c r="C102" i="4" a="1"/>
  <c r="B102" i="4" a="1"/>
  <c r="A102" i="4"/>
  <c r="B102" i="4" s="1"/>
  <c r="E101" i="4" a="1"/>
  <c r="D101" i="4" a="1"/>
  <c r="C101" i="4" a="1"/>
  <c r="B101" i="4" a="1"/>
  <c r="A101" i="4"/>
  <c r="D101" i="4" s="1"/>
  <c r="E100" i="4" a="1"/>
  <c r="D100" i="4" a="1"/>
  <c r="C100" i="4" a="1"/>
  <c r="B100" i="4" a="1"/>
  <c r="A100" i="4"/>
  <c r="E99" i="4" a="1"/>
  <c r="D99" i="4" a="1"/>
  <c r="C99" i="4" a="1"/>
  <c r="B99" i="4" a="1"/>
  <c r="A99" i="4"/>
  <c r="C99" i="4" s="1"/>
  <c r="E98" i="4" a="1"/>
  <c r="D98" i="4" a="1"/>
  <c r="C98" i="4" a="1"/>
  <c r="B98" i="4" a="1"/>
  <c r="A98" i="4"/>
  <c r="B98" i="4" s="1"/>
  <c r="E97" i="4" a="1"/>
  <c r="D97" i="4" a="1"/>
  <c r="C97" i="4" a="1"/>
  <c r="B97" i="4" a="1"/>
  <c r="A97" i="4"/>
  <c r="E97" i="4" s="1"/>
  <c r="E96" i="4" a="1"/>
  <c r="D96" i="4" a="1"/>
  <c r="C96" i="4" a="1"/>
  <c r="B96" i="4" a="1"/>
  <c r="A96" i="4"/>
  <c r="E95" i="4" a="1"/>
  <c r="D95" i="4" a="1"/>
  <c r="C95" i="4" a="1"/>
  <c r="B95" i="4" a="1"/>
  <c r="A95" i="4"/>
  <c r="C95" i="4" s="1"/>
  <c r="E94" i="4" a="1"/>
  <c r="D94" i="4" a="1"/>
  <c r="C94" i="4" a="1"/>
  <c r="B94" i="4" a="1"/>
  <c r="A94" i="4"/>
  <c r="E93" i="4" a="1"/>
  <c r="D93" i="4" a="1"/>
  <c r="C93" i="4" a="1"/>
  <c r="B93" i="4" a="1"/>
  <c r="A93" i="4"/>
  <c r="D93" i="4" s="1"/>
  <c r="E92" i="4" a="1"/>
  <c r="D92" i="4" a="1"/>
  <c r="C92" i="4" a="1"/>
  <c r="B92" i="4" a="1"/>
  <c r="A92" i="4"/>
  <c r="B92" i="4" s="1"/>
  <c r="E91" i="4" a="1"/>
  <c r="D91" i="4" a="1"/>
  <c r="C91" i="4" a="1"/>
  <c r="B91" i="4" a="1"/>
  <c r="A91" i="4"/>
  <c r="C91" i="4" s="1"/>
  <c r="E90" i="4" a="1"/>
  <c r="D90" i="4" a="1"/>
  <c r="C90" i="4" a="1"/>
  <c r="B90" i="4" a="1"/>
  <c r="A90" i="4"/>
  <c r="B90" i="4" s="1"/>
  <c r="E89" i="4" a="1"/>
  <c r="D89" i="4" a="1"/>
  <c r="C89" i="4" a="1"/>
  <c r="B89" i="4" a="1"/>
  <c r="A89" i="4"/>
  <c r="E89" i="4" s="1"/>
  <c r="E88" i="4" a="1"/>
  <c r="D88" i="4" a="1"/>
  <c r="C88" i="4" a="1"/>
  <c r="B88" i="4" a="1"/>
  <c r="A88" i="4"/>
  <c r="D88" i="4" s="1"/>
  <c r="E87" i="4" a="1"/>
  <c r="D87" i="4" a="1"/>
  <c r="C87" i="4" a="1"/>
  <c r="B87" i="4" a="1"/>
  <c r="A87" i="4"/>
  <c r="E86" i="4" a="1"/>
  <c r="D86" i="4" a="1"/>
  <c r="C86" i="4" a="1"/>
  <c r="B86" i="4" a="1"/>
  <c r="A86" i="4"/>
  <c r="E85" i="4" a="1"/>
  <c r="D85" i="4" a="1"/>
  <c r="C85" i="4" a="1"/>
  <c r="B85" i="4" a="1"/>
  <c r="A85" i="4"/>
  <c r="D85" i="4" s="1"/>
  <c r="E84" i="4" a="1"/>
  <c r="D84" i="4" a="1"/>
  <c r="C84" i="4" a="1"/>
  <c r="B84" i="4" a="1"/>
  <c r="A84" i="4"/>
  <c r="D84" i="4" s="1"/>
  <c r="E83" i="4" a="1"/>
  <c r="D83" i="4" a="1"/>
  <c r="C83" i="4" a="1"/>
  <c r="B83" i="4" a="1"/>
  <c r="A83" i="4"/>
  <c r="E82" i="4" a="1"/>
  <c r="D82" i="4" a="1"/>
  <c r="C82" i="4" a="1"/>
  <c r="B82" i="4" a="1"/>
  <c r="A82" i="4"/>
  <c r="E82" i="4" s="1"/>
  <c r="E81" i="4" a="1"/>
  <c r="D81" i="4" a="1"/>
  <c r="C81" i="4" a="1"/>
  <c r="B81" i="4" a="1"/>
  <c r="A81" i="4"/>
  <c r="E81" i="4" s="1"/>
  <c r="E80" i="4" a="1"/>
  <c r="D80" i="4" a="1"/>
  <c r="C80" i="4" a="1"/>
  <c r="B80" i="4" a="1"/>
  <c r="A80" i="4"/>
  <c r="E80" i="4" s="1"/>
  <c r="E79" i="4" a="1"/>
  <c r="D79" i="4" a="1"/>
  <c r="C79" i="4" a="1"/>
  <c r="B79" i="4" a="1"/>
  <c r="A79" i="4"/>
  <c r="E79" i="4" s="1"/>
  <c r="E78" i="4" a="1"/>
  <c r="D78" i="4" a="1"/>
  <c r="C78" i="4" a="1"/>
  <c r="B78" i="4" a="1"/>
  <c r="A78" i="4"/>
  <c r="E77" i="4" a="1"/>
  <c r="D77" i="4" a="1"/>
  <c r="C77" i="4" a="1"/>
  <c r="B77" i="4" a="1"/>
  <c r="A77" i="4"/>
  <c r="D77" i="4" s="1"/>
  <c r="E76" i="4" a="1"/>
  <c r="D76" i="4" a="1"/>
  <c r="C76" i="4" a="1"/>
  <c r="B76" i="4" a="1"/>
  <c r="A76" i="4"/>
  <c r="D76" i="4" s="1"/>
  <c r="E75" i="4" a="1"/>
  <c r="D75" i="4" a="1"/>
  <c r="C75" i="4" a="1"/>
  <c r="B75" i="4" a="1"/>
  <c r="A75" i="4"/>
  <c r="E74" i="4" a="1"/>
  <c r="D74" i="4" a="1"/>
  <c r="C74" i="4" a="1"/>
  <c r="B74" i="4" a="1"/>
  <c r="A74" i="4"/>
  <c r="E73" i="4" a="1"/>
  <c r="D73" i="4" a="1"/>
  <c r="C73" i="4" a="1"/>
  <c r="B73" i="4" a="1"/>
  <c r="A73" i="4"/>
  <c r="D73" i="4" s="1"/>
  <c r="E72" i="4" a="1"/>
  <c r="D72" i="4" a="1"/>
  <c r="C72" i="4" a="1"/>
  <c r="B72" i="4" a="1"/>
  <c r="A72" i="4"/>
  <c r="B72" i="4" s="1"/>
  <c r="E71" i="4" a="1"/>
  <c r="D71" i="4" a="1"/>
  <c r="C71" i="4" a="1"/>
  <c r="B71" i="4" a="1"/>
  <c r="A71" i="4"/>
  <c r="E71" i="4" s="1"/>
  <c r="E70" i="4" a="1"/>
  <c r="D70" i="4" a="1"/>
  <c r="C70" i="4" a="1"/>
  <c r="B70" i="4" a="1"/>
  <c r="A70" i="4"/>
  <c r="C70" i="4" s="1"/>
  <c r="E69" i="4" a="1"/>
  <c r="D69" i="4" a="1"/>
  <c r="C69" i="4" a="1"/>
  <c r="B69" i="4" a="1"/>
  <c r="A69" i="4"/>
  <c r="D69" i="4" s="1"/>
  <c r="E68" i="4" a="1"/>
  <c r="D68" i="4" a="1"/>
  <c r="C68" i="4" a="1"/>
  <c r="B68" i="4" a="1"/>
  <c r="A68" i="4"/>
  <c r="B68" i="4" s="1"/>
  <c r="E67" i="4" a="1"/>
  <c r="D67" i="4" a="1"/>
  <c r="C67" i="4" a="1"/>
  <c r="B67" i="4" a="1"/>
  <c r="A67" i="4"/>
  <c r="E66" i="4" a="1"/>
  <c r="D66" i="4" a="1"/>
  <c r="C66" i="4" a="1"/>
  <c r="B66" i="4" a="1"/>
  <c r="A66" i="4"/>
  <c r="C66" i="4" s="1"/>
  <c r="E65" i="4" a="1"/>
  <c r="D65" i="4" a="1"/>
  <c r="C65" i="4" a="1"/>
  <c r="B65" i="4" a="1"/>
  <c r="A65" i="4"/>
  <c r="D65" i="4" s="1"/>
  <c r="E64" i="4" a="1"/>
  <c r="D64" i="4" a="1"/>
  <c r="C64" i="4" a="1"/>
  <c r="B64" i="4" a="1"/>
  <c r="A64" i="4"/>
  <c r="B64" i="4" s="1"/>
  <c r="E63" i="4" a="1"/>
  <c r="D63" i="4" a="1"/>
  <c r="C63" i="4" a="1"/>
  <c r="B63" i="4" a="1"/>
  <c r="A63" i="4"/>
  <c r="E63" i="4" s="1"/>
  <c r="E62" i="4" a="1"/>
  <c r="D62" i="4" a="1"/>
  <c r="C62" i="4" a="1"/>
  <c r="B62" i="4" a="1"/>
  <c r="A62" i="4"/>
  <c r="C62" i="4" s="1"/>
  <c r="E61" i="4" a="1"/>
  <c r="D61" i="4" a="1"/>
  <c r="C61" i="4" a="1"/>
  <c r="B61" i="4" a="1"/>
  <c r="A61" i="4"/>
  <c r="D61" i="4" s="1"/>
  <c r="E60" i="4" a="1"/>
  <c r="D60" i="4" a="1"/>
  <c r="C60" i="4" a="1"/>
  <c r="B60" i="4" a="1"/>
  <c r="A60" i="4"/>
  <c r="B60" i="4" s="1"/>
  <c r="E59" i="4" a="1"/>
  <c r="D59" i="4" a="1"/>
  <c r="C59" i="4" a="1"/>
  <c r="B59" i="4" a="1"/>
  <c r="A59" i="4"/>
  <c r="E58" i="4" a="1"/>
  <c r="D58" i="4" a="1"/>
  <c r="C58" i="4" a="1"/>
  <c r="B58" i="4" a="1"/>
  <c r="A58" i="4"/>
  <c r="C58" i="4" s="1"/>
  <c r="E57" i="4" a="1"/>
  <c r="D57" i="4" a="1"/>
  <c r="C57" i="4" a="1"/>
  <c r="B57" i="4" a="1"/>
  <c r="A57" i="4"/>
  <c r="D57" i="4" s="1"/>
  <c r="E56" i="4" a="1"/>
  <c r="D56" i="4" a="1"/>
  <c r="C56" i="4" a="1"/>
  <c r="B56" i="4" a="1"/>
  <c r="A56" i="4"/>
  <c r="B56" i="4" s="1"/>
  <c r="E55" i="4" a="1"/>
  <c r="D55" i="4" a="1"/>
  <c r="C55" i="4" a="1"/>
  <c r="B55" i="4" a="1"/>
  <c r="A55" i="4"/>
  <c r="E54" i="4" a="1"/>
  <c r="D54" i="4" a="1"/>
  <c r="C54" i="4" a="1"/>
  <c r="B54" i="4" a="1"/>
  <c r="A54" i="4"/>
  <c r="C54" i="4" s="1"/>
  <c r="E53" i="4" a="1"/>
  <c r="D53" i="4" a="1"/>
  <c r="C53" i="4" a="1"/>
  <c r="B53" i="4" a="1"/>
  <c r="A53" i="4"/>
  <c r="D53" i="4" s="1"/>
  <c r="E52" i="4" a="1"/>
  <c r="D52" i="4" a="1"/>
  <c r="C52" i="4" a="1"/>
  <c r="B52" i="4" a="1"/>
  <c r="A52" i="4"/>
  <c r="B52" i="4" s="1"/>
  <c r="E51" i="4" a="1"/>
  <c r="D51" i="4" a="1"/>
  <c r="C51" i="4" a="1"/>
  <c r="B51" i="4" a="1"/>
  <c r="A51" i="4"/>
  <c r="E50" i="4" a="1"/>
  <c r="D50" i="4" a="1"/>
  <c r="C50" i="4" a="1"/>
  <c r="B50" i="4" a="1"/>
  <c r="A50" i="4"/>
  <c r="C50" i="4" s="1"/>
  <c r="E49" i="4" a="1"/>
  <c r="D49" i="4" a="1"/>
  <c r="C49" i="4" a="1"/>
  <c r="B49" i="4" a="1"/>
  <c r="A49" i="4"/>
  <c r="D49" i="4" s="1"/>
  <c r="E48" i="4" a="1"/>
  <c r="D48" i="4" a="1"/>
  <c r="C48" i="4" a="1"/>
  <c r="B48" i="4" a="1"/>
  <c r="A48" i="4"/>
  <c r="B48" i="4" s="1"/>
  <c r="E47" i="4" a="1"/>
  <c r="D47" i="4" a="1"/>
  <c r="C47" i="4" a="1"/>
  <c r="B47" i="4" a="1"/>
  <c r="A47" i="4"/>
  <c r="E46" i="4" a="1"/>
  <c r="D46" i="4" a="1"/>
  <c r="C46" i="4" a="1"/>
  <c r="B46" i="4" a="1"/>
  <c r="A46" i="4"/>
  <c r="C46" i="4" s="1"/>
  <c r="E45" i="4" a="1"/>
  <c r="D45" i="4" a="1"/>
  <c r="C45" i="4" a="1"/>
  <c r="B45" i="4" a="1"/>
  <c r="A45" i="4"/>
  <c r="D45" i="4" s="1"/>
  <c r="E44" i="4" a="1"/>
  <c r="D44" i="4" a="1"/>
  <c r="C44" i="4" a="1"/>
  <c r="B44" i="4" a="1"/>
  <c r="A44" i="4"/>
  <c r="B44" i="4" s="1"/>
  <c r="E43" i="4" a="1"/>
  <c r="D43" i="4" a="1"/>
  <c r="C43" i="4" a="1"/>
  <c r="B43" i="4" a="1"/>
  <c r="A43" i="4"/>
  <c r="E43" i="4" s="1"/>
  <c r="E42" i="4" a="1"/>
  <c r="D42" i="4" a="1"/>
  <c r="C42" i="4" a="1"/>
  <c r="B42" i="4" a="1"/>
  <c r="A42" i="4"/>
  <c r="C42" i="4" s="1"/>
  <c r="E41" i="4" a="1"/>
  <c r="D41" i="4" a="1"/>
  <c r="C41" i="4" a="1"/>
  <c r="B41" i="4" a="1"/>
  <c r="A41" i="4"/>
  <c r="D41" i="4" s="1"/>
  <c r="E40" i="4" a="1"/>
  <c r="D40" i="4" a="1"/>
  <c r="C40" i="4" a="1"/>
  <c r="B40" i="4" a="1"/>
  <c r="A40" i="4"/>
  <c r="C40" i="4" s="1"/>
  <c r="E39" i="4" a="1"/>
  <c r="D39" i="4" a="1"/>
  <c r="C39" i="4" a="1"/>
  <c r="B39" i="4" a="1"/>
  <c r="A39" i="4"/>
  <c r="D39" i="4" s="1"/>
  <c r="E38" i="4" a="1"/>
  <c r="D38" i="4" a="1"/>
  <c r="C38" i="4" a="1"/>
  <c r="B38" i="4" a="1"/>
  <c r="A38" i="4"/>
  <c r="D38" i="4" s="1"/>
  <c r="E37" i="4" a="1"/>
  <c r="D37" i="4" a="1"/>
  <c r="C37" i="4" a="1"/>
  <c r="B37" i="4" a="1"/>
  <c r="A37" i="4"/>
  <c r="D37" i="4" s="1"/>
  <c r="E36" i="4" a="1"/>
  <c r="D36" i="4" a="1"/>
  <c r="C36" i="4" a="1"/>
  <c r="B36" i="4" a="1"/>
  <c r="A36" i="4"/>
  <c r="E35" i="4" a="1"/>
  <c r="D35" i="4" a="1"/>
  <c r="C35" i="4" a="1"/>
  <c r="B35" i="4" a="1"/>
  <c r="A35" i="4"/>
  <c r="D35" i="4" s="1"/>
  <c r="E34" i="4" a="1"/>
  <c r="D34" i="4" a="1"/>
  <c r="C34" i="4" a="1"/>
  <c r="B34" i="4" a="1"/>
  <c r="A34" i="4"/>
  <c r="E33" i="4" a="1"/>
  <c r="D33" i="4" a="1"/>
  <c r="C33" i="4" a="1"/>
  <c r="B33" i="4" a="1"/>
  <c r="A33" i="4"/>
  <c r="E32" i="4" a="1"/>
  <c r="D32" i="4" a="1"/>
  <c r="C32" i="4" a="1"/>
  <c r="B32" i="4" a="1"/>
  <c r="A32" i="4"/>
  <c r="E32" i="4" s="1"/>
  <c r="E31" i="4" a="1"/>
  <c r="D31" i="4" a="1"/>
  <c r="C31" i="4" a="1"/>
  <c r="B31" i="4" a="1"/>
  <c r="A31" i="4"/>
  <c r="E30" i="4" a="1"/>
  <c r="D30" i="4" a="1"/>
  <c r="C30" i="4" a="1"/>
  <c r="B30" i="4" a="1"/>
  <c r="A30" i="4"/>
  <c r="D30" i="4" s="1"/>
  <c r="E29" i="4" a="1"/>
  <c r="D29" i="4" a="1"/>
  <c r="C29" i="4" a="1"/>
  <c r="B29" i="4" a="1"/>
  <c r="A29" i="4"/>
  <c r="E28" i="4" a="1"/>
  <c r="D28" i="4" a="1"/>
  <c r="C28" i="4" a="1"/>
  <c r="B28" i="4" a="1"/>
  <c r="A28" i="4"/>
  <c r="C28" i="4" s="1"/>
  <c r="E27" i="4" a="1"/>
  <c r="D27" i="4" a="1"/>
  <c r="C27" i="4" a="1"/>
  <c r="B27" i="4" a="1"/>
  <c r="A27" i="4"/>
  <c r="D27" i="4" s="1"/>
  <c r="E26" i="4" a="1"/>
  <c r="D26" i="4" a="1"/>
  <c r="C26" i="4" a="1"/>
  <c r="B26" i="4" a="1"/>
  <c r="A26" i="4"/>
  <c r="D26" i="4" s="1"/>
  <c r="E25" i="4" a="1"/>
  <c r="D25" i="4" a="1"/>
  <c r="C25" i="4" a="1"/>
  <c r="B25" i="4" a="1"/>
  <c r="A25" i="4"/>
  <c r="E24" i="4" a="1"/>
  <c r="D24" i="4" a="1"/>
  <c r="C24" i="4" a="1"/>
  <c r="B24" i="4" a="1"/>
  <c r="A24" i="4"/>
  <c r="E24" i="4" s="1"/>
  <c r="E23" i="4" a="1"/>
  <c r="D23" i="4" a="1"/>
  <c r="C23" i="4" a="1"/>
  <c r="B23" i="4" a="1"/>
  <c r="A23" i="4"/>
  <c r="E22" i="4" a="1"/>
  <c r="D22" i="4" a="1"/>
  <c r="C22" i="4" a="1"/>
  <c r="B22" i="4" a="1"/>
  <c r="A22" i="4"/>
  <c r="E21" i="4" a="1"/>
  <c r="D21" i="4" a="1"/>
  <c r="C21" i="4" a="1"/>
  <c r="B21" i="4" a="1"/>
  <c r="A21" i="4"/>
  <c r="E20" i="4" a="1"/>
  <c r="D20" i="4" a="1"/>
  <c r="C20" i="4" a="1"/>
  <c r="B20" i="4" a="1"/>
  <c r="A20" i="4"/>
  <c r="D20" i="4" s="1"/>
  <c r="E19" i="4" a="1"/>
  <c r="D19" i="4" a="1"/>
  <c r="C19" i="4" a="1"/>
  <c r="B19" i="4" a="1"/>
  <c r="A19" i="4"/>
  <c r="D19" i="4" s="1"/>
  <c r="E18" i="4" a="1"/>
  <c r="D18" i="4" a="1"/>
  <c r="C18" i="4" a="1"/>
  <c r="B18" i="4" a="1"/>
  <c r="A18" i="4"/>
  <c r="C18" i="4" s="1"/>
  <c r="E17" i="4" a="1"/>
  <c r="D17" i="4" a="1"/>
  <c r="C17" i="4" a="1"/>
  <c r="B17" i="4" a="1"/>
  <c r="A17" i="4"/>
  <c r="B17" i="4" s="1"/>
  <c r="E16" i="4" a="1"/>
  <c r="D16" i="4" a="1"/>
  <c r="C16" i="4" a="1"/>
  <c r="B16" i="4" a="1"/>
  <c r="A16" i="4"/>
  <c r="D16" i="4" s="1"/>
  <c r="E15" i="4" a="1"/>
  <c r="D15" i="4" a="1"/>
  <c r="C15" i="4" a="1"/>
  <c r="B15" i="4" a="1"/>
  <c r="A15" i="4"/>
  <c r="D15" i="4" s="1"/>
  <c r="E14" i="4" a="1"/>
  <c r="D14" i="4" a="1"/>
  <c r="C14" i="4" a="1"/>
  <c r="B14" i="4" a="1"/>
  <c r="A14" i="4"/>
  <c r="C14" i="4" s="1"/>
  <c r="E13" i="4" a="1"/>
  <c r="D13" i="4" a="1"/>
  <c r="C13" i="4" a="1"/>
  <c r="B13" i="4" a="1"/>
  <c r="A13" i="4"/>
  <c r="B13" i="4" s="1"/>
  <c r="E12" i="4" a="1"/>
  <c r="D12" i="4" a="1"/>
  <c r="C12" i="4" a="1"/>
  <c r="B12" i="4" a="1"/>
  <c r="A12" i="4"/>
  <c r="E12" i="4" s="1"/>
  <c r="E11" i="4" a="1"/>
  <c r="D11" i="4" a="1"/>
  <c r="C11" i="4" a="1"/>
  <c r="B11" i="4" a="1"/>
  <c r="A11" i="4"/>
  <c r="C11" i="4" s="1"/>
  <c r="E10" i="4" a="1"/>
  <c r="D10" i="4" a="1"/>
  <c r="C10" i="4" a="1"/>
  <c r="B10" i="4" a="1"/>
  <c r="A10" i="4"/>
  <c r="C10" i="4" s="1"/>
  <c r="E9" i="4" a="1"/>
  <c r="D9" i="4" a="1"/>
  <c r="C9" i="4" a="1"/>
  <c r="B9" i="4" a="1"/>
  <c r="A9" i="4"/>
  <c r="B9" i="4" s="1"/>
  <c r="E8" i="4" a="1"/>
  <c r="D8" i="4" a="1"/>
  <c r="C8" i="4" a="1"/>
  <c r="B8" i="4" a="1"/>
  <c r="A8" i="4"/>
  <c r="E8" i="4" s="1"/>
  <c r="E7" i="4" a="1"/>
  <c r="D7" i="4" a="1"/>
  <c r="C7" i="4" a="1"/>
  <c r="B7" i="4" a="1"/>
  <c r="A7" i="4"/>
  <c r="D7" i="4" s="1"/>
  <c r="E6" i="4" a="1"/>
  <c r="D6" i="4" a="1"/>
  <c r="C6" i="4" a="1"/>
  <c r="B6" i="4" a="1"/>
  <c r="A6" i="4"/>
  <c r="E6" i="4" s="1"/>
  <c r="P5" i="4"/>
  <c r="E5" i="4" a="1"/>
  <c r="D5" i="4" a="1"/>
  <c r="C5" i="4" a="1"/>
  <c r="B5" i="4" a="1"/>
  <c r="A5" i="4"/>
  <c r="Q4" i="4"/>
  <c r="P4" i="4"/>
  <c r="E4" i="4" a="1"/>
  <c r="D4" i="4" a="1"/>
  <c r="C4" i="4" a="1"/>
  <c r="B4" i="4" a="1"/>
  <c r="A4" i="4"/>
  <c r="B4" i="4" s="1"/>
  <c r="Q3" i="4"/>
  <c r="P3" i="4"/>
  <c r="E3" i="4" a="1"/>
  <c r="D3" i="4" a="1"/>
  <c r="C3" i="4" a="1"/>
  <c r="B3" i="4" a="1"/>
  <c r="A3" i="4"/>
  <c r="C3" i="4" s="1"/>
  <c r="Q2" i="4"/>
  <c r="P2" i="4"/>
  <c r="E2" i="4" a="1"/>
  <c r="D2" i="4" a="1"/>
  <c r="C2" i="4" a="1"/>
  <c r="B2" i="4" a="1"/>
  <c r="A2" i="4"/>
  <c r="D2" i="4" s="1"/>
  <c r="U197" i="2"/>
  <c r="P197" i="2"/>
  <c r="K197" i="2"/>
  <c r="V194" i="2"/>
  <c r="Q194" i="2"/>
  <c r="L194" i="2"/>
  <c r="V193" i="2"/>
  <c r="Q193" i="2"/>
  <c r="L193" i="2"/>
  <c r="V192" i="2"/>
  <c r="Q192" i="2"/>
  <c r="L192" i="2"/>
  <c r="V191" i="2"/>
  <c r="U191" i="2"/>
  <c r="Q191" i="2"/>
  <c r="P191" i="2"/>
  <c r="L191" i="2"/>
  <c r="K191" i="2"/>
  <c r="V190" i="2"/>
  <c r="U190" i="2"/>
  <c r="Q190" i="2"/>
  <c r="P190" i="2"/>
  <c r="L190" i="2"/>
  <c r="K190" i="2"/>
  <c r="V189" i="2"/>
  <c r="U189" i="2"/>
  <c r="Q189" i="2"/>
  <c r="P189" i="2"/>
  <c r="L189" i="2"/>
  <c r="K189" i="2"/>
  <c r="V185" i="2"/>
  <c r="Q185" i="2"/>
  <c r="L185" i="2"/>
  <c r="V184" i="2"/>
  <c r="Q184" i="2"/>
  <c r="L184" i="2"/>
  <c r="V183" i="2"/>
  <c r="Q183" i="2"/>
  <c r="L183" i="2"/>
  <c r="V182" i="2"/>
  <c r="U182" i="2"/>
  <c r="Q182" i="2"/>
  <c r="P182" i="2"/>
  <c r="L182" i="2"/>
  <c r="K182" i="2"/>
  <c r="V181" i="2"/>
  <c r="U181" i="2"/>
  <c r="Q181" i="2"/>
  <c r="P181" i="2"/>
  <c r="L181" i="2"/>
  <c r="K181" i="2"/>
  <c r="V180" i="2"/>
  <c r="U180" i="2"/>
  <c r="Q180" i="2"/>
  <c r="P180" i="2"/>
  <c r="L180" i="2"/>
  <c r="K180" i="2"/>
  <c r="V176" i="2"/>
  <c r="Q176" i="2"/>
  <c r="L176" i="2"/>
  <c r="V175" i="2"/>
  <c r="Q175" i="2"/>
  <c r="L175" i="2"/>
  <c r="V174" i="2"/>
  <c r="Q174" i="2"/>
  <c r="L174" i="2"/>
  <c r="V173" i="2"/>
  <c r="U173" i="2"/>
  <c r="Q173" i="2"/>
  <c r="P173" i="2"/>
  <c r="L173" i="2"/>
  <c r="K173" i="2"/>
  <c r="V172" i="2"/>
  <c r="U172" i="2"/>
  <c r="Q172" i="2"/>
  <c r="P172" i="2"/>
  <c r="L172" i="2"/>
  <c r="K172" i="2"/>
  <c r="V171" i="2"/>
  <c r="U171" i="2"/>
  <c r="Q171" i="2"/>
  <c r="P171" i="2"/>
  <c r="L171" i="2"/>
  <c r="K171" i="2"/>
  <c r="T170" i="2" a="1"/>
  <c r="T170" i="2"/>
  <c r="O170" i="2" a="1"/>
  <c r="O170" i="2"/>
  <c r="J170" i="2" a="1"/>
  <c r="J170" i="2"/>
  <c r="V169" i="2"/>
  <c r="U169" i="2"/>
  <c r="Q169" i="2"/>
  <c r="P169" i="2"/>
  <c r="L169" i="2"/>
  <c r="K169" i="2"/>
  <c r="G169" i="2"/>
  <c r="F169" i="2"/>
  <c r="L165" i="2"/>
  <c r="K165" i="2"/>
  <c r="J165" i="2"/>
  <c r="F164" i="2" a="1"/>
  <c r="E164" i="2" a="1"/>
  <c r="D164" i="2" a="1"/>
  <c r="C164" i="2" a="1"/>
  <c r="B164" i="2" a="1"/>
  <c r="A164" i="2"/>
  <c r="F163" i="2" a="1"/>
  <c r="E163" i="2" a="1"/>
  <c r="D163" i="2" a="1"/>
  <c r="C163" i="2" a="1"/>
  <c r="B163" i="2" a="1"/>
  <c r="A163" i="2"/>
  <c r="F163" i="2" s="1"/>
  <c r="F162" i="2" a="1"/>
  <c r="E162" i="2" a="1"/>
  <c r="D162" i="2" a="1"/>
  <c r="C162" i="2" a="1"/>
  <c r="B162" i="2" a="1"/>
  <c r="A162" i="2"/>
  <c r="C162" i="2" s="1"/>
  <c r="F161" i="2" a="1"/>
  <c r="E161" i="2" a="1"/>
  <c r="D161" i="2" a="1"/>
  <c r="C161" i="2" a="1"/>
  <c r="B161" i="2" a="1"/>
  <c r="A161" i="2"/>
  <c r="F161" i="2" s="1"/>
  <c r="F160" i="2" a="1"/>
  <c r="E160" i="2" a="1"/>
  <c r="D160" i="2" a="1"/>
  <c r="C160" i="2" a="1"/>
  <c r="B160" i="2" a="1"/>
  <c r="A160" i="2"/>
  <c r="F160" i="2" s="1"/>
  <c r="F159" i="2" a="1"/>
  <c r="E159" i="2" a="1"/>
  <c r="D159" i="2" a="1"/>
  <c r="C159" i="2" a="1"/>
  <c r="B159" i="2" a="1"/>
  <c r="A159" i="2"/>
  <c r="F158" i="2" a="1"/>
  <c r="E158" i="2" a="1"/>
  <c r="D158" i="2" a="1"/>
  <c r="C158" i="2" a="1"/>
  <c r="B158" i="2" a="1"/>
  <c r="A158" i="2"/>
  <c r="E158" i="2" s="1"/>
  <c r="F157" i="2" a="1"/>
  <c r="E157" i="2" a="1"/>
  <c r="D157" i="2" a="1"/>
  <c r="C157" i="2" a="1"/>
  <c r="B157" i="2" a="1"/>
  <c r="A157" i="2"/>
  <c r="F156" i="2" a="1"/>
  <c r="E156" i="2" a="1"/>
  <c r="D156" i="2" a="1"/>
  <c r="C156" i="2" a="1"/>
  <c r="B156" i="2" a="1"/>
  <c r="A156" i="2"/>
  <c r="F156" i="2" s="1"/>
  <c r="F155" i="2" a="1"/>
  <c r="E155" i="2" a="1"/>
  <c r="D155" i="2" a="1"/>
  <c r="C155" i="2" a="1"/>
  <c r="B155" i="2" a="1"/>
  <c r="A155" i="2"/>
  <c r="F155" i="2" s="1"/>
  <c r="F154" i="2" a="1"/>
  <c r="E154" i="2" a="1"/>
  <c r="D154" i="2" a="1"/>
  <c r="C154" i="2" a="1"/>
  <c r="B154" i="2" a="1"/>
  <c r="A154" i="2"/>
  <c r="E154" i="2" s="1"/>
  <c r="F153" i="2" a="1"/>
  <c r="E153" i="2" a="1"/>
  <c r="D153" i="2" a="1"/>
  <c r="C153" i="2" a="1"/>
  <c r="B153" i="2" a="1"/>
  <c r="A153" i="2"/>
  <c r="F153" i="2" s="1"/>
  <c r="F152" i="2" a="1"/>
  <c r="E152" i="2" a="1"/>
  <c r="D152" i="2" a="1"/>
  <c r="C152" i="2" a="1"/>
  <c r="B152" i="2" a="1"/>
  <c r="A152" i="2"/>
  <c r="F152" i="2" s="1"/>
  <c r="F151" i="2" a="1"/>
  <c r="E151" i="2" a="1"/>
  <c r="D151" i="2" a="1"/>
  <c r="C151" i="2" a="1"/>
  <c r="B151" i="2" a="1"/>
  <c r="A151" i="2"/>
  <c r="C151" i="2" s="1"/>
  <c r="F150" i="2" a="1"/>
  <c r="E150" i="2" a="1"/>
  <c r="D150" i="2" a="1"/>
  <c r="C150" i="2" a="1"/>
  <c r="B150" i="2" a="1"/>
  <c r="A150" i="2"/>
  <c r="E150" i="2" s="1"/>
  <c r="F149" i="2" a="1"/>
  <c r="E149" i="2" a="1"/>
  <c r="D149" i="2" a="1"/>
  <c r="C149" i="2" a="1"/>
  <c r="B149" i="2" a="1"/>
  <c r="A149" i="2"/>
  <c r="F149" i="2" s="1"/>
  <c r="F148" i="2" a="1"/>
  <c r="E148" i="2" a="1"/>
  <c r="D148" i="2" a="1"/>
  <c r="C148" i="2" a="1"/>
  <c r="B148" i="2" a="1"/>
  <c r="A148" i="2"/>
  <c r="F148" i="2" s="1"/>
  <c r="F147" i="2" a="1"/>
  <c r="E147" i="2" a="1"/>
  <c r="D147" i="2" a="1"/>
  <c r="C147" i="2" a="1"/>
  <c r="B147" i="2" a="1"/>
  <c r="A147" i="2"/>
  <c r="F147" i="2" s="1"/>
  <c r="F146" i="2" a="1"/>
  <c r="E146" i="2" a="1"/>
  <c r="D146" i="2" a="1"/>
  <c r="C146" i="2" a="1"/>
  <c r="B146" i="2" a="1"/>
  <c r="A146" i="2"/>
  <c r="E146" i="2" s="1"/>
  <c r="F145" i="2" a="1"/>
  <c r="E145" i="2" a="1"/>
  <c r="D145" i="2" a="1"/>
  <c r="C145" i="2" a="1"/>
  <c r="B145" i="2" a="1"/>
  <c r="A145" i="2"/>
  <c r="F144" i="2" a="1"/>
  <c r="E144" i="2" a="1"/>
  <c r="D144" i="2" a="1"/>
  <c r="C144" i="2" a="1"/>
  <c r="B144" i="2" a="1"/>
  <c r="A144" i="2"/>
  <c r="F144" i="2" s="1"/>
  <c r="F143" i="2" a="1"/>
  <c r="E143" i="2" a="1"/>
  <c r="D143" i="2" a="1"/>
  <c r="C143" i="2" a="1"/>
  <c r="B143" i="2" a="1"/>
  <c r="A143" i="2"/>
  <c r="E143" i="2" s="1"/>
  <c r="F142" i="2" a="1"/>
  <c r="E142" i="2" a="1"/>
  <c r="D142" i="2" a="1"/>
  <c r="C142" i="2" a="1"/>
  <c r="B142" i="2" a="1"/>
  <c r="A142" i="2"/>
  <c r="E142" i="2" s="1"/>
  <c r="F141" i="2" a="1"/>
  <c r="E141" i="2" a="1"/>
  <c r="D141" i="2" a="1"/>
  <c r="C141" i="2" a="1"/>
  <c r="B141" i="2" a="1"/>
  <c r="A141" i="2"/>
  <c r="F140" i="2" a="1"/>
  <c r="E140" i="2" a="1"/>
  <c r="D140" i="2" a="1"/>
  <c r="C140" i="2" a="1"/>
  <c r="B140" i="2" a="1"/>
  <c r="A140" i="2"/>
  <c r="F140" i="2" s="1"/>
  <c r="F139" i="2" a="1"/>
  <c r="E139" i="2" a="1"/>
  <c r="D139" i="2" a="1"/>
  <c r="C139" i="2" a="1"/>
  <c r="B139" i="2" a="1"/>
  <c r="A139" i="2"/>
  <c r="B139" i="2" s="1"/>
  <c r="F138" i="2" a="1"/>
  <c r="E138" i="2" a="1"/>
  <c r="D138" i="2" a="1"/>
  <c r="C138" i="2" a="1"/>
  <c r="B138" i="2" a="1"/>
  <c r="A138" i="2"/>
  <c r="E138" i="2" s="1"/>
  <c r="F137" i="2" a="1"/>
  <c r="E137" i="2" a="1"/>
  <c r="D137" i="2" a="1"/>
  <c r="C137" i="2" a="1"/>
  <c r="B137" i="2" a="1"/>
  <c r="A137" i="2"/>
  <c r="F137" i="2" s="1"/>
  <c r="F136" i="2" a="1"/>
  <c r="E136" i="2" a="1"/>
  <c r="D136" i="2" a="1"/>
  <c r="C136" i="2" a="1"/>
  <c r="B136" i="2" a="1"/>
  <c r="A136" i="2"/>
  <c r="F136" i="2" s="1"/>
  <c r="F135" i="2" a="1"/>
  <c r="E135" i="2" a="1"/>
  <c r="D135" i="2" a="1"/>
  <c r="C135" i="2" a="1"/>
  <c r="B135" i="2" a="1"/>
  <c r="A135" i="2"/>
  <c r="F134" i="2" a="1"/>
  <c r="E134" i="2" a="1"/>
  <c r="D134" i="2" a="1"/>
  <c r="C134" i="2" a="1"/>
  <c r="B134" i="2" a="1"/>
  <c r="A134" i="2"/>
  <c r="E134" i="2" s="1"/>
  <c r="F133" i="2" a="1"/>
  <c r="E133" i="2" a="1"/>
  <c r="D133" i="2" a="1"/>
  <c r="C133" i="2" a="1"/>
  <c r="B133" i="2" a="1"/>
  <c r="A133" i="2"/>
  <c r="F132" i="2" a="1"/>
  <c r="E132" i="2" a="1"/>
  <c r="D132" i="2" a="1"/>
  <c r="C132" i="2" a="1"/>
  <c r="B132" i="2" a="1"/>
  <c r="A132" i="2"/>
  <c r="F132" i="2" s="1"/>
  <c r="F131" i="2" a="1"/>
  <c r="E131" i="2" a="1"/>
  <c r="D131" i="2" a="1"/>
  <c r="C131" i="2" a="1"/>
  <c r="B131" i="2" a="1"/>
  <c r="A131" i="2"/>
  <c r="F130" i="2" a="1"/>
  <c r="E130" i="2" a="1"/>
  <c r="D130" i="2" a="1"/>
  <c r="C130" i="2" a="1"/>
  <c r="B130" i="2" a="1"/>
  <c r="A130" i="2"/>
  <c r="E130" i="2" s="1"/>
  <c r="F129" i="2" a="1"/>
  <c r="E129" i="2" a="1"/>
  <c r="D129" i="2" a="1"/>
  <c r="C129" i="2" a="1"/>
  <c r="B129" i="2" a="1"/>
  <c r="A129" i="2"/>
  <c r="E129" i="2" s="1"/>
  <c r="F128" i="2" a="1"/>
  <c r="E128" i="2" a="1"/>
  <c r="D128" i="2" a="1"/>
  <c r="C128" i="2" a="1"/>
  <c r="B128" i="2" a="1"/>
  <c r="A128" i="2"/>
  <c r="F128" i="2" s="1"/>
  <c r="F127" i="2" a="1"/>
  <c r="E127" i="2" a="1"/>
  <c r="D127" i="2" a="1"/>
  <c r="C127" i="2" a="1"/>
  <c r="B127" i="2" a="1"/>
  <c r="A127" i="2"/>
  <c r="F126" i="2" a="1"/>
  <c r="E126" i="2" a="1"/>
  <c r="D126" i="2" a="1"/>
  <c r="C126" i="2" a="1"/>
  <c r="B126" i="2" a="1"/>
  <c r="A126" i="2"/>
  <c r="E126" i="2" s="1"/>
  <c r="F125" i="2" a="1"/>
  <c r="E125" i="2" a="1"/>
  <c r="D125" i="2" a="1"/>
  <c r="C125" i="2" a="1"/>
  <c r="B125" i="2" a="1"/>
  <c r="A125" i="2"/>
  <c r="F124" i="2" a="1"/>
  <c r="E124" i="2" a="1"/>
  <c r="D124" i="2" a="1"/>
  <c r="C124" i="2" a="1"/>
  <c r="B124" i="2" a="1"/>
  <c r="A124" i="2"/>
  <c r="F124" i="2" s="1"/>
  <c r="F123" i="2" a="1"/>
  <c r="E123" i="2" a="1"/>
  <c r="D123" i="2" a="1"/>
  <c r="C123" i="2" a="1"/>
  <c r="B123" i="2" a="1"/>
  <c r="A123" i="2"/>
  <c r="F123" i="2" s="1"/>
  <c r="F122" i="2" a="1"/>
  <c r="E122" i="2" a="1"/>
  <c r="D122" i="2" a="1"/>
  <c r="C122" i="2" a="1"/>
  <c r="B122" i="2" a="1"/>
  <c r="A122" i="2"/>
  <c r="E122" i="2" s="1"/>
  <c r="F121" i="2" a="1"/>
  <c r="E121" i="2" a="1"/>
  <c r="D121" i="2" a="1"/>
  <c r="C121" i="2" a="1"/>
  <c r="B121" i="2" a="1"/>
  <c r="A121" i="2"/>
  <c r="F121" i="2" s="1"/>
  <c r="F120" i="2" a="1"/>
  <c r="E120" i="2" a="1"/>
  <c r="D120" i="2" a="1"/>
  <c r="C120" i="2" a="1"/>
  <c r="B120" i="2" a="1"/>
  <c r="A120" i="2"/>
  <c r="F120" i="2" s="1"/>
  <c r="F119" i="2" a="1"/>
  <c r="E119" i="2" a="1"/>
  <c r="D119" i="2" a="1"/>
  <c r="C119" i="2" a="1"/>
  <c r="B119" i="2" a="1"/>
  <c r="A119" i="2"/>
  <c r="C119" i="2" s="1"/>
  <c r="F118" i="2" a="1"/>
  <c r="E118" i="2" a="1"/>
  <c r="D118" i="2" a="1"/>
  <c r="C118" i="2" a="1"/>
  <c r="B118" i="2" a="1"/>
  <c r="A118" i="2"/>
  <c r="E118" i="2" s="1"/>
  <c r="F117" i="2" a="1"/>
  <c r="E117" i="2" a="1"/>
  <c r="D117" i="2" a="1"/>
  <c r="C117" i="2" a="1"/>
  <c r="B117" i="2" a="1"/>
  <c r="A117" i="2"/>
  <c r="F117" i="2" s="1"/>
  <c r="F116" i="2" a="1"/>
  <c r="E116" i="2" a="1"/>
  <c r="D116" i="2" a="1"/>
  <c r="C116" i="2" a="1"/>
  <c r="B116" i="2" a="1"/>
  <c r="A116" i="2"/>
  <c r="F116" i="2" s="1"/>
  <c r="F115" i="2" a="1"/>
  <c r="E115" i="2" a="1"/>
  <c r="D115" i="2" a="1"/>
  <c r="C115" i="2" a="1"/>
  <c r="B115" i="2" a="1"/>
  <c r="A115" i="2"/>
  <c r="D115" i="2" s="1"/>
  <c r="F114" i="2" a="1"/>
  <c r="E114" i="2" a="1"/>
  <c r="D114" i="2" a="1"/>
  <c r="C114" i="2" a="1"/>
  <c r="B114" i="2" a="1"/>
  <c r="A114" i="2"/>
  <c r="E114" i="2" s="1"/>
  <c r="F113" i="2" a="1"/>
  <c r="E113" i="2" a="1"/>
  <c r="D113" i="2" a="1"/>
  <c r="C113" i="2" a="1"/>
  <c r="B113" i="2" a="1"/>
  <c r="A113" i="2"/>
  <c r="F112" i="2" a="1"/>
  <c r="E112" i="2" a="1"/>
  <c r="D112" i="2" a="1"/>
  <c r="C112" i="2" a="1"/>
  <c r="B112" i="2" a="1"/>
  <c r="A112" i="2"/>
  <c r="F112" i="2" s="1"/>
  <c r="F111" i="2" a="1"/>
  <c r="E111" i="2" a="1"/>
  <c r="D111" i="2" a="1"/>
  <c r="C111" i="2" a="1"/>
  <c r="B111" i="2" a="1"/>
  <c r="A111" i="2"/>
  <c r="E111" i="2" s="1"/>
  <c r="F110" i="2" a="1"/>
  <c r="E110" i="2" a="1"/>
  <c r="D110" i="2" a="1"/>
  <c r="C110" i="2" a="1"/>
  <c r="B110" i="2" a="1"/>
  <c r="A110" i="2"/>
  <c r="E110" i="2" s="1"/>
  <c r="F109" i="2" a="1"/>
  <c r="E109" i="2" a="1"/>
  <c r="D109" i="2" a="1"/>
  <c r="C109" i="2" a="1"/>
  <c r="B109" i="2" a="1"/>
  <c r="A109" i="2"/>
  <c r="F108" i="2" a="1"/>
  <c r="E108" i="2" a="1"/>
  <c r="D108" i="2" a="1"/>
  <c r="C108" i="2" a="1"/>
  <c r="B108" i="2" a="1"/>
  <c r="A108" i="2"/>
  <c r="F108" i="2" s="1"/>
  <c r="F107" i="2" a="1"/>
  <c r="E107" i="2" a="1"/>
  <c r="D107" i="2" a="1"/>
  <c r="C107" i="2" a="1"/>
  <c r="B107" i="2" a="1"/>
  <c r="A107" i="2"/>
  <c r="B107" i="2" s="1"/>
  <c r="F106" i="2" a="1"/>
  <c r="E106" i="2" a="1"/>
  <c r="D106" i="2" a="1"/>
  <c r="C106" i="2" a="1"/>
  <c r="B106" i="2" a="1"/>
  <c r="A106" i="2"/>
  <c r="E106" i="2" s="1"/>
  <c r="F105" i="2" a="1"/>
  <c r="E105" i="2" a="1"/>
  <c r="D105" i="2" a="1"/>
  <c r="C105" i="2" a="1"/>
  <c r="B105" i="2" a="1"/>
  <c r="A105" i="2"/>
  <c r="E105" i="2" s="1"/>
  <c r="F104" i="2" a="1"/>
  <c r="E104" i="2" a="1"/>
  <c r="D104" i="2" a="1"/>
  <c r="C104" i="2" a="1"/>
  <c r="B104" i="2" a="1"/>
  <c r="A104" i="2"/>
  <c r="F104" i="2" s="1"/>
  <c r="F103" i="2" a="1"/>
  <c r="E103" i="2" a="1"/>
  <c r="D103" i="2" a="1"/>
  <c r="C103" i="2" a="1"/>
  <c r="B103" i="2" a="1"/>
  <c r="A103" i="2"/>
  <c r="F102" i="2" a="1"/>
  <c r="E102" i="2" a="1"/>
  <c r="D102" i="2" a="1"/>
  <c r="C102" i="2" a="1"/>
  <c r="B102" i="2" a="1"/>
  <c r="A102" i="2"/>
  <c r="F101" i="2" a="1"/>
  <c r="E101" i="2" a="1"/>
  <c r="D101" i="2" a="1"/>
  <c r="C101" i="2" a="1"/>
  <c r="B101" i="2" a="1"/>
  <c r="A101" i="2"/>
  <c r="F100" i="2" a="1"/>
  <c r="E100" i="2" a="1"/>
  <c r="D100" i="2" a="1"/>
  <c r="C100" i="2" a="1"/>
  <c r="B100" i="2" a="1"/>
  <c r="A100" i="2"/>
  <c r="F99" i="2" a="1"/>
  <c r="E99" i="2" a="1"/>
  <c r="D99" i="2" a="1"/>
  <c r="C99" i="2" a="1"/>
  <c r="B99" i="2" a="1"/>
  <c r="A99" i="2"/>
  <c r="D99" i="2" s="1"/>
  <c r="F98" i="2" a="1"/>
  <c r="E98" i="2" a="1"/>
  <c r="D98" i="2" a="1"/>
  <c r="C98" i="2" a="1"/>
  <c r="B98" i="2" a="1"/>
  <c r="A98" i="2"/>
  <c r="F97" i="2" a="1"/>
  <c r="E97" i="2" a="1"/>
  <c r="D97" i="2" a="1"/>
  <c r="C97" i="2" a="1"/>
  <c r="B97" i="2" a="1"/>
  <c r="A97" i="2"/>
  <c r="F97" i="2" s="1"/>
  <c r="F96" i="2" a="1"/>
  <c r="E96" i="2" a="1"/>
  <c r="D96" i="2" a="1"/>
  <c r="C96" i="2" a="1"/>
  <c r="B96" i="2" a="1"/>
  <c r="A96" i="2"/>
  <c r="F95" i="2" a="1"/>
  <c r="E95" i="2" a="1"/>
  <c r="D95" i="2" a="1"/>
  <c r="C95" i="2" a="1"/>
  <c r="B95" i="2" a="1"/>
  <c r="A95" i="2"/>
  <c r="F94" i="2" a="1"/>
  <c r="E94" i="2" a="1"/>
  <c r="D94" i="2" a="1"/>
  <c r="C94" i="2" a="1"/>
  <c r="B94" i="2" a="1"/>
  <c r="A94" i="2"/>
  <c r="F93" i="2" a="1"/>
  <c r="E93" i="2" a="1"/>
  <c r="D93" i="2" a="1"/>
  <c r="C93" i="2" a="1"/>
  <c r="B93" i="2" a="1"/>
  <c r="A93" i="2"/>
  <c r="F92" i="2" a="1"/>
  <c r="E92" i="2" a="1"/>
  <c r="D92" i="2" a="1"/>
  <c r="C92" i="2" a="1"/>
  <c r="B92" i="2" a="1"/>
  <c r="A92" i="2"/>
  <c r="F91" i="2" a="1"/>
  <c r="E91" i="2" a="1"/>
  <c r="D91" i="2" a="1"/>
  <c r="C91" i="2" a="1"/>
  <c r="B91" i="2" a="1"/>
  <c r="A91" i="2"/>
  <c r="F91" i="2" s="1"/>
  <c r="F90" i="2" a="1"/>
  <c r="E90" i="2" a="1"/>
  <c r="D90" i="2" a="1"/>
  <c r="C90" i="2" a="1"/>
  <c r="B90" i="2" a="1"/>
  <c r="A90" i="2"/>
  <c r="F89" i="2" a="1"/>
  <c r="E89" i="2" a="1"/>
  <c r="D89" i="2" a="1"/>
  <c r="C89" i="2" a="1"/>
  <c r="B89" i="2" a="1"/>
  <c r="A89" i="2"/>
  <c r="F88" i="2" a="1"/>
  <c r="E88" i="2" a="1"/>
  <c r="D88" i="2" a="1"/>
  <c r="C88" i="2" a="1"/>
  <c r="B88" i="2" a="1"/>
  <c r="A88" i="2"/>
  <c r="F87" i="2" a="1"/>
  <c r="E87" i="2" a="1"/>
  <c r="D87" i="2" a="1"/>
  <c r="C87" i="2" a="1"/>
  <c r="B87" i="2" a="1"/>
  <c r="A87" i="2"/>
  <c r="C87" i="2" s="1"/>
  <c r="F86" i="2" a="1"/>
  <c r="E86" i="2" a="1"/>
  <c r="D86" i="2" a="1"/>
  <c r="C86" i="2" a="1"/>
  <c r="B86" i="2" a="1"/>
  <c r="A86" i="2"/>
  <c r="F85" i="2" a="1"/>
  <c r="E85" i="2" a="1"/>
  <c r="D85" i="2" a="1"/>
  <c r="C85" i="2" a="1"/>
  <c r="B85" i="2" a="1"/>
  <c r="A85" i="2"/>
  <c r="F85" i="2" s="1"/>
  <c r="F84" i="2" a="1"/>
  <c r="E84" i="2" a="1"/>
  <c r="D84" i="2" a="1"/>
  <c r="C84" i="2" a="1"/>
  <c r="B84" i="2" a="1"/>
  <c r="A84" i="2"/>
  <c r="F83" i="2" a="1"/>
  <c r="E83" i="2" a="1"/>
  <c r="D83" i="2" a="1"/>
  <c r="C83" i="2" a="1"/>
  <c r="B83" i="2" a="1"/>
  <c r="A83" i="2"/>
  <c r="F82" i="2" a="1"/>
  <c r="E82" i="2" a="1"/>
  <c r="D82" i="2" a="1"/>
  <c r="C82" i="2" a="1"/>
  <c r="B82" i="2" a="1"/>
  <c r="A82" i="2"/>
  <c r="F81" i="2" a="1"/>
  <c r="E81" i="2" a="1"/>
  <c r="D81" i="2" a="1"/>
  <c r="C81" i="2" a="1"/>
  <c r="B81" i="2" a="1"/>
  <c r="A81" i="2"/>
  <c r="E81" i="2" s="1"/>
  <c r="F80" i="2" a="1"/>
  <c r="E80" i="2" a="1"/>
  <c r="D80" i="2" a="1"/>
  <c r="C80" i="2" a="1"/>
  <c r="B80" i="2" a="1"/>
  <c r="A80" i="2"/>
  <c r="F79" i="2" a="1"/>
  <c r="E79" i="2" a="1"/>
  <c r="D79" i="2" a="1"/>
  <c r="C79" i="2" a="1"/>
  <c r="B79" i="2" a="1"/>
  <c r="A79" i="2"/>
  <c r="C79" i="2" s="1"/>
  <c r="F78" i="2" a="1"/>
  <c r="E78" i="2" a="1"/>
  <c r="D78" i="2" a="1"/>
  <c r="C78" i="2" a="1"/>
  <c r="B78" i="2" a="1"/>
  <c r="A78" i="2"/>
  <c r="F77" i="2" a="1"/>
  <c r="E77" i="2" a="1"/>
  <c r="D77" i="2" a="1"/>
  <c r="C77" i="2" a="1"/>
  <c r="B77" i="2" a="1"/>
  <c r="A77" i="2"/>
  <c r="F77" i="2" s="1"/>
  <c r="F76" i="2" a="1"/>
  <c r="E76" i="2" a="1"/>
  <c r="D76" i="2" a="1"/>
  <c r="C76" i="2" a="1"/>
  <c r="B76" i="2" a="1"/>
  <c r="A76" i="2"/>
  <c r="F75" i="2" a="1"/>
  <c r="E75" i="2" a="1"/>
  <c r="D75" i="2" a="1"/>
  <c r="C75" i="2" a="1"/>
  <c r="B75" i="2" a="1"/>
  <c r="A75" i="2"/>
  <c r="F75" i="2" s="1"/>
  <c r="F74" i="2" a="1"/>
  <c r="E74" i="2" a="1"/>
  <c r="D74" i="2" a="1"/>
  <c r="C74" i="2" a="1"/>
  <c r="B74" i="2" a="1"/>
  <c r="A74" i="2"/>
  <c r="F73" i="2" a="1"/>
  <c r="E73" i="2" a="1"/>
  <c r="D73" i="2" a="1"/>
  <c r="C73" i="2" a="1"/>
  <c r="B73" i="2" a="1"/>
  <c r="A73" i="2"/>
  <c r="F72" i="2" a="1"/>
  <c r="E72" i="2" a="1"/>
  <c r="D72" i="2" a="1"/>
  <c r="C72" i="2" a="1"/>
  <c r="B72" i="2" a="1"/>
  <c r="A72" i="2"/>
  <c r="F71" i="2" a="1"/>
  <c r="E71" i="2" a="1"/>
  <c r="D71" i="2" a="1"/>
  <c r="C71" i="2" a="1"/>
  <c r="B71" i="2" a="1"/>
  <c r="A71" i="2"/>
  <c r="F70" i="2" a="1"/>
  <c r="E70" i="2" a="1"/>
  <c r="D70" i="2" a="1"/>
  <c r="C70" i="2" a="1"/>
  <c r="B70" i="2" a="1"/>
  <c r="A70" i="2"/>
  <c r="F69" i="2" a="1"/>
  <c r="E69" i="2" a="1"/>
  <c r="D69" i="2" a="1"/>
  <c r="C69" i="2" a="1"/>
  <c r="B69" i="2" a="1"/>
  <c r="A69" i="2"/>
  <c r="E69" i="2" s="1"/>
  <c r="F68" i="2" a="1"/>
  <c r="E68" i="2" a="1"/>
  <c r="D68" i="2" a="1"/>
  <c r="C68" i="2" a="1"/>
  <c r="B68" i="2" a="1"/>
  <c r="A68" i="2"/>
  <c r="F67" i="2" a="1"/>
  <c r="E67" i="2" a="1"/>
  <c r="D67" i="2" a="1"/>
  <c r="C67" i="2" a="1"/>
  <c r="B67" i="2" a="1"/>
  <c r="A67" i="2"/>
  <c r="D67" i="2" s="1"/>
  <c r="F66" i="2" a="1"/>
  <c r="E66" i="2" a="1"/>
  <c r="D66" i="2" a="1"/>
  <c r="C66" i="2" a="1"/>
  <c r="B66" i="2" a="1"/>
  <c r="A66" i="2"/>
  <c r="F65" i="2" a="1"/>
  <c r="E65" i="2" a="1"/>
  <c r="D65" i="2" a="1"/>
  <c r="C65" i="2" a="1"/>
  <c r="B65" i="2" a="1"/>
  <c r="A65" i="2"/>
  <c r="E65" i="2" s="1"/>
  <c r="F64" i="2" a="1"/>
  <c r="E64" i="2" a="1"/>
  <c r="D64" i="2" a="1"/>
  <c r="C64" i="2" a="1"/>
  <c r="B64" i="2" a="1"/>
  <c r="A64" i="2"/>
  <c r="F63" i="2" a="1"/>
  <c r="E63" i="2" a="1"/>
  <c r="D63" i="2" a="1"/>
  <c r="C63" i="2" a="1"/>
  <c r="B63" i="2" a="1"/>
  <c r="A63" i="2"/>
  <c r="F62" i="2" a="1"/>
  <c r="E62" i="2" a="1"/>
  <c r="D62" i="2" a="1"/>
  <c r="C62" i="2" a="1"/>
  <c r="B62" i="2" a="1"/>
  <c r="A62" i="2"/>
  <c r="F61" i="2" a="1"/>
  <c r="E61" i="2" a="1"/>
  <c r="D61" i="2" a="1"/>
  <c r="C61" i="2" a="1"/>
  <c r="B61" i="2" a="1"/>
  <c r="A61" i="2"/>
  <c r="F60" i="2" a="1"/>
  <c r="E60" i="2" a="1"/>
  <c r="D60" i="2" a="1"/>
  <c r="C60" i="2" a="1"/>
  <c r="B60" i="2" a="1"/>
  <c r="A60" i="2"/>
  <c r="F59" i="2" a="1"/>
  <c r="E59" i="2" a="1"/>
  <c r="D59" i="2" a="1"/>
  <c r="C59" i="2" a="1"/>
  <c r="B59" i="2" a="1"/>
  <c r="A59" i="2"/>
  <c r="F59" i="2" s="1"/>
  <c r="F58" i="2" a="1"/>
  <c r="E58" i="2" a="1"/>
  <c r="D58" i="2" a="1"/>
  <c r="C58" i="2" a="1"/>
  <c r="B58" i="2" a="1"/>
  <c r="A58" i="2"/>
  <c r="F57" i="2" a="1"/>
  <c r="E57" i="2" a="1"/>
  <c r="D57" i="2" a="1"/>
  <c r="C57" i="2" a="1"/>
  <c r="B57" i="2" a="1"/>
  <c r="A57" i="2"/>
  <c r="E57" i="2" s="1"/>
  <c r="F56" i="2" a="1"/>
  <c r="E56" i="2" a="1"/>
  <c r="D56" i="2" a="1"/>
  <c r="C56" i="2" a="1"/>
  <c r="B56" i="2" a="1"/>
  <c r="A56" i="2"/>
  <c r="F55" i="2" a="1"/>
  <c r="E55" i="2" a="1"/>
  <c r="D55" i="2" a="1"/>
  <c r="C55" i="2" a="1"/>
  <c r="B55" i="2" a="1"/>
  <c r="A55" i="2"/>
  <c r="C55" i="2" s="1"/>
  <c r="F54" i="2" a="1"/>
  <c r="E54" i="2" a="1"/>
  <c r="D54" i="2" a="1"/>
  <c r="C54" i="2" a="1"/>
  <c r="B54" i="2" a="1"/>
  <c r="A54" i="2"/>
  <c r="F53" i="2" a="1"/>
  <c r="E53" i="2" a="1"/>
  <c r="D53" i="2" a="1"/>
  <c r="C53" i="2" a="1"/>
  <c r="B53" i="2" a="1"/>
  <c r="A53" i="2"/>
  <c r="D53" i="2" s="1"/>
  <c r="F52" i="2" a="1"/>
  <c r="E52" i="2" a="1"/>
  <c r="D52" i="2" a="1"/>
  <c r="C52" i="2" a="1"/>
  <c r="B52" i="2" a="1"/>
  <c r="A52" i="2"/>
  <c r="F51" i="2" a="1"/>
  <c r="E51" i="2" a="1"/>
  <c r="D51" i="2" a="1"/>
  <c r="C51" i="2" a="1"/>
  <c r="B51" i="2" a="1"/>
  <c r="A51" i="2"/>
  <c r="F51" i="2" s="1"/>
  <c r="F50" i="2" a="1"/>
  <c r="E50" i="2" a="1"/>
  <c r="D50" i="2" a="1"/>
  <c r="C50" i="2" a="1"/>
  <c r="B50" i="2" a="1"/>
  <c r="A50" i="2"/>
  <c r="F49" i="2" a="1"/>
  <c r="E49" i="2" a="1"/>
  <c r="D49" i="2" a="1"/>
  <c r="C49" i="2" a="1"/>
  <c r="B49" i="2" a="1"/>
  <c r="A49" i="2"/>
  <c r="F49" i="2" s="1"/>
  <c r="F48" i="2" a="1"/>
  <c r="E48" i="2" a="1"/>
  <c r="D48" i="2" a="1"/>
  <c r="C48" i="2" a="1"/>
  <c r="B48" i="2" a="1"/>
  <c r="A48" i="2"/>
  <c r="F47" i="2" a="1"/>
  <c r="E47" i="2" a="1"/>
  <c r="D47" i="2" a="1"/>
  <c r="C47" i="2" a="1"/>
  <c r="B47" i="2" a="1"/>
  <c r="A47" i="2"/>
  <c r="C47" i="2" s="1"/>
  <c r="F46" i="2" a="1"/>
  <c r="E46" i="2" a="1"/>
  <c r="D46" i="2" a="1"/>
  <c r="C46" i="2" a="1"/>
  <c r="B46" i="2" a="1"/>
  <c r="A46" i="2"/>
  <c r="F45" i="2" a="1"/>
  <c r="E45" i="2" a="1"/>
  <c r="D45" i="2" a="1"/>
  <c r="C45" i="2" a="1"/>
  <c r="B45" i="2" a="1"/>
  <c r="A45" i="2"/>
  <c r="F45" i="2" s="1"/>
  <c r="F44" i="2" a="1"/>
  <c r="E44" i="2" a="1"/>
  <c r="D44" i="2" a="1"/>
  <c r="C44" i="2" a="1"/>
  <c r="B44" i="2" a="1"/>
  <c r="A44" i="2"/>
  <c r="F43" i="2" a="1"/>
  <c r="E43" i="2" a="1"/>
  <c r="D43" i="2" a="1"/>
  <c r="C43" i="2" a="1"/>
  <c r="B43" i="2" a="1"/>
  <c r="A43" i="2"/>
  <c r="B43" i="2" s="1"/>
  <c r="F42" i="2" a="1"/>
  <c r="E42" i="2" a="1"/>
  <c r="D42" i="2" a="1"/>
  <c r="C42" i="2" a="1"/>
  <c r="B42" i="2" a="1"/>
  <c r="A42" i="2"/>
  <c r="F41" i="2" a="1"/>
  <c r="E41" i="2" a="1"/>
  <c r="D41" i="2" a="1"/>
  <c r="C41" i="2" a="1"/>
  <c r="B41" i="2" a="1"/>
  <c r="A41" i="2"/>
  <c r="F41" i="2" s="1"/>
  <c r="F40" i="2" a="1"/>
  <c r="E40" i="2" a="1"/>
  <c r="D40" i="2" a="1"/>
  <c r="C40" i="2" a="1"/>
  <c r="B40" i="2" a="1"/>
  <c r="A40" i="2"/>
  <c r="F39" i="2" a="1"/>
  <c r="E39" i="2" a="1"/>
  <c r="D39" i="2" a="1"/>
  <c r="C39" i="2" a="1"/>
  <c r="B39" i="2" a="1"/>
  <c r="A39" i="2"/>
  <c r="F38" i="2" a="1"/>
  <c r="E38" i="2" a="1"/>
  <c r="D38" i="2" a="1"/>
  <c r="C38" i="2" a="1"/>
  <c r="B38" i="2" a="1"/>
  <c r="A38" i="2"/>
  <c r="F37" i="2" a="1"/>
  <c r="E37" i="2" a="1"/>
  <c r="D37" i="2" a="1"/>
  <c r="C37" i="2" a="1"/>
  <c r="B37" i="2" a="1"/>
  <c r="A37" i="2"/>
  <c r="F37" i="2" s="1"/>
  <c r="F36" i="2" a="1"/>
  <c r="E36" i="2" a="1"/>
  <c r="D36" i="2" a="1"/>
  <c r="C36" i="2" a="1"/>
  <c r="B36" i="2" a="1"/>
  <c r="A36" i="2"/>
  <c r="F35" i="2" a="1"/>
  <c r="E35" i="2" a="1"/>
  <c r="D35" i="2" a="1"/>
  <c r="C35" i="2" a="1"/>
  <c r="B35" i="2" a="1"/>
  <c r="A35" i="2"/>
  <c r="D35" i="2" s="1"/>
  <c r="F34" i="2" a="1"/>
  <c r="E34" i="2" a="1"/>
  <c r="D34" i="2" a="1"/>
  <c r="C34" i="2" a="1"/>
  <c r="B34" i="2" a="1"/>
  <c r="A34" i="2"/>
  <c r="F33" i="2" a="1"/>
  <c r="E33" i="2" a="1"/>
  <c r="D33" i="2" a="1"/>
  <c r="C33" i="2" a="1"/>
  <c r="B33" i="2" a="1"/>
  <c r="A33" i="2"/>
  <c r="E33" i="2" s="1"/>
  <c r="F32" i="2" a="1"/>
  <c r="E32" i="2" a="1"/>
  <c r="D32" i="2" a="1"/>
  <c r="C32" i="2" a="1"/>
  <c r="B32" i="2" a="1"/>
  <c r="A32" i="2"/>
  <c r="B32" i="2" s="1"/>
  <c r="F31" i="2" a="1"/>
  <c r="E31" i="2" a="1"/>
  <c r="D31" i="2" a="1"/>
  <c r="C31" i="2" a="1"/>
  <c r="B31" i="2" a="1"/>
  <c r="A31" i="2"/>
  <c r="D31" i="2" s="1"/>
  <c r="F30" i="2" a="1"/>
  <c r="E30" i="2" a="1"/>
  <c r="D30" i="2" a="1"/>
  <c r="C30" i="2" a="1"/>
  <c r="B30" i="2" a="1"/>
  <c r="A30" i="2"/>
  <c r="F30" i="2" s="1"/>
  <c r="F29" i="2" a="1"/>
  <c r="E29" i="2" a="1"/>
  <c r="D29" i="2" a="1"/>
  <c r="C29" i="2" a="1"/>
  <c r="B29" i="2" a="1"/>
  <c r="A29" i="2"/>
  <c r="C29" i="2" s="1"/>
  <c r="F28" i="2" a="1"/>
  <c r="E28" i="2" a="1"/>
  <c r="D28" i="2" a="1"/>
  <c r="C28" i="2" a="1"/>
  <c r="B28" i="2" a="1"/>
  <c r="A28" i="2"/>
  <c r="F28" i="2" s="1"/>
  <c r="F27" i="2" a="1"/>
  <c r="E27" i="2" a="1"/>
  <c r="D27" i="2" a="1"/>
  <c r="C27" i="2" a="1"/>
  <c r="B27" i="2" a="1"/>
  <c r="A27" i="2"/>
  <c r="F27" i="2" s="1"/>
  <c r="F26" i="2" a="1"/>
  <c r="E26" i="2" a="1"/>
  <c r="D26" i="2" a="1"/>
  <c r="C26" i="2" a="1"/>
  <c r="B26" i="2" a="1"/>
  <c r="A26" i="2"/>
  <c r="F26" i="2" s="1"/>
  <c r="F25" i="2" a="1"/>
  <c r="E25" i="2" a="1"/>
  <c r="D25" i="2" a="1"/>
  <c r="C25" i="2" a="1"/>
  <c r="B25" i="2" a="1"/>
  <c r="A25" i="2"/>
  <c r="F24" i="2" a="1"/>
  <c r="E24" i="2" a="1"/>
  <c r="D24" i="2" a="1"/>
  <c r="C24" i="2" a="1"/>
  <c r="B24" i="2" a="1"/>
  <c r="A24" i="2"/>
  <c r="F24" i="2" s="1"/>
  <c r="F23" i="2" a="1"/>
  <c r="E23" i="2" a="1"/>
  <c r="D23" i="2" a="1"/>
  <c r="C23" i="2" a="1"/>
  <c r="B23" i="2" a="1"/>
  <c r="A23" i="2"/>
  <c r="F23" i="2" s="1"/>
  <c r="F22" i="2" a="1"/>
  <c r="E22" i="2" a="1"/>
  <c r="D22" i="2" a="1"/>
  <c r="C22" i="2" a="1"/>
  <c r="B22" i="2" a="1"/>
  <c r="A22" i="2"/>
  <c r="C22" i="2" s="1"/>
  <c r="F21" i="2" a="1"/>
  <c r="E21" i="2" a="1"/>
  <c r="D21" i="2" a="1"/>
  <c r="C21" i="2" a="1"/>
  <c r="B21" i="2" a="1"/>
  <c r="A21" i="2"/>
  <c r="C21" i="2" s="1"/>
  <c r="F20" i="2" a="1"/>
  <c r="E20" i="2" a="1"/>
  <c r="D20" i="2" a="1"/>
  <c r="C20" i="2" a="1"/>
  <c r="B20" i="2" a="1"/>
  <c r="A20" i="2"/>
  <c r="D20" i="2" s="1"/>
  <c r="F19" i="2" a="1"/>
  <c r="E19" i="2" a="1"/>
  <c r="D19" i="2" a="1"/>
  <c r="C19" i="2" a="1"/>
  <c r="B19" i="2" a="1"/>
  <c r="A19" i="2"/>
  <c r="F19" i="2" s="1"/>
  <c r="F18" i="2" a="1"/>
  <c r="E18" i="2" a="1"/>
  <c r="D18" i="2" a="1"/>
  <c r="C18" i="2" a="1"/>
  <c r="B18" i="2" a="1"/>
  <c r="A18" i="2"/>
  <c r="F17" i="2" a="1"/>
  <c r="E17" i="2" a="1"/>
  <c r="D17" i="2" a="1"/>
  <c r="C17" i="2" a="1"/>
  <c r="B17" i="2" a="1"/>
  <c r="A17" i="2"/>
  <c r="C17" i="2" s="1"/>
  <c r="F16" i="2" a="1"/>
  <c r="E16" i="2" a="1"/>
  <c r="D16" i="2" a="1"/>
  <c r="C16" i="2" a="1"/>
  <c r="B16" i="2" a="1"/>
  <c r="A16" i="2"/>
  <c r="B16" i="2" s="1"/>
  <c r="F15" i="2" a="1"/>
  <c r="E15" i="2" a="1"/>
  <c r="D15" i="2" a="1"/>
  <c r="C15" i="2" a="1"/>
  <c r="B15" i="2" a="1"/>
  <c r="A15" i="2"/>
  <c r="F15" i="2" s="1"/>
  <c r="F14" i="2" a="1"/>
  <c r="E14" i="2" a="1"/>
  <c r="D14" i="2" a="1"/>
  <c r="C14" i="2" a="1"/>
  <c r="B14" i="2" a="1"/>
  <c r="A14" i="2"/>
  <c r="F13" i="2" a="1"/>
  <c r="E13" i="2" a="1"/>
  <c r="D13" i="2" a="1"/>
  <c r="C13" i="2" a="1"/>
  <c r="B13" i="2" a="1"/>
  <c r="A13" i="2"/>
  <c r="F12" i="2" a="1"/>
  <c r="E12" i="2" a="1"/>
  <c r="D12" i="2" a="1"/>
  <c r="C12" i="2" a="1"/>
  <c r="B12" i="2" a="1"/>
  <c r="A12" i="2"/>
  <c r="D12" i="2" s="1"/>
  <c r="F11" i="2" a="1"/>
  <c r="E11" i="2" a="1"/>
  <c r="D11" i="2" a="1"/>
  <c r="C11" i="2" a="1"/>
  <c r="B11" i="2" a="1"/>
  <c r="A11" i="2"/>
  <c r="F11" i="2" s="1"/>
  <c r="F10" i="2" a="1"/>
  <c r="E10" i="2" a="1"/>
  <c r="D10" i="2" a="1"/>
  <c r="C10" i="2" a="1"/>
  <c r="B10" i="2" a="1"/>
  <c r="A10" i="2"/>
  <c r="C10" i="2" s="1"/>
  <c r="F9" i="2" a="1"/>
  <c r="E9" i="2" a="1"/>
  <c r="D9" i="2" a="1"/>
  <c r="C9" i="2" a="1"/>
  <c r="B9" i="2" a="1"/>
  <c r="A9" i="2"/>
  <c r="F8" i="2" a="1"/>
  <c r="E8" i="2" a="1"/>
  <c r="D8" i="2" a="1"/>
  <c r="C8" i="2" a="1"/>
  <c r="B8" i="2" a="1"/>
  <c r="A8" i="2"/>
  <c r="E8" i="2" s="1"/>
  <c r="F7" i="2" a="1"/>
  <c r="E7" i="2" a="1"/>
  <c r="D7" i="2" a="1"/>
  <c r="C7" i="2" a="1"/>
  <c r="B7" i="2" a="1"/>
  <c r="A7" i="2"/>
  <c r="F7" i="2" s="1"/>
  <c r="F6" i="2" a="1"/>
  <c r="E6" i="2" a="1"/>
  <c r="D6" i="2" a="1"/>
  <c r="C6" i="2" a="1"/>
  <c r="B6" i="2" a="1"/>
  <c r="A6" i="2"/>
  <c r="F6" i="2" s="1"/>
  <c r="P5" i="2"/>
  <c r="F5" i="2" a="1"/>
  <c r="E5" i="2" a="1"/>
  <c r="D5" i="2" a="1"/>
  <c r="C5" i="2" a="1"/>
  <c r="B5" i="2" a="1"/>
  <c r="A5" i="2"/>
  <c r="Q4" i="2"/>
  <c r="P4" i="2"/>
  <c r="F4" i="2" a="1"/>
  <c r="E4" i="2" a="1"/>
  <c r="D4" i="2" a="1"/>
  <c r="C4" i="2" a="1"/>
  <c r="B4" i="2" a="1"/>
  <c r="A4" i="2"/>
  <c r="F4" i="2" s="1"/>
  <c r="Q3" i="2"/>
  <c r="P3" i="2"/>
  <c r="F3" i="2" a="1"/>
  <c r="E3" i="2" a="1"/>
  <c r="D3" i="2" a="1"/>
  <c r="C3" i="2" a="1"/>
  <c r="B3" i="2" a="1"/>
  <c r="A3" i="2"/>
  <c r="D3" i="2" s="1"/>
  <c r="P2" i="2"/>
  <c r="F2" i="2" a="1"/>
  <c r="E2" i="2" a="1"/>
  <c r="D2" i="2" a="1"/>
  <c r="C2" i="2" a="1"/>
  <c r="B2" i="2" a="1"/>
  <c r="A2" i="2"/>
  <c r="F2" i="2" s="1"/>
  <c r="I165" i="5"/>
  <c r="D164" i="5" a="1"/>
  <c r="C164" i="5" a="1"/>
  <c r="B164" i="5" a="1"/>
  <c r="A164" i="5"/>
  <c r="D164" i="5" s="1"/>
  <c r="D163" i="5" a="1"/>
  <c r="C163" i="5" a="1"/>
  <c r="B163" i="5" a="1"/>
  <c r="A163" i="5"/>
  <c r="D162" i="5" a="1"/>
  <c r="C162" i="5" a="1"/>
  <c r="B162" i="5" a="1"/>
  <c r="A162" i="5"/>
  <c r="D161" i="5" a="1"/>
  <c r="C161" i="5" a="1"/>
  <c r="B161" i="5" a="1"/>
  <c r="A161" i="5"/>
  <c r="D161" i="5" s="1"/>
  <c r="D160" i="5" a="1"/>
  <c r="C160" i="5" a="1"/>
  <c r="B160" i="5" a="1"/>
  <c r="A160" i="5"/>
  <c r="D160" i="5" s="1"/>
  <c r="D159" i="5" a="1"/>
  <c r="C159" i="5" a="1"/>
  <c r="B159" i="5" a="1"/>
  <c r="A159" i="5"/>
  <c r="D158" i="5" a="1"/>
  <c r="C158" i="5" a="1"/>
  <c r="B158" i="5" a="1"/>
  <c r="A158" i="5"/>
  <c r="D158" i="5" s="1"/>
  <c r="D157" i="5" a="1"/>
  <c r="C157" i="5" a="1"/>
  <c r="B157" i="5" a="1"/>
  <c r="A157" i="5"/>
  <c r="D157" i="5" s="1"/>
  <c r="D156" i="5" a="1"/>
  <c r="C156" i="5" a="1"/>
  <c r="B156" i="5" a="1"/>
  <c r="A156" i="5"/>
  <c r="D156" i="5" s="1"/>
  <c r="D155" i="5" a="1"/>
  <c r="C155" i="5" a="1"/>
  <c r="B155" i="5" a="1"/>
  <c r="A155" i="5"/>
  <c r="D154" i="5" a="1"/>
  <c r="C154" i="5" a="1"/>
  <c r="B154" i="5" a="1"/>
  <c r="A154" i="5"/>
  <c r="D153" i="5" a="1"/>
  <c r="C153" i="5" a="1"/>
  <c r="B153" i="5" a="1"/>
  <c r="A153" i="5"/>
  <c r="D152" i="5" a="1"/>
  <c r="C152" i="5" a="1"/>
  <c r="B152" i="5" a="1"/>
  <c r="A152" i="5"/>
  <c r="D152" i="5" s="1"/>
  <c r="D151" i="5" a="1"/>
  <c r="C151" i="5" a="1"/>
  <c r="B151" i="5" a="1"/>
  <c r="A151" i="5"/>
  <c r="D150" i="5" a="1"/>
  <c r="C150" i="5" a="1"/>
  <c r="B150" i="5" a="1"/>
  <c r="A150" i="5"/>
  <c r="D150" i="5" s="1"/>
  <c r="D149" i="5" a="1"/>
  <c r="C149" i="5" a="1"/>
  <c r="B149" i="5" a="1"/>
  <c r="A149" i="5"/>
  <c r="D149" i="5" s="1"/>
  <c r="D148" i="5" a="1"/>
  <c r="C148" i="5" a="1"/>
  <c r="B148" i="5" a="1"/>
  <c r="A148" i="5"/>
  <c r="D148" i="5" s="1"/>
  <c r="D147" i="5" a="1"/>
  <c r="C147" i="5" a="1"/>
  <c r="B147" i="5" a="1"/>
  <c r="A147" i="5"/>
  <c r="D147" i="5" s="1"/>
  <c r="D146" i="5" a="1"/>
  <c r="C146" i="5" a="1"/>
  <c r="B146" i="5" a="1"/>
  <c r="A146" i="5"/>
  <c r="D146" i="5" s="1"/>
  <c r="D145" i="5" a="1"/>
  <c r="C145" i="5" a="1"/>
  <c r="B145" i="5" a="1"/>
  <c r="A145" i="5"/>
  <c r="B145" i="5" s="1"/>
  <c r="D144" i="5" a="1"/>
  <c r="C144" i="5" a="1"/>
  <c r="B144" i="5" a="1"/>
  <c r="A144" i="5"/>
  <c r="D144" i="5" s="1"/>
  <c r="D143" i="5" a="1"/>
  <c r="C143" i="5" a="1"/>
  <c r="B143" i="5" a="1"/>
  <c r="A143" i="5"/>
  <c r="D143" i="5" s="1"/>
  <c r="D142" i="5" a="1"/>
  <c r="C142" i="5" a="1"/>
  <c r="B142" i="5" a="1"/>
  <c r="A142" i="5"/>
  <c r="D141" i="5" a="1"/>
  <c r="C141" i="5" a="1"/>
  <c r="B141" i="5" a="1"/>
  <c r="A141" i="5"/>
  <c r="C141" i="5" s="1"/>
  <c r="D140" i="5" a="1"/>
  <c r="C140" i="5" a="1"/>
  <c r="B140" i="5" a="1"/>
  <c r="A140" i="5"/>
  <c r="D140" i="5" s="1"/>
  <c r="D139" i="5" a="1"/>
  <c r="C139" i="5" a="1"/>
  <c r="B139" i="5" a="1"/>
  <c r="A139" i="5"/>
  <c r="D138" i="5" a="1"/>
  <c r="C138" i="5" a="1"/>
  <c r="B138" i="5" a="1"/>
  <c r="A138" i="5"/>
  <c r="D137" i="5" a="1"/>
  <c r="C137" i="5" a="1"/>
  <c r="B137" i="5" a="1"/>
  <c r="A137" i="5"/>
  <c r="D137" i="5" s="1"/>
  <c r="D136" i="5" a="1"/>
  <c r="C136" i="5" a="1"/>
  <c r="B136" i="5" a="1"/>
  <c r="A136" i="5"/>
  <c r="D136" i="5" s="1"/>
  <c r="D135" i="5" a="1"/>
  <c r="C135" i="5" a="1"/>
  <c r="B135" i="5" a="1"/>
  <c r="A135" i="5"/>
  <c r="D134" i="5" a="1"/>
  <c r="C134" i="5" a="1"/>
  <c r="B134" i="5" a="1"/>
  <c r="A134" i="5"/>
  <c r="D134" i="5" s="1"/>
  <c r="D133" i="5" a="1"/>
  <c r="C133" i="5" a="1"/>
  <c r="B133" i="5" a="1"/>
  <c r="A133" i="5"/>
  <c r="C133" i="5" s="1"/>
  <c r="D132" i="5" a="1"/>
  <c r="C132" i="5" a="1"/>
  <c r="B132" i="5" a="1"/>
  <c r="A132" i="5"/>
  <c r="D132" i="5" s="1"/>
  <c r="D131" i="5" a="1"/>
  <c r="C131" i="5" a="1"/>
  <c r="B131" i="5" a="1"/>
  <c r="A131" i="5"/>
  <c r="D130" i="5" a="1"/>
  <c r="C130" i="5" a="1"/>
  <c r="B130" i="5" a="1"/>
  <c r="A130" i="5"/>
  <c r="C130" i="5" s="1"/>
  <c r="D129" i="5" a="1"/>
  <c r="C129" i="5" a="1"/>
  <c r="B129" i="5" a="1"/>
  <c r="A129" i="5"/>
  <c r="C129" i="5" s="1"/>
  <c r="D128" i="5" a="1"/>
  <c r="C128" i="5" a="1"/>
  <c r="B128" i="5" a="1"/>
  <c r="A128" i="5"/>
  <c r="D128" i="5" s="1"/>
  <c r="D127" i="5" a="1"/>
  <c r="C127" i="5" a="1"/>
  <c r="B127" i="5" a="1"/>
  <c r="A127" i="5"/>
  <c r="C127" i="5" s="1"/>
  <c r="D126" i="5" a="1"/>
  <c r="C126" i="5" a="1"/>
  <c r="B126" i="5" a="1"/>
  <c r="A126" i="5"/>
  <c r="C126" i="5" s="1"/>
  <c r="D125" i="5" a="1"/>
  <c r="C125" i="5" a="1"/>
  <c r="B125" i="5" a="1"/>
  <c r="A125" i="5"/>
  <c r="D124" i="5" a="1"/>
  <c r="C124" i="5" a="1"/>
  <c r="B124" i="5" a="1"/>
  <c r="A124" i="5"/>
  <c r="D124" i="5" s="1"/>
  <c r="D123" i="5" a="1"/>
  <c r="C123" i="5" a="1"/>
  <c r="B123" i="5" a="1"/>
  <c r="A123" i="5"/>
  <c r="D122" i="5" a="1"/>
  <c r="C122" i="5" a="1"/>
  <c r="B122" i="5" a="1"/>
  <c r="A122" i="5"/>
  <c r="C122" i="5" s="1"/>
  <c r="D121" i="5" a="1"/>
  <c r="C121" i="5" a="1"/>
  <c r="B121" i="5" a="1"/>
  <c r="A121" i="5"/>
  <c r="C121" i="5" s="1"/>
  <c r="D120" i="5" a="1"/>
  <c r="C120" i="5" a="1"/>
  <c r="B120" i="5" a="1"/>
  <c r="A120" i="5"/>
  <c r="D120" i="5" s="1"/>
  <c r="D119" i="5" a="1"/>
  <c r="C119" i="5" a="1"/>
  <c r="B119" i="5" a="1"/>
  <c r="A119" i="5"/>
  <c r="C119" i="5" s="1"/>
  <c r="D118" i="5" a="1"/>
  <c r="C118" i="5" a="1"/>
  <c r="B118" i="5" a="1"/>
  <c r="A118" i="5"/>
  <c r="C118" i="5" s="1"/>
  <c r="D117" i="5" a="1"/>
  <c r="C117" i="5" a="1"/>
  <c r="B117" i="5" a="1"/>
  <c r="A117" i="5"/>
  <c r="C117" i="5" s="1"/>
  <c r="D116" i="5" a="1"/>
  <c r="C116" i="5" a="1"/>
  <c r="B116" i="5" a="1"/>
  <c r="A116" i="5"/>
  <c r="D116" i="5" s="1"/>
  <c r="D115" i="5" a="1"/>
  <c r="C115" i="5" a="1"/>
  <c r="B115" i="5" a="1"/>
  <c r="A115" i="5"/>
  <c r="C115" i="5" s="1"/>
  <c r="D114" i="5" a="1"/>
  <c r="C114" i="5" a="1"/>
  <c r="B114" i="5" a="1"/>
  <c r="A114" i="5"/>
  <c r="C114" i="5" s="1"/>
  <c r="D113" i="5" a="1"/>
  <c r="C113" i="5" a="1"/>
  <c r="B113" i="5" a="1"/>
  <c r="A113" i="5"/>
  <c r="C113" i="5" s="1"/>
  <c r="D112" i="5" a="1"/>
  <c r="C112" i="5" a="1"/>
  <c r="B112" i="5" a="1"/>
  <c r="A112" i="5"/>
  <c r="D112" i="5" s="1"/>
  <c r="D111" i="5" a="1"/>
  <c r="C111" i="5" a="1"/>
  <c r="B111" i="5" a="1"/>
  <c r="A111" i="5"/>
  <c r="C111" i="5" s="1"/>
  <c r="D110" i="5" a="1"/>
  <c r="C110" i="5" a="1"/>
  <c r="B110" i="5" a="1"/>
  <c r="A110" i="5"/>
  <c r="C110" i="5" s="1"/>
  <c r="D109" i="5" a="1"/>
  <c r="C109" i="5" a="1"/>
  <c r="B109" i="5" a="1"/>
  <c r="A109" i="5"/>
  <c r="C109" i="5" s="1"/>
  <c r="D108" i="5" a="1"/>
  <c r="C108" i="5" a="1"/>
  <c r="B108" i="5" a="1"/>
  <c r="A108" i="5"/>
  <c r="D108" i="5" s="1"/>
  <c r="D107" i="5" a="1"/>
  <c r="C107" i="5" a="1"/>
  <c r="B107" i="5" a="1"/>
  <c r="A107" i="5"/>
  <c r="C107" i="5" s="1"/>
  <c r="D106" i="5" a="1"/>
  <c r="C106" i="5" a="1"/>
  <c r="B106" i="5" a="1"/>
  <c r="A106" i="5"/>
  <c r="C106" i="5" s="1"/>
  <c r="D105" i="5" a="1"/>
  <c r="C105" i="5" a="1"/>
  <c r="B105" i="5" a="1"/>
  <c r="A105" i="5"/>
  <c r="C105" i="5" s="1"/>
  <c r="D104" i="5" a="1"/>
  <c r="C104" i="5" a="1"/>
  <c r="B104" i="5" a="1"/>
  <c r="A104" i="5"/>
  <c r="D104" i="5" s="1"/>
  <c r="D103" i="5" a="1"/>
  <c r="C103" i="5" a="1"/>
  <c r="B103" i="5" a="1"/>
  <c r="A103" i="5"/>
  <c r="D103" i="5" s="1"/>
  <c r="D102" i="5" a="1"/>
  <c r="C102" i="5" a="1"/>
  <c r="B102" i="5" a="1"/>
  <c r="A102" i="5"/>
  <c r="C102" i="5" s="1"/>
  <c r="D101" i="5" a="1"/>
  <c r="C101" i="5" a="1"/>
  <c r="B101" i="5" a="1"/>
  <c r="A101" i="5"/>
  <c r="D101" i="5" s="1"/>
  <c r="D100" i="5" a="1"/>
  <c r="C100" i="5" a="1"/>
  <c r="B100" i="5" a="1"/>
  <c r="A100" i="5"/>
  <c r="D100" i="5" s="1"/>
  <c r="D99" i="5" a="1"/>
  <c r="C99" i="5" a="1"/>
  <c r="B99" i="5" a="1"/>
  <c r="A99" i="5"/>
  <c r="D98" i="5" a="1"/>
  <c r="C98" i="5" a="1"/>
  <c r="B98" i="5" a="1"/>
  <c r="A98" i="5"/>
  <c r="C98" i="5" s="1"/>
  <c r="D97" i="5" a="1"/>
  <c r="C97" i="5" a="1"/>
  <c r="B97" i="5" a="1"/>
  <c r="A97" i="5"/>
  <c r="C97" i="5" s="1"/>
  <c r="D96" i="5" a="1"/>
  <c r="C96" i="5" a="1"/>
  <c r="B96" i="5" a="1"/>
  <c r="A96" i="5"/>
  <c r="D96" i="5" s="1"/>
  <c r="D95" i="5" a="1"/>
  <c r="C95" i="5" a="1"/>
  <c r="B95" i="5" a="1"/>
  <c r="A95" i="5"/>
  <c r="C95" i="5" s="1"/>
  <c r="D94" i="5" a="1"/>
  <c r="C94" i="5" a="1"/>
  <c r="B94" i="5" a="1"/>
  <c r="A94" i="5"/>
  <c r="C94" i="5" s="1"/>
  <c r="D93" i="5" a="1"/>
  <c r="C93" i="5" a="1"/>
  <c r="B93" i="5" a="1"/>
  <c r="A93" i="5"/>
  <c r="C93" i="5" s="1"/>
  <c r="D92" i="5" a="1"/>
  <c r="C92" i="5" a="1"/>
  <c r="B92" i="5" a="1"/>
  <c r="A92" i="5"/>
  <c r="D92" i="5" s="1"/>
  <c r="D91" i="5" a="1"/>
  <c r="C91" i="5" a="1"/>
  <c r="B91" i="5" a="1"/>
  <c r="A91" i="5"/>
  <c r="D90" i="5" a="1"/>
  <c r="C90" i="5" a="1"/>
  <c r="B90" i="5" a="1"/>
  <c r="A90" i="5"/>
  <c r="C90" i="5" s="1"/>
  <c r="D89" i="5" a="1"/>
  <c r="C89" i="5" a="1"/>
  <c r="B89" i="5" a="1"/>
  <c r="A89" i="5"/>
  <c r="C89" i="5" s="1"/>
  <c r="D88" i="5" a="1"/>
  <c r="C88" i="5" a="1"/>
  <c r="B88" i="5" a="1"/>
  <c r="A88" i="5"/>
  <c r="D88" i="5" s="1"/>
  <c r="D87" i="5" a="1"/>
  <c r="C87" i="5" a="1"/>
  <c r="B87" i="5" a="1"/>
  <c r="A87" i="5"/>
  <c r="C87" i="5" s="1"/>
  <c r="D86" i="5" a="1"/>
  <c r="C86" i="5" a="1"/>
  <c r="B86" i="5" a="1"/>
  <c r="A86" i="5"/>
  <c r="C86" i="5" s="1"/>
  <c r="D85" i="5" a="1"/>
  <c r="C85" i="5" a="1"/>
  <c r="B85" i="5" a="1"/>
  <c r="A85" i="5"/>
  <c r="C85" i="5" s="1"/>
  <c r="D84" i="5" a="1"/>
  <c r="C84" i="5" a="1"/>
  <c r="B84" i="5" a="1"/>
  <c r="A84" i="5"/>
  <c r="D84" i="5" s="1"/>
  <c r="D83" i="5" a="1"/>
  <c r="C83" i="5" a="1"/>
  <c r="B83" i="5" a="1"/>
  <c r="A83" i="5"/>
  <c r="C83" i="5" s="1"/>
  <c r="D82" i="5" a="1"/>
  <c r="C82" i="5" a="1"/>
  <c r="B82" i="5" a="1"/>
  <c r="A82" i="5"/>
  <c r="C82" i="5" s="1"/>
  <c r="D81" i="5" a="1"/>
  <c r="C81" i="5" a="1"/>
  <c r="B81" i="5" a="1"/>
  <c r="A81" i="5"/>
  <c r="C81" i="5" s="1"/>
  <c r="D80" i="5" a="1"/>
  <c r="C80" i="5" a="1"/>
  <c r="B80" i="5" a="1"/>
  <c r="A80" i="5"/>
  <c r="D80" i="5" s="1"/>
  <c r="D79" i="5" a="1"/>
  <c r="C79" i="5" a="1"/>
  <c r="B79" i="5" a="1"/>
  <c r="A79" i="5"/>
  <c r="C79" i="5" s="1"/>
  <c r="D78" i="5" a="1"/>
  <c r="C78" i="5" a="1"/>
  <c r="B78" i="5" a="1"/>
  <c r="A78" i="5"/>
  <c r="C78" i="5" s="1"/>
  <c r="D77" i="5" a="1"/>
  <c r="C77" i="5" a="1"/>
  <c r="B77" i="5" a="1"/>
  <c r="A77" i="5"/>
  <c r="C77" i="5" s="1"/>
  <c r="D76" i="5" a="1"/>
  <c r="C76" i="5" a="1"/>
  <c r="B76" i="5" a="1"/>
  <c r="A76" i="5"/>
  <c r="D76" i="5" s="1"/>
  <c r="D75" i="5" a="1"/>
  <c r="C75" i="5" a="1"/>
  <c r="B75" i="5" a="1"/>
  <c r="A75" i="5"/>
  <c r="C75" i="5" s="1"/>
  <c r="D74" i="5" a="1"/>
  <c r="C74" i="5" a="1"/>
  <c r="B74" i="5" a="1"/>
  <c r="A74" i="5"/>
  <c r="C74" i="5" s="1"/>
  <c r="D73" i="5" a="1"/>
  <c r="C73" i="5" a="1"/>
  <c r="B73" i="5" a="1"/>
  <c r="A73" i="5"/>
  <c r="C73" i="5" s="1"/>
  <c r="D72" i="5" a="1"/>
  <c r="C72" i="5" a="1"/>
  <c r="B72" i="5" a="1"/>
  <c r="A72" i="5"/>
  <c r="D72" i="5" s="1"/>
  <c r="D71" i="5" a="1"/>
  <c r="C71" i="5" a="1"/>
  <c r="B71" i="5" a="1"/>
  <c r="A71" i="5"/>
  <c r="D71" i="5" s="1"/>
  <c r="D70" i="5" a="1"/>
  <c r="C70" i="5" a="1"/>
  <c r="B70" i="5" a="1"/>
  <c r="A70" i="5"/>
  <c r="C70" i="5" s="1"/>
  <c r="D69" i="5" a="1"/>
  <c r="C69" i="5" a="1"/>
  <c r="B69" i="5" a="1"/>
  <c r="A69" i="5"/>
  <c r="D69" i="5" s="1"/>
  <c r="D68" i="5" a="1"/>
  <c r="C68" i="5" a="1"/>
  <c r="B68" i="5" a="1"/>
  <c r="A68" i="5"/>
  <c r="D68" i="5" s="1"/>
  <c r="D67" i="5" a="1"/>
  <c r="C67" i="5" a="1"/>
  <c r="B67" i="5" a="1"/>
  <c r="A67" i="5"/>
  <c r="B67" i="5" s="1"/>
  <c r="D66" i="5" a="1"/>
  <c r="C66" i="5" a="1"/>
  <c r="B66" i="5" a="1"/>
  <c r="A66" i="5"/>
  <c r="C66" i="5" s="1"/>
  <c r="D65" i="5" a="1"/>
  <c r="C65" i="5" a="1"/>
  <c r="B65" i="5" a="1"/>
  <c r="A65" i="5"/>
  <c r="C65" i="5" s="1"/>
  <c r="D64" i="5" a="1"/>
  <c r="C64" i="5" a="1"/>
  <c r="B64" i="5" a="1"/>
  <c r="A64" i="5"/>
  <c r="D64" i="5" s="1"/>
  <c r="D63" i="5" a="1"/>
  <c r="C63" i="5" a="1"/>
  <c r="B63" i="5" a="1"/>
  <c r="A63" i="5"/>
  <c r="D63" i="5" s="1"/>
  <c r="D62" i="5" a="1"/>
  <c r="C62" i="5" a="1"/>
  <c r="B62" i="5" a="1"/>
  <c r="A62" i="5"/>
  <c r="C62" i="5" s="1"/>
  <c r="D61" i="5" a="1"/>
  <c r="C61" i="5" a="1"/>
  <c r="B61" i="5" a="1"/>
  <c r="A61" i="5"/>
  <c r="C61" i="5" s="1"/>
  <c r="D60" i="5" a="1"/>
  <c r="C60" i="5" a="1"/>
  <c r="B60" i="5" a="1"/>
  <c r="A60" i="5"/>
  <c r="D60" i="5" s="1"/>
  <c r="D59" i="5" a="1"/>
  <c r="C59" i="5" a="1"/>
  <c r="B59" i="5" a="1"/>
  <c r="A59" i="5"/>
  <c r="C59" i="5" s="1"/>
  <c r="D58" i="5" a="1"/>
  <c r="C58" i="5" a="1"/>
  <c r="B58" i="5" a="1"/>
  <c r="A58" i="5"/>
  <c r="C58" i="5" s="1"/>
  <c r="D57" i="5" a="1"/>
  <c r="C57" i="5" a="1"/>
  <c r="B57" i="5" a="1"/>
  <c r="A57" i="5"/>
  <c r="C57" i="5" s="1"/>
  <c r="D56" i="5" a="1"/>
  <c r="C56" i="5" a="1"/>
  <c r="B56" i="5" a="1"/>
  <c r="A56" i="5"/>
  <c r="D56" i="5" s="1"/>
  <c r="D55" i="5" a="1"/>
  <c r="C55" i="5" a="1"/>
  <c r="B55" i="5" a="1"/>
  <c r="A55" i="5"/>
  <c r="D55" i="5" s="1"/>
  <c r="D54" i="5" a="1"/>
  <c r="C54" i="5" a="1"/>
  <c r="B54" i="5" a="1"/>
  <c r="A54" i="5"/>
  <c r="C54" i="5" s="1"/>
  <c r="D53" i="5" a="1"/>
  <c r="C53" i="5" a="1"/>
  <c r="B53" i="5" a="1"/>
  <c r="A53" i="5"/>
  <c r="C53" i="5" s="1"/>
  <c r="D52" i="5" a="1"/>
  <c r="C52" i="5" a="1"/>
  <c r="B52" i="5" a="1"/>
  <c r="A52" i="5"/>
  <c r="D52" i="5" s="1"/>
  <c r="D51" i="5" a="1"/>
  <c r="C51" i="5" a="1"/>
  <c r="B51" i="5" a="1"/>
  <c r="A51" i="5"/>
  <c r="C51" i="5" s="1"/>
  <c r="D50" i="5" a="1"/>
  <c r="C50" i="5" a="1"/>
  <c r="B50" i="5" a="1"/>
  <c r="A50" i="5"/>
  <c r="C50" i="5" s="1"/>
  <c r="D49" i="5" a="1"/>
  <c r="C49" i="5" a="1"/>
  <c r="B49" i="5" a="1"/>
  <c r="A49" i="5"/>
  <c r="D48" i="5" a="1"/>
  <c r="C48" i="5" a="1"/>
  <c r="B48" i="5" a="1"/>
  <c r="A48" i="5"/>
  <c r="D48" i="5" s="1"/>
  <c r="D47" i="5" a="1"/>
  <c r="C47" i="5" a="1"/>
  <c r="B47" i="5" a="1"/>
  <c r="A47" i="5"/>
  <c r="D47" i="5" s="1"/>
  <c r="D46" i="5" a="1"/>
  <c r="C46" i="5" a="1"/>
  <c r="B46" i="5" a="1"/>
  <c r="A46" i="5"/>
  <c r="C46" i="5" s="1"/>
  <c r="D45" i="5" a="1"/>
  <c r="C45" i="5" a="1"/>
  <c r="B45" i="5" a="1"/>
  <c r="A45" i="5"/>
  <c r="C45" i="5" s="1"/>
  <c r="D44" i="5" a="1"/>
  <c r="C44" i="5" a="1"/>
  <c r="B44" i="5" a="1"/>
  <c r="A44" i="5"/>
  <c r="D44" i="5" s="1"/>
  <c r="D43" i="5" a="1"/>
  <c r="C43" i="5" a="1"/>
  <c r="B43" i="5" a="1"/>
  <c r="A43" i="5"/>
  <c r="C43" i="5" s="1"/>
  <c r="D42" i="5" a="1"/>
  <c r="C42" i="5" a="1"/>
  <c r="B42" i="5" a="1"/>
  <c r="A42" i="5"/>
  <c r="C42" i="5" s="1"/>
  <c r="D41" i="5" a="1"/>
  <c r="C41" i="5" a="1"/>
  <c r="B41" i="5" a="1"/>
  <c r="A41" i="5"/>
  <c r="D40" i="5" a="1"/>
  <c r="C40" i="5" a="1"/>
  <c r="B40" i="5" a="1"/>
  <c r="A40" i="5"/>
  <c r="D40" i="5" s="1"/>
  <c r="D39" i="5" a="1"/>
  <c r="C39" i="5" a="1"/>
  <c r="B39" i="5" a="1"/>
  <c r="A39" i="5"/>
  <c r="D39" i="5" s="1"/>
  <c r="D38" i="5" a="1"/>
  <c r="C38" i="5" a="1"/>
  <c r="B38" i="5" a="1"/>
  <c r="A38" i="5"/>
  <c r="C38" i="5" s="1"/>
  <c r="D37" i="5" a="1"/>
  <c r="C37" i="5" a="1"/>
  <c r="B37" i="5" a="1"/>
  <c r="A37" i="5"/>
  <c r="D37" i="5" s="1"/>
  <c r="D36" i="5" a="1"/>
  <c r="C36" i="5" a="1"/>
  <c r="B36" i="5" a="1"/>
  <c r="A36" i="5"/>
  <c r="D36" i="5" s="1"/>
  <c r="D35" i="5" a="1"/>
  <c r="C35" i="5" a="1"/>
  <c r="B35" i="5" a="1"/>
  <c r="A35" i="5"/>
  <c r="C35" i="5" s="1"/>
  <c r="D34" i="5" a="1"/>
  <c r="C34" i="5" a="1"/>
  <c r="B34" i="5" a="1"/>
  <c r="A34" i="5"/>
  <c r="C34" i="5" s="1"/>
  <c r="D33" i="5" a="1"/>
  <c r="C33" i="5" a="1"/>
  <c r="B33" i="5" a="1"/>
  <c r="A33" i="5"/>
  <c r="C33" i="5" s="1"/>
  <c r="D32" i="5" a="1"/>
  <c r="C32" i="5" a="1"/>
  <c r="B32" i="5" a="1"/>
  <c r="A32" i="5"/>
  <c r="D32" i="5" s="1"/>
  <c r="D31" i="5" a="1"/>
  <c r="C31" i="5" a="1"/>
  <c r="B31" i="5" a="1"/>
  <c r="A31" i="5"/>
  <c r="D31" i="5" s="1"/>
  <c r="D30" i="5" a="1"/>
  <c r="C30" i="5" a="1"/>
  <c r="B30" i="5" a="1"/>
  <c r="A30" i="5"/>
  <c r="C30" i="5" s="1"/>
  <c r="D29" i="5" a="1"/>
  <c r="C29" i="5" a="1"/>
  <c r="B29" i="5" a="1"/>
  <c r="A29" i="5"/>
  <c r="C29" i="5" s="1"/>
  <c r="D28" i="5" a="1"/>
  <c r="C28" i="5" a="1"/>
  <c r="B28" i="5" a="1"/>
  <c r="A28" i="5"/>
  <c r="D28" i="5" s="1"/>
  <c r="D27" i="5" a="1"/>
  <c r="C27" i="5" a="1"/>
  <c r="B27" i="5" a="1"/>
  <c r="A27" i="5"/>
  <c r="C27" i="5" s="1"/>
  <c r="D26" i="5" a="1"/>
  <c r="C26" i="5" a="1"/>
  <c r="B26" i="5" a="1"/>
  <c r="A26" i="5"/>
  <c r="C26" i="5" s="1"/>
  <c r="D25" i="5" a="1"/>
  <c r="C25" i="5" a="1"/>
  <c r="B25" i="5" a="1"/>
  <c r="A25" i="5"/>
  <c r="C25" i="5" s="1"/>
  <c r="D24" i="5" a="1"/>
  <c r="C24" i="5" a="1"/>
  <c r="B24" i="5" a="1"/>
  <c r="A24" i="5"/>
  <c r="D24" i="5" s="1"/>
  <c r="D23" i="5" a="1"/>
  <c r="C23" i="5" a="1"/>
  <c r="B23" i="5" a="1"/>
  <c r="A23" i="5"/>
  <c r="D23" i="5" s="1"/>
  <c r="D22" i="5" a="1"/>
  <c r="C22" i="5" a="1"/>
  <c r="B22" i="5" a="1"/>
  <c r="A22" i="5"/>
  <c r="C22" i="5" s="1"/>
  <c r="D21" i="5" a="1"/>
  <c r="C21" i="5" a="1"/>
  <c r="B21" i="5" a="1"/>
  <c r="A21" i="5"/>
  <c r="C21" i="5" s="1"/>
  <c r="D20" i="5" a="1"/>
  <c r="C20" i="5" a="1"/>
  <c r="B20" i="5" a="1"/>
  <c r="A20" i="5"/>
  <c r="D20" i="5" s="1"/>
  <c r="D19" i="5" a="1"/>
  <c r="C19" i="5" a="1"/>
  <c r="B19" i="5" a="1"/>
  <c r="A19" i="5"/>
  <c r="C19" i="5" s="1"/>
  <c r="D18" i="5" a="1"/>
  <c r="C18" i="5" a="1"/>
  <c r="B18" i="5" a="1"/>
  <c r="A18" i="5"/>
  <c r="C18" i="5" s="1"/>
  <c r="D17" i="5" a="1"/>
  <c r="C17" i="5" a="1"/>
  <c r="B17" i="5" a="1"/>
  <c r="A17" i="5"/>
  <c r="C17" i="5" s="1"/>
  <c r="D16" i="5" a="1"/>
  <c r="C16" i="5" a="1"/>
  <c r="B16" i="5" a="1"/>
  <c r="A16" i="5"/>
  <c r="D16" i="5" s="1"/>
  <c r="D15" i="5" a="1"/>
  <c r="C15" i="5" a="1"/>
  <c r="B15" i="5" a="1"/>
  <c r="A15" i="5"/>
  <c r="D15" i="5" s="1"/>
  <c r="D14" i="5" a="1"/>
  <c r="C14" i="5" a="1"/>
  <c r="B14" i="5" a="1"/>
  <c r="A14" i="5"/>
  <c r="C14" i="5" s="1"/>
  <c r="D13" i="5" a="1"/>
  <c r="C13" i="5" a="1"/>
  <c r="B13" i="5" a="1"/>
  <c r="A13" i="5"/>
  <c r="C13" i="5" s="1"/>
  <c r="D12" i="5" a="1"/>
  <c r="C12" i="5" a="1"/>
  <c r="B12" i="5" a="1"/>
  <c r="A12" i="5"/>
  <c r="D12" i="5" s="1"/>
  <c r="D11" i="5" a="1"/>
  <c r="C11" i="5" a="1"/>
  <c r="B11" i="5" a="1"/>
  <c r="A11" i="5"/>
  <c r="C11" i="5" s="1"/>
  <c r="D10" i="5" a="1"/>
  <c r="C10" i="5" a="1"/>
  <c r="B10" i="5" a="1"/>
  <c r="A10" i="5"/>
  <c r="C10" i="5" s="1"/>
  <c r="D9" i="5" a="1"/>
  <c r="C9" i="5" a="1"/>
  <c r="B9" i="5" a="1"/>
  <c r="A9" i="5"/>
  <c r="D8" i="5" a="1"/>
  <c r="C8" i="5" a="1"/>
  <c r="B8" i="5" a="1"/>
  <c r="A8" i="5"/>
  <c r="D8" i="5" s="1"/>
  <c r="D7" i="5" a="1"/>
  <c r="C7" i="5" a="1"/>
  <c r="B7" i="5" a="1"/>
  <c r="A7" i="5"/>
  <c r="D7" i="5" s="1"/>
  <c r="D6" i="5" a="1"/>
  <c r="C6" i="5" a="1"/>
  <c r="B6" i="5" a="1"/>
  <c r="A6" i="5"/>
  <c r="C6" i="5" s="1"/>
  <c r="P5" i="5"/>
  <c r="D5" i="5" a="1"/>
  <c r="C5" i="5" a="1"/>
  <c r="B5" i="5" a="1"/>
  <c r="A5" i="5"/>
  <c r="C5" i="5" s="1"/>
  <c r="Q4" i="5"/>
  <c r="P4" i="5"/>
  <c r="D4" i="5" a="1"/>
  <c r="C4" i="5" a="1"/>
  <c r="B4" i="5" a="1"/>
  <c r="A4" i="5"/>
  <c r="C4" i="5" s="1"/>
  <c r="Q3" i="5"/>
  <c r="P3" i="5"/>
  <c r="D3" i="5" a="1"/>
  <c r="C3" i="5" a="1"/>
  <c r="B3" i="5" a="1"/>
  <c r="A3" i="5"/>
  <c r="D3" i="5" s="1"/>
  <c r="Q2" i="5"/>
  <c r="P2" i="5"/>
  <c r="D2" i="5" a="1"/>
  <c r="C2" i="5" a="1"/>
  <c r="B2" i="5" a="1"/>
  <c r="A2" i="5"/>
  <c r="C2" i="5" s="1"/>
  <c r="E170" i="8" l="1" a="1"/>
  <c r="E170" i="8" s="1"/>
  <c r="F171" i="8" s="1"/>
  <c r="G171" i="8" s="1"/>
  <c r="N189" i="9"/>
  <c r="O189" i="9" s="1"/>
  <c r="N173" i="9"/>
  <c r="N191" i="9"/>
  <c r="O191" i="9" s="1"/>
  <c r="O192" i="9" s="1"/>
  <c r="N190" i="9"/>
  <c r="O190" i="9" s="1"/>
  <c r="N180" i="9"/>
  <c r="O174" i="9"/>
  <c r="F181" i="9"/>
  <c r="G181" i="9" s="1"/>
  <c r="F173" i="9"/>
  <c r="G173" i="9" s="1"/>
  <c r="F191" i="9"/>
  <c r="G191" i="9" s="1"/>
  <c r="F189" i="9"/>
  <c r="G189" i="9" s="1"/>
  <c r="F172" i="9"/>
  <c r="G172" i="9" s="1"/>
  <c r="F182" i="9"/>
  <c r="G182" i="9" s="1"/>
  <c r="F180" i="9"/>
  <c r="G180" i="9" s="1"/>
  <c r="F190" i="9"/>
  <c r="G190" i="9" s="1"/>
  <c r="F190" i="4"/>
  <c r="G190" i="4" s="1"/>
  <c r="F173" i="4"/>
  <c r="G173" i="4" s="1"/>
  <c r="F181" i="4"/>
  <c r="G181" i="4" s="1"/>
  <c r="F182" i="4"/>
  <c r="G182" i="4" s="1"/>
  <c r="F180" i="4"/>
  <c r="F191" i="4"/>
  <c r="G191" i="4" s="1"/>
  <c r="F189" i="4"/>
  <c r="F172" i="4"/>
  <c r="G172" i="4" s="1"/>
  <c r="B121" i="9" a="1"/>
  <c r="B121" i="9" s="1"/>
  <c r="C35" i="9" a="1"/>
  <c r="C35" i="9" s="1"/>
  <c r="C115" i="9" a="1"/>
  <c r="C115" i="9" s="1"/>
  <c r="C51" i="9" a="1"/>
  <c r="C51" i="9" s="1"/>
  <c r="D55" i="9" a="1"/>
  <c r="D55" i="9" s="1"/>
  <c r="B87" i="9" a="1"/>
  <c r="B87" i="9" s="1"/>
  <c r="B60" i="9" a="1"/>
  <c r="B60" i="9" s="1"/>
  <c r="C3" i="9" a="1"/>
  <c r="C3" i="9" s="1"/>
  <c r="B52" i="9" a="1"/>
  <c r="B52" i="9" s="1"/>
  <c r="C59" i="9" a="1"/>
  <c r="C59" i="9" s="1"/>
  <c r="D60" i="9" a="1"/>
  <c r="D60" i="9" s="1"/>
  <c r="D86" i="9" a="1"/>
  <c r="D86" i="9" s="1"/>
  <c r="E99" i="9" a="1"/>
  <c r="E99" i="9" s="1"/>
  <c r="E102" i="9" a="1"/>
  <c r="E102" i="9" s="1"/>
  <c r="B56" i="9" a="1"/>
  <c r="B56" i="9" s="1"/>
  <c r="C74" i="9" a="1"/>
  <c r="C74" i="9" s="1"/>
  <c r="D52" i="9" a="1"/>
  <c r="D52" i="9" s="1"/>
  <c r="D59" i="9" a="1"/>
  <c r="D59" i="9" s="1"/>
  <c r="E18" i="9" a="1"/>
  <c r="E18" i="9" s="1"/>
  <c r="C27" i="9" a="1"/>
  <c r="C27" i="9" s="1"/>
  <c r="D64" i="9" a="1"/>
  <c r="D64" i="9" s="1"/>
  <c r="B67" i="9" a="1"/>
  <c r="B67" i="9" s="1"/>
  <c r="C89" i="9" a="1"/>
  <c r="C89" i="9" s="1"/>
  <c r="B126" i="9" a="1"/>
  <c r="B126" i="9" s="1"/>
  <c r="B128" i="9" a="1"/>
  <c r="B128" i="9" s="1"/>
  <c r="C129" i="9" a="1"/>
  <c r="C129" i="9" s="1"/>
  <c r="E67" i="9" a="1"/>
  <c r="E67" i="9" s="1"/>
  <c r="C126" i="9" a="1"/>
  <c r="C126" i="9" s="1"/>
  <c r="C128" i="9" a="1"/>
  <c r="C128" i="9" s="1"/>
  <c r="C13" i="9" a="1"/>
  <c r="C13" i="9" s="1"/>
  <c r="C19" i="9" a="1"/>
  <c r="C19" i="9" s="1"/>
  <c r="E26" i="9" a="1"/>
  <c r="E26" i="9" s="1"/>
  <c r="C43" i="9" a="1"/>
  <c r="C43" i="9" s="1"/>
  <c r="C63" i="9" a="1"/>
  <c r="C63" i="9" s="1"/>
  <c r="B86" i="9" a="1"/>
  <c r="B86" i="9" s="1"/>
  <c r="E90" i="9" a="1"/>
  <c r="E90" i="9" s="1"/>
  <c r="D102" i="9" a="1"/>
  <c r="D102" i="9" s="1"/>
  <c r="E128" i="9" a="1"/>
  <c r="E128" i="9" s="1"/>
  <c r="C133" i="9" a="1"/>
  <c r="C133" i="9" s="1"/>
  <c r="C5" i="9" a="1"/>
  <c r="C5" i="9" s="1"/>
  <c r="C11" i="9" a="1"/>
  <c r="C11" i="9" s="1"/>
  <c r="C39" i="9" a="1"/>
  <c r="C39" i="9" s="1"/>
  <c r="D53" i="9" a="1"/>
  <c r="D53" i="9" s="1"/>
  <c r="C55" i="9" a="1"/>
  <c r="C55" i="9" s="1"/>
  <c r="D56" i="9" a="1"/>
  <c r="D56" i="9" s="1"/>
  <c r="D61" i="9" a="1"/>
  <c r="D61" i="9" s="1"/>
  <c r="D63" i="9" a="1"/>
  <c r="D63" i="9" s="1"/>
  <c r="C67" i="9" a="1"/>
  <c r="C67" i="9" s="1"/>
  <c r="C84" i="9" a="1"/>
  <c r="C84" i="9" s="1"/>
  <c r="C86" i="9" a="1"/>
  <c r="C86" i="9" s="1"/>
  <c r="B96" i="9" a="1"/>
  <c r="B96" i="9" s="1"/>
  <c r="B100" i="9" a="1"/>
  <c r="B100" i="9" s="1"/>
  <c r="C103" i="9" a="1"/>
  <c r="C103" i="9" s="1"/>
  <c r="B112" i="9" a="1"/>
  <c r="B112" i="9" s="1"/>
  <c r="B116" i="9" a="1"/>
  <c r="B116" i="9" s="1"/>
  <c r="B120" i="9" a="1"/>
  <c r="B120" i="9" s="1"/>
  <c r="D121" i="9" a="1"/>
  <c r="D121" i="9" s="1"/>
  <c r="B130" i="9" a="1"/>
  <c r="B130" i="9" s="1"/>
  <c r="E134" i="9" a="1"/>
  <c r="E134" i="9" s="1"/>
  <c r="D135" i="9" a="1"/>
  <c r="D135" i="9" s="1"/>
  <c r="E96" i="9" a="1"/>
  <c r="E96" i="9" s="1"/>
  <c r="E112" i="9" a="1"/>
  <c r="E112" i="9" s="1"/>
  <c r="E120" i="9" a="1"/>
  <c r="E120" i="9" s="1"/>
  <c r="E116" i="9" a="1"/>
  <c r="E116" i="9" s="1"/>
  <c r="E130" i="9" a="1"/>
  <c r="E130" i="9" s="1"/>
  <c r="E10" i="9" a="1"/>
  <c r="E10" i="9" s="1"/>
  <c r="C31" i="9" a="1"/>
  <c r="C31" i="9" s="1"/>
  <c r="C47" i="9" a="1"/>
  <c r="C47" i="9" s="1"/>
  <c r="D57" i="9" a="1"/>
  <c r="D57" i="9" s="1"/>
  <c r="B64" i="9" a="1"/>
  <c r="B64" i="9" s="1"/>
  <c r="B74" i="9" a="1"/>
  <c r="B74" i="9" s="1"/>
  <c r="C76" i="9" a="1"/>
  <c r="C76" i="9" s="1"/>
  <c r="B90" i="9" a="1"/>
  <c r="B90" i="9" s="1"/>
  <c r="C95" i="9" a="1"/>
  <c r="C95" i="9" s="1"/>
  <c r="E100" i="9" a="1"/>
  <c r="E100" i="9" s="1"/>
  <c r="C116" i="9" a="1"/>
  <c r="C116" i="9" s="1"/>
  <c r="E126" i="9" a="1"/>
  <c r="E126" i="9" s="1"/>
  <c r="C130" i="9" a="1"/>
  <c r="C130" i="9" s="1"/>
  <c r="B134" i="9" a="1"/>
  <c r="B134" i="9" s="1"/>
  <c r="B135" i="9" a="1"/>
  <c r="B135" i="9" s="1"/>
  <c r="B136" i="9" a="1"/>
  <c r="B136" i="9" s="1"/>
  <c r="C6" i="9" a="1"/>
  <c r="C6" i="9" s="1"/>
  <c r="B7" i="9" a="1"/>
  <c r="B7" i="9" s="1"/>
  <c r="E7" i="9" a="1"/>
  <c r="E7" i="9" s="1"/>
  <c r="C9" i="9" a="1"/>
  <c r="C9" i="9" s="1"/>
  <c r="C14" i="9" a="1"/>
  <c r="C14" i="9" s="1"/>
  <c r="B15" i="9" a="1"/>
  <c r="B15" i="9" s="1"/>
  <c r="E15" i="9" a="1"/>
  <c r="E15" i="9" s="1"/>
  <c r="C17" i="9" a="1"/>
  <c r="C17" i="9" s="1"/>
  <c r="C22" i="9" a="1"/>
  <c r="C22" i="9" s="1"/>
  <c r="B23" i="9" a="1"/>
  <c r="B23" i="9" s="1"/>
  <c r="E23" i="9" a="1"/>
  <c r="E23" i="9" s="1"/>
  <c r="C25" i="9" a="1"/>
  <c r="C25" i="9" s="1"/>
  <c r="D31" i="9" a="1"/>
  <c r="D31" i="9" s="1"/>
  <c r="B32" i="9" a="1"/>
  <c r="B32" i="9" s="1"/>
  <c r="D35" i="9" a="1"/>
  <c r="D35" i="9" s="1"/>
  <c r="B36" i="9" a="1"/>
  <c r="B36" i="9" s="1"/>
  <c r="D39" i="9" a="1"/>
  <c r="D39" i="9" s="1"/>
  <c r="B40" i="9" a="1"/>
  <c r="B40" i="9" s="1"/>
  <c r="D43" i="9" a="1"/>
  <c r="D43" i="9" s="1"/>
  <c r="B44" i="9" a="1"/>
  <c r="B44" i="9" s="1"/>
  <c r="D47" i="9" a="1"/>
  <c r="D47" i="9" s="1"/>
  <c r="B48" i="9" a="1"/>
  <c r="B48" i="9" s="1"/>
  <c r="D51" i="9" a="1"/>
  <c r="D51" i="9" s="1"/>
  <c r="C66" i="9" a="1"/>
  <c r="C66" i="9" s="1"/>
  <c r="E68" i="9" a="1"/>
  <c r="E68" i="9" s="1"/>
  <c r="B68" i="9" a="1"/>
  <c r="B68" i="9" s="1"/>
  <c r="C70" i="9" a="1"/>
  <c r="C70" i="9" s="1"/>
  <c r="C78" i="9" a="1"/>
  <c r="C78" i="9" s="1"/>
  <c r="B78" i="9" a="1"/>
  <c r="B78" i="9" s="1"/>
  <c r="D82" i="9" a="1"/>
  <c r="D82" i="9" s="1"/>
  <c r="C82" i="9" a="1"/>
  <c r="C82" i="9" s="1"/>
  <c r="E92" i="9" a="1"/>
  <c r="E92" i="9" s="1"/>
  <c r="B92" i="9" a="1"/>
  <c r="B92" i="9" s="1"/>
  <c r="E104" i="9" a="1"/>
  <c r="E104" i="9" s="1"/>
  <c r="B104" i="9" a="1"/>
  <c r="B104" i="9" s="1"/>
  <c r="C108" i="9" a="1"/>
  <c r="C108" i="9" s="1"/>
  <c r="C110" i="9" a="1"/>
  <c r="C110" i="9" s="1"/>
  <c r="E110" i="9" a="1"/>
  <c r="E110" i="9" s="1"/>
  <c r="D110" i="9" a="1"/>
  <c r="D110" i="9" s="1"/>
  <c r="E125" i="9" a="1"/>
  <c r="E125" i="9" s="1"/>
  <c r="E138" i="9" a="1"/>
  <c r="E138" i="9" s="1"/>
  <c r="B138" i="9" a="1"/>
  <c r="B138" i="9" s="1"/>
  <c r="E142" i="9" a="1"/>
  <c r="E142" i="9" s="1"/>
  <c r="B142" i="9" a="1"/>
  <c r="B142" i="9" s="1"/>
  <c r="E146" i="9" a="1"/>
  <c r="E146" i="9" s="1"/>
  <c r="B146" i="9" a="1"/>
  <c r="B146" i="9" s="1"/>
  <c r="E150" i="9" a="1"/>
  <c r="E150" i="9" s="1"/>
  <c r="B150" i="9" a="1"/>
  <c r="B150" i="9" s="1"/>
  <c r="E154" i="9" a="1"/>
  <c r="E154" i="9" s="1"/>
  <c r="B154" i="9" a="1"/>
  <c r="B154" i="9" s="1"/>
  <c r="E158" i="9" a="1"/>
  <c r="E158" i="9" s="1"/>
  <c r="B158" i="9" a="1"/>
  <c r="B158" i="9" s="1"/>
  <c r="E162" i="9" a="1"/>
  <c r="E162" i="9" s="1"/>
  <c r="B162" i="9" a="1"/>
  <c r="B162" i="9" s="1"/>
  <c r="D15" i="9" a="1"/>
  <c r="D15" i="9" s="1"/>
  <c r="E139" i="9" a="1"/>
  <c r="E139" i="9" s="1"/>
  <c r="D139" i="9" a="1"/>
  <c r="D139" i="9" s="1"/>
  <c r="E147" i="9" a="1"/>
  <c r="E147" i="9" s="1"/>
  <c r="D147" i="9" a="1"/>
  <c r="D147" i="9" s="1"/>
  <c r="E159" i="9" a="1"/>
  <c r="E159" i="9" s="1"/>
  <c r="D159" i="9" a="1"/>
  <c r="D159" i="9" s="1"/>
  <c r="D3" i="9" a="1"/>
  <c r="D3" i="9" s="1"/>
  <c r="D11" i="9" a="1"/>
  <c r="D11" i="9" s="1"/>
  <c r="D19" i="9" a="1"/>
  <c r="D19" i="9" s="1"/>
  <c r="D27" i="9" a="1"/>
  <c r="D27" i="9" s="1"/>
  <c r="B31" i="9" a="1"/>
  <c r="B31" i="9" s="1"/>
  <c r="B33" i="9" a="1"/>
  <c r="B33" i="9" s="1"/>
  <c r="B35" i="9" a="1"/>
  <c r="B35" i="9" s="1"/>
  <c r="B37" i="9" a="1"/>
  <c r="B37" i="9" s="1"/>
  <c r="B39" i="9" a="1"/>
  <c r="B39" i="9" s="1"/>
  <c r="B41" i="9" a="1"/>
  <c r="B41" i="9" s="1"/>
  <c r="B43" i="9" a="1"/>
  <c r="B43" i="9" s="1"/>
  <c r="B45" i="9" a="1"/>
  <c r="B45" i="9" s="1"/>
  <c r="B47" i="9" a="1"/>
  <c r="B47" i="9" s="1"/>
  <c r="B49" i="9" a="1"/>
  <c r="B49" i="9" s="1"/>
  <c r="B51" i="9" a="1"/>
  <c r="B51" i="9" s="1"/>
  <c r="E55" i="9" a="1"/>
  <c r="E55" i="9" s="1"/>
  <c r="E59" i="9" a="1"/>
  <c r="E59" i="9" s="1"/>
  <c r="E63" i="9" a="1"/>
  <c r="E63" i="9" s="1"/>
  <c r="E66" i="9" a="1"/>
  <c r="E66" i="9" s="1"/>
  <c r="D68" i="9" a="1"/>
  <c r="D68" i="9" s="1"/>
  <c r="D70" i="9" a="1"/>
  <c r="D70" i="9" s="1"/>
  <c r="D78" i="9" a="1"/>
  <c r="D78" i="9" s="1"/>
  <c r="B82" i="9" a="1"/>
  <c r="B82" i="9" s="1"/>
  <c r="C92" i="9" a="1"/>
  <c r="C92" i="9" s="1"/>
  <c r="C94" i="9" a="1"/>
  <c r="C94" i="9" s="1"/>
  <c r="E94" i="9" a="1"/>
  <c r="E94" i="9" s="1"/>
  <c r="D94" i="9" a="1"/>
  <c r="D94" i="9" s="1"/>
  <c r="C104" i="9" a="1"/>
  <c r="C104" i="9" s="1"/>
  <c r="E107" i="9" a="1"/>
  <c r="E107" i="9" s="1"/>
  <c r="C107" i="9" a="1"/>
  <c r="C107" i="9" s="1"/>
  <c r="D124" i="9" a="1"/>
  <c r="D124" i="9" s="1"/>
  <c r="C124" i="9" a="1"/>
  <c r="C124" i="9" s="1"/>
  <c r="B124" i="9" a="1"/>
  <c r="B124" i="9" s="1"/>
  <c r="C138" i="9" a="1"/>
  <c r="C138" i="9" s="1"/>
  <c r="C142" i="9" a="1"/>
  <c r="C142" i="9" s="1"/>
  <c r="C146" i="9" a="1"/>
  <c r="C146" i="9" s="1"/>
  <c r="C150" i="9" a="1"/>
  <c r="C150" i="9" s="1"/>
  <c r="C154" i="9" a="1"/>
  <c r="C154" i="9" s="1"/>
  <c r="C158" i="9" a="1"/>
  <c r="C158" i="9" s="1"/>
  <c r="C162" i="9" a="1"/>
  <c r="C162" i="9" s="1"/>
  <c r="D7" i="9" a="1"/>
  <c r="D7" i="9" s="1"/>
  <c r="D23" i="9" a="1"/>
  <c r="D23" i="9" s="1"/>
  <c r="E108" i="9" a="1"/>
  <c r="E108" i="9" s="1"/>
  <c r="B108" i="9" a="1"/>
  <c r="B108" i="9" s="1"/>
  <c r="E113" i="9" a="1"/>
  <c r="E113" i="9" s="1"/>
  <c r="D113" i="9" a="1"/>
  <c r="D113" i="9" s="1"/>
  <c r="B113" i="9" a="1"/>
  <c r="B113" i="9" s="1"/>
  <c r="E143" i="9" a="1"/>
  <c r="E143" i="9" s="1"/>
  <c r="D143" i="9" a="1"/>
  <c r="D143" i="9" s="1"/>
  <c r="E151" i="9" a="1"/>
  <c r="E151" i="9" s="1"/>
  <c r="D151" i="9" a="1"/>
  <c r="D151" i="9" s="1"/>
  <c r="E155" i="9" a="1"/>
  <c r="E155" i="9" s="1"/>
  <c r="D155" i="9" a="1"/>
  <c r="D155" i="9" s="1"/>
  <c r="E163" i="9" a="1"/>
  <c r="E163" i="9" s="1"/>
  <c r="D163" i="9" a="1"/>
  <c r="D163" i="9" s="1"/>
  <c r="B3" i="9" a="1"/>
  <c r="B3" i="9" s="1"/>
  <c r="B11" i="9" a="1"/>
  <c r="B11" i="9" s="1"/>
  <c r="B19" i="9" a="1"/>
  <c r="B19" i="9" s="1"/>
  <c r="C21" i="9" a="1"/>
  <c r="C21" i="9" s="1"/>
  <c r="B27" i="9" a="1"/>
  <c r="B27" i="9" s="1"/>
  <c r="C29" i="9" a="1"/>
  <c r="C29" i="9" s="1"/>
  <c r="D32" i="9" a="1"/>
  <c r="D32" i="9" s="1"/>
  <c r="D36" i="9" a="1"/>
  <c r="D36" i="9" s="1"/>
  <c r="D40" i="9" a="1"/>
  <c r="D40" i="9" s="1"/>
  <c r="D44" i="9" a="1"/>
  <c r="D44" i="9" s="1"/>
  <c r="D48" i="9" a="1"/>
  <c r="D48" i="9" s="1"/>
  <c r="E70" i="9" a="1"/>
  <c r="E70" i="9" s="1"/>
  <c r="C72" i="9" a="1"/>
  <c r="C72" i="9" s="1"/>
  <c r="E78" i="9" a="1"/>
  <c r="E78" i="9" s="1"/>
  <c r="C80" i="9" a="1"/>
  <c r="C80" i="9" s="1"/>
  <c r="E82" i="9" a="1"/>
  <c r="E82" i="9" s="1"/>
  <c r="E91" i="9" a="1"/>
  <c r="E91" i="9" s="1"/>
  <c r="C91" i="9" a="1"/>
  <c r="C91" i="9" s="1"/>
  <c r="D92" i="9" a="1"/>
  <c r="D92" i="9" s="1"/>
  <c r="D104" i="9" a="1"/>
  <c r="D104" i="9" s="1"/>
  <c r="C111" i="9" a="1"/>
  <c r="C111" i="9" s="1"/>
  <c r="E117" i="9" a="1"/>
  <c r="E117" i="9" s="1"/>
  <c r="D117" i="9" a="1"/>
  <c r="D117" i="9" s="1"/>
  <c r="B117" i="9" a="1"/>
  <c r="B117" i="9" s="1"/>
  <c r="E124" i="9" a="1"/>
  <c r="E124" i="9" s="1"/>
  <c r="E131" i="9" a="1"/>
  <c r="E131" i="9" s="1"/>
  <c r="D131" i="9" a="1"/>
  <c r="D131" i="9" s="1"/>
  <c r="B131" i="9" a="1"/>
  <c r="B131" i="9" s="1"/>
  <c r="D138" i="9" a="1"/>
  <c r="D138" i="9" s="1"/>
  <c r="E140" i="9" a="1"/>
  <c r="E140" i="9" s="1"/>
  <c r="D140" i="9" a="1"/>
  <c r="D140" i="9" s="1"/>
  <c r="B140" i="9" a="1"/>
  <c r="B140" i="9" s="1"/>
  <c r="D142" i="9" a="1"/>
  <c r="D142" i="9" s="1"/>
  <c r="E144" i="9" a="1"/>
  <c r="E144" i="9" s="1"/>
  <c r="D144" i="9" a="1"/>
  <c r="D144" i="9" s="1"/>
  <c r="B144" i="9" a="1"/>
  <c r="B144" i="9" s="1"/>
  <c r="D146" i="9" a="1"/>
  <c r="D146" i="9" s="1"/>
  <c r="E148" i="9" a="1"/>
  <c r="E148" i="9" s="1"/>
  <c r="D148" i="9" a="1"/>
  <c r="D148" i="9" s="1"/>
  <c r="B148" i="9" a="1"/>
  <c r="B148" i="9" s="1"/>
  <c r="D150" i="9" a="1"/>
  <c r="D150" i="9" s="1"/>
  <c r="E152" i="9" a="1"/>
  <c r="E152" i="9" s="1"/>
  <c r="D152" i="9" a="1"/>
  <c r="D152" i="9" s="1"/>
  <c r="B152" i="9" a="1"/>
  <c r="B152" i="9" s="1"/>
  <c r="D154" i="9" a="1"/>
  <c r="D154" i="9" s="1"/>
  <c r="E156" i="9" a="1"/>
  <c r="E156" i="9" s="1"/>
  <c r="D156" i="9" a="1"/>
  <c r="D156" i="9" s="1"/>
  <c r="B156" i="9" a="1"/>
  <c r="B156" i="9" s="1"/>
  <c r="D158" i="9" a="1"/>
  <c r="D158" i="9" s="1"/>
  <c r="E160" i="9" a="1"/>
  <c r="E160" i="9" s="1"/>
  <c r="D160" i="9" a="1"/>
  <c r="D160" i="9" s="1"/>
  <c r="B160" i="9" a="1"/>
  <c r="B160" i="9" s="1"/>
  <c r="D162" i="9" a="1"/>
  <c r="D162" i="9" s="1"/>
  <c r="E164" i="9" a="1"/>
  <c r="E164" i="9" s="1"/>
  <c r="D164" i="9" a="1"/>
  <c r="D164" i="9" s="1"/>
  <c r="B164" i="9" a="1"/>
  <c r="B164" i="9" s="1"/>
  <c r="D74" i="9" a="1"/>
  <c r="D74" i="9" s="1"/>
  <c r="E89" i="9" a="1"/>
  <c r="E89" i="9" s="1"/>
  <c r="C90" i="9" a="1"/>
  <c r="C90" i="9" s="1"/>
  <c r="C96" i="9" a="1"/>
  <c r="C96" i="9" s="1"/>
  <c r="C100" i="9" a="1"/>
  <c r="C100" i="9" s="1"/>
  <c r="C112" i="9" a="1"/>
  <c r="C112" i="9" s="1"/>
  <c r="C120" i="9" a="1"/>
  <c r="C120" i="9" s="1"/>
  <c r="C134" i="9" a="1"/>
  <c r="C134" i="9" s="1"/>
  <c r="D46" i="9" a="1"/>
  <c r="D46" i="9" s="1"/>
  <c r="B46" i="9" a="1"/>
  <c r="B46" i="9" s="1"/>
  <c r="D62" i="9" a="1"/>
  <c r="D62" i="9" s="1"/>
  <c r="B62" i="9" a="1"/>
  <c r="B62" i="9" s="1"/>
  <c r="D88" i="9" a="1"/>
  <c r="D88" i="9" s="1"/>
  <c r="B88" i="9" a="1"/>
  <c r="B88" i="9" s="1"/>
  <c r="E88" i="9" a="1"/>
  <c r="E88" i="9" s="1"/>
  <c r="C88" i="9" a="1"/>
  <c r="C88" i="9" s="1"/>
  <c r="B2" i="9" a="1"/>
  <c r="B2" i="9" s="1"/>
  <c r="D6" i="9" a="1"/>
  <c r="D6" i="9" s="1"/>
  <c r="B6" i="9" a="1"/>
  <c r="B6" i="9" s="1"/>
  <c r="D10" i="9" a="1"/>
  <c r="D10" i="9" s="1"/>
  <c r="B10" i="9" a="1"/>
  <c r="B10" i="9" s="1"/>
  <c r="D14" i="9" a="1"/>
  <c r="D14" i="9" s="1"/>
  <c r="B14" i="9" a="1"/>
  <c r="B14" i="9" s="1"/>
  <c r="D18" i="9" a="1"/>
  <c r="D18" i="9" s="1"/>
  <c r="B18" i="9" a="1"/>
  <c r="B18" i="9" s="1"/>
  <c r="D22" i="9" a="1"/>
  <c r="D22" i="9" s="1"/>
  <c r="B22" i="9" a="1"/>
  <c r="B22" i="9" s="1"/>
  <c r="D26" i="9" a="1"/>
  <c r="D26" i="9" s="1"/>
  <c r="B26" i="9" a="1"/>
  <c r="B26" i="9" s="1"/>
  <c r="E33" i="9" a="1"/>
  <c r="E33" i="9" s="1"/>
  <c r="C33" i="9" a="1"/>
  <c r="C33" i="9" s="1"/>
  <c r="E41" i="9" a="1"/>
  <c r="E41" i="9" s="1"/>
  <c r="C41" i="9" a="1"/>
  <c r="C41" i="9" s="1"/>
  <c r="C46" i="9" a="1"/>
  <c r="C46" i="9" s="1"/>
  <c r="E49" i="9" a="1"/>
  <c r="E49" i="9" s="1"/>
  <c r="C49" i="9" a="1"/>
  <c r="C49" i="9" s="1"/>
  <c r="E57" i="9" a="1"/>
  <c r="E57" i="9" s="1"/>
  <c r="C57" i="9" a="1"/>
  <c r="C57" i="9" s="1"/>
  <c r="C62" i="9" a="1"/>
  <c r="C62" i="9" s="1"/>
  <c r="E65" i="9" a="1"/>
  <c r="E65" i="9" s="1"/>
  <c r="C65" i="9" a="1"/>
  <c r="C65" i="9" s="1"/>
  <c r="D65" i="9" a="1"/>
  <c r="D65" i="9" s="1"/>
  <c r="C106" i="9" a="1"/>
  <c r="C106" i="9" s="1"/>
  <c r="E106" i="9" a="1"/>
  <c r="E106" i="9" s="1"/>
  <c r="D106" i="9" a="1"/>
  <c r="D106" i="9" s="1"/>
  <c r="B106" i="9" a="1"/>
  <c r="B106" i="9" s="1"/>
  <c r="E2" i="9" a="1"/>
  <c r="E2" i="9" s="1"/>
  <c r="D5" i="9" a="1"/>
  <c r="D5" i="9" s="1"/>
  <c r="D9" i="9" a="1"/>
  <c r="D9" i="9" s="1"/>
  <c r="D13" i="9" a="1"/>
  <c r="D13" i="9" s="1"/>
  <c r="D17" i="9" a="1"/>
  <c r="D17" i="9" s="1"/>
  <c r="D21" i="9" a="1"/>
  <c r="D21" i="9" s="1"/>
  <c r="D25" i="9" a="1"/>
  <c r="D25" i="9" s="1"/>
  <c r="D29" i="9" a="1"/>
  <c r="D29" i="9" s="1"/>
  <c r="D34" i="9" a="1"/>
  <c r="D34" i="9" s="1"/>
  <c r="B34" i="9" a="1"/>
  <c r="B34" i="9" s="1"/>
  <c r="D42" i="9" a="1"/>
  <c r="D42" i="9" s="1"/>
  <c r="B42" i="9" a="1"/>
  <c r="B42" i="9" s="1"/>
  <c r="D50" i="9" a="1"/>
  <c r="D50" i="9" s="1"/>
  <c r="B50" i="9" a="1"/>
  <c r="B50" i="9" s="1"/>
  <c r="D58" i="9" a="1"/>
  <c r="D58" i="9" s="1"/>
  <c r="B58" i="9" a="1"/>
  <c r="B58" i="9" s="1"/>
  <c r="D69" i="9" a="1"/>
  <c r="D69" i="9" s="1"/>
  <c r="C69" i="9" a="1"/>
  <c r="C69" i="9" s="1"/>
  <c r="E69" i="9" a="1"/>
  <c r="E69" i="9" s="1"/>
  <c r="B69" i="9" a="1"/>
  <c r="B69" i="9" s="1"/>
  <c r="C98" i="9" a="1"/>
  <c r="C98" i="9" s="1"/>
  <c r="E98" i="9" a="1"/>
  <c r="E98" i="9" s="1"/>
  <c r="D98" i="9" a="1"/>
  <c r="D98" i="9" s="1"/>
  <c r="B98" i="9" a="1"/>
  <c r="B98" i="9" s="1"/>
  <c r="D30" i="9" a="1"/>
  <c r="D30" i="9" s="1"/>
  <c r="B30" i="9" a="1"/>
  <c r="B30" i="9" s="1"/>
  <c r="D38" i="9" a="1"/>
  <c r="D38" i="9" s="1"/>
  <c r="B38" i="9" a="1"/>
  <c r="B38" i="9" s="1"/>
  <c r="D54" i="9" a="1"/>
  <c r="D54" i="9" s="1"/>
  <c r="B54" i="9" a="1"/>
  <c r="B54" i="9" s="1"/>
  <c r="C2" i="9" a="1"/>
  <c r="C2" i="9" s="1"/>
  <c r="E4" i="9" a="1"/>
  <c r="E4" i="9" s="1"/>
  <c r="C4" i="9" a="1"/>
  <c r="C4" i="9" s="1"/>
  <c r="D4" i="9" a="1"/>
  <c r="D4" i="9" s="1"/>
  <c r="B5" i="9" a="1"/>
  <c r="B5" i="9" s="1"/>
  <c r="E8" i="9" a="1"/>
  <c r="E8" i="9" s="1"/>
  <c r="C8" i="9" a="1"/>
  <c r="C8" i="9" s="1"/>
  <c r="D8" i="9" a="1"/>
  <c r="D8" i="9" s="1"/>
  <c r="B9" i="9" a="1"/>
  <c r="B9" i="9" s="1"/>
  <c r="E12" i="9" a="1"/>
  <c r="E12" i="9" s="1"/>
  <c r="C12" i="9" a="1"/>
  <c r="C12" i="9" s="1"/>
  <c r="D12" i="9" a="1"/>
  <c r="D12" i="9" s="1"/>
  <c r="B13" i="9" a="1"/>
  <c r="B13" i="9" s="1"/>
  <c r="E16" i="9" a="1"/>
  <c r="E16" i="9" s="1"/>
  <c r="C16" i="9" a="1"/>
  <c r="C16" i="9" s="1"/>
  <c r="D16" i="9" a="1"/>
  <c r="D16" i="9" s="1"/>
  <c r="B17" i="9" a="1"/>
  <c r="B17" i="9" s="1"/>
  <c r="E20" i="9" a="1"/>
  <c r="E20" i="9" s="1"/>
  <c r="C20" i="9" a="1"/>
  <c r="C20" i="9" s="1"/>
  <c r="D20" i="9" a="1"/>
  <c r="D20" i="9" s="1"/>
  <c r="B21" i="9" a="1"/>
  <c r="B21" i="9" s="1"/>
  <c r="E24" i="9" a="1"/>
  <c r="E24" i="9" s="1"/>
  <c r="C24" i="9" a="1"/>
  <c r="C24" i="9" s="1"/>
  <c r="D24" i="9" a="1"/>
  <c r="D24" i="9" s="1"/>
  <c r="B25" i="9" a="1"/>
  <c r="B25" i="9" s="1"/>
  <c r="E28" i="9" a="1"/>
  <c r="E28" i="9" s="1"/>
  <c r="C28" i="9" a="1"/>
  <c r="C28" i="9" s="1"/>
  <c r="D28" i="9" a="1"/>
  <c r="D28" i="9" s="1"/>
  <c r="B29" i="9" a="1"/>
  <c r="B29" i="9" s="1"/>
  <c r="E30" i="9" a="1"/>
  <c r="E30" i="9" s="1"/>
  <c r="C34" i="9" a="1"/>
  <c r="C34" i="9" s="1"/>
  <c r="E37" i="9" a="1"/>
  <c r="E37" i="9" s="1"/>
  <c r="C37" i="9" a="1"/>
  <c r="C37" i="9" s="1"/>
  <c r="E38" i="9" a="1"/>
  <c r="E38" i="9" s="1"/>
  <c r="C42" i="9" a="1"/>
  <c r="C42" i="9" s="1"/>
  <c r="E45" i="9" a="1"/>
  <c r="E45" i="9" s="1"/>
  <c r="C45" i="9" a="1"/>
  <c r="C45" i="9" s="1"/>
  <c r="E46" i="9" a="1"/>
  <c r="E46" i="9" s="1"/>
  <c r="C50" i="9" a="1"/>
  <c r="C50" i="9" s="1"/>
  <c r="E53" i="9" a="1"/>
  <c r="E53" i="9" s="1"/>
  <c r="C53" i="9" a="1"/>
  <c r="C53" i="9" s="1"/>
  <c r="E54" i="9" a="1"/>
  <c r="E54" i="9" s="1"/>
  <c r="C58" i="9" a="1"/>
  <c r="C58" i="9" s="1"/>
  <c r="E61" i="9" a="1"/>
  <c r="E61" i="9" s="1"/>
  <c r="C61" i="9" a="1"/>
  <c r="C61" i="9" s="1"/>
  <c r="E62" i="9" a="1"/>
  <c r="E62" i="9" s="1"/>
  <c r="D137" i="9" a="1"/>
  <c r="D137" i="9" s="1"/>
  <c r="B137" i="9" a="1"/>
  <c r="B137" i="9" s="1"/>
  <c r="E137" i="9" a="1"/>
  <c r="E137" i="9" s="1"/>
  <c r="C137" i="9" a="1"/>
  <c r="C137" i="9" s="1"/>
  <c r="D73" i="9" a="1"/>
  <c r="D73" i="9" s="1"/>
  <c r="B73" i="9" a="1"/>
  <c r="B73" i="9" s="1"/>
  <c r="D77" i="9" a="1"/>
  <c r="D77" i="9" s="1"/>
  <c r="B77" i="9" a="1"/>
  <c r="B77" i="9" s="1"/>
  <c r="D81" i="9" a="1"/>
  <c r="D81" i="9" s="1"/>
  <c r="B81" i="9" a="1"/>
  <c r="B81" i="9" s="1"/>
  <c r="D85" i="9" a="1"/>
  <c r="D85" i="9" s="1"/>
  <c r="B85" i="9" a="1"/>
  <c r="B85" i="9" s="1"/>
  <c r="E97" i="9" a="1"/>
  <c r="E97" i="9" s="1"/>
  <c r="C97" i="9" a="1"/>
  <c r="C97" i="9" s="1"/>
  <c r="B97" i="9" a="1"/>
  <c r="B97" i="9" s="1"/>
  <c r="E105" i="9" a="1"/>
  <c r="E105" i="9" s="1"/>
  <c r="C105" i="9" a="1"/>
  <c r="C105" i="9" s="1"/>
  <c r="B105" i="9" a="1"/>
  <c r="B105" i="9" s="1"/>
  <c r="C32" i="9" a="1"/>
  <c r="C32" i="9" s="1"/>
  <c r="C36" i="9" a="1"/>
  <c r="C36" i="9" s="1"/>
  <c r="C40" i="9" a="1"/>
  <c r="C40" i="9" s="1"/>
  <c r="C44" i="9" a="1"/>
  <c r="C44" i="9" s="1"/>
  <c r="C48" i="9" a="1"/>
  <c r="C48" i="9" s="1"/>
  <c r="C52" i="9" a="1"/>
  <c r="C52" i="9" s="1"/>
  <c r="C56" i="9" a="1"/>
  <c r="C56" i="9" s="1"/>
  <c r="C60" i="9" a="1"/>
  <c r="C60" i="9" s="1"/>
  <c r="C64" i="9" a="1"/>
  <c r="C64" i="9" s="1"/>
  <c r="B66" i="9" a="1"/>
  <c r="B66" i="9" s="1"/>
  <c r="C68" i="9" a="1"/>
  <c r="C68" i="9" s="1"/>
  <c r="D72" i="9" a="1"/>
  <c r="D72" i="9" s="1"/>
  <c r="E73" i="9" a="1"/>
  <c r="E73" i="9" s="1"/>
  <c r="D76" i="9" a="1"/>
  <c r="D76" i="9" s="1"/>
  <c r="E77" i="9" a="1"/>
  <c r="E77" i="9" s="1"/>
  <c r="D80" i="9" a="1"/>
  <c r="D80" i="9" s="1"/>
  <c r="E81" i="9" a="1"/>
  <c r="E81" i="9" s="1"/>
  <c r="D84" i="9" a="1"/>
  <c r="D84" i="9" s="1"/>
  <c r="E85" i="9" a="1"/>
  <c r="E85" i="9" s="1"/>
  <c r="D119" i="9" a="1"/>
  <c r="D119" i="9" s="1"/>
  <c r="B119" i="9" a="1"/>
  <c r="B119" i="9" s="1"/>
  <c r="C119" i="9" a="1"/>
  <c r="C119" i="9" s="1"/>
  <c r="E149" i="9" a="1"/>
  <c r="E149" i="9" s="1"/>
  <c r="C149" i="9" a="1"/>
  <c r="C149" i="9" s="1"/>
  <c r="D149" i="9" a="1"/>
  <c r="D149" i="9" s="1"/>
  <c r="B149" i="9" a="1"/>
  <c r="B149" i="9" s="1"/>
  <c r="E71" i="9" a="1"/>
  <c r="E71" i="9" s="1"/>
  <c r="C71" i="9" a="1"/>
  <c r="C71" i="9" s="1"/>
  <c r="D71" i="9" a="1"/>
  <c r="D71" i="9" s="1"/>
  <c r="B72" i="9" a="1"/>
  <c r="B72" i="9" s="1"/>
  <c r="C73" i="9" a="1"/>
  <c r="C73" i="9" s="1"/>
  <c r="E75" i="9" a="1"/>
  <c r="E75" i="9" s="1"/>
  <c r="C75" i="9" a="1"/>
  <c r="C75" i="9" s="1"/>
  <c r="D75" i="9" a="1"/>
  <c r="D75" i="9" s="1"/>
  <c r="B76" i="9" a="1"/>
  <c r="B76" i="9" s="1"/>
  <c r="C77" i="9" a="1"/>
  <c r="C77" i="9" s="1"/>
  <c r="E79" i="9" a="1"/>
  <c r="E79" i="9" s="1"/>
  <c r="C79" i="9" a="1"/>
  <c r="C79" i="9" s="1"/>
  <c r="D79" i="9" a="1"/>
  <c r="D79" i="9" s="1"/>
  <c r="B80" i="9" a="1"/>
  <c r="B80" i="9" s="1"/>
  <c r="C81" i="9" a="1"/>
  <c r="C81" i="9" s="1"/>
  <c r="E83" i="9" a="1"/>
  <c r="E83" i="9" s="1"/>
  <c r="C83" i="9" a="1"/>
  <c r="C83" i="9" s="1"/>
  <c r="D83" i="9" a="1"/>
  <c r="D83" i="9" s="1"/>
  <c r="B84" i="9" a="1"/>
  <c r="B84" i="9" s="1"/>
  <c r="C85" i="9" a="1"/>
  <c r="C85" i="9" s="1"/>
  <c r="E87" i="9" a="1"/>
  <c r="E87" i="9" s="1"/>
  <c r="C87" i="9" a="1"/>
  <c r="C87" i="9" s="1"/>
  <c r="E93" i="9" a="1"/>
  <c r="E93" i="9" s="1"/>
  <c r="C93" i="9" a="1"/>
  <c r="C93" i="9" s="1"/>
  <c r="B93" i="9" a="1"/>
  <c r="B93" i="9" s="1"/>
  <c r="B94" i="9" a="1"/>
  <c r="B94" i="9" s="1"/>
  <c r="D97" i="9" a="1"/>
  <c r="D97" i="9" s="1"/>
  <c r="E101" i="9" a="1"/>
  <c r="E101" i="9" s="1"/>
  <c r="C101" i="9" a="1"/>
  <c r="C101" i="9" s="1"/>
  <c r="B101" i="9" a="1"/>
  <c r="B101" i="9" s="1"/>
  <c r="B102" i="9" a="1"/>
  <c r="B102" i="9" s="1"/>
  <c r="D105" i="9" a="1"/>
  <c r="D105" i="9" s="1"/>
  <c r="E109" i="9" a="1"/>
  <c r="E109" i="9" s="1"/>
  <c r="C109" i="9" a="1"/>
  <c r="C109" i="9" s="1"/>
  <c r="B109" i="9" a="1"/>
  <c r="B109" i="9" s="1"/>
  <c r="B110" i="9" a="1"/>
  <c r="B110" i="9" s="1"/>
  <c r="E118" i="9" a="1"/>
  <c r="E118" i="9" s="1"/>
  <c r="C118" i="9" a="1"/>
  <c r="C118" i="9" s="1"/>
  <c r="D118" i="9" a="1"/>
  <c r="D118" i="9" s="1"/>
  <c r="E119" i="9" a="1"/>
  <c r="E119" i="9" s="1"/>
  <c r="E114" i="9" a="1"/>
  <c r="E114" i="9" s="1"/>
  <c r="C114" i="9" a="1"/>
  <c r="C114" i="9" s="1"/>
  <c r="E122" i="9" a="1"/>
  <c r="E122" i="9" s="1"/>
  <c r="C122" i="9" a="1"/>
  <c r="C122" i="9" s="1"/>
  <c r="E123" i="9" a="1"/>
  <c r="E123" i="9" s="1"/>
  <c r="C123" i="9" a="1"/>
  <c r="C123" i="9" s="1"/>
  <c r="E127" i="9" a="1"/>
  <c r="E127" i="9" s="1"/>
  <c r="C127" i="9" a="1"/>
  <c r="C127" i="9" s="1"/>
  <c r="E141" i="9" a="1"/>
  <c r="E141" i="9" s="1"/>
  <c r="C141" i="9" a="1"/>
  <c r="C141" i="9" s="1"/>
  <c r="D141" i="9" a="1"/>
  <c r="D141" i="9" s="1"/>
  <c r="B141" i="9" a="1"/>
  <c r="B141" i="9" s="1"/>
  <c r="E157" i="9" a="1"/>
  <c r="E157" i="9" s="1"/>
  <c r="C157" i="9" a="1"/>
  <c r="C157" i="9" s="1"/>
  <c r="D157" i="9" a="1"/>
  <c r="D157" i="9" s="1"/>
  <c r="B157" i="9" a="1"/>
  <c r="B157" i="9" s="1"/>
  <c r="B89" i="9" a="1"/>
  <c r="B89" i="9" s="1"/>
  <c r="D91" i="9" a="1"/>
  <c r="D91" i="9" s="1"/>
  <c r="B91" i="9" a="1"/>
  <c r="B91" i="9" s="1"/>
  <c r="D95" i="9" a="1"/>
  <c r="D95" i="9" s="1"/>
  <c r="B95" i="9" a="1"/>
  <c r="B95" i="9" s="1"/>
  <c r="D99" i="9" a="1"/>
  <c r="D99" i="9" s="1"/>
  <c r="B99" i="9" a="1"/>
  <c r="B99" i="9" s="1"/>
  <c r="D103" i="9" a="1"/>
  <c r="D103" i="9" s="1"/>
  <c r="B103" i="9" a="1"/>
  <c r="B103" i="9" s="1"/>
  <c r="D107" i="9" a="1"/>
  <c r="D107" i="9" s="1"/>
  <c r="B107" i="9" a="1"/>
  <c r="B107" i="9" s="1"/>
  <c r="D111" i="9" a="1"/>
  <c r="D111" i="9" s="1"/>
  <c r="B111" i="9" a="1"/>
  <c r="B111" i="9" s="1"/>
  <c r="B114" i="9" a="1"/>
  <c r="B114" i="9" s="1"/>
  <c r="D115" i="9" a="1"/>
  <c r="D115" i="9" s="1"/>
  <c r="B115" i="9" a="1"/>
  <c r="B115" i="9" s="1"/>
  <c r="B122" i="9" a="1"/>
  <c r="B122" i="9" s="1"/>
  <c r="B123" i="9" a="1"/>
  <c r="B123" i="9" s="1"/>
  <c r="B127" i="9" a="1"/>
  <c r="B127" i="9" s="1"/>
  <c r="E132" i="9" a="1"/>
  <c r="E132" i="9" s="1"/>
  <c r="C132" i="9" a="1"/>
  <c r="C132" i="9" s="1"/>
  <c r="B132" i="9" a="1"/>
  <c r="B132" i="9" s="1"/>
  <c r="C113" i="9" a="1"/>
  <c r="C113" i="9" s="1"/>
  <c r="C117" i="9" a="1"/>
  <c r="C117" i="9" s="1"/>
  <c r="C121" i="9" a="1"/>
  <c r="C121" i="9" s="1"/>
  <c r="D125" i="9" a="1"/>
  <c r="D125" i="9" s="1"/>
  <c r="B125" i="9" a="1"/>
  <c r="B125" i="9" s="1"/>
  <c r="D129" i="9" a="1"/>
  <c r="D129" i="9" s="1"/>
  <c r="B129" i="9" a="1"/>
  <c r="B129" i="9" s="1"/>
  <c r="D133" i="9" a="1"/>
  <c r="D133" i="9" s="1"/>
  <c r="B133" i="9" a="1"/>
  <c r="B133" i="9" s="1"/>
  <c r="E145" i="9" a="1"/>
  <c r="E145" i="9" s="1"/>
  <c r="C145" i="9" a="1"/>
  <c r="C145" i="9" s="1"/>
  <c r="D145" i="9" a="1"/>
  <c r="D145" i="9" s="1"/>
  <c r="B145" i="9" a="1"/>
  <c r="B145" i="9" s="1"/>
  <c r="E153" i="9" a="1"/>
  <c r="E153" i="9" s="1"/>
  <c r="C153" i="9" a="1"/>
  <c r="C153" i="9" s="1"/>
  <c r="D153" i="9" a="1"/>
  <c r="D153" i="9" s="1"/>
  <c r="B153" i="9" a="1"/>
  <c r="B153" i="9" s="1"/>
  <c r="E161" i="9" a="1"/>
  <c r="E161" i="9" s="1"/>
  <c r="C161" i="9" a="1"/>
  <c r="C161" i="9" s="1"/>
  <c r="D161" i="9" a="1"/>
  <c r="D161" i="9" s="1"/>
  <c r="B161" i="9" a="1"/>
  <c r="B161" i="9" s="1"/>
  <c r="E136" i="9" a="1"/>
  <c r="E136" i="9" s="1"/>
  <c r="C136" i="9" a="1"/>
  <c r="C136" i="9" s="1"/>
  <c r="C131" i="9" a="1"/>
  <c r="C131" i="9" s="1"/>
  <c r="C135" i="9" a="1"/>
  <c r="C135" i="9" s="1"/>
  <c r="C139" i="9" a="1"/>
  <c r="C139" i="9" s="1"/>
  <c r="C143" i="9" a="1"/>
  <c r="C143" i="9" s="1"/>
  <c r="C147" i="9" a="1"/>
  <c r="C147" i="9" s="1"/>
  <c r="C151" i="9" a="1"/>
  <c r="C151" i="9" s="1"/>
  <c r="C155" i="9" a="1"/>
  <c r="C155" i="9" s="1"/>
  <c r="C159" i="9" a="1"/>
  <c r="C159" i="9" s="1"/>
  <c r="C163" i="9" a="1"/>
  <c r="C163" i="9" s="1"/>
  <c r="C140" i="9" a="1"/>
  <c r="C140" i="9" s="1"/>
  <c r="C144" i="9" a="1"/>
  <c r="C144" i="9" s="1"/>
  <c r="C148" i="9" a="1"/>
  <c r="C148" i="9" s="1"/>
  <c r="C152" i="9" a="1"/>
  <c r="C152" i="9" s="1"/>
  <c r="C156" i="9" a="1"/>
  <c r="C156" i="9" s="1"/>
  <c r="C160" i="9" a="1"/>
  <c r="C160" i="9" s="1"/>
  <c r="C164" i="9" a="1"/>
  <c r="C164" i="9" s="1"/>
  <c r="U181" i="8"/>
  <c r="U190" i="8"/>
  <c r="U191" i="8"/>
  <c r="U189" i="8"/>
  <c r="U172" i="8"/>
  <c r="U182" i="8"/>
  <c r="U180" i="8"/>
  <c r="U173" i="8"/>
  <c r="P181" i="8"/>
  <c r="P173" i="8"/>
  <c r="Q173" i="8" s="1"/>
  <c r="P191" i="8"/>
  <c r="P189" i="8"/>
  <c r="P172" i="8"/>
  <c r="Q172" i="8" s="1"/>
  <c r="P182" i="8"/>
  <c r="P180" i="8"/>
  <c r="P190" i="8"/>
  <c r="K181" i="8"/>
  <c r="K173" i="8"/>
  <c r="K191" i="8"/>
  <c r="K189" i="8"/>
  <c r="K172" i="8"/>
  <c r="K190" i="8"/>
  <c r="K182" i="8"/>
  <c r="K180" i="8"/>
  <c r="F181" i="8"/>
  <c r="G181" i="8" s="1"/>
  <c r="F173" i="8"/>
  <c r="G173" i="8" s="1"/>
  <c r="F191" i="8"/>
  <c r="G191" i="8" s="1"/>
  <c r="F189" i="8"/>
  <c r="G189" i="8" s="1"/>
  <c r="F172" i="8"/>
  <c r="G172" i="8" s="1"/>
  <c r="F182" i="8"/>
  <c r="G182" i="8" s="1"/>
  <c r="F180" i="8"/>
  <c r="G180" i="8" s="1"/>
  <c r="F190" i="8"/>
  <c r="G190" i="8" s="1"/>
  <c r="D57" i="8" a="1"/>
  <c r="D57" i="8" s="1"/>
  <c r="E170" i="2" a="1"/>
  <c r="E170" i="2" s="1"/>
  <c r="C5" i="8" a="1"/>
  <c r="C5" i="8" s="1"/>
  <c r="F5" i="8" a="1"/>
  <c r="F5" i="8" s="1"/>
  <c r="C29" i="8" a="1"/>
  <c r="C29" i="8" s="1"/>
  <c r="E79" i="8" a="1"/>
  <c r="E79" i="8" s="1"/>
  <c r="B9" i="8" a="1"/>
  <c r="B9" i="8" s="1"/>
  <c r="D37" i="8" a="1"/>
  <c r="D37" i="8" s="1"/>
  <c r="E107" i="8" a="1"/>
  <c r="E107" i="8" s="1"/>
  <c r="C37" i="8" a="1"/>
  <c r="C37" i="8" s="1"/>
  <c r="D65" i="8" a="1"/>
  <c r="D65" i="8" s="1"/>
  <c r="D91" i="8" a="1"/>
  <c r="D91" i="8" s="1"/>
  <c r="C17" i="8" a="1"/>
  <c r="C17" i="8" s="1"/>
  <c r="F29" i="8" a="1"/>
  <c r="F29" i="8" s="1"/>
  <c r="C49" i="8" a="1"/>
  <c r="C49" i="8" s="1"/>
  <c r="D101" i="8" a="1"/>
  <c r="D101" i="8" s="1"/>
  <c r="B119" i="8" a="1"/>
  <c r="B119" i="8" s="1"/>
  <c r="C121" i="8" a="1"/>
  <c r="C121" i="8" s="1"/>
  <c r="F138" i="8" a="1"/>
  <c r="F138" i="8" s="1"/>
  <c r="D119" i="8" a="1"/>
  <c r="D119" i="8" s="1"/>
  <c r="D121" i="8" a="1"/>
  <c r="D121" i="8" s="1"/>
  <c r="F17" i="8" a="1"/>
  <c r="F17" i="8" s="1"/>
  <c r="B65" i="8" a="1"/>
  <c r="B65" i="8" s="1"/>
  <c r="D89" i="8" a="1"/>
  <c r="D89" i="8" s="1"/>
  <c r="E2" i="8" a="1"/>
  <c r="E2" i="8" s="1"/>
  <c r="C6" i="8" a="1"/>
  <c r="C6" i="8" s="1"/>
  <c r="F8" i="8" a="1"/>
  <c r="F8" i="8" s="1"/>
  <c r="F9" i="8" a="1"/>
  <c r="F9" i="8" s="1"/>
  <c r="F16" i="8" a="1"/>
  <c r="F16" i="8" s="1"/>
  <c r="C33" i="8" a="1"/>
  <c r="C33" i="8" s="1"/>
  <c r="C55" i="8" a="1"/>
  <c r="C55" i="8" s="1"/>
  <c r="B57" i="8" a="1"/>
  <c r="B57" i="8" s="1"/>
  <c r="B61" i="8" a="1"/>
  <c r="B61" i="8" s="1"/>
  <c r="B79" i="8" a="1"/>
  <c r="B79" i="8" s="1"/>
  <c r="C87" i="8" a="1"/>
  <c r="C87" i="8" s="1"/>
  <c r="B89" i="8" a="1"/>
  <c r="B89" i="8" s="1"/>
  <c r="C99" i="8" a="1"/>
  <c r="C99" i="8" s="1"/>
  <c r="B101" i="8" a="1"/>
  <c r="B101" i="8" s="1"/>
  <c r="B105" i="8" a="1"/>
  <c r="B105" i="8" s="1"/>
  <c r="D111" i="8" a="1"/>
  <c r="D111" i="8" s="1"/>
  <c r="C127" i="8" a="1"/>
  <c r="C127" i="8" s="1"/>
  <c r="B138" i="8" a="1"/>
  <c r="B138" i="8" s="1"/>
  <c r="E146" i="8" a="1"/>
  <c r="E146" i="8" s="1"/>
  <c r="E152" i="8" a="1"/>
  <c r="E152" i="8" s="1"/>
  <c r="B158" i="8" a="1"/>
  <c r="B158" i="8" s="1"/>
  <c r="F4" i="8" a="1"/>
  <c r="F4" i="8" s="1"/>
  <c r="B8" i="8" a="1"/>
  <c r="B8" i="8" s="1"/>
  <c r="D20" i="8" a="1"/>
  <c r="D20" i="8" s="1"/>
  <c r="D83" i="8" a="1"/>
  <c r="D83" i="8" s="1"/>
  <c r="B111" i="8" a="1"/>
  <c r="B111" i="8" s="1"/>
  <c r="D152" i="8" a="1"/>
  <c r="D152" i="8" s="1"/>
  <c r="F162" i="8" a="1"/>
  <c r="F162" i="8" s="1"/>
  <c r="E55" i="8" a="1"/>
  <c r="E55" i="8" s="1"/>
  <c r="C57" i="8" a="1"/>
  <c r="C57" i="8" s="1"/>
  <c r="D59" i="8" a="1"/>
  <c r="D59" i="8" s="1"/>
  <c r="E61" i="8" a="1"/>
  <c r="E61" i="8" s="1"/>
  <c r="E69" i="8" a="1"/>
  <c r="E69" i="8" s="1"/>
  <c r="C79" i="8" a="1"/>
  <c r="C79" i="8" s="1"/>
  <c r="E87" i="8" a="1"/>
  <c r="E87" i="8" s="1"/>
  <c r="C89" i="8" a="1"/>
  <c r="C89" i="8" s="1"/>
  <c r="B91" i="8" a="1"/>
  <c r="B91" i="8" s="1"/>
  <c r="E99" i="8" a="1"/>
  <c r="E99" i="8" s="1"/>
  <c r="C101" i="8" a="1"/>
  <c r="C101" i="8" s="1"/>
  <c r="D103" i="8" a="1"/>
  <c r="D103" i="8" s="1"/>
  <c r="E105" i="8" a="1"/>
  <c r="E105" i="8" s="1"/>
  <c r="D107" i="8" a="1"/>
  <c r="D107" i="8" s="1"/>
  <c r="E115" i="8" a="1"/>
  <c r="E115" i="8" s="1"/>
  <c r="E125" i="8" a="1"/>
  <c r="E125" i="8" s="1"/>
  <c r="D138" i="8" a="1"/>
  <c r="D138" i="8" s="1"/>
  <c r="C140" i="8" a="1"/>
  <c r="C140" i="8" s="1"/>
  <c r="C156" i="8" a="1"/>
  <c r="C156" i="8" s="1"/>
  <c r="D158" i="8" a="1"/>
  <c r="D158" i="8" s="1"/>
  <c r="F73" i="8" a="1"/>
  <c r="F73" i="8" s="1"/>
  <c r="F148" i="8" a="1"/>
  <c r="F148" i="8" s="1"/>
  <c r="F25" i="8" a="1"/>
  <c r="F25" i="8" s="1"/>
  <c r="F81" i="8" a="1"/>
  <c r="F81" i="8" s="1"/>
  <c r="E9" i="8" a="1"/>
  <c r="E9" i="8" s="1"/>
  <c r="C21" i="8" a="1"/>
  <c r="C21" i="8" s="1"/>
  <c r="C22" i="8" a="1"/>
  <c r="C22" i="8" s="1"/>
  <c r="B24" i="8" a="1"/>
  <c r="B24" i="8" s="1"/>
  <c r="B25" i="8" a="1"/>
  <c r="B25" i="8" s="1"/>
  <c r="D33" i="8" a="1"/>
  <c r="D33" i="8" s="1"/>
  <c r="C41" i="8" a="1"/>
  <c r="C41" i="8" s="1"/>
  <c r="D49" i="8" a="1"/>
  <c r="D49" i="8" s="1"/>
  <c r="C51" i="8" a="1"/>
  <c r="C51" i="8" s="1"/>
  <c r="F65" i="8" a="1"/>
  <c r="F65" i="8" s="1"/>
  <c r="B73" i="8" a="1"/>
  <c r="B73" i="8" s="1"/>
  <c r="E77" i="8" a="1"/>
  <c r="E77" i="8" s="1"/>
  <c r="B81" i="8" a="1"/>
  <c r="B81" i="8" s="1"/>
  <c r="E83" i="8" a="1"/>
  <c r="E83" i="8" s="1"/>
  <c r="F89" i="8" a="1"/>
  <c r="F89" i="8" s="1"/>
  <c r="C91" i="8" a="1"/>
  <c r="C91" i="8" s="1"/>
  <c r="C95" i="8" a="1"/>
  <c r="C95" i="8" s="1"/>
  <c r="F111" i="8" a="1"/>
  <c r="F111" i="8" s="1"/>
  <c r="B117" i="8" a="1"/>
  <c r="B117" i="8" s="1"/>
  <c r="F119" i="8" a="1"/>
  <c r="F119" i="8" s="1"/>
  <c r="D127" i="8" a="1"/>
  <c r="D127" i="8" s="1"/>
  <c r="D129" i="8" a="1"/>
  <c r="D129" i="8" s="1"/>
  <c r="C138" i="8" a="1"/>
  <c r="C138" i="8" s="1"/>
  <c r="D140" i="8" a="1"/>
  <c r="D140" i="8" s="1"/>
  <c r="D142" i="8" a="1"/>
  <c r="D142" i="8" s="1"/>
  <c r="B144" i="8" a="1"/>
  <c r="B144" i="8" s="1"/>
  <c r="B148" i="8" a="1"/>
  <c r="B148" i="8" s="1"/>
  <c r="E156" i="8" a="1"/>
  <c r="E156" i="8" s="1"/>
  <c r="C158" i="8" a="1"/>
  <c r="C158" i="8" s="1"/>
  <c r="B162" i="8" a="1"/>
  <c r="B162" i="8" s="1"/>
  <c r="E21" i="8" a="1"/>
  <c r="E21" i="8" s="1"/>
  <c r="E22" i="8" a="1"/>
  <c r="E22" i="8" s="1"/>
  <c r="D24" i="8" a="1"/>
  <c r="D24" i="8" s="1"/>
  <c r="C25" i="8" a="1"/>
  <c r="C25" i="8" s="1"/>
  <c r="D41" i="8" a="1"/>
  <c r="D41" i="8" s="1"/>
  <c r="C45" i="8" a="1"/>
  <c r="C45" i="8" s="1"/>
  <c r="F49" i="8" a="1"/>
  <c r="F49" i="8" s="1"/>
  <c r="D51" i="8" a="1"/>
  <c r="D51" i="8" s="1"/>
  <c r="C73" i="8" a="1"/>
  <c r="C73" i="8" s="1"/>
  <c r="C81" i="8" a="1"/>
  <c r="C81" i="8" s="1"/>
  <c r="D95" i="8" a="1"/>
  <c r="D95" i="8" s="1"/>
  <c r="C117" i="8" a="1"/>
  <c r="C117" i="8" s="1"/>
  <c r="F127" i="8" a="1"/>
  <c r="F127" i="8" s="1"/>
  <c r="F140" i="8" a="1"/>
  <c r="F140" i="8" s="1"/>
  <c r="D144" i="8" a="1"/>
  <c r="D144" i="8" s="1"/>
  <c r="C148" i="8" a="1"/>
  <c r="C148" i="8" s="1"/>
  <c r="C162" i="8" a="1"/>
  <c r="C162" i="8" s="1"/>
  <c r="F45" i="8" a="1"/>
  <c r="F45" i="8" s="1"/>
  <c r="D4" i="8" a="1"/>
  <c r="D4" i="8" s="1"/>
  <c r="E5" i="8" a="1"/>
  <c r="E5" i="8" s="1"/>
  <c r="E6" i="8" a="1"/>
  <c r="E6" i="8" s="1"/>
  <c r="D8" i="8" a="1"/>
  <c r="D8" i="8" s="1"/>
  <c r="C9" i="8" a="1"/>
  <c r="C9" i="8" s="1"/>
  <c r="E18" i="8" a="1"/>
  <c r="E18" i="8" s="1"/>
  <c r="F20" i="8" a="1"/>
  <c r="F20" i="8" s="1"/>
  <c r="F21" i="8" a="1"/>
  <c r="F21" i="8" s="1"/>
  <c r="F24" i="8" a="1"/>
  <c r="F24" i="8" s="1"/>
  <c r="E25" i="8" a="1"/>
  <c r="E25" i="8" s="1"/>
  <c r="D45" i="8" a="1"/>
  <c r="D45" i="8" s="1"/>
  <c r="B49" i="8" a="1"/>
  <c r="B49" i="8" s="1"/>
  <c r="F57" i="8" a="1"/>
  <c r="F57" i="8" s="1"/>
  <c r="D61" i="8" a="1"/>
  <c r="D61" i="8" s="1"/>
  <c r="E63" i="8" a="1"/>
  <c r="E63" i="8" s="1"/>
  <c r="C65" i="8" a="1"/>
  <c r="C65" i="8" s="1"/>
  <c r="D69" i="8" a="1"/>
  <c r="D69" i="8" s="1"/>
  <c r="D73" i="8" a="1"/>
  <c r="D73" i="8" s="1"/>
  <c r="D81" i="8" a="1"/>
  <c r="D81" i="8" s="1"/>
  <c r="F91" i="8" a="1"/>
  <c r="F91" i="8" s="1"/>
  <c r="F101" i="8" a="1"/>
  <c r="F101" i="8" s="1"/>
  <c r="D105" i="8" a="1"/>
  <c r="D105" i="8" s="1"/>
  <c r="C111" i="8" a="1"/>
  <c r="C111" i="8" s="1"/>
  <c r="E117" i="8" a="1"/>
  <c r="E117" i="8" s="1"/>
  <c r="C119" i="8" a="1"/>
  <c r="C119" i="8" s="1"/>
  <c r="C125" i="8" a="1"/>
  <c r="C125" i="8" s="1"/>
  <c r="B127" i="8" a="1"/>
  <c r="B127" i="8" s="1"/>
  <c r="B140" i="8" a="1"/>
  <c r="B140" i="8" s="1"/>
  <c r="E144" i="8" a="1"/>
  <c r="E144" i="8" s="1"/>
  <c r="D148" i="8" a="1"/>
  <c r="D148" i="8" s="1"/>
  <c r="F158" i="8" a="1"/>
  <c r="F158" i="8" s="1"/>
  <c r="D162" i="8" a="1"/>
  <c r="D162" i="8" s="1"/>
  <c r="F13" i="8" a="1"/>
  <c r="F13" i="8" s="1"/>
  <c r="C13" i="8" a="1"/>
  <c r="C13" i="8" s="1"/>
  <c r="E13" i="8" a="1"/>
  <c r="E13" i="8" s="1"/>
  <c r="B13" i="8" a="1"/>
  <c r="B13" i="8" s="1"/>
  <c r="F10" i="8" a="1"/>
  <c r="F10" i="8" s="1"/>
  <c r="E10" i="8" a="1"/>
  <c r="E10" i="8" s="1"/>
  <c r="C10" i="8" a="1"/>
  <c r="C10" i="8" s="1"/>
  <c r="D13" i="8" a="1"/>
  <c r="D13" i="8" s="1"/>
  <c r="E12" i="8" a="1"/>
  <c r="E12" i="8" s="1"/>
  <c r="F12" i="8" a="1"/>
  <c r="F12" i="8" s="1"/>
  <c r="D12" i="8" a="1"/>
  <c r="D12" i="8" s="1"/>
  <c r="B12" i="8" a="1"/>
  <c r="B12" i="8" s="1"/>
  <c r="F53" i="8" a="1"/>
  <c r="F53" i="8" s="1"/>
  <c r="F71" i="8" a="1"/>
  <c r="F71" i="8" s="1"/>
  <c r="F75" i="8" a="1"/>
  <c r="F75" i="8" s="1"/>
  <c r="B75" i="8" a="1"/>
  <c r="B75" i="8" s="1"/>
  <c r="F85" i="8" a="1"/>
  <c r="F85" i="8" s="1"/>
  <c r="F97" i="8" a="1"/>
  <c r="F97" i="8" s="1"/>
  <c r="F109" i="8" a="1"/>
  <c r="F109" i="8" s="1"/>
  <c r="F113" i="8" a="1"/>
  <c r="F113" i="8" s="1"/>
  <c r="B113" i="8" a="1"/>
  <c r="B113" i="8" s="1"/>
  <c r="F123" i="8" a="1"/>
  <c r="F123" i="8" s="1"/>
  <c r="F154" i="8" a="1"/>
  <c r="F154" i="8" s="1"/>
  <c r="D17" i="8" a="1"/>
  <c r="D17" i="8" s="1"/>
  <c r="D29" i="8" a="1"/>
  <c r="D29" i="8" s="1"/>
  <c r="B31" i="8" a="1"/>
  <c r="B31" i="8" s="1"/>
  <c r="B32" i="8" a="1"/>
  <c r="B32" i="8" s="1"/>
  <c r="C38" i="8" a="1"/>
  <c r="C38" i="8" s="1"/>
  <c r="C43" i="8" a="1"/>
  <c r="C43" i="8" s="1"/>
  <c r="F43" i="8" a="1"/>
  <c r="F43" i="8" s="1"/>
  <c r="B47" i="8" a="1"/>
  <c r="B47" i="8" s="1"/>
  <c r="B53" i="8" a="1"/>
  <c r="B53" i="8" s="1"/>
  <c r="F63" i="8" a="1"/>
  <c r="F63" i="8" s="1"/>
  <c r="F67" i="8" a="1"/>
  <c r="F67" i="8" s="1"/>
  <c r="B67" i="8" a="1"/>
  <c r="B67" i="8" s="1"/>
  <c r="B71" i="8" a="1"/>
  <c r="B71" i="8" s="1"/>
  <c r="C75" i="8" a="1"/>
  <c r="C75" i="8" s="1"/>
  <c r="F77" i="8" a="1"/>
  <c r="F77" i="8" s="1"/>
  <c r="B85" i="8" a="1"/>
  <c r="B85" i="8" s="1"/>
  <c r="F93" i="8" a="1"/>
  <c r="F93" i="8" s="1"/>
  <c r="B93" i="8" a="1"/>
  <c r="B93" i="8" s="1"/>
  <c r="B97" i="8" a="1"/>
  <c r="B97" i="8" s="1"/>
  <c r="B109" i="8" a="1"/>
  <c r="B109" i="8" s="1"/>
  <c r="C113" i="8" a="1"/>
  <c r="C113" i="8" s="1"/>
  <c r="F115" i="8" a="1"/>
  <c r="F115" i="8" s="1"/>
  <c r="B123" i="8" a="1"/>
  <c r="B123" i="8" s="1"/>
  <c r="C131" i="8" a="1"/>
  <c r="C131" i="8" s="1"/>
  <c r="F134" i="8" a="1"/>
  <c r="F134" i="8" s="1"/>
  <c r="C134" i="8" a="1"/>
  <c r="C134" i="8" s="1"/>
  <c r="E134" i="8" a="1"/>
  <c r="E134" i="8" s="1"/>
  <c r="F146" i="8" a="1"/>
  <c r="F146" i="8" s="1"/>
  <c r="F150" i="8" a="1"/>
  <c r="F150" i="8" s="1"/>
  <c r="B150" i="8" a="1"/>
  <c r="B150" i="8" s="1"/>
  <c r="B154" i="8" a="1"/>
  <c r="B154" i="8" s="1"/>
  <c r="D5" i="8" a="1"/>
  <c r="D5" i="8" s="1"/>
  <c r="C14" i="8" a="1"/>
  <c r="C14" i="8" s="1"/>
  <c r="B16" i="8" a="1"/>
  <c r="B16" i="8" s="1"/>
  <c r="B17" i="8" a="1"/>
  <c r="B17" i="8" s="1"/>
  <c r="D21" i="8" a="1"/>
  <c r="D21" i="8" s="1"/>
  <c r="F27" i="8" a="1"/>
  <c r="F27" i="8" s="1"/>
  <c r="B29" i="8" a="1"/>
  <c r="B29" i="8" s="1"/>
  <c r="C30" i="8" a="1"/>
  <c r="C30" i="8" s="1"/>
  <c r="C31" i="8" a="1"/>
  <c r="C31" i="8" s="1"/>
  <c r="E33" i="8" a="1"/>
  <c r="E33" i="8" s="1"/>
  <c r="D39" i="8" a="1"/>
  <c r="D39" i="8" s="1"/>
  <c r="E39" i="8" a="1"/>
  <c r="E39" i="8" s="1"/>
  <c r="B40" i="8" a="1"/>
  <c r="B40" i="8" s="1"/>
  <c r="E44" i="8" a="1"/>
  <c r="E44" i="8" s="1"/>
  <c r="D44" i="8" a="1"/>
  <c r="D44" i="8" s="1"/>
  <c r="F47" i="8" a="1"/>
  <c r="F47" i="8" s="1"/>
  <c r="D53" i="8" a="1"/>
  <c r="D53" i="8" s="1"/>
  <c r="F55" i="8" a="1"/>
  <c r="F55" i="8" s="1"/>
  <c r="F59" i="8" a="1"/>
  <c r="F59" i="8" s="1"/>
  <c r="B59" i="8" a="1"/>
  <c r="B59" i="8" s="1"/>
  <c r="B63" i="8" a="1"/>
  <c r="B63" i="8" s="1"/>
  <c r="C67" i="8" a="1"/>
  <c r="C67" i="8" s="1"/>
  <c r="F69" i="8" a="1"/>
  <c r="F69" i="8" s="1"/>
  <c r="C71" i="8" a="1"/>
  <c r="C71" i="8" s="1"/>
  <c r="D75" i="8" a="1"/>
  <c r="D75" i="8" s="1"/>
  <c r="B77" i="8" a="1"/>
  <c r="B77" i="8" s="1"/>
  <c r="D85" i="8" a="1"/>
  <c r="D85" i="8" s="1"/>
  <c r="F87" i="8" a="1"/>
  <c r="F87" i="8" s="1"/>
  <c r="C93" i="8" a="1"/>
  <c r="C93" i="8" s="1"/>
  <c r="D97" i="8" a="1"/>
  <c r="D97" i="8" s="1"/>
  <c r="F99" i="8" a="1"/>
  <c r="F99" i="8" s="1"/>
  <c r="F103" i="8" a="1"/>
  <c r="F103" i="8" s="1"/>
  <c r="B103" i="8" a="1"/>
  <c r="B103" i="8" s="1"/>
  <c r="F107" i="8" a="1"/>
  <c r="F107" i="8" s="1"/>
  <c r="C109" i="8" a="1"/>
  <c r="C109" i="8" s="1"/>
  <c r="D113" i="8" a="1"/>
  <c r="D113" i="8" s="1"/>
  <c r="B115" i="8" a="1"/>
  <c r="B115" i="8" s="1"/>
  <c r="D123" i="8" a="1"/>
  <c r="D123" i="8" s="1"/>
  <c r="F125" i="8" a="1"/>
  <c r="F125" i="8" s="1"/>
  <c r="F129" i="8" a="1"/>
  <c r="F129" i="8" s="1"/>
  <c r="B129" i="8" a="1"/>
  <c r="B129" i="8" s="1"/>
  <c r="B134" i="8" a="1"/>
  <c r="B134" i="8" s="1"/>
  <c r="F142" i="8" a="1"/>
  <c r="F142" i="8" s="1"/>
  <c r="B142" i="8" a="1"/>
  <c r="B142" i="8" s="1"/>
  <c r="B146" i="8" a="1"/>
  <c r="B146" i="8" s="1"/>
  <c r="C150" i="8" a="1"/>
  <c r="C150" i="8" s="1"/>
  <c r="F152" i="8" a="1"/>
  <c r="F152" i="8" s="1"/>
  <c r="C154" i="8" a="1"/>
  <c r="C154" i="8" s="1"/>
  <c r="F156" i="8" a="1"/>
  <c r="F156" i="8" s="1"/>
  <c r="F160" i="8" a="1"/>
  <c r="F160" i="8" s="1"/>
  <c r="B160" i="8" a="1"/>
  <c r="B160" i="8" s="1"/>
  <c r="F164" i="8" a="1"/>
  <c r="F164" i="8" s="1"/>
  <c r="E164" i="8" a="1"/>
  <c r="E164" i="8" s="1"/>
  <c r="C2" i="8" a="1"/>
  <c r="C2" i="8" s="1"/>
  <c r="B4" i="8" a="1"/>
  <c r="B4" i="8" s="1"/>
  <c r="E14" i="8" a="1"/>
  <c r="E14" i="8" s="1"/>
  <c r="D16" i="8" a="1"/>
  <c r="D16" i="8" s="1"/>
  <c r="C18" i="8" a="1"/>
  <c r="C18" i="8" s="1"/>
  <c r="B20" i="8" a="1"/>
  <c r="B20" i="8" s="1"/>
  <c r="E31" i="8" a="1"/>
  <c r="E31" i="8" s="1"/>
  <c r="B33" i="8" a="1"/>
  <c r="B33" i="8" s="1"/>
  <c r="F35" i="8" a="1"/>
  <c r="F35" i="8" s="1"/>
  <c r="B37" i="8" a="1"/>
  <c r="B37" i="8" s="1"/>
  <c r="F37" i="8" a="1"/>
  <c r="F37" i="8" s="1"/>
  <c r="B39" i="8" a="1"/>
  <c r="B39" i="8" s="1"/>
  <c r="F41" i="8" a="1"/>
  <c r="F41" i="8" s="1"/>
  <c r="B41" i="8" a="1"/>
  <c r="B41" i="8" s="1"/>
  <c r="B44" i="8" a="1"/>
  <c r="B44" i="8" s="1"/>
  <c r="E45" i="8" a="1"/>
  <c r="E45" i="8" s="1"/>
  <c r="F51" i="8" a="1"/>
  <c r="F51" i="8" s="1"/>
  <c r="B51" i="8" a="1"/>
  <c r="B51" i="8" s="1"/>
  <c r="E53" i="8" a="1"/>
  <c r="E53" i="8" s="1"/>
  <c r="B55" i="8" a="1"/>
  <c r="B55" i="8" s="1"/>
  <c r="C59" i="8" a="1"/>
  <c r="C59" i="8" s="1"/>
  <c r="F61" i="8" a="1"/>
  <c r="F61" i="8" s="1"/>
  <c r="C63" i="8" a="1"/>
  <c r="C63" i="8" s="1"/>
  <c r="D67" i="8" a="1"/>
  <c r="D67" i="8" s="1"/>
  <c r="B69" i="8" a="1"/>
  <c r="B69" i="8" s="1"/>
  <c r="E71" i="8" a="1"/>
  <c r="E71" i="8" s="1"/>
  <c r="E75" i="8" a="1"/>
  <c r="E75" i="8" s="1"/>
  <c r="D77" i="8" a="1"/>
  <c r="D77" i="8" s="1"/>
  <c r="F79" i="8" a="1"/>
  <c r="F79" i="8" s="1"/>
  <c r="F83" i="8" a="1"/>
  <c r="F83" i="8" s="1"/>
  <c r="B83" i="8" a="1"/>
  <c r="B83" i="8" s="1"/>
  <c r="E85" i="8" a="1"/>
  <c r="E85" i="8" s="1"/>
  <c r="B87" i="8" a="1"/>
  <c r="B87" i="8" s="1"/>
  <c r="D93" i="8" a="1"/>
  <c r="D93" i="8" s="1"/>
  <c r="F95" i="8" a="1"/>
  <c r="F95" i="8" s="1"/>
  <c r="B95" i="8" a="1"/>
  <c r="B95" i="8" s="1"/>
  <c r="E97" i="8" a="1"/>
  <c r="E97" i="8" s="1"/>
  <c r="B99" i="8" a="1"/>
  <c r="B99" i="8" s="1"/>
  <c r="C103" i="8" a="1"/>
  <c r="C103" i="8" s="1"/>
  <c r="F105" i="8" a="1"/>
  <c r="F105" i="8" s="1"/>
  <c r="B107" i="8" a="1"/>
  <c r="B107" i="8" s="1"/>
  <c r="E109" i="8" a="1"/>
  <c r="E109" i="8" s="1"/>
  <c r="E113" i="8" a="1"/>
  <c r="E113" i="8" s="1"/>
  <c r="D115" i="8" a="1"/>
  <c r="D115" i="8" s="1"/>
  <c r="F117" i="8" a="1"/>
  <c r="F117" i="8" s="1"/>
  <c r="F121" i="8" a="1"/>
  <c r="F121" i="8" s="1"/>
  <c r="B121" i="8" a="1"/>
  <c r="B121" i="8" s="1"/>
  <c r="E123" i="8" a="1"/>
  <c r="E123" i="8" s="1"/>
  <c r="B125" i="8" a="1"/>
  <c r="B125" i="8" s="1"/>
  <c r="C129" i="8" a="1"/>
  <c r="C129" i="8" s="1"/>
  <c r="C132" i="8" a="1"/>
  <c r="C132" i="8" s="1"/>
  <c r="D134" i="8" a="1"/>
  <c r="D134" i="8" s="1"/>
  <c r="C142" i="8" a="1"/>
  <c r="C142" i="8" s="1"/>
  <c r="F144" i="8" a="1"/>
  <c r="F144" i="8" s="1"/>
  <c r="C146" i="8" a="1"/>
  <c r="C146" i="8" s="1"/>
  <c r="D150" i="8" a="1"/>
  <c r="D150" i="8" s="1"/>
  <c r="B152" i="8" a="1"/>
  <c r="B152" i="8" s="1"/>
  <c r="E154" i="8" a="1"/>
  <c r="E154" i="8" s="1"/>
  <c r="B156" i="8" a="1"/>
  <c r="B156" i="8" s="1"/>
  <c r="C160" i="8" a="1"/>
  <c r="C160" i="8" s="1"/>
  <c r="F163" i="8" a="1"/>
  <c r="F163" i="8" s="1"/>
  <c r="E163" i="8" a="1"/>
  <c r="E163" i="8" s="1"/>
  <c r="C164" i="8" a="1"/>
  <c r="C164" i="8" s="1"/>
  <c r="F135" i="8" a="1"/>
  <c r="F135" i="8" s="1"/>
  <c r="D135" i="8" a="1"/>
  <c r="D135" i="8" s="1"/>
  <c r="B135" i="8" a="1"/>
  <c r="B135" i="8" s="1"/>
  <c r="C135" i="8" a="1"/>
  <c r="C135" i="8" s="1"/>
  <c r="E135" i="8" a="1"/>
  <c r="E135" i="8" s="1"/>
  <c r="B3" i="8" a="1"/>
  <c r="B3" i="8" s="1"/>
  <c r="D3" i="8" a="1"/>
  <c r="D3" i="8" s="1"/>
  <c r="F3" i="8" a="1"/>
  <c r="F3" i="8" s="1"/>
  <c r="B7" i="8" a="1"/>
  <c r="B7" i="8" s="1"/>
  <c r="D7" i="8" a="1"/>
  <c r="D7" i="8" s="1"/>
  <c r="F7" i="8" a="1"/>
  <c r="F7" i="8" s="1"/>
  <c r="B11" i="8" a="1"/>
  <c r="B11" i="8" s="1"/>
  <c r="D11" i="8" a="1"/>
  <c r="D11" i="8" s="1"/>
  <c r="F11" i="8" a="1"/>
  <c r="F11" i="8" s="1"/>
  <c r="B15" i="8" a="1"/>
  <c r="B15" i="8" s="1"/>
  <c r="D15" i="8" a="1"/>
  <c r="D15" i="8" s="1"/>
  <c r="F15" i="8" a="1"/>
  <c r="F15" i="8" s="1"/>
  <c r="B19" i="8" a="1"/>
  <c r="B19" i="8" s="1"/>
  <c r="D19" i="8" a="1"/>
  <c r="D19" i="8" s="1"/>
  <c r="F19" i="8" a="1"/>
  <c r="F19" i="8" s="1"/>
  <c r="B23" i="8" a="1"/>
  <c r="B23" i="8" s="1"/>
  <c r="D23" i="8" a="1"/>
  <c r="D23" i="8" s="1"/>
  <c r="F23" i="8" a="1"/>
  <c r="F23" i="8" s="1"/>
  <c r="F26" i="8" a="1"/>
  <c r="F26" i="8" s="1"/>
  <c r="D26" i="8" a="1"/>
  <c r="D26" i="8" s="1"/>
  <c r="B26" i="8" a="1"/>
  <c r="B26" i="8" s="1"/>
  <c r="D27" i="8" a="1"/>
  <c r="D27" i="8" s="1"/>
  <c r="E28" i="8" a="1"/>
  <c r="E28" i="8" s="1"/>
  <c r="C28" i="8" a="1"/>
  <c r="C28" i="8" s="1"/>
  <c r="D28" i="8" a="1"/>
  <c r="D28" i="8" s="1"/>
  <c r="F34" i="8" a="1"/>
  <c r="F34" i="8" s="1"/>
  <c r="D34" i="8" a="1"/>
  <c r="D34" i="8" s="1"/>
  <c r="B34" i="8" a="1"/>
  <c r="B34" i="8" s="1"/>
  <c r="D35" i="8" a="1"/>
  <c r="D35" i="8" s="1"/>
  <c r="E36" i="8" a="1"/>
  <c r="E36" i="8" s="1"/>
  <c r="C36" i="8" a="1"/>
  <c r="C36" i="8" s="1"/>
  <c r="D36" i="8" a="1"/>
  <c r="D36" i="8" s="1"/>
  <c r="F42" i="8" a="1"/>
  <c r="F42" i="8" s="1"/>
  <c r="D42" i="8" a="1"/>
  <c r="D42" i="8" s="1"/>
  <c r="B42" i="8" a="1"/>
  <c r="B42" i="8" s="1"/>
  <c r="D43" i="8" a="1"/>
  <c r="D43" i="8" s="1"/>
  <c r="F46" i="8" a="1"/>
  <c r="F46" i="8" s="1"/>
  <c r="D46" i="8" a="1"/>
  <c r="D46" i="8" s="1"/>
  <c r="B46" i="8" a="1"/>
  <c r="B46" i="8" s="1"/>
  <c r="E52" i="8" a="1"/>
  <c r="E52" i="8" s="1"/>
  <c r="C52" i="8" a="1"/>
  <c r="C52" i="8" s="1"/>
  <c r="F52" i="8" a="1"/>
  <c r="F52" i="8" s="1"/>
  <c r="D52" i="8" a="1"/>
  <c r="D52" i="8" s="1"/>
  <c r="B52" i="8" a="1"/>
  <c r="B52" i="8" s="1"/>
  <c r="E56" i="8" a="1"/>
  <c r="E56" i="8" s="1"/>
  <c r="C56" i="8" a="1"/>
  <c r="C56" i="8" s="1"/>
  <c r="F56" i="8" a="1"/>
  <c r="F56" i="8" s="1"/>
  <c r="D56" i="8" a="1"/>
  <c r="D56" i="8" s="1"/>
  <c r="B56" i="8" a="1"/>
  <c r="B56" i="8" s="1"/>
  <c r="E60" i="8" a="1"/>
  <c r="E60" i="8" s="1"/>
  <c r="C60" i="8" a="1"/>
  <c r="C60" i="8" s="1"/>
  <c r="F60" i="8" a="1"/>
  <c r="F60" i="8" s="1"/>
  <c r="D60" i="8" a="1"/>
  <c r="D60" i="8" s="1"/>
  <c r="B60" i="8" a="1"/>
  <c r="B60" i="8" s="1"/>
  <c r="E64" i="8" a="1"/>
  <c r="E64" i="8" s="1"/>
  <c r="C64" i="8" a="1"/>
  <c r="C64" i="8" s="1"/>
  <c r="F64" i="8" a="1"/>
  <c r="F64" i="8" s="1"/>
  <c r="D64" i="8" a="1"/>
  <c r="D64" i="8" s="1"/>
  <c r="B64" i="8" a="1"/>
  <c r="B64" i="8" s="1"/>
  <c r="E68" i="8" a="1"/>
  <c r="E68" i="8" s="1"/>
  <c r="C68" i="8" a="1"/>
  <c r="C68" i="8" s="1"/>
  <c r="F68" i="8" a="1"/>
  <c r="F68" i="8" s="1"/>
  <c r="D68" i="8" a="1"/>
  <c r="D68" i="8" s="1"/>
  <c r="B68" i="8" a="1"/>
  <c r="B68" i="8" s="1"/>
  <c r="E72" i="8" a="1"/>
  <c r="E72" i="8" s="1"/>
  <c r="C72" i="8" a="1"/>
  <c r="C72" i="8" s="1"/>
  <c r="F72" i="8" a="1"/>
  <c r="F72" i="8" s="1"/>
  <c r="D72" i="8" a="1"/>
  <c r="D72" i="8" s="1"/>
  <c r="B72" i="8" a="1"/>
  <c r="B72" i="8" s="1"/>
  <c r="E76" i="8" a="1"/>
  <c r="E76" i="8" s="1"/>
  <c r="C76" i="8" a="1"/>
  <c r="C76" i="8" s="1"/>
  <c r="F76" i="8" a="1"/>
  <c r="F76" i="8" s="1"/>
  <c r="D76" i="8" a="1"/>
  <c r="D76" i="8" s="1"/>
  <c r="B76" i="8" a="1"/>
  <c r="B76" i="8" s="1"/>
  <c r="E104" i="8" a="1"/>
  <c r="E104" i="8" s="1"/>
  <c r="C104" i="8" a="1"/>
  <c r="C104" i="8" s="1"/>
  <c r="F104" i="8" a="1"/>
  <c r="F104" i="8" s="1"/>
  <c r="D104" i="8" a="1"/>
  <c r="D104" i="8" s="1"/>
  <c r="B104" i="8" a="1"/>
  <c r="B104" i="8" s="1"/>
  <c r="B2" i="8" a="1"/>
  <c r="B2" i="8" s="1"/>
  <c r="D2" i="8" a="1"/>
  <c r="D2" i="8" s="1"/>
  <c r="C4" i="8" a="1"/>
  <c r="C4" i="8" s="1"/>
  <c r="B6" i="8" a="1"/>
  <c r="B6" i="8" s="1"/>
  <c r="D6" i="8" a="1"/>
  <c r="D6" i="8" s="1"/>
  <c r="C8" i="8" a="1"/>
  <c r="C8" i="8" s="1"/>
  <c r="B10" i="8" a="1"/>
  <c r="B10" i="8" s="1"/>
  <c r="D10" i="8" a="1"/>
  <c r="D10" i="8" s="1"/>
  <c r="C12" i="8" a="1"/>
  <c r="C12" i="8" s="1"/>
  <c r="B14" i="8" a="1"/>
  <c r="B14" i="8" s="1"/>
  <c r="D14" i="8" a="1"/>
  <c r="D14" i="8" s="1"/>
  <c r="C16" i="8" a="1"/>
  <c r="C16" i="8" s="1"/>
  <c r="B18" i="8" a="1"/>
  <c r="B18" i="8" s="1"/>
  <c r="D18" i="8" a="1"/>
  <c r="D18" i="8" s="1"/>
  <c r="C20" i="8" a="1"/>
  <c r="C20" i="8" s="1"/>
  <c r="B22" i="8" a="1"/>
  <c r="B22" i="8" s="1"/>
  <c r="D22" i="8" a="1"/>
  <c r="D22" i="8" s="1"/>
  <c r="C24" i="8" a="1"/>
  <c r="C24" i="8" s="1"/>
  <c r="E26" i="8" a="1"/>
  <c r="E26" i="8" s="1"/>
  <c r="B27" i="8" a="1"/>
  <c r="B27" i="8" s="1"/>
  <c r="E27" i="8" a="1"/>
  <c r="E27" i="8" s="1"/>
  <c r="B28" i="8" a="1"/>
  <c r="B28" i="8" s="1"/>
  <c r="F31" i="8" a="1"/>
  <c r="F31" i="8" s="1"/>
  <c r="E34" i="8" a="1"/>
  <c r="E34" i="8" s="1"/>
  <c r="B35" i="8" a="1"/>
  <c r="B35" i="8" s="1"/>
  <c r="E35" i="8" a="1"/>
  <c r="E35" i="8" s="1"/>
  <c r="B36" i="8" a="1"/>
  <c r="B36" i="8" s="1"/>
  <c r="F39" i="8" a="1"/>
  <c r="F39" i="8" s="1"/>
  <c r="E42" i="8" a="1"/>
  <c r="E42" i="8" s="1"/>
  <c r="B43" i="8" a="1"/>
  <c r="B43" i="8" s="1"/>
  <c r="E43" i="8" a="1"/>
  <c r="E43" i="8" s="1"/>
  <c r="C46" i="8" a="1"/>
  <c r="C46" i="8" s="1"/>
  <c r="E47" i="8" a="1"/>
  <c r="E47" i="8" s="1"/>
  <c r="C47" i="8" a="1"/>
  <c r="C47" i="8" s="1"/>
  <c r="C3" i="8" a="1"/>
  <c r="C3" i="8" s="1"/>
  <c r="C7" i="8" a="1"/>
  <c r="C7" i="8" s="1"/>
  <c r="C11" i="8" a="1"/>
  <c r="C11" i="8" s="1"/>
  <c r="C15" i="8" a="1"/>
  <c r="C15" i="8" s="1"/>
  <c r="C19" i="8" a="1"/>
  <c r="C19" i="8" s="1"/>
  <c r="C23" i="8" a="1"/>
  <c r="C23" i="8" s="1"/>
  <c r="C26" i="8" a="1"/>
  <c r="C26" i="8" s="1"/>
  <c r="F30" i="8" a="1"/>
  <c r="F30" i="8" s="1"/>
  <c r="D30" i="8" a="1"/>
  <c r="D30" i="8" s="1"/>
  <c r="B30" i="8" a="1"/>
  <c r="B30" i="8" s="1"/>
  <c r="E32" i="8" a="1"/>
  <c r="E32" i="8" s="1"/>
  <c r="C32" i="8" a="1"/>
  <c r="C32" i="8" s="1"/>
  <c r="D32" i="8" a="1"/>
  <c r="D32" i="8" s="1"/>
  <c r="C34" i="8" a="1"/>
  <c r="C34" i="8" s="1"/>
  <c r="F38" i="8" a="1"/>
  <c r="F38" i="8" s="1"/>
  <c r="D38" i="8" a="1"/>
  <c r="D38" i="8" s="1"/>
  <c r="B38" i="8" a="1"/>
  <c r="B38" i="8" s="1"/>
  <c r="E40" i="8" a="1"/>
  <c r="E40" i="8" s="1"/>
  <c r="C40" i="8" a="1"/>
  <c r="C40" i="8" s="1"/>
  <c r="D40" i="8" a="1"/>
  <c r="D40" i="8" s="1"/>
  <c r="C42" i="8" a="1"/>
  <c r="C42" i="8" s="1"/>
  <c r="F50" i="8" a="1"/>
  <c r="F50" i="8" s="1"/>
  <c r="D50" i="8" a="1"/>
  <c r="D50" i="8" s="1"/>
  <c r="B50" i="8" a="1"/>
  <c r="B50" i="8" s="1"/>
  <c r="E50" i="8" a="1"/>
  <c r="E50" i="8" s="1"/>
  <c r="C50" i="8" a="1"/>
  <c r="C50" i="8" s="1"/>
  <c r="F54" i="8" a="1"/>
  <c r="F54" i="8" s="1"/>
  <c r="D54" i="8" a="1"/>
  <c r="D54" i="8" s="1"/>
  <c r="B54" i="8" a="1"/>
  <c r="B54" i="8" s="1"/>
  <c r="E54" i="8" a="1"/>
  <c r="E54" i="8" s="1"/>
  <c r="C54" i="8" a="1"/>
  <c r="C54" i="8" s="1"/>
  <c r="F58" i="8" a="1"/>
  <c r="F58" i="8" s="1"/>
  <c r="D58" i="8" a="1"/>
  <c r="D58" i="8" s="1"/>
  <c r="B58" i="8" a="1"/>
  <c r="B58" i="8" s="1"/>
  <c r="E58" i="8" a="1"/>
  <c r="E58" i="8" s="1"/>
  <c r="C58" i="8" a="1"/>
  <c r="C58" i="8" s="1"/>
  <c r="F62" i="8" a="1"/>
  <c r="F62" i="8" s="1"/>
  <c r="D62" i="8" a="1"/>
  <c r="D62" i="8" s="1"/>
  <c r="B62" i="8" a="1"/>
  <c r="B62" i="8" s="1"/>
  <c r="E62" i="8" a="1"/>
  <c r="E62" i="8" s="1"/>
  <c r="C62" i="8" a="1"/>
  <c r="C62" i="8" s="1"/>
  <c r="F66" i="8" a="1"/>
  <c r="F66" i="8" s="1"/>
  <c r="D66" i="8" a="1"/>
  <c r="D66" i="8" s="1"/>
  <c r="B66" i="8" a="1"/>
  <c r="B66" i="8" s="1"/>
  <c r="E66" i="8" a="1"/>
  <c r="E66" i="8" s="1"/>
  <c r="C66" i="8" a="1"/>
  <c r="C66" i="8" s="1"/>
  <c r="F70" i="8" a="1"/>
  <c r="F70" i="8" s="1"/>
  <c r="D70" i="8" a="1"/>
  <c r="D70" i="8" s="1"/>
  <c r="B70" i="8" a="1"/>
  <c r="B70" i="8" s="1"/>
  <c r="E70" i="8" a="1"/>
  <c r="E70" i="8" s="1"/>
  <c r="C70" i="8" a="1"/>
  <c r="C70" i="8" s="1"/>
  <c r="F74" i="8" a="1"/>
  <c r="F74" i="8" s="1"/>
  <c r="D74" i="8" a="1"/>
  <c r="D74" i="8" s="1"/>
  <c r="B74" i="8" a="1"/>
  <c r="B74" i="8" s="1"/>
  <c r="E74" i="8" a="1"/>
  <c r="E74" i="8" s="1"/>
  <c r="C74" i="8" a="1"/>
  <c r="C74" i="8" s="1"/>
  <c r="E88" i="8" a="1"/>
  <c r="E88" i="8" s="1"/>
  <c r="C88" i="8" a="1"/>
  <c r="C88" i="8" s="1"/>
  <c r="F88" i="8" a="1"/>
  <c r="F88" i="8" s="1"/>
  <c r="D88" i="8" a="1"/>
  <c r="D88" i="8" s="1"/>
  <c r="B88" i="8" a="1"/>
  <c r="B88" i="8" s="1"/>
  <c r="E92" i="8" a="1"/>
  <c r="E92" i="8" s="1"/>
  <c r="C92" i="8" a="1"/>
  <c r="C92" i="8" s="1"/>
  <c r="F92" i="8" a="1"/>
  <c r="F92" i="8" s="1"/>
  <c r="D92" i="8" a="1"/>
  <c r="D92" i="8" s="1"/>
  <c r="B92" i="8" a="1"/>
  <c r="B92" i="8" s="1"/>
  <c r="C44" i="8" a="1"/>
  <c r="C44" i="8" s="1"/>
  <c r="E84" i="8" a="1"/>
  <c r="E84" i="8" s="1"/>
  <c r="C84" i="8" a="1"/>
  <c r="C84" i="8" s="1"/>
  <c r="F84" i="8" a="1"/>
  <c r="F84" i="8" s="1"/>
  <c r="D84" i="8" a="1"/>
  <c r="D84" i="8" s="1"/>
  <c r="B84" i="8" a="1"/>
  <c r="B84" i="8" s="1"/>
  <c r="E100" i="8" a="1"/>
  <c r="E100" i="8" s="1"/>
  <c r="C100" i="8" a="1"/>
  <c r="C100" i="8" s="1"/>
  <c r="F100" i="8" a="1"/>
  <c r="F100" i="8" s="1"/>
  <c r="D100" i="8" a="1"/>
  <c r="D100" i="8" s="1"/>
  <c r="B100" i="8" a="1"/>
  <c r="B100" i="8" s="1"/>
  <c r="E137" i="8" a="1"/>
  <c r="E137" i="8" s="1"/>
  <c r="C137" i="8" a="1"/>
  <c r="C137" i="8" s="1"/>
  <c r="F137" i="8" a="1"/>
  <c r="F137" i="8" s="1"/>
  <c r="B137" i="8" a="1"/>
  <c r="B137" i="8" s="1"/>
  <c r="D137" i="8" a="1"/>
  <c r="D137" i="8" s="1"/>
  <c r="E48" i="8" a="1"/>
  <c r="E48" i="8" s="1"/>
  <c r="F48" i="8" a="1"/>
  <c r="F48" i="8" s="1"/>
  <c r="D48" i="8" a="1"/>
  <c r="D48" i="8" s="1"/>
  <c r="B48" i="8" a="1"/>
  <c r="B48" i="8" s="1"/>
  <c r="E80" i="8" a="1"/>
  <c r="E80" i="8" s="1"/>
  <c r="C80" i="8" a="1"/>
  <c r="C80" i="8" s="1"/>
  <c r="F80" i="8" a="1"/>
  <c r="F80" i="8" s="1"/>
  <c r="D80" i="8" a="1"/>
  <c r="D80" i="8" s="1"/>
  <c r="B80" i="8" a="1"/>
  <c r="B80" i="8" s="1"/>
  <c r="E96" i="8" a="1"/>
  <c r="E96" i="8" s="1"/>
  <c r="C96" i="8" a="1"/>
  <c r="C96" i="8" s="1"/>
  <c r="F96" i="8" a="1"/>
  <c r="F96" i="8" s="1"/>
  <c r="D96" i="8" a="1"/>
  <c r="D96" i="8" s="1"/>
  <c r="B96" i="8" a="1"/>
  <c r="B96" i="8" s="1"/>
  <c r="C78" i="8" a="1"/>
  <c r="C78" i="8" s="1"/>
  <c r="E78" i="8" a="1"/>
  <c r="E78" i="8" s="1"/>
  <c r="C82" i="8" a="1"/>
  <c r="C82" i="8" s="1"/>
  <c r="E82" i="8" a="1"/>
  <c r="E82" i="8" s="1"/>
  <c r="C86" i="8" a="1"/>
  <c r="C86" i="8" s="1"/>
  <c r="E86" i="8" a="1"/>
  <c r="E86" i="8" s="1"/>
  <c r="C90" i="8" a="1"/>
  <c r="C90" i="8" s="1"/>
  <c r="E90" i="8" a="1"/>
  <c r="E90" i="8" s="1"/>
  <c r="C94" i="8" a="1"/>
  <c r="C94" i="8" s="1"/>
  <c r="E94" i="8" a="1"/>
  <c r="E94" i="8" s="1"/>
  <c r="C98" i="8" a="1"/>
  <c r="C98" i="8" s="1"/>
  <c r="E98" i="8" a="1"/>
  <c r="E98" i="8" s="1"/>
  <c r="C102" i="8" a="1"/>
  <c r="C102" i="8" s="1"/>
  <c r="E102" i="8" a="1"/>
  <c r="E102" i="8" s="1"/>
  <c r="F106" i="8" a="1"/>
  <c r="F106" i="8" s="1"/>
  <c r="D106" i="8" a="1"/>
  <c r="D106" i="8" s="1"/>
  <c r="B106" i="8" a="1"/>
  <c r="B106" i="8" s="1"/>
  <c r="E106" i="8" a="1"/>
  <c r="E106" i="8" s="1"/>
  <c r="E128" i="8" a="1"/>
  <c r="E128" i="8" s="1"/>
  <c r="C128" i="8" a="1"/>
  <c r="C128" i="8" s="1"/>
  <c r="F128" i="8" a="1"/>
  <c r="F128" i="8" s="1"/>
  <c r="D128" i="8" a="1"/>
  <c r="D128" i="8" s="1"/>
  <c r="B128" i="8" a="1"/>
  <c r="B128" i="8" s="1"/>
  <c r="F136" i="8" a="1"/>
  <c r="F136" i="8" s="1"/>
  <c r="C136" i="8" a="1"/>
  <c r="C136" i="8" s="1"/>
  <c r="E136" i="8" a="1"/>
  <c r="E136" i="8" s="1"/>
  <c r="B136" i="8" a="1"/>
  <c r="B136" i="8" s="1"/>
  <c r="B78" i="8" a="1"/>
  <c r="B78" i="8" s="1"/>
  <c r="D78" i="8" a="1"/>
  <c r="D78" i="8" s="1"/>
  <c r="B82" i="8" a="1"/>
  <c r="B82" i="8" s="1"/>
  <c r="D82" i="8" a="1"/>
  <c r="D82" i="8" s="1"/>
  <c r="B86" i="8" a="1"/>
  <c r="B86" i="8" s="1"/>
  <c r="D86" i="8" a="1"/>
  <c r="D86" i="8" s="1"/>
  <c r="B90" i="8" a="1"/>
  <c r="B90" i="8" s="1"/>
  <c r="D90" i="8" a="1"/>
  <c r="D90" i="8" s="1"/>
  <c r="B94" i="8" a="1"/>
  <c r="B94" i="8" s="1"/>
  <c r="D94" i="8" a="1"/>
  <c r="D94" i="8" s="1"/>
  <c r="B98" i="8" a="1"/>
  <c r="B98" i="8" s="1"/>
  <c r="D98" i="8" a="1"/>
  <c r="D98" i="8" s="1"/>
  <c r="B102" i="8" a="1"/>
  <c r="B102" i="8" s="1"/>
  <c r="D102" i="8" a="1"/>
  <c r="D102" i="8" s="1"/>
  <c r="E108" i="8" a="1"/>
  <c r="E108" i="8" s="1"/>
  <c r="C108" i="8" a="1"/>
  <c r="C108" i="8" s="1"/>
  <c r="F108" i="8" a="1"/>
  <c r="F108" i="8" s="1"/>
  <c r="D108" i="8" a="1"/>
  <c r="D108" i="8" s="1"/>
  <c r="B108" i="8" a="1"/>
  <c r="B108" i="8" s="1"/>
  <c r="F110" i="8" a="1"/>
  <c r="F110" i="8" s="1"/>
  <c r="D110" i="8" a="1"/>
  <c r="D110" i="8" s="1"/>
  <c r="B110" i="8" a="1"/>
  <c r="B110" i="8" s="1"/>
  <c r="E110" i="8" a="1"/>
  <c r="E110" i="8" s="1"/>
  <c r="C110" i="8" a="1"/>
  <c r="C110" i="8" s="1"/>
  <c r="E112" i="8" a="1"/>
  <c r="E112" i="8" s="1"/>
  <c r="C112" i="8" a="1"/>
  <c r="C112" i="8" s="1"/>
  <c r="F112" i="8" a="1"/>
  <c r="F112" i="8" s="1"/>
  <c r="D112" i="8" a="1"/>
  <c r="D112" i="8" s="1"/>
  <c r="B112" i="8" a="1"/>
  <c r="B112" i="8" s="1"/>
  <c r="F114" i="8" a="1"/>
  <c r="F114" i="8" s="1"/>
  <c r="D114" i="8" a="1"/>
  <c r="D114" i="8" s="1"/>
  <c r="B114" i="8" a="1"/>
  <c r="B114" i="8" s="1"/>
  <c r="E114" i="8" a="1"/>
  <c r="E114" i="8" s="1"/>
  <c r="C114" i="8" a="1"/>
  <c r="C114" i="8" s="1"/>
  <c r="E116" i="8" a="1"/>
  <c r="E116" i="8" s="1"/>
  <c r="C116" i="8" a="1"/>
  <c r="C116" i="8" s="1"/>
  <c r="F116" i="8" a="1"/>
  <c r="F116" i="8" s="1"/>
  <c r="D116" i="8" a="1"/>
  <c r="D116" i="8" s="1"/>
  <c r="B116" i="8" a="1"/>
  <c r="B116" i="8" s="1"/>
  <c r="F118" i="8" a="1"/>
  <c r="F118" i="8" s="1"/>
  <c r="D118" i="8" a="1"/>
  <c r="D118" i="8" s="1"/>
  <c r="B118" i="8" a="1"/>
  <c r="B118" i="8" s="1"/>
  <c r="E118" i="8" a="1"/>
  <c r="E118" i="8" s="1"/>
  <c r="C118" i="8" a="1"/>
  <c r="C118" i="8" s="1"/>
  <c r="E120" i="8" a="1"/>
  <c r="E120" i="8" s="1"/>
  <c r="C120" i="8" a="1"/>
  <c r="C120" i="8" s="1"/>
  <c r="F120" i="8" a="1"/>
  <c r="F120" i="8" s="1"/>
  <c r="D120" i="8" a="1"/>
  <c r="D120" i="8" s="1"/>
  <c r="B120" i="8" a="1"/>
  <c r="B120" i="8" s="1"/>
  <c r="F122" i="8" a="1"/>
  <c r="F122" i="8" s="1"/>
  <c r="D122" i="8" a="1"/>
  <c r="D122" i="8" s="1"/>
  <c r="B122" i="8" a="1"/>
  <c r="B122" i="8" s="1"/>
  <c r="E122" i="8" a="1"/>
  <c r="E122" i="8" s="1"/>
  <c r="C122" i="8" a="1"/>
  <c r="C122" i="8" s="1"/>
  <c r="E124" i="8" a="1"/>
  <c r="E124" i="8" s="1"/>
  <c r="C124" i="8" a="1"/>
  <c r="C124" i="8" s="1"/>
  <c r="F124" i="8" a="1"/>
  <c r="F124" i="8" s="1"/>
  <c r="D124" i="8" a="1"/>
  <c r="D124" i="8" s="1"/>
  <c r="B124" i="8" a="1"/>
  <c r="B124" i="8" s="1"/>
  <c r="D136" i="8" a="1"/>
  <c r="D136" i="8" s="1"/>
  <c r="C126" i="8" a="1"/>
  <c r="C126" i="8" s="1"/>
  <c r="E126" i="8" a="1"/>
  <c r="E126" i="8" s="1"/>
  <c r="C130" i="8" a="1"/>
  <c r="C130" i="8" s="1"/>
  <c r="E130" i="8" a="1"/>
  <c r="E130" i="8" s="1"/>
  <c r="F131" i="8" a="1"/>
  <c r="F131" i="8" s="1"/>
  <c r="D131" i="8" a="1"/>
  <c r="D131" i="8" s="1"/>
  <c r="F132" i="8" a="1"/>
  <c r="F132" i="8" s="1"/>
  <c r="E157" i="8" a="1"/>
  <c r="E157" i="8" s="1"/>
  <c r="C157" i="8" a="1"/>
  <c r="C157" i="8" s="1"/>
  <c r="F157" i="8" a="1"/>
  <c r="F157" i="8" s="1"/>
  <c r="D157" i="8" a="1"/>
  <c r="D157" i="8" s="1"/>
  <c r="B157" i="8" a="1"/>
  <c r="B157" i="8" s="1"/>
  <c r="D132" i="8" a="1"/>
  <c r="D132" i="8" s="1"/>
  <c r="E133" i="8" a="1"/>
  <c r="E133" i="8" s="1"/>
  <c r="C133" i="8" a="1"/>
  <c r="C133" i="8" s="1"/>
  <c r="D133" i="8" a="1"/>
  <c r="D133" i="8" s="1"/>
  <c r="F139" i="8" a="1"/>
  <c r="F139" i="8" s="1"/>
  <c r="D139" i="8" a="1"/>
  <c r="D139" i="8" s="1"/>
  <c r="B139" i="8" a="1"/>
  <c r="B139" i="8" s="1"/>
  <c r="E139" i="8" a="1"/>
  <c r="E139" i="8" s="1"/>
  <c r="C139" i="8" a="1"/>
  <c r="C139" i="8" s="1"/>
  <c r="E141" i="8" a="1"/>
  <c r="E141" i="8" s="1"/>
  <c r="C141" i="8" a="1"/>
  <c r="C141" i="8" s="1"/>
  <c r="F141" i="8" a="1"/>
  <c r="F141" i="8" s="1"/>
  <c r="D141" i="8" a="1"/>
  <c r="D141" i="8" s="1"/>
  <c r="B141" i="8" a="1"/>
  <c r="B141" i="8" s="1"/>
  <c r="F143" i="8" a="1"/>
  <c r="F143" i="8" s="1"/>
  <c r="D143" i="8" a="1"/>
  <c r="D143" i="8" s="1"/>
  <c r="B143" i="8" a="1"/>
  <c r="B143" i="8" s="1"/>
  <c r="E143" i="8" a="1"/>
  <c r="E143" i="8" s="1"/>
  <c r="C143" i="8" a="1"/>
  <c r="C143" i="8" s="1"/>
  <c r="E145" i="8" a="1"/>
  <c r="E145" i="8" s="1"/>
  <c r="C145" i="8" a="1"/>
  <c r="C145" i="8" s="1"/>
  <c r="F145" i="8" a="1"/>
  <c r="F145" i="8" s="1"/>
  <c r="D145" i="8" a="1"/>
  <c r="D145" i="8" s="1"/>
  <c r="B145" i="8" a="1"/>
  <c r="B145" i="8" s="1"/>
  <c r="F147" i="8" a="1"/>
  <c r="F147" i="8" s="1"/>
  <c r="D147" i="8" a="1"/>
  <c r="D147" i="8" s="1"/>
  <c r="B147" i="8" a="1"/>
  <c r="B147" i="8" s="1"/>
  <c r="E147" i="8" a="1"/>
  <c r="E147" i="8" s="1"/>
  <c r="C147" i="8" a="1"/>
  <c r="C147" i="8" s="1"/>
  <c r="E149" i="8" a="1"/>
  <c r="E149" i="8" s="1"/>
  <c r="C149" i="8" a="1"/>
  <c r="C149" i="8" s="1"/>
  <c r="F149" i="8" a="1"/>
  <c r="F149" i="8" s="1"/>
  <c r="D149" i="8" a="1"/>
  <c r="D149" i="8" s="1"/>
  <c r="B149" i="8" a="1"/>
  <c r="B149" i="8" s="1"/>
  <c r="F151" i="8" a="1"/>
  <c r="F151" i="8" s="1"/>
  <c r="D151" i="8" a="1"/>
  <c r="D151" i="8" s="1"/>
  <c r="B151" i="8" a="1"/>
  <c r="B151" i="8" s="1"/>
  <c r="E151" i="8" a="1"/>
  <c r="E151" i="8" s="1"/>
  <c r="C151" i="8" a="1"/>
  <c r="C151" i="8" s="1"/>
  <c r="E153" i="8" a="1"/>
  <c r="E153" i="8" s="1"/>
  <c r="C153" i="8" a="1"/>
  <c r="C153" i="8" s="1"/>
  <c r="F153" i="8" a="1"/>
  <c r="F153" i="8" s="1"/>
  <c r="D153" i="8" a="1"/>
  <c r="D153" i="8" s="1"/>
  <c r="B153" i="8" a="1"/>
  <c r="B153" i="8" s="1"/>
  <c r="E161" i="8" a="1"/>
  <c r="E161" i="8" s="1"/>
  <c r="C161" i="8" a="1"/>
  <c r="C161" i="8" s="1"/>
  <c r="F161" i="8" a="1"/>
  <c r="F161" i="8" s="1"/>
  <c r="D161" i="8" a="1"/>
  <c r="D161" i="8" s="1"/>
  <c r="B161" i="8" a="1"/>
  <c r="B161" i="8" s="1"/>
  <c r="B126" i="8" a="1"/>
  <c r="B126" i="8" s="1"/>
  <c r="D126" i="8" a="1"/>
  <c r="D126" i="8" s="1"/>
  <c r="B130" i="8" a="1"/>
  <c r="B130" i="8" s="1"/>
  <c r="D130" i="8" a="1"/>
  <c r="D130" i="8" s="1"/>
  <c r="E131" i="8" a="1"/>
  <c r="E131" i="8" s="1"/>
  <c r="B132" i="8" a="1"/>
  <c r="B132" i="8" s="1"/>
  <c r="B133" i="8" a="1"/>
  <c r="B133" i="8" s="1"/>
  <c r="C155" i="8" a="1"/>
  <c r="C155" i="8" s="1"/>
  <c r="E155" i="8" a="1"/>
  <c r="E155" i="8" s="1"/>
  <c r="C159" i="8" a="1"/>
  <c r="C159" i="8" s="1"/>
  <c r="E159" i="8" a="1"/>
  <c r="E159" i="8" s="1"/>
  <c r="D160" i="8" a="1"/>
  <c r="D160" i="8" s="1"/>
  <c r="B164" i="8" a="1"/>
  <c r="B164" i="8" s="1"/>
  <c r="D164" i="8" a="1"/>
  <c r="D164" i="8" s="1"/>
  <c r="B155" i="8" a="1"/>
  <c r="B155" i="8" s="1"/>
  <c r="D155" i="8" a="1"/>
  <c r="D155" i="8" s="1"/>
  <c r="B159" i="8" a="1"/>
  <c r="B159" i="8" s="1"/>
  <c r="D159" i="8" a="1"/>
  <c r="D159" i="8" s="1"/>
  <c r="B163" i="8" a="1"/>
  <c r="B163" i="8" s="1"/>
  <c r="D163" i="8" a="1"/>
  <c r="D163" i="8" s="1"/>
  <c r="U181" i="7"/>
  <c r="U190" i="7"/>
  <c r="U191" i="7"/>
  <c r="U189" i="7"/>
  <c r="U172" i="7"/>
  <c r="U173" i="7"/>
  <c r="U171" i="7"/>
  <c r="U182" i="7"/>
  <c r="U180" i="7"/>
  <c r="P181" i="7"/>
  <c r="P173" i="7"/>
  <c r="P171" i="7"/>
  <c r="P191" i="7"/>
  <c r="P189" i="7"/>
  <c r="P182" i="7"/>
  <c r="P180" i="7"/>
  <c r="P190" i="7"/>
  <c r="K181" i="7"/>
  <c r="K180" i="7"/>
  <c r="K190" i="7"/>
  <c r="K191" i="7"/>
  <c r="K189" i="7"/>
  <c r="K172" i="7"/>
  <c r="K182" i="7"/>
  <c r="K173" i="7"/>
  <c r="F181" i="7"/>
  <c r="F191" i="7"/>
  <c r="F189" i="7"/>
  <c r="F172" i="7"/>
  <c r="F182" i="7"/>
  <c r="F190" i="7"/>
  <c r="F173" i="7"/>
  <c r="F191" i="2"/>
  <c r="G191" i="2" s="1"/>
  <c r="F189" i="2"/>
  <c r="F181" i="2"/>
  <c r="G181" i="2" s="1"/>
  <c r="F172" i="2"/>
  <c r="G172" i="2" s="1"/>
  <c r="F171" i="2"/>
  <c r="F190" i="2"/>
  <c r="G190" i="2" s="1"/>
  <c r="F182" i="2"/>
  <c r="G182" i="2" s="1"/>
  <c r="F180" i="2"/>
  <c r="F173" i="2"/>
  <c r="G173" i="2" s="1"/>
  <c r="B71" i="7" a="1"/>
  <c r="B71" i="7" s="1"/>
  <c r="E161" i="7" a="1"/>
  <c r="E161" i="7" s="1"/>
  <c r="E109" i="7" a="1"/>
  <c r="E109" i="7" s="1"/>
  <c r="C112" i="7" a="1"/>
  <c r="C112" i="7" s="1"/>
  <c r="E43" i="7" a="1"/>
  <c r="E43" i="7" s="1"/>
  <c r="C99" i="7" a="1"/>
  <c r="C99" i="7" s="1"/>
  <c r="C129" i="7" a="1"/>
  <c r="C129" i="7" s="1"/>
  <c r="E33" i="7" a="1"/>
  <c r="E33" i="7" s="1"/>
  <c r="B47" i="7" a="1"/>
  <c r="B47" i="7" s="1"/>
  <c r="E77" i="7" a="1"/>
  <c r="E77" i="7" s="1"/>
  <c r="C113" i="7" a="1"/>
  <c r="C113" i="7" s="1"/>
  <c r="B116" i="7" a="1"/>
  <c r="B116" i="7" s="1"/>
  <c r="C149" i="7" a="1"/>
  <c r="C149" i="7" s="1"/>
  <c r="D149" i="7" a="1"/>
  <c r="D149" i="7" s="1"/>
  <c r="D13" i="7" a="1"/>
  <c r="D13" i="7" s="1"/>
  <c r="D39" i="7" a="1"/>
  <c r="D39" i="7" s="1"/>
  <c r="B45" i="7" a="1"/>
  <c r="B45" i="7" s="1"/>
  <c r="E67" i="7" a="1"/>
  <c r="E67" i="7" s="1"/>
  <c r="C87" i="7" a="1"/>
  <c r="C87" i="7" s="1"/>
  <c r="C105" i="7" a="1"/>
  <c r="C105" i="7" s="1"/>
  <c r="F116" i="7" a="1"/>
  <c r="F116" i="7" s="1"/>
  <c r="C133" i="7" a="1"/>
  <c r="C133" i="7" s="1"/>
  <c r="E75" i="7" a="1"/>
  <c r="E75" i="7" s="1"/>
  <c r="D21" i="7" a="1"/>
  <c r="D21" i="7" s="1"/>
  <c r="B23" i="7" a="1"/>
  <c r="B23" i="7" s="1"/>
  <c r="E98" i="7" a="1"/>
  <c r="E98" i="7" s="1"/>
  <c r="E107" i="7" a="1"/>
  <c r="E107" i="7" s="1"/>
  <c r="C120" i="7" a="1"/>
  <c r="C120" i="7" s="1"/>
  <c r="E21" i="7" a="1"/>
  <c r="E21" i="7" s="1"/>
  <c r="C17" i="7" a="1"/>
  <c r="C17" i="7" s="1"/>
  <c r="B35" i="7" a="1"/>
  <c r="B35" i="7" s="1"/>
  <c r="B41" i="7" a="1"/>
  <c r="B41" i="7" s="1"/>
  <c r="C45" i="7" a="1"/>
  <c r="C45" i="7" s="1"/>
  <c r="E51" i="7" a="1"/>
  <c r="E51" i="7" s="1"/>
  <c r="E69" i="7" a="1"/>
  <c r="E69" i="7" s="1"/>
  <c r="B77" i="7" a="1"/>
  <c r="B77" i="7" s="1"/>
  <c r="B79" i="7" a="1"/>
  <c r="B79" i="7" s="1"/>
  <c r="C93" i="7" a="1"/>
  <c r="C93" i="7" s="1"/>
  <c r="B147" i="7" a="1"/>
  <c r="B147" i="7" s="1"/>
  <c r="B9" i="7" a="1"/>
  <c r="B9" i="7" s="1"/>
  <c r="B25" i="7" a="1"/>
  <c r="B25" i="7" s="1"/>
  <c r="C29" i="7" a="1"/>
  <c r="C29" i="7" s="1"/>
  <c r="B31" i="7" a="1"/>
  <c r="B31" i="7" s="1"/>
  <c r="F45" i="7" a="1"/>
  <c r="F45" i="7" s="1"/>
  <c r="C47" i="7" a="1"/>
  <c r="C47" i="7" s="1"/>
  <c r="B53" i="7" a="1"/>
  <c r="B53" i="7" s="1"/>
  <c r="D59" i="7" a="1"/>
  <c r="D59" i="7" s="1"/>
  <c r="B61" i="7" a="1"/>
  <c r="B61" i="7" s="1"/>
  <c r="B63" i="7" a="1"/>
  <c r="B63" i="7" s="1"/>
  <c r="B83" i="7" a="1"/>
  <c r="B83" i="7" s="1"/>
  <c r="C94" i="7" a="1"/>
  <c r="C94" i="7" s="1"/>
  <c r="E103" i="7" a="1"/>
  <c r="E103" i="7" s="1"/>
  <c r="D112" i="7" a="1"/>
  <c r="D112" i="7" s="1"/>
  <c r="D119" i="7" a="1"/>
  <c r="D119" i="7" s="1"/>
  <c r="D120" i="7" a="1"/>
  <c r="D120" i="7" s="1"/>
  <c r="B153" i="7" a="1"/>
  <c r="B153" i="7" s="1"/>
  <c r="B7" i="7" a="1"/>
  <c r="B7" i="7" s="1"/>
  <c r="C13" i="7" a="1"/>
  <c r="C13" i="7" s="1"/>
  <c r="C25" i="7" a="1"/>
  <c r="C25" i="7" s="1"/>
  <c r="D29" i="7" a="1"/>
  <c r="D29" i="7" s="1"/>
  <c r="E61" i="7" a="1"/>
  <c r="E61" i="7" s="1"/>
  <c r="B69" i="7" a="1"/>
  <c r="B69" i="7" s="1"/>
  <c r="F81" i="7" a="1"/>
  <c r="F81" i="7" s="1"/>
  <c r="C83" i="7" a="1"/>
  <c r="C83" i="7" s="1"/>
  <c r="B89" i="7" a="1"/>
  <c r="B89" i="7" s="1"/>
  <c r="C109" i="7" a="1"/>
  <c r="C109" i="7" s="1"/>
  <c r="F119" i="7" a="1"/>
  <c r="F119" i="7" s="1"/>
  <c r="E137" i="7" a="1"/>
  <c r="E137" i="7" s="1"/>
  <c r="B140" i="7" a="1"/>
  <c r="B140" i="7" s="1"/>
  <c r="F143" i="7" a="1"/>
  <c r="F143" i="7" s="1"/>
  <c r="B149" i="7" a="1"/>
  <c r="B149" i="7" s="1"/>
  <c r="C161" i="7" a="1"/>
  <c r="C161" i="7" s="1"/>
  <c r="F163" i="7" a="1"/>
  <c r="F163" i="7" s="1"/>
  <c r="D25" i="7" a="1"/>
  <c r="D25" i="7" s="1"/>
  <c r="B3" i="7" a="1"/>
  <c r="B3" i="7" s="1"/>
  <c r="F7" i="7" a="1"/>
  <c r="F7" i="7" s="1"/>
  <c r="C9" i="7" a="1"/>
  <c r="C9" i="7" s="1"/>
  <c r="B11" i="7" a="1"/>
  <c r="B11" i="7" s="1"/>
  <c r="D17" i="7" a="1"/>
  <c r="D17" i="7" s="1"/>
  <c r="F25" i="7" a="1"/>
  <c r="F25" i="7" s="1"/>
  <c r="B27" i="7" a="1"/>
  <c r="B27" i="7" s="1"/>
  <c r="B37" i="7" a="1"/>
  <c r="B37" i="7" s="1"/>
  <c r="D47" i="7" a="1"/>
  <c r="D47" i="7" s="1"/>
  <c r="C53" i="7" a="1"/>
  <c r="C53" i="7" s="1"/>
  <c r="B55" i="7" a="1"/>
  <c r="B55" i="7" s="1"/>
  <c r="C63" i="7" a="1"/>
  <c r="C63" i="7" s="1"/>
  <c r="B65" i="7" a="1"/>
  <c r="B65" i="7" s="1"/>
  <c r="C71" i="7" a="1"/>
  <c r="C71" i="7" s="1"/>
  <c r="B73" i="7" a="1"/>
  <c r="B73" i="7" s="1"/>
  <c r="C79" i="7" a="1"/>
  <c r="C79" i="7" s="1"/>
  <c r="B81" i="7" a="1"/>
  <c r="B81" i="7" s="1"/>
  <c r="D83" i="7" a="1"/>
  <c r="D83" i="7" s="1"/>
  <c r="B85" i="7" a="1"/>
  <c r="B85" i="7" s="1"/>
  <c r="F85" i="7" a="1"/>
  <c r="F85" i="7" s="1"/>
  <c r="C89" i="7" a="1"/>
  <c r="C89" i="7" s="1"/>
  <c r="F93" i="7" a="1"/>
  <c r="F93" i="7" s="1"/>
  <c r="B101" i="7" a="1"/>
  <c r="B101" i="7" s="1"/>
  <c r="C102" i="7" a="1"/>
  <c r="C102" i="7" s="1"/>
  <c r="F112" i="7" a="1"/>
  <c r="F112" i="7" s="1"/>
  <c r="C116" i="7" a="1"/>
  <c r="C116" i="7" s="1"/>
  <c r="E120" i="7" a="1"/>
  <c r="E120" i="7" s="1"/>
  <c r="C121" i="7" a="1"/>
  <c r="C121" i="7" s="1"/>
  <c r="B123" i="7" a="1"/>
  <c r="B123" i="7" s="1"/>
  <c r="B124" i="7" a="1"/>
  <c r="B124" i="7" s="1"/>
  <c r="B131" i="7" a="1"/>
  <c r="B131" i="7" s="1"/>
  <c r="B141" i="7" a="1"/>
  <c r="B141" i="7" s="1"/>
  <c r="C147" i="7" a="1"/>
  <c r="C147" i="7" s="1"/>
  <c r="D151" i="7" a="1"/>
  <c r="D151" i="7" s="1"/>
  <c r="C153" i="7" a="1"/>
  <c r="C153" i="7" s="1"/>
  <c r="B155" i="7" a="1"/>
  <c r="B155" i="7" s="1"/>
  <c r="B156" i="7" a="1"/>
  <c r="B156" i="7" s="1"/>
  <c r="E157" i="7" a="1"/>
  <c r="E157" i="7" s="1"/>
  <c r="F161" i="7" a="1"/>
  <c r="F161" i="7" s="1"/>
  <c r="F37" i="7" a="1"/>
  <c r="F37" i="7" s="1"/>
  <c r="F65" i="7" a="1"/>
  <c r="F65" i="7" s="1"/>
  <c r="F73" i="7" a="1"/>
  <c r="F73" i="7" s="1"/>
  <c r="E85" i="7" a="1"/>
  <c r="E85" i="7" s="1"/>
  <c r="F124" i="7" a="1"/>
  <c r="F124" i="7" s="1"/>
  <c r="C3" i="7" a="1"/>
  <c r="C3" i="7" s="1"/>
  <c r="F9" i="7" a="1"/>
  <c r="F9" i="7" s="1"/>
  <c r="C11" i="7" a="1"/>
  <c r="C11" i="7" s="1"/>
  <c r="C27" i="7" a="1"/>
  <c r="C27" i="7" s="1"/>
  <c r="C33" i="7" a="1"/>
  <c r="C33" i="7" s="1"/>
  <c r="C37" i="7" a="1"/>
  <c r="C37" i="7" s="1"/>
  <c r="F47" i="7" a="1"/>
  <c r="F47" i="7" s="1"/>
  <c r="F53" i="7" a="1"/>
  <c r="F53" i="7" s="1"/>
  <c r="C55" i="7" a="1"/>
  <c r="C55" i="7" s="1"/>
  <c r="F63" i="7" a="1"/>
  <c r="F63" i="7" s="1"/>
  <c r="C65" i="7" a="1"/>
  <c r="C65" i="7" s="1"/>
  <c r="F71" i="7" a="1"/>
  <c r="F71" i="7" s="1"/>
  <c r="C73" i="7" a="1"/>
  <c r="C73" i="7" s="1"/>
  <c r="F79" i="7" a="1"/>
  <c r="F79" i="7" s="1"/>
  <c r="C81" i="7" a="1"/>
  <c r="C81" i="7" s="1"/>
  <c r="F83" i="7" a="1"/>
  <c r="F83" i="7" s="1"/>
  <c r="C85" i="7" a="1"/>
  <c r="C85" i="7" s="1"/>
  <c r="E89" i="7" a="1"/>
  <c r="E89" i="7" s="1"/>
  <c r="D101" i="7" a="1"/>
  <c r="D101" i="7" s="1"/>
  <c r="E102" i="7" a="1"/>
  <c r="E102" i="7" s="1"/>
  <c r="C107" i="7" a="1"/>
  <c r="C107" i="7" s="1"/>
  <c r="B112" i="7" a="1"/>
  <c r="B112" i="7" s="1"/>
  <c r="D116" i="7" a="1"/>
  <c r="D116" i="7" s="1"/>
  <c r="E117" i="7" a="1"/>
  <c r="E117" i="7" s="1"/>
  <c r="B120" i="7" a="1"/>
  <c r="B120" i="7" s="1"/>
  <c r="E121" i="7" a="1"/>
  <c r="E121" i="7" s="1"/>
  <c r="D123" i="7" a="1"/>
  <c r="D123" i="7" s="1"/>
  <c r="C124" i="7" a="1"/>
  <c r="C124" i="7" s="1"/>
  <c r="D141" i="7" a="1"/>
  <c r="D141" i="7" s="1"/>
  <c r="C143" i="7" a="1"/>
  <c r="C143" i="7" s="1"/>
  <c r="D147" i="7" a="1"/>
  <c r="D147" i="7" s="1"/>
  <c r="F149" i="7" a="1"/>
  <c r="F149" i="7" s="1"/>
  <c r="F153" i="7" a="1"/>
  <c r="F153" i="7" s="1"/>
  <c r="D155" i="7" a="1"/>
  <c r="D155" i="7" s="1"/>
  <c r="D156" i="7" a="1"/>
  <c r="D156" i="7" s="1"/>
  <c r="B161" i="7" a="1"/>
  <c r="B161" i="7" s="1"/>
  <c r="B164" i="7" a="1"/>
  <c r="B164" i="7" s="1"/>
  <c r="F27" i="7" a="1"/>
  <c r="F27" i="7" s="1"/>
  <c r="F55" i="7" a="1"/>
  <c r="F55" i="7" s="1"/>
  <c r="D3" i="7" a="1"/>
  <c r="D3" i="7" s="1"/>
  <c r="F11" i="7" a="1"/>
  <c r="F11" i="7" s="1"/>
  <c r="D27" i="7" a="1"/>
  <c r="D27" i="7" s="1"/>
  <c r="D37" i="7" a="1"/>
  <c r="D37" i="7" s="1"/>
  <c r="D55" i="7" a="1"/>
  <c r="D55" i="7" s="1"/>
  <c r="D65" i="7" a="1"/>
  <c r="D65" i="7" s="1"/>
  <c r="D73" i="7" a="1"/>
  <c r="D73" i="7" s="1"/>
  <c r="D81" i="7" a="1"/>
  <c r="D81" i="7" s="1"/>
  <c r="F89" i="7" a="1"/>
  <c r="F89" i="7" s="1"/>
  <c r="F101" i="7" a="1"/>
  <c r="F101" i="7" s="1"/>
  <c r="F123" i="7" a="1"/>
  <c r="F123" i="7" s="1"/>
  <c r="E124" i="7" a="1"/>
  <c r="E124" i="7" s="1"/>
  <c r="F141" i="7" a="1"/>
  <c r="F141" i="7" s="1"/>
  <c r="F147" i="7" a="1"/>
  <c r="F147" i="7" s="1"/>
  <c r="F155" i="7" a="1"/>
  <c r="F155" i="7" s="1"/>
  <c r="F156" i="7" a="1"/>
  <c r="F156" i="7" s="1"/>
  <c r="D164" i="7" a="1"/>
  <c r="D164" i="7" s="1"/>
  <c r="E5" i="7" a="1"/>
  <c r="E5" i="7" s="1"/>
  <c r="F15" i="7" a="1"/>
  <c r="F15" i="7" s="1"/>
  <c r="F19" i="7" a="1"/>
  <c r="F19" i="7" s="1"/>
  <c r="B19" i="7" a="1"/>
  <c r="B19" i="7" s="1"/>
  <c r="D97" i="7" a="1"/>
  <c r="D97" i="7" s="1"/>
  <c r="C97" i="7" a="1"/>
  <c r="C97" i="7" s="1"/>
  <c r="F97" i="7" a="1"/>
  <c r="F97" i="7" s="1"/>
  <c r="B97" i="7" a="1"/>
  <c r="B97" i="7" s="1"/>
  <c r="F128" i="7" a="1"/>
  <c r="F128" i="7" s="1"/>
  <c r="C128" i="7" a="1"/>
  <c r="C128" i="7" s="1"/>
  <c r="E128" i="7" a="1"/>
  <c r="E128" i="7" s="1"/>
  <c r="B128" i="7" a="1"/>
  <c r="B128" i="7" s="1"/>
  <c r="F132" i="7" a="1"/>
  <c r="F132" i="7" s="1"/>
  <c r="B132" i="7" a="1"/>
  <c r="B132" i="7" s="1"/>
  <c r="D139" i="7" a="1"/>
  <c r="D139" i="7" s="1"/>
  <c r="E139" i="7" a="1"/>
  <c r="E139" i="7" s="1"/>
  <c r="B139" i="7" a="1"/>
  <c r="B139" i="7" s="1"/>
  <c r="D145" i="7" a="1"/>
  <c r="D145" i="7" s="1"/>
  <c r="C145" i="7" a="1"/>
  <c r="C145" i="7" s="1"/>
  <c r="F145" i="7" a="1"/>
  <c r="F145" i="7" s="1"/>
  <c r="B145" i="7" a="1"/>
  <c r="B145" i="7" s="1"/>
  <c r="E3" i="7" a="1"/>
  <c r="E3" i="7" s="1"/>
  <c r="B5" i="7" a="1"/>
  <c r="B5" i="7" s="1"/>
  <c r="F5" i="7" a="1"/>
  <c r="F5" i="7" s="1"/>
  <c r="C7" i="7" a="1"/>
  <c r="C7" i="7" s="1"/>
  <c r="D9" i="7" a="1"/>
  <c r="D9" i="7" s="1"/>
  <c r="D11" i="7" a="1"/>
  <c r="D11" i="7" s="1"/>
  <c r="E13" i="7" a="1"/>
  <c r="E13" i="7" s="1"/>
  <c r="B15" i="7" a="1"/>
  <c r="B15" i="7" s="1"/>
  <c r="C19" i="7" a="1"/>
  <c r="C19" i="7" s="1"/>
  <c r="F21" i="7" a="1"/>
  <c r="F21" i="7" s="1"/>
  <c r="C23" i="7" a="1"/>
  <c r="C23" i="7" s="1"/>
  <c r="D31" i="7" a="1"/>
  <c r="D31" i="7" s="1"/>
  <c r="F33" i="7" a="1"/>
  <c r="F33" i="7" s="1"/>
  <c r="C35" i="7" a="1"/>
  <c r="C35" i="7" s="1"/>
  <c r="E41" i="7" a="1"/>
  <c r="E41" i="7" s="1"/>
  <c r="D43" i="7" a="1"/>
  <c r="D43" i="7" s="1"/>
  <c r="C43" i="7" a="1"/>
  <c r="C43" i="7" s="1"/>
  <c r="C49" i="7" a="1"/>
  <c r="C49" i="7" s="1"/>
  <c r="F49" i="7" a="1"/>
  <c r="F49" i="7" s="1"/>
  <c r="B49" i="7" a="1"/>
  <c r="B49" i="7" s="1"/>
  <c r="D51" i="7" a="1"/>
  <c r="D51" i="7" s="1"/>
  <c r="C51" i="7" a="1"/>
  <c r="C51" i="7" s="1"/>
  <c r="C57" i="7" a="1"/>
  <c r="C57" i="7" s="1"/>
  <c r="F57" i="7" a="1"/>
  <c r="F57" i="7" s="1"/>
  <c r="B57" i="7" a="1"/>
  <c r="B57" i="7" s="1"/>
  <c r="E97" i="7" a="1"/>
  <c r="E97" i="7" s="1"/>
  <c r="F125" i="7" a="1"/>
  <c r="F125" i="7" s="1"/>
  <c r="E125" i="7" a="1"/>
  <c r="E125" i="7" s="1"/>
  <c r="C125" i="7" a="1"/>
  <c r="C125" i="7" s="1"/>
  <c r="D128" i="7" a="1"/>
  <c r="D128" i="7" s="1"/>
  <c r="E145" i="7" a="1"/>
  <c r="E145" i="7" s="1"/>
  <c r="E159" i="7" a="1"/>
  <c r="E159" i="7" s="1"/>
  <c r="F159" i="7" a="1"/>
  <c r="F159" i="7" s="1"/>
  <c r="D159" i="7" a="1"/>
  <c r="D159" i="7" s="1"/>
  <c r="B159" i="7" a="1"/>
  <c r="B159" i="7" s="1"/>
  <c r="C5" i="7" a="1"/>
  <c r="C5" i="7" s="1"/>
  <c r="D7" i="7" a="1"/>
  <c r="D7" i="7" s="1"/>
  <c r="B13" i="7" a="1"/>
  <c r="B13" i="7" s="1"/>
  <c r="C15" i="7" a="1"/>
  <c r="C15" i="7" s="1"/>
  <c r="F17" i="7" a="1"/>
  <c r="F17" i="7" s="1"/>
  <c r="B17" i="7" a="1"/>
  <c r="B17" i="7" s="1"/>
  <c r="D19" i="7" a="1"/>
  <c r="D19" i="7" s="1"/>
  <c r="B21" i="7" a="1"/>
  <c r="B21" i="7" s="1"/>
  <c r="E23" i="7" a="1"/>
  <c r="E23" i="7" s="1"/>
  <c r="F29" i="7" a="1"/>
  <c r="F29" i="7" s="1"/>
  <c r="B29" i="7" a="1"/>
  <c r="B29" i="7" s="1"/>
  <c r="E31" i="7" a="1"/>
  <c r="E31" i="7" s="1"/>
  <c r="B33" i="7" a="1"/>
  <c r="B33" i="7" s="1"/>
  <c r="E35" i="7" a="1"/>
  <c r="E35" i="7" s="1"/>
  <c r="B43" i="7" a="1"/>
  <c r="B43" i="7" s="1"/>
  <c r="D49" i="7" a="1"/>
  <c r="D49" i="7" s="1"/>
  <c r="B51" i="7" a="1"/>
  <c r="B51" i="7" s="1"/>
  <c r="D57" i="7" a="1"/>
  <c r="D57" i="7" s="1"/>
  <c r="C59" i="7" a="1"/>
  <c r="C59" i="7" s="1"/>
  <c r="F59" i="7" a="1"/>
  <c r="F59" i="7" s="1"/>
  <c r="B59" i="7" a="1"/>
  <c r="B59" i="7" s="1"/>
  <c r="D61" i="7" a="1"/>
  <c r="D61" i="7" s="1"/>
  <c r="C61" i="7" a="1"/>
  <c r="C61" i="7" s="1"/>
  <c r="C67" i="7" a="1"/>
  <c r="C67" i="7" s="1"/>
  <c r="F67" i="7" a="1"/>
  <c r="F67" i="7" s="1"/>
  <c r="B67" i="7" a="1"/>
  <c r="B67" i="7" s="1"/>
  <c r="D69" i="7" a="1"/>
  <c r="D69" i="7" s="1"/>
  <c r="C69" i="7" a="1"/>
  <c r="C69" i="7" s="1"/>
  <c r="C75" i="7" a="1"/>
  <c r="C75" i="7" s="1"/>
  <c r="F75" i="7" a="1"/>
  <c r="F75" i="7" s="1"/>
  <c r="B75" i="7" a="1"/>
  <c r="B75" i="7" s="1"/>
  <c r="D77" i="7" a="1"/>
  <c r="D77" i="7" s="1"/>
  <c r="C77" i="7" a="1"/>
  <c r="C77" i="7" s="1"/>
  <c r="F95" i="7" a="1"/>
  <c r="F95" i="7" s="1"/>
  <c r="E95" i="7" a="1"/>
  <c r="E95" i="7" s="1"/>
  <c r="C95" i="7" a="1"/>
  <c r="C95" i="7" s="1"/>
  <c r="E135" i="7" a="1"/>
  <c r="E135" i="7" s="1"/>
  <c r="F135" i="7" a="1"/>
  <c r="F135" i="7" s="1"/>
  <c r="C135" i="7" a="1"/>
  <c r="C135" i="7" s="1"/>
  <c r="E160" i="7" a="1"/>
  <c r="E160" i="7" s="1"/>
  <c r="D160" i="7" a="1"/>
  <c r="D160" i="7" s="1"/>
  <c r="F160" i="7" a="1"/>
  <c r="F160" i="7" s="1"/>
  <c r="B160" i="7" a="1"/>
  <c r="B160" i="7" s="1"/>
  <c r="D15" i="7" a="1"/>
  <c r="D15" i="7" s="1"/>
  <c r="E19" i="7" a="1"/>
  <c r="E19" i="7" s="1"/>
  <c r="F23" i="7" a="1"/>
  <c r="F23" i="7" s="1"/>
  <c r="F31" i="7" a="1"/>
  <c r="F31" i="7" s="1"/>
  <c r="F35" i="7" a="1"/>
  <c r="F35" i="7" s="1"/>
  <c r="C39" i="7" a="1"/>
  <c r="C39" i="7" s="1"/>
  <c r="F39" i="7" a="1"/>
  <c r="F39" i="7" s="1"/>
  <c r="B39" i="7" a="1"/>
  <c r="B39" i="7" s="1"/>
  <c r="D41" i="7" a="1"/>
  <c r="D41" i="7" s="1"/>
  <c r="C41" i="7" a="1"/>
  <c r="C41" i="7" s="1"/>
  <c r="F106" i="7" a="1"/>
  <c r="F106" i="7" s="1"/>
  <c r="E106" i="7" a="1"/>
  <c r="E106" i="7" s="1"/>
  <c r="C106" i="7" a="1"/>
  <c r="C106" i="7" s="1"/>
  <c r="E127" i="7" a="1"/>
  <c r="E127" i="7" s="1"/>
  <c r="F127" i="7" a="1"/>
  <c r="F127" i="7" s="1"/>
  <c r="D127" i="7" a="1"/>
  <c r="D127" i="7" s="1"/>
  <c r="B127" i="7" a="1"/>
  <c r="B127" i="7" s="1"/>
  <c r="D45" i="7" a="1"/>
  <c r="D45" i="7" s="1"/>
  <c r="D53" i="7" a="1"/>
  <c r="D53" i="7" s="1"/>
  <c r="D63" i="7" a="1"/>
  <c r="D63" i="7" s="1"/>
  <c r="D71" i="7" a="1"/>
  <c r="D71" i="7" s="1"/>
  <c r="D79" i="7" a="1"/>
  <c r="D79" i="7" s="1"/>
  <c r="D93" i="7" a="1"/>
  <c r="D93" i="7" s="1"/>
  <c r="E101" i="7" a="1"/>
  <c r="E101" i="7" s="1"/>
  <c r="D105" i="7" a="1"/>
  <c r="D105" i="7" s="1"/>
  <c r="D133" i="7" a="1"/>
  <c r="D133" i="7" s="1"/>
  <c r="C137" i="7" a="1"/>
  <c r="C137" i="7" s="1"/>
  <c r="F137" i="7" a="1"/>
  <c r="F137" i="7" s="1"/>
  <c r="E141" i="7" a="1"/>
  <c r="E141" i="7" s="1"/>
  <c r="F151" i="7" a="1"/>
  <c r="F151" i="7" s="1"/>
  <c r="D153" i="7" a="1"/>
  <c r="D153" i="7" s="1"/>
  <c r="C157" i="7" a="1"/>
  <c r="C157" i="7" s="1"/>
  <c r="F157" i="7" a="1"/>
  <c r="F157" i="7" s="1"/>
  <c r="E105" i="7" a="1"/>
  <c r="E105" i="7" s="1"/>
  <c r="E133" i="7" a="1"/>
  <c r="E133" i="7" s="1"/>
  <c r="D137" i="7" a="1"/>
  <c r="D137" i="7" s="1"/>
  <c r="D157" i="7" a="1"/>
  <c r="D157" i="7" s="1"/>
  <c r="B163" i="7" a="1"/>
  <c r="B163" i="7" s="1"/>
  <c r="F164" i="7" a="1"/>
  <c r="F164" i="7" s="1"/>
  <c r="B93" i="7" a="1"/>
  <c r="B93" i="7" s="1"/>
  <c r="E94" i="7" a="1"/>
  <c r="E94" i="7" s="1"/>
  <c r="C98" i="7" a="1"/>
  <c r="C98" i="7" s="1"/>
  <c r="E99" i="7" a="1"/>
  <c r="E99" i="7" s="1"/>
  <c r="C103" i="7" a="1"/>
  <c r="C103" i="7" s="1"/>
  <c r="B105" i="7" a="1"/>
  <c r="B105" i="7" s="1"/>
  <c r="E113" i="7" a="1"/>
  <c r="E113" i="7" s="1"/>
  <c r="C117" i="7" a="1"/>
  <c r="C117" i="7" s="1"/>
  <c r="E129" i="7" a="1"/>
  <c r="E129" i="7" s="1"/>
  <c r="E131" i="7" a="1"/>
  <c r="E131" i="7" s="1"/>
  <c r="B133" i="7" a="1"/>
  <c r="B133" i="7" s="1"/>
  <c r="E138" i="7" a="1"/>
  <c r="E138" i="7" s="1"/>
  <c r="B151" i="7" a="1"/>
  <c r="B151" i="7" s="1"/>
  <c r="B152" i="7" a="1"/>
  <c r="B152" i="7" s="1"/>
  <c r="D163" i="7" a="1"/>
  <c r="D163" i="7" s="1"/>
  <c r="E40" i="7" a="1"/>
  <c r="E40" i="7" s="1"/>
  <c r="C40" i="7" a="1"/>
  <c r="C40" i="7" s="1"/>
  <c r="F40" i="7" a="1"/>
  <c r="F40" i="7" s="1"/>
  <c r="D40" i="7" a="1"/>
  <c r="D40" i="7" s="1"/>
  <c r="B40" i="7" a="1"/>
  <c r="B40" i="7" s="1"/>
  <c r="E4" i="7" a="1"/>
  <c r="E4" i="7" s="1"/>
  <c r="C4" i="7" a="1"/>
  <c r="C4" i="7" s="1"/>
  <c r="F4" i="7" a="1"/>
  <c r="F4" i="7" s="1"/>
  <c r="D4" i="7" a="1"/>
  <c r="D4" i="7" s="1"/>
  <c r="B4" i="7" a="1"/>
  <c r="B4" i="7" s="1"/>
  <c r="E20" i="7" a="1"/>
  <c r="E20" i="7" s="1"/>
  <c r="C20" i="7" a="1"/>
  <c r="C20" i="7" s="1"/>
  <c r="F20" i="7" a="1"/>
  <c r="F20" i="7" s="1"/>
  <c r="D20" i="7" a="1"/>
  <c r="D20" i="7" s="1"/>
  <c r="B20" i="7" a="1"/>
  <c r="B20" i="7" s="1"/>
  <c r="E36" i="7" a="1"/>
  <c r="E36" i="7" s="1"/>
  <c r="C36" i="7" a="1"/>
  <c r="C36" i="7" s="1"/>
  <c r="F36" i="7" a="1"/>
  <c r="F36" i="7" s="1"/>
  <c r="D36" i="7" a="1"/>
  <c r="D36" i="7" s="1"/>
  <c r="B36" i="7" a="1"/>
  <c r="B36" i="7" s="1"/>
  <c r="E52" i="7" a="1"/>
  <c r="E52" i="7" s="1"/>
  <c r="C52" i="7" a="1"/>
  <c r="C52" i="7" s="1"/>
  <c r="F52" i="7" a="1"/>
  <c r="F52" i="7" s="1"/>
  <c r="D52" i="7" a="1"/>
  <c r="D52" i="7" s="1"/>
  <c r="B52" i="7" a="1"/>
  <c r="B52" i="7" s="1"/>
  <c r="E8" i="7" a="1"/>
  <c r="E8" i="7" s="1"/>
  <c r="C8" i="7" a="1"/>
  <c r="C8" i="7" s="1"/>
  <c r="F8" i="7" a="1"/>
  <c r="F8" i="7" s="1"/>
  <c r="D8" i="7" a="1"/>
  <c r="D8" i="7" s="1"/>
  <c r="B8" i="7" a="1"/>
  <c r="B8" i="7" s="1"/>
  <c r="E24" i="7" a="1"/>
  <c r="E24" i="7" s="1"/>
  <c r="C24" i="7" a="1"/>
  <c r="C24" i="7" s="1"/>
  <c r="F24" i="7" a="1"/>
  <c r="F24" i="7" s="1"/>
  <c r="D24" i="7" a="1"/>
  <c r="D24" i="7" s="1"/>
  <c r="B24" i="7" a="1"/>
  <c r="B24" i="7" s="1"/>
  <c r="E56" i="7" a="1"/>
  <c r="E56" i="7" s="1"/>
  <c r="C56" i="7" a="1"/>
  <c r="C56" i="7" s="1"/>
  <c r="F56" i="7" a="1"/>
  <c r="F56" i="7" s="1"/>
  <c r="D56" i="7" a="1"/>
  <c r="D56" i="7" s="1"/>
  <c r="B56" i="7" a="1"/>
  <c r="B56" i="7" s="1"/>
  <c r="E16" i="7" a="1"/>
  <c r="E16" i="7" s="1"/>
  <c r="C16" i="7" a="1"/>
  <c r="C16" i="7" s="1"/>
  <c r="F16" i="7" a="1"/>
  <c r="F16" i="7" s="1"/>
  <c r="D16" i="7" a="1"/>
  <c r="D16" i="7" s="1"/>
  <c r="B16" i="7" a="1"/>
  <c r="B16" i="7" s="1"/>
  <c r="E32" i="7" a="1"/>
  <c r="E32" i="7" s="1"/>
  <c r="C32" i="7" a="1"/>
  <c r="C32" i="7" s="1"/>
  <c r="F32" i="7" a="1"/>
  <c r="F32" i="7" s="1"/>
  <c r="D32" i="7" a="1"/>
  <c r="D32" i="7" s="1"/>
  <c r="B32" i="7" a="1"/>
  <c r="B32" i="7" s="1"/>
  <c r="E48" i="7" a="1"/>
  <c r="E48" i="7" s="1"/>
  <c r="C48" i="7" a="1"/>
  <c r="C48" i="7" s="1"/>
  <c r="F48" i="7" a="1"/>
  <c r="F48" i="7" s="1"/>
  <c r="D48" i="7" a="1"/>
  <c r="D48" i="7" s="1"/>
  <c r="B48" i="7" a="1"/>
  <c r="B48" i="7" s="1"/>
  <c r="E12" i="7" a="1"/>
  <c r="E12" i="7" s="1"/>
  <c r="C12" i="7" a="1"/>
  <c r="C12" i="7" s="1"/>
  <c r="F12" i="7" a="1"/>
  <c r="F12" i="7" s="1"/>
  <c r="D12" i="7" a="1"/>
  <c r="D12" i="7" s="1"/>
  <c r="B12" i="7" a="1"/>
  <c r="B12" i="7" s="1"/>
  <c r="E28" i="7" a="1"/>
  <c r="E28" i="7" s="1"/>
  <c r="C28" i="7" a="1"/>
  <c r="C28" i="7" s="1"/>
  <c r="F28" i="7" a="1"/>
  <c r="F28" i="7" s="1"/>
  <c r="D28" i="7" a="1"/>
  <c r="D28" i="7" s="1"/>
  <c r="B28" i="7" a="1"/>
  <c r="B28" i="7" s="1"/>
  <c r="E44" i="7" a="1"/>
  <c r="E44" i="7" s="1"/>
  <c r="C44" i="7" a="1"/>
  <c r="C44" i="7" s="1"/>
  <c r="F44" i="7" a="1"/>
  <c r="F44" i="7" s="1"/>
  <c r="D44" i="7" a="1"/>
  <c r="D44" i="7" s="1"/>
  <c r="B44" i="7" a="1"/>
  <c r="B44" i="7" s="1"/>
  <c r="E60" i="7" a="1"/>
  <c r="E60" i="7" s="1"/>
  <c r="F60" i="7" a="1"/>
  <c r="F60" i="7" s="1"/>
  <c r="C60" i="7" a="1"/>
  <c r="C60" i="7" s="1"/>
  <c r="D60" i="7" a="1"/>
  <c r="D60" i="7" s="1"/>
  <c r="B60" i="7" a="1"/>
  <c r="B60" i="7" s="1"/>
  <c r="C2" i="7" a="1"/>
  <c r="C2" i="7" s="1"/>
  <c r="E2" i="7" a="1"/>
  <c r="E2" i="7" s="1"/>
  <c r="C6" i="7" a="1"/>
  <c r="C6" i="7" s="1"/>
  <c r="E6" i="7" a="1"/>
  <c r="E6" i="7" s="1"/>
  <c r="C10" i="7" a="1"/>
  <c r="C10" i="7" s="1"/>
  <c r="E10" i="7" a="1"/>
  <c r="E10" i="7" s="1"/>
  <c r="C14" i="7" a="1"/>
  <c r="C14" i="7" s="1"/>
  <c r="E14" i="7" a="1"/>
  <c r="E14" i="7" s="1"/>
  <c r="C18" i="7" a="1"/>
  <c r="C18" i="7" s="1"/>
  <c r="E18" i="7" a="1"/>
  <c r="E18" i="7" s="1"/>
  <c r="C22" i="7" a="1"/>
  <c r="C22" i="7" s="1"/>
  <c r="E22" i="7" a="1"/>
  <c r="E22" i="7" s="1"/>
  <c r="C26" i="7" a="1"/>
  <c r="C26" i="7" s="1"/>
  <c r="E26" i="7" a="1"/>
  <c r="E26" i="7" s="1"/>
  <c r="C30" i="7" a="1"/>
  <c r="C30" i="7" s="1"/>
  <c r="E30" i="7" a="1"/>
  <c r="E30" i="7" s="1"/>
  <c r="C34" i="7" a="1"/>
  <c r="C34" i="7" s="1"/>
  <c r="E34" i="7" a="1"/>
  <c r="E34" i="7" s="1"/>
  <c r="C38" i="7" a="1"/>
  <c r="C38" i="7" s="1"/>
  <c r="E38" i="7" a="1"/>
  <c r="E38" i="7" s="1"/>
  <c r="C42" i="7" a="1"/>
  <c r="C42" i="7" s="1"/>
  <c r="E42" i="7" a="1"/>
  <c r="E42" i="7" s="1"/>
  <c r="C46" i="7" a="1"/>
  <c r="C46" i="7" s="1"/>
  <c r="E46" i="7" a="1"/>
  <c r="E46" i="7" s="1"/>
  <c r="C50" i="7" a="1"/>
  <c r="C50" i="7" s="1"/>
  <c r="E50" i="7" a="1"/>
  <c r="E50" i="7" s="1"/>
  <c r="C54" i="7" a="1"/>
  <c r="C54" i="7" s="1"/>
  <c r="E54" i="7" a="1"/>
  <c r="E54" i="7" s="1"/>
  <c r="C58" i="7" a="1"/>
  <c r="C58" i="7" s="1"/>
  <c r="E58" i="7" a="1"/>
  <c r="E58" i="7" s="1"/>
  <c r="E84" i="7" a="1"/>
  <c r="E84" i="7" s="1"/>
  <c r="C84" i="7" a="1"/>
  <c r="C84" i="7" s="1"/>
  <c r="F84" i="7" a="1"/>
  <c r="F84" i="7" s="1"/>
  <c r="B84" i="7" a="1"/>
  <c r="B84" i="7" s="1"/>
  <c r="F91" i="7" a="1"/>
  <c r="F91" i="7" s="1"/>
  <c r="C91" i="7" a="1"/>
  <c r="C91" i="7" s="1"/>
  <c r="E91" i="7" a="1"/>
  <c r="E91" i="7" s="1"/>
  <c r="B91" i="7" a="1"/>
  <c r="B91" i="7" s="1"/>
  <c r="E80" i="7" a="1"/>
  <c r="E80" i="7" s="1"/>
  <c r="C80" i="7" a="1"/>
  <c r="C80" i="7" s="1"/>
  <c r="F80" i="7" a="1"/>
  <c r="F80" i="7" s="1"/>
  <c r="D80" i="7" a="1"/>
  <c r="D80" i="7" s="1"/>
  <c r="B80" i="7" a="1"/>
  <c r="B80" i="7" s="1"/>
  <c r="E126" i="7" a="1"/>
  <c r="E126" i="7" s="1"/>
  <c r="C126" i="7" a="1"/>
  <c r="C126" i="7" s="1"/>
  <c r="F126" i="7" a="1"/>
  <c r="F126" i="7" s="1"/>
  <c r="D126" i="7" a="1"/>
  <c r="D126" i="7" s="1"/>
  <c r="B126" i="7" a="1"/>
  <c r="B126" i="7" s="1"/>
  <c r="B2" i="7" a="1"/>
  <c r="B2" i="7" s="1"/>
  <c r="D2" i="7" a="1"/>
  <c r="D2" i="7" s="1"/>
  <c r="B6" i="7" a="1"/>
  <c r="B6" i="7" s="1"/>
  <c r="D6" i="7" a="1"/>
  <c r="D6" i="7" s="1"/>
  <c r="B10" i="7" a="1"/>
  <c r="B10" i="7" s="1"/>
  <c r="D10" i="7" a="1"/>
  <c r="D10" i="7" s="1"/>
  <c r="B14" i="7" a="1"/>
  <c r="B14" i="7" s="1"/>
  <c r="D14" i="7" a="1"/>
  <c r="D14" i="7" s="1"/>
  <c r="B18" i="7" a="1"/>
  <c r="B18" i="7" s="1"/>
  <c r="D18" i="7" a="1"/>
  <c r="D18" i="7" s="1"/>
  <c r="B22" i="7" a="1"/>
  <c r="B22" i="7" s="1"/>
  <c r="D22" i="7" a="1"/>
  <c r="D22" i="7" s="1"/>
  <c r="B26" i="7" a="1"/>
  <c r="B26" i="7" s="1"/>
  <c r="D26" i="7" a="1"/>
  <c r="D26" i="7" s="1"/>
  <c r="B30" i="7" a="1"/>
  <c r="B30" i="7" s="1"/>
  <c r="D30" i="7" a="1"/>
  <c r="D30" i="7" s="1"/>
  <c r="B34" i="7" a="1"/>
  <c r="B34" i="7" s="1"/>
  <c r="D34" i="7" a="1"/>
  <c r="D34" i="7" s="1"/>
  <c r="B38" i="7" a="1"/>
  <c r="B38" i="7" s="1"/>
  <c r="D38" i="7" a="1"/>
  <c r="D38" i="7" s="1"/>
  <c r="B42" i="7" a="1"/>
  <c r="B42" i="7" s="1"/>
  <c r="D42" i="7" a="1"/>
  <c r="D42" i="7" s="1"/>
  <c r="B46" i="7" a="1"/>
  <c r="B46" i="7" s="1"/>
  <c r="D46" i="7" a="1"/>
  <c r="D46" i="7" s="1"/>
  <c r="B50" i="7" a="1"/>
  <c r="B50" i="7" s="1"/>
  <c r="D50" i="7" a="1"/>
  <c r="D50" i="7" s="1"/>
  <c r="B54" i="7" a="1"/>
  <c r="B54" i="7" s="1"/>
  <c r="D54" i="7" a="1"/>
  <c r="D54" i="7" s="1"/>
  <c r="B58" i="7" a="1"/>
  <c r="B58" i="7" s="1"/>
  <c r="D58" i="7" a="1"/>
  <c r="D58" i="7" s="1"/>
  <c r="F62" i="7" a="1"/>
  <c r="F62" i="7" s="1"/>
  <c r="D62" i="7" a="1"/>
  <c r="D62" i="7" s="1"/>
  <c r="B62" i="7" a="1"/>
  <c r="B62" i="7" s="1"/>
  <c r="E62" i="7" a="1"/>
  <c r="E62" i="7" s="1"/>
  <c r="C62" i="7" a="1"/>
  <c r="C62" i="7" s="1"/>
  <c r="E64" i="7" a="1"/>
  <c r="E64" i="7" s="1"/>
  <c r="C64" i="7" a="1"/>
  <c r="C64" i="7" s="1"/>
  <c r="F64" i="7" a="1"/>
  <c r="F64" i="7" s="1"/>
  <c r="D64" i="7" a="1"/>
  <c r="D64" i="7" s="1"/>
  <c r="B64" i="7" a="1"/>
  <c r="B64" i="7" s="1"/>
  <c r="F66" i="7" a="1"/>
  <c r="F66" i="7" s="1"/>
  <c r="D66" i="7" a="1"/>
  <c r="D66" i="7" s="1"/>
  <c r="B66" i="7" a="1"/>
  <c r="B66" i="7" s="1"/>
  <c r="E66" i="7" a="1"/>
  <c r="E66" i="7" s="1"/>
  <c r="C66" i="7" a="1"/>
  <c r="C66" i="7" s="1"/>
  <c r="E68" i="7" a="1"/>
  <c r="E68" i="7" s="1"/>
  <c r="C68" i="7" a="1"/>
  <c r="C68" i="7" s="1"/>
  <c r="F68" i="7" a="1"/>
  <c r="F68" i="7" s="1"/>
  <c r="D68" i="7" a="1"/>
  <c r="D68" i="7" s="1"/>
  <c r="B68" i="7" a="1"/>
  <c r="B68" i="7" s="1"/>
  <c r="F70" i="7" a="1"/>
  <c r="F70" i="7" s="1"/>
  <c r="D70" i="7" a="1"/>
  <c r="D70" i="7" s="1"/>
  <c r="B70" i="7" a="1"/>
  <c r="B70" i="7" s="1"/>
  <c r="E70" i="7" a="1"/>
  <c r="E70" i="7" s="1"/>
  <c r="C70" i="7" a="1"/>
  <c r="C70" i="7" s="1"/>
  <c r="E72" i="7" a="1"/>
  <c r="E72" i="7" s="1"/>
  <c r="C72" i="7" a="1"/>
  <c r="C72" i="7" s="1"/>
  <c r="F72" i="7" a="1"/>
  <c r="F72" i="7" s="1"/>
  <c r="D72" i="7" a="1"/>
  <c r="D72" i="7" s="1"/>
  <c r="B72" i="7" a="1"/>
  <c r="B72" i="7" s="1"/>
  <c r="F74" i="7" a="1"/>
  <c r="F74" i="7" s="1"/>
  <c r="D74" i="7" a="1"/>
  <c r="D74" i="7" s="1"/>
  <c r="B74" i="7" a="1"/>
  <c r="B74" i="7" s="1"/>
  <c r="E74" i="7" a="1"/>
  <c r="E74" i="7" s="1"/>
  <c r="C74" i="7" a="1"/>
  <c r="C74" i="7" s="1"/>
  <c r="E76" i="7" a="1"/>
  <c r="E76" i="7" s="1"/>
  <c r="C76" i="7" a="1"/>
  <c r="C76" i="7" s="1"/>
  <c r="F76" i="7" a="1"/>
  <c r="F76" i="7" s="1"/>
  <c r="D76" i="7" a="1"/>
  <c r="D76" i="7" s="1"/>
  <c r="B76" i="7" a="1"/>
  <c r="B76" i="7" s="1"/>
  <c r="F90" i="7" a="1"/>
  <c r="F90" i="7" s="1"/>
  <c r="D90" i="7" a="1"/>
  <c r="D90" i="7" s="1"/>
  <c r="B90" i="7" a="1"/>
  <c r="B90" i="7" s="1"/>
  <c r="C90" i="7" a="1"/>
  <c r="C90" i="7" s="1"/>
  <c r="E90" i="7" a="1"/>
  <c r="E90" i="7" s="1"/>
  <c r="E92" i="7" a="1"/>
  <c r="E92" i="7" s="1"/>
  <c r="C92" i="7" a="1"/>
  <c r="C92" i="7" s="1"/>
  <c r="F92" i="7" a="1"/>
  <c r="F92" i="7" s="1"/>
  <c r="B92" i="7" a="1"/>
  <c r="B92" i="7" s="1"/>
  <c r="C78" i="7" a="1"/>
  <c r="C78" i="7" s="1"/>
  <c r="E78" i="7" a="1"/>
  <c r="E78" i="7" s="1"/>
  <c r="C82" i="7" a="1"/>
  <c r="C82" i="7" s="1"/>
  <c r="E82" i="7" a="1"/>
  <c r="E82" i="7" s="1"/>
  <c r="F87" i="7" a="1"/>
  <c r="F87" i="7" s="1"/>
  <c r="E100" i="7" a="1"/>
  <c r="E100" i="7" s="1"/>
  <c r="C100" i="7" a="1"/>
  <c r="C100" i="7" s="1"/>
  <c r="F100" i="7" a="1"/>
  <c r="F100" i="7" s="1"/>
  <c r="D100" i="7" a="1"/>
  <c r="D100" i="7" s="1"/>
  <c r="B100" i="7" a="1"/>
  <c r="B100" i="7" s="1"/>
  <c r="E108" i="7" a="1"/>
  <c r="E108" i="7" s="1"/>
  <c r="C108" i="7" a="1"/>
  <c r="C108" i="7" s="1"/>
  <c r="F108" i="7" a="1"/>
  <c r="F108" i="7" s="1"/>
  <c r="D108" i="7" a="1"/>
  <c r="D108" i="7" s="1"/>
  <c r="B108" i="7" a="1"/>
  <c r="B108" i="7" s="1"/>
  <c r="F110" i="7" a="1"/>
  <c r="F110" i="7" s="1"/>
  <c r="C110" i="7" a="1"/>
  <c r="C110" i="7" s="1"/>
  <c r="E110" i="7" a="1"/>
  <c r="E110" i="7" s="1"/>
  <c r="B110" i="7" a="1"/>
  <c r="B110" i="7" s="1"/>
  <c r="E154" i="7" a="1"/>
  <c r="E154" i="7" s="1"/>
  <c r="C154" i="7" a="1"/>
  <c r="C154" i="7" s="1"/>
  <c r="F154" i="7" a="1"/>
  <c r="F154" i="7" s="1"/>
  <c r="D154" i="7" a="1"/>
  <c r="D154" i="7" s="1"/>
  <c r="B154" i="7" a="1"/>
  <c r="B154" i="7" s="1"/>
  <c r="F86" i="7" a="1"/>
  <c r="F86" i="7" s="1"/>
  <c r="D86" i="7" a="1"/>
  <c r="D86" i="7" s="1"/>
  <c r="B86" i="7" a="1"/>
  <c r="B86" i="7" s="1"/>
  <c r="D87" i="7" a="1"/>
  <c r="D87" i="7" s="1"/>
  <c r="E88" i="7" a="1"/>
  <c r="E88" i="7" s="1"/>
  <c r="C88" i="7" a="1"/>
  <c r="C88" i="7" s="1"/>
  <c r="D88" i="7" a="1"/>
  <c r="D88" i="7" s="1"/>
  <c r="B78" i="7" a="1"/>
  <c r="B78" i="7" s="1"/>
  <c r="D78" i="7" a="1"/>
  <c r="D78" i="7" s="1"/>
  <c r="B82" i="7" a="1"/>
  <c r="B82" i="7" s="1"/>
  <c r="D82" i="7" a="1"/>
  <c r="D82" i="7" s="1"/>
  <c r="E86" i="7" a="1"/>
  <c r="E86" i="7" s="1"/>
  <c r="B87" i="7" a="1"/>
  <c r="B87" i="7" s="1"/>
  <c r="B88" i="7" a="1"/>
  <c r="B88" i="7" s="1"/>
  <c r="E96" i="7" a="1"/>
  <c r="E96" i="7" s="1"/>
  <c r="C96" i="7" a="1"/>
  <c r="C96" i="7" s="1"/>
  <c r="F96" i="7" a="1"/>
  <c r="F96" i="7" s="1"/>
  <c r="D96" i="7" a="1"/>
  <c r="D96" i="7" s="1"/>
  <c r="B96" i="7" a="1"/>
  <c r="B96" i="7" s="1"/>
  <c r="E104" i="7" a="1"/>
  <c r="E104" i="7" s="1"/>
  <c r="C104" i="7" a="1"/>
  <c r="C104" i="7" s="1"/>
  <c r="F104" i="7" a="1"/>
  <c r="F104" i="7" s="1"/>
  <c r="D104" i="7" a="1"/>
  <c r="D104" i="7" s="1"/>
  <c r="B104" i="7" a="1"/>
  <c r="B104" i="7" s="1"/>
  <c r="E111" i="7" a="1"/>
  <c r="E111" i="7" s="1"/>
  <c r="C111" i="7" a="1"/>
  <c r="C111" i="7" s="1"/>
  <c r="F111" i="7" a="1"/>
  <c r="F111" i="7" s="1"/>
  <c r="B111" i="7" a="1"/>
  <c r="B111" i="7" s="1"/>
  <c r="F114" i="7" a="1"/>
  <c r="F114" i="7" s="1"/>
  <c r="D114" i="7" a="1"/>
  <c r="D114" i="7" s="1"/>
  <c r="B114" i="7" a="1"/>
  <c r="B114" i="7" s="1"/>
  <c r="E114" i="7" a="1"/>
  <c r="E114" i="7" s="1"/>
  <c r="C114" i="7" a="1"/>
  <c r="C114" i="7" s="1"/>
  <c r="E115" i="7" a="1"/>
  <c r="E115" i="7" s="1"/>
  <c r="C115" i="7" a="1"/>
  <c r="C115" i="7" s="1"/>
  <c r="E122" i="7" a="1"/>
  <c r="E122" i="7" s="1"/>
  <c r="C122" i="7" a="1"/>
  <c r="C122" i="7" s="1"/>
  <c r="F122" i="7" a="1"/>
  <c r="F122" i="7" s="1"/>
  <c r="D122" i="7" a="1"/>
  <c r="D122" i="7" s="1"/>
  <c r="B122" i="7" a="1"/>
  <c r="B122" i="7" s="1"/>
  <c r="B95" i="7" a="1"/>
  <c r="B95" i="7" s="1"/>
  <c r="D95" i="7" a="1"/>
  <c r="D95" i="7" s="1"/>
  <c r="B99" i="7" a="1"/>
  <c r="B99" i="7" s="1"/>
  <c r="D99" i="7" a="1"/>
  <c r="D99" i="7" s="1"/>
  <c r="B103" i="7" a="1"/>
  <c r="B103" i="7" s="1"/>
  <c r="D103" i="7" a="1"/>
  <c r="D103" i="7" s="1"/>
  <c r="B107" i="7" a="1"/>
  <c r="B107" i="7" s="1"/>
  <c r="D107" i="7" a="1"/>
  <c r="D107" i="7" s="1"/>
  <c r="B115" i="7" a="1"/>
  <c r="B115" i="7" s="1"/>
  <c r="F115" i="7" a="1"/>
  <c r="F115" i="7" s="1"/>
  <c r="F118" i="7" a="1"/>
  <c r="F118" i="7" s="1"/>
  <c r="D118" i="7" a="1"/>
  <c r="D118" i="7" s="1"/>
  <c r="B118" i="7" a="1"/>
  <c r="B118" i="7" s="1"/>
  <c r="B94" i="7" a="1"/>
  <c r="B94" i="7" s="1"/>
  <c r="D94" i="7" a="1"/>
  <c r="D94" i="7" s="1"/>
  <c r="B98" i="7" a="1"/>
  <c r="B98" i="7" s="1"/>
  <c r="D98" i="7" a="1"/>
  <c r="D98" i="7" s="1"/>
  <c r="B102" i="7" a="1"/>
  <c r="B102" i="7" s="1"/>
  <c r="D102" i="7" a="1"/>
  <c r="D102" i="7" s="1"/>
  <c r="B106" i="7" a="1"/>
  <c r="B106" i="7" s="1"/>
  <c r="D106" i="7" a="1"/>
  <c r="D106" i="7" s="1"/>
  <c r="F109" i="7" a="1"/>
  <c r="F109" i="7" s="1"/>
  <c r="D109" i="7" a="1"/>
  <c r="D109" i="7" s="1"/>
  <c r="C118" i="7" a="1"/>
  <c r="C118" i="7" s="1"/>
  <c r="E119" i="7" a="1"/>
  <c r="E119" i="7" s="1"/>
  <c r="C119" i="7" a="1"/>
  <c r="C119" i="7" s="1"/>
  <c r="E130" i="7" a="1"/>
  <c r="E130" i="7" s="1"/>
  <c r="C130" i="7" a="1"/>
  <c r="C130" i="7" s="1"/>
  <c r="F130" i="7" a="1"/>
  <c r="F130" i="7" s="1"/>
  <c r="D130" i="7" a="1"/>
  <c r="D130" i="7" s="1"/>
  <c r="B130" i="7" a="1"/>
  <c r="B130" i="7" s="1"/>
  <c r="C131" i="7" a="1"/>
  <c r="C131" i="7" s="1"/>
  <c r="F134" i="7" a="1"/>
  <c r="F134" i="7" s="1"/>
  <c r="D134" i="7" a="1"/>
  <c r="D134" i="7" s="1"/>
  <c r="B134" i="7" a="1"/>
  <c r="B134" i="7" s="1"/>
  <c r="D135" i="7" a="1"/>
  <c r="D135" i="7" s="1"/>
  <c r="E136" i="7" a="1"/>
  <c r="E136" i="7" s="1"/>
  <c r="C136" i="7" a="1"/>
  <c r="C136" i="7" s="1"/>
  <c r="D136" i="7" a="1"/>
  <c r="D136" i="7" s="1"/>
  <c r="C139" i="7" a="1"/>
  <c r="C139" i="7" s="1"/>
  <c r="F142" i="7" a="1"/>
  <c r="F142" i="7" s="1"/>
  <c r="D142" i="7" a="1"/>
  <c r="D142" i="7" s="1"/>
  <c r="B142" i="7" a="1"/>
  <c r="B142" i="7" s="1"/>
  <c r="D143" i="7" a="1"/>
  <c r="D143" i="7" s="1"/>
  <c r="F144" i="7" a="1"/>
  <c r="F144" i="7" s="1"/>
  <c r="D144" i="7" a="1"/>
  <c r="D144" i="7" s="1"/>
  <c r="B144" i="7" a="1"/>
  <c r="B144" i="7" s="1"/>
  <c r="E144" i="7" a="1"/>
  <c r="E144" i="7" s="1"/>
  <c r="C144" i="7" a="1"/>
  <c r="C144" i="7" s="1"/>
  <c r="E146" i="7" a="1"/>
  <c r="E146" i="7" s="1"/>
  <c r="C146" i="7" a="1"/>
  <c r="C146" i="7" s="1"/>
  <c r="F146" i="7" a="1"/>
  <c r="F146" i="7" s="1"/>
  <c r="D146" i="7" a="1"/>
  <c r="D146" i="7" s="1"/>
  <c r="B146" i="7" a="1"/>
  <c r="B146" i="7" s="1"/>
  <c r="B113" i="7" a="1"/>
  <c r="B113" i="7" s="1"/>
  <c r="D113" i="7" a="1"/>
  <c r="D113" i="7" s="1"/>
  <c r="B117" i="7" a="1"/>
  <c r="B117" i="7" s="1"/>
  <c r="D117" i="7" a="1"/>
  <c r="D117" i="7" s="1"/>
  <c r="B121" i="7" a="1"/>
  <c r="B121" i="7" s="1"/>
  <c r="D121" i="7" a="1"/>
  <c r="D121" i="7" s="1"/>
  <c r="C123" i="7" a="1"/>
  <c r="C123" i="7" s="1"/>
  <c r="B125" i="7" a="1"/>
  <c r="B125" i="7" s="1"/>
  <c r="D125" i="7" a="1"/>
  <c r="D125" i="7" s="1"/>
  <c r="C127" i="7" a="1"/>
  <c r="C127" i="7" s="1"/>
  <c r="B129" i="7" a="1"/>
  <c r="B129" i="7" s="1"/>
  <c r="D129" i="7" a="1"/>
  <c r="D129" i="7" s="1"/>
  <c r="F131" i="7" a="1"/>
  <c r="F131" i="7" s="1"/>
  <c r="E134" i="7" a="1"/>
  <c r="E134" i="7" s="1"/>
  <c r="B135" i="7" a="1"/>
  <c r="B135" i="7" s="1"/>
  <c r="B136" i="7" a="1"/>
  <c r="B136" i="7" s="1"/>
  <c r="F139" i="7" a="1"/>
  <c r="F139" i="7" s="1"/>
  <c r="E142" i="7" a="1"/>
  <c r="E142" i="7" s="1"/>
  <c r="B143" i="7" a="1"/>
  <c r="B143" i="7" s="1"/>
  <c r="E162" i="7" a="1"/>
  <c r="E162" i="7" s="1"/>
  <c r="C162" i="7" a="1"/>
  <c r="C162" i="7" s="1"/>
  <c r="F162" i="7" a="1"/>
  <c r="F162" i="7" s="1"/>
  <c r="D162" i="7" a="1"/>
  <c r="D162" i="7" s="1"/>
  <c r="B162" i="7" a="1"/>
  <c r="B162" i="7" s="1"/>
  <c r="E132" i="7" a="1"/>
  <c r="E132" i="7" s="1"/>
  <c r="C132" i="7" a="1"/>
  <c r="C132" i="7" s="1"/>
  <c r="D132" i="7" a="1"/>
  <c r="D132" i="7" s="1"/>
  <c r="F138" i="7" a="1"/>
  <c r="F138" i="7" s="1"/>
  <c r="D138" i="7" a="1"/>
  <c r="D138" i="7" s="1"/>
  <c r="B138" i="7" a="1"/>
  <c r="B138" i="7" s="1"/>
  <c r="E140" i="7" a="1"/>
  <c r="E140" i="7" s="1"/>
  <c r="C140" i="7" a="1"/>
  <c r="C140" i="7" s="1"/>
  <c r="D140" i="7" a="1"/>
  <c r="D140" i="7" s="1"/>
  <c r="E150" i="7" a="1"/>
  <c r="E150" i="7" s="1"/>
  <c r="C150" i="7" a="1"/>
  <c r="C150" i="7" s="1"/>
  <c r="F150" i="7" a="1"/>
  <c r="F150" i="7" s="1"/>
  <c r="D150" i="7" a="1"/>
  <c r="D150" i="7" s="1"/>
  <c r="B150" i="7" a="1"/>
  <c r="B150" i="7" s="1"/>
  <c r="E158" i="7" a="1"/>
  <c r="E158" i="7" s="1"/>
  <c r="C158" i="7" a="1"/>
  <c r="C158" i="7" s="1"/>
  <c r="F158" i="7" a="1"/>
  <c r="F158" i="7" s="1"/>
  <c r="D158" i="7" a="1"/>
  <c r="D158" i="7" s="1"/>
  <c r="B158" i="7" a="1"/>
  <c r="B158" i="7" s="1"/>
  <c r="C148" i="7" a="1"/>
  <c r="C148" i="7" s="1"/>
  <c r="E148" i="7" a="1"/>
  <c r="E148" i="7" s="1"/>
  <c r="C152" i="7" a="1"/>
  <c r="C152" i="7" s="1"/>
  <c r="E152" i="7" a="1"/>
  <c r="E152" i="7" s="1"/>
  <c r="C156" i="7" a="1"/>
  <c r="C156" i="7" s="1"/>
  <c r="C160" i="7" a="1"/>
  <c r="C160" i="7" s="1"/>
  <c r="C164" i="7" a="1"/>
  <c r="C164" i="7" s="1"/>
  <c r="C151" i="7" a="1"/>
  <c r="C151" i="7" s="1"/>
  <c r="C155" i="7" a="1"/>
  <c r="C155" i="7" s="1"/>
  <c r="C159" i="7" a="1"/>
  <c r="C159" i="7" s="1"/>
  <c r="C163" i="7" a="1"/>
  <c r="C163" i="7" s="1"/>
  <c r="B148" i="7" a="1"/>
  <c r="B148" i="7" s="1"/>
  <c r="D148" i="7" a="1"/>
  <c r="D148" i="7" s="1"/>
  <c r="D152" i="7" a="1"/>
  <c r="D152" i="7" s="1"/>
  <c r="J192" i="6"/>
  <c r="J184" i="6"/>
  <c r="J180" i="6"/>
  <c r="J183" i="6" s="1"/>
  <c r="J185" i="6" s="1"/>
  <c r="J176" i="6"/>
  <c r="J193" i="6"/>
  <c r="J194" i="6" s="1"/>
  <c r="O182" i="5"/>
  <c r="P182" i="5" s="1"/>
  <c r="O191" i="5"/>
  <c r="P191" i="5" s="1"/>
  <c r="P192" i="5" s="1"/>
  <c r="O181" i="5"/>
  <c r="P181" i="5" s="1"/>
  <c r="O173" i="5"/>
  <c r="P173" i="5" s="1"/>
  <c r="O190" i="5"/>
  <c r="P190" i="5" s="1"/>
  <c r="O180" i="5"/>
  <c r="P180" i="5" s="1"/>
  <c r="O172" i="5"/>
  <c r="P172" i="5" s="1"/>
  <c r="O189" i="5"/>
  <c r="P189" i="5" s="1"/>
  <c r="C110" i="6" a="1"/>
  <c r="C110" i="6" s="1"/>
  <c r="C36" i="6" a="1"/>
  <c r="C36" i="6" s="1"/>
  <c r="C142" i="6" a="1"/>
  <c r="C142" i="6" s="1"/>
  <c r="C8" i="6" a="1"/>
  <c r="C8" i="6" s="1"/>
  <c r="C48" i="6" a="1"/>
  <c r="C48" i="6" s="1"/>
  <c r="C4" i="6" a="1"/>
  <c r="C4" i="6" s="1"/>
  <c r="C126" i="6" a="1"/>
  <c r="C126" i="6" s="1"/>
  <c r="C158" i="6" a="1"/>
  <c r="C158" i="6" s="1"/>
  <c r="C20" i="6" a="1"/>
  <c r="C20" i="6" s="1"/>
  <c r="C52" i="6" a="1"/>
  <c r="C52" i="6" s="1"/>
  <c r="B59" i="6" a="1"/>
  <c r="B59" i="6" s="1"/>
  <c r="C12" i="6" a="1"/>
  <c r="C12" i="6" s="1"/>
  <c r="C138" i="6" a="1"/>
  <c r="C138" i="6" s="1"/>
  <c r="B156" i="6" a="1"/>
  <c r="B156" i="6" s="1"/>
  <c r="C24" i="6" a="1"/>
  <c r="C24" i="6" s="1"/>
  <c r="C154" i="6" a="1"/>
  <c r="C154" i="6" s="1"/>
  <c r="C28" i="6" a="1"/>
  <c r="C28" i="6" s="1"/>
  <c r="C40" i="6" a="1"/>
  <c r="C40" i="6" s="1"/>
  <c r="B79" i="6" a="1"/>
  <c r="B79" i="6" s="1"/>
  <c r="B122" i="6" a="1"/>
  <c r="B122" i="6" s="1"/>
  <c r="B124" i="6" a="1"/>
  <c r="B124" i="6" s="1"/>
  <c r="B6" i="6" a="1"/>
  <c r="B6" i="6" s="1"/>
  <c r="B22" i="6" a="1"/>
  <c r="B22" i="6" s="1"/>
  <c r="B46" i="6" a="1"/>
  <c r="B46" i="6" s="1"/>
  <c r="C162" i="6" a="1"/>
  <c r="C162" i="6" s="1"/>
  <c r="C44" i="6" a="1"/>
  <c r="C44" i="6" s="1"/>
  <c r="B63" i="6" a="1"/>
  <c r="B63" i="6" s="1"/>
  <c r="B65" i="6" a="1"/>
  <c r="B65" i="6" s="1"/>
  <c r="B73" i="6" a="1"/>
  <c r="B73" i="6" s="1"/>
  <c r="B75" i="6" a="1"/>
  <c r="B75" i="6" s="1"/>
  <c r="B114" i="6" a="1"/>
  <c r="B114" i="6" s="1"/>
  <c r="B116" i="6" a="1"/>
  <c r="B116" i="6" s="1"/>
  <c r="C118" i="6" a="1"/>
  <c r="C118" i="6" s="1"/>
  <c r="B130" i="6" a="1"/>
  <c r="B130" i="6" s="1"/>
  <c r="B132" i="6" a="1"/>
  <c r="B132" i="6" s="1"/>
  <c r="C134" i="6" a="1"/>
  <c r="C134" i="6" s="1"/>
  <c r="B146" i="6" a="1"/>
  <c r="B146" i="6" s="1"/>
  <c r="B148" i="6" a="1"/>
  <c r="B148" i="6" s="1"/>
  <c r="C150" i="6" a="1"/>
  <c r="C150" i="6" s="1"/>
  <c r="B14" i="6" a="1"/>
  <c r="B14" i="6" s="1"/>
  <c r="C16" i="6" a="1"/>
  <c r="C16" i="6" s="1"/>
  <c r="B30" i="6" a="1"/>
  <c r="B30" i="6" s="1"/>
  <c r="C32" i="6" a="1"/>
  <c r="C32" i="6" s="1"/>
  <c r="B54" i="6" a="1"/>
  <c r="B54" i="6" s="1"/>
  <c r="C56" i="6" a="1"/>
  <c r="C56" i="6" s="1"/>
  <c r="C6" i="6" a="1"/>
  <c r="C6" i="6" s="1"/>
  <c r="C14" i="6" a="1"/>
  <c r="C14" i="6" s="1"/>
  <c r="C22" i="6" a="1"/>
  <c r="C22" i="6" s="1"/>
  <c r="C30" i="6" a="1"/>
  <c r="C30" i="6" s="1"/>
  <c r="C38" i="6" a="1"/>
  <c r="C38" i="6" s="1"/>
  <c r="C46" i="6" a="1"/>
  <c r="C46" i="6" s="1"/>
  <c r="C54" i="6" a="1"/>
  <c r="C54" i="6" s="1"/>
  <c r="B67" i="6" a="1"/>
  <c r="B67" i="6" s="1"/>
  <c r="C82" i="6" a="1"/>
  <c r="C82" i="6" s="1"/>
  <c r="B83" i="6" a="1"/>
  <c r="B83" i="6" s="1"/>
  <c r="B84" i="6" a="1"/>
  <c r="B84" i="6" s="1"/>
  <c r="C86" i="6" a="1"/>
  <c r="C86" i="6" s="1"/>
  <c r="B87" i="6" a="1"/>
  <c r="B87" i="6" s="1"/>
  <c r="B88" i="6" a="1"/>
  <c r="B88" i="6" s="1"/>
  <c r="C90" i="6" a="1"/>
  <c r="C90" i="6" s="1"/>
  <c r="B91" i="6" a="1"/>
  <c r="B91" i="6" s="1"/>
  <c r="B92" i="6" a="1"/>
  <c r="B92" i="6" s="1"/>
  <c r="C94" i="6" a="1"/>
  <c r="C94" i="6" s="1"/>
  <c r="B95" i="6" a="1"/>
  <c r="B95" i="6" s="1"/>
  <c r="B96" i="6" a="1"/>
  <c r="B96" i="6" s="1"/>
  <c r="C98" i="6" a="1"/>
  <c r="C98" i="6" s="1"/>
  <c r="B99" i="6" a="1"/>
  <c r="B99" i="6" s="1"/>
  <c r="B100" i="6" a="1"/>
  <c r="B100" i="6" s="1"/>
  <c r="C102" i="6" a="1"/>
  <c r="C102" i="6" s="1"/>
  <c r="B103" i="6" a="1"/>
  <c r="B103" i="6" s="1"/>
  <c r="B104" i="6" a="1"/>
  <c r="B104" i="6" s="1"/>
  <c r="C106" i="6" a="1"/>
  <c r="C106" i="6" s="1"/>
  <c r="B107" i="6" a="1"/>
  <c r="B107" i="6" s="1"/>
  <c r="B108" i="6" a="1"/>
  <c r="B108" i="6" s="1"/>
  <c r="C116" i="6" a="1"/>
  <c r="C116" i="6" s="1"/>
  <c r="C124" i="6" a="1"/>
  <c r="C124" i="6" s="1"/>
  <c r="C132" i="6" a="1"/>
  <c r="C132" i="6" s="1"/>
  <c r="C140" i="6" a="1"/>
  <c r="C140" i="6" s="1"/>
  <c r="C148" i="6" a="1"/>
  <c r="C148" i="6" s="1"/>
  <c r="C156" i="6" a="1"/>
  <c r="C156" i="6" s="1"/>
  <c r="B2" i="6" a="1"/>
  <c r="B2" i="6" s="1"/>
  <c r="B10" i="6" a="1"/>
  <c r="B10" i="6" s="1"/>
  <c r="B18" i="6" a="1"/>
  <c r="B18" i="6" s="1"/>
  <c r="B26" i="6" a="1"/>
  <c r="B26" i="6" s="1"/>
  <c r="B34" i="6" a="1"/>
  <c r="B34" i="6" s="1"/>
  <c r="B42" i="6" a="1"/>
  <c r="B42" i="6" s="1"/>
  <c r="B50" i="6" a="1"/>
  <c r="B50" i="6" s="1"/>
  <c r="C67" i="6" a="1"/>
  <c r="C67" i="6" s="1"/>
  <c r="C81" i="6" a="1"/>
  <c r="C81" i="6" s="1"/>
  <c r="C83" i="6" a="1"/>
  <c r="C83" i="6" s="1"/>
  <c r="C87" i="6" a="1"/>
  <c r="C87" i="6" s="1"/>
  <c r="C91" i="6" a="1"/>
  <c r="C91" i="6" s="1"/>
  <c r="C95" i="6" a="1"/>
  <c r="C95" i="6" s="1"/>
  <c r="C99" i="6" a="1"/>
  <c r="C99" i="6" s="1"/>
  <c r="C103" i="6" a="1"/>
  <c r="C103" i="6" s="1"/>
  <c r="C107" i="6" a="1"/>
  <c r="C107" i="6" s="1"/>
  <c r="B112" i="6" a="1"/>
  <c r="B112" i="6" s="1"/>
  <c r="B120" i="6" a="1"/>
  <c r="B120" i="6" s="1"/>
  <c r="B128" i="6" a="1"/>
  <c r="B128" i="6" s="1"/>
  <c r="B136" i="6" a="1"/>
  <c r="B136" i="6" s="1"/>
  <c r="B144" i="6" a="1"/>
  <c r="B144" i="6" s="1"/>
  <c r="B152" i="6" a="1"/>
  <c r="B152" i="6" s="1"/>
  <c r="B160" i="6" a="1"/>
  <c r="B160" i="6" s="1"/>
  <c r="C71" i="6" a="1"/>
  <c r="C71" i="6" s="1"/>
  <c r="C62" i="6" a="1"/>
  <c r="C62" i="6" s="1"/>
  <c r="C72" i="6" a="1"/>
  <c r="C72" i="6" s="1"/>
  <c r="B3" i="6" a="1"/>
  <c r="B3" i="6" s="1"/>
  <c r="C5" i="6" a="1"/>
  <c r="C5" i="6" s="1"/>
  <c r="B7" i="6" a="1"/>
  <c r="B7" i="6" s="1"/>
  <c r="C9" i="6" a="1"/>
  <c r="C9" i="6" s="1"/>
  <c r="B11" i="6" a="1"/>
  <c r="B11" i="6" s="1"/>
  <c r="C13" i="6" a="1"/>
  <c r="C13" i="6" s="1"/>
  <c r="B15" i="6" a="1"/>
  <c r="B15" i="6" s="1"/>
  <c r="C17" i="6" a="1"/>
  <c r="C17" i="6" s="1"/>
  <c r="B19" i="6" a="1"/>
  <c r="B19" i="6" s="1"/>
  <c r="C21" i="6" a="1"/>
  <c r="C21" i="6" s="1"/>
  <c r="B23" i="6" a="1"/>
  <c r="B23" i="6" s="1"/>
  <c r="C25" i="6" a="1"/>
  <c r="C25" i="6" s="1"/>
  <c r="B27" i="6" a="1"/>
  <c r="B27" i="6" s="1"/>
  <c r="C29" i="6" a="1"/>
  <c r="C29" i="6" s="1"/>
  <c r="B31" i="6" a="1"/>
  <c r="B31" i="6" s="1"/>
  <c r="C33" i="6" a="1"/>
  <c r="C33" i="6" s="1"/>
  <c r="B35" i="6" a="1"/>
  <c r="B35" i="6" s="1"/>
  <c r="C37" i="6" a="1"/>
  <c r="C37" i="6" s="1"/>
  <c r="B39" i="6" a="1"/>
  <c r="B39" i="6" s="1"/>
  <c r="C41" i="6" a="1"/>
  <c r="C41" i="6" s="1"/>
  <c r="B43" i="6" a="1"/>
  <c r="B43" i="6" s="1"/>
  <c r="C45" i="6" a="1"/>
  <c r="C45" i="6" s="1"/>
  <c r="B47" i="6" a="1"/>
  <c r="B47" i="6" s="1"/>
  <c r="C49" i="6" a="1"/>
  <c r="C49" i="6" s="1"/>
  <c r="B51" i="6" a="1"/>
  <c r="B51" i="6" s="1"/>
  <c r="C53" i="6" a="1"/>
  <c r="C53" i="6" s="1"/>
  <c r="B55" i="6" a="1"/>
  <c r="B55" i="6" s="1"/>
  <c r="C57" i="6" a="1"/>
  <c r="C57" i="6" s="1"/>
  <c r="B61" i="6" a="1"/>
  <c r="B61" i="6" s="1"/>
  <c r="B69" i="6" a="1"/>
  <c r="B69" i="6" s="1"/>
  <c r="B77" i="6" a="1"/>
  <c r="B77" i="6" s="1"/>
  <c r="B89" i="6" a="1"/>
  <c r="B89" i="6" s="1"/>
  <c r="C89" i="6" a="1"/>
  <c r="C89" i="6" s="1"/>
  <c r="B105" i="6" a="1"/>
  <c r="B105" i="6" s="1"/>
  <c r="C105" i="6" a="1"/>
  <c r="C105" i="6" s="1"/>
  <c r="C64" i="6" a="1"/>
  <c r="C64" i="6" s="1"/>
  <c r="C70" i="6" a="1"/>
  <c r="C70" i="6" s="1"/>
  <c r="C78" i="6" a="1"/>
  <c r="C78" i="6" s="1"/>
  <c r="C80" i="6" a="1"/>
  <c r="C80" i="6" s="1"/>
  <c r="B85" i="6" a="1"/>
  <c r="B85" i="6" s="1"/>
  <c r="C85" i="6" a="1"/>
  <c r="C85" i="6" s="1"/>
  <c r="B101" i="6" a="1"/>
  <c r="B101" i="6" s="1"/>
  <c r="C101" i="6" a="1"/>
  <c r="C101" i="6" s="1"/>
  <c r="C58" i="6" a="1"/>
  <c r="C58" i="6" s="1"/>
  <c r="C60" i="6" a="1"/>
  <c r="C60" i="6" s="1"/>
  <c r="B64" i="6" a="1"/>
  <c r="B64" i="6" s="1"/>
  <c r="C66" i="6" a="1"/>
  <c r="C66" i="6" s="1"/>
  <c r="C68" i="6" a="1"/>
  <c r="C68" i="6" s="1"/>
  <c r="B72" i="6" a="1"/>
  <c r="B72" i="6" s="1"/>
  <c r="C74" i="6" a="1"/>
  <c r="C74" i="6" s="1"/>
  <c r="C76" i="6" a="1"/>
  <c r="C76" i="6" s="1"/>
  <c r="B93" i="6" a="1"/>
  <c r="B93" i="6" s="1"/>
  <c r="C93" i="6" a="1"/>
  <c r="C93" i="6" s="1"/>
  <c r="B97" i="6" a="1"/>
  <c r="B97" i="6" s="1"/>
  <c r="C97" i="6" a="1"/>
  <c r="C97" i="6" s="1"/>
  <c r="C108" i="6" a="1"/>
  <c r="C108" i="6" s="1"/>
  <c r="B109" i="6" a="1"/>
  <c r="B109" i="6" s="1"/>
  <c r="C109" i="6" a="1"/>
  <c r="C109" i="6" s="1"/>
  <c r="C111" i="6" a="1"/>
  <c r="C111" i="6" s="1"/>
  <c r="B111" i="6" a="1"/>
  <c r="B111" i="6" s="1"/>
  <c r="B113" i="6" a="1"/>
  <c r="B113" i="6" s="1"/>
  <c r="C113" i="6" a="1"/>
  <c r="C113" i="6" s="1"/>
  <c r="C115" i="6" a="1"/>
  <c r="C115" i="6" s="1"/>
  <c r="B115" i="6" a="1"/>
  <c r="B115" i="6" s="1"/>
  <c r="B117" i="6" a="1"/>
  <c r="B117" i="6" s="1"/>
  <c r="C117" i="6" a="1"/>
  <c r="C117" i="6" s="1"/>
  <c r="C119" i="6" a="1"/>
  <c r="C119" i="6" s="1"/>
  <c r="B119" i="6" a="1"/>
  <c r="B119" i="6" s="1"/>
  <c r="B121" i="6" a="1"/>
  <c r="B121" i="6" s="1"/>
  <c r="C121" i="6" a="1"/>
  <c r="C121" i="6" s="1"/>
  <c r="C123" i="6" a="1"/>
  <c r="C123" i="6" s="1"/>
  <c r="B123" i="6" a="1"/>
  <c r="B123" i="6" s="1"/>
  <c r="B125" i="6" a="1"/>
  <c r="B125" i="6" s="1"/>
  <c r="C125" i="6" a="1"/>
  <c r="C125" i="6" s="1"/>
  <c r="C127" i="6" a="1"/>
  <c r="C127" i="6" s="1"/>
  <c r="B127" i="6" a="1"/>
  <c r="B127" i="6" s="1"/>
  <c r="B129" i="6" a="1"/>
  <c r="B129" i="6" s="1"/>
  <c r="C129" i="6" a="1"/>
  <c r="C129" i="6" s="1"/>
  <c r="C131" i="6" a="1"/>
  <c r="C131" i="6" s="1"/>
  <c r="B131" i="6" a="1"/>
  <c r="B131" i="6" s="1"/>
  <c r="B133" i="6" a="1"/>
  <c r="B133" i="6" s="1"/>
  <c r="C133" i="6" a="1"/>
  <c r="C133" i="6" s="1"/>
  <c r="C135" i="6" a="1"/>
  <c r="C135" i="6" s="1"/>
  <c r="B135" i="6" a="1"/>
  <c r="B135" i="6" s="1"/>
  <c r="B137" i="6" a="1"/>
  <c r="B137" i="6" s="1"/>
  <c r="C137" i="6" a="1"/>
  <c r="C137" i="6" s="1"/>
  <c r="C139" i="6" a="1"/>
  <c r="C139" i="6" s="1"/>
  <c r="B139" i="6" a="1"/>
  <c r="B139" i="6" s="1"/>
  <c r="B141" i="6" a="1"/>
  <c r="B141" i="6" s="1"/>
  <c r="C141" i="6" a="1"/>
  <c r="C141" i="6" s="1"/>
  <c r="C143" i="6" a="1"/>
  <c r="C143" i="6" s="1"/>
  <c r="B143" i="6" a="1"/>
  <c r="B143" i="6" s="1"/>
  <c r="B145" i="6" a="1"/>
  <c r="B145" i="6" s="1"/>
  <c r="C145" i="6" a="1"/>
  <c r="C145" i="6" s="1"/>
  <c r="C147" i="6" a="1"/>
  <c r="C147" i="6" s="1"/>
  <c r="B147" i="6" a="1"/>
  <c r="B147" i="6" s="1"/>
  <c r="B149" i="6" a="1"/>
  <c r="B149" i="6" s="1"/>
  <c r="C149" i="6" a="1"/>
  <c r="C149" i="6" s="1"/>
  <c r="C151" i="6" a="1"/>
  <c r="C151" i="6" s="1"/>
  <c r="B151" i="6" a="1"/>
  <c r="B151" i="6" s="1"/>
  <c r="B153" i="6" a="1"/>
  <c r="B153" i="6" s="1"/>
  <c r="C153" i="6" a="1"/>
  <c r="C153" i="6" s="1"/>
  <c r="C155" i="6" a="1"/>
  <c r="C155" i="6" s="1"/>
  <c r="B155" i="6" a="1"/>
  <c r="B155" i="6" s="1"/>
  <c r="B157" i="6" a="1"/>
  <c r="B157" i="6" s="1"/>
  <c r="C157" i="6" a="1"/>
  <c r="C157" i="6" s="1"/>
  <c r="C159" i="6" a="1"/>
  <c r="C159" i="6" s="1"/>
  <c r="B159" i="6" a="1"/>
  <c r="B159" i="6" s="1"/>
  <c r="B161" i="6" a="1"/>
  <c r="B161" i="6" s="1"/>
  <c r="C161" i="6" a="1"/>
  <c r="C161" i="6" s="1"/>
  <c r="C163" i="6" a="1"/>
  <c r="C163" i="6" s="1"/>
  <c r="B163" i="6" a="1"/>
  <c r="B163" i="6" s="1"/>
  <c r="B164" i="6" a="1"/>
  <c r="B164" i="6" s="1"/>
  <c r="J191" i="5"/>
  <c r="K191" i="5" s="1"/>
  <c r="J171" i="5"/>
  <c r="J190" i="5"/>
  <c r="K190" i="5" s="1"/>
  <c r="J182" i="5"/>
  <c r="K182" i="5" s="1"/>
  <c r="J189" i="5"/>
  <c r="J181" i="5"/>
  <c r="K181" i="5" s="1"/>
  <c r="J173" i="5"/>
  <c r="K173" i="5" s="1"/>
  <c r="J180" i="5"/>
  <c r="J172" i="5"/>
  <c r="K172" i="5" s="1"/>
  <c r="F43" i="2"/>
  <c r="C145" i="5"/>
  <c r="F115" i="2"/>
  <c r="C111" i="2"/>
  <c r="D24" i="4"/>
  <c r="D53" i="5"/>
  <c r="C28" i="2"/>
  <c r="F69" i="2"/>
  <c r="C76" i="4"/>
  <c r="C7" i="5"/>
  <c r="C37" i="5"/>
  <c r="B53" i="5"/>
  <c r="C134" i="5"/>
  <c r="C69" i="5"/>
  <c r="F8" i="2"/>
  <c r="C143" i="2"/>
  <c r="C88" i="4"/>
  <c r="C101" i="5"/>
  <c r="E28" i="2"/>
  <c r="C2" i="4"/>
  <c r="D45" i="5"/>
  <c r="B13" i="5"/>
  <c r="B45" i="5"/>
  <c r="B73" i="5"/>
  <c r="D145" i="5"/>
  <c r="F33" i="2"/>
  <c r="E137" i="2"/>
  <c r="B2" i="4"/>
  <c r="B89" i="4"/>
  <c r="E47" i="2"/>
  <c r="B113" i="5"/>
  <c r="B33" i="2"/>
  <c r="B116" i="4"/>
  <c r="B125" i="4"/>
  <c r="B37" i="5"/>
  <c r="C143" i="5"/>
  <c r="C146" i="5"/>
  <c r="B28" i="2"/>
  <c r="D28" i="2"/>
  <c r="E49" i="2"/>
  <c r="C53" i="2"/>
  <c r="C77" i="2"/>
  <c r="C121" i="2"/>
  <c r="C7" i="4"/>
  <c r="B88" i="4"/>
  <c r="E116" i="4"/>
  <c r="B89" i="5"/>
  <c r="B129" i="5"/>
  <c r="B8" i="2"/>
  <c r="C49" i="2"/>
  <c r="B69" i="2"/>
  <c r="C137" i="2"/>
  <c r="E2" i="4"/>
  <c r="E76" i="4"/>
  <c r="E88" i="4"/>
  <c r="C116" i="4"/>
  <c r="B134" i="4"/>
  <c r="D97" i="5"/>
  <c r="F81" i="2"/>
  <c r="B81" i="5"/>
  <c r="D81" i="5"/>
  <c r="B87" i="5"/>
  <c r="D89" i="5"/>
  <c r="B97" i="5"/>
  <c r="C147" i="5"/>
  <c r="D33" i="2"/>
  <c r="E37" i="2"/>
  <c r="C41" i="2"/>
  <c r="E41" i="2"/>
  <c r="B57" i="2"/>
  <c r="D57" i="2"/>
  <c r="F57" i="2"/>
  <c r="B81" i="2"/>
  <c r="D81" i="2"/>
  <c r="B105" i="2"/>
  <c r="D105" i="2"/>
  <c r="F105" i="2"/>
  <c r="B129" i="2"/>
  <c r="D129" i="2"/>
  <c r="F129" i="2"/>
  <c r="B161" i="2"/>
  <c r="E30" i="4"/>
  <c r="B32" i="4"/>
  <c r="E39" i="4"/>
  <c r="E84" i="4"/>
  <c r="B108" i="4"/>
  <c r="D108" i="4"/>
  <c r="B114" i="4"/>
  <c r="B160" i="4"/>
  <c r="D160" i="4"/>
  <c r="B164" i="4"/>
  <c r="D21" i="5"/>
  <c r="C39" i="5"/>
  <c r="C47" i="5"/>
  <c r="C55" i="5"/>
  <c r="D61" i="5"/>
  <c r="C63" i="5"/>
  <c r="D77" i="5"/>
  <c r="C37" i="2"/>
  <c r="F107" i="2"/>
  <c r="C117" i="2"/>
  <c r="B121" i="2"/>
  <c r="B137" i="2"/>
  <c r="D137" i="2"/>
  <c r="C149" i="2"/>
  <c r="E153" i="2"/>
  <c r="E161" i="2"/>
  <c r="B8" i="4"/>
  <c r="E11" i="4"/>
  <c r="C30" i="4"/>
  <c r="C39" i="4"/>
  <c r="D80" i="4"/>
  <c r="C84" i="4"/>
  <c r="E104" i="4"/>
  <c r="B109" i="4"/>
  <c r="B154" i="4"/>
  <c r="C23" i="5"/>
  <c r="B4" i="5"/>
  <c r="D13" i="5"/>
  <c r="C15" i="5"/>
  <c r="B21" i="5"/>
  <c r="B61" i="5"/>
  <c r="D73" i="5"/>
  <c r="B77" i="5"/>
  <c r="D113" i="5"/>
  <c r="B119" i="5"/>
  <c r="D129" i="5"/>
  <c r="C158" i="5"/>
  <c r="F16" i="2"/>
  <c r="B41" i="2"/>
  <c r="D41" i="2"/>
  <c r="E53" i="2"/>
  <c r="C57" i="2"/>
  <c r="D69" i="2"/>
  <c r="E77" i="2"/>
  <c r="C81" i="2"/>
  <c r="B97" i="2"/>
  <c r="C105" i="2"/>
  <c r="E121" i="2"/>
  <c r="C129" i="2"/>
  <c r="F139" i="2"/>
  <c r="C153" i="2"/>
  <c r="C161" i="2"/>
  <c r="E7" i="4"/>
  <c r="B76" i="4"/>
  <c r="B80" i="4"/>
  <c r="C104" i="4"/>
  <c r="C108" i="4"/>
  <c r="E128" i="4"/>
  <c r="C160" i="4"/>
  <c r="E133" i="2"/>
  <c r="C133" i="2"/>
  <c r="F133" i="2"/>
  <c r="D133" i="2"/>
  <c r="B133" i="2"/>
  <c r="E164" i="2"/>
  <c r="C164" i="2"/>
  <c r="E112" i="4"/>
  <c r="C112" i="4"/>
  <c r="D112" i="4"/>
  <c r="B112" i="4"/>
  <c r="B29" i="5"/>
  <c r="D29" i="5"/>
  <c r="C31" i="5"/>
  <c r="B105" i="5"/>
  <c r="D105" i="5"/>
  <c r="B109" i="5"/>
  <c r="D109" i="5"/>
  <c r="B121" i="5"/>
  <c r="D121" i="5"/>
  <c r="C137" i="5"/>
  <c r="E2" i="2"/>
  <c r="B24" i="2"/>
  <c r="B65" i="2"/>
  <c r="D65" i="2"/>
  <c r="F65" i="2"/>
  <c r="E73" i="2"/>
  <c r="C73" i="2"/>
  <c r="F73" i="2"/>
  <c r="D73" i="2"/>
  <c r="B73" i="2"/>
  <c r="F109" i="2"/>
  <c r="C109" i="2"/>
  <c r="E109" i="2"/>
  <c r="D120" i="4"/>
  <c r="C120" i="4"/>
  <c r="E120" i="4"/>
  <c r="B120" i="4"/>
  <c r="C124" i="4"/>
  <c r="E124" i="4"/>
  <c r="E145" i="4"/>
  <c r="B145" i="4"/>
  <c r="B35" i="5"/>
  <c r="C150" i="5"/>
  <c r="C2" i="2"/>
  <c r="E6" i="2"/>
  <c r="F20" i="2"/>
  <c r="C33" i="2"/>
  <c r="B37" i="2"/>
  <c r="D37" i="2"/>
  <c r="E45" i="2"/>
  <c r="B49" i="2"/>
  <c r="D49" i="2"/>
  <c r="E113" i="2"/>
  <c r="C113" i="2"/>
  <c r="F113" i="2"/>
  <c r="D113" i="2"/>
  <c r="B113" i="2"/>
  <c r="F141" i="2"/>
  <c r="C141" i="2"/>
  <c r="E141" i="2"/>
  <c r="E121" i="4"/>
  <c r="B121" i="4"/>
  <c r="E89" i="2"/>
  <c r="C89" i="2"/>
  <c r="F89" i="2"/>
  <c r="D89" i="2"/>
  <c r="B89" i="2"/>
  <c r="E36" i="4"/>
  <c r="C36" i="4"/>
  <c r="D36" i="4"/>
  <c r="B36" i="4"/>
  <c r="C6" i="2"/>
  <c r="C45" i="2"/>
  <c r="C65" i="2"/>
  <c r="D83" i="2"/>
  <c r="F83" i="2"/>
  <c r="E101" i="2"/>
  <c r="C101" i="2"/>
  <c r="F101" i="2"/>
  <c r="D101" i="2"/>
  <c r="B101" i="2"/>
  <c r="E145" i="2"/>
  <c r="C145" i="2"/>
  <c r="F145" i="2"/>
  <c r="D145" i="2"/>
  <c r="B145" i="2"/>
  <c r="E138" i="4"/>
  <c r="B138" i="4"/>
  <c r="C97" i="2"/>
  <c r="E97" i="2"/>
  <c r="C164" i="4"/>
  <c r="E164" i="4"/>
  <c r="C69" i="2"/>
  <c r="B75" i="2"/>
  <c r="E79" i="2"/>
  <c r="E85" i="2"/>
  <c r="D121" i="2"/>
  <c r="B153" i="2"/>
  <c r="D153" i="2"/>
  <c r="B12" i="4"/>
  <c r="E15" i="4"/>
  <c r="E19" i="4"/>
  <c r="E27" i="4"/>
  <c r="E40" i="4"/>
  <c r="C80" i="4"/>
  <c r="B97" i="4"/>
  <c r="B118" i="4"/>
  <c r="C85" i="2"/>
  <c r="D97" i="2"/>
  <c r="E117" i="2"/>
  <c r="E149" i="2"/>
  <c r="B7" i="4"/>
  <c r="C15" i="4"/>
  <c r="C19" i="4"/>
  <c r="C27" i="4"/>
  <c r="C103" i="4"/>
  <c r="B129" i="4"/>
  <c r="B146" i="4"/>
  <c r="B161" i="4"/>
  <c r="B49" i="5"/>
  <c r="D49" i="5"/>
  <c r="D95" i="5"/>
  <c r="D138" i="5"/>
  <c r="C138" i="5"/>
  <c r="F71" i="2"/>
  <c r="D71" i="2"/>
  <c r="B71" i="2"/>
  <c r="C71" i="2"/>
  <c r="E71" i="2"/>
  <c r="E131" i="2"/>
  <c r="C131" i="2"/>
  <c r="F131" i="2"/>
  <c r="B131" i="2"/>
  <c r="E157" i="2"/>
  <c r="C157" i="2"/>
  <c r="F157" i="2"/>
  <c r="D157" i="2"/>
  <c r="B157" i="2"/>
  <c r="E153" i="4"/>
  <c r="B153" i="4"/>
  <c r="D9" i="5"/>
  <c r="B9" i="5"/>
  <c r="B41" i="5"/>
  <c r="D41" i="5"/>
  <c r="B59" i="5"/>
  <c r="C71" i="5"/>
  <c r="B71" i="5"/>
  <c r="D127" i="5"/>
  <c r="E35" i="2"/>
  <c r="C35" i="2"/>
  <c r="F35" i="2"/>
  <c r="B35" i="2"/>
  <c r="F103" i="2"/>
  <c r="D103" i="2"/>
  <c r="B103" i="2"/>
  <c r="C103" i="2"/>
  <c r="E103" i="2"/>
  <c r="E126" i="4"/>
  <c r="B126" i="4"/>
  <c r="D126" i="4"/>
  <c r="B19" i="5"/>
  <c r="D33" i="5"/>
  <c r="B33" i="5"/>
  <c r="D43" i="5"/>
  <c r="C49" i="5"/>
  <c r="B51" i="5"/>
  <c r="B127" i="5"/>
  <c r="D131" i="5"/>
  <c r="B131" i="5"/>
  <c r="C131" i="5"/>
  <c r="D154" i="5"/>
  <c r="C154" i="5"/>
  <c r="D155" i="5"/>
  <c r="C155" i="5"/>
  <c r="C157" i="5"/>
  <c r="B157" i="5"/>
  <c r="F13" i="2"/>
  <c r="E13" i="2"/>
  <c r="C13" i="2"/>
  <c r="B13" i="2"/>
  <c r="E93" i="2"/>
  <c r="C93" i="2"/>
  <c r="F93" i="2"/>
  <c r="D93" i="2"/>
  <c r="B93" i="2"/>
  <c r="E144" i="4"/>
  <c r="C144" i="4"/>
  <c r="B144" i="4"/>
  <c r="B17" i="5"/>
  <c r="D17" i="5"/>
  <c r="D27" i="5"/>
  <c r="D59" i="5"/>
  <c r="D123" i="5"/>
  <c r="B123" i="5"/>
  <c r="C123" i="5"/>
  <c r="D125" i="5"/>
  <c r="B125" i="5"/>
  <c r="E3" i="2"/>
  <c r="C3" i="2"/>
  <c r="F9" i="2"/>
  <c r="E9" i="2"/>
  <c r="C9" i="2"/>
  <c r="F14" i="2"/>
  <c r="E14" i="2"/>
  <c r="C14" i="2"/>
  <c r="E5" i="4"/>
  <c r="B5" i="4"/>
  <c r="E130" i="4"/>
  <c r="B130" i="4"/>
  <c r="D130" i="4"/>
  <c r="D19" i="5"/>
  <c r="B27" i="5"/>
  <c r="D51" i="5"/>
  <c r="D85" i="5"/>
  <c r="B95" i="5"/>
  <c r="D99" i="5"/>
  <c r="B99" i="5"/>
  <c r="C99" i="5"/>
  <c r="D151" i="5"/>
  <c r="C151" i="5"/>
  <c r="D153" i="5"/>
  <c r="B153" i="5"/>
  <c r="D162" i="5"/>
  <c r="C162" i="5"/>
  <c r="D163" i="5"/>
  <c r="C163" i="5"/>
  <c r="B3" i="2"/>
  <c r="F25" i="2"/>
  <c r="E25" i="2"/>
  <c r="C25" i="2"/>
  <c r="E61" i="2"/>
  <c r="C61" i="2"/>
  <c r="F61" i="2"/>
  <c r="D61" i="2"/>
  <c r="B61" i="2"/>
  <c r="D2" i="5"/>
  <c r="B2" i="5"/>
  <c r="D11" i="5"/>
  <c r="D65" i="5"/>
  <c r="B65" i="5"/>
  <c r="B85" i="5"/>
  <c r="C103" i="5"/>
  <c r="B103" i="5"/>
  <c r="D117" i="5"/>
  <c r="C125" i="5"/>
  <c r="E67" i="2"/>
  <c r="C67" i="2"/>
  <c r="F67" i="2"/>
  <c r="B67" i="2"/>
  <c r="F135" i="2"/>
  <c r="D135" i="2"/>
  <c r="B135" i="2"/>
  <c r="C135" i="2"/>
  <c r="E135" i="2"/>
  <c r="E95" i="4"/>
  <c r="E122" i="4"/>
  <c r="B122" i="4"/>
  <c r="D122" i="4"/>
  <c r="D4" i="5"/>
  <c r="C9" i="5"/>
  <c r="B11" i="5"/>
  <c r="D25" i="5"/>
  <c r="B25" i="5"/>
  <c r="D35" i="5"/>
  <c r="C41" i="5"/>
  <c r="B43" i="5"/>
  <c r="D57" i="5"/>
  <c r="B57" i="5"/>
  <c r="D67" i="5"/>
  <c r="C67" i="5"/>
  <c r="D91" i="5"/>
  <c r="B91" i="5"/>
  <c r="C91" i="5"/>
  <c r="D93" i="5"/>
  <c r="B93" i="5"/>
  <c r="B117" i="5"/>
  <c r="D135" i="5"/>
  <c r="C135" i="5"/>
  <c r="C149" i="5"/>
  <c r="B149" i="5"/>
  <c r="C153" i="5"/>
  <c r="F3" i="2"/>
  <c r="F5" i="2"/>
  <c r="E5" i="2"/>
  <c r="C5" i="2"/>
  <c r="E12" i="2"/>
  <c r="F12" i="2"/>
  <c r="B12" i="2"/>
  <c r="F31" i="2"/>
  <c r="B31" i="2"/>
  <c r="F39" i="2"/>
  <c r="D39" i="2"/>
  <c r="B39" i="2"/>
  <c r="E39" i="2"/>
  <c r="C39" i="2"/>
  <c r="E99" i="2"/>
  <c r="C99" i="2"/>
  <c r="F99" i="2"/>
  <c r="B99" i="2"/>
  <c r="E125" i="2"/>
  <c r="C125" i="2"/>
  <c r="F125" i="2"/>
  <c r="D125" i="2"/>
  <c r="B125" i="2"/>
  <c r="D131" i="2"/>
  <c r="D5" i="4"/>
  <c r="E117" i="4"/>
  <c r="B117" i="4"/>
  <c r="E142" i="4"/>
  <c r="B142" i="4"/>
  <c r="D153" i="4"/>
  <c r="E157" i="4"/>
  <c r="B157" i="4"/>
  <c r="D157" i="4"/>
  <c r="D16" i="2"/>
  <c r="E59" i="2"/>
  <c r="C59" i="2"/>
  <c r="D59" i="2"/>
  <c r="F63" i="2"/>
  <c r="D63" i="2"/>
  <c r="B63" i="2"/>
  <c r="E91" i="2"/>
  <c r="C91" i="2"/>
  <c r="D91" i="2"/>
  <c r="F95" i="2"/>
  <c r="D95" i="2"/>
  <c r="B95" i="2"/>
  <c r="E123" i="2"/>
  <c r="C123" i="2"/>
  <c r="D123" i="2"/>
  <c r="F127" i="2"/>
  <c r="D127" i="2"/>
  <c r="B127" i="2"/>
  <c r="E155" i="2"/>
  <c r="C155" i="2"/>
  <c r="D155" i="2"/>
  <c r="F159" i="2"/>
  <c r="D159" i="2"/>
  <c r="B159" i="2"/>
  <c r="F164" i="2"/>
  <c r="E3" i="4"/>
  <c r="D22" i="4"/>
  <c r="E22" i="4"/>
  <c r="D47" i="4"/>
  <c r="C47" i="4"/>
  <c r="D51" i="4"/>
  <c r="C51" i="4"/>
  <c r="D55" i="4"/>
  <c r="C55" i="4"/>
  <c r="E55" i="4"/>
  <c r="D59" i="4"/>
  <c r="C59" i="4"/>
  <c r="D67" i="4"/>
  <c r="C67" i="4"/>
  <c r="E93" i="4"/>
  <c r="B93" i="4"/>
  <c r="D150" i="4"/>
  <c r="D111" i="5"/>
  <c r="D139" i="5"/>
  <c r="C139" i="5"/>
  <c r="D141" i="5"/>
  <c r="B141" i="5"/>
  <c r="F22" i="2"/>
  <c r="E22" i="2"/>
  <c r="B27" i="2"/>
  <c r="E51" i="2"/>
  <c r="C51" i="2"/>
  <c r="B53" i="2"/>
  <c r="F53" i="2"/>
  <c r="E63" i="2"/>
  <c r="D85" i="2"/>
  <c r="F87" i="2"/>
  <c r="D87" i="2"/>
  <c r="B87" i="2"/>
  <c r="D117" i="2"/>
  <c r="B123" i="2"/>
  <c r="E147" i="2"/>
  <c r="C147" i="2"/>
  <c r="B155" i="2"/>
  <c r="E159" i="2"/>
  <c r="B164" i="2"/>
  <c r="E20" i="4"/>
  <c r="B20" i="4"/>
  <c r="B24" i="4"/>
  <c r="E26" i="4"/>
  <c r="E35" i="4"/>
  <c r="E38" i="4"/>
  <c r="E96" i="4"/>
  <c r="C96" i="4"/>
  <c r="E16" i="2"/>
  <c r="C16" i="2"/>
  <c r="F18" i="2"/>
  <c r="E18" i="2"/>
  <c r="D31" i="4"/>
  <c r="E31" i="4"/>
  <c r="D43" i="4"/>
  <c r="C43" i="4"/>
  <c r="E47" i="4"/>
  <c r="E51" i="4"/>
  <c r="E59" i="4"/>
  <c r="D63" i="4"/>
  <c r="C63" i="4"/>
  <c r="E67" i="4"/>
  <c r="D71" i="4"/>
  <c r="C71" i="4"/>
  <c r="D75" i="4"/>
  <c r="E75" i="4"/>
  <c r="D100" i="4"/>
  <c r="B100" i="4"/>
  <c r="E133" i="4"/>
  <c r="B133" i="4"/>
  <c r="E152" i="4"/>
  <c r="C152" i="4"/>
  <c r="D75" i="5"/>
  <c r="B75" i="5"/>
  <c r="D79" i="5"/>
  <c r="D107" i="5"/>
  <c r="B107" i="5"/>
  <c r="D133" i="5"/>
  <c r="F17" i="2"/>
  <c r="E17" i="2"/>
  <c r="E20" i="2"/>
  <c r="C20" i="2"/>
  <c r="D51" i="2"/>
  <c r="F55" i="2"/>
  <c r="D55" i="2"/>
  <c r="B55" i="2"/>
  <c r="B59" i="2"/>
  <c r="E83" i="2"/>
  <c r="C83" i="2"/>
  <c r="B85" i="2"/>
  <c r="B91" i="2"/>
  <c r="E95" i="2"/>
  <c r="E115" i="2"/>
  <c r="C115" i="2"/>
  <c r="B117" i="2"/>
  <c r="F119" i="2"/>
  <c r="D119" i="2"/>
  <c r="B119" i="2"/>
  <c r="E127" i="2"/>
  <c r="D147" i="2"/>
  <c r="B149" i="2"/>
  <c r="D149" i="2"/>
  <c r="F151" i="2"/>
  <c r="D151" i="2"/>
  <c r="B151" i="2"/>
  <c r="D164" i="2"/>
  <c r="B19" i="4"/>
  <c r="D79" i="4"/>
  <c r="C79" i="4"/>
  <c r="D96" i="4"/>
  <c r="E100" i="4"/>
  <c r="E113" i="4"/>
  <c r="B113" i="4"/>
  <c r="D137" i="4"/>
  <c r="E141" i="4"/>
  <c r="B141" i="4"/>
  <c r="B150" i="4"/>
  <c r="B152" i="4"/>
  <c r="E158" i="4"/>
  <c r="D158" i="4"/>
  <c r="B7" i="5"/>
  <c r="B15" i="5"/>
  <c r="B23" i="5"/>
  <c r="B31" i="5"/>
  <c r="B39" i="5"/>
  <c r="B47" i="5"/>
  <c r="B55" i="5"/>
  <c r="B63" i="5"/>
  <c r="B69" i="5"/>
  <c r="B79" i="5"/>
  <c r="D83" i="5"/>
  <c r="B83" i="5"/>
  <c r="D87" i="5"/>
  <c r="B101" i="5"/>
  <c r="B111" i="5"/>
  <c r="D115" i="5"/>
  <c r="B115" i="5"/>
  <c r="D119" i="5"/>
  <c r="B133" i="5"/>
  <c r="B137" i="5"/>
  <c r="D142" i="5"/>
  <c r="C142" i="5"/>
  <c r="D159" i="5"/>
  <c r="C159" i="5"/>
  <c r="C161" i="5"/>
  <c r="B161" i="5"/>
  <c r="D8" i="2"/>
  <c r="F10" i="2"/>
  <c r="E10" i="2"/>
  <c r="C18" i="2"/>
  <c r="B20" i="2"/>
  <c r="F21" i="2"/>
  <c r="E21" i="2"/>
  <c r="E24" i="2"/>
  <c r="C24" i="2"/>
  <c r="D24" i="2"/>
  <c r="F29" i="2"/>
  <c r="E29" i="2"/>
  <c r="E43" i="2"/>
  <c r="C43" i="2"/>
  <c r="D43" i="2"/>
  <c r="B45" i="2"/>
  <c r="D45" i="2"/>
  <c r="F47" i="2"/>
  <c r="D47" i="2"/>
  <c r="B47" i="2"/>
  <c r="B51" i="2"/>
  <c r="E55" i="2"/>
  <c r="C63" i="2"/>
  <c r="E75" i="2"/>
  <c r="C75" i="2"/>
  <c r="D75" i="2"/>
  <c r="B77" i="2"/>
  <c r="D77" i="2"/>
  <c r="F79" i="2"/>
  <c r="D79" i="2"/>
  <c r="B79" i="2"/>
  <c r="B83" i="2"/>
  <c r="E87" i="2"/>
  <c r="C95" i="2"/>
  <c r="E107" i="2"/>
  <c r="C107" i="2"/>
  <c r="D107" i="2"/>
  <c r="B109" i="2"/>
  <c r="D109" i="2"/>
  <c r="F111" i="2"/>
  <c r="D111" i="2"/>
  <c r="B111" i="2"/>
  <c r="B115" i="2"/>
  <c r="E119" i="2"/>
  <c r="C127" i="2"/>
  <c r="E139" i="2"/>
  <c r="C139" i="2"/>
  <c r="D139" i="2"/>
  <c r="B141" i="2"/>
  <c r="D141" i="2"/>
  <c r="F143" i="2"/>
  <c r="D143" i="2"/>
  <c r="B143" i="2"/>
  <c r="B147" i="2"/>
  <c r="E151" i="2"/>
  <c r="C159" i="2"/>
  <c r="D11" i="4"/>
  <c r="B11" i="4"/>
  <c r="B15" i="4"/>
  <c r="E16" i="4"/>
  <c r="B16" i="4"/>
  <c r="C22" i="4"/>
  <c r="D23" i="4"/>
  <c r="C23" i="4"/>
  <c r="E23" i="4"/>
  <c r="C26" i="4"/>
  <c r="E28" i="4"/>
  <c r="D28" i="4"/>
  <c r="B28" i="4"/>
  <c r="C31" i="4"/>
  <c r="D32" i="4"/>
  <c r="D34" i="4"/>
  <c r="C34" i="4"/>
  <c r="E34" i="4"/>
  <c r="C35" i="4"/>
  <c r="C38" i="4"/>
  <c r="D40" i="4"/>
  <c r="B40" i="4"/>
  <c r="D42" i="4"/>
  <c r="E42" i="4"/>
  <c r="E44" i="4"/>
  <c r="C44" i="4"/>
  <c r="D44" i="4"/>
  <c r="D46" i="4"/>
  <c r="E46" i="4"/>
  <c r="E48" i="4"/>
  <c r="C48" i="4"/>
  <c r="D48" i="4"/>
  <c r="D50" i="4"/>
  <c r="E50" i="4"/>
  <c r="E52" i="4"/>
  <c r="C52" i="4"/>
  <c r="D52" i="4"/>
  <c r="D54" i="4"/>
  <c r="E54" i="4"/>
  <c r="E56" i="4"/>
  <c r="C56" i="4"/>
  <c r="D56" i="4"/>
  <c r="D58" i="4"/>
  <c r="E58" i="4"/>
  <c r="E60" i="4"/>
  <c r="C60" i="4"/>
  <c r="D60" i="4"/>
  <c r="D62" i="4"/>
  <c r="E62" i="4"/>
  <c r="E64" i="4"/>
  <c r="C64" i="4"/>
  <c r="D64" i="4"/>
  <c r="D66" i="4"/>
  <c r="E66" i="4"/>
  <c r="E68" i="4"/>
  <c r="C68" i="4"/>
  <c r="D68" i="4"/>
  <c r="D70" i="4"/>
  <c r="E70" i="4"/>
  <c r="E72" i="4"/>
  <c r="C72" i="4"/>
  <c r="D72" i="4"/>
  <c r="D74" i="4"/>
  <c r="C74" i="4"/>
  <c r="E74" i="4"/>
  <c r="C75" i="4"/>
  <c r="B96" i="4"/>
  <c r="C100" i="4"/>
  <c r="B104" i="4"/>
  <c r="E105" i="4"/>
  <c r="B105" i="4"/>
  <c r="D124" i="4"/>
  <c r="B124" i="4"/>
  <c r="D128" i="4"/>
  <c r="B128" i="4"/>
  <c r="D132" i="4"/>
  <c r="E132" i="4"/>
  <c r="D134" i="4"/>
  <c r="E136" i="4"/>
  <c r="C136" i="4"/>
  <c r="D136" i="4"/>
  <c r="B137" i="4"/>
  <c r="D145" i="4"/>
  <c r="E149" i="4"/>
  <c r="B149" i="4"/>
  <c r="B158" i="4"/>
  <c r="D8" i="4"/>
  <c r="D12" i="4"/>
  <c r="D78" i="4"/>
  <c r="C78" i="4"/>
  <c r="E78" i="4"/>
  <c r="E85" i="4"/>
  <c r="B85" i="4"/>
  <c r="E92" i="4"/>
  <c r="C92" i="4"/>
  <c r="D92" i="4"/>
  <c r="D97" i="4"/>
  <c r="E101" i="4"/>
  <c r="B101" i="4"/>
  <c r="D109" i="4"/>
  <c r="D138" i="4"/>
  <c r="E140" i="4"/>
  <c r="C140" i="4"/>
  <c r="D140" i="4"/>
  <c r="D146" i="4"/>
  <c r="E148" i="4"/>
  <c r="C148" i="4"/>
  <c r="D148" i="4"/>
  <c r="D154" i="4"/>
  <c r="E156" i="4"/>
  <c r="C156" i="4"/>
  <c r="D156" i="4"/>
  <c r="D89" i="4"/>
  <c r="D114" i="4"/>
  <c r="D118" i="4"/>
  <c r="D121" i="4"/>
  <c r="D125" i="4"/>
  <c r="D129" i="4"/>
  <c r="D162" i="4"/>
  <c r="D161" i="4"/>
  <c r="B162" i="4"/>
  <c r="B135" i="5"/>
  <c r="B139" i="5"/>
  <c r="B143" i="5"/>
  <c r="B147" i="5"/>
  <c r="B151" i="5"/>
  <c r="B155" i="5"/>
  <c r="B159" i="5"/>
  <c r="B163" i="5"/>
  <c r="B2" i="2"/>
  <c r="D2" i="2"/>
  <c r="C4" i="2"/>
  <c r="E4" i="2"/>
  <c r="C7" i="2"/>
  <c r="E7" i="2"/>
  <c r="B9" i="2"/>
  <c r="D9" i="2"/>
  <c r="C11" i="2"/>
  <c r="E11" i="2"/>
  <c r="D13" i="2"/>
  <c r="C15" i="2"/>
  <c r="E15" i="2"/>
  <c r="B17" i="2"/>
  <c r="D17" i="2"/>
  <c r="C19" i="2"/>
  <c r="E19" i="2"/>
  <c r="B21" i="2"/>
  <c r="D21" i="2"/>
  <c r="C23" i="2"/>
  <c r="E23" i="2"/>
  <c r="B25" i="2"/>
  <c r="D25" i="2"/>
  <c r="C27" i="2"/>
  <c r="E27" i="2"/>
  <c r="B29" i="2"/>
  <c r="D29" i="2"/>
  <c r="C31" i="2"/>
  <c r="E31" i="2"/>
  <c r="F32" i="2"/>
  <c r="D32" i="2"/>
  <c r="E32" i="2"/>
  <c r="C32" i="2"/>
  <c r="E38" i="2"/>
  <c r="C38" i="2"/>
  <c r="F38" i="2"/>
  <c r="D38" i="2"/>
  <c r="B38" i="2"/>
  <c r="E46" i="2"/>
  <c r="C46" i="2"/>
  <c r="F46" i="2"/>
  <c r="D46" i="2"/>
  <c r="B46" i="2"/>
  <c r="E54" i="2"/>
  <c r="C54" i="2"/>
  <c r="F54" i="2"/>
  <c r="D54" i="2"/>
  <c r="B54" i="2"/>
  <c r="E62" i="2"/>
  <c r="C62" i="2"/>
  <c r="F62" i="2"/>
  <c r="D62" i="2"/>
  <c r="B62" i="2"/>
  <c r="E70" i="2"/>
  <c r="C70" i="2"/>
  <c r="F70" i="2"/>
  <c r="D70" i="2"/>
  <c r="B70" i="2"/>
  <c r="E78" i="2"/>
  <c r="C78" i="2"/>
  <c r="F78" i="2"/>
  <c r="D78" i="2"/>
  <c r="B78" i="2"/>
  <c r="E86" i="2"/>
  <c r="C86" i="2"/>
  <c r="F86" i="2"/>
  <c r="D86" i="2"/>
  <c r="B86" i="2"/>
  <c r="E94" i="2"/>
  <c r="C94" i="2"/>
  <c r="F94" i="2"/>
  <c r="D94" i="2"/>
  <c r="B94" i="2"/>
  <c r="E102" i="2"/>
  <c r="C102" i="2"/>
  <c r="F102" i="2"/>
  <c r="D102" i="2"/>
  <c r="B102" i="2"/>
  <c r="C3" i="5"/>
  <c r="B5" i="5"/>
  <c r="D5" i="5"/>
  <c r="B6" i="5"/>
  <c r="D6" i="5"/>
  <c r="C8" i="5"/>
  <c r="B10" i="5"/>
  <c r="D10" i="5"/>
  <c r="C12" i="5"/>
  <c r="B14" i="5"/>
  <c r="D14" i="5"/>
  <c r="C16" i="5"/>
  <c r="B18" i="5"/>
  <c r="D18" i="5"/>
  <c r="C20" i="5"/>
  <c r="B22" i="5"/>
  <c r="D22" i="5"/>
  <c r="C24" i="5"/>
  <c r="B26" i="5"/>
  <c r="D26" i="5"/>
  <c r="C28" i="5"/>
  <c r="B30" i="5"/>
  <c r="D30" i="5"/>
  <c r="C32" i="5"/>
  <c r="B34" i="5"/>
  <c r="D34" i="5"/>
  <c r="C36" i="5"/>
  <c r="B38" i="5"/>
  <c r="D38" i="5"/>
  <c r="C40" i="5"/>
  <c r="B42" i="5"/>
  <c r="D42" i="5"/>
  <c r="C44" i="5"/>
  <c r="B46" i="5"/>
  <c r="D46" i="5"/>
  <c r="C48" i="5"/>
  <c r="B50" i="5"/>
  <c r="D50" i="5"/>
  <c r="C52" i="5"/>
  <c r="B54" i="5"/>
  <c r="D54" i="5"/>
  <c r="C56" i="5"/>
  <c r="B58" i="5"/>
  <c r="D58" i="5"/>
  <c r="C60" i="5"/>
  <c r="B62" i="5"/>
  <c r="D62" i="5"/>
  <c r="C64" i="5"/>
  <c r="B66" i="5"/>
  <c r="D66" i="5"/>
  <c r="C68" i="5"/>
  <c r="B70" i="5"/>
  <c r="D70" i="5"/>
  <c r="C72" i="5"/>
  <c r="B74" i="5"/>
  <c r="D74" i="5"/>
  <c r="C76" i="5"/>
  <c r="B78" i="5"/>
  <c r="D78" i="5"/>
  <c r="C80" i="5"/>
  <c r="B82" i="5"/>
  <c r="D82" i="5"/>
  <c r="C84" i="5"/>
  <c r="B86" i="5"/>
  <c r="D86" i="5"/>
  <c r="C88" i="5"/>
  <c r="B90" i="5"/>
  <c r="D90" i="5"/>
  <c r="C92" i="5"/>
  <c r="B94" i="5"/>
  <c r="D94" i="5"/>
  <c r="C96" i="5"/>
  <c r="B98" i="5"/>
  <c r="D98" i="5"/>
  <c r="C100" i="5"/>
  <c r="B102" i="5"/>
  <c r="D102" i="5"/>
  <c r="C104" i="5"/>
  <c r="B106" i="5"/>
  <c r="D106" i="5"/>
  <c r="C108" i="5"/>
  <c r="B110" i="5"/>
  <c r="D110" i="5"/>
  <c r="C112" i="5"/>
  <c r="B114" i="5"/>
  <c r="D114" i="5"/>
  <c r="C116" i="5"/>
  <c r="B118" i="5"/>
  <c r="D118" i="5"/>
  <c r="C120" i="5"/>
  <c r="B122" i="5"/>
  <c r="D122" i="5"/>
  <c r="C124" i="5"/>
  <c r="B126" i="5"/>
  <c r="D126" i="5"/>
  <c r="C128" i="5"/>
  <c r="B130" i="5"/>
  <c r="D130" i="5"/>
  <c r="C132" i="5"/>
  <c r="B134" i="5"/>
  <c r="C136" i="5"/>
  <c r="B138" i="5"/>
  <c r="C140" i="5"/>
  <c r="B142" i="5"/>
  <c r="C144" i="5"/>
  <c r="B146" i="5"/>
  <c r="C148" i="5"/>
  <c r="B150" i="5"/>
  <c r="C152" i="5"/>
  <c r="B154" i="5"/>
  <c r="C156" i="5"/>
  <c r="B158" i="5"/>
  <c r="C160" i="5"/>
  <c r="B162" i="5"/>
  <c r="C164" i="5"/>
  <c r="C26" i="2"/>
  <c r="E26" i="2"/>
  <c r="C30" i="2"/>
  <c r="E30" i="2"/>
  <c r="F40" i="2"/>
  <c r="D40" i="2"/>
  <c r="B40" i="2"/>
  <c r="E40" i="2"/>
  <c r="C40" i="2"/>
  <c r="F48" i="2"/>
  <c r="D48" i="2"/>
  <c r="B48" i="2"/>
  <c r="E48" i="2"/>
  <c r="C48" i="2"/>
  <c r="F56" i="2"/>
  <c r="D56" i="2"/>
  <c r="B56" i="2"/>
  <c r="E56" i="2"/>
  <c r="C56" i="2"/>
  <c r="F64" i="2"/>
  <c r="D64" i="2"/>
  <c r="B64" i="2"/>
  <c r="E64" i="2"/>
  <c r="C64" i="2"/>
  <c r="F72" i="2"/>
  <c r="D72" i="2"/>
  <c r="B72" i="2"/>
  <c r="E72" i="2"/>
  <c r="C72" i="2"/>
  <c r="F80" i="2"/>
  <c r="D80" i="2"/>
  <c r="B80" i="2"/>
  <c r="E80" i="2"/>
  <c r="C80" i="2"/>
  <c r="F88" i="2"/>
  <c r="D88" i="2"/>
  <c r="B88" i="2"/>
  <c r="E88" i="2"/>
  <c r="C88" i="2"/>
  <c r="F96" i="2"/>
  <c r="D96" i="2"/>
  <c r="B96" i="2"/>
  <c r="E96" i="2"/>
  <c r="C96" i="2"/>
  <c r="B4" i="2"/>
  <c r="D4" i="2"/>
  <c r="B7" i="2"/>
  <c r="D7" i="2"/>
  <c r="B11" i="2"/>
  <c r="D11" i="2"/>
  <c r="B15" i="2"/>
  <c r="D15" i="2"/>
  <c r="B19" i="2"/>
  <c r="D19" i="2"/>
  <c r="B23" i="2"/>
  <c r="D23" i="2"/>
  <c r="D27" i="2"/>
  <c r="E34" i="2"/>
  <c r="C34" i="2"/>
  <c r="F34" i="2"/>
  <c r="D34" i="2"/>
  <c r="B34" i="2"/>
  <c r="E42" i="2"/>
  <c r="C42" i="2"/>
  <c r="F42" i="2"/>
  <c r="D42" i="2"/>
  <c r="B42" i="2"/>
  <c r="E50" i="2"/>
  <c r="C50" i="2"/>
  <c r="F50" i="2"/>
  <c r="D50" i="2"/>
  <c r="B50" i="2"/>
  <c r="E58" i="2"/>
  <c r="C58" i="2"/>
  <c r="F58" i="2"/>
  <c r="D58" i="2"/>
  <c r="B58" i="2"/>
  <c r="E66" i="2"/>
  <c r="C66" i="2"/>
  <c r="F66" i="2"/>
  <c r="D66" i="2"/>
  <c r="B66" i="2"/>
  <c r="E74" i="2"/>
  <c r="C74" i="2"/>
  <c r="F74" i="2"/>
  <c r="D74" i="2"/>
  <c r="B74" i="2"/>
  <c r="E82" i="2"/>
  <c r="C82" i="2"/>
  <c r="F82" i="2"/>
  <c r="D82" i="2"/>
  <c r="B82" i="2"/>
  <c r="E90" i="2"/>
  <c r="C90" i="2"/>
  <c r="F90" i="2"/>
  <c r="D90" i="2"/>
  <c r="B90" i="2"/>
  <c r="E98" i="2"/>
  <c r="C98" i="2"/>
  <c r="F98" i="2"/>
  <c r="D98" i="2"/>
  <c r="B98" i="2"/>
  <c r="B3" i="5"/>
  <c r="B8" i="5"/>
  <c r="B12" i="5"/>
  <c r="B16" i="5"/>
  <c r="B20" i="5"/>
  <c r="B24" i="5"/>
  <c r="B28" i="5"/>
  <c r="B32" i="5"/>
  <c r="B36" i="5"/>
  <c r="B40" i="5"/>
  <c r="B44" i="5"/>
  <c r="B48" i="5"/>
  <c r="B52" i="5"/>
  <c r="B56" i="5"/>
  <c r="B60" i="5"/>
  <c r="B64" i="5"/>
  <c r="B68" i="5"/>
  <c r="B72" i="5"/>
  <c r="B76" i="5"/>
  <c r="B80" i="5"/>
  <c r="B84" i="5"/>
  <c r="B88" i="5"/>
  <c r="B92" i="5"/>
  <c r="B96" i="5"/>
  <c r="B100" i="5"/>
  <c r="B104" i="5"/>
  <c r="B108" i="5"/>
  <c r="B112" i="5"/>
  <c r="B116" i="5"/>
  <c r="B120" i="5"/>
  <c r="B124" i="5"/>
  <c r="B128" i="5"/>
  <c r="B132" i="5"/>
  <c r="B136" i="5"/>
  <c r="B140" i="5"/>
  <c r="B144" i="5"/>
  <c r="B148" i="5"/>
  <c r="B152" i="5"/>
  <c r="B156" i="5"/>
  <c r="B160" i="5"/>
  <c r="B164" i="5"/>
  <c r="B5" i="2"/>
  <c r="D5" i="2"/>
  <c r="B6" i="2"/>
  <c r="D6" i="2"/>
  <c r="C8" i="2"/>
  <c r="B10" i="2"/>
  <c r="D10" i="2"/>
  <c r="C12" i="2"/>
  <c r="B14" i="2"/>
  <c r="D14" i="2"/>
  <c r="B18" i="2"/>
  <c r="D18" i="2"/>
  <c r="B22" i="2"/>
  <c r="D22" i="2"/>
  <c r="B26" i="2"/>
  <c r="D26" i="2"/>
  <c r="B30" i="2"/>
  <c r="D30" i="2"/>
  <c r="F36" i="2"/>
  <c r="D36" i="2"/>
  <c r="B36" i="2"/>
  <c r="E36" i="2"/>
  <c r="C36" i="2"/>
  <c r="F44" i="2"/>
  <c r="D44" i="2"/>
  <c r="B44" i="2"/>
  <c r="E44" i="2"/>
  <c r="C44" i="2"/>
  <c r="F52" i="2"/>
  <c r="D52" i="2"/>
  <c r="B52" i="2"/>
  <c r="E52" i="2"/>
  <c r="C52" i="2"/>
  <c r="F60" i="2"/>
  <c r="D60" i="2"/>
  <c r="B60" i="2"/>
  <c r="E60" i="2"/>
  <c r="C60" i="2"/>
  <c r="F68" i="2"/>
  <c r="D68" i="2"/>
  <c r="B68" i="2"/>
  <c r="E68" i="2"/>
  <c r="C68" i="2"/>
  <c r="F76" i="2"/>
  <c r="D76" i="2"/>
  <c r="B76" i="2"/>
  <c r="E76" i="2"/>
  <c r="C76" i="2"/>
  <c r="F84" i="2"/>
  <c r="D84" i="2"/>
  <c r="B84" i="2"/>
  <c r="E84" i="2"/>
  <c r="C84" i="2"/>
  <c r="F92" i="2"/>
  <c r="D92" i="2"/>
  <c r="B92" i="2"/>
  <c r="E92" i="2"/>
  <c r="C92" i="2"/>
  <c r="F100" i="2"/>
  <c r="D100" i="2"/>
  <c r="B100" i="2"/>
  <c r="E100" i="2"/>
  <c r="C100" i="2"/>
  <c r="C104" i="2"/>
  <c r="E104" i="2"/>
  <c r="B106" i="2"/>
  <c r="D106" i="2"/>
  <c r="F106" i="2"/>
  <c r="C108" i="2"/>
  <c r="E108" i="2"/>
  <c r="B110" i="2"/>
  <c r="D110" i="2"/>
  <c r="F110" i="2"/>
  <c r="C112" i="2"/>
  <c r="E112" i="2"/>
  <c r="B114" i="2"/>
  <c r="D114" i="2"/>
  <c r="F114" i="2"/>
  <c r="C116" i="2"/>
  <c r="E116" i="2"/>
  <c r="B118" i="2"/>
  <c r="D118" i="2"/>
  <c r="F118" i="2"/>
  <c r="C120" i="2"/>
  <c r="E120" i="2"/>
  <c r="B122" i="2"/>
  <c r="D122" i="2"/>
  <c r="F122" i="2"/>
  <c r="C124" i="2"/>
  <c r="E124" i="2"/>
  <c r="B126" i="2"/>
  <c r="D126" i="2"/>
  <c r="F126" i="2"/>
  <c r="C128" i="2"/>
  <c r="E128" i="2"/>
  <c r="B130" i="2"/>
  <c r="D130" i="2"/>
  <c r="F130" i="2"/>
  <c r="C132" i="2"/>
  <c r="E132" i="2"/>
  <c r="B134" i="2"/>
  <c r="D134" i="2"/>
  <c r="F134" i="2"/>
  <c r="C136" i="2"/>
  <c r="E136" i="2"/>
  <c r="B138" i="2"/>
  <c r="D138" i="2"/>
  <c r="F138" i="2"/>
  <c r="C140" i="2"/>
  <c r="E140" i="2"/>
  <c r="B142" i="2"/>
  <c r="D142" i="2"/>
  <c r="F142" i="2"/>
  <c r="C144" i="2"/>
  <c r="E144" i="2"/>
  <c r="B146" i="2"/>
  <c r="D146" i="2"/>
  <c r="F146" i="2"/>
  <c r="C148" i="2"/>
  <c r="E148" i="2"/>
  <c r="B150" i="2"/>
  <c r="D150" i="2"/>
  <c r="F150" i="2"/>
  <c r="C152" i="2"/>
  <c r="E152" i="2"/>
  <c r="B154" i="2"/>
  <c r="D154" i="2"/>
  <c r="F154" i="2"/>
  <c r="C156" i="2"/>
  <c r="E156" i="2"/>
  <c r="B158" i="2"/>
  <c r="D158" i="2"/>
  <c r="F158" i="2"/>
  <c r="C160" i="2"/>
  <c r="E160" i="2"/>
  <c r="D6" i="4"/>
  <c r="B6" i="4"/>
  <c r="E13" i="4"/>
  <c r="C13" i="4"/>
  <c r="D13" i="4"/>
  <c r="E14" i="4"/>
  <c r="D21" i="4"/>
  <c r="E21" i="4"/>
  <c r="C21" i="4"/>
  <c r="D33" i="4"/>
  <c r="B33" i="4"/>
  <c r="E33" i="4"/>
  <c r="C33" i="4"/>
  <c r="F162" i="2"/>
  <c r="D162" i="2"/>
  <c r="B162" i="2"/>
  <c r="E163" i="2"/>
  <c r="C163" i="2"/>
  <c r="D163" i="2"/>
  <c r="D10" i="4"/>
  <c r="B10" i="4"/>
  <c r="D18" i="4"/>
  <c r="B18" i="4"/>
  <c r="B21" i="4"/>
  <c r="B104" i="2"/>
  <c r="D104" i="2"/>
  <c r="C106" i="2"/>
  <c r="B108" i="2"/>
  <c r="D108" i="2"/>
  <c r="C110" i="2"/>
  <c r="B112" i="2"/>
  <c r="D112" i="2"/>
  <c r="C114" i="2"/>
  <c r="B116" i="2"/>
  <c r="D116" i="2"/>
  <c r="C118" i="2"/>
  <c r="B120" i="2"/>
  <c r="D120" i="2"/>
  <c r="C122" i="2"/>
  <c r="B124" i="2"/>
  <c r="D124" i="2"/>
  <c r="C126" i="2"/>
  <c r="B128" i="2"/>
  <c r="D128" i="2"/>
  <c r="C130" i="2"/>
  <c r="B132" i="2"/>
  <c r="D132" i="2"/>
  <c r="C134" i="2"/>
  <c r="B136" i="2"/>
  <c r="D136" i="2"/>
  <c r="C138" i="2"/>
  <c r="B140" i="2"/>
  <c r="D140" i="2"/>
  <c r="C142" i="2"/>
  <c r="B144" i="2"/>
  <c r="D144" i="2"/>
  <c r="C146" i="2"/>
  <c r="B148" i="2"/>
  <c r="D148" i="2"/>
  <c r="C150" i="2"/>
  <c r="B152" i="2"/>
  <c r="D152" i="2"/>
  <c r="C154" i="2"/>
  <c r="B156" i="2"/>
  <c r="D156" i="2"/>
  <c r="C158" i="2"/>
  <c r="B160" i="2"/>
  <c r="D160" i="2"/>
  <c r="E162" i="2"/>
  <c r="B163" i="2"/>
  <c r="D3" i="4"/>
  <c r="B3" i="4"/>
  <c r="C6" i="4"/>
  <c r="E9" i="4"/>
  <c r="C9" i="4"/>
  <c r="D9" i="4"/>
  <c r="E10" i="4"/>
  <c r="E17" i="4"/>
  <c r="C17" i="4"/>
  <c r="D17" i="4"/>
  <c r="E18" i="4"/>
  <c r="D29" i="4"/>
  <c r="B29" i="4"/>
  <c r="E29" i="4"/>
  <c r="C29" i="4"/>
  <c r="E4" i="4"/>
  <c r="C4" i="4"/>
  <c r="D4" i="4"/>
  <c r="D14" i="4"/>
  <c r="B14" i="4"/>
  <c r="D25" i="4"/>
  <c r="B25" i="4"/>
  <c r="E25" i="4"/>
  <c r="C25" i="4"/>
  <c r="D161" i="2"/>
  <c r="B23" i="4"/>
  <c r="B27" i="4"/>
  <c r="B31" i="4"/>
  <c r="B35" i="4"/>
  <c r="C37" i="4"/>
  <c r="E37" i="4"/>
  <c r="B39" i="4"/>
  <c r="C41" i="4"/>
  <c r="E41" i="4"/>
  <c r="B43" i="4"/>
  <c r="C45" i="4"/>
  <c r="E45" i="4"/>
  <c r="B47" i="4"/>
  <c r="C49" i="4"/>
  <c r="E49" i="4"/>
  <c r="B51" i="4"/>
  <c r="C53" i="4"/>
  <c r="E53" i="4"/>
  <c r="B55" i="4"/>
  <c r="C57" i="4"/>
  <c r="E57" i="4"/>
  <c r="B59" i="4"/>
  <c r="C61" i="4"/>
  <c r="E61" i="4"/>
  <c r="B63" i="4"/>
  <c r="C65" i="4"/>
  <c r="E65" i="4"/>
  <c r="B67" i="4"/>
  <c r="C69" i="4"/>
  <c r="E69" i="4"/>
  <c r="B71" i="4"/>
  <c r="C73" i="4"/>
  <c r="E73" i="4"/>
  <c r="B75" i="4"/>
  <c r="C77" i="4"/>
  <c r="E77" i="4"/>
  <c r="B79" i="4"/>
  <c r="C81" i="4"/>
  <c r="C82" i="4"/>
  <c r="D95" i="4"/>
  <c r="B95" i="4"/>
  <c r="E102" i="4"/>
  <c r="C102" i="4"/>
  <c r="D102" i="4"/>
  <c r="E110" i="4"/>
  <c r="C110" i="4"/>
  <c r="D110" i="4"/>
  <c r="D115" i="4"/>
  <c r="B115" i="4"/>
  <c r="E115" i="4"/>
  <c r="C115" i="4"/>
  <c r="D119" i="4"/>
  <c r="B119" i="4"/>
  <c r="E119" i="4"/>
  <c r="C119" i="4"/>
  <c r="D83" i="4"/>
  <c r="B83" i="4"/>
  <c r="D87" i="4"/>
  <c r="B87" i="4"/>
  <c r="E94" i="4"/>
  <c r="C94" i="4"/>
  <c r="D94" i="4"/>
  <c r="D107" i="4"/>
  <c r="B107" i="4"/>
  <c r="D135" i="4"/>
  <c r="B135" i="4"/>
  <c r="E135" i="4"/>
  <c r="C135" i="4"/>
  <c r="D139" i="4"/>
  <c r="B139" i="4"/>
  <c r="E139" i="4"/>
  <c r="C139" i="4"/>
  <c r="B37" i="4"/>
  <c r="B41" i="4"/>
  <c r="B45" i="4"/>
  <c r="B49" i="4"/>
  <c r="B53" i="4"/>
  <c r="B57" i="4"/>
  <c r="B61" i="4"/>
  <c r="B65" i="4"/>
  <c r="B69" i="4"/>
  <c r="B73" i="4"/>
  <c r="B77" i="4"/>
  <c r="B81" i="4"/>
  <c r="D81" i="4"/>
  <c r="B82" i="4"/>
  <c r="D82" i="4"/>
  <c r="E83" i="4"/>
  <c r="E86" i="4"/>
  <c r="C86" i="4"/>
  <c r="D86" i="4"/>
  <c r="E87" i="4"/>
  <c r="D91" i="4"/>
  <c r="B91" i="4"/>
  <c r="B94" i="4"/>
  <c r="D99" i="4"/>
  <c r="B99" i="4"/>
  <c r="E106" i="4"/>
  <c r="C106" i="4"/>
  <c r="D106" i="4"/>
  <c r="E107" i="4"/>
  <c r="C5" i="4"/>
  <c r="C8" i="4"/>
  <c r="C12" i="4"/>
  <c r="C16" i="4"/>
  <c r="C20" i="4"/>
  <c r="B22" i="4"/>
  <c r="C24" i="4"/>
  <c r="B26" i="4"/>
  <c r="B30" i="4"/>
  <c r="C32" i="4"/>
  <c r="B34" i="4"/>
  <c r="B38" i="4"/>
  <c r="B42" i="4"/>
  <c r="B46" i="4"/>
  <c r="B50" i="4"/>
  <c r="B54" i="4"/>
  <c r="B58" i="4"/>
  <c r="B62" i="4"/>
  <c r="B66" i="4"/>
  <c r="B70" i="4"/>
  <c r="B74" i="4"/>
  <c r="B78" i="4"/>
  <c r="C83" i="4"/>
  <c r="B86" i="4"/>
  <c r="C87" i="4"/>
  <c r="E90" i="4"/>
  <c r="C90" i="4"/>
  <c r="D90" i="4"/>
  <c r="E91" i="4"/>
  <c r="E98" i="4"/>
  <c r="C98" i="4"/>
  <c r="D98" i="4"/>
  <c r="E99" i="4"/>
  <c r="D103" i="4"/>
  <c r="B103" i="4"/>
  <c r="B106" i="4"/>
  <c r="C107" i="4"/>
  <c r="D111" i="4"/>
  <c r="B111" i="4"/>
  <c r="E111" i="4"/>
  <c r="D123" i="4"/>
  <c r="B123" i="4"/>
  <c r="E123" i="4"/>
  <c r="C123" i="4"/>
  <c r="D127" i="4"/>
  <c r="B127" i="4"/>
  <c r="E127" i="4"/>
  <c r="C127" i="4"/>
  <c r="D131" i="4"/>
  <c r="B131" i="4"/>
  <c r="E131" i="4"/>
  <c r="C131" i="4"/>
  <c r="C143" i="4"/>
  <c r="E143" i="4"/>
  <c r="C147" i="4"/>
  <c r="E147" i="4"/>
  <c r="C151" i="4"/>
  <c r="E151" i="4"/>
  <c r="C155" i="4"/>
  <c r="E155" i="4"/>
  <c r="C159" i="4"/>
  <c r="E159" i="4"/>
  <c r="C163" i="4"/>
  <c r="E163" i="4"/>
  <c r="C85" i="4"/>
  <c r="C89" i="4"/>
  <c r="C93" i="4"/>
  <c r="C97" i="4"/>
  <c r="C101" i="4"/>
  <c r="C105" i="4"/>
  <c r="C109" i="4"/>
  <c r="C113" i="4"/>
  <c r="C117" i="4"/>
  <c r="C121" i="4"/>
  <c r="C125" i="4"/>
  <c r="C129" i="4"/>
  <c r="C133" i="4"/>
  <c r="C137" i="4"/>
  <c r="C141" i="4"/>
  <c r="B143" i="4"/>
  <c r="C145" i="4"/>
  <c r="B147" i="4"/>
  <c r="C149" i="4"/>
  <c r="B151" i="4"/>
  <c r="C153" i="4"/>
  <c r="B155" i="4"/>
  <c r="C157" i="4"/>
  <c r="B159" i="4"/>
  <c r="C161" i="4"/>
  <c r="B163" i="4"/>
  <c r="B84" i="4"/>
  <c r="C114" i="4"/>
  <c r="C118" i="4"/>
  <c r="C122" i="4"/>
  <c r="C126" i="4"/>
  <c r="C130" i="4"/>
  <c r="B132" i="4"/>
  <c r="C134" i="4"/>
  <c r="C138" i="4"/>
  <c r="C142" i="4"/>
  <c r="C146" i="4"/>
  <c r="C150" i="4"/>
  <c r="C154" i="4"/>
  <c r="C158" i="4"/>
  <c r="C162" i="4"/>
  <c r="O175" i="9" l="1"/>
  <c r="O193" i="9"/>
  <c r="O194" i="9" s="1"/>
  <c r="O176" i="9"/>
  <c r="O184" i="9"/>
  <c r="O180" i="9"/>
  <c r="O183" i="9" s="1"/>
  <c r="G175" i="9"/>
  <c r="G174" i="9"/>
  <c r="G176" i="9" s="1"/>
  <c r="G183" i="9"/>
  <c r="G184" i="9"/>
  <c r="G192" i="9"/>
  <c r="G193" i="9"/>
  <c r="G193" i="4"/>
  <c r="G192" i="4"/>
  <c r="G194" i="4" s="1"/>
  <c r="G171" i="4"/>
  <c r="G184" i="4"/>
  <c r="G180" i="4"/>
  <c r="G183" i="4" s="1"/>
  <c r="G185" i="4" s="1"/>
  <c r="V192" i="8"/>
  <c r="V194" i="8" s="1"/>
  <c r="V193" i="8"/>
  <c r="V183" i="8"/>
  <c r="V184" i="8"/>
  <c r="V175" i="8"/>
  <c r="V174" i="8"/>
  <c r="V176" i="8" s="1"/>
  <c r="Q192" i="8"/>
  <c r="Q194" i="8" s="1"/>
  <c r="Q193" i="8"/>
  <c r="Q180" i="8"/>
  <c r="Q183" i="8" s="1"/>
  <c r="Q184" i="8"/>
  <c r="Q175" i="8"/>
  <c r="Q174" i="8"/>
  <c r="L184" i="8"/>
  <c r="L183" i="8"/>
  <c r="L185" i="8" s="1"/>
  <c r="L192" i="8"/>
  <c r="L193" i="8"/>
  <c r="L175" i="8"/>
  <c r="L174" i="8"/>
  <c r="L176" i="8" s="1"/>
  <c r="G184" i="8"/>
  <c r="G183" i="8"/>
  <c r="G192" i="8"/>
  <c r="G193" i="8"/>
  <c r="G175" i="8"/>
  <c r="G174" i="8"/>
  <c r="G176" i="8" s="1"/>
  <c r="V192" i="7"/>
  <c r="V194" i="7" s="1"/>
  <c r="V193" i="7"/>
  <c r="V175" i="7"/>
  <c r="V174" i="7"/>
  <c r="V176" i="7" s="1"/>
  <c r="V183" i="7"/>
  <c r="V185" i="7" s="1"/>
  <c r="V184" i="7"/>
  <c r="Q175" i="7"/>
  <c r="Q176" i="7"/>
  <c r="Q180" i="7"/>
  <c r="Q183" i="7" s="1"/>
  <c r="Q184" i="7"/>
  <c r="Q192" i="7"/>
  <c r="Q193" i="7"/>
  <c r="L175" i="7"/>
  <c r="L174" i="7"/>
  <c r="L192" i="7"/>
  <c r="L193" i="7"/>
  <c r="L183" i="7"/>
  <c r="L185" i="7" s="1"/>
  <c r="L184" i="7"/>
  <c r="G192" i="7"/>
  <c r="G193" i="7"/>
  <c r="G184" i="7"/>
  <c r="G183" i="7"/>
  <c r="G175" i="7"/>
  <c r="G174" i="7"/>
  <c r="G176" i="7" s="1"/>
  <c r="G180" i="2"/>
  <c r="G183" i="2" s="1"/>
  <c r="G184" i="2"/>
  <c r="G189" i="2"/>
  <c r="G192" i="2" s="1"/>
  <c r="G193" i="2"/>
  <c r="G175" i="2"/>
  <c r="G171" i="2"/>
  <c r="G174" i="2" s="1"/>
  <c r="G176" i="2" s="1"/>
  <c r="P184" i="5"/>
  <c r="P183" i="5"/>
  <c r="P185" i="5" s="1"/>
  <c r="P193" i="5"/>
  <c r="P194" i="5" s="1"/>
  <c r="P175" i="5"/>
  <c r="P171" i="5"/>
  <c r="P174" i="5" s="1"/>
  <c r="P176" i="5" s="1"/>
  <c r="K175" i="5"/>
  <c r="K171" i="5"/>
  <c r="K174" i="5" s="1"/>
  <c r="K176" i="5" s="1"/>
  <c r="K184" i="5"/>
  <c r="K180" i="5"/>
  <c r="K183" i="5" s="1"/>
  <c r="K185" i="5" s="1"/>
  <c r="K193" i="5"/>
  <c r="K189" i="5"/>
  <c r="K192" i="5" s="1"/>
  <c r="K194" i="5" s="1"/>
  <c r="G185" i="8" l="1"/>
  <c r="O185" i="9"/>
  <c r="N197" i="9" s="1"/>
  <c r="G185" i="9"/>
  <c r="G194" i="9"/>
  <c r="F197" i="9" s="1"/>
  <c r="V185" i="8"/>
  <c r="Q185" i="8"/>
  <c r="Q176" i="8"/>
  <c r="L194" i="8"/>
  <c r="G194" i="8"/>
  <c r="F197" i="8" s="1"/>
  <c r="G194" i="2"/>
  <c r="U197" i="7"/>
  <c r="Q185" i="7"/>
  <c r="Q194" i="7"/>
  <c r="P197" i="7" s="1"/>
  <c r="L194" i="7"/>
  <c r="L176" i="7"/>
  <c r="G194" i="7"/>
  <c r="G185" i="7"/>
  <c r="G185" i="2"/>
  <c r="F197" i="2" s="1"/>
  <c r="O197" i="5"/>
  <c r="J197" i="5"/>
  <c r="K197" i="7" l="1"/>
  <c r="K174" i="9"/>
  <c r="K175" i="9"/>
  <c r="K176" i="9" l="1"/>
  <c r="J197" i="9" s="1"/>
  <c r="K184" i="9"/>
  <c r="K183" i="9"/>
  <c r="K185" i="9" l="1"/>
  <c r="K193" i="9"/>
  <c r="K192" i="9"/>
  <c r="K194" i="9" s="1"/>
  <c r="O175" i="11"/>
  <c r="O176" i="11" l="1"/>
  <c r="O193" i="11"/>
  <c r="O192" i="11"/>
  <c r="O194" i="11" s="1"/>
  <c r="O182" i="15"/>
  <c r="N182" i="15"/>
  <c r="O180" i="15"/>
  <c r="O183" i="15"/>
  <c r="O185" i="15"/>
  <c r="N197" i="15"/>
  <c r="O180" i="11"/>
  <c r="O183" i="11"/>
  <c r="O185" i="11"/>
  <c r="N197" i="11"/>
  <c r="O181" i="11"/>
  <c r="N181" i="11"/>
  <c r="O184" i="15"/>
  <c r="N180" i="15"/>
  <c r="N181" i="15"/>
  <c r="O181" i="15"/>
  <c r="O182" i="11"/>
  <c r="N182" i="11"/>
  <c r="N180" i="11"/>
  <c r="O184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<sst xmlns="http://schemas.openxmlformats.org/spreadsheetml/2006/main" count="3341" uniqueCount="234">
  <si>
    <t>Nama</t>
  </si>
  <si>
    <t>Usia</t>
  </si>
  <si>
    <t>Lama Rawat Inap</t>
  </si>
  <si>
    <t>Jumlah Kasus Perbulan</t>
  </si>
  <si>
    <t>Jenis Kelamin</t>
  </si>
  <si>
    <t>Tingkat Resiko</t>
  </si>
  <si>
    <t>Neni Sumetria</t>
  </si>
  <si>
    <t>Sedang</t>
  </si>
  <si>
    <t>Malki Amron</t>
  </si>
  <si>
    <t>Arifa Qyaratul</t>
  </si>
  <si>
    <t>Rezki Mhd</t>
  </si>
  <si>
    <t>Selfiolla</t>
  </si>
  <si>
    <t xml:space="preserve">M.Albiruni </t>
  </si>
  <si>
    <t>Yurika Azarine</t>
  </si>
  <si>
    <t>Rahmad Ihtiar</t>
  </si>
  <si>
    <t>Tiara Endiwa</t>
  </si>
  <si>
    <t>Boby</t>
  </si>
  <si>
    <t>Defi Putri</t>
  </si>
  <si>
    <t>Nini Efriza</t>
  </si>
  <si>
    <t>Novi Agus</t>
  </si>
  <si>
    <t>Rendah</t>
  </si>
  <si>
    <t>Siska Rahmadani</t>
  </si>
  <si>
    <t>Kalmani</t>
  </si>
  <si>
    <t>Nayra Dhika</t>
  </si>
  <si>
    <t>Andri Naldi</t>
  </si>
  <si>
    <t>Qhanita Nur</t>
  </si>
  <si>
    <t>Shecillia Hanifah</t>
  </si>
  <si>
    <t>Haziq Arsyad</t>
  </si>
  <si>
    <t>Naira Giska</t>
  </si>
  <si>
    <t>Eko Ady</t>
  </si>
  <si>
    <t>Suwarni</t>
  </si>
  <si>
    <t>Mayang</t>
  </si>
  <si>
    <t>Janibar</t>
  </si>
  <si>
    <t>Hendra Wadi</t>
  </si>
  <si>
    <t>Heru Pratama</t>
  </si>
  <si>
    <t>Ade Sepriyanto</t>
  </si>
  <si>
    <t>Diendri Barakta</t>
  </si>
  <si>
    <t>Suwardi</t>
  </si>
  <si>
    <t>Emelya Nora</t>
  </si>
  <si>
    <t>Eosel Rizkia</t>
  </si>
  <si>
    <t>Warmaneti</t>
  </si>
  <si>
    <t>Yandril</t>
  </si>
  <si>
    <t>Romy Herina</t>
  </si>
  <si>
    <t>Ilham Saputra</t>
  </si>
  <si>
    <t>Berli Simanjuntak</t>
  </si>
  <si>
    <t>M. Hafiz</t>
  </si>
  <si>
    <t>Yusril</t>
  </si>
  <si>
    <t>Anggifa Fitria</t>
  </si>
  <si>
    <t>Abdul Fikri</t>
  </si>
  <si>
    <t>Refa Anggraini</t>
  </si>
  <si>
    <t>Dosil Abdul</t>
  </si>
  <si>
    <t>Zulkifli</t>
  </si>
  <si>
    <t>Nurhayati</t>
  </si>
  <si>
    <t>Muhara Mulya</t>
  </si>
  <si>
    <t>Basri</t>
  </si>
  <si>
    <t>Yuharni</t>
  </si>
  <si>
    <t>Tiara Putri</t>
  </si>
  <si>
    <t>Afria Puspa</t>
  </si>
  <si>
    <t>Zeinal Efendi</t>
  </si>
  <si>
    <t>David Eka Putra</t>
  </si>
  <si>
    <t>Khaira Umamah</t>
  </si>
  <si>
    <t>Yusuf Andrian</t>
  </si>
  <si>
    <t>Riva Afrilliana</t>
  </si>
  <si>
    <t>Rizal Putra</t>
  </si>
  <si>
    <t>Olivia Kirana</t>
  </si>
  <si>
    <t>Fitri Novita</t>
  </si>
  <si>
    <t>Elianti</t>
  </si>
  <si>
    <t>Reza Refninda</t>
  </si>
  <si>
    <t>Fauzan</t>
  </si>
  <si>
    <t xml:space="preserve"> El Alisa Putri</t>
  </si>
  <si>
    <t>Sirat</t>
  </si>
  <si>
    <t>Emi</t>
  </si>
  <si>
    <t>Rezky</t>
  </si>
  <si>
    <t>Mhd Rivaldo</t>
  </si>
  <si>
    <t>Sri Suhermi</t>
  </si>
  <si>
    <t>Syaifullah</t>
  </si>
  <si>
    <t>Riwanto</t>
  </si>
  <si>
    <t xml:space="preserve">Yunizar </t>
  </si>
  <si>
    <t>Aqlan Havizh</t>
  </si>
  <si>
    <t>Dzacky Claresta</t>
  </si>
  <si>
    <t>Arumi Putri</t>
  </si>
  <si>
    <t>Ibnu Sadri</t>
  </si>
  <si>
    <t>Deliana</t>
  </si>
  <si>
    <t>Zakra</t>
  </si>
  <si>
    <t>Ulfa Oktavia</t>
  </si>
  <si>
    <t>Nafilsa Abdul</t>
  </si>
  <si>
    <t>Mulyadi</t>
  </si>
  <si>
    <t>Fadli Kurniawan</t>
  </si>
  <si>
    <t>Oktavianus</t>
  </si>
  <si>
    <t>Nipralaini</t>
  </si>
  <si>
    <t>Marzoni</t>
  </si>
  <si>
    <t>Putri Maylia</t>
  </si>
  <si>
    <t>Muthi Navisa</t>
  </si>
  <si>
    <t xml:space="preserve">Mutia Diva </t>
  </si>
  <si>
    <t>Anugrah Illahi</t>
  </si>
  <si>
    <t>Mon Sri</t>
  </si>
  <si>
    <t>Surya Masalfi</t>
  </si>
  <si>
    <t>Tinggi</t>
  </si>
  <si>
    <t>Aat Kusmayadi</t>
  </si>
  <si>
    <t>Fitria Anita</t>
  </si>
  <si>
    <t>Rosavita</t>
  </si>
  <si>
    <t>Jauza Jahira</t>
  </si>
  <si>
    <t>Menzo Khaira</t>
  </si>
  <si>
    <t>Zulfa Yenti</t>
  </si>
  <si>
    <t>Syahlan Yuanda</t>
  </si>
  <si>
    <t>Kenzi Romanja</t>
  </si>
  <si>
    <t>Abdurrahman As Saoli</t>
  </si>
  <si>
    <t>Aisyah Difani</t>
  </si>
  <si>
    <t>Rosli Asamara</t>
  </si>
  <si>
    <t>Lisma Erni</t>
  </si>
  <si>
    <t>Rahmi</t>
  </si>
  <si>
    <t>Eki Hendra</t>
  </si>
  <si>
    <t>Yusbardar</t>
  </si>
  <si>
    <t>Aris Lucky</t>
  </si>
  <si>
    <t>Murniaty</t>
  </si>
  <si>
    <t>Agus</t>
  </si>
  <si>
    <t>Indra Melvi</t>
  </si>
  <si>
    <t>Musliadi</t>
  </si>
  <si>
    <t>Ulfa Alifia</t>
  </si>
  <si>
    <t>Martias</t>
  </si>
  <si>
    <t>Masri</t>
  </si>
  <si>
    <t>Dzikra Maulana</t>
  </si>
  <si>
    <t>Indra Mastari</t>
  </si>
  <si>
    <t>Budi Kargo</t>
  </si>
  <si>
    <t>Adril Yusuf</t>
  </si>
  <si>
    <t>M. Fatih</t>
  </si>
  <si>
    <t>Nila Purnama Sari</t>
  </si>
  <si>
    <t>Edo Madani</t>
  </si>
  <si>
    <t>Idris</t>
  </si>
  <si>
    <t>Randi</t>
  </si>
  <si>
    <t>Destia Izani</t>
  </si>
  <si>
    <t>M. Raihan</t>
  </si>
  <si>
    <t>Widya Anggraini</t>
  </si>
  <si>
    <t>Misrita Indra</t>
  </si>
  <si>
    <t>Sintia</t>
  </si>
  <si>
    <t>Irmalinda</t>
  </si>
  <si>
    <t>Andini Putri</t>
  </si>
  <si>
    <t>Siti Aisyah</t>
  </si>
  <si>
    <t>Naura Salsabila</t>
  </si>
  <si>
    <t>Reza Chaniago</t>
  </si>
  <si>
    <t>Humaira Denifa</t>
  </si>
  <si>
    <t>Azzam</t>
  </si>
  <si>
    <t>Adha Lestari</t>
  </si>
  <si>
    <t>Nadira Puti</t>
  </si>
  <si>
    <t>Reza Andriansyah</t>
  </si>
  <si>
    <t>Rafael Sebastian</t>
  </si>
  <si>
    <t>Yulia Neri</t>
  </si>
  <si>
    <t>Rajab</t>
  </si>
  <si>
    <t>Widya Mayang</t>
  </si>
  <si>
    <t>Rahmat Fitra</t>
  </si>
  <si>
    <t>Alvin Noradilla</t>
  </si>
  <si>
    <t>Zhaya</t>
  </si>
  <si>
    <t>Ahmad Faizin</t>
  </si>
  <si>
    <t xml:space="preserve">Asrizal </t>
  </si>
  <si>
    <t>Yunaldi</t>
  </si>
  <si>
    <t>Yanti Devina</t>
  </si>
  <si>
    <t>Syafrizal</t>
  </si>
  <si>
    <t>Weri Oktavia</t>
  </si>
  <si>
    <t>Zulkarnain</t>
  </si>
  <si>
    <t>Zainal Abidin</t>
  </si>
  <si>
    <t>Kendi Cahya</t>
  </si>
  <si>
    <t>Budiyono</t>
  </si>
  <si>
    <t>Najwa</t>
  </si>
  <si>
    <t>Abdul Aziz</t>
  </si>
  <si>
    <t>Hanifa Puti</t>
  </si>
  <si>
    <t>Celsi Sapira</t>
  </si>
  <si>
    <t>Anita Puspita</t>
  </si>
  <si>
    <t>Diffa Cayriful</t>
  </si>
  <si>
    <t>Febrianto Angger</t>
  </si>
  <si>
    <t>Desrizal</t>
  </si>
  <si>
    <t>Aprillia Khairunnisa</t>
  </si>
  <si>
    <t>No</t>
  </si>
  <si>
    <t>Jumlah Kasus Per Bulan</t>
  </si>
  <si>
    <t>Perhitungan root</t>
  </si>
  <si>
    <t>Entropy Root</t>
  </si>
  <si>
    <t>USIA</t>
  </si>
  <si>
    <t>LAMA RAWAT INAP</t>
  </si>
  <si>
    <t>JUMLAH KASUS PER BULAN</t>
  </si>
  <si>
    <t>JENIS KELAMIN</t>
  </si>
  <si>
    <t>Lama rawat inap</t>
  </si>
  <si>
    <t>Jumlah kasus perbulan</t>
  </si>
  <si>
    <t>Jenis kelamin</t>
  </si>
  <si>
    <t>Kanan &gt; 55.5</t>
  </si>
  <si>
    <t>Kanan &gt; 4.5</t>
  </si>
  <si>
    <t>Kanan &gt; 28.4</t>
  </si>
  <si>
    <t>Kanan &gt; 1</t>
  </si>
  <si>
    <t>Entropy</t>
  </si>
  <si>
    <t>Kiri&lt;17.96</t>
  </si>
  <si>
    <t>Kiri&lt;2.65</t>
  </si>
  <si>
    <t>Kiri&lt;13.35</t>
  </si>
  <si>
    <t>Kiri&lt;0</t>
  </si>
  <si>
    <t>Tengah</t>
  </si>
  <si>
    <t>IG</t>
  </si>
  <si>
    <t>Kanan &gt; 54.4</t>
  </si>
  <si>
    <t>Kanan &gt; 4.74</t>
  </si>
  <si>
    <t>Kiri&lt;16.61</t>
  </si>
  <si>
    <t>Kiri&lt;2.61</t>
  </si>
  <si>
    <t>Kanan &gt; 4.68</t>
  </si>
  <si>
    <t>Kiri&lt;2.44</t>
  </si>
  <si>
    <t>Kanan &gt; 54.7</t>
  </si>
  <si>
    <t>Kiri&lt;17.15</t>
  </si>
  <si>
    <t>Kanan &gt; 4.72</t>
  </si>
  <si>
    <t>Kiri&lt;2.48</t>
  </si>
  <si>
    <t>Kanan &gt; 29.21</t>
  </si>
  <si>
    <t>Kiri&lt;12.60</t>
  </si>
  <si>
    <t>Kanan &gt; 51.19</t>
  </si>
  <si>
    <t>Kiri&lt;16.82</t>
  </si>
  <si>
    <t>Kanan &gt; 4.73</t>
  </si>
  <si>
    <t>Kiri&lt;2.37</t>
  </si>
  <si>
    <t>Kanan &gt; 25.95</t>
  </si>
  <si>
    <t>Kiri&lt;11.31</t>
  </si>
  <si>
    <t>Kanan &gt; 53.39</t>
  </si>
  <si>
    <t>Kiri&lt;17.31</t>
  </si>
  <si>
    <t>Kiri&lt;2.49</t>
  </si>
  <si>
    <t>Kanan &gt; 4.48</t>
  </si>
  <si>
    <t>Kanan &gt; 52.01</t>
  </si>
  <si>
    <t>Kiri&lt;14.78</t>
  </si>
  <si>
    <t>Kanan &gt; 4.6</t>
  </si>
  <si>
    <t>Kiri&lt;2.50</t>
  </si>
  <si>
    <t>Kanan &gt; 24.90</t>
  </si>
  <si>
    <t>Kiri&lt;11.77</t>
  </si>
  <si>
    <t>Kanan &gt; 54.61</t>
  </si>
  <si>
    <t>Kanan &gt; 4.80</t>
  </si>
  <si>
    <t>Kiri&lt;2.4</t>
  </si>
  <si>
    <t>Kanan &gt; 4.63</t>
  </si>
  <si>
    <t>Kiri&lt;2.47</t>
  </si>
  <si>
    <t>Kiri&lt;2.5</t>
  </si>
  <si>
    <t>Kiri&lt;16.08</t>
  </si>
  <si>
    <t>Kanan &gt; 4.67</t>
  </si>
  <si>
    <t>Kanan &gt; 55.47</t>
  </si>
  <si>
    <t>Kiri&lt;15.89</t>
  </si>
  <si>
    <t>Kanan &gt; 52.6</t>
  </si>
  <si>
    <t>Kiri&lt;15.70</t>
  </si>
  <si>
    <t>Kanan &gt; 54.27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</si>
</sst>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2" borderId="0" xfId="0" applyFill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/>
    <xf numFmtId="0" fontId="0" fillId="0" borderId="2" xfId="0" applyBorder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1"/>
    <xf numFmtId="0" fontId="1" fillId="0" borderId="1" xfId="1" applyBorder="1" applyAlignment="1">
      <alignment horizontal="center"/>
    </xf>
    <xf numFmtId="0" fontId="1" fillId="4" borderId="1" xfId="1" applyFill="1" applyBorder="1" applyAlignment="1">
      <alignment horizontal="center"/>
    </xf>
    <xf numFmtId="0" fontId="1" fillId="3" borderId="1" xfId="1" applyFill="1" applyBorder="1" applyAlignment="1">
      <alignment horizontal="center"/>
    </xf>
    <xf numFmtId="0" fontId="1" fillId="2" borderId="0" xfId="1" applyFill="1"/>
    <xf numFmtId="0" fontId="1" fillId="0" borderId="1" xfId="1" applyBorder="1" applyAlignment="1">
      <alignment horizontal="center" vertical="top"/>
    </xf>
    <xf numFmtId="0" fontId="1" fillId="0" borderId="2" xfId="1" applyBorder="1"/>
    <xf numFmtId="0" fontId="1" fillId="0" borderId="1" xfId="1" applyBorder="1"/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top"/>
    </xf>
    <xf numFmtId="0" fontId="1" fillId="5" borderId="0" xfId="1" applyFill="1"/>
    <xf numFmtId="0" fontId="1" fillId="0" borderId="0" xfId="1" applyAlignment="1">
      <alignment horizontal="center"/>
    </xf>
    <xf numFmtId="0" fontId="5" fillId="0" borderId="0" xfId="1" applyFont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3" xfId="0" applyBorder="1"/>
    <xf numFmtId="0" fontId="0" fillId="0" borderId="4" xfId="0" applyBorder="1"/>
  </cellXfs>
  <cellStyles count="2">
    <cellStyle name="Normal" xfId="0" builtinId="0"/>
    <cellStyle name="Normal 2" xfId="1" xr:uid="{C29D87E9-5A46-49B8-9255-8AD6C5C9F80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317658</xdr:colOff>
      <xdr:row>64</xdr:row>
      <xdr:rowOff>0</xdr:rowOff>
    </xdr:from>
    <xdr:to>
      <xdr:col>19</xdr:col>
      <xdr:colOff>762000</xdr:colOff>
      <xdr:row>68</xdr:row>
      <xdr:rowOff>7793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6729075" y="12192000"/>
          <a:ext cx="1644650" cy="76962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16</xdr:col>
      <xdr:colOff>928687</xdr:colOff>
      <xdr:row>67</xdr:row>
      <xdr:rowOff>85559</xdr:rowOff>
    </xdr:from>
    <xdr:to>
      <xdr:col>17</xdr:col>
      <xdr:colOff>557093</xdr:colOff>
      <xdr:row>70</xdr:row>
      <xdr:rowOff>11906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>
          <a:stCxn id="2" idx="3"/>
        </xdr:cNvCxnSpPr>
      </xdr:nvCxnSpPr>
      <xdr:spPr>
        <a:xfrm flipH="1">
          <a:off x="17025937" y="12849059"/>
          <a:ext cx="807125" cy="497847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466725</xdr:colOff>
      <xdr:row>67</xdr:row>
      <xdr:rowOff>188768</xdr:rowOff>
    </xdr:from>
    <xdr:to>
      <xdr:col>18</xdr:col>
      <xdr:colOff>520779</xdr:colOff>
      <xdr:row>71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/>
      </xdr:nvCxnSpPr>
      <xdr:spPr>
        <a:xfrm flipH="1">
          <a:off x="17478375" y="12952095"/>
          <a:ext cx="53975" cy="6477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518380</xdr:colOff>
      <xdr:row>67</xdr:row>
      <xdr:rowOff>85559</xdr:rowOff>
    </xdr:from>
    <xdr:to>
      <xdr:col>19</xdr:col>
      <xdr:colOff>1085850</xdr:colOff>
      <xdr:row>70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CxnSpPr>
          <a:stCxn id="2" idx="5"/>
        </xdr:cNvCxnSpPr>
      </xdr:nvCxnSpPr>
      <xdr:spPr>
        <a:xfrm>
          <a:off x="18129885" y="12848590"/>
          <a:ext cx="567690" cy="4940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392907</xdr:colOff>
      <xdr:row>70</xdr:row>
      <xdr:rowOff>7793</xdr:rowOff>
    </xdr:from>
    <xdr:to>
      <xdr:col>17</xdr:col>
      <xdr:colOff>178594</xdr:colOff>
      <xdr:row>72</xdr:row>
      <xdr:rowOff>103044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16490157" y="13342793"/>
          <a:ext cx="964406" cy="476251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46 Sedang</a:t>
          </a:r>
        </a:p>
        <a:p>
          <a:pPr algn="l"/>
          <a:r>
            <a:rPr lang="en-US" sz="1100" baseline="0"/>
            <a:t>11 Rendah</a:t>
          </a:r>
          <a:endParaRPr lang="en-US" sz="1100"/>
        </a:p>
      </xdr:txBody>
    </xdr:sp>
    <xdr:clientData/>
  </xdr:twoCellAnchor>
  <xdr:oneCellAnchor>
    <xdr:from>
      <xdr:col>16</xdr:col>
      <xdr:colOff>821531</xdr:colOff>
      <xdr:row>67</xdr:row>
      <xdr:rowOff>148288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16918781" y="12911788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&lt;13,35</a:t>
          </a:r>
          <a:endParaRPr lang="en-US">
            <a:effectLst/>
          </a:endParaRPr>
        </a:p>
      </xdr:txBody>
    </xdr:sp>
    <xdr:clientData/>
  </xdr:oneCellAnchor>
  <xdr:oneCellAnchor>
    <xdr:from>
      <xdr:col>17</xdr:col>
      <xdr:colOff>581025</xdr:colOff>
      <xdr:row>68</xdr:row>
      <xdr:rowOff>131619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0000000-0008-0000-0100-000008000000}"/>
                </a:ext>
              </a:extLst>
            </xdr:cNvPr>
            <xdr:cNvSpPr txBox="1"/>
          </xdr:nvSpPr>
          <xdr:spPr>
            <a:xfrm>
              <a:off x="16992600" y="13085445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13,35 - &gt; 28,4</a:t>
              </a:r>
            </a:p>
          </xdr:txBody>
        </xdr:sp>
      </mc:Choice>
      <mc:Fallback xmlns:r="http://schemas.openxmlformats.org/officeDocument/2006/relationships" xmlns="">
        <xdr:sp>
          <xdr:nvSpPr>
            <xdr:cNvPr id="8" name="TextBox 7"/>
            <xdr:cNvSpPr txBox="1"/>
          </xdr:nvSpPr>
          <xdr:spPr>
            <a:xfrm>
              <a:off x="16992600" y="13085445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13,35 - &gt; 28,4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18</xdr:col>
      <xdr:colOff>57150</xdr:colOff>
      <xdr:row>71</xdr:row>
      <xdr:rowOff>64943</xdr:rowOff>
    </xdr:from>
    <xdr:to>
      <xdr:col>19</xdr:col>
      <xdr:colOff>352425</xdr:colOff>
      <xdr:row>73</xdr:row>
      <xdr:rowOff>141144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17068800" y="13590270"/>
          <a:ext cx="895350" cy="4572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40 Tinggi</a:t>
          </a:r>
        </a:p>
        <a:p>
          <a:pPr algn="l"/>
          <a:r>
            <a:rPr lang="en-US" sz="1100" baseline="0"/>
            <a:t>33 Sedang</a:t>
          </a:r>
        </a:p>
      </xdr:txBody>
    </xdr:sp>
    <xdr:clientData/>
  </xdr:twoCellAnchor>
  <xdr:twoCellAnchor>
    <xdr:from>
      <xdr:col>19</xdr:col>
      <xdr:colOff>695326</xdr:colOff>
      <xdr:row>70</xdr:row>
      <xdr:rowOff>7794</xdr:rowOff>
    </xdr:from>
    <xdr:to>
      <xdr:col>19</xdr:col>
      <xdr:colOff>1533526</xdr:colOff>
      <xdr:row>71</xdr:row>
      <xdr:rowOff>160194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18307050" y="13342620"/>
          <a:ext cx="838200" cy="3429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33 </a:t>
          </a:r>
          <a:r>
            <a:rPr lang="en-US" sz="1100"/>
            <a:t>Tinggi</a:t>
          </a:r>
        </a:p>
      </xdr:txBody>
    </xdr:sp>
    <xdr:clientData/>
  </xdr:twoCellAnchor>
  <xdr:oneCellAnchor>
    <xdr:from>
      <xdr:col>19</xdr:col>
      <xdr:colOff>742950</xdr:colOff>
      <xdr:row>67</xdr:row>
      <xdr:rowOff>104775</xdr:rowOff>
    </xdr:from>
    <xdr:ext cx="666750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/>
      </xdr:nvSpPr>
      <xdr:spPr>
        <a:xfrm>
          <a:off x="18354675" y="1286827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&gt;28,4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289083</xdr:colOff>
      <xdr:row>152</xdr:row>
      <xdr:rowOff>152400</xdr:rowOff>
    </xdr:from>
    <xdr:to>
      <xdr:col>19</xdr:col>
      <xdr:colOff>123825</xdr:colOff>
      <xdr:row>156</xdr:row>
      <xdr:rowOff>160193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3366908" y="29108400"/>
          <a:ext cx="1634967" cy="769793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Usia</a:t>
          </a:r>
        </a:p>
      </xdr:txBody>
    </xdr:sp>
    <xdr:clientData/>
  </xdr:twoCellAnchor>
  <xdr:twoCellAnchor>
    <xdr:from>
      <xdr:col>15</xdr:col>
      <xdr:colOff>419100</xdr:colOff>
      <xdr:row>156</xdr:row>
      <xdr:rowOff>47459</xdr:rowOff>
    </xdr:from>
    <xdr:to>
      <xdr:col>16</xdr:col>
      <xdr:colOff>532703</xdr:colOff>
      <xdr:row>158</xdr:row>
      <xdr:rowOff>179244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>
          <a:stCxn id="2" idx="3"/>
        </xdr:cNvCxnSpPr>
      </xdr:nvCxnSpPr>
      <xdr:spPr>
        <a:xfrm flipH="1">
          <a:off x="12896850" y="29765459"/>
          <a:ext cx="713678" cy="51278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466725</xdr:colOff>
      <xdr:row>156</xdr:row>
      <xdr:rowOff>160193</xdr:rowOff>
    </xdr:from>
    <xdr:to>
      <xdr:col>17</xdr:col>
      <xdr:colOff>520779</xdr:colOff>
      <xdr:row>160</xdr:row>
      <xdr:rowOff>45894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CxnSpPr/>
      </xdr:nvCxnSpPr>
      <xdr:spPr>
        <a:xfrm flipH="1">
          <a:off x="14144625" y="29878193"/>
          <a:ext cx="54054" cy="6477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489805</xdr:colOff>
      <xdr:row>156</xdr:row>
      <xdr:rowOff>47459</xdr:rowOff>
    </xdr:from>
    <xdr:to>
      <xdr:col>19</xdr:col>
      <xdr:colOff>447675</xdr:colOff>
      <xdr:row>158</xdr:row>
      <xdr:rowOff>160194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CxnSpPr>
          <a:stCxn id="2" idx="5"/>
        </xdr:cNvCxnSpPr>
      </xdr:nvCxnSpPr>
      <xdr:spPr>
        <a:xfrm>
          <a:off x="14767780" y="29765459"/>
          <a:ext cx="557945" cy="4937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159</xdr:row>
      <xdr:rowOff>26843</xdr:rowOff>
    </xdr:from>
    <xdr:to>
      <xdr:col>16</xdr:col>
      <xdr:colOff>409575</xdr:colOff>
      <xdr:row>162</xdr:row>
      <xdr:rowOff>66675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2477750" y="30316343"/>
          <a:ext cx="1009650" cy="61133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21 Dewasa</a:t>
          </a:r>
        </a:p>
        <a:p>
          <a:pPr algn="l"/>
          <a:r>
            <a:rPr lang="en-US" sz="1100" baseline="0"/>
            <a:t>23 Anak-Anak</a:t>
          </a:r>
        </a:p>
        <a:p>
          <a:pPr algn="l"/>
          <a:r>
            <a:rPr lang="en-US" sz="1100" baseline="0"/>
            <a:t>4 Lansia</a:t>
          </a:r>
          <a:endParaRPr lang="en-US" sz="1100"/>
        </a:p>
      </xdr:txBody>
    </xdr:sp>
    <xdr:clientData/>
  </xdr:twoCellAnchor>
  <xdr:oneCellAnchor>
    <xdr:from>
      <xdr:col>15</xdr:col>
      <xdr:colOff>285750</xdr:colOff>
      <xdr:row>156</xdr:row>
      <xdr:rowOff>83994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12763500" y="29801994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&lt;16,61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892419</xdr:colOff>
      <xdr:row>157</xdr:row>
      <xdr:rowOff>157996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SpPr txBox="1"/>
          </xdr:nvSpPr>
          <xdr:spPr>
            <a:xfrm>
              <a:off x="14199943" y="30354078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16,61 - &gt; 54,4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SpPr txBox="1"/>
          </xdr:nvSpPr>
          <xdr:spPr>
            <a:xfrm>
              <a:off x="14199943" y="30354078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16,61 - &gt; 54,4</a:t>
              </a:r>
            </a:p>
          </xdr:txBody>
        </xdr:sp>
      </mc:Fallback>
    </mc:AlternateContent>
    <xdr:clientData/>
  </xdr:oneCellAnchor>
  <xdr:twoCellAnchor>
    <xdr:from>
      <xdr:col>17</xdr:col>
      <xdr:colOff>57150</xdr:colOff>
      <xdr:row>160</xdr:row>
      <xdr:rowOff>36368</xdr:rowOff>
    </xdr:from>
    <xdr:to>
      <xdr:col>18</xdr:col>
      <xdr:colOff>419100</xdr:colOff>
      <xdr:row>163</xdr:row>
      <xdr:rowOff>152400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13735050" y="30516368"/>
          <a:ext cx="962025" cy="68753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30 Dewasa</a:t>
          </a:r>
        </a:p>
        <a:p>
          <a:pPr algn="l"/>
          <a:r>
            <a:rPr lang="en-US" sz="1100" baseline="0"/>
            <a:t>44 Anak-Anak</a:t>
          </a:r>
        </a:p>
        <a:p>
          <a:pPr algn="l"/>
          <a:r>
            <a:rPr lang="en-US" sz="1100" baseline="0"/>
            <a:t>11 Lansia</a:t>
          </a:r>
        </a:p>
      </xdr:txBody>
    </xdr:sp>
    <xdr:clientData/>
  </xdr:twoCellAnchor>
  <xdr:twoCellAnchor>
    <xdr:from>
      <xdr:col>19</xdr:col>
      <xdr:colOff>85725</xdr:colOff>
      <xdr:row>158</xdr:row>
      <xdr:rowOff>169718</xdr:rowOff>
    </xdr:from>
    <xdr:to>
      <xdr:col>20</xdr:col>
      <xdr:colOff>161924</xdr:colOff>
      <xdr:row>161</xdr:row>
      <xdr:rowOff>95250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15506700" y="30268718"/>
          <a:ext cx="1028699" cy="49703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 Dewasa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16 Anak-Anak</a:t>
          </a:r>
          <a:endParaRPr lang="en-US">
            <a:effectLst/>
          </a:endParaRPr>
        </a:p>
      </xdr:txBody>
    </xdr:sp>
    <xdr:clientData/>
  </xdr:twoCellAnchor>
  <xdr:oneCellAnchor>
    <xdr:from>
      <xdr:col>19</xdr:col>
      <xdr:colOff>133350</xdr:colOff>
      <xdr:row>156</xdr:row>
      <xdr:rowOff>76200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 txBox="1"/>
      </xdr:nvSpPr>
      <xdr:spPr>
        <a:xfrm>
          <a:off x="15011400" y="29794200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&gt;54.4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917733</xdr:colOff>
      <xdr:row>153</xdr:row>
      <xdr:rowOff>0</xdr:rowOff>
    </xdr:from>
    <xdr:to>
      <xdr:col>17</xdr:col>
      <xdr:colOff>276225</xdr:colOff>
      <xdr:row>157</xdr:row>
      <xdr:rowOff>7793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BB1E3430-8A06-41CD-892F-444FB0F358F6}"/>
            </a:ext>
          </a:extLst>
        </xdr:cNvPr>
        <xdr:cNvSpPr/>
      </xdr:nvSpPr>
      <xdr:spPr>
        <a:xfrm>
          <a:off x="12185808" y="29146500"/>
          <a:ext cx="1634967" cy="769793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Lama</a:t>
          </a:r>
          <a:r>
            <a:rPr lang="en-US" sz="1100" baseline="0"/>
            <a:t> Rawat Inap</a:t>
          </a:r>
          <a:endParaRPr lang="en-US" sz="1100"/>
        </a:p>
      </xdr:txBody>
    </xdr:sp>
    <xdr:clientData/>
  </xdr:twoCellAnchor>
  <xdr:twoCellAnchor>
    <xdr:from>
      <xdr:col>16</xdr:col>
      <xdr:colOff>19050</xdr:colOff>
      <xdr:row>157</xdr:row>
      <xdr:rowOff>7793</xdr:rowOff>
    </xdr:from>
    <xdr:to>
      <xdr:col>16</xdr:col>
      <xdr:colOff>73104</xdr:colOff>
      <xdr:row>160</xdr:row>
      <xdr:rowOff>83994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D171F08-46A4-4299-8354-120C1353E139}"/>
            </a:ext>
          </a:extLst>
        </xdr:cNvPr>
        <xdr:cNvCxnSpPr/>
      </xdr:nvCxnSpPr>
      <xdr:spPr>
        <a:xfrm flipH="1">
          <a:off x="12963525" y="29916293"/>
          <a:ext cx="54054" cy="6477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42130</xdr:colOff>
      <xdr:row>156</xdr:row>
      <xdr:rowOff>85559</xdr:rowOff>
    </xdr:from>
    <xdr:to>
      <xdr:col>18</xdr:col>
      <xdr:colOff>0</xdr:colOff>
      <xdr:row>159</xdr:row>
      <xdr:rowOff>7794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4E78808-AC99-4879-9FE8-E1A089CADF06}"/>
            </a:ext>
          </a:extLst>
        </xdr:cNvPr>
        <xdr:cNvCxnSpPr>
          <a:stCxn id="2" idx="5"/>
        </xdr:cNvCxnSpPr>
      </xdr:nvCxnSpPr>
      <xdr:spPr>
        <a:xfrm>
          <a:off x="13586680" y="29803559"/>
          <a:ext cx="557945" cy="4937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28575</xdr:colOff>
      <xdr:row>159</xdr:row>
      <xdr:rowOff>64943</xdr:rowOff>
    </xdr:from>
    <xdr:to>
      <xdr:col>14</xdr:col>
      <xdr:colOff>1038225</xdr:colOff>
      <xdr:row>162</xdr:row>
      <xdr:rowOff>104775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8C6343BC-CCEB-4BF9-88F1-4326388F5183}"/>
            </a:ext>
          </a:extLst>
        </xdr:cNvPr>
        <xdr:cNvSpPr/>
      </xdr:nvSpPr>
      <xdr:spPr>
        <a:xfrm>
          <a:off x="11296650" y="30354443"/>
          <a:ext cx="1009650" cy="61133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23 Sedang</a:t>
          </a:r>
        </a:p>
        <a:p>
          <a:pPr algn="l"/>
          <a:r>
            <a:rPr lang="en-US" sz="1100" baseline="0"/>
            <a:t>9 Lama</a:t>
          </a:r>
        </a:p>
        <a:p>
          <a:pPr algn="l"/>
          <a:r>
            <a:rPr lang="en-US" sz="1100" baseline="0"/>
            <a:t>4 Singkat</a:t>
          </a:r>
          <a:endParaRPr lang="en-US" sz="1100"/>
        </a:p>
      </xdr:txBody>
    </xdr:sp>
    <xdr:clientData/>
  </xdr:twoCellAnchor>
  <xdr:oneCellAnchor>
    <xdr:from>
      <xdr:col>14</xdr:col>
      <xdr:colOff>314325</xdr:colOff>
      <xdr:row>156</xdr:row>
      <xdr:rowOff>122094</xdr:rowOff>
    </xdr:from>
    <xdr:ext cx="66675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84BA93C-209E-4F33-8CF3-6F804859C8B9}"/>
            </a:ext>
          </a:extLst>
        </xdr:cNvPr>
        <xdr:cNvSpPr txBox="1"/>
      </xdr:nvSpPr>
      <xdr:spPr>
        <a:xfrm>
          <a:off x="11582400" y="29840094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&lt;2,44</a:t>
          </a:r>
          <a:endParaRPr lang="en-US">
            <a:effectLst/>
          </a:endParaRPr>
        </a:p>
      </xdr:txBody>
    </xdr:sp>
    <xdr:clientData/>
  </xdr:oneCellAnchor>
  <xdr:oneCellAnchor>
    <xdr:from>
      <xdr:col>15</xdr:col>
      <xdr:colOff>133350</xdr:colOff>
      <xdr:row>157</xdr:row>
      <xdr:rowOff>141144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72E38F7F-3F30-4D68-86C5-FB1D34D2DD4A}"/>
                </a:ext>
              </a:extLst>
            </xdr:cNvPr>
            <xdr:cNvSpPr txBox="1"/>
          </xdr:nvSpPr>
          <xdr:spPr>
            <a:xfrm>
              <a:off x="12477750" y="30049644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2,44</m:t>
                  </m:r>
                </m:oMath>
              </a14:m>
              <a:r>
                <a:rPr lang="en-US" sz="1100"/>
                <a:t> - &gt; 4,68</a:t>
              </a: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72E38F7F-3F30-4D68-86C5-FB1D34D2DD4A}"/>
                </a:ext>
              </a:extLst>
            </xdr:cNvPr>
            <xdr:cNvSpPr txBox="1"/>
          </xdr:nvSpPr>
          <xdr:spPr>
            <a:xfrm>
              <a:off x="12477750" y="30049644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2,44</a:t>
              </a:r>
              <a:r>
                <a:rPr lang="en-US" sz="1100"/>
                <a:t> - &gt; 4,68</a:t>
              </a:r>
            </a:p>
          </xdr:txBody>
        </xdr:sp>
      </mc:Fallback>
    </mc:AlternateContent>
    <xdr:clientData/>
  </xdr:oneCellAnchor>
  <xdr:twoCellAnchor>
    <xdr:from>
      <xdr:col>15</xdr:col>
      <xdr:colOff>209550</xdr:colOff>
      <xdr:row>160</xdr:row>
      <xdr:rowOff>74468</xdr:rowOff>
    </xdr:from>
    <xdr:to>
      <xdr:col>16</xdr:col>
      <xdr:colOff>571500</xdr:colOff>
      <xdr:row>164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9D48A53-37FD-4358-AA68-E4F7C7969AE9}"/>
            </a:ext>
          </a:extLst>
        </xdr:cNvPr>
        <xdr:cNvSpPr/>
      </xdr:nvSpPr>
      <xdr:spPr>
        <a:xfrm>
          <a:off x="12553950" y="30554468"/>
          <a:ext cx="962025" cy="68753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28 Sedang</a:t>
          </a:r>
        </a:p>
        <a:p>
          <a:pPr algn="l"/>
          <a:r>
            <a:rPr lang="en-US" sz="1100" baseline="0"/>
            <a:t>54 Lama</a:t>
          </a:r>
        </a:p>
        <a:p>
          <a:pPr algn="l"/>
          <a:r>
            <a:rPr lang="en-US" sz="1100" baseline="0"/>
            <a:t>5 Singkat</a:t>
          </a:r>
        </a:p>
      </xdr:txBody>
    </xdr:sp>
    <xdr:clientData/>
  </xdr:twoCellAnchor>
  <xdr:twoCellAnchor>
    <xdr:from>
      <xdr:col>17</xdr:col>
      <xdr:colOff>238125</xdr:colOff>
      <xdr:row>159</xdr:row>
      <xdr:rowOff>17318</xdr:rowOff>
    </xdr:from>
    <xdr:to>
      <xdr:col>19</xdr:col>
      <xdr:colOff>66674</xdr:colOff>
      <xdr:row>162</xdr:row>
      <xdr:rowOff>95250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DC918DD1-817E-47CD-8321-D52EBAD58CF1}"/>
            </a:ext>
          </a:extLst>
        </xdr:cNvPr>
        <xdr:cNvSpPr/>
      </xdr:nvSpPr>
      <xdr:spPr>
        <a:xfrm>
          <a:off x="13782675" y="30306818"/>
          <a:ext cx="1028699" cy="64943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19 Sedang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18 Lama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Singkat</a:t>
          </a:r>
          <a:endParaRPr lang="en-US">
            <a:effectLst/>
          </a:endParaRPr>
        </a:p>
      </xdr:txBody>
    </xdr:sp>
    <xdr:clientData/>
  </xdr:twoCellAnchor>
  <xdr:oneCellAnchor>
    <xdr:from>
      <xdr:col>17</xdr:col>
      <xdr:colOff>257175</xdr:colOff>
      <xdr:row>156</xdr:row>
      <xdr:rowOff>114300</xdr:rowOff>
    </xdr:from>
    <xdr:ext cx="666750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80FADE0-E4FC-45E3-8BDC-0520BBD3665B}"/>
            </a:ext>
          </a:extLst>
        </xdr:cNvPr>
        <xdr:cNvSpPr txBox="1"/>
      </xdr:nvSpPr>
      <xdr:spPr>
        <a:xfrm>
          <a:off x="13801725" y="29832300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&gt;4.68</a:t>
          </a:r>
        </a:p>
      </xdr:txBody>
    </xdr:sp>
    <xdr:clientData/>
  </xdr:oneCellAnchor>
  <xdr:twoCellAnchor>
    <xdr:from>
      <xdr:col>14</xdr:col>
      <xdr:colOff>485775</xdr:colOff>
      <xdr:row>156</xdr:row>
      <xdr:rowOff>104775</xdr:rowOff>
    </xdr:from>
    <xdr:to>
      <xdr:col>15</xdr:col>
      <xdr:colOff>123128</xdr:colOff>
      <xdr:row>159</xdr:row>
      <xdr:rowOff>46060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EE9DE11F-B83C-4580-873F-E6BEFDEA775F}"/>
            </a:ext>
          </a:extLst>
        </xdr:cNvPr>
        <xdr:cNvCxnSpPr/>
      </xdr:nvCxnSpPr>
      <xdr:spPr>
        <a:xfrm flipH="1">
          <a:off x="11753850" y="29822775"/>
          <a:ext cx="713678" cy="51278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157</xdr:row>
      <xdr:rowOff>0</xdr:rowOff>
    </xdr:from>
    <xdr:to>
      <xdr:col>15</xdr:col>
      <xdr:colOff>272892</xdr:colOff>
      <xdr:row>161</xdr:row>
      <xdr:rowOff>7793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634B9D43-0435-4E81-A2BF-1C6EAE758AB7}"/>
            </a:ext>
          </a:extLst>
        </xdr:cNvPr>
        <xdr:cNvSpPr/>
      </xdr:nvSpPr>
      <xdr:spPr>
        <a:xfrm>
          <a:off x="9896475" y="29908500"/>
          <a:ext cx="1634967" cy="769793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Jenis</a:t>
          </a:r>
          <a:r>
            <a:rPr lang="en-US" sz="1100" baseline="0"/>
            <a:t> Kelamin</a:t>
          </a:r>
          <a:endParaRPr lang="en-US" sz="1100"/>
        </a:p>
      </xdr:txBody>
    </xdr:sp>
    <xdr:clientData/>
  </xdr:twoCellAnchor>
  <xdr:twoCellAnchor>
    <xdr:from>
      <xdr:col>14</xdr:col>
      <xdr:colOff>168117</xdr:colOff>
      <xdr:row>161</xdr:row>
      <xdr:rowOff>7793</xdr:rowOff>
    </xdr:from>
    <xdr:to>
      <xdr:col>14</xdr:col>
      <xdr:colOff>222171</xdr:colOff>
      <xdr:row>164</xdr:row>
      <xdr:rowOff>83994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794A632C-8C88-4E01-8BC7-F680FCFA2ABC}"/>
            </a:ext>
          </a:extLst>
        </xdr:cNvPr>
        <xdr:cNvCxnSpPr/>
      </xdr:nvCxnSpPr>
      <xdr:spPr>
        <a:xfrm flipH="1">
          <a:off x="10674192" y="30678293"/>
          <a:ext cx="54054" cy="6477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38797</xdr:colOff>
      <xdr:row>160</xdr:row>
      <xdr:rowOff>85559</xdr:rowOff>
    </xdr:from>
    <xdr:to>
      <xdr:col>15</xdr:col>
      <xdr:colOff>596742</xdr:colOff>
      <xdr:row>163</xdr:row>
      <xdr:rowOff>7794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695CD638-F505-4629-944D-05CD5F2006A4}"/>
            </a:ext>
          </a:extLst>
        </xdr:cNvPr>
        <xdr:cNvCxnSpPr>
          <a:stCxn id="9" idx="5"/>
        </xdr:cNvCxnSpPr>
      </xdr:nvCxnSpPr>
      <xdr:spPr>
        <a:xfrm>
          <a:off x="11297347" y="30565559"/>
          <a:ext cx="557945" cy="4937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453867</xdr:colOff>
      <xdr:row>161</xdr:row>
      <xdr:rowOff>160194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A60E6AA-71FD-44DC-97E7-66DB74953818}"/>
                </a:ext>
              </a:extLst>
            </xdr:cNvPr>
            <xdr:cNvSpPr txBox="1"/>
          </xdr:nvSpPr>
          <xdr:spPr>
            <a:xfrm>
              <a:off x="10350342" y="30830694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0</m:t>
                  </m:r>
                </m:oMath>
              </a14:m>
              <a:r>
                <a:rPr lang="en-US" sz="1100"/>
                <a:t> - &gt; 1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AA60E6AA-71FD-44DC-97E7-66DB74953818}"/>
                </a:ext>
              </a:extLst>
            </xdr:cNvPr>
            <xdr:cNvSpPr txBox="1"/>
          </xdr:nvSpPr>
          <xdr:spPr>
            <a:xfrm>
              <a:off x="10350342" y="30830694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0</a:t>
              </a:r>
              <a:r>
                <a:rPr lang="en-US" sz="1100"/>
                <a:t> - &gt; 1</a:t>
              </a:r>
            </a:p>
          </xdr:txBody>
        </xdr:sp>
      </mc:Fallback>
    </mc:AlternateContent>
    <xdr:clientData/>
  </xdr:oneCellAnchor>
  <xdr:twoCellAnchor>
    <xdr:from>
      <xdr:col>13</xdr:col>
      <xdr:colOff>368142</xdr:colOff>
      <xdr:row>164</xdr:row>
      <xdr:rowOff>74467</xdr:rowOff>
    </xdr:from>
    <xdr:to>
      <xdr:col>14</xdr:col>
      <xdr:colOff>720567</xdr:colOff>
      <xdr:row>167</xdr:row>
      <xdr:rowOff>133350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31916FE8-6124-4452-99DB-F75721C1597F}"/>
            </a:ext>
          </a:extLst>
        </xdr:cNvPr>
        <xdr:cNvSpPr/>
      </xdr:nvSpPr>
      <xdr:spPr>
        <a:xfrm>
          <a:off x="10264617" y="31316467"/>
          <a:ext cx="962025" cy="630383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42 Tinggi</a:t>
          </a:r>
        </a:p>
        <a:p>
          <a:pPr algn="l"/>
          <a:r>
            <a:rPr lang="en-US" sz="1100" baseline="0"/>
            <a:t>36 Sedang</a:t>
          </a:r>
        </a:p>
        <a:p>
          <a:pPr algn="l"/>
          <a:r>
            <a:rPr lang="en-US" sz="1100" baseline="0"/>
            <a:t>5 Rendah</a:t>
          </a:r>
        </a:p>
      </xdr:txBody>
    </xdr:sp>
    <xdr:clientData/>
  </xdr:twoCellAnchor>
  <xdr:twoCellAnchor>
    <xdr:from>
      <xdr:col>15</xdr:col>
      <xdr:colOff>234792</xdr:colOff>
      <xdr:row>163</xdr:row>
      <xdr:rowOff>17318</xdr:rowOff>
    </xdr:from>
    <xdr:to>
      <xdr:col>16</xdr:col>
      <xdr:colOff>653891</xdr:colOff>
      <xdr:row>166</xdr:row>
      <xdr:rowOff>76200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F6F5CA29-A580-4E40-BF07-F29F240CE758}"/>
            </a:ext>
          </a:extLst>
        </xdr:cNvPr>
        <xdr:cNvSpPr/>
      </xdr:nvSpPr>
      <xdr:spPr>
        <a:xfrm>
          <a:off x="11493342" y="31068818"/>
          <a:ext cx="1028699" cy="63038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41 Tinggi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33 Sedang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 Rendah</a:t>
          </a:r>
          <a:endParaRPr lang="en-US">
            <a:effectLst/>
          </a:endParaRPr>
        </a:p>
      </xdr:txBody>
    </xdr:sp>
    <xdr:clientData/>
  </xdr:twoCellAnchor>
  <xdr:oneCellAnchor>
    <xdr:from>
      <xdr:col>15</xdr:col>
      <xdr:colOff>282417</xdr:colOff>
      <xdr:row>160</xdr:row>
      <xdr:rowOff>114300</xdr:rowOff>
    </xdr:from>
    <xdr:ext cx="666750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2AF9CBF-0F19-4FE6-9712-F71AB9AB3139}"/>
            </a:ext>
          </a:extLst>
        </xdr:cNvPr>
        <xdr:cNvSpPr txBox="1"/>
      </xdr:nvSpPr>
      <xdr:spPr>
        <a:xfrm>
          <a:off x="11540967" y="30594300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&gt;1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117633</xdr:colOff>
      <xdr:row>12</xdr:row>
      <xdr:rowOff>0</xdr:rowOff>
    </xdr:from>
    <xdr:to>
      <xdr:col>18</xdr:col>
      <xdr:colOff>304800</xdr:colOff>
      <xdr:row>16</xdr:row>
      <xdr:rowOff>7793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62088CDD-1586-456F-968E-2C76FC467880}"/>
            </a:ext>
          </a:extLst>
        </xdr:cNvPr>
        <xdr:cNvSpPr/>
      </xdr:nvSpPr>
      <xdr:spPr>
        <a:xfrm>
          <a:off x="13766958" y="2286000"/>
          <a:ext cx="1644492" cy="769793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447675</xdr:colOff>
      <xdr:row>15</xdr:row>
      <xdr:rowOff>85559</xdr:rowOff>
    </xdr:from>
    <xdr:to>
      <xdr:col>16</xdr:col>
      <xdr:colOff>361253</xdr:colOff>
      <xdr:row>18</xdr:row>
      <xdr:rowOff>26844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ACBEC64-93DF-4EB3-861D-ADE9990E95D2}"/>
            </a:ext>
          </a:extLst>
        </xdr:cNvPr>
        <xdr:cNvCxnSpPr>
          <a:stCxn id="2" idx="3"/>
        </xdr:cNvCxnSpPr>
      </xdr:nvCxnSpPr>
      <xdr:spPr>
        <a:xfrm flipH="1">
          <a:off x="13296900" y="2943059"/>
          <a:ext cx="713678" cy="51278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19050</xdr:colOff>
      <xdr:row>15</xdr:row>
      <xdr:rowOff>188768</xdr:rowOff>
    </xdr:from>
    <xdr:to>
      <xdr:col>17</xdr:col>
      <xdr:colOff>73104</xdr:colOff>
      <xdr:row>19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A78F9C7B-4770-4E0A-80BE-C302164CB1E1}"/>
            </a:ext>
          </a:extLst>
        </xdr:cNvPr>
        <xdr:cNvCxnSpPr/>
      </xdr:nvCxnSpPr>
      <xdr:spPr>
        <a:xfrm flipH="1">
          <a:off x="14516100" y="3046268"/>
          <a:ext cx="54054" cy="6477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61180</xdr:colOff>
      <xdr:row>15</xdr:row>
      <xdr:rowOff>85559</xdr:rowOff>
    </xdr:from>
    <xdr:to>
      <xdr:col>19</xdr:col>
      <xdr:colOff>19050</xdr:colOff>
      <xdr:row>18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9A91BB0-F0AD-462A-9B89-0F2797A9FFBD}"/>
            </a:ext>
          </a:extLst>
        </xdr:cNvPr>
        <xdr:cNvCxnSpPr>
          <a:stCxn id="2" idx="5"/>
        </xdr:cNvCxnSpPr>
      </xdr:nvCxnSpPr>
      <xdr:spPr>
        <a:xfrm>
          <a:off x="15167830" y="2943059"/>
          <a:ext cx="567470" cy="4937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18</xdr:row>
      <xdr:rowOff>55418</xdr:rowOff>
    </xdr:from>
    <xdr:to>
      <xdr:col>16</xdr:col>
      <xdr:colOff>95250</xdr:colOff>
      <xdr:row>20</xdr:row>
      <xdr:rowOff>150669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68D6429-BA46-4CC5-AEF0-9EB85F517D70}"/>
            </a:ext>
          </a:extLst>
        </xdr:cNvPr>
        <xdr:cNvSpPr/>
      </xdr:nvSpPr>
      <xdr:spPr>
        <a:xfrm>
          <a:off x="12849225" y="3484418"/>
          <a:ext cx="895350" cy="476251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 13 Sedang</a:t>
          </a:r>
        </a:p>
        <a:p>
          <a:pPr algn="l"/>
          <a:r>
            <a:rPr lang="en-US" sz="1100" baseline="0"/>
            <a:t>18 Rendah</a:t>
          </a:r>
          <a:endParaRPr lang="en-US" sz="1100"/>
        </a:p>
      </xdr:txBody>
    </xdr:sp>
    <xdr:clientData/>
  </xdr:twoCellAnchor>
  <xdr:oneCellAnchor>
    <xdr:from>
      <xdr:col>15</xdr:col>
      <xdr:colOff>285750</xdr:colOff>
      <xdr:row>15</xdr:row>
      <xdr:rowOff>112569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ADA169E-5C0D-49C2-A307-2305DB938141}"/>
            </a:ext>
          </a:extLst>
        </xdr:cNvPr>
        <xdr:cNvSpPr txBox="1"/>
      </xdr:nvSpPr>
      <xdr:spPr>
        <a:xfrm>
          <a:off x="13134975" y="2970069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&lt;12,60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381000</xdr:colOff>
      <xdr:row>16</xdr:row>
      <xdr:rowOff>131619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8B1D5E27-14F4-4FAC-A159-FF078EC2D880}"/>
                </a:ext>
              </a:extLst>
            </xdr:cNvPr>
            <xdr:cNvSpPr txBox="1"/>
          </xdr:nvSpPr>
          <xdr:spPr>
            <a:xfrm>
              <a:off x="14030325" y="3179619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12,60 - &gt; 29,21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8B1D5E27-14F4-4FAC-A159-FF078EC2D880}"/>
                </a:ext>
              </a:extLst>
            </xdr:cNvPr>
            <xdr:cNvSpPr txBox="1"/>
          </xdr:nvSpPr>
          <xdr:spPr>
            <a:xfrm>
              <a:off x="14030325" y="3179619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12,60 - &gt; 29,21</a:t>
              </a:r>
            </a:p>
          </xdr:txBody>
        </xdr:sp>
      </mc:Fallback>
    </mc:AlternateContent>
    <xdr:clientData/>
  </xdr:oneCellAnchor>
  <xdr:twoCellAnchor>
    <xdr:from>
      <xdr:col>16</xdr:col>
      <xdr:colOff>457200</xdr:colOff>
      <xdr:row>19</xdr:row>
      <xdr:rowOff>64943</xdr:rowOff>
    </xdr:from>
    <xdr:to>
      <xdr:col>17</xdr:col>
      <xdr:colOff>504825</xdr:colOff>
      <xdr:row>21</xdr:row>
      <xdr:rowOff>141144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89F73F6E-727E-492A-97E5-A1523A631237}"/>
            </a:ext>
          </a:extLst>
        </xdr:cNvPr>
        <xdr:cNvSpPr/>
      </xdr:nvSpPr>
      <xdr:spPr>
        <a:xfrm>
          <a:off x="14106525" y="3684443"/>
          <a:ext cx="895350" cy="457201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36 Tinggi</a:t>
          </a:r>
        </a:p>
        <a:p>
          <a:pPr algn="l"/>
          <a:r>
            <a:rPr lang="en-US" sz="1100" baseline="0"/>
            <a:t>57 Sedang</a:t>
          </a:r>
        </a:p>
      </xdr:txBody>
    </xdr:sp>
    <xdr:clientData/>
  </xdr:twoCellAnchor>
  <xdr:twoCellAnchor>
    <xdr:from>
      <xdr:col>18</xdr:col>
      <xdr:colOff>238126</xdr:colOff>
      <xdr:row>18</xdr:row>
      <xdr:rowOff>7794</xdr:rowOff>
    </xdr:from>
    <xdr:to>
      <xdr:col>19</xdr:col>
      <xdr:colOff>466726</xdr:colOff>
      <xdr:row>19</xdr:row>
      <xdr:rowOff>160194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AF0E96D-3C3E-47AF-AF28-BBB806555C35}"/>
            </a:ext>
          </a:extLst>
        </xdr:cNvPr>
        <xdr:cNvSpPr/>
      </xdr:nvSpPr>
      <xdr:spPr>
        <a:xfrm>
          <a:off x="15344776" y="3436794"/>
          <a:ext cx="838200" cy="3429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39 </a:t>
          </a:r>
          <a:r>
            <a:rPr lang="en-US" sz="1100"/>
            <a:t>Tinggi</a:t>
          </a:r>
        </a:p>
      </xdr:txBody>
    </xdr:sp>
    <xdr:clientData/>
  </xdr:twoCellAnchor>
  <xdr:oneCellAnchor>
    <xdr:from>
      <xdr:col>18</xdr:col>
      <xdr:colOff>285750</xdr:colOff>
      <xdr:row>15</xdr:row>
      <xdr:rowOff>104775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E3DC32EC-D724-4EC4-9630-B49A27BA8D86}"/>
            </a:ext>
          </a:extLst>
        </xdr:cNvPr>
        <xdr:cNvSpPr txBox="1"/>
      </xdr:nvSpPr>
      <xdr:spPr>
        <a:xfrm>
          <a:off x="15392400" y="296227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&gt;29,21</a:t>
          </a: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307201</xdr:colOff>
      <xdr:row>138</xdr:row>
      <xdr:rowOff>0</xdr:rowOff>
    </xdr:from>
    <xdr:to>
      <xdr:col>19</xdr:col>
      <xdr:colOff>906497</xdr:colOff>
      <xdr:row>141</xdr:row>
      <xdr:rowOff>182636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F1ACB593-2E15-432A-BEBA-96B06C88603F}"/>
            </a:ext>
          </a:extLst>
        </xdr:cNvPr>
        <xdr:cNvSpPr/>
      </xdr:nvSpPr>
      <xdr:spPr>
        <a:xfrm>
          <a:off x="10670401" y="26289000"/>
          <a:ext cx="1523221" cy="754136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LAMA RAWAT INAP</a:t>
          </a:r>
        </a:p>
      </xdr:txBody>
    </xdr:sp>
    <xdr:clientData/>
  </xdr:twoCellAnchor>
  <xdr:twoCellAnchor>
    <xdr:from>
      <xdr:col>16</xdr:col>
      <xdr:colOff>447675</xdr:colOff>
      <xdr:row>141</xdr:row>
      <xdr:rowOff>69902</xdr:rowOff>
    </xdr:from>
    <xdr:to>
      <xdr:col>17</xdr:col>
      <xdr:colOff>550821</xdr:colOff>
      <xdr:row>143</xdr:row>
      <xdr:rowOff>191249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196DFAD-C6B1-49E0-830E-E74BE1E193B5}"/>
            </a:ext>
          </a:extLst>
        </xdr:cNvPr>
        <xdr:cNvCxnSpPr>
          <a:stCxn id="2" idx="3"/>
        </xdr:cNvCxnSpPr>
      </xdr:nvCxnSpPr>
      <xdr:spPr>
        <a:xfrm flipH="1">
          <a:off x="10201275" y="26930402"/>
          <a:ext cx="712746" cy="502347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8426</xdr:colOff>
      <xdr:row>141</xdr:row>
      <xdr:rowOff>173111</xdr:rowOff>
    </xdr:from>
    <xdr:to>
      <xdr:col>19</xdr:col>
      <xdr:colOff>62480</xdr:colOff>
      <xdr:row>145</xdr:row>
      <xdr:rowOff>37935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BCDB96DF-C91D-4781-A09A-44439AAA733B}"/>
            </a:ext>
          </a:extLst>
        </xdr:cNvPr>
        <xdr:cNvCxnSpPr/>
      </xdr:nvCxnSpPr>
      <xdr:spPr>
        <a:xfrm flipH="1">
          <a:off x="11590826" y="27033611"/>
          <a:ext cx="54054" cy="626824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662877</xdr:colOff>
      <xdr:row>141</xdr:row>
      <xdr:rowOff>69902</xdr:rowOff>
    </xdr:from>
    <xdr:to>
      <xdr:col>20</xdr:col>
      <xdr:colOff>280568</xdr:colOff>
      <xdr:row>143</xdr:row>
      <xdr:rowOff>172199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F58E054-D4C7-492D-BDBD-E17927336601}"/>
            </a:ext>
          </a:extLst>
        </xdr:cNvPr>
        <xdr:cNvCxnSpPr>
          <a:stCxn id="2" idx="5"/>
        </xdr:cNvCxnSpPr>
      </xdr:nvCxnSpPr>
      <xdr:spPr>
        <a:xfrm>
          <a:off x="12188127" y="26930402"/>
          <a:ext cx="284441" cy="483297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144</xdr:row>
      <xdr:rowOff>24103</xdr:rowOff>
    </xdr:from>
    <xdr:to>
      <xdr:col>17</xdr:col>
      <xdr:colOff>284818</xdr:colOff>
      <xdr:row>147</xdr:row>
      <xdr:rowOff>104384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17CCB34-D623-473D-B73A-231CE379821D}"/>
            </a:ext>
          </a:extLst>
        </xdr:cNvPr>
        <xdr:cNvSpPr/>
      </xdr:nvSpPr>
      <xdr:spPr>
        <a:xfrm>
          <a:off x="9753600" y="27456103"/>
          <a:ext cx="894418" cy="651781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 20 Sedang</a:t>
          </a:r>
        </a:p>
        <a:p>
          <a:pPr algn="l"/>
          <a:r>
            <a:rPr lang="en-US" sz="1100" baseline="0"/>
            <a:t>17 Lama</a:t>
          </a:r>
        </a:p>
        <a:p>
          <a:pPr algn="l"/>
          <a:r>
            <a:rPr lang="en-US" sz="1100" baseline="0"/>
            <a:t>4 Singkat</a:t>
          </a:r>
          <a:endParaRPr lang="en-US" sz="1100"/>
        </a:p>
      </xdr:txBody>
    </xdr:sp>
    <xdr:clientData/>
  </xdr:twoCellAnchor>
  <xdr:oneCellAnchor>
    <xdr:from>
      <xdr:col>16</xdr:col>
      <xdr:colOff>285750</xdr:colOff>
      <xdr:row>141</xdr:row>
      <xdr:rowOff>96912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3662EC7-DB4E-41C9-B290-06345DCE16FE}"/>
            </a:ext>
          </a:extLst>
        </xdr:cNvPr>
        <xdr:cNvSpPr txBox="1"/>
      </xdr:nvSpPr>
      <xdr:spPr>
        <a:xfrm>
          <a:off x="10039350" y="26957412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&lt;2,5</a:t>
          </a:r>
          <a:endParaRPr lang="en-US">
            <a:effectLst/>
          </a:endParaRPr>
        </a:p>
      </xdr:txBody>
    </xdr:sp>
    <xdr:clientData/>
  </xdr:oneCellAnchor>
  <xdr:oneCellAnchor>
    <xdr:from>
      <xdr:col>17</xdr:col>
      <xdr:colOff>570568</xdr:colOff>
      <xdr:row>142</xdr:row>
      <xdr:rowOff>110743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A54F807-4C58-4231-9547-F9CD37DCB555}"/>
                </a:ext>
              </a:extLst>
            </xdr:cNvPr>
            <xdr:cNvSpPr txBox="1"/>
          </xdr:nvSpPr>
          <xdr:spPr>
            <a:xfrm>
              <a:off x="10933768" y="2716174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2,5</m:t>
                  </m:r>
                </m:oMath>
              </a14:m>
              <a:r>
                <a:rPr lang="en-US" sz="1100"/>
                <a:t> - &gt; 4,67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A54F807-4C58-4231-9547-F9CD37DCB555}"/>
                </a:ext>
              </a:extLst>
            </xdr:cNvPr>
            <xdr:cNvSpPr txBox="1"/>
          </xdr:nvSpPr>
          <xdr:spPr>
            <a:xfrm>
              <a:off x="10933768" y="27161743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2,5</a:t>
              </a:r>
              <a:r>
                <a:rPr lang="en-US" sz="1100"/>
                <a:t> - &gt; 4,67</a:t>
              </a:r>
            </a:p>
          </xdr:txBody>
        </xdr:sp>
      </mc:Fallback>
    </mc:AlternateContent>
    <xdr:clientData/>
  </xdr:oneCellAnchor>
  <xdr:twoCellAnchor>
    <xdr:from>
      <xdr:col>18</xdr:col>
      <xdr:colOff>33515</xdr:colOff>
      <xdr:row>145</xdr:row>
      <xdr:rowOff>28409</xdr:rowOff>
    </xdr:from>
    <xdr:to>
      <xdr:col>19</xdr:col>
      <xdr:colOff>494201</xdr:colOff>
      <xdr:row>147</xdr:row>
      <xdr:rowOff>94172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FC27336-C654-4565-8D20-0436E17F633E}"/>
            </a:ext>
          </a:extLst>
        </xdr:cNvPr>
        <xdr:cNvSpPr/>
      </xdr:nvSpPr>
      <xdr:spPr>
        <a:xfrm>
          <a:off x="11006315" y="27650909"/>
          <a:ext cx="1070286" cy="446763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36 Sedang</a:t>
          </a:r>
        </a:p>
        <a:p>
          <a:pPr algn="l"/>
          <a:r>
            <a:rPr lang="en-US" sz="1100" baseline="0"/>
            <a:t>57 Lama</a:t>
          </a:r>
        </a:p>
      </xdr:txBody>
    </xdr:sp>
    <xdr:clientData/>
  </xdr:twoCellAnchor>
  <xdr:twoCellAnchor>
    <xdr:from>
      <xdr:col>19</xdr:col>
      <xdr:colOff>852871</xdr:colOff>
      <xdr:row>143</xdr:row>
      <xdr:rowOff>172198</xdr:rowOff>
    </xdr:from>
    <xdr:to>
      <xdr:col>21</xdr:col>
      <xdr:colOff>128038</xdr:colOff>
      <xdr:row>146</xdr:row>
      <xdr:rowOff>91335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88243058-4A97-4361-9BE1-6B7BADB15526}"/>
            </a:ext>
          </a:extLst>
        </xdr:cNvPr>
        <xdr:cNvSpPr/>
      </xdr:nvSpPr>
      <xdr:spPr>
        <a:xfrm>
          <a:off x="12187621" y="27413698"/>
          <a:ext cx="742017" cy="49063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13 Sedang</a:t>
          </a:r>
          <a:endParaRPr lang="en-US" sz="1100"/>
        </a:p>
        <a:p>
          <a:pPr algn="l"/>
          <a:r>
            <a:rPr lang="en-US" sz="1100"/>
            <a:t> 15 Lama</a:t>
          </a:r>
        </a:p>
      </xdr:txBody>
    </xdr:sp>
    <xdr:clientData/>
  </xdr:twoCellAnchor>
  <xdr:oneCellAnchor>
    <xdr:from>
      <xdr:col>19</xdr:col>
      <xdr:colOff>887447</xdr:colOff>
      <xdr:row>141</xdr:row>
      <xdr:rowOff>89118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6F8F269-FE43-40B1-9315-5547AAD10204}"/>
            </a:ext>
          </a:extLst>
        </xdr:cNvPr>
        <xdr:cNvSpPr txBox="1"/>
      </xdr:nvSpPr>
      <xdr:spPr>
        <a:xfrm>
          <a:off x="12193622" y="26949618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&gt;4,67</a:t>
          </a: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153</xdr:row>
      <xdr:rowOff>0</xdr:rowOff>
    </xdr:from>
    <xdr:to>
      <xdr:col>15</xdr:col>
      <xdr:colOff>557138</xdr:colOff>
      <xdr:row>157</xdr:row>
      <xdr:rowOff>17819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1D015EE8-E06C-4925-B8DC-05FA97D49ADB}"/>
            </a:ext>
          </a:extLst>
        </xdr:cNvPr>
        <xdr:cNvSpPr/>
      </xdr:nvSpPr>
      <xdr:spPr>
        <a:xfrm>
          <a:off x="10627895" y="28762993"/>
          <a:ext cx="1634967" cy="769793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Jenis</a:t>
          </a:r>
          <a:r>
            <a:rPr lang="en-US" sz="1100" baseline="0"/>
            <a:t> Kelamin</a:t>
          </a:r>
          <a:endParaRPr lang="en-US" sz="1100"/>
        </a:p>
      </xdr:txBody>
    </xdr:sp>
    <xdr:clientData/>
  </xdr:twoCellAnchor>
  <xdr:twoCellAnchor>
    <xdr:from>
      <xdr:col>14</xdr:col>
      <xdr:colOff>777717</xdr:colOff>
      <xdr:row>157</xdr:row>
      <xdr:rowOff>17819</xdr:rowOff>
    </xdr:from>
    <xdr:to>
      <xdr:col>14</xdr:col>
      <xdr:colOff>831771</xdr:colOff>
      <xdr:row>160</xdr:row>
      <xdr:rowOff>101540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D4C889A-0A3C-4ADF-8C14-F4DADD0E243D}"/>
            </a:ext>
          </a:extLst>
        </xdr:cNvPr>
        <xdr:cNvCxnSpPr/>
      </xdr:nvCxnSpPr>
      <xdr:spPr>
        <a:xfrm flipH="1">
          <a:off x="11405612" y="29532786"/>
          <a:ext cx="54054" cy="6477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323043</xdr:colOff>
      <xdr:row>156</xdr:row>
      <xdr:rowOff>93078</xdr:rowOff>
    </xdr:from>
    <xdr:to>
      <xdr:col>16</xdr:col>
      <xdr:colOff>266876</xdr:colOff>
      <xdr:row>159</xdr:row>
      <xdr:rowOff>22833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84053B5E-4BE5-47B0-9E90-D2BE9513DCFE}"/>
            </a:ext>
          </a:extLst>
        </xdr:cNvPr>
        <xdr:cNvCxnSpPr>
          <a:stCxn id="2" idx="5"/>
        </xdr:cNvCxnSpPr>
      </xdr:nvCxnSpPr>
      <xdr:spPr>
        <a:xfrm>
          <a:off x="12028767" y="29420052"/>
          <a:ext cx="557945" cy="4937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453867</xdr:colOff>
      <xdr:row>157</xdr:row>
      <xdr:rowOff>170220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2FEC9D-B00B-4DB1-BBF9-4AD5FEE7BA1C}"/>
                </a:ext>
              </a:extLst>
            </xdr:cNvPr>
            <xdr:cNvSpPr txBox="1"/>
          </xdr:nvSpPr>
          <xdr:spPr>
            <a:xfrm>
              <a:off x="11081762" y="29685187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0</m:t>
                  </m:r>
                </m:oMath>
              </a14:m>
              <a:r>
                <a:rPr lang="en-US" sz="1100"/>
                <a:t> - &gt; 1</a:t>
              </a: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2FEC9D-B00B-4DB1-BBF9-4AD5FEE7BA1C}"/>
                </a:ext>
              </a:extLst>
            </xdr:cNvPr>
            <xdr:cNvSpPr txBox="1"/>
          </xdr:nvSpPr>
          <xdr:spPr>
            <a:xfrm>
              <a:off x="11081762" y="29685187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0</a:t>
              </a:r>
              <a:r>
                <a:rPr lang="en-US" sz="1100"/>
                <a:t> - &gt; 1</a:t>
              </a:r>
            </a:p>
          </xdr:txBody>
        </xdr:sp>
      </mc:Fallback>
    </mc:AlternateContent>
    <xdr:clientData/>
  </xdr:oneCellAnchor>
  <xdr:twoCellAnchor>
    <xdr:from>
      <xdr:col>14</xdr:col>
      <xdr:colOff>368142</xdr:colOff>
      <xdr:row>160</xdr:row>
      <xdr:rowOff>92013</xdr:rowOff>
    </xdr:from>
    <xdr:to>
      <xdr:col>15</xdr:col>
      <xdr:colOff>252338</xdr:colOff>
      <xdr:row>163</xdr:row>
      <xdr:rowOff>158415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DF2F396-499E-4B2B-89E7-ADD186E2EEE7}"/>
            </a:ext>
          </a:extLst>
        </xdr:cNvPr>
        <xdr:cNvSpPr/>
      </xdr:nvSpPr>
      <xdr:spPr>
        <a:xfrm>
          <a:off x="10996037" y="30170960"/>
          <a:ext cx="962025" cy="630383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24 Tinggi</a:t>
          </a:r>
        </a:p>
        <a:p>
          <a:pPr algn="l"/>
          <a:r>
            <a:rPr lang="en-US" sz="1100" baseline="0"/>
            <a:t>33 Sedang</a:t>
          </a:r>
        </a:p>
        <a:p>
          <a:pPr algn="l"/>
          <a:r>
            <a:rPr lang="en-US" sz="1100" baseline="0"/>
            <a:t>9 Rendah</a:t>
          </a:r>
        </a:p>
      </xdr:txBody>
    </xdr:sp>
    <xdr:clientData/>
  </xdr:twoCellAnchor>
  <xdr:twoCellAnchor>
    <xdr:from>
      <xdr:col>15</xdr:col>
      <xdr:colOff>519038</xdr:colOff>
      <xdr:row>159</xdr:row>
      <xdr:rowOff>32357</xdr:rowOff>
    </xdr:from>
    <xdr:to>
      <xdr:col>17</xdr:col>
      <xdr:colOff>319514</xdr:colOff>
      <xdr:row>162</xdr:row>
      <xdr:rowOff>98759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930D4E27-38C4-4CDC-9F0B-6BB9CEC0EAA5}"/>
            </a:ext>
          </a:extLst>
        </xdr:cNvPr>
        <xdr:cNvSpPr/>
      </xdr:nvSpPr>
      <xdr:spPr>
        <a:xfrm>
          <a:off x="12224762" y="29923311"/>
          <a:ext cx="1028699" cy="63038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45 Tinggi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41 Sedang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11 Rendah</a:t>
          </a:r>
          <a:endParaRPr lang="en-US">
            <a:effectLst/>
          </a:endParaRPr>
        </a:p>
      </xdr:txBody>
    </xdr:sp>
    <xdr:clientData/>
  </xdr:twoCellAnchor>
  <xdr:oneCellAnchor>
    <xdr:from>
      <xdr:col>15</xdr:col>
      <xdr:colOff>566663</xdr:colOff>
      <xdr:row>156</xdr:row>
      <xdr:rowOff>121819</xdr:rowOff>
    </xdr:from>
    <xdr:ext cx="666750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E47257DA-6C47-4709-A552-7893CD0D4A58}"/>
            </a:ext>
          </a:extLst>
        </xdr:cNvPr>
        <xdr:cNvSpPr txBox="1"/>
      </xdr:nvSpPr>
      <xdr:spPr>
        <a:xfrm>
          <a:off x="12272387" y="29448793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&gt;1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283954</xdr:colOff>
      <xdr:row>170</xdr:row>
      <xdr:rowOff>0</xdr:rowOff>
    </xdr:from>
    <xdr:to>
      <xdr:col>14</xdr:col>
      <xdr:colOff>442180</xdr:colOff>
      <xdr:row>174</xdr:row>
      <xdr:rowOff>15120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D04DB539-18DB-4FC4-89AC-3A50971453C4}"/>
            </a:ext>
          </a:extLst>
        </xdr:cNvPr>
        <xdr:cNvSpPr/>
      </xdr:nvSpPr>
      <xdr:spPr>
        <a:xfrm>
          <a:off x="7780129" y="32385000"/>
          <a:ext cx="1987026" cy="77712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Usia</a:t>
          </a:r>
        </a:p>
      </xdr:txBody>
    </xdr:sp>
    <xdr:clientData/>
  </xdr:twoCellAnchor>
  <xdr:twoCellAnchor>
    <xdr:from>
      <xdr:col>10</xdr:col>
      <xdr:colOff>419100</xdr:colOff>
      <xdr:row>173</xdr:row>
      <xdr:rowOff>92886</xdr:rowOff>
    </xdr:from>
    <xdr:to>
      <xdr:col>11</xdr:col>
      <xdr:colOff>527574</xdr:colOff>
      <xdr:row>176</xdr:row>
      <xdr:rowOff>37834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06DD199-D655-4CA3-A5CC-09C964C3E38B}"/>
            </a:ext>
          </a:extLst>
        </xdr:cNvPr>
        <xdr:cNvCxnSpPr>
          <a:stCxn id="2" idx="3"/>
        </xdr:cNvCxnSpPr>
      </xdr:nvCxnSpPr>
      <xdr:spPr>
        <a:xfrm flipH="1">
          <a:off x="7305675" y="33049386"/>
          <a:ext cx="718074" cy="51644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185737</xdr:colOff>
      <xdr:row>174</xdr:row>
      <xdr:rowOff>15120</xdr:rowOff>
    </xdr:from>
    <xdr:to>
      <xdr:col>13</xdr:col>
      <xdr:colOff>239791</xdr:colOff>
      <xdr:row>177</xdr:row>
      <xdr:rowOff>98648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86F1E113-9A2B-4381-A300-FF17369239E5}"/>
            </a:ext>
          </a:extLst>
        </xdr:cNvPr>
        <xdr:cNvCxnSpPr/>
      </xdr:nvCxnSpPr>
      <xdr:spPr>
        <a:xfrm flipH="1">
          <a:off x="8901112" y="33162120"/>
          <a:ext cx="54054" cy="6550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203689</xdr:colOff>
      <xdr:row>173</xdr:row>
      <xdr:rowOff>92886</xdr:rowOff>
    </xdr:from>
    <xdr:to>
      <xdr:col>14</xdr:col>
      <xdr:colOff>766030</xdr:colOff>
      <xdr:row>176</xdr:row>
      <xdr:rowOff>18784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1DE698CD-BB5E-48FE-9852-62CD0BC6F291}"/>
            </a:ext>
          </a:extLst>
        </xdr:cNvPr>
        <xdr:cNvCxnSpPr>
          <a:stCxn id="2" idx="5"/>
        </xdr:cNvCxnSpPr>
      </xdr:nvCxnSpPr>
      <xdr:spPr>
        <a:xfrm>
          <a:off x="9528664" y="33049386"/>
          <a:ext cx="562341" cy="49739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176</xdr:row>
      <xdr:rowOff>77765</xdr:rowOff>
    </xdr:from>
    <xdr:to>
      <xdr:col>11</xdr:col>
      <xdr:colOff>404446</xdr:colOff>
      <xdr:row>179</xdr:row>
      <xdr:rowOff>123092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5F22FC9-73FB-4F77-85B9-415359D1C318}"/>
            </a:ext>
          </a:extLst>
        </xdr:cNvPr>
        <xdr:cNvSpPr/>
      </xdr:nvSpPr>
      <xdr:spPr>
        <a:xfrm>
          <a:off x="6886575" y="33605765"/>
          <a:ext cx="1014046" cy="61682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19 Dewasa</a:t>
          </a:r>
        </a:p>
        <a:p>
          <a:pPr algn="l"/>
          <a:r>
            <a:rPr lang="en-US" sz="1100" baseline="0"/>
            <a:t>21 Anak-Anak</a:t>
          </a:r>
        </a:p>
        <a:p>
          <a:pPr algn="l"/>
          <a:r>
            <a:rPr lang="en-US" sz="1100" baseline="0"/>
            <a:t>6 Lansia</a:t>
          </a:r>
          <a:endParaRPr lang="en-US" sz="1100"/>
        </a:p>
      </xdr:txBody>
    </xdr:sp>
    <xdr:clientData/>
  </xdr:twoCellAnchor>
  <xdr:oneCellAnchor>
    <xdr:from>
      <xdr:col>10</xdr:col>
      <xdr:colOff>285750</xdr:colOff>
      <xdr:row>173</xdr:row>
      <xdr:rowOff>129421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3E5A93F-6402-4DFA-A83C-729AF8CD75AC}"/>
            </a:ext>
          </a:extLst>
        </xdr:cNvPr>
        <xdr:cNvSpPr txBox="1"/>
      </xdr:nvSpPr>
      <xdr:spPr>
        <a:xfrm>
          <a:off x="7172325" y="33085921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&lt;15,70</a:t>
          </a:r>
          <a:endParaRPr lang="en-US">
            <a:effectLst/>
          </a:endParaRPr>
        </a:p>
      </xdr:txBody>
    </xdr:sp>
    <xdr:clientData/>
  </xdr:oneCellAnchor>
  <xdr:oneCellAnchor>
    <xdr:from>
      <xdr:col>12</xdr:col>
      <xdr:colOff>277690</xdr:colOff>
      <xdr:row>175</xdr:row>
      <xdr:rowOff>14755</xdr:rowOff>
    </xdr:from>
    <xdr:ext cx="1236785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4380EEB-28CF-44BC-8CD1-EBBACEE73145}"/>
                </a:ext>
              </a:extLst>
            </xdr:cNvPr>
            <xdr:cNvSpPr txBox="1"/>
          </xdr:nvSpPr>
          <xdr:spPr>
            <a:xfrm>
              <a:off x="8383465" y="33352255"/>
              <a:ext cx="1236785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15,70</m:t>
                  </m:r>
                </m:oMath>
              </a14:m>
              <a:r>
                <a:rPr lang="en-US" sz="1100"/>
                <a:t> - &gt; 54,27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4380EEB-28CF-44BC-8CD1-EBBACEE73145}"/>
                </a:ext>
              </a:extLst>
            </xdr:cNvPr>
            <xdr:cNvSpPr txBox="1"/>
          </xdr:nvSpPr>
          <xdr:spPr>
            <a:xfrm>
              <a:off x="8383465" y="33352255"/>
              <a:ext cx="1236785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15,70</a:t>
              </a:r>
              <a:r>
                <a:rPr lang="en-US" sz="1100"/>
                <a:t> - &gt; 54,27</a:t>
              </a:r>
            </a:p>
          </xdr:txBody>
        </xdr:sp>
      </mc:Fallback>
    </mc:AlternateContent>
    <xdr:clientData/>
  </xdr:oneCellAnchor>
  <xdr:twoCellAnchor>
    <xdr:from>
      <xdr:col>12</xdr:col>
      <xdr:colOff>385762</xdr:colOff>
      <xdr:row>177</xdr:row>
      <xdr:rowOff>89122</xdr:rowOff>
    </xdr:from>
    <xdr:to>
      <xdr:col>14</xdr:col>
      <xdr:colOff>209550</xdr:colOff>
      <xdr:row>180</xdr:row>
      <xdr:rowOff>180975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F0C0160-0032-4BC7-A1CC-49B0A11EF436}"/>
            </a:ext>
          </a:extLst>
        </xdr:cNvPr>
        <xdr:cNvSpPr/>
      </xdr:nvSpPr>
      <xdr:spPr>
        <a:xfrm>
          <a:off x="8491537" y="33807622"/>
          <a:ext cx="1042988" cy="663353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36 Dewasa</a:t>
          </a:r>
        </a:p>
        <a:p>
          <a:pPr algn="l"/>
          <a:r>
            <a:rPr lang="en-US" sz="1100" baseline="0"/>
            <a:t>42 Anak-Anak</a:t>
          </a:r>
        </a:p>
        <a:p>
          <a:pPr algn="l"/>
          <a:r>
            <a:rPr lang="en-US" sz="1100" baseline="0"/>
            <a:t>7 Lansia</a:t>
          </a:r>
        </a:p>
      </xdr:txBody>
    </xdr:sp>
    <xdr:clientData/>
  </xdr:twoCellAnchor>
  <xdr:twoCellAnchor>
    <xdr:from>
      <xdr:col>14</xdr:col>
      <xdr:colOff>404080</xdr:colOff>
      <xdr:row>176</xdr:row>
      <xdr:rowOff>28308</xdr:rowOff>
    </xdr:from>
    <xdr:to>
      <xdr:col>15</xdr:col>
      <xdr:colOff>356454</xdr:colOff>
      <xdr:row>178</xdr:row>
      <xdr:rowOff>111735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4557562-E09B-4740-BD40-D6843D2E7CA7}"/>
            </a:ext>
          </a:extLst>
        </xdr:cNvPr>
        <xdr:cNvSpPr/>
      </xdr:nvSpPr>
      <xdr:spPr>
        <a:xfrm>
          <a:off x="9729055" y="33556308"/>
          <a:ext cx="1028699" cy="46442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19 Dewasa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13 Anak-Anak</a:t>
          </a:r>
          <a:endParaRPr lang="en-US">
            <a:effectLst/>
          </a:endParaRPr>
        </a:p>
      </xdr:txBody>
    </xdr:sp>
    <xdr:clientData/>
  </xdr:twoCellAnchor>
  <xdr:oneCellAnchor>
    <xdr:from>
      <xdr:col>14</xdr:col>
      <xdr:colOff>451705</xdr:colOff>
      <xdr:row>173</xdr:row>
      <xdr:rowOff>121627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66E6B650-05E1-4286-BF84-8CFE2887CD81}"/>
            </a:ext>
          </a:extLst>
        </xdr:cNvPr>
        <xdr:cNvSpPr txBox="1"/>
      </xdr:nvSpPr>
      <xdr:spPr>
        <a:xfrm>
          <a:off x="9776680" y="33078127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&gt;54,27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117633</xdr:colOff>
      <xdr:row>153</xdr:row>
      <xdr:rowOff>0</xdr:rowOff>
    </xdr:from>
    <xdr:to>
      <xdr:col>18</xdr:col>
      <xdr:colOff>542925</xdr:colOff>
      <xdr:row>157</xdr:row>
      <xdr:rowOff>7793</xdr:rowOff>
    </xdr:to>
    <xdr:sp macro="" textlink="">
      <xdr:nvSpPr>
        <xdr:cNvPr id="20" name="Oval 19">
          <a:extLst>
            <a:ext uri="{FF2B5EF4-FFF2-40B4-BE49-F238E27FC236}">
              <a16:creationId xmlns:a16="http://schemas.microsoft.com/office/drawing/2014/main" id="{183E9E7D-3791-49DF-A026-FAAE61073A00}"/>
            </a:ext>
          </a:extLst>
        </xdr:cNvPr>
        <xdr:cNvSpPr/>
      </xdr:nvSpPr>
      <xdr:spPr>
        <a:xfrm>
          <a:off x="16110108" y="29146500"/>
          <a:ext cx="1644492" cy="769793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447675</xdr:colOff>
      <xdr:row>156</xdr:row>
      <xdr:rowOff>85559</xdr:rowOff>
    </xdr:from>
    <xdr:to>
      <xdr:col>16</xdr:col>
      <xdr:colOff>361253</xdr:colOff>
      <xdr:row>159</xdr:row>
      <xdr:rowOff>26844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E2F73A41-474F-41C6-A915-B2F19460297E}"/>
            </a:ext>
          </a:extLst>
        </xdr:cNvPr>
        <xdr:cNvCxnSpPr>
          <a:stCxn id="20" idx="3"/>
        </xdr:cNvCxnSpPr>
      </xdr:nvCxnSpPr>
      <xdr:spPr>
        <a:xfrm flipH="1">
          <a:off x="15640050" y="29803559"/>
          <a:ext cx="713678" cy="51278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257175</xdr:colOff>
      <xdr:row>156</xdr:row>
      <xdr:rowOff>188768</xdr:rowOff>
    </xdr:from>
    <xdr:to>
      <xdr:col>17</xdr:col>
      <xdr:colOff>311229</xdr:colOff>
      <xdr:row>160</xdr:row>
      <xdr:rowOff>74469</xdr:rowOff>
    </xdr:to>
    <xdr:cxnSp macro="">
      <xdr:nvCxnSpPr>
        <xdr:cNvPr id="22" name="Straight Connector 21">
          <a:extLst>
            <a:ext uri="{FF2B5EF4-FFF2-40B4-BE49-F238E27FC236}">
              <a16:creationId xmlns:a16="http://schemas.microsoft.com/office/drawing/2014/main" id="{CD780077-773F-4C53-8ABF-A48C5CF7ADD4}"/>
            </a:ext>
          </a:extLst>
        </xdr:cNvPr>
        <xdr:cNvCxnSpPr/>
      </xdr:nvCxnSpPr>
      <xdr:spPr>
        <a:xfrm flipH="1">
          <a:off x="16859250" y="29906768"/>
          <a:ext cx="54054" cy="6477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299305</xdr:colOff>
      <xdr:row>156</xdr:row>
      <xdr:rowOff>85559</xdr:rowOff>
    </xdr:from>
    <xdr:to>
      <xdr:col>19</xdr:col>
      <xdr:colOff>257175</xdr:colOff>
      <xdr:row>159</xdr:row>
      <xdr:rowOff>7794</xdr:rowOff>
    </xdr:to>
    <xdr:cxnSp macro="">
      <xdr:nvCxnSpPr>
        <xdr:cNvPr id="23" name="Straight Connector 22">
          <a:extLst>
            <a:ext uri="{FF2B5EF4-FFF2-40B4-BE49-F238E27FC236}">
              <a16:creationId xmlns:a16="http://schemas.microsoft.com/office/drawing/2014/main" id="{899CC952-C36F-4B41-9E11-A12EBA67DF14}"/>
            </a:ext>
          </a:extLst>
        </xdr:cNvPr>
        <xdr:cNvCxnSpPr>
          <a:stCxn id="20" idx="5"/>
        </xdr:cNvCxnSpPr>
      </xdr:nvCxnSpPr>
      <xdr:spPr>
        <a:xfrm>
          <a:off x="17510980" y="29803559"/>
          <a:ext cx="567470" cy="4937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159</xdr:row>
      <xdr:rowOff>55418</xdr:rowOff>
    </xdr:from>
    <xdr:to>
      <xdr:col>16</xdr:col>
      <xdr:colOff>95250</xdr:colOff>
      <xdr:row>161</xdr:row>
      <xdr:rowOff>188702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FDF90315-3C89-4052-93AF-A8F27AFD0C42}"/>
            </a:ext>
          </a:extLst>
        </xdr:cNvPr>
        <xdr:cNvSpPr/>
      </xdr:nvSpPr>
      <xdr:spPr>
        <a:xfrm>
          <a:off x="15204057" y="30059168"/>
          <a:ext cx="894990" cy="51069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9 Sedang</a:t>
          </a:r>
        </a:p>
        <a:p>
          <a:pPr algn="l"/>
          <a:r>
            <a:rPr lang="en-US" sz="1100" baseline="0"/>
            <a:t>19 Rendah</a:t>
          </a:r>
          <a:endParaRPr lang="en-US" sz="1100"/>
        </a:p>
      </xdr:txBody>
    </xdr:sp>
    <xdr:clientData/>
  </xdr:twoCellAnchor>
  <xdr:oneCellAnchor>
    <xdr:from>
      <xdr:col>15</xdr:col>
      <xdr:colOff>285750</xdr:colOff>
      <xdr:row>156</xdr:row>
      <xdr:rowOff>112569</xdr:rowOff>
    </xdr:from>
    <xdr:ext cx="666750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FBE109CE-DDFA-4B92-A6E0-AF6C185A5F0B}"/>
            </a:ext>
          </a:extLst>
        </xdr:cNvPr>
        <xdr:cNvSpPr txBox="1"/>
      </xdr:nvSpPr>
      <xdr:spPr>
        <a:xfrm>
          <a:off x="15478125" y="29830569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&lt;11,31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381000</xdr:colOff>
      <xdr:row>157</xdr:row>
      <xdr:rowOff>131619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0408028-09F2-4441-9C63-0B928DDD9374}"/>
                </a:ext>
              </a:extLst>
            </xdr:cNvPr>
            <xdr:cNvSpPr txBox="1"/>
          </xdr:nvSpPr>
          <xdr:spPr>
            <a:xfrm>
              <a:off x="16373475" y="30040119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11,31 - &gt; 29,95</a:t>
              </a:r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0408028-09F2-4441-9C63-0B928DDD9374}"/>
                </a:ext>
              </a:extLst>
            </xdr:cNvPr>
            <xdr:cNvSpPr txBox="1"/>
          </xdr:nvSpPr>
          <xdr:spPr>
            <a:xfrm>
              <a:off x="16373475" y="30040119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11,31 - &gt; 29,95</a:t>
              </a:r>
            </a:p>
          </xdr:txBody>
        </xdr:sp>
      </mc:Fallback>
    </mc:AlternateContent>
    <xdr:clientData/>
  </xdr:oneCellAnchor>
  <xdr:twoCellAnchor>
    <xdr:from>
      <xdr:col>16</xdr:col>
      <xdr:colOff>457200</xdr:colOff>
      <xdr:row>160</xdr:row>
      <xdr:rowOff>64943</xdr:rowOff>
    </xdr:from>
    <xdr:to>
      <xdr:col>18</xdr:col>
      <xdr:colOff>133350</xdr:colOff>
      <xdr:row>162</xdr:row>
      <xdr:rowOff>158750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362FD4CD-9F38-440F-B85B-1291B3F30C30}"/>
            </a:ext>
          </a:extLst>
        </xdr:cNvPr>
        <xdr:cNvSpPr/>
      </xdr:nvSpPr>
      <xdr:spPr>
        <a:xfrm>
          <a:off x="16395700" y="30544943"/>
          <a:ext cx="882650" cy="47480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37 Tinggi</a:t>
          </a:r>
        </a:p>
        <a:p>
          <a:pPr algn="l"/>
          <a:r>
            <a:rPr lang="en-US" sz="1100" baseline="0"/>
            <a:t>64 Sedang</a:t>
          </a:r>
        </a:p>
      </xdr:txBody>
    </xdr:sp>
    <xdr:clientData/>
  </xdr:twoCellAnchor>
  <xdr:twoCellAnchor>
    <xdr:from>
      <xdr:col>18</xdr:col>
      <xdr:colOff>476251</xdr:colOff>
      <xdr:row>159</xdr:row>
      <xdr:rowOff>7794</xdr:rowOff>
    </xdr:from>
    <xdr:to>
      <xdr:col>19</xdr:col>
      <xdr:colOff>704851</xdr:colOff>
      <xdr:row>160</xdr:row>
      <xdr:rowOff>160194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7FDCB26-B28C-43BD-BA7D-BF7D369BBFB1}"/>
            </a:ext>
          </a:extLst>
        </xdr:cNvPr>
        <xdr:cNvSpPr/>
      </xdr:nvSpPr>
      <xdr:spPr>
        <a:xfrm>
          <a:off x="17687926" y="30297294"/>
          <a:ext cx="838200" cy="3429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34 </a:t>
          </a:r>
          <a:r>
            <a:rPr lang="en-US" sz="1100"/>
            <a:t>Tinggi</a:t>
          </a:r>
        </a:p>
      </xdr:txBody>
    </xdr:sp>
    <xdr:clientData/>
  </xdr:twoCellAnchor>
  <xdr:oneCellAnchor>
    <xdr:from>
      <xdr:col>18</xdr:col>
      <xdr:colOff>523875</xdr:colOff>
      <xdr:row>156</xdr:row>
      <xdr:rowOff>104775</xdr:rowOff>
    </xdr:from>
    <xdr:ext cx="666750" cy="264560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BD7798FD-459F-42E2-8C5D-D42F544FDFB3}"/>
            </a:ext>
          </a:extLst>
        </xdr:cNvPr>
        <xdr:cNvSpPr txBox="1"/>
      </xdr:nvSpPr>
      <xdr:spPr>
        <a:xfrm>
          <a:off x="17735550" y="2982277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&gt;29.95</a:t>
          </a: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280001</xdr:colOff>
      <xdr:row>155</xdr:row>
      <xdr:rowOff>0</xdr:rowOff>
    </xdr:from>
    <xdr:to>
      <xdr:col>18</xdr:col>
      <xdr:colOff>87497</xdr:colOff>
      <xdr:row>159</xdr:row>
      <xdr:rowOff>16653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97425DBC-8B07-4B0B-A55C-4EE402E437C1}"/>
            </a:ext>
          </a:extLst>
        </xdr:cNvPr>
        <xdr:cNvSpPr/>
      </xdr:nvSpPr>
      <xdr:spPr>
        <a:xfrm>
          <a:off x="12584972" y="29184157"/>
          <a:ext cx="1634967" cy="769793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Usia</a:t>
          </a:r>
        </a:p>
      </xdr:txBody>
    </xdr:sp>
    <xdr:clientData/>
  </xdr:twoCellAnchor>
  <xdr:twoCellAnchor>
    <xdr:from>
      <xdr:col>14</xdr:col>
      <xdr:colOff>419100</xdr:colOff>
      <xdr:row>158</xdr:row>
      <xdr:rowOff>92204</xdr:rowOff>
    </xdr:from>
    <xdr:to>
      <xdr:col>15</xdr:col>
      <xdr:colOff>523621</xdr:colOff>
      <xdr:row>161</xdr:row>
      <xdr:rowOff>40135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89959BF-2B5A-4E2E-BDE0-A80ED9992D29}"/>
            </a:ext>
          </a:extLst>
        </xdr:cNvPr>
        <xdr:cNvCxnSpPr>
          <a:stCxn id="2" idx="3"/>
        </xdr:cNvCxnSpPr>
      </xdr:nvCxnSpPr>
      <xdr:spPr>
        <a:xfrm flipH="1">
          <a:off x="12114914" y="29841216"/>
          <a:ext cx="713678" cy="51278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448561</xdr:colOff>
      <xdr:row>159</xdr:row>
      <xdr:rowOff>16653</xdr:rowOff>
    </xdr:from>
    <xdr:to>
      <xdr:col>16</xdr:col>
      <xdr:colOff>502615</xdr:colOff>
      <xdr:row>162</xdr:row>
      <xdr:rowOff>99500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FB5611A1-59D6-420C-9C40-E1A4FB837150}"/>
            </a:ext>
          </a:extLst>
        </xdr:cNvPr>
        <xdr:cNvCxnSpPr/>
      </xdr:nvCxnSpPr>
      <xdr:spPr>
        <a:xfrm flipH="1">
          <a:off x="13362689" y="29953950"/>
          <a:ext cx="54054" cy="6477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462559</xdr:colOff>
      <xdr:row>158</xdr:row>
      <xdr:rowOff>92204</xdr:rowOff>
    </xdr:from>
    <xdr:to>
      <xdr:col>18</xdr:col>
      <xdr:colOff>411347</xdr:colOff>
      <xdr:row>161</xdr:row>
      <xdr:rowOff>21085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DC8E5EC-D69E-4379-8D6A-CC16FAB513DC}"/>
            </a:ext>
          </a:extLst>
        </xdr:cNvPr>
        <xdr:cNvCxnSpPr>
          <a:stCxn id="2" idx="5"/>
        </xdr:cNvCxnSpPr>
      </xdr:nvCxnSpPr>
      <xdr:spPr>
        <a:xfrm>
          <a:off x="13985844" y="29841216"/>
          <a:ext cx="557945" cy="4937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161</xdr:row>
      <xdr:rowOff>78234</xdr:rowOff>
    </xdr:from>
    <xdr:to>
      <xdr:col>15</xdr:col>
      <xdr:colOff>400493</xdr:colOff>
      <xdr:row>164</xdr:row>
      <xdr:rowOff>124711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D6F7C8B-343B-40CC-A0BB-5FC2FF539D19}"/>
            </a:ext>
          </a:extLst>
        </xdr:cNvPr>
        <xdr:cNvSpPr/>
      </xdr:nvSpPr>
      <xdr:spPr>
        <a:xfrm>
          <a:off x="11695814" y="30392100"/>
          <a:ext cx="1009650" cy="61133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19 Dewasa</a:t>
          </a:r>
        </a:p>
        <a:p>
          <a:pPr algn="l"/>
          <a:r>
            <a:rPr lang="en-US" sz="1100" baseline="0"/>
            <a:t>16 Anak-Anak</a:t>
          </a:r>
        </a:p>
        <a:p>
          <a:pPr algn="l"/>
          <a:r>
            <a:rPr lang="en-US" sz="1100" baseline="0"/>
            <a:t>3 Lansia</a:t>
          </a:r>
          <a:endParaRPr lang="en-US" sz="1100"/>
        </a:p>
      </xdr:txBody>
    </xdr:sp>
    <xdr:clientData/>
  </xdr:twoCellAnchor>
  <xdr:oneCellAnchor>
    <xdr:from>
      <xdr:col>14</xdr:col>
      <xdr:colOff>285750</xdr:colOff>
      <xdr:row>158</xdr:row>
      <xdr:rowOff>128739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AA5DC39-724D-4F0D-8609-F16F1F0F3F6B}"/>
            </a:ext>
          </a:extLst>
        </xdr:cNvPr>
        <xdr:cNvSpPr txBox="1"/>
      </xdr:nvSpPr>
      <xdr:spPr>
        <a:xfrm>
          <a:off x="11981564" y="29877751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&lt;17,31</a:t>
          </a:r>
          <a:endParaRPr lang="en-US">
            <a:effectLst/>
          </a:endParaRPr>
        </a:p>
      </xdr:txBody>
    </xdr:sp>
    <xdr:clientData/>
  </xdr:oneCellAnchor>
  <xdr:oneCellAnchor>
    <xdr:from>
      <xdr:col>15</xdr:col>
      <xdr:colOff>571943</xdr:colOff>
      <xdr:row>159</xdr:row>
      <xdr:rowOff>150004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C74B5C7F-5E8B-4A6D-A745-9138E1B35E41}"/>
                </a:ext>
              </a:extLst>
            </xdr:cNvPr>
            <xdr:cNvSpPr txBox="1"/>
          </xdr:nvSpPr>
          <xdr:spPr>
            <a:xfrm>
              <a:off x="12876914" y="30087301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17,31 - &gt; 53,39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C74B5C7F-5E8B-4A6D-A745-9138E1B35E41}"/>
                </a:ext>
              </a:extLst>
            </xdr:cNvPr>
            <xdr:cNvSpPr txBox="1"/>
          </xdr:nvSpPr>
          <xdr:spPr>
            <a:xfrm>
              <a:off x="12876914" y="30087301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17,31 - &gt; 53,39</a:t>
              </a:r>
            </a:p>
          </xdr:txBody>
        </xdr:sp>
      </mc:Fallback>
    </mc:AlternateContent>
    <xdr:clientData/>
  </xdr:oneCellAnchor>
  <xdr:twoCellAnchor>
    <xdr:from>
      <xdr:col>16</xdr:col>
      <xdr:colOff>38986</xdr:colOff>
      <xdr:row>162</xdr:row>
      <xdr:rowOff>89974</xdr:rowOff>
    </xdr:from>
    <xdr:to>
      <xdr:col>17</xdr:col>
      <xdr:colOff>431947</xdr:colOff>
      <xdr:row>165</xdr:row>
      <xdr:rowOff>143983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6D1FF75D-3FA3-455E-898C-A2C855A006F0}"/>
            </a:ext>
          </a:extLst>
        </xdr:cNvPr>
        <xdr:cNvSpPr/>
      </xdr:nvSpPr>
      <xdr:spPr>
        <a:xfrm>
          <a:off x="13462591" y="30592125"/>
          <a:ext cx="1002118" cy="618864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39 </a:t>
          </a:r>
          <a:r>
            <a:rPr lang="en-US" sz="1100"/>
            <a:t>Dewasa</a:t>
          </a:r>
        </a:p>
        <a:p>
          <a:pPr algn="l"/>
          <a:r>
            <a:rPr lang="en-US" sz="1100" baseline="0"/>
            <a:t>48 Anak-Anak</a:t>
          </a:r>
        </a:p>
        <a:p>
          <a:pPr algn="l"/>
          <a:r>
            <a:rPr lang="en-US" sz="1100" baseline="0"/>
            <a:t>6 Lansia</a:t>
          </a:r>
        </a:p>
      </xdr:txBody>
    </xdr:sp>
    <xdr:clientData/>
  </xdr:twoCellAnchor>
  <xdr:twoCellAnchor>
    <xdr:from>
      <xdr:col>18</xdr:col>
      <xdr:colOff>49397</xdr:colOff>
      <xdr:row>161</xdr:row>
      <xdr:rowOff>30609</xdr:rowOff>
    </xdr:from>
    <xdr:to>
      <xdr:col>19</xdr:col>
      <xdr:colOff>468939</xdr:colOff>
      <xdr:row>163</xdr:row>
      <xdr:rowOff>112970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9980D686-B74E-482C-8DCD-DA3D1332708E}"/>
            </a:ext>
          </a:extLst>
        </xdr:cNvPr>
        <xdr:cNvSpPr/>
      </xdr:nvSpPr>
      <xdr:spPr>
        <a:xfrm>
          <a:off x="14181839" y="30344475"/>
          <a:ext cx="1028699" cy="458931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17 Dewasa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 Anak-Anak</a:t>
          </a:r>
          <a:endParaRPr lang="en-US">
            <a:effectLst/>
          </a:endParaRPr>
        </a:p>
      </xdr:txBody>
    </xdr:sp>
    <xdr:clientData/>
  </xdr:twoCellAnchor>
  <xdr:oneCellAnchor>
    <xdr:from>
      <xdr:col>18</xdr:col>
      <xdr:colOff>97022</xdr:colOff>
      <xdr:row>158</xdr:row>
      <xdr:rowOff>120945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92251D2-48DE-4019-8D5D-03B7FCCCDA36}"/>
            </a:ext>
          </a:extLst>
        </xdr:cNvPr>
        <xdr:cNvSpPr txBox="1"/>
      </xdr:nvSpPr>
      <xdr:spPr>
        <a:xfrm>
          <a:off x="14229464" y="29869957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&gt;53,39</a:t>
          </a: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279558</xdr:colOff>
      <xdr:row>155</xdr:row>
      <xdr:rowOff>0</xdr:rowOff>
    </xdr:from>
    <xdr:to>
      <xdr:col>18</xdr:col>
      <xdr:colOff>85725</xdr:colOff>
      <xdr:row>159</xdr:row>
      <xdr:rowOff>7793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91CC1EAC-5C07-4CC6-B526-10CF412E902F}"/>
            </a:ext>
          </a:extLst>
        </xdr:cNvPr>
        <xdr:cNvSpPr/>
      </xdr:nvSpPr>
      <xdr:spPr>
        <a:xfrm>
          <a:off x="11842908" y="29527500"/>
          <a:ext cx="1634967" cy="769793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Lama</a:t>
          </a:r>
          <a:r>
            <a:rPr lang="en-US" sz="1100" baseline="0"/>
            <a:t> Rawat Inap</a:t>
          </a:r>
          <a:endParaRPr lang="en-US" sz="1100"/>
        </a:p>
      </xdr:txBody>
    </xdr:sp>
    <xdr:clientData/>
  </xdr:twoCellAnchor>
  <xdr:twoCellAnchor>
    <xdr:from>
      <xdr:col>16</xdr:col>
      <xdr:colOff>447675</xdr:colOff>
      <xdr:row>159</xdr:row>
      <xdr:rowOff>7793</xdr:rowOff>
    </xdr:from>
    <xdr:to>
      <xdr:col>16</xdr:col>
      <xdr:colOff>501729</xdr:colOff>
      <xdr:row>162</xdr:row>
      <xdr:rowOff>83994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B22A876-31B2-48AB-A88C-3F101EC3AD9F}"/>
            </a:ext>
          </a:extLst>
        </xdr:cNvPr>
        <xdr:cNvCxnSpPr/>
      </xdr:nvCxnSpPr>
      <xdr:spPr>
        <a:xfrm flipH="1">
          <a:off x="12620625" y="30297293"/>
          <a:ext cx="54054" cy="6477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461230</xdr:colOff>
      <xdr:row>158</xdr:row>
      <xdr:rowOff>85559</xdr:rowOff>
    </xdr:from>
    <xdr:to>
      <xdr:col>18</xdr:col>
      <xdr:colOff>409575</xdr:colOff>
      <xdr:row>161</xdr:row>
      <xdr:rowOff>7794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15152DF-517D-4940-85A0-D90B5BCC0106}"/>
            </a:ext>
          </a:extLst>
        </xdr:cNvPr>
        <xdr:cNvCxnSpPr>
          <a:stCxn id="2" idx="5"/>
        </xdr:cNvCxnSpPr>
      </xdr:nvCxnSpPr>
      <xdr:spPr>
        <a:xfrm>
          <a:off x="13243780" y="30184559"/>
          <a:ext cx="557945" cy="4937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161</xdr:row>
      <xdr:rowOff>64943</xdr:rowOff>
    </xdr:from>
    <xdr:to>
      <xdr:col>15</xdr:col>
      <xdr:colOff>400050</xdr:colOff>
      <xdr:row>164</xdr:row>
      <xdr:rowOff>104775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ABBEBD7-F64E-476A-A1F6-1F7C099CC9D0}"/>
            </a:ext>
          </a:extLst>
        </xdr:cNvPr>
        <xdr:cNvSpPr/>
      </xdr:nvSpPr>
      <xdr:spPr>
        <a:xfrm>
          <a:off x="10953750" y="30735443"/>
          <a:ext cx="1009650" cy="61133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20 Sedang</a:t>
          </a:r>
        </a:p>
        <a:p>
          <a:pPr algn="l"/>
          <a:r>
            <a:rPr lang="en-US" sz="1100" baseline="0"/>
            <a:t>18 Lama</a:t>
          </a:r>
        </a:p>
        <a:p>
          <a:pPr algn="l"/>
          <a:r>
            <a:rPr lang="en-US" sz="1100" baseline="0"/>
            <a:t>4 Singkat</a:t>
          </a:r>
          <a:endParaRPr lang="en-US" sz="1100"/>
        </a:p>
      </xdr:txBody>
    </xdr:sp>
    <xdr:clientData/>
  </xdr:twoCellAnchor>
  <xdr:oneCellAnchor>
    <xdr:from>
      <xdr:col>14</xdr:col>
      <xdr:colOff>285750</xdr:colOff>
      <xdr:row>158</xdr:row>
      <xdr:rowOff>122094</xdr:rowOff>
    </xdr:from>
    <xdr:ext cx="66675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4B3B3EA-8869-493B-ABC5-700C098ACE46}"/>
            </a:ext>
          </a:extLst>
        </xdr:cNvPr>
        <xdr:cNvSpPr txBox="1"/>
      </xdr:nvSpPr>
      <xdr:spPr>
        <a:xfrm>
          <a:off x="11239500" y="30221094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&lt;2,44</a:t>
          </a:r>
          <a:endParaRPr lang="en-US">
            <a:effectLst/>
          </a:endParaRPr>
        </a:p>
      </xdr:txBody>
    </xdr:sp>
    <xdr:clientData/>
  </xdr:oneCellAnchor>
  <xdr:oneCellAnchor>
    <xdr:from>
      <xdr:col>15</xdr:col>
      <xdr:colOff>571500</xdr:colOff>
      <xdr:row>159</xdr:row>
      <xdr:rowOff>141144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008227D6-53FF-46E1-95F8-D601D890AF80}"/>
                </a:ext>
              </a:extLst>
            </xdr:cNvPr>
            <xdr:cNvSpPr txBox="1"/>
          </xdr:nvSpPr>
          <xdr:spPr>
            <a:xfrm>
              <a:off x="12134850" y="30430644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2,44</m:t>
                  </m:r>
                </m:oMath>
              </a14:m>
              <a:r>
                <a:rPr lang="en-US" sz="1100"/>
                <a:t> - &gt; 4,68</a:t>
              </a: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008227D6-53FF-46E1-95F8-D601D890AF80}"/>
                </a:ext>
              </a:extLst>
            </xdr:cNvPr>
            <xdr:cNvSpPr txBox="1"/>
          </xdr:nvSpPr>
          <xdr:spPr>
            <a:xfrm>
              <a:off x="12134850" y="30430644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2,44</a:t>
              </a:r>
              <a:r>
                <a:rPr lang="en-US" sz="1100"/>
                <a:t> - &gt; 4,68</a:t>
              </a:r>
            </a:p>
          </xdr:txBody>
        </xdr:sp>
      </mc:Fallback>
    </mc:AlternateContent>
    <xdr:clientData/>
  </xdr:oneCellAnchor>
  <xdr:twoCellAnchor>
    <xdr:from>
      <xdr:col>16</xdr:col>
      <xdr:colOff>38100</xdr:colOff>
      <xdr:row>162</xdr:row>
      <xdr:rowOff>74468</xdr:rowOff>
    </xdr:from>
    <xdr:to>
      <xdr:col>17</xdr:col>
      <xdr:colOff>390525</xdr:colOff>
      <xdr:row>166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EDCB727-3C20-467B-A148-43D67B56326E}"/>
            </a:ext>
          </a:extLst>
        </xdr:cNvPr>
        <xdr:cNvSpPr/>
      </xdr:nvSpPr>
      <xdr:spPr>
        <a:xfrm>
          <a:off x="12211050" y="30935468"/>
          <a:ext cx="962025" cy="68753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43 Sedang</a:t>
          </a:r>
        </a:p>
        <a:p>
          <a:pPr algn="l"/>
          <a:r>
            <a:rPr lang="en-US" sz="1100" baseline="0"/>
            <a:t>41 Lama</a:t>
          </a:r>
        </a:p>
        <a:p>
          <a:pPr algn="l"/>
          <a:r>
            <a:rPr lang="en-US" sz="1100" baseline="0"/>
            <a:t>10 Singkat</a:t>
          </a:r>
        </a:p>
      </xdr:txBody>
    </xdr:sp>
    <xdr:clientData/>
  </xdr:twoCellAnchor>
  <xdr:twoCellAnchor>
    <xdr:from>
      <xdr:col>18</xdr:col>
      <xdr:colOff>47625</xdr:colOff>
      <xdr:row>161</xdr:row>
      <xdr:rowOff>17318</xdr:rowOff>
    </xdr:from>
    <xdr:to>
      <xdr:col>19</xdr:col>
      <xdr:colOff>466724</xdr:colOff>
      <xdr:row>164</xdr:row>
      <xdr:rowOff>95250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4D537C5-C2AB-4660-B9C5-334C0917263F}"/>
            </a:ext>
          </a:extLst>
        </xdr:cNvPr>
        <xdr:cNvSpPr/>
      </xdr:nvSpPr>
      <xdr:spPr>
        <a:xfrm>
          <a:off x="13439775" y="30687818"/>
          <a:ext cx="1028699" cy="64943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Sedang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13 Lama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Singkat</a:t>
          </a:r>
          <a:endParaRPr lang="en-US">
            <a:effectLst/>
          </a:endParaRPr>
        </a:p>
      </xdr:txBody>
    </xdr:sp>
    <xdr:clientData/>
  </xdr:twoCellAnchor>
  <xdr:oneCellAnchor>
    <xdr:from>
      <xdr:col>18</xdr:col>
      <xdr:colOff>66675</xdr:colOff>
      <xdr:row>158</xdr:row>
      <xdr:rowOff>114300</xdr:rowOff>
    </xdr:from>
    <xdr:ext cx="666750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20ED064-C515-40F4-881F-996720CE0546}"/>
            </a:ext>
          </a:extLst>
        </xdr:cNvPr>
        <xdr:cNvSpPr txBox="1"/>
      </xdr:nvSpPr>
      <xdr:spPr>
        <a:xfrm>
          <a:off x="13458825" y="30213300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&gt;4.68</a:t>
          </a:r>
        </a:p>
      </xdr:txBody>
    </xdr:sp>
    <xdr:clientData/>
  </xdr:oneCellAnchor>
  <xdr:twoCellAnchor>
    <xdr:from>
      <xdr:col>14</xdr:col>
      <xdr:colOff>457200</xdr:colOff>
      <xdr:row>158</xdr:row>
      <xdr:rowOff>104775</xdr:rowOff>
    </xdr:from>
    <xdr:to>
      <xdr:col>15</xdr:col>
      <xdr:colOff>561278</xdr:colOff>
      <xdr:row>161</xdr:row>
      <xdr:rowOff>46060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B553A875-6615-4120-8716-F1C43821D4B5}"/>
            </a:ext>
          </a:extLst>
        </xdr:cNvPr>
        <xdr:cNvCxnSpPr/>
      </xdr:nvCxnSpPr>
      <xdr:spPr>
        <a:xfrm flipH="1">
          <a:off x="11410950" y="30203775"/>
          <a:ext cx="713678" cy="51278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158</xdr:row>
      <xdr:rowOff>0</xdr:rowOff>
    </xdr:from>
    <xdr:to>
      <xdr:col>12</xdr:col>
      <xdr:colOff>415767</xdr:colOff>
      <xdr:row>162</xdr:row>
      <xdr:rowOff>7793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5017AF64-7B3F-45C4-80F7-112B3EA9365C}"/>
            </a:ext>
          </a:extLst>
        </xdr:cNvPr>
        <xdr:cNvSpPr/>
      </xdr:nvSpPr>
      <xdr:spPr>
        <a:xfrm>
          <a:off x="7743825" y="30099000"/>
          <a:ext cx="1634967" cy="769793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Jenis</a:t>
          </a:r>
          <a:r>
            <a:rPr lang="en-US" sz="1100" baseline="0"/>
            <a:t> Kelamin</a:t>
          </a:r>
          <a:endParaRPr lang="en-US" sz="1100"/>
        </a:p>
      </xdr:txBody>
    </xdr:sp>
    <xdr:clientData/>
  </xdr:twoCellAnchor>
  <xdr:twoCellAnchor>
    <xdr:from>
      <xdr:col>11</xdr:col>
      <xdr:colOff>168117</xdr:colOff>
      <xdr:row>162</xdr:row>
      <xdr:rowOff>7793</xdr:rowOff>
    </xdr:from>
    <xdr:to>
      <xdr:col>11</xdr:col>
      <xdr:colOff>222171</xdr:colOff>
      <xdr:row>165</xdr:row>
      <xdr:rowOff>83994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526AF51-FDAC-49D0-99DD-B3E42F72E42E}"/>
            </a:ext>
          </a:extLst>
        </xdr:cNvPr>
        <xdr:cNvCxnSpPr/>
      </xdr:nvCxnSpPr>
      <xdr:spPr>
        <a:xfrm flipH="1">
          <a:off x="8521542" y="30868793"/>
          <a:ext cx="54054" cy="6477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181672</xdr:colOff>
      <xdr:row>161</xdr:row>
      <xdr:rowOff>85559</xdr:rowOff>
    </xdr:from>
    <xdr:to>
      <xdr:col>13</xdr:col>
      <xdr:colOff>130017</xdr:colOff>
      <xdr:row>164</xdr:row>
      <xdr:rowOff>7794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D891782-4355-4704-86D1-D037927FC26D}"/>
            </a:ext>
          </a:extLst>
        </xdr:cNvPr>
        <xdr:cNvCxnSpPr>
          <a:stCxn id="2" idx="5"/>
        </xdr:cNvCxnSpPr>
      </xdr:nvCxnSpPr>
      <xdr:spPr>
        <a:xfrm>
          <a:off x="9144697" y="30756059"/>
          <a:ext cx="557945" cy="4937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453867</xdr:colOff>
      <xdr:row>162</xdr:row>
      <xdr:rowOff>160194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BE6CA24A-7582-4566-BEB7-DDE37E3FA127}"/>
                </a:ext>
              </a:extLst>
            </xdr:cNvPr>
            <xdr:cNvSpPr txBox="1"/>
          </xdr:nvSpPr>
          <xdr:spPr>
            <a:xfrm>
              <a:off x="8197692" y="31021194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0</m:t>
                  </m:r>
                </m:oMath>
              </a14:m>
              <a:r>
                <a:rPr lang="en-US" sz="1100"/>
                <a:t> - &gt; 1</a:t>
              </a: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BE6CA24A-7582-4566-BEB7-DDE37E3FA127}"/>
                </a:ext>
              </a:extLst>
            </xdr:cNvPr>
            <xdr:cNvSpPr txBox="1"/>
          </xdr:nvSpPr>
          <xdr:spPr>
            <a:xfrm>
              <a:off x="8197692" y="31021194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0</a:t>
              </a:r>
              <a:r>
                <a:rPr lang="en-US" sz="1100"/>
                <a:t> - &gt; 1</a:t>
              </a:r>
            </a:p>
          </xdr:txBody>
        </xdr:sp>
      </mc:Fallback>
    </mc:AlternateContent>
    <xdr:clientData/>
  </xdr:oneCellAnchor>
  <xdr:twoCellAnchor>
    <xdr:from>
      <xdr:col>10</xdr:col>
      <xdr:colOff>368142</xdr:colOff>
      <xdr:row>165</xdr:row>
      <xdr:rowOff>74467</xdr:rowOff>
    </xdr:from>
    <xdr:to>
      <xdr:col>12</xdr:col>
      <xdr:colOff>110967</xdr:colOff>
      <xdr:row>168</xdr:row>
      <xdr:rowOff>140368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724A9E7D-5FB6-4D61-B362-040379E1FC9B}"/>
            </a:ext>
          </a:extLst>
        </xdr:cNvPr>
        <xdr:cNvSpPr/>
      </xdr:nvSpPr>
      <xdr:spPr>
        <a:xfrm>
          <a:off x="8449353" y="31506967"/>
          <a:ext cx="966035" cy="637401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27 Tinggi</a:t>
          </a:r>
        </a:p>
        <a:p>
          <a:pPr algn="l"/>
          <a:r>
            <a:rPr lang="en-US" sz="1100" baseline="0"/>
            <a:t>40 Sedang</a:t>
          </a:r>
        </a:p>
        <a:p>
          <a:pPr algn="l"/>
          <a:r>
            <a:rPr lang="en-US" sz="1100" baseline="0"/>
            <a:t>8 Rendah</a:t>
          </a:r>
        </a:p>
      </xdr:txBody>
    </xdr:sp>
    <xdr:clientData/>
  </xdr:twoCellAnchor>
  <xdr:twoCellAnchor>
    <xdr:from>
      <xdr:col>12</xdr:col>
      <xdr:colOff>377667</xdr:colOff>
      <xdr:row>164</xdr:row>
      <xdr:rowOff>17318</xdr:rowOff>
    </xdr:from>
    <xdr:to>
      <xdr:col>14</xdr:col>
      <xdr:colOff>187166</xdr:colOff>
      <xdr:row>167</xdr:row>
      <xdr:rowOff>80211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9797775-976E-486C-96CA-208C2D849F15}"/>
            </a:ext>
          </a:extLst>
        </xdr:cNvPr>
        <xdr:cNvSpPr/>
      </xdr:nvSpPr>
      <xdr:spPr>
        <a:xfrm>
          <a:off x="9682088" y="31259318"/>
          <a:ext cx="1032710" cy="634393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 Tinggi 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43 Sedang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Rendah</a:t>
          </a:r>
          <a:endParaRPr lang="en-US">
            <a:effectLst/>
          </a:endParaRPr>
        </a:p>
      </xdr:txBody>
    </xdr:sp>
    <xdr:clientData/>
  </xdr:twoCellAnchor>
  <xdr:oneCellAnchor>
    <xdr:from>
      <xdr:col>12</xdr:col>
      <xdr:colOff>425292</xdr:colOff>
      <xdr:row>161</xdr:row>
      <xdr:rowOff>114300</xdr:rowOff>
    </xdr:from>
    <xdr:ext cx="666750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7A30345-BF4C-45B0-B5BB-D72372EC5461}"/>
            </a:ext>
          </a:extLst>
        </xdr:cNvPr>
        <xdr:cNvSpPr txBox="1"/>
      </xdr:nvSpPr>
      <xdr:spPr>
        <a:xfrm>
          <a:off x="9388317" y="30784800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&gt;1</a:t>
          </a: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30321</xdr:colOff>
      <xdr:row>152</xdr:row>
      <xdr:rowOff>0</xdr:rowOff>
    </xdr:from>
    <xdr:to>
      <xdr:col>18</xdr:col>
      <xdr:colOff>447675</xdr:colOff>
      <xdr:row>156</xdr:row>
      <xdr:rowOff>7793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77DAB399-5081-4DC0-8428-DC7C969F7B0D}"/>
            </a:ext>
          </a:extLst>
        </xdr:cNvPr>
        <xdr:cNvSpPr/>
      </xdr:nvSpPr>
      <xdr:spPr>
        <a:xfrm>
          <a:off x="14984571" y="28956000"/>
          <a:ext cx="1631792" cy="769793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447675</xdr:colOff>
      <xdr:row>155</xdr:row>
      <xdr:rowOff>85559</xdr:rowOff>
    </xdr:from>
    <xdr:to>
      <xdr:col>16</xdr:col>
      <xdr:colOff>273941</xdr:colOff>
      <xdr:row>158</xdr:row>
      <xdr:rowOff>26844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4213906-A617-45AA-8A4A-9D1FE276188C}"/>
            </a:ext>
          </a:extLst>
        </xdr:cNvPr>
        <xdr:cNvCxnSpPr>
          <a:stCxn id="2" idx="3"/>
        </xdr:cNvCxnSpPr>
      </xdr:nvCxnSpPr>
      <xdr:spPr>
        <a:xfrm flipH="1">
          <a:off x="14520863" y="29613059"/>
          <a:ext cx="707328" cy="51278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165894</xdr:colOff>
      <xdr:row>155</xdr:row>
      <xdr:rowOff>188768</xdr:rowOff>
    </xdr:from>
    <xdr:to>
      <xdr:col>17</xdr:col>
      <xdr:colOff>219948</xdr:colOff>
      <xdr:row>159</xdr:row>
      <xdr:rowOff>74469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58159C1F-D0A5-41DA-B3FD-9831AD72D932}"/>
            </a:ext>
          </a:extLst>
        </xdr:cNvPr>
        <xdr:cNvCxnSpPr/>
      </xdr:nvCxnSpPr>
      <xdr:spPr>
        <a:xfrm flipH="1">
          <a:off x="15727363" y="29716268"/>
          <a:ext cx="54054" cy="6477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204055</xdr:colOff>
      <xdr:row>155</xdr:row>
      <xdr:rowOff>85559</xdr:rowOff>
    </xdr:from>
    <xdr:to>
      <xdr:col>19</xdr:col>
      <xdr:colOff>157957</xdr:colOff>
      <xdr:row>158</xdr:row>
      <xdr:rowOff>7794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7CD4446-10F5-4EBF-97DE-1526FA3EAA14}"/>
            </a:ext>
          </a:extLst>
        </xdr:cNvPr>
        <xdr:cNvCxnSpPr>
          <a:stCxn id="2" idx="5"/>
        </xdr:cNvCxnSpPr>
      </xdr:nvCxnSpPr>
      <xdr:spPr>
        <a:xfrm>
          <a:off x="16372743" y="29613059"/>
          <a:ext cx="561120" cy="4937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158</xdr:row>
      <xdr:rowOff>55418</xdr:rowOff>
    </xdr:from>
    <xdr:to>
      <xdr:col>16</xdr:col>
      <xdr:colOff>7938</xdr:colOff>
      <xdr:row>160</xdr:row>
      <xdr:rowOff>150669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D5857FA-5DB0-45D1-AD35-C352F977DA35}"/>
            </a:ext>
          </a:extLst>
        </xdr:cNvPr>
        <xdr:cNvSpPr/>
      </xdr:nvSpPr>
      <xdr:spPr>
        <a:xfrm>
          <a:off x="14073188" y="30154418"/>
          <a:ext cx="889000" cy="476251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6 Sedang</a:t>
          </a:r>
        </a:p>
        <a:p>
          <a:pPr algn="l"/>
          <a:r>
            <a:rPr lang="en-US" sz="1100" baseline="0"/>
            <a:t>18 Rendah</a:t>
          </a:r>
          <a:endParaRPr lang="en-US" sz="1100"/>
        </a:p>
      </xdr:txBody>
    </xdr:sp>
    <xdr:clientData/>
  </xdr:twoCellAnchor>
  <xdr:oneCellAnchor>
    <xdr:from>
      <xdr:col>15</xdr:col>
      <xdr:colOff>285750</xdr:colOff>
      <xdr:row>155</xdr:row>
      <xdr:rowOff>112569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EC283A7-5BF7-4DAA-929A-80491BA4814C}"/>
            </a:ext>
          </a:extLst>
        </xdr:cNvPr>
        <xdr:cNvSpPr txBox="1"/>
      </xdr:nvSpPr>
      <xdr:spPr>
        <a:xfrm>
          <a:off x="14358938" y="29640069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&lt;11,77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293688</xdr:colOff>
      <xdr:row>156</xdr:row>
      <xdr:rowOff>131619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CFC233-C3FF-4AF8-B228-C60251F690A2}"/>
                </a:ext>
              </a:extLst>
            </xdr:cNvPr>
            <xdr:cNvSpPr txBox="1"/>
          </xdr:nvSpPr>
          <xdr:spPr>
            <a:xfrm>
              <a:off x="15247938" y="29849619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11,77 - &gt; 24,90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CFC233-C3FF-4AF8-B228-C60251F690A2}"/>
                </a:ext>
              </a:extLst>
            </xdr:cNvPr>
            <xdr:cNvSpPr txBox="1"/>
          </xdr:nvSpPr>
          <xdr:spPr>
            <a:xfrm>
              <a:off x="15247938" y="29849619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11,77 - &gt; 24,90</a:t>
              </a:r>
            </a:p>
          </xdr:txBody>
        </xdr:sp>
      </mc:Fallback>
    </mc:AlternateContent>
    <xdr:clientData/>
  </xdr:oneCellAnchor>
  <xdr:twoCellAnchor>
    <xdr:from>
      <xdr:col>16</xdr:col>
      <xdr:colOff>369888</xdr:colOff>
      <xdr:row>159</xdr:row>
      <xdr:rowOff>64943</xdr:rowOff>
    </xdr:from>
    <xdr:to>
      <xdr:col>18</xdr:col>
      <xdr:colOff>38100</xdr:colOff>
      <xdr:row>161</xdr:row>
      <xdr:rowOff>158750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3CABD609-FC72-48B7-AF91-D48D09A44682}"/>
            </a:ext>
          </a:extLst>
        </xdr:cNvPr>
        <xdr:cNvSpPr/>
      </xdr:nvSpPr>
      <xdr:spPr>
        <a:xfrm>
          <a:off x="15324138" y="30354443"/>
          <a:ext cx="882650" cy="47480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44 Tinggi</a:t>
          </a:r>
        </a:p>
        <a:p>
          <a:pPr algn="l"/>
          <a:r>
            <a:rPr lang="en-US" sz="1100" baseline="0"/>
            <a:t>66 Sedang</a:t>
          </a:r>
        </a:p>
      </xdr:txBody>
    </xdr:sp>
    <xdr:clientData/>
  </xdr:twoCellAnchor>
  <xdr:twoCellAnchor>
    <xdr:from>
      <xdr:col>18</xdr:col>
      <xdr:colOff>381001</xdr:colOff>
      <xdr:row>158</xdr:row>
      <xdr:rowOff>7794</xdr:rowOff>
    </xdr:from>
    <xdr:to>
      <xdr:col>19</xdr:col>
      <xdr:colOff>605633</xdr:colOff>
      <xdr:row>159</xdr:row>
      <xdr:rowOff>160194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5CE5C197-8FF9-4ACB-A776-CD85588C31BE}"/>
            </a:ext>
          </a:extLst>
        </xdr:cNvPr>
        <xdr:cNvSpPr/>
      </xdr:nvSpPr>
      <xdr:spPr>
        <a:xfrm>
          <a:off x="16549689" y="30106794"/>
          <a:ext cx="831850" cy="3429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29 </a:t>
          </a:r>
          <a:r>
            <a:rPr lang="en-US" sz="1100"/>
            <a:t>Tinggi</a:t>
          </a:r>
        </a:p>
      </xdr:txBody>
    </xdr:sp>
    <xdr:clientData/>
  </xdr:twoCellAnchor>
  <xdr:oneCellAnchor>
    <xdr:from>
      <xdr:col>18</xdr:col>
      <xdr:colOff>428625</xdr:colOff>
      <xdr:row>155</xdr:row>
      <xdr:rowOff>104775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B63AA3EB-91A1-4297-9443-B19C75B66857}"/>
            </a:ext>
          </a:extLst>
        </xdr:cNvPr>
        <xdr:cNvSpPr txBox="1"/>
      </xdr:nvSpPr>
      <xdr:spPr>
        <a:xfrm>
          <a:off x="16597313" y="29632275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&gt;24,90</a:t>
          </a: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283954</xdr:colOff>
      <xdr:row>158</xdr:row>
      <xdr:rowOff>0</xdr:rowOff>
    </xdr:from>
    <xdr:to>
      <xdr:col>19</xdr:col>
      <xdr:colOff>442180</xdr:colOff>
      <xdr:row>162</xdr:row>
      <xdr:rowOff>15120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1A7098B4-740A-49C3-9130-3B23F5469A2F}"/>
            </a:ext>
          </a:extLst>
        </xdr:cNvPr>
        <xdr:cNvSpPr/>
      </xdr:nvSpPr>
      <xdr:spPr>
        <a:xfrm>
          <a:off x="12342604" y="30099000"/>
          <a:ext cx="1987026" cy="77712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Usia</a:t>
          </a:r>
        </a:p>
      </xdr:txBody>
    </xdr:sp>
    <xdr:clientData/>
  </xdr:twoCellAnchor>
  <xdr:twoCellAnchor>
    <xdr:from>
      <xdr:col>15</xdr:col>
      <xdr:colOff>419100</xdr:colOff>
      <xdr:row>161</xdr:row>
      <xdr:rowOff>92886</xdr:rowOff>
    </xdr:from>
    <xdr:to>
      <xdr:col>16</xdr:col>
      <xdr:colOff>527574</xdr:colOff>
      <xdr:row>164</xdr:row>
      <xdr:rowOff>37834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055B828-5F0A-496B-A957-DF44AB4C51BA}"/>
            </a:ext>
          </a:extLst>
        </xdr:cNvPr>
        <xdr:cNvCxnSpPr>
          <a:stCxn id="2" idx="3"/>
        </xdr:cNvCxnSpPr>
      </xdr:nvCxnSpPr>
      <xdr:spPr>
        <a:xfrm flipH="1">
          <a:off x="11868150" y="30763386"/>
          <a:ext cx="718074" cy="51644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185737</xdr:colOff>
      <xdr:row>162</xdr:row>
      <xdr:rowOff>15120</xdr:rowOff>
    </xdr:from>
    <xdr:to>
      <xdr:col>18</xdr:col>
      <xdr:colOff>239791</xdr:colOff>
      <xdr:row>165</xdr:row>
      <xdr:rowOff>98648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3036F05-7777-45D2-8243-390C2C77805D}"/>
            </a:ext>
          </a:extLst>
        </xdr:cNvPr>
        <xdr:cNvCxnSpPr/>
      </xdr:nvCxnSpPr>
      <xdr:spPr>
        <a:xfrm flipH="1">
          <a:off x="13463587" y="30876120"/>
          <a:ext cx="54054" cy="6550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203689</xdr:colOff>
      <xdr:row>161</xdr:row>
      <xdr:rowOff>92886</xdr:rowOff>
    </xdr:from>
    <xdr:to>
      <xdr:col>20</xdr:col>
      <xdr:colOff>156430</xdr:colOff>
      <xdr:row>164</xdr:row>
      <xdr:rowOff>18784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0CA8836F-5741-4F54-9D41-8398C18AC33E}"/>
            </a:ext>
          </a:extLst>
        </xdr:cNvPr>
        <xdr:cNvCxnSpPr>
          <a:stCxn id="2" idx="5"/>
        </xdr:cNvCxnSpPr>
      </xdr:nvCxnSpPr>
      <xdr:spPr>
        <a:xfrm>
          <a:off x="14091139" y="30763386"/>
          <a:ext cx="562341" cy="49739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164</xdr:row>
      <xdr:rowOff>77765</xdr:rowOff>
    </xdr:from>
    <xdr:to>
      <xdr:col>16</xdr:col>
      <xdr:colOff>404446</xdr:colOff>
      <xdr:row>167</xdr:row>
      <xdr:rowOff>123092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7D7669A0-9A86-408C-86F5-C0735504C0CE}"/>
            </a:ext>
          </a:extLst>
        </xdr:cNvPr>
        <xdr:cNvSpPr/>
      </xdr:nvSpPr>
      <xdr:spPr>
        <a:xfrm>
          <a:off x="11449050" y="31319765"/>
          <a:ext cx="1014046" cy="61682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17 Dewasa</a:t>
          </a:r>
        </a:p>
        <a:p>
          <a:pPr algn="l"/>
          <a:r>
            <a:rPr lang="en-US" sz="1100" baseline="0"/>
            <a:t>22 Anak-Anak</a:t>
          </a:r>
        </a:p>
        <a:p>
          <a:pPr algn="l"/>
          <a:r>
            <a:rPr lang="en-US" sz="1100" baseline="0"/>
            <a:t>1 Lansia</a:t>
          </a:r>
          <a:endParaRPr lang="en-US" sz="1100"/>
        </a:p>
      </xdr:txBody>
    </xdr:sp>
    <xdr:clientData/>
  </xdr:twoCellAnchor>
  <xdr:oneCellAnchor>
    <xdr:from>
      <xdr:col>15</xdr:col>
      <xdr:colOff>285750</xdr:colOff>
      <xdr:row>161</xdr:row>
      <xdr:rowOff>129421</xdr:rowOff>
    </xdr:from>
    <xdr:ext cx="66675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C410147-9CBA-4C7C-9D21-E240D4E37726}"/>
            </a:ext>
          </a:extLst>
        </xdr:cNvPr>
        <xdr:cNvSpPr txBox="1"/>
      </xdr:nvSpPr>
      <xdr:spPr>
        <a:xfrm>
          <a:off x="11734800" y="30799921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&lt;17,31</a:t>
          </a:r>
          <a:endParaRPr lang="en-US">
            <a:effectLst/>
          </a:endParaRPr>
        </a:p>
      </xdr:txBody>
    </xdr:sp>
    <xdr:clientData/>
  </xdr:oneCellAnchor>
  <xdr:oneCellAnchor>
    <xdr:from>
      <xdr:col>17</xdr:col>
      <xdr:colOff>277690</xdr:colOff>
      <xdr:row>163</xdr:row>
      <xdr:rowOff>14755</xdr:rowOff>
    </xdr:from>
    <xdr:ext cx="1236785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CA4AD57-3734-47D4-8128-192FCDA79C5B}"/>
                </a:ext>
              </a:extLst>
            </xdr:cNvPr>
            <xdr:cNvSpPr txBox="1"/>
          </xdr:nvSpPr>
          <xdr:spPr>
            <a:xfrm>
              <a:off x="12945940" y="31066255"/>
              <a:ext cx="1236785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17,31</m:t>
                  </m:r>
                </m:oMath>
              </a14:m>
              <a:r>
                <a:rPr lang="en-US" sz="1100"/>
                <a:t> - &gt; 54,61</a:t>
              </a: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CA4AD57-3734-47D4-8128-192FCDA79C5B}"/>
                </a:ext>
              </a:extLst>
            </xdr:cNvPr>
            <xdr:cNvSpPr txBox="1"/>
          </xdr:nvSpPr>
          <xdr:spPr>
            <a:xfrm>
              <a:off x="12945940" y="31066255"/>
              <a:ext cx="1236785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17,31</a:t>
              </a:r>
              <a:r>
                <a:rPr lang="en-US" sz="1100"/>
                <a:t> - &gt; 54,61</a:t>
              </a:r>
            </a:p>
          </xdr:txBody>
        </xdr:sp>
      </mc:Fallback>
    </mc:AlternateContent>
    <xdr:clientData/>
  </xdr:oneCellAnchor>
  <xdr:twoCellAnchor>
    <xdr:from>
      <xdr:col>17</xdr:col>
      <xdr:colOff>385762</xdr:colOff>
      <xdr:row>165</xdr:row>
      <xdr:rowOff>89122</xdr:rowOff>
    </xdr:from>
    <xdr:to>
      <xdr:col>19</xdr:col>
      <xdr:colOff>209550</xdr:colOff>
      <xdr:row>168</xdr:row>
      <xdr:rowOff>180975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9C6A27F-95C7-4AA0-B0CA-94AD5F2049C7}"/>
            </a:ext>
          </a:extLst>
        </xdr:cNvPr>
        <xdr:cNvSpPr/>
      </xdr:nvSpPr>
      <xdr:spPr>
        <a:xfrm>
          <a:off x="13054012" y="31521622"/>
          <a:ext cx="1042988" cy="663353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36 Dewasa</a:t>
          </a:r>
        </a:p>
        <a:p>
          <a:pPr algn="l"/>
          <a:r>
            <a:rPr lang="en-US" sz="1100" baseline="0"/>
            <a:t>45 Anak-Anak</a:t>
          </a:r>
        </a:p>
        <a:p>
          <a:pPr algn="l"/>
          <a:r>
            <a:rPr lang="en-US" sz="1100" baseline="0"/>
            <a:t>8 Lansia</a:t>
          </a:r>
        </a:p>
      </xdr:txBody>
    </xdr:sp>
    <xdr:clientData/>
  </xdr:twoCellAnchor>
  <xdr:twoCellAnchor>
    <xdr:from>
      <xdr:col>19</xdr:col>
      <xdr:colOff>404080</xdr:colOff>
      <xdr:row>164</xdr:row>
      <xdr:rowOff>28307</xdr:rowOff>
    </xdr:from>
    <xdr:to>
      <xdr:col>21</xdr:col>
      <xdr:colOff>213579</xdr:colOff>
      <xdr:row>167</xdr:row>
      <xdr:rowOff>104774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842C5626-E254-4412-9288-B2B934AF2DAB}"/>
            </a:ext>
          </a:extLst>
        </xdr:cNvPr>
        <xdr:cNvSpPr/>
      </xdr:nvSpPr>
      <xdr:spPr>
        <a:xfrm>
          <a:off x="14291530" y="31270307"/>
          <a:ext cx="1028699" cy="64796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16 Dewasa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17 Anak-Anak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Lansia</a:t>
          </a:r>
          <a:endParaRPr lang="en-US">
            <a:effectLst/>
          </a:endParaRPr>
        </a:p>
      </xdr:txBody>
    </xdr:sp>
    <xdr:clientData/>
  </xdr:twoCellAnchor>
  <xdr:oneCellAnchor>
    <xdr:from>
      <xdr:col>19</xdr:col>
      <xdr:colOff>451705</xdr:colOff>
      <xdr:row>161</xdr:row>
      <xdr:rowOff>121627</xdr:rowOff>
    </xdr:from>
    <xdr:ext cx="66675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7F16141-FB89-4F23-A23B-27A039AF66FF}"/>
            </a:ext>
          </a:extLst>
        </xdr:cNvPr>
        <xdr:cNvSpPr txBox="1"/>
      </xdr:nvSpPr>
      <xdr:spPr>
        <a:xfrm>
          <a:off x="14339155" y="30792127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&gt;54,61</a:t>
          </a: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889158</xdr:colOff>
      <xdr:row>157</xdr:row>
      <xdr:rowOff>0</xdr:rowOff>
    </xdr:from>
    <xdr:to>
      <xdr:col>17</xdr:col>
      <xdr:colOff>228600</xdr:colOff>
      <xdr:row>161</xdr:row>
      <xdr:rowOff>7793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F3A330E9-1B32-4897-BAB7-4683B3E5BF8A}"/>
            </a:ext>
          </a:extLst>
        </xdr:cNvPr>
        <xdr:cNvSpPr/>
      </xdr:nvSpPr>
      <xdr:spPr>
        <a:xfrm>
          <a:off x="11585733" y="29908500"/>
          <a:ext cx="1634967" cy="769793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Lama</a:t>
          </a:r>
          <a:r>
            <a:rPr lang="en-US" sz="1100" baseline="0"/>
            <a:t> Rawat Inap</a:t>
          </a:r>
          <a:endParaRPr lang="en-US" sz="1100"/>
        </a:p>
      </xdr:txBody>
    </xdr:sp>
    <xdr:clientData/>
  </xdr:twoCellAnchor>
  <xdr:twoCellAnchor>
    <xdr:from>
      <xdr:col>15</xdr:col>
      <xdr:colOff>590550</xdr:colOff>
      <xdr:row>161</xdr:row>
      <xdr:rowOff>7793</xdr:rowOff>
    </xdr:from>
    <xdr:to>
      <xdr:col>16</xdr:col>
      <xdr:colOff>35004</xdr:colOff>
      <xdr:row>164</xdr:row>
      <xdr:rowOff>83994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5046EB4-6C97-40DA-8FA3-308A1AFDAF11}"/>
            </a:ext>
          </a:extLst>
        </xdr:cNvPr>
        <xdr:cNvCxnSpPr/>
      </xdr:nvCxnSpPr>
      <xdr:spPr>
        <a:xfrm flipH="1">
          <a:off x="12363450" y="30678293"/>
          <a:ext cx="54054" cy="6477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604105</xdr:colOff>
      <xdr:row>160</xdr:row>
      <xdr:rowOff>85559</xdr:rowOff>
    </xdr:from>
    <xdr:to>
      <xdr:col>17</xdr:col>
      <xdr:colOff>552450</xdr:colOff>
      <xdr:row>163</xdr:row>
      <xdr:rowOff>7794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BF706470-60E6-4AFC-8C14-0F953C9B99C6}"/>
            </a:ext>
          </a:extLst>
        </xdr:cNvPr>
        <xdr:cNvCxnSpPr>
          <a:stCxn id="2" idx="5"/>
        </xdr:cNvCxnSpPr>
      </xdr:nvCxnSpPr>
      <xdr:spPr>
        <a:xfrm>
          <a:off x="12986605" y="30565559"/>
          <a:ext cx="557945" cy="4937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163</xdr:row>
      <xdr:rowOff>64943</xdr:rowOff>
    </xdr:from>
    <xdr:to>
      <xdr:col>14</xdr:col>
      <xdr:colOff>1009650</xdr:colOff>
      <xdr:row>166</xdr:row>
      <xdr:rowOff>104775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55B5499-E339-4366-851D-17163107847C}"/>
            </a:ext>
          </a:extLst>
        </xdr:cNvPr>
        <xdr:cNvSpPr/>
      </xdr:nvSpPr>
      <xdr:spPr>
        <a:xfrm>
          <a:off x="10696575" y="31116443"/>
          <a:ext cx="1009650" cy="61133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20 Sedang</a:t>
          </a:r>
        </a:p>
        <a:p>
          <a:pPr algn="l"/>
          <a:r>
            <a:rPr lang="en-US" sz="1100" baseline="0"/>
            <a:t>11 Lama</a:t>
          </a:r>
        </a:p>
        <a:p>
          <a:pPr algn="l"/>
          <a:r>
            <a:rPr lang="en-US" sz="1100" baseline="0"/>
            <a:t>4 Singkat</a:t>
          </a:r>
          <a:endParaRPr lang="en-US" sz="1100"/>
        </a:p>
      </xdr:txBody>
    </xdr:sp>
    <xdr:clientData/>
  </xdr:twoCellAnchor>
  <xdr:oneCellAnchor>
    <xdr:from>
      <xdr:col>14</xdr:col>
      <xdr:colOff>285750</xdr:colOff>
      <xdr:row>160</xdr:row>
      <xdr:rowOff>122094</xdr:rowOff>
    </xdr:from>
    <xdr:ext cx="66675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D6D817A-ACA9-4CAA-BD02-04B5E80800DA}"/>
            </a:ext>
          </a:extLst>
        </xdr:cNvPr>
        <xdr:cNvSpPr txBox="1"/>
      </xdr:nvSpPr>
      <xdr:spPr>
        <a:xfrm>
          <a:off x="10982325" y="30602094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&lt;2,47</a:t>
          </a:r>
          <a:endParaRPr lang="en-US">
            <a:effectLst/>
          </a:endParaRPr>
        </a:p>
      </xdr:txBody>
    </xdr:sp>
    <xdr:clientData/>
  </xdr:oneCellAnchor>
  <xdr:oneCellAnchor>
    <xdr:from>
      <xdr:col>15</xdr:col>
      <xdr:colOff>104775</xdr:colOff>
      <xdr:row>161</xdr:row>
      <xdr:rowOff>141144</xdr:rowOff>
    </xdr:from>
    <xdr:ext cx="1162050" cy="2645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40E015B-9302-46B7-800A-D640A6B2785D}"/>
                </a:ext>
              </a:extLst>
            </xdr:cNvPr>
            <xdr:cNvSpPr txBox="1"/>
          </xdr:nvSpPr>
          <xdr:spPr>
            <a:xfrm>
              <a:off x="11877675" y="30811644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2,47</m:t>
                  </m:r>
                </m:oMath>
              </a14:m>
              <a:r>
                <a:rPr lang="en-US" sz="1100"/>
                <a:t> - &gt; 4,63</a:t>
              </a: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40E015B-9302-46B7-800A-D640A6B2785D}"/>
                </a:ext>
              </a:extLst>
            </xdr:cNvPr>
            <xdr:cNvSpPr txBox="1"/>
          </xdr:nvSpPr>
          <xdr:spPr>
            <a:xfrm>
              <a:off x="11877675" y="30811644"/>
              <a:ext cx="1162050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2,47</a:t>
              </a:r>
              <a:r>
                <a:rPr lang="en-US" sz="1100"/>
                <a:t> - &gt; 4,63</a:t>
              </a:r>
            </a:p>
          </xdr:txBody>
        </xdr:sp>
      </mc:Fallback>
    </mc:AlternateContent>
    <xdr:clientData/>
  </xdr:oneCellAnchor>
  <xdr:twoCellAnchor>
    <xdr:from>
      <xdr:col>15</xdr:col>
      <xdr:colOff>180975</xdr:colOff>
      <xdr:row>164</xdr:row>
      <xdr:rowOff>74468</xdr:rowOff>
    </xdr:from>
    <xdr:to>
      <xdr:col>16</xdr:col>
      <xdr:colOff>533400</xdr:colOff>
      <xdr:row>168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F42E6D6C-B2A3-4AF4-AF12-594C3C8B6CD1}"/>
            </a:ext>
          </a:extLst>
        </xdr:cNvPr>
        <xdr:cNvSpPr/>
      </xdr:nvSpPr>
      <xdr:spPr>
        <a:xfrm>
          <a:off x="11953875" y="31316468"/>
          <a:ext cx="962025" cy="68753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37 Sedang</a:t>
          </a:r>
        </a:p>
        <a:p>
          <a:pPr algn="l"/>
          <a:r>
            <a:rPr lang="en-US" sz="1100" baseline="0"/>
            <a:t>41 Lama</a:t>
          </a:r>
        </a:p>
        <a:p>
          <a:pPr algn="l"/>
          <a:r>
            <a:rPr lang="en-US" sz="1100" baseline="0"/>
            <a:t>11 Singkat</a:t>
          </a:r>
        </a:p>
      </xdr:txBody>
    </xdr:sp>
    <xdr:clientData/>
  </xdr:twoCellAnchor>
  <xdr:twoCellAnchor>
    <xdr:from>
      <xdr:col>17</xdr:col>
      <xdr:colOff>190500</xdr:colOff>
      <xdr:row>163</xdr:row>
      <xdr:rowOff>17318</xdr:rowOff>
    </xdr:from>
    <xdr:to>
      <xdr:col>18</xdr:col>
      <xdr:colOff>609599</xdr:colOff>
      <xdr:row>166</xdr:row>
      <xdr:rowOff>95250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D496DB6-572C-44A5-A651-27966DCB774E}"/>
            </a:ext>
          </a:extLst>
        </xdr:cNvPr>
        <xdr:cNvSpPr/>
      </xdr:nvSpPr>
      <xdr:spPr>
        <a:xfrm>
          <a:off x="13182600" y="31068818"/>
          <a:ext cx="1028699" cy="64943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 Sedang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21 Lama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Singkat</a:t>
          </a:r>
          <a:endParaRPr lang="en-US">
            <a:effectLst/>
          </a:endParaRPr>
        </a:p>
      </xdr:txBody>
    </xdr:sp>
    <xdr:clientData/>
  </xdr:twoCellAnchor>
  <xdr:oneCellAnchor>
    <xdr:from>
      <xdr:col>17</xdr:col>
      <xdr:colOff>209550</xdr:colOff>
      <xdr:row>160</xdr:row>
      <xdr:rowOff>114300</xdr:rowOff>
    </xdr:from>
    <xdr:ext cx="666750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27876A6-B5B9-4F6B-816C-8CF06756C915}"/>
            </a:ext>
          </a:extLst>
        </xdr:cNvPr>
        <xdr:cNvSpPr txBox="1"/>
      </xdr:nvSpPr>
      <xdr:spPr>
        <a:xfrm>
          <a:off x="13201650" y="30594300"/>
          <a:ext cx="6667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&gt;4.63</a:t>
          </a:r>
        </a:p>
      </xdr:txBody>
    </xdr:sp>
    <xdr:clientData/>
  </xdr:oneCellAnchor>
  <xdr:twoCellAnchor>
    <xdr:from>
      <xdr:col>14</xdr:col>
      <xdr:colOff>457200</xdr:colOff>
      <xdr:row>160</xdr:row>
      <xdr:rowOff>104775</xdr:rowOff>
    </xdr:from>
    <xdr:to>
      <xdr:col>15</xdr:col>
      <xdr:colOff>94553</xdr:colOff>
      <xdr:row>163</xdr:row>
      <xdr:rowOff>46060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4CC6DE3E-DC59-4C92-B93D-AB3373493676}"/>
            </a:ext>
          </a:extLst>
        </xdr:cNvPr>
        <xdr:cNvCxnSpPr/>
      </xdr:nvCxnSpPr>
      <xdr:spPr>
        <a:xfrm flipH="1">
          <a:off x="11153775" y="30584775"/>
          <a:ext cx="713678" cy="51278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Copy%20of%20Data_DBD2.xlsx" TargetMode="External"/><Relationship Id="rId2" Type="http://schemas.openxmlformats.org/officeDocument/2006/relationships/externalLinkPath" Target="file:///C:\Users\USER\Downloads\Copy%20of%20Data_DBD2.xlsx" TargetMode="External"/><Relationship Id="rId1" Type="http://schemas.openxmlformats.org/officeDocument/2006/relationships/externalLinkPath" Target="/Users/USER/Downloads/Copy%20of%20Data_DBD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_DBD"/>
      <sheetName val="Sampel 1"/>
      <sheetName val="Sampel2(1)"/>
      <sheetName val="Sheet1"/>
      <sheetName val="Sampel2(3)"/>
      <sheetName val="Sampel2(4)"/>
      <sheetName val="Sampel2(5)"/>
    </sheetNames>
    <sheetDataSet>
      <sheetData sheetId="0">
        <row r="1">
          <cell r="B1" t="str">
            <v>Usia</v>
          </cell>
          <cell r="C1" t="str">
            <v>Lama Rawat Inap</v>
          </cell>
          <cell r="E1" t="str">
            <v>Jenis Kelamin</v>
          </cell>
          <cell r="F1" t="str">
            <v>Tingkat Resiko</v>
          </cell>
        </row>
        <row r="2">
          <cell r="B2">
            <v>34</v>
          </cell>
          <cell r="C2">
            <v>3</v>
          </cell>
          <cell r="E2">
            <v>0</v>
          </cell>
          <cell r="F2" t="str">
            <v>Sedang</v>
          </cell>
        </row>
        <row r="3">
          <cell r="B3">
            <v>43</v>
          </cell>
          <cell r="C3">
            <v>3</v>
          </cell>
          <cell r="E3">
            <v>1</v>
          </cell>
          <cell r="F3" t="str">
            <v>Sedang</v>
          </cell>
        </row>
        <row r="4">
          <cell r="B4">
            <v>23</v>
          </cell>
          <cell r="C4">
            <v>5</v>
          </cell>
          <cell r="E4">
            <v>0</v>
          </cell>
          <cell r="F4" t="str">
            <v>Sedang</v>
          </cell>
        </row>
        <row r="5">
          <cell r="B5">
            <v>18</v>
          </cell>
          <cell r="C5">
            <v>2</v>
          </cell>
          <cell r="E5">
            <v>1</v>
          </cell>
          <cell r="F5" t="str">
            <v>Sedang</v>
          </cell>
        </row>
        <row r="6">
          <cell r="B6">
            <v>14</v>
          </cell>
          <cell r="C6">
            <v>4</v>
          </cell>
          <cell r="E6">
            <v>0</v>
          </cell>
          <cell r="F6" t="str">
            <v>Sedang</v>
          </cell>
        </row>
        <row r="7">
          <cell r="B7">
            <v>12</v>
          </cell>
          <cell r="C7">
            <v>1</v>
          </cell>
          <cell r="E7">
            <v>1</v>
          </cell>
          <cell r="F7" t="str">
            <v>Sedang</v>
          </cell>
        </row>
        <row r="8">
          <cell r="B8">
            <v>4</v>
          </cell>
          <cell r="C8">
            <v>2</v>
          </cell>
          <cell r="E8">
            <v>0</v>
          </cell>
          <cell r="F8" t="str">
            <v>Sedang</v>
          </cell>
        </row>
        <row r="9">
          <cell r="B9">
            <v>16</v>
          </cell>
          <cell r="C9">
            <v>6</v>
          </cell>
          <cell r="E9">
            <v>1</v>
          </cell>
          <cell r="F9" t="str">
            <v>Sedang</v>
          </cell>
        </row>
        <row r="10">
          <cell r="B10">
            <v>18</v>
          </cell>
          <cell r="C10">
            <v>5</v>
          </cell>
          <cell r="E10">
            <v>0</v>
          </cell>
          <cell r="F10" t="str">
            <v>Sedang</v>
          </cell>
        </row>
        <row r="11">
          <cell r="B11">
            <v>24</v>
          </cell>
          <cell r="C11">
            <v>5</v>
          </cell>
          <cell r="E11">
            <v>1</v>
          </cell>
          <cell r="F11" t="str">
            <v>Sedang</v>
          </cell>
        </row>
        <row r="12">
          <cell r="B12">
            <v>23</v>
          </cell>
          <cell r="C12">
            <v>3</v>
          </cell>
          <cell r="E12">
            <v>0</v>
          </cell>
          <cell r="F12" t="str">
            <v>Sedang</v>
          </cell>
        </row>
        <row r="13">
          <cell r="B13">
            <v>47</v>
          </cell>
          <cell r="C13">
            <v>2</v>
          </cell>
          <cell r="E13">
            <v>0</v>
          </cell>
          <cell r="F13" t="str">
            <v>Sedang</v>
          </cell>
        </row>
        <row r="14">
          <cell r="B14">
            <v>49</v>
          </cell>
          <cell r="C14">
            <v>4</v>
          </cell>
          <cell r="E14">
            <v>1</v>
          </cell>
          <cell r="F14" t="str">
            <v>Rendah</v>
          </cell>
        </row>
        <row r="15">
          <cell r="B15">
            <v>21</v>
          </cell>
          <cell r="C15">
            <v>2</v>
          </cell>
          <cell r="E15">
            <v>0</v>
          </cell>
          <cell r="F15" t="str">
            <v>Rendah</v>
          </cell>
        </row>
        <row r="16">
          <cell r="B16">
            <v>66</v>
          </cell>
          <cell r="C16">
            <v>5</v>
          </cell>
          <cell r="E16">
            <v>1</v>
          </cell>
          <cell r="F16" t="str">
            <v>Rendah</v>
          </cell>
        </row>
        <row r="17">
          <cell r="B17">
            <v>2</v>
          </cell>
          <cell r="C17">
            <v>3</v>
          </cell>
          <cell r="E17">
            <v>0</v>
          </cell>
          <cell r="F17" t="str">
            <v>Rendah</v>
          </cell>
        </row>
        <row r="18">
          <cell r="B18">
            <v>49</v>
          </cell>
          <cell r="C18">
            <v>4</v>
          </cell>
          <cell r="E18">
            <v>1</v>
          </cell>
          <cell r="F18" t="str">
            <v>Rendah</v>
          </cell>
        </row>
        <row r="19">
          <cell r="B19">
            <v>8</v>
          </cell>
          <cell r="C19">
            <v>4</v>
          </cell>
          <cell r="E19">
            <v>0</v>
          </cell>
          <cell r="F19" t="str">
            <v>Rendah</v>
          </cell>
        </row>
        <row r="20">
          <cell r="B20">
            <v>15</v>
          </cell>
          <cell r="C20">
            <v>5</v>
          </cell>
          <cell r="E20">
            <v>0</v>
          </cell>
          <cell r="F20" t="str">
            <v>Rendah</v>
          </cell>
        </row>
        <row r="21">
          <cell r="B21">
            <v>10</v>
          </cell>
          <cell r="C21">
            <v>5</v>
          </cell>
          <cell r="E21">
            <v>1</v>
          </cell>
          <cell r="F21" t="str">
            <v>Sedang</v>
          </cell>
        </row>
        <row r="22">
          <cell r="B22">
            <v>6</v>
          </cell>
          <cell r="C22">
            <v>3</v>
          </cell>
          <cell r="E22">
            <v>0</v>
          </cell>
          <cell r="F22" t="str">
            <v>Sedang</v>
          </cell>
        </row>
        <row r="23">
          <cell r="B23">
            <v>28</v>
          </cell>
          <cell r="C23">
            <v>4</v>
          </cell>
          <cell r="E23">
            <v>1</v>
          </cell>
          <cell r="F23" t="str">
            <v>Sedang</v>
          </cell>
        </row>
        <row r="24">
          <cell r="B24">
            <v>60</v>
          </cell>
          <cell r="C24">
            <v>4</v>
          </cell>
          <cell r="E24">
            <v>0</v>
          </cell>
          <cell r="F24" t="str">
            <v>Sedang</v>
          </cell>
        </row>
        <row r="25">
          <cell r="B25">
            <v>81</v>
          </cell>
          <cell r="C25">
            <v>5</v>
          </cell>
          <cell r="E25">
            <v>0</v>
          </cell>
          <cell r="F25" t="str">
            <v>Sedang</v>
          </cell>
        </row>
        <row r="26">
          <cell r="B26">
            <v>75</v>
          </cell>
          <cell r="C26">
            <v>4</v>
          </cell>
          <cell r="E26">
            <v>1</v>
          </cell>
          <cell r="F26" t="str">
            <v>Sedang</v>
          </cell>
        </row>
        <row r="27">
          <cell r="B27">
            <v>37</v>
          </cell>
          <cell r="C27">
            <v>4</v>
          </cell>
          <cell r="E27">
            <v>1</v>
          </cell>
          <cell r="F27" t="str">
            <v>Sedang</v>
          </cell>
        </row>
        <row r="28">
          <cell r="B28">
            <v>22</v>
          </cell>
          <cell r="C28">
            <v>2</v>
          </cell>
          <cell r="E28">
            <v>1</v>
          </cell>
          <cell r="F28" t="str">
            <v>Sedang</v>
          </cell>
        </row>
        <row r="29">
          <cell r="B29">
            <v>19</v>
          </cell>
          <cell r="C29">
            <v>2</v>
          </cell>
          <cell r="E29">
            <v>1</v>
          </cell>
          <cell r="F29" t="str">
            <v>Sedang</v>
          </cell>
        </row>
        <row r="30">
          <cell r="B30">
            <v>3</v>
          </cell>
          <cell r="C30">
            <v>2</v>
          </cell>
          <cell r="E30">
            <v>1</v>
          </cell>
          <cell r="F30" t="str">
            <v>Sedang</v>
          </cell>
        </row>
        <row r="31">
          <cell r="B31">
            <v>64</v>
          </cell>
          <cell r="C31">
            <v>4</v>
          </cell>
          <cell r="E31">
            <v>1</v>
          </cell>
          <cell r="F31" t="str">
            <v>Sedang</v>
          </cell>
        </row>
        <row r="32">
          <cell r="B32">
            <v>54</v>
          </cell>
          <cell r="C32">
            <v>4</v>
          </cell>
          <cell r="E32">
            <v>0</v>
          </cell>
          <cell r="F32" t="str">
            <v>Sedang</v>
          </cell>
        </row>
        <row r="33">
          <cell r="B33">
            <v>19</v>
          </cell>
          <cell r="C33">
            <v>4</v>
          </cell>
          <cell r="E33">
            <v>1</v>
          </cell>
          <cell r="F33" t="str">
            <v>Sedang</v>
          </cell>
        </row>
        <row r="34">
          <cell r="B34">
            <v>55</v>
          </cell>
          <cell r="C34">
            <v>3</v>
          </cell>
          <cell r="E34">
            <v>0</v>
          </cell>
          <cell r="F34" t="str">
            <v>Sedang</v>
          </cell>
        </row>
        <row r="35">
          <cell r="B35">
            <v>40</v>
          </cell>
          <cell r="C35">
            <v>3</v>
          </cell>
          <cell r="E35">
            <v>1</v>
          </cell>
          <cell r="F35" t="str">
            <v>Rendah</v>
          </cell>
        </row>
        <row r="36">
          <cell r="B36">
            <v>27</v>
          </cell>
          <cell r="C36">
            <v>1</v>
          </cell>
          <cell r="E36">
            <v>1</v>
          </cell>
          <cell r="F36" t="str">
            <v>Rendah</v>
          </cell>
        </row>
        <row r="37">
          <cell r="B37">
            <v>28</v>
          </cell>
          <cell r="C37">
            <v>4</v>
          </cell>
          <cell r="E37">
            <v>1</v>
          </cell>
          <cell r="F37" t="str">
            <v>Rendah</v>
          </cell>
        </row>
        <row r="38">
          <cell r="B38">
            <v>52</v>
          </cell>
          <cell r="C38">
            <v>3</v>
          </cell>
          <cell r="E38">
            <v>1</v>
          </cell>
          <cell r="F38" t="str">
            <v>Rendah</v>
          </cell>
        </row>
        <row r="39">
          <cell r="B39">
            <v>12</v>
          </cell>
          <cell r="C39">
            <v>5</v>
          </cell>
          <cell r="E39">
            <v>1</v>
          </cell>
          <cell r="F39" t="str">
            <v>Sedang</v>
          </cell>
        </row>
        <row r="40">
          <cell r="B40">
            <v>65</v>
          </cell>
          <cell r="C40">
            <v>3</v>
          </cell>
          <cell r="E40">
            <v>1</v>
          </cell>
          <cell r="F40" t="str">
            <v>Sedang</v>
          </cell>
        </row>
        <row r="41">
          <cell r="B41">
            <v>8</v>
          </cell>
          <cell r="C41">
            <v>4</v>
          </cell>
          <cell r="E41">
            <v>0</v>
          </cell>
          <cell r="F41" t="str">
            <v>Sedang</v>
          </cell>
        </row>
        <row r="42">
          <cell r="B42">
            <v>21</v>
          </cell>
          <cell r="C42">
            <v>5</v>
          </cell>
          <cell r="E42">
            <v>1</v>
          </cell>
          <cell r="F42" t="str">
            <v>Sedang</v>
          </cell>
        </row>
        <row r="43">
          <cell r="B43">
            <v>15</v>
          </cell>
          <cell r="C43">
            <v>4</v>
          </cell>
          <cell r="E43">
            <v>0</v>
          </cell>
          <cell r="F43" t="str">
            <v>Sedang</v>
          </cell>
        </row>
        <row r="44">
          <cell r="B44">
            <v>28</v>
          </cell>
          <cell r="C44">
            <v>5</v>
          </cell>
          <cell r="E44">
            <v>1</v>
          </cell>
          <cell r="F44" t="str">
            <v>Sedang</v>
          </cell>
        </row>
        <row r="45">
          <cell r="B45">
            <v>75</v>
          </cell>
          <cell r="C45">
            <v>3</v>
          </cell>
          <cell r="E45">
            <v>1</v>
          </cell>
          <cell r="F45" t="str">
            <v>Sedang</v>
          </cell>
        </row>
        <row r="46">
          <cell r="B46">
            <v>62</v>
          </cell>
          <cell r="C46">
            <v>2</v>
          </cell>
          <cell r="E46">
            <v>0</v>
          </cell>
          <cell r="F46" t="str">
            <v>Sedang</v>
          </cell>
        </row>
        <row r="47">
          <cell r="B47">
            <v>19</v>
          </cell>
          <cell r="C47">
            <v>2</v>
          </cell>
          <cell r="E47">
            <v>0</v>
          </cell>
          <cell r="F47" t="str">
            <v>Sedang</v>
          </cell>
        </row>
        <row r="48">
          <cell r="B48">
            <v>50</v>
          </cell>
          <cell r="C48">
            <v>5</v>
          </cell>
          <cell r="E48">
            <v>1</v>
          </cell>
          <cell r="F48" t="str">
            <v>Sedang</v>
          </cell>
        </row>
        <row r="49">
          <cell r="B49">
            <v>64</v>
          </cell>
          <cell r="C49">
            <v>5</v>
          </cell>
          <cell r="E49">
            <v>0</v>
          </cell>
          <cell r="F49" t="str">
            <v>Sedang</v>
          </cell>
        </row>
        <row r="50">
          <cell r="B50">
            <v>19</v>
          </cell>
          <cell r="C50">
            <v>5</v>
          </cell>
          <cell r="E50">
            <v>0</v>
          </cell>
          <cell r="F50" t="str">
            <v>Sedang</v>
          </cell>
        </row>
        <row r="51">
          <cell r="B51">
            <v>48</v>
          </cell>
          <cell r="C51">
            <v>4</v>
          </cell>
          <cell r="E51">
            <v>0</v>
          </cell>
          <cell r="F51" t="str">
            <v>Sedang</v>
          </cell>
        </row>
        <row r="52">
          <cell r="B52">
            <v>59</v>
          </cell>
          <cell r="C52">
            <v>4</v>
          </cell>
          <cell r="E52">
            <v>1</v>
          </cell>
          <cell r="F52" t="str">
            <v>Sedang</v>
          </cell>
        </row>
        <row r="53">
          <cell r="B53">
            <v>35</v>
          </cell>
          <cell r="C53">
            <v>4</v>
          </cell>
          <cell r="E53">
            <v>1</v>
          </cell>
          <cell r="F53" t="str">
            <v>Sedang</v>
          </cell>
        </row>
        <row r="54">
          <cell r="B54">
            <v>7</v>
          </cell>
          <cell r="C54">
            <v>3</v>
          </cell>
          <cell r="E54">
            <v>0</v>
          </cell>
          <cell r="F54" t="str">
            <v>Sedang</v>
          </cell>
        </row>
        <row r="55">
          <cell r="B55">
            <v>7</v>
          </cell>
          <cell r="C55">
            <v>4</v>
          </cell>
          <cell r="E55">
            <v>1</v>
          </cell>
          <cell r="F55" t="str">
            <v>Sedang</v>
          </cell>
        </row>
        <row r="56">
          <cell r="B56">
            <v>4</v>
          </cell>
          <cell r="C56">
            <v>3</v>
          </cell>
          <cell r="E56">
            <v>0</v>
          </cell>
          <cell r="F56" t="str">
            <v>Sedang</v>
          </cell>
        </row>
        <row r="57">
          <cell r="B57">
            <v>2</v>
          </cell>
          <cell r="C57">
            <v>2</v>
          </cell>
          <cell r="E57">
            <v>1</v>
          </cell>
          <cell r="F57" t="str">
            <v>Sedang</v>
          </cell>
        </row>
        <row r="58">
          <cell r="B58">
            <v>17</v>
          </cell>
          <cell r="C58">
            <v>3</v>
          </cell>
          <cell r="E58">
            <v>0</v>
          </cell>
          <cell r="F58" t="str">
            <v>Sedang</v>
          </cell>
        </row>
        <row r="59">
          <cell r="B59">
            <v>28</v>
          </cell>
          <cell r="C59">
            <v>4</v>
          </cell>
          <cell r="E59">
            <v>0</v>
          </cell>
          <cell r="F59" t="str">
            <v>Sedang</v>
          </cell>
        </row>
        <row r="60">
          <cell r="B60">
            <v>68</v>
          </cell>
          <cell r="C60">
            <v>4</v>
          </cell>
          <cell r="E60">
            <v>0</v>
          </cell>
          <cell r="F60" t="str">
            <v>Sedang</v>
          </cell>
        </row>
        <row r="61">
          <cell r="B61">
            <v>29</v>
          </cell>
          <cell r="C61">
            <v>3</v>
          </cell>
          <cell r="E61">
            <v>1</v>
          </cell>
          <cell r="F61" t="str">
            <v>Sedang</v>
          </cell>
        </row>
        <row r="62">
          <cell r="B62">
            <v>43</v>
          </cell>
          <cell r="C62">
            <v>4</v>
          </cell>
          <cell r="E62">
            <v>1</v>
          </cell>
          <cell r="F62" t="str">
            <v>Sedang</v>
          </cell>
        </row>
        <row r="63">
          <cell r="B63">
            <v>25</v>
          </cell>
          <cell r="C63">
            <v>3</v>
          </cell>
          <cell r="E63">
            <v>0</v>
          </cell>
          <cell r="F63" t="str">
            <v>Sedang</v>
          </cell>
        </row>
        <row r="64">
          <cell r="B64">
            <v>35</v>
          </cell>
          <cell r="C64">
            <v>1</v>
          </cell>
          <cell r="E64">
            <v>0</v>
          </cell>
          <cell r="F64" t="str">
            <v>Sedang</v>
          </cell>
        </row>
        <row r="65">
          <cell r="B65">
            <v>49</v>
          </cell>
          <cell r="C65">
            <v>3</v>
          </cell>
          <cell r="E65">
            <v>0</v>
          </cell>
          <cell r="F65" t="str">
            <v>Sedang</v>
          </cell>
        </row>
        <row r="66">
          <cell r="B66">
            <v>21</v>
          </cell>
          <cell r="C66">
            <v>5</v>
          </cell>
          <cell r="E66">
            <v>1</v>
          </cell>
          <cell r="F66" t="str">
            <v>Sedang</v>
          </cell>
        </row>
        <row r="67">
          <cell r="B67">
            <v>21</v>
          </cell>
          <cell r="C67">
            <v>3</v>
          </cell>
          <cell r="E67">
            <v>1</v>
          </cell>
          <cell r="F67" t="str">
            <v>Sedang</v>
          </cell>
        </row>
        <row r="68">
          <cell r="B68">
            <v>44</v>
          </cell>
          <cell r="C68">
            <v>5</v>
          </cell>
          <cell r="E68">
            <v>0</v>
          </cell>
          <cell r="F68" t="str">
            <v>Sedang</v>
          </cell>
        </row>
        <row r="69">
          <cell r="B69">
            <v>24</v>
          </cell>
          <cell r="C69">
            <v>4</v>
          </cell>
          <cell r="E69">
            <v>1</v>
          </cell>
          <cell r="F69" t="str">
            <v>Sedang</v>
          </cell>
        </row>
        <row r="70">
          <cell r="B70">
            <v>26</v>
          </cell>
          <cell r="C70">
            <v>3</v>
          </cell>
          <cell r="E70">
            <v>1</v>
          </cell>
          <cell r="F70" t="str">
            <v>Sedang</v>
          </cell>
        </row>
        <row r="71">
          <cell r="B71">
            <v>84</v>
          </cell>
          <cell r="C71">
            <v>3</v>
          </cell>
          <cell r="E71">
            <v>0</v>
          </cell>
          <cell r="F71" t="str">
            <v>Sedang</v>
          </cell>
        </row>
        <row r="72">
          <cell r="B72">
            <v>3</v>
          </cell>
          <cell r="C72">
            <v>5</v>
          </cell>
          <cell r="E72">
            <v>1</v>
          </cell>
          <cell r="F72" t="str">
            <v>Sedang</v>
          </cell>
        </row>
        <row r="73">
          <cell r="B73">
            <v>15</v>
          </cell>
          <cell r="C73">
            <v>3</v>
          </cell>
          <cell r="E73">
            <v>1</v>
          </cell>
          <cell r="F73" t="str">
            <v>Sedang</v>
          </cell>
        </row>
        <row r="74">
          <cell r="B74">
            <v>9</v>
          </cell>
          <cell r="C74">
            <v>4</v>
          </cell>
          <cell r="E74">
            <v>0</v>
          </cell>
          <cell r="F74" t="str">
            <v>Sedang</v>
          </cell>
        </row>
        <row r="75">
          <cell r="B75">
            <v>2</v>
          </cell>
          <cell r="C75">
            <v>2</v>
          </cell>
          <cell r="E75">
            <v>1</v>
          </cell>
          <cell r="F75" t="str">
            <v>Sedang</v>
          </cell>
        </row>
        <row r="76">
          <cell r="B76">
            <v>70</v>
          </cell>
          <cell r="C76">
            <v>2</v>
          </cell>
          <cell r="E76">
            <v>0</v>
          </cell>
          <cell r="F76" t="str">
            <v>Sedang</v>
          </cell>
        </row>
        <row r="77">
          <cell r="B77">
            <v>16</v>
          </cell>
          <cell r="C77">
            <v>4</v>
          </cell>
          <cell r="E77">
            <v>1</v>
          </cell>
          <cell r="F77" t="str">
            <v>Sedang</v>
          </cell>
        </row>
        <row r="78">
          <cell r="B78">
            <v>6</v>
          </cell>
          <cell r="C78">
            <v>3</v>
          </cell>
          <cell r="E78">
            <v>0</v>
          </cell>
          <cell r="F78" t="str">
            <v>Sedang</v>
          </cell>
        </row>
        <row r="79">
          <cell r="B79">
            <v>29</v>
          </cell>
          <cell r="C79">
            <v>3</v>
          </cell>
          <cell r="E79">
            <v>0</v>
          </cell>
          <cell r="F79" t="str">
            <v>Sedang</v>
          </cell>
        </row>
        <row r="80">
          <cell r="B80">
            <v>27</v>
          </cell>
          <cell r="C80">
            <v>3</v>
          </cell>
          <cell r="E80">
            <v>1</v>
          </cell>
          <cell r="F80" t="str">
            <v>Sedang</v>
          </cell>
        </row>
        <row r="81">
          <cell r="B81">
            <v>23</v>
          </cell>
          <cell r="C81">
            <v>5</v>
          </cell>
          <cell r="E81">
            <v>1</v>
          </cell>
          <cell r="F81" t="str">
            <v>Sedang</v>
          </cell>
        </row>
        <row r="82">
          <cell r="B82">
            <v>28</v>
          </cell>
          <cell r="C82">
            <v>3</v>
          </cell>
          <cell r="E82">
            <v>1</v>
          </cell>
          <cell r="F82" t="str">
            <v>Sedang</v>
          </cell>
        </row>
        <row r="83">
          <cell r="B83">
            <v>50</v>
          </cell>
          <cell r="C83">
            <v>3</v>
          </cell>
          <cell r="E83">
            <v>0</v>
          </cell>
          <cell r="F83" t="str">
            <v>Sedang</v>
          </cell>
        </row>
        <row r="84">
          <cell r="B84">
            <v>42</v>
          </cell>
          <cell r="C84">
            <v>4</v>
          </cell>
          <cell r="E84">
            <v>1</v>
          </cell>
          <cell r="F84" t="str">
            <v>Sedang</v>
          </cell>
        </row>
        <row r="85">
          <cell r="B85">
            <v>27</v>
          </cell>
          <cell r="C85">
            <v>9</v>
          </cell>
          <cell r="E85">
            <v>0</v>
          </cell>
          <cell r="F85" t="str">
            <v>Sedang</v>
          </cell>
        </row>
        <row r="86">
          <cell r="B86">
            <v>23</v>
          </cell>
          <cell r="C86">
            <v>3</v>
          </cell>
          <cell r="E86">
            <v>0</v>
          </cell>
          <cell r="F86" t="str">
            <v>Sedang</v>
          </cell>
        </row>
        <row r="87">
          <cell r="B87">
            <v>21</v>
          </cell>
          <cell r="C87">
            <v>3</v>
          </cell>
          <cell r="E87">
            <v>0</v>
          </cell>
          <cell r="F87" t="str">
            <v>Sedang</v>
          </cell>
        </row>
        <row r="88">
          <cell r="B88">
            <v>20</v>
          </cell>
          <cell r="C88">
            <v>4</v>
          </cell>
          <cell r="E88">
            <v>1</v>
          </cell>
          <cell r="F88" t="str">
            <v>Sedang</v>
          </cell>
        </row>
        <row r="89">
          <cell r="B89">
            <v>32</v>
          </cell>
          <cell r="C89">
            <v>4</v>
          </cell>
          <cell r="E89">
            <v>0</v>
          </cell>
          <cell r="F89" t="str">
            <v>Sedang</v>
          </cell>
        </row>
        <row r="90">
          <cell r="B90">
            <v>47</v>
          </cell>
          <cell r="C90">
            <v>3</v>
          </cell>
          <cell r="E90">
            <v>0</v>
          </cell>
          <cell r="F90" t="str">
            <v>Tinggi</v>
          </cell>
        </row>
        <row r="91">
          <cell r="B91">
            <v>35</v>
          </cell>
          <cell r="C91">
            <v>1</v>
          </cell>
          <cell r="E91">
            <v>1</v>
          </cell>
          <cell r="F91" t="str">
            <v>Tinggi</v>
          </cell>
        </row>
        <row r="92">
          <cell r="B92">
            <v>55</v>
          </cell>
          <cell r="C92">
            <v>7</v>
          </cell>
          <cell r="E92">
            <v>0</v>
          </cell>
          <cell r="F92" t="str">
            <v>Tinggi</v>
          </cell>
        </row>
        <row r="93">
          <cell r="B93">
            <v>65</v>
          </cell>
          <cell r="C93">
            <v>4</v>
          </cell>
          <cell r="E93">
            <v>0</v>
          </cell>
          <cell r="F93" t="str">
            <v>Tinggi</v>
          </cell>
        </row>
        <row r="94">
          <cell r="B94">
            <v>12</v>
          </cell>
          <cell r="C94">
            <v>4</v>
          </cell>
          <cell r="E94">
            <v>0</v>
          </cell>
          <cell r="F94" t="str">
            <v>Tinggi</v>
          </cell>
        </row>
        <row r="95">
          <cell r="B95">
            <v>11</v>
          </cell>
          <cell r="C95">
            <v>3</v>
          </cell>
          <cell r="E95">
            <v>1</v>
          </cell>
          <cell r="F95" t="str">
            <v>Tinggi</v>
          </cell>
        </row>
        <row r="96">
          <cell r="B96">
            <v>56</v>
          </cell>
          <cell r="C96">
            <v>4</v>
          </cell>
          <cell r="E96">
            <v>0</v>
          </cell>
          <cell r="F96" t="str">
            <v>Tinggi</v>
          </cell>
        </row>
        <row r="97">
          <cell r="B97">
            <v>16</v>
          </cell>
          <cell r="C97">
            <v>2</v>
          </cell>
          <cell r="E97">
            <v>1</v>
          </cell>
          <cell r="F97" t="str">
            <v>Tinggi</v>
          </cell>
        </row>
        <row r="98">
          <cell r="B98">
            <v>16</v>
          </cell>
          <cell r="C98">
            <v>2</v>
          </cell>
          <cell r="E98">
            <v>1</v>
          </cell>
          <cell r="F98" t="str">
            <v>Tinggi</v>
          </cell>
        </row>
        <row r="99">
          <cell r="B99">
            <v>4</v>
          </cell>
          <cell r="C99">
            <v>2</v>
          </cell>
          <cell r="E99">
            <v>1</v>
          </cell>
          <cell r="F99" t="str">
            <v>Tinggi</v>
          </cell>
        </row>
        <row r="100">
          <cell r="B100">
            <v>19</v>
          </cell>
          <cell r="C100">
            <v>6</v>
          </cell>
          <cell r="E100">
            <v>0</v>
          </cell>
          <cell r="F100" t="str">
            <v>Tinggi</v>
          </cell>
        </row>
        <row r="101">
          <cell r="B101">
            <v>42</v>
          </cell>
          <cell r="C101">
            <v>5</v>
          </cell>
          <cell r="E101">
            <v>0</v>
          </cell>
          <cell r="F101" t="str">
            <v>Tinggi</v>
          </cell>
        </row>
        <row r="102">
          <cell r="B102">
            <v>41</v>
          </cell>
          <cell r="C102">
            <v>4</v>
          </cell>
          <cell r="E102">
            <v>0</v>
          </cell>
          <cell r="F102" t="str">
            <v>Tinggi</v>
          </cell>
        </row>
        <row r="103">
          <cell r="B103">
            <v>22</v>
          </cell>
          <cell r="C103">
            <v>5</v>
          </cell>
          <cell r="E103">
            <v>0</v>
          </cell>
          <cell r="F103" t="str">
            <v>Tinggi</v>
          </cell>
        </row>
        <row r="104">
          <cell r="B104">
            <v>37</v>
          </cell>
          <cell r="C104">
            <v>4</v>
          </cell>
          <cell r="E104">
            <v>1</v>
          </cell>
          <cell r="F104" t="str">
            <v>Tinggi</v>
          </cell>
        </row>
        <row r="105">
          <cell r="B105">
            <v>61</v>
          </cell>
          <cell r="C105">
            <v>3</v>
          </cell>
          <cell r="E105">
            <v>1</v>
          </cell>
          <cell r="F105" t="str">
            <v>Tinggi</v>
          </cell>
        </row>
        <row r="106">
          <cell r="B106">
            <v>23</v>
          </cell>
          <cell r="C106">
            <v>3</v>
          </cell>
          <cell r="E106">
            <v>1</v>
          </cell>
          <cell r="F106" t="str">
            <v>Tinggi</v>
          </cell>
        </row>
        <row r="107">
          <cell r="B107">
            <v>48</v>
          </cell>
          <cell r="C107">
            <v>5</v>
          </cell>
          <cell r="E107">
            <v>0</v>
          </cell>
          <cell r="F107" t="str">
            <v>Tinggi</v>
          </cell>
        </row>
        <row r="108">
          <cell r="B108">
            <v>69</v>
          </cell>
          <cell r="C108">
            <v>7</v>
          </cell>
          <cell r="E108">
            <v>1</v>
          </cell>
          <cell r="F108" t="str">
            <v>Tinggi</v>
          </cell>
        </row>
        <row r="109">
          <cell r="B109">
            <v>40</v>
          </cell>
          <cell r="C109">
            <v>3</v>
          </cell>
          <cell r="E109">
            <v>1</v>
          </cell>
          <cell r="F109" t="str">
            <v>Tinggi</v>
          </cell>
        </row>
        <row r="110">
          <cell r="B110">
            <v>42</v>
          </cell>
          <cell r="C110">
            <v>2</v>
          </cell>
          <cell r="E110">
            <v>1</v>
          </cell>
          <cell r="F110" t="str">
            <v>Tinggi</v>
          </cell>
        </row>
        <row r="111">
          <cell r="B111">
            <v>25</v>
          </cell>
          <cell r="C111">
            <v>4</v>
          </cell>
          <cell r="E111">
            <v>0</v>
          </cell>
          <cell r="F111" t="str">
            <v>Tinggi</v>
          </cell>
        </row>
        <row r="112">
          <cell r="B112">
            <v>61</v>
          </cell>
          <cell r="C112">
            <v>3</v>
          </cell>
          <cell r="E112">
            <v>1</v>
          </cell>
          <cell r="F112" t="str">
            <v>Tinggi</v>
          </cell>
        </row>
        <row r="113">
          <cell r="B113">
            <v>69</v>
          </cell>
          <cell r="C113">
            <v>1</v>
          </cell>
          <cell r="E113">
            <v>1</v>
          </cell>
          <cell r="F113" t="str">
            <v>Tinggi</v>
          </cell>
        </row>
        <row r="114">
          <cell r="B114">
            <v>14</v>
          </cell>
          <cell r="C114">
            <v>2</v>
          </cell>
          <cell r="E114">
            <v>1</v>
          </cell>
          <cell r="F114" t="str">
            <v>Tinggi</v>
          </cell>
        </row>
        <row r="115">
          <cell r="B115">
            <v>52</v>
          </cell>
          <cell r="C115">
            <v>3</v>
          </cell>
          <cell r="E115">
            <v>1</v>
          </cell>
          <cell r="F115" t="str">
            <v>Tinggi</v>
          </cell>
        </row>
        <row r="116">
          <cell r="B116">
            <v>32</v>
          </cell>
          <cell r="C116">
            <v>4</v>
          </cell>
          <cell r="E116">
            <v>1</v>
          </cell>
          <cell r="F116" t="str">
            <v>Tinggi</v>
          </cell>
        </row>
        <row r="117">
          <cell r="B117">
            <v>49</v>
          </cell>
          <cell r="C117">
            <v>4</v>
          </cell>
          <cell r="E117">
            <v>1</v>
          </cell>
          <cell r="F117" t="str">
            <v>Tinggi</v>
          </cell>
        </row>
        <row r="118">
          <cell r="B118">
            <v>67</v>
          </cell>
          <cell r="C118">
            <v>4</v>
          </cell>
          <cell r="E118">
            <v>1</v>
          </cell>
          <cell r="F118" t="str">
            <v>Tinggi</v>
          </cell>
        </row>
        <row r="119">
          <cell r="B119">
            <v>30</v>
          </cell>
          <cell r="C119">
            <v>7</v>
          </cell>
          <cell r="E119">
            <v>0</v>
          </cell>
          <cell r="F119" t="str">
            <v>Tinggi</v>
          </cell>
        </row>
        <row r="120">
          <cell r="B120">
            <v>26</v>
          </cell>
          <cell r="C120">
            <v>4</v>
          </cell>
          <cell r="E120">
            <v>1</v>
          </cell>
          <cell r="F120" t="str">
            <v>Tinggi</v>
          </cell>
        </row>
        <row r="121">
          <cell r="B121">
            <v>82</v>
          </cell>
          <cell r="C121">
            <v>5</v>
          </cell>
          <cell r="E121">
            <v>1</v>
          </cell>
          <cell r="F121" t="str">
            <v>Tinggi</v>
          </cell>
        </row>
        <row r="122">
          <cell r="B122">
            <v>28</v>
          </cell>
          <cell r="C122">
            <v>3</v>
          </cell>
          <cell r="E122">
            <v>1</v>
          </cell>
          <cell r="F122" t="str">
            <v>Tinggi</v>
          </cell>
        </row>
        <row r="123">
          <cell r="B123">
            <v>22</v>
          </cell>
          <cell r="C123">
            <v>4</v>
          </cell>
          <cell r="E123">
            <v>0</v>
          </cell>
          <cell r="F123" t="str">
            <v>Tinggi</v>
          </cell>
        </row>
        <row r="124">
          <cell r="B124">
            <v>24</v>
          </cell>
          <cell r="C124">
            <v>3</v>
          </cell>
          <cell r="E124">
            <v>1</v>
          </cell>
          <cell r="F124" t="str">
            <v>Tinggi</v>
          </cell>
        </row>
        <row r="125">
          <cell r="B125">
            <v>39</v>
          </cell>
          <cell r="C125">
            <v>4</v>
          </cell>
          <cell r="E125">
            <v>0</v>
          </cell>
          <cell r="F125" t="str">
            <v>Tinggi</v>
          </cell>
        </row>
        <row r="126">
          <cell r="B126">
            <v>51</v>
          </cell>
          <cell r="C126">
            <v>3</v>
          </cell>
          <cell r="E126">
            <v>1</v>
          </cell>
          <cell r="F126" t="str">
            <v>Tinggi</v>
          </cell>
        </row>
        <row r="127">
          <cell r="B127">
            <v>21</v>
          </cell>
          <cell r="C127">
            <v>2</v>
          </cell>
          <cell r="E127">
            <v>0</v>
          </cell>
          <cell r="F127" t="str">
            <v>Tinggi</v>
          </cell>
        </row>
        <row r="128">
          <cell r="B128">
            <v>38</v>
          </cell>
          <cell r="C128">
            <v>2</v>
          </cell>
          <cell r="E128">
            <v>0</v>
          </cell>
          <cell r="F128" t="str">
            <v>Tinggi</v>
          </cell>
        </row>
        <row r="129">
          <cell r="B129">
            <v>4</v>
          </cell>
          <cell r="C129">
            <v>3</v>
          </cell>
          <cell r="E129">
            <v>0</v>
          </cell>
          <cell r="F129" t="str">
            <v>Tinggi</v>
          </cell>
        </row>
        <row r="130">
          <cell r="B130">
            <v>12</v>
          </cell>
          <cell r="C130">
            <v>4</v>
          </cell>
          <cell r="E130">
            <v>0</v>
          </cell>
          <cell r="F130" t="str">
            <v>Tinggi</v>
          </cell>
        </row>
        <row r="131">
          <cell r="B131">
            <v>10</v>
          </cell>
          <cell r="C131">
            <v>2</v>
          </cell>
          <cell r="E131">
            <v>0</v>
          </cell>
          <cell r="F131" t="str">
            <v>Tinggi</v>
          </cell>
        </row>
        <row r="132">
          <cell r="B132">
            <v>10</v>
          </cell>
          <cell r="C132">
            <v>3</v>
          </cell>
          <cell r="E132">
            <v>1</v>
          </cell>
          <cell r="F132" t="str">
            <v>Tinggi</v>
          </cell>
        </row>
        <row r="133">
          <cell r="B133">
            <v>6</v>
          </cell>
          <cell r="C133">
            <v>4</v>
          </cell>
          <cell r="E133">
            <v>0</v>
          </cell>
          <cell r="F133" t="str">
            <v>Tinggi</v>
          </cell>
        </row>
        <row r="134">
          <cell r="B134">
            <v>4</v>
          </cell>
          <cell r="C134">
            <v>2</v>
          </cell>
          <cell r="E134">
            <v>1</v>
          </cell>
          <cell r="F134" t="str">
            <v>Tinggi</v>
          </cell>
        </row>
        <row r="135">
          <cell r="B135">
            <v>10</v>
          </cell>
          <cell r="C135">
            <v>2</v>
          </cell>
          <cell r="E135">
            <v>0</v>
          </cell>
          <cell r="F135" t="str">
            <v>Tinggi</v>
          </cell>
        </row>
        <row r="136">
          <cell r="B136">
            <v>6</v>
          </cell>
          <cell r="C136">
            <v>2</v>
          </cell>
          <cell r="E136">
            <v>0</v>
          </cell>
          <cell r="F136" t="str">
            <v>Tinggi</v>
          </cell>
        </row>
        <row r="137">
          <cell r="B137">
            <v>3</v>
          </cell>
          <cell r="C137">
            <v>1</v>
          </cell>
          <cell r="E137">
            <v>1</v>
          </cell>
          <cell r="F137" t="str">
            <v>Tinggi</v>
          </cell>
        </row>
        <row r="138">
          <cell r="B138">
            <v>13</v>
          </cell>
          <cell r="C138">
            <v>3</v>
          </cell>
          <cell r="E138">
            <v>1</v>
          </cell>
          <cell r="F138" t="str">
            <v>Tinggi</v>
          </cell>
        </row>
        <row r="139">
          <cell r="B139">
            <v>52</v>
          </cell>
          <cell r="C139">
            <v>7</v>
          </cell>
          <cell r="E139">
            <v>0</v>
          </cell>
          <cell r="F139" t="str">
            <v>Tinggi</v>
          </cell>
        </row>
        <row r="140">
          <cell r="B140">
            <v>74</v>
          </cell>
          <cell r="C140">
            <v>5</v>
          </cell>
          <cell r="E140">
            <v>1</v>
          </cell>
          <cell r="F140" t="str">
            <v>Tinggi</v>
          </cell>
        </row>
        <row r="141">
          <cell r="B141">
            <v>36</v>
          </cell>
          <cell r="C141">
            <v>2</v>
          </cell>
          <cell r="E141">
            <v>0</v>
          </cell>
          <cell r="F141" t="str">
            <v>Tinggi</v>
          </cell>
        </row>
        <row r="142">
          <cell r="B142">
            <v>39</v>
          </cell>
          <cell r="C142">
            <v>2</v>
          </cell>
          <cell r="E142">
            <v>1</v>
          </cell>
          <cell r="F142" t="str">
            <v>Tinggi</v>
          </cell>
        </row>
        <row r="143">
          <cell r="B143">
            <v>20</v>
          </cell>
          <cell r="C143">
            <v>4</v>
          </cell>
          <cell r="E143">
            <v>1</v>
          </cell>
          <cell r="F143" t="str">
            <v>Tinggi</v>
          </cell>
        </row>
        <row r="144">
          <cell r="B144">
            <v>61</v>
          </cell>
          <cell r="C144">
            <v>4</v>
          </cell>
          <cell r="E144">
            <v>1</v>
          </cell>
          <cell r="F144" t="str">
            <v>Tinggi</v>
          </cell>
        </row>
        <row r="145">
          <cell r="B145">
            <v>28</v>
          </cell>
          <cell r="C145">
            <v>4</v>
          </cell>
          <cell r="E145">
            <v>1</v>
          </cell>
          <cell r="F145" t="str">
            <v>Tinggi</v>
          </cell>
        </row>
        <row r="146">
          <cell r="B146">
            <v>34</v>
          </cell>
          <cell r="C146">
            <v>2</v>
          </cell>
          <cell r="E146">
            <v>1</v>
          </cell>
          <cell r="F146" t="str">
            <v>Tinggi</v>
          </cell>
        </row>
        <row r="147">
          <cell r="B147">
            <v>66</v>
          </cell>
          <cell r="C147">
            <v>10</v>
          </cell>
          <cell r="E147">
            <v>1</v>
          </cell>
          <cell r="F147" t="str">
            <v>Tinggi</v>
          </cell>
        </row>
        <row r="148">
          <cell r="B148">
            <v>55</v>
          </cell>
          <cell r="C148">
            <v>3</v>
          </cell>
          <cell r="E148">
            <v>1</v>
          </cell>
          <cell r="F148" t="str">
            <v>Tinggi</v>
          </cell>
        </row>
        <row r="149">
          <cell r="B149">
            <v>19</v>
          </cell>
          <cell r="C149">
            <v>5</v>
          </cell>
          <cell r="E149">
            <v>0</v>
          </cell>
          <cell r="F149" t="str">
            <v>Tinggi</v>
          </cell>
        </row>
        <row r="150">
          <cell r="B150">
            <v>61</v>
          </cell>
          <cell r="C150">
            <v>5</v>
          </cell>
          <cell r="E150">
            <v>1</v>
          </cell>
          <cell r="F150" t="str">
            <v>Tinggi</v>
          </cell>
        </row>
        <row r="151">
          <cell r="B151">
            <v>24</v>
          </cell>
          <cell r="C151">
            <v>3</v>
          </cell>
          <cell r="E151">
            <v>0</v>
          </cell>
          <cell r="F151" t="str">
            <v>Tinggi</v>
          </cell>
        </row>
        <row r="152">
          <cell r="B152">
            <v>47</v>
          </cell>
          <cell r="C152">
            <v>3</v>
          </cell>
          <cell r="E152">
            <v>1</v>
          </cell>
          <cell r="F152" t="str">
            <v>Tinggi</v>
          </cell>
        </row>
        <row r="153">
          <cell r="B153">
            <v>73</v>
          </cell>
          <cell r="C153">
            <v>7</v>
          </cell>
          <cell r="E153">
            <v>1</v>
          </cell>
          <cell r="F153" t="str">
            <v>Tinggi</v>
          </cell>
        </row>
        <row r="154">
          <cell r="B154">
            <v>18</v>
          </cell>
          <cell r="C154">
            <v>5</v>
          </cell>
          <cell r="E154">
            <v>1</v>
          </cell>
          <cell r="F154" t="str">
            <v>Tinggi</v>
          </cell>
        </row>
        <row r="155">
          <cell r="B155">
            <v>19</v>
          </cell>
          <cell r="C155">
            <v>5</v>
          </cell>
          <cell r="E155">
            <v>1</v>
          </cell>
          <cell r="F155" t="str">
            <v>Tinggi</v>
          </cell>
        </row>
        <row r="156">
          <cell r="B156">
            <v>5</v>
          </cell>
          <cell r="C156">
            <v>2</v>
          </cell>
          <cell r="E156">
            <v>0</v>
          </cell>
          <cell r="F156" t="str">
            <v>Tinggi</v>
          </cell>
        </row>
        <row r="157">
          <cell r="B157">
            <v>15</v>
          </cell>
          <cell r="C157">
            <v>4</v>
          </cell>
          <cell r="E157">
            <v>1</v>
          </cell>
          <cell r="F157" t="str">
            <v>Tinggi</v>
          </cell>
        </row>
        <row r="158">
          <cell r="B158">
            <v>5</v>
          </cell>
          <cell r="C158">
            <v>2</v>
          </cell>
          <cell r="E158">
            <v>0</v>
          </cell>
          <cell r="F158" t="str">
            <v>Tinggi</v>
          </cell>
        </row>
        <row r="159">
          <cell r="B159">
            <v>17</v>
          </cell>
          <cell r="C159">
            <v>2</v>
          </cell>
          <cell r="E159">
            <v>0</v>
          </cell>
          <cell r="F159" t="str">
            <v>Tinggi</v>
          </cell>
        </row>
        <row r="160">
          <cell r="B160">
            <v>16</v>
          </cell>
          <cell r="C160">
            <v>3</v>
          </cell>
          <cell r="E160">
            <v>0</v>
          </cell>
          <cell r="F160" t="str">
            <v>Tinggi</v>
          </cell>
        </row>
        <row r="161">
          <cell r="B161">
            <v>12</v>
          </cell>
          <cell r="C161">
            <v>3</v>
          </cell>
          <cell r="E161">
            <v>1</v>
          </cell>
          <cell r="F161" t="str">
            <v>Tinggi</v>
          </cell>
        </row>
        <row r="162">
          <cell r="B162">
            <v>22</v>
          </cell>
          <cell r="C162">
            <v>3</v>
          </cell>
          <cell r="E162">
            <v>1</v>
          </cell>
          <cell r="F162" t="str">
            <v>Rendah</v>
          </cell>
        </row>
        <row r="163">
          <cell r="B163">
            <v>34</v>
          </cell>
          <cell r="C163">
            <v>4</v>
          </cell>
          <cell r="E163">
            <v>1</v>
          </cell>
          <cell r="F163" t="str">
            <v>Rendah</v>
          </cell>
        </row>
        <row r="164">
          <cell r="B164">
            <v>10</v>
          </cell>
          <cell r="C164">
            <v>6</v>
          </cell>
          <cell r="E164">
            <v>0</v>
          </cell>
          <cell r="F164" t="str">
            <v>Rendah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4"/>
  <sheetViews>
    <sheetView workbookViewId="0">
      <selection activeCell="B71" sqref="B71"/>
    </sheetView>
  </sheetViews>
  <sheetFormatPr defaultColWidth="9" defaultRowHeight="15"/>
  <cols>
    <col min="1" max="1" width="20.7109375" customWidth="1"/>
    <col min="3" max="3" width="15.85546875" customWidth="1"/>
    <col min="4" max="4" width="21.5703125" customWidth="1"/>
    <col min="5" max="5" width="13.28515625" customWidth="1"/>
    <col min="6" max="6" width="13.85546875" customWidth="1"/>
  </cols>
  <sheetData>
    <row r="1" spans="1:6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</row>
    <row r="2" spans="1:6">
      <c r="A2" s="12" t="s">
        <v>6</v>
      </c>
      <c r="B2" s="12">
        <v>34</v>
      </c>
      <c r="C2" s="12">
        <v>3</v>
      </c>
      <c r="D2" s="12">
        <v>12</v>
      </c>
      <c r="E2" s="12">
        <v>0</v>
      </c>
      <c r="F2" s="12" t="s">
        <v>7</v>
      </c>
    </row>
    <row r="3" spans="1:6">
      <c r="A3" s="12" t="s">
        <v>8</v>
      </c>
      <c r="B3" s="12">
        <v>43</v>
      </c>
      <c r="C3" s="12">
        <v>3</v>
      </c>
      <c r="D3" s="12">
        <v>12</v>
      </c>
      <c r="E3" s="12">
        <v>1</v>
      </c>
      <c r="F3" s="12" t="s">
        <v>7</v>
      </c>
    </row>
    <row r="4" spans="1:6">
      <c r="A4" s="12" t="s">
        <v>9</v>
      </c>
      <c r="B4" s="12">
        <v>23</v>
      </c>
      <c r="C4" s="12">
        <v>5</v>
      </c>
      <c r="D4" s="12">
        <v>12</v>
      </c>
      <c r="E4" s="12">
        <v>0</v>
      </c>
      <c r="F4" s="12" t="s">
        <v>7</v>
      </c>
    </row>
    <row r="5" spans="1:6">
      <c r="A5" s="12" t="s">
        <v>10</v>
      </c>
      <c r="B5" s="12">
        <v>18</v>
      </c>
      <c r="C5" s="12">
        <v>2</v>
      </c>
      <c r="D5" s="12">
        <v>12</v>
      </c>
      <c r="E5" s="12">
        <v>1</v>
      </c>
      <c r="F5" s="12" t="s">
        <v>7</v>
      </c>
    </row>
    <row r="6" spans="1:6">
      <c r="A6" s="12" t="s">
        <v>11</v>
      </c>
      <c r="B6" s="12">
        <v>14</v>
      </c>
      <c r="C6" s="12">
        <v>4</v>
      </c>
      <c r="D6" s="12">
        <v>12</v>
      </c>
      <c r="E6" s="12">
        <v>0</v>
      </c>
      <c r="F6" s="12" t="s">
        <v>7</v>
      </c>
    </row>
    <row r="7" spans="1:6">
      <c r="A7" s="12" t="s">
        <v>12</v>
      </c>
      <c r="B7" s="12">
        <v>12</v>
      </c>
      <c r="C7" s="12">
        <v>1</v>
      </c>
      <c r="D7" s="12">
        <v>12</v>
      </c>
      <c r="E7" s="12">
        <v>1</v>
      </c>
      <c r="F7" s="12" t="s">
        <v>7</v>
      </c>
    </row>
    <row r="8" spans="1:6">
      <c r="A8" s="12" t="s">
        <v>13</v>
      </c>
      <c r="B8" s="12">
        <v>4</v>
      </c>
      <c r="C8" s="12">
        <v>2</v>
      </c>
      <c r="D8" s="12">
        <v>12</v>
      </c>
      <c r="E8" s="12">
        <v>0</v>
      </c>
      <c r="F8" s="12" t="s">
        <v>7</v>
      </c>
    </row>
    <row r="9" spans="1:6">
      <c r="A9" s="12" t="s">
        <v>14</v>
      </c>
      <c r="B9" s="12">
        <v>16</v>
      </c>
      <c r="C9" s="12">
        <v>6</v>
      </c>
      <c r="D9" s="12">
        <v>12</v>
      </c>
      <c r="E9" s="12">
        <v>1</v>
      </c>
      <c r="F9" s="12" t="s">
        <v>7</v>
      </c>
    </row>
    <row r="10" spans="1:6">
      <c r="A10" s="12" t="s">
        <v>15</v>
      </c>
      <c r="B10" s="12">
        <v>18</v>
      </c>
      <c r="C10" s="12">
        <v>5</v>
      </c>
      <c r="D10" s="12">
        <v>12</v>
      </c>
      <c r="E10" s="12">
        <v>0</v>
      </c>
      <c r="F10" s="12" t="s">
        <v>7</v>
      </c>
    </row>
    <row r="11" spans="1:6">
      <c r="A11" s="12" t="s">
        <v>16</v>
      </c>
      <c r="B11" s="12">
        <v>24</v>
      </c>
      <c r="C11" s="12">
        <v>5</v>
      </c>
      <c r="D11" s="12">
        <v>12</v>
      </c>
      <c r="E11" s="12">
        <v>1</v>
      </c>
      <c r="F11" s="12" t="s">
        <v>7</v>
      </c>
    </row>
    <row r="12" spans="1:6">
      <c r="A12" s="12" t="s">
        <v>17</v>
      </c>
      <c r="B12" s="12">
        <v>23</v>
      </c>
      <c r="C12" s="12">
        <v>3</v>
      </c>
      <c r="D12" s="12">
        <v>12</v>
      </c>
      <c r="E12" s="12">
        <v>0</v>
      </c>
      <c r="F12" s="12" t="s">
        <v>7</v>
      </c>
    </row>
    <row r="13" spans="1:6">
      <c r="A13" s="12" t="s">
        <v>18</v>
      </c>
      <c r="B13" s="12">
        <v>47</v>
      </c>
      <c r="C13" s="12">
        <v>2</v>
      </c>
      <c r="D13" s="12">
        <v>12</v>
      </c>
      <c r="E13" s="12">
        <v>0</v>
      </c>
      <c r="F13" s="12" t="s">
        <v>7</v>
      </c>
    </row>
    <row r="14" spans="1:6">
      <c r="A14" s="12" t="s">
        <v>19</v>
      </c>
      <c r="B14" s="12">
        <v>49</v>
      </c>
      <c r="C14" s="12">
        <v>4</v>
      </c>
      <c r="D14" s="12">
        <v>7</v>
      </c>
      <c r="E14" s="12">
        <v>1</v>
      </c>
      <c r="F14" s="12" t="s">
        <v>20</v>
      </c>
    </row>
    <row r="15" spans="1:6">
      <c r="A15" s="12" t="s">
        <v>21</v>
      </c>
      <c r="B15" s="12">
        <v>21</v>
      </c>
      <c r="C15" s="12">
        <v>2</v>
      </c>
      <c r="D15" s="12">
        <v>7</v>
      </c>
      <c r="E15" s="12">
        <v>0</v>
      </c>
      <c r="F15" s="12" t="s">
        <v>20</v>
      </c>
    </row>
    <row r="16" spans="1:6">
      <c r="A16" s="12" t="s">
        <v>22</v>
      </c>
      <c r="B16" s="12">
        <v>66</v>
      </c>
      <c r="C16" s="12">
        <v>5</v>
      </c>
      <c r="D16" s="12">
        <v>7</v>
      </c>
      <c r="E16" s="12">
        <v>1</v>
      </c>
      <c r="F16" s="12" t="s">
        <v>20</v>
      </c>
    </row>
    <row r="17" spans="1:6">
      <c r="A17" s="12" t="s">
        <v>23</v>
      </c>
      <c r="B17" s="12">
        <v>2</v>
      </c>
      <c r="C17" s="12">
        <v>3</v>
      </c>
      <c r="D17" s="12">
        <v>7</v>
      </c>
      <c r="E17" s="12">
        <v>0</v>
      </c>
      <c r="F17" s="12" t="s">
        <v>20</v>
      </c>
    </row>
    <row r="18" spans="1:6">
      <c r="A18" s="12" t="s">
        <v>24</v>
      </c>
      <c r="B18" s="12">
        <v>49</v>
      </c>
      <c r="C18" s="12">
        <v>4</v>
      </c>
      <c r="D18" s="12">
        <v>7</v>
      </c>
      <c r="E18" s="12">
        <v>1</v>
      </c>
      <c r="F18" s="12" t="s">
        <v>20</v>
      </c>
    </row>
    <row r="19" spans="1:6">
      <c r="A19" s="12" t="s">
        <v>25</v>
      </c>
      <c r="B19" s="12">
        <v>8</v>
      </c>
      <c r="C19" s="12">
        <v>4</v>
      </c>
      <c r="D19" s="12">
        <v>7</v>
      </c>
      <c r="E19" s="12">
        <v>0</v>
      </c>
      <c r="F19" s="12" t="s">
        <v>20</v>
      </c>
    </row>
    <row r="20" spans="1:6">
      <c r="A20" s="12" t="s">
        <v>26</v>
      </c>
      <c r="B20" s="12">
        <v>15</v>
      </c>
      <c r="C20" s="12">
        <v>5</v>
      </c>
      <c r="D20" s="12">
        <v>7</v>
      </c>
      <c r="E20" s="12">
        <v>0</v>
      </c>
      <c r="F20" s="12" t="s">
        <v>20</v>
      </c>
    </row>
    <row r="21" spans="1:6">
      <c r="A21" s="12" t="s">
        <v>27</v>
      </c>
      <c r="B21" s="12">
        <v>10</v>
      </c>
      <c r="C21" s="12">
        <v>5</v>
      </c>
      <c r="D21" s="12">
        <v>14</v>
      </c>
      <c r="E21" s="12">
        <v>1</v>
      </c>
      <c r="F21" s="12" t="s">
        <v>7</v>
      </c>
    </row>
    <row r="22" spans="1:6">
      <c r="A22" s="12" t="s">
        <v>28</v>
      </c>
      <c r="B22" s="12">
        <v>6</v>
      </c>
      <c r="C22" s="12">
        <v>3</v>
      </c>
      <c r="D22" s="12">
        <v>14</v>
      </c>
      <c r="E22" s="12">
        <v>0</v>
      </c>
      <c r="F22" s="12" t="s">
        <v>7</v>
      </c>
    </row>
    <row r="23" spans="1:6">
      <c r="A23" s="12" t="s">
        <v>29</v>
      </c>
      <c r="B23" s="12">
        <v>28</v>
      </c>
      <c r="C23" s="12">
        <v>4</v>
      </c>
      <c r="D23" s="12">
        <v>14</v>
      </c>
      <c r="E23" s="12">
        <v>1</v>
      </c>
      <c r="F23" s="12" t="s">
        <v>7</v>
      </c>
    </row>
    <row r="24" spans="1:6">
      <c r="A24" s="12" t="s">
        <v>30</v>
      </c>
      <c r="B24" s="12">
        <v>60</v>
      </c>
      <c r="C24" s="12">
        <v>4</v>
      </c>
      <c r="D24" s="12">
        <v>14</v>
      </c>
      <c r="E24" s="12">
        <v>0</v>
      </c>
      <c r="F24" s="12" t="s">
        <v>7</v>
      </c>
    </row>
    <row r="25" spans="1:6">
      <c r="A25" s="12" t="s">
        <v>31</v>
      </c>
      <c r="B25" s="12">
        <v>81</v>
      </c>
      <c r="C25" s="12">
        <v>5</v>
      </c>
      <c r="D25" s="12">
        <v>14</v>
      </c>
      <c r="E25" s="12">
        <v>0</v>
      </c>
      <c r="F25" s="12" t="s">
        <v>7</v>
      </c>
    </row>
    <row r="26" spans="1:6">
      <c r="A26" s="12" t="s">
        <v>32</v>
      </c>
      <c r="B26" s="12">
        <v>75</v>
      </c>
      <c r="C26" s="12">
        <v>4</v>
      </c>
      <c r="D26" s="12">
        <v>14</v>
      </c>
      <c r="E26" s="12">
        <v>1</v>
      </c>
      <c r="F26" s="12" t="s">
        <v>7</v>
      </c>
    </row>
    <row r="27" spans="1:6">
      <c r="A27" s="12" t="s">
        <v>33</v>
      </c>
      <c r="B27" s="12">
        <v>37</v>
      </c>
      <c r="C27" s="12">
        <v>4</v>
      </c>
      <c r="D27" s="12">
        <v>14</v>
      </c>
      <c r="E27" s="12">
        <v>1</v>
      </c>
      <c r="F27" s="12" t="s">
        <v>7</v>
      </c>
    </row>
    <row r="28" spans="1:6">
      <c r="A28" s="12" t="s">
        <v>34</v>
      </c>
      <c r="B28" s="12">
        <v>22</v>
      </c>
      <c r="C28" s="12">
        <v>2</v>
      </c>
      <c r="D28" s="12">
        <v>14</v>
      </c>
      <c r="E28" s="12">
        <v>1</v>
      </c>
      <c r="F28" s="12" t="s">
        <v>7</v>
      </c>
    </row>
    <row r="29" spans="1:6">
      <c r="A29" s="12" t="s">
        <v>35</v>
      </c>
      <c r="B29" s="12">
        <v>19</v>
      </c>
      <c r="C29" s="12">
        <v>2</v>
      </c>
      <c r="D29" s="12">
        <v>14</v>
      </c>
      <c r="E29" s="12">
        <v>1</v>
      </c>
      <c r="F29" s="12" t="s">
        <v>7</v>
      </c>
    </row>
    <row r="30" spans="1:6">
      <c r="A30" s="12" t="s">
        <v>36</v>
      </c>
      <c r="B30" s="12">
        <v>3</v>
      </c>
      <c r="C30" s="12">
        <v>2</v>
      </c>
      <c r="D30" s="12">
        <v>14</v>
      </c>
      <c r="E30" s="12">
        <v>1</v>
      </c>
      <c r="F30" s="12" t="s">
        <v>7</v>
      </c>
    </row>
    <row r="31" spans="1:6">
      <c r="A31" s="12" t="s">
        <v>37</v>
      </c>
      <c r="B31" s="12">
        <v>64</v>
      </c>
      <c r="C31" s="12">
        <v>4</v>
      </c>
      <c r="D31" s="12">
        <v>14</v>
      </c>
      <c r="E31" s="12">
        <v>1</v>
      </c>
      <c r="F31" s="12" t="s">
        <v>7</v>
      </c>
    </row>
    <row r="32" spans="1:6">
      <c r="A32" s="12" t="s">
        <v>38</v>
      </c>
      <c r="B32" s="12">
        <v>54</v>
      </c>
      <c r="C32" s="12">
        <v>4</v>
      </c>
      <c r="D32" s="12">
        <v>14</v>
      </c>
      <c r="E32" s="12">
        <v>0</v>
      </c>
      <c r="F32" s="12" t="s">
        <v>7</v>
      </c>
    </row>
    <row r="33" spans="1:6">
      <c r="A33" s="12" t="s">
        <v>39</v>
      </c>
      <c r="B33" s="12">
        <v>19</v>
      </c>
      <c r="C33" s="12">
        <v>4</v>
      </c>
      <c r="D33" s="12">
        <v>14</v>
      </c>
      <c r="E33" s="12">
        <v>1</v>
      </c>
      <c r="F33" s="12" t="s">
        <v>7</v>
      </c>
    </row>
    <row r="34" spans="1:6">
      <c r="A34" s="12" t="s">
        <v>40</v>
      </c>
      <c r="B34" s="12">
        <v>55</v>
      </c>
      <c r="C34" s="12">
        <v>3</v>
      </c>
      <c r="D34" s="12">
        <v>14</v>
      </c>
      <c r="E34" s="12">
        <v>0</v>
      </c>
      <c r="F34" s="12" t="s">
        <v>7</v>
      </c>
    </row>
    <row r="35" spans="1:6">
      <c r="A35" s="12" t="s">
        <v>41</v>
      </c>
      <c r="B35" s="12">
        <v>40</v>
      </c>
      <c r="C35" s="12">
        <v>3</v>
      </c>
      <c r="D35" s="12">
        <v>4</v>
      </c>
      <c r="E35" s="12">
        <v>1</v>
      </c>
      <c r="F35" s="12" t="s">
        <v>20</v>
      </c>
    </row>
    <row r="36" spans="1:6">
      <c r="A36" s="12" t="s">
        <v>42</v>
      </c>
      <c r="B36" s="12">
        <v>27</v>
      </c>
      <c r="C36" s="12">
        <v>1</v>
      </c>
      <c r="D36" s="12">
        <v>4</v>
      </c>
      <c r="E36" s="12">
        <v>1</v>
      </c>
      <c r="F36" s="12" t="s">
        <v>20</v>
      </c>
    </row>
    <row r="37" spans="1:6">
      <c r="A37" s="12" t="s">
        <v>43</v>
      </c>
      <c r="B37" s="12">
        <v>28</v>
      </c>
      <c r="C37" s="12">
        <v>4</v>
      </c>
      <c r="D37" s="12">
        <v>4</v>
      </c>
      <c r="E37" s="12">
        <v>1</v>
      </c>
      <c r="F37" s="12" t="s">
        <v>20</v>
      </c>
    </row>
    <row r="38" spans="1:6">
      <c r="A38" s="12" t="s">
        <v>44</v>
      </c>
      <c r="B38" s="12">
        <v>52</v>
      </c>
      <c r="C38" s="12">
        <v>3</v>
      </c>
      <c r="D38" s="12">
        <v>4</v>
      </c>
      <c r="E38" s="12">
        <v>1</v>
      </c>
      <c r="F38" s="12" t="s">
        <v>20</v>
      </c>
    </row>
    <row r="39" spans="1:6">
      <c r="A39" s="12" t="s">
        <v>45</v>
      </c>
      <c r="B39" s="12">
        <v>12</v>
      </c>
      <c r="C39" s="12">
        <v>5</v>
      </c>
      <c r="D39" s="12">
        <v>13</v>
      </c>
      <c r="E39" s="12">
        <v>1</v>
      </c>
      <c r="F39" s="12" t="s">
        <v>7</v>
      </c>
    </row>
    <row r="40" spans="1:6">
      <c r="A40" s="12" t="s">
        <v>46</v>
      </c>
      <c r="B40" s="12">
        <v>65</v>
      </c>
      <c r="C40" s="12">
        <v>3</v>
      </c>
      <c r="D40" s="12">
        <v>13</v>
      </c>
      <c r="E40" s="12">
        <v>1</v>
      </c>
      <c r="F40" s="12" t="s">
        <v>7</v>
      </c>
    </row>
    <row r="41" spans="1:6">
      <c r="A41" s="12" t="s">
        <v>47</v>
      </c>
      <c r="B41" s="12">
        <v>8</v>
      </c>
      <c r="C41" s="12">
        <v>4</v>
      </c>
      <c r="D41" s="12">
        <v>13</v>
      </c>
      <c r="E41" s="12">
        <v>0</v>
      </c>
      <c r="F41" s="12" t="s">
        <v>7</v>
      </c>
    </row>
    <row r="42" spans="1:6">
      <c r="A42" s="12" t="s">
        <v>48</v>
      </c>
      <c r="B42" s="12">
        <v>21</v>
      </c>
      <c r="C42" s="12">
        <v>5</v>
      </c>
      <c r="D42" s="12">
        <v>13</v>
      </c>
      <c r="E42" s="12">
        <v>1</v>
      </c>
      <c r="F42" s="12" t="s">
        <v>7</v>
      </c>
    </row>
    <row r="43" spans="1:6">
      <c r="A43" s="12" t="s">
        <v>49</v>
      </c>
      <c r="B43" s="12">
        <v>15</v>
      </c>
      <c r="C43" s="12">
        <v>4</v>
      </c>
      <c r="D43" s="12">
        <v>13</v>
      </c>
      <c r="E43" s="12">
        <v>0</v>
      </c>
      <c r="F43" s="12" t="s">
        <v>7</v>
      </c>
    </row>
    <row r="44" spans="1:6">
      <c r="A44" s="12" t="s">
        <v>50</v>
      </c>
      <c r="B44" s="12">
        <v>28</v>
      </c>
      <c r="C44" s="12">
        <v>5</v>
      </c>
      <c r="D44" s="12">
        <v>13</v>
      </c>
      <c r="E44" s="12">
        <v>1</v>
      </c>
      <c r="F44" s="12" t="s">
        <v>7</v>
      </c>
    </row>
    <row r="45" spans="1:6">
      <c r="A45" s="12" t="s">
        <v>51</v>
      </c>
      <c r="B45" s="12">
        <v>75</v>
      </c>
      <c r="C45" s="12">
        <v>3</v>
      </c>
      <c r="D45" s="12">
        <v>13</v>
      </c>
      <c r="E45" s="12">
        <v>1</v>
      </c>
      <c r="F45" s="12" t="s">
        <v>7</v>
      </c>
    </row>
    <row r="46" spans="1:6">
      <c r="A46" s="12" t="s">
        <v>52</v>
      </c>
      <c r="B46" s="12">
        <v>62</v>
      </c>
      <c r="C46" s="12">
        <v>2</v>
      </c>
      <c r="D46" s="12">
        <v>13</v>
      </c>
      <c r="E46" s="12">
        <v>0</v>
      </c>
      <c r="F46" s="12" t="s">
        <v>7</v>
      </c>
    </row>
    <row r="47" spans="1:6">
      <c r="A47" s="12" t="s">
        <v>53</v>
      </c>
      <c r="B47" s="12">
        <v>19</v>
      </c>
      <c r="C47" s="12">
        <v>2</v>
      </c>
      <c r="D47" s="12">
        <v>13</v>
      </c>
      <c r="E47" s="12">
        <v>0</v>
      </c>
      <c r="F47" s="12" t="s">
        <v>7</v>
      </c>
    </row>
    <row r="48" spans="1:6">
      <c r="A48" s="12" t="s">
        <v>54</v>
      </c>
      <c r="B48" s="12">
        <v>50</v>
      </c>
      <c r="C48" s="12">
        <v>5</v>
      </c>
      <c r="D48" s="12">
        <v>13</v>
      </c>
      <c r="E48" s="12">
        <v>1</v>
      </c>
      <c r="F48" s="12" t="s">
        <v>7</v>
      </c>
    </row>
    <row r="49" spans="1:6">
      <c r="A49" s="12" t="s">
        <v>55</v>
      </c>
      <c r="B49" s="12">
        <v>64</v>
      </c>
      <c r="C49" s="12">
        <v>5</v>
      </c>
      <c r="D49" s="12">
        <v>13</v>
      </c>
      <c r="E49" s="12">
        <v>0</v>
      </c>
      <c r="F49" s="12" t="s">
        <v>7</v>
      </c>
    </row>
    <row r="50" spans="1:6">
      <c r="A50" s="12" t="s">
        <v>56</v>
      </c>
      <c r="B50" s="12">
        <v>19</v>
      </c>
      <c r="C50" s="12">
        <v>5</v>
      </c>
      <c r="D50" s="12">
        <v>13</v>
      </c>
      <c r="E50" s="12">
        <v>0</v>
      </c>
      <c r="F50" s="12" t="s">
        <v>7</v>
      </c>
    </row>
    <row r="51" spans="1:6">
      <c r="A51" s="12" t="s">
        <v>57</v>
      </c>
      <c r="B51" s="12">
        <v>48</v>
      </c>
      <c r="C51" s="12">
        <v>4</v>
      </c>
      <c r="D51" s="12">
        <v>13</v>
      </c>
      <c r="E51" s="12">
        <v>0</v>
      </c>
      <c r="F51" s="12" t="s">
        <v>7</v>
      </c>
    </row>
    <row r="52" spans="1:6">
      <c r="A52" s="12" t="s">
        <v>58</v>
      </c>
      <c r="B52" s="12">
        <v>59</v>
      </c>
      <c r="C52" s="12">
        <v>4</v>
      </c>
      <c r="D52" s="12">
        <v>15</v>
      </c>
      <c r="E52" s="12">
        <v>1</v>
      </c>
      <c r="F52" s="12" t="s">
        <v>7</v>
      </c>
    </row>
    <row r="53" spans="1:6">
      <c r="A53" s="12" t="s">
        <v>59</v>
      </c>
      <c r="B53" s="12">
        <v>35</v>
      </c>
      <c r="C53" s="12">
        <v>4</v>
      </c>
      <c r="D53" s="12">
        <v>15</v>
      </c>
      <c r="E53" s="12">
        <v>1</v>
      </c>
      <c r="F53" s="12" t="s">
        <v>7</v>
      </c>
    </row>
    <row r="54" spans="1:6">
      <c r="A54" s="12" t="s">
        <v>60</v>
      </c>
      <c r="B54" s="12">
        <v>7</v>
      </c>
      <c r="C54" s="12">
        <v>3</v>
      </c>
      <c r="D54" s="12">
        <v>15</v>
      </c>
      <c r="E54" s="12">
        <v>0</v>
      </c>
      <c r="F54" s="12" t="s">
        <v>7</v>
      </c>
    </row>
    <row r="55" spans="1:6">
      <c r="A55" s="12" t="s">
        <v>61</v>
      </c>
      <c r="B55" s="12">
        <v>7</v>
      </c>
      <c r="C55" s="12">
        <v>4</v>
      </c>
      <c r="D55" s="12">
        <v>15</v>
      </c>
      <c r="E55" s="12">
        <v>1</v>
      </c>
      <c r="F55" s="12" t="s">
        <v>7</v>
      </c>
    </row>
    <row r="56" spans="1:6">
      <c r="A56" s="12" t="s">
        <v>62</v>
      </c>
      <c r="B56" s="12">
        <v>4</v>
      </c>
      <c r="C56" s="12">
        <v>3</v>
      </c>
      <c r="D56" s="12">
        <v>15</v>
      </c>
      <c r="E56" s="12">
        <v>0</v>
      </c>
      <c r="F56" s="12" t="s">
        <v>7</v>
      </c>
    </row>
    <row r="57" spans="1:6">
      <c r="A57" s="12" t="s">
        <v>63</v>
      </c>
      <c r="B57" s="12">
        <v>2</v>
      </c>
      <c r="C57" s="12">
        <v>2</v>
      </c>
      <c r="D57" s="12">
        <v>15</v>
      </c>
      <c r="E57" s="12">
        <v>1</v>
      </c>
      <c r="F57" s="12" t="s">
        <v>7</v>
      </c>
    </row>
    <row r="58" spans="1:6">
      <c r="A58" s="12" t="s">
        <v>64</v>
      </c>
      <c r="B58" s="12">
        <v>17</v>
      </c>
      <c r="C58" s="12">
        <v>3</v>
      </c>
      <c r="D58" s="12">
        <v>15</v>
      </c>
      <c r="E58" s="12">
        <v>0</v>
      </c>
      <c r="F58" s="12" t="s">
        <v>7</v>
      </c>
    </row>
    <row r="59" spans="1:6">
      <c r="A59" s="12" t="s">
        <v>65</v>
      </c>
      <c r="B59" s="12">
        <v>28</v>
      </c>
      <c r="C59" s="12">
        <v>4</v>
      </c>
      <c r="D59" s="12">
        <v>15</v>
      </c>
      <c r="E59" s="12">
        <v>0</v>
      </c>
      <c r="F59" s="12" t="s">
        <v>7</v>
      </c>
    </row>
    <row r="60" spans="1:6">
      <c r="A60" s="12" t="s">
        <v>66</v>
      </c>
      <c r="B60" s="12">
        <v>68</v>
      </c>
      <c r="C60" s="12">
        <v>4</v>
      </c>
      <c r="D60" s="12">
        <v>15</v>
      </c>
      <c r="E60" s="12">
        <v>0</v>
      </c>
      <c r="F60" s="12" t="s">
        <v>7</v>
      </c>
    </row>
    <row r="61" spans="1:6">
      <c r="A61" s="12" t="s">
        <v>67</v>
      </c>
      <c r="B61" s="12">
        <v>29</v>
      </c>
      <c r="C61" s="12">
        <v>3</v>
      </c>
      <c r="D61" s="12">
        <v>15</v>
      </c>
      <c r="E61" s="12">
        <v>1</v>
      </c>
      <c r="F61" s="12" t="s">
        <v>7</v>
      </c>
    </row>
    <row r="62" spans="1:6">
      <c r="A62" s="12" t="s">
        <v>68</v>
      </c>
      <c r="B62" s="12">
        <v>43</v>
      </c>
      <c r="C62" s="12">
        <v>4</v>
      </c>
      <c r="D62" s="12">
        <v>15</v>
      </c>
      <c r="E62" s="12">
        <v>1</v>
      </c>
      <c r="F62" s="12" t="s">
        <v>7</v>
      </c>
    </row>
    <row r="63" spans="1:6">
      <c r="A63" s="12" t="s">
        <v>69</v>
      </c>
      <c r="B63" s="12">
        <v>25</v>
      </c>
      <c r="C63" s="12">
        <v>3</v>
      </c>
      <c r="D63" s="12">
        <v>15</v>
      </c>
      <c r="E63" s="12">
        <v>0</v>
      </c>
      <c r="F63" s="12" t="s">
        <v>7</v>
      </c>
    </row>
    <row r="64" spans="1:6">
      <c r="A64" s="12" t="s">
        <v>70</v>
      </c>
      <c r="B64" s="12">
        <v>35</v>
      </c>
      <c r="C64" s="12">
        <v>1</v>
      </c>
      <c r="D64" s="12">
        <v>15</v>
      </c>
      <c r="E64" s="12">
        <v>0</v>
      </c>
      <c r="F64" s="12" t="s">
        <v>7</v>
      </c>
    </row>
    <row r="65" spans="1:6">
      <c r="A65" s="12" t="s">
        <v>71</v>
      </c>
      <c r="B65" s="12">
        <v>49</v>
      </c>
      <c r="C65" s="12">
        <v>3</v>
      </c>
      <c r="D65" s="12">
        <v>15</v>
      </c>
      <c r="E65" s="12">
        <v>0</v>
      </c>
      <c r="F65" s="12" t="s">
        <v>7</v>
      </c>
    </row>
    <row r="66" spans="1:6">
      <c r="A66" s="12" t="s">
        <v>72</v>
      </c>
      <c r="B66" s="12">
        <v>21</v>
      </c>
      <c r="C66" s="12">
        <v>5</v>
      </c>
      <c r="D66" s="12">
        <v>15</v>
      </c>
      <c r="E66" s="12">
        <v>1</v>
      </c>
      <c r="F66" s="12" t="s">
        <v>7</v>
      </c>
    </row>
    <row r="67" spans="1:6">
      <c r="A67" s="12" t="s">
        <v>73</v>
      </c>
      <c r="B67" s="12">
        <v>21</v>
      </c>
      <c r="C67" s="12">
        <v>3</v>
      </c>
      <c r="D67" s="12">
        <v>10</v>
      </c>
      <c r="E67" s="12">
        <v>1</v>
      </c>
      <c r="F67" s="12" t="s">
        <v>7</v>
      </c>
    </row>
    <row r="68" spans="1:6">
      <c r="A68" s="12" t="s">
        <v>74</v>
      </c>
      <c r="B68" s="12">
        <v>44</v>
      </c>
      <c r="C68" s="12">
        <v>5</v>
      </c>
      <c r="D68" s="12">
        <v>10</v>
      </c>
      <c r="E68" s="12">
        <v>0</v>
      </c>
      <c r="F68" s="12" t="s">
        <v>7</v>
      </c>
    </row>
    <row r="69" spans="1:6">
      <c r="A69" s="12" t="s">
        <v>75</v>
      </c>
      <c r="B69" s="12">
        <v>24</v>
      </c>
      <c r="C69" s="12">
        <v>4</v>
      </c>
      <c r="D69" s="12">
        <v>10</v>
      </c>
      <c r="E69" s="12">
        <v>1</v>
      </c>
      <c r="F69" s="12" t="s">
        <v>7</v>
      </c>
    </row>
    <row r="70" spans="1:6">
      <c r="A70" s="12" t="s">
        <v>76</v>
      </c>
      <c r="B70" s="12">
        <v>26</v>
      </c>
      <c r="C70" s="12">
        <v>3</v>
      </c>
      <c r="D70" s="12">
        <v>10</v>
      </c>
      <c r="E70" s="12">
        <v>1</v>
      </c>
      <c r="F70" s="12" t="s">
        <v>7</v>
      </c>
    </row>
    <row r="71" spans="1:6">
      <c r="A71" s="12" t="s">
        <v>77</v>
      </c>
      <c r="B71" s="12">
        <v>84</v>
      </c>
      <c r="C71" s="12">
        <v>3</v>
      </c>
      <c r="D71" s="12">
        <v>10</v>
      </c>
      <c r="E71" s="12">
        <v>0</v>
      </c>
      <c r="F71" s="12" t="s">
        <v>7</v>
      </c>
    </row>
    <row r="72" spans="1:6">
      <c r="A72" s="12" t="s">
        <v>78</v>
      </c>
      <c r="B72" s="12">
        <v>3</v>
      </c>
      <c r="C72" s="12">
        <v>5</v>
      </c>
      <c r="D72" s="12">
        <v>10</v>
      </c>
      <c r="E72" s="12">
        <v>1</v>
      </c>
      <c r="F72" s="12" t="s">
        <v>7</v>
      </c>
    </row>
    <row r="73" spans="1:6">
      <c r="A73" s="12" t="s">
        <v>79</v>
      </c>
      <c r="B73" s="12">
        <v>15</v>
      </c>
      <c r="C73" s="12">
        <v>3</v>
      </c>
      <c r="D73" s="12">
        <v>10</v>
      </c>
      <c r="E73" s="12">
        <v>1</v>
      </c>
      <c r="F73" s="12" t="s">
        <v>7</v>
      </c>
    </row>
    <row r="74" spans="1:6">
      <c r="A74" s="12" t="s">
        <v>80</v>
      </c>
      <c r="B74" s="12">
        <v>9</v>
      </c>
      <c r="C74" s="12">
        <v>4</v>
      </c>
      <c r="D74" s="12">
        <v>10</v>
      </c>
      <c r="E74" s="12">
        <v>0</v>
      </c>
      <c r="F74" s="12" t="s">
        <v>7</v>
      </c>
    </row>
    <row r="75" spans="1:6">
      <c r="A75" s="12" t="s">
        <v>81</v>
      </c>
      <c r="B75" s="12">
        <v>2</v>
      </c>
      <c r="C75" s="12">
        <v>2</v>
      </c>
      <c r="D75" s="12">
        <v>10</v>
      </c>
      <c r="E75" s="12">
        <v>1</v>
      </c>
      <c r="F75" s="12" t="s">
        <v>7</v>
      </c>
    </row>
    <row r="76" spans="1:6">
      <c r="A76" s="12" t="s">
        <v>82</v>
      </c>
      <c r="B76" s="12">
        <v>70</v>
      </c>
      <c r="C76" s="12">
        <v>2</v>
      </c>
      <c r="D76" s="12">
        <v>10</v>
      </c>
      <c r="E76" s="12">
        <v>0</v>
      </c>
      <c r="F76" s="12" t="s">
        <v>7</v>
      </c>
    </row>
    <row r="77" spans="1:6">
      <c r="A77" s="12" t="s">
        <v>83</v>
      </c>
      <c r="B77" s="12">
        <v>16</v>
      </c>
      <c r="C77" s="12">
        <v>4</v>
      </c>
      <c r="D77" s="12">
        <v>13</v>
      </c>
      <c r="E77" s="12">
        <v>1</v>
      </c>
      <c r="F77" s="12" t="s">
        <v>7</v>
      </c>
    </row>
    <row r="78" spans="1:6">
      <c r="A78" s="12" t="s">
        <v>84</v>
      </c>
      <c r="B78" s="12">
        <v>6</v>
      </c>
      <c r="C78" s="12">
        <v>3</v>
      </c>
      <c r="D78" s="12">
        <v>13</v>
      </c>
      <c r="E78" s="12">
        <v>0</v>
      </c>
      <c r="F78" s="12" t="s">
        <v>7</v>
      </c>
    </row>
    <row r="79" spans="1:6">
      <c r="A79" s="12" t="s">
        <v>85</v>
      </c>
      <c r="B79" s="12">
        <v>29</v>
      </c>
      <c r="C79" s="12">
        <v>3</v>
      </c>
      <c r="D79" s="12">
        <v>13</v>
      </c>
      <c r="E79" s="12">
        <v>0</v>
      </c>
      <c r="F79" s="12" t="s">
        <v>7</v>
      </c>
    </row>
    <row r="80" spans="1:6">
      <c r="A80" s="12" t="s">
        <v>86</v>
      </c>
      <c r="B80" s="12">
        <v>27</v>
      </c>
      <c r="C80" s="12">
        <v>3</v>
      </c>
      <c r="D80" s="12">
        <v>13</v>
      </c>
      <c r="E80" s="12">
        <v>1</v>
      </c>
      <c r="F80" s="12" t="s">
        <v>7</v>
      </c>
    </row>
    <row r="81" spans="1:6">
      <c r="A81" s="12" t="s">
        <v>87</v>
      </c>
      <c r="B81" s="12">
        <v>23</v>
      </c>
      <c r="C81" s="12">
        <v>5</v>
      </c>
      <c r="D81" s="12">
        <v>13</v>
      </c>
      <c r="E81" s="12">
        <v>1</v>
      </c>
      <c r="F81" s="12" t="s">
        <v>7</v>
      </c>
    </row>
    <row r="82" spans="1:6">
      <c r="A82" s="12" t="s">
        <v>88</v>
      </c>
      <c r="B82" s="12">
        <v>28</v>
      </c>
      <c r="C82" s="12">
        <v>3</v>
      </c>
      <c r="D82" s="12">
        <v>13</v>
      </c>
      <c r="E82" s="12">
        <v>1</v>
      </c>
      <c r="F82" s="12" t="s">
        <v>7</v>
      </c>
    </row>
    <row r="83" spans="1:6">
      <c r="A83" s="12" t="s">
        <v>89</v>
      </c>
      <c r="B83" s="12">
        <v>50</v>
      </c>
      <c r="C83" s="12">
        <v>3</v>
      </c>
      <c r="D83" s="12">
        <v>13</v>
      </c>
      <c r="E83" s="12">
        <v>0</v>
      </c>
      <c r="F83" s="12" t="s">
        <v>7</v>
      </c>
    </row>
    <row r="84" spans="1:6">
      <c r="A84" s="12" t="s">
        <v>90</v>
      </c>
      <c r="B84" s="12">
        <v>42</v>
      </c>
      <c r="C84" s="12">
        <v>4</v>
      </c>
      <c r="D84" s="12">
        <v>13</v>
      </c>
      <c r="E84" s="12">
        <v>1</v>
      </c>
      <c r="F84" s="12" t="s">
        <v>7</v>
      </c>
    </row>
    <row r="85" spans="1:6">
      <c r="A85" s="12" t="s">
        <v>91</v>
      </c>
      <c r="B85" s="12">
        <v>27</v>
      </c>
      <c r="C85" s="12">
        <v>9</v>
      </c>
      <c r="D85" s="12">
        <v>13</v>
      </c>
      <c r="E85" s="12">
        <v>0</v>
      </c>
      <c r="F85" s="12" t="s">
        <v>7</v>
      </c>
    </row>
    <row r="86" spans="1:6">
      <c r="A86" s="12" t="s">
        <v>92</v>
      </c>
      <c r="B86" s="12">
        <v>23</v>
      </c>
      <c r="C86" s="12">
        <v>3</v>
      </c>
      <c r="D86" s="12">
        <v>13</v>
      </c>
      <c r="E86" s="12">
        <v>0</v>
      </c>
      <c r="F86" s="12" t="s">
        <v>7</v>
      </c>
    </row>
    <row r="87" spans="1:6">
      <c r="A87" s="12" t="s">
        <v>93</v>
      </c>
      <c r="B87" s="12">
        <v>21</v>
      </c>
      <c r="C87" s="12">
        <v>3</v>
      </c>
      <c r="D87" s="12">
        <v>13</v>
      </c>
      <c r="E87" s="12">
        <v>0</v>
      </c>
      <c r="F87" s="12" t="s">
        <v>7</v>
      </c>
    </row>
    <row r="88" spans="1:6">
      <c r="A88" s="12" t="s">
        <v>94</v>
      </c>
      <c r="B88" s="12">
        <v>20</v>
      </c>
      <c r="C88" s="12">
        <v>4</v>
      </c>
      <c r="D88" s="12">
        <v>13</v>
      </c>
      <c r="E88" s="12">
        <v>1</v>
      </c>
      <c r="F88" s="12" t="s">
        <v>7</v>
      </c>
    </row>
    <row r="89" spans="1:6">
      <c r="A89" s="12" t="s">
        <v>95</v>
      </c>
      <c r="B89" s="12">
        <v>32</v>
      </c>
      <c r="C89" s="12">
        <v>4</v>
      </c>
      <c r="D89" s="12">
        <v>13</v>
      </c>
      <c r="E89" s="12">
        <v>0</v>
      </c>
      <c r="F89" s="12" t="s">
        <v>7</v>
      </c>
    </row>
    <row r="90" spans="1:6">
      <c r="A90" s="12" t="s">
        <v>96</v>
      </c>
      <c r="B90" s="12">
        <v>47</v>
      </c>
      <c r="C90" s="12">
        <v>3</v>
      </c>
      <c r="D90" s="12">
        <v>18</v>
      </c>
      <c r="E90" s="12">
        <v>0</v>
      </c>
      <c r="F90" s="12" t="s">
        <v>97</v>
      </c>
    </row>
    <row r="91" spans="1:6">
      <c r="A91" s="12" t="s">
        <v>98</v>
      </c>
      <c r="B91" s="12">
        <v>35</v>
      </c>
      <c r="C91" s="12">
        <v>1</v>
      </c>
      <c r="D91" s="12">
        <v>18</v>
      </c>
      <c r="E91" s="12">
        <v>1</v>
      </c>
      <c r="F91" s="12" t="s">
        <v>97</v>
      </c>
    </row>
    <row r="92" spans="1:6">
      <c r="A92" s="12" t="s">
        <v>99</v>
      </c>
      <c r="B92" s="12">
        <v>55</v>
      </c>
      <c r="C92" s="12">
        <v>7</v>
      </c>
      <c r="D92" s="12">
        <v>18</v>
      </c>
      <c r="E92" s="12">
        <v>0</v>
      </c>
      <c r="F92" s="12" t="s">
        <v>97</v>
      </c>
    </row>
    <row r="93" spans="1:6">
      <c r="A93" s="12" t="s">
        <v>100</v>
      </c>
      <c r="B93" s="12">
        <v>65</v>
      </c>
      <c r="C93" s="12">
        <v>4</v>
      </c>
      <c r="D93" s="12">
        <v>18</v>
      </c>
      <c r="E93" s="12">
        <v>0</v>
      </c>
      <c r="F93" s="12" t="s">
        <v>97</v>
      </c>
    </row>
    <row r="94" spans="1:6">
      <c r="A94" s="12" t="s">
        <v>101</v>
      </c>
      <c r="B94" s="12">
        <v>12</v>
      </c>
      <c r="C94" s="12">
        <v>4</v>
      </c>
      <c r="D94" s="12">
        <v>18</v>
      </c>
      <c r="E94" s="12">
        <v>0</v>
      </c>
      <c r="F94" s="12" t="s">
        <v>97</v>
      </c>
    </row>
    <row r="95" spans="1:6">
      <c r="A95" s="12" t="s">
        <v>102</v>
      </c>
      <c r="B95" s="12">
        <v>11</v>
      </c>
      <c r="C95" s="12">
        <v>3</v>
      </c>
      <c r="D95" s="12">
        <v>18</v>
      </c>
      <c r="E95" s="12">
        <v>1</v>
      </c>
      <c r="F95" s="12" t="s">
        <v>97</v>
      </c>
    </row>
    <row r="96" spans="1:6">
      <c r="A96" s="12" t="s">
        <v>103</v>
      </c>
      <c r="B96" s="12">
        <v>56</v>
      </c>
      <c r="C96" s="12">
        <v>4</v>
      </c>
      <c r="D96" s="12">
        <v>18</v>
      </c>
      <c r="E96" s="12">
        <v>0</v>
      </c>
      <c r="F96" s="12" t="s">
        <v>97</v>
      </c>
    </row>
    <row r="97" spans="1:6">
      <c r="A97" s="12" t="s">
        <v>104</v>
      </c>
      <c r="B97" s="12">
        <v>16</v>
      </c>
      <c r="C97" s="12">
        <v>2</v>
      </c>
      <c r="D97" s="12">
        <v>18</v>
      </c>
      <c r="E97" s="12">
        <v>1</v>
      </c>
      <c r="F97" s="12" t="s">
        <v>97</v>
      </c>
    </row>
    <row r="98" spans="1:6">
      <c r="A98" s="12" t="s">
        <v>105</v>
      </c>
      <c r="B98" s="12">
        <v>16</v>
      </c>
      <c r="C98" s="12">
        <v>2</v>
      </c>
      <c r="D98" s="12">
        <v>18</v>
      </c>
      <c r="E98" s="12">
        <v>1</v>
      </c>
      <c r="F98" s="12" t="s">
        <v>97</v>
      </c>
    </row>
    <row r="99" spans="1:6">
      <c r="A99" s="12" t="s">
        <v>106</v>
      </c>
      <c r="B99" s="12">
        <v>4</v>
      </c>
      <c r="C99" s="12">
        <v>2</v>
      </c>
      <c r="D99" s="12">
        <v>18</v>
      </c>
      <c r="E99" s="12">
        <v>1</v>
      </c>
      <c r="F99" s="12" t="s">
        <v>97</v>
      </c>
    </row>
    <row r="100" spans="1:6">
      <c r="A100" s="12" t="s">
        <v>107</v>
      </c>
      <c r="B100" s="12">
        <v>19</v>
      </c>
      <c r="C100" s="12">
        <v>6</v>
      </c>
      <c r="D100" s="12">
        <v>18</v>
      </c>
      <c r="E100" s="12">
        <v>0</v>
      </c>
      <c r="F100" s="12" t="s">
        <v>97</v>
      </c>
    </row>
    <row r="101" spans="1:6">
      <c r="A101" s="12" t="s">
        <v>108</v>
      </c>
      <c r="B101" s="12">
        <v>42</v>
      </c>
      <c r="C101" s="12">
        <v>5</v>
      </c>
      <c r="D101" s="12">
        <v>18</v>
      </c>
      <c r="E101" s="12">
        <v>0</v>
      </c>
      <c r="F101" s="12" t="s">
        <v>97</v>
      </c>
    </row>
    <row r="102" spans="1:6">
      <c r="A102" s="12" t="s">
        <v>109</v>
      </c>
      <c r="B102" s="12">
        <v>41</v>
      </c>
      <c r="C102" s="12">
        <v>4</v>
      </c>
      <c r="D102" s="12">
        <v>18</v>
      </c>
      <c r="E102" s="12">
        <v>0</v>
      </c>
      <c r="F102" s="12" t="s">
        <v>97</v>
      </c>
    </row>
    <row r="103" spans="1:6">
      <c r="A103" s="12" t="s">
        <v>110</v>
      </c>
      <c r="B103" s="12">
        <v>22</v>
      </c>
      <c r="C103" s="12">
        <v>5</v>
      </c>
      <c r="D103" s="12">
        <v>18</v>
      </c>
      <c r="E103" s="12">
        <v>0</v>
      </c>
      <c r="F103" s="12" t="s">
        <v>97</v>
      </c>
    </row>
    <row r="104" spans="1:6">
      <c r="A104" s="12" t="s">
        <v>111</v>
      </c>
      <c r="B104" s="12">
        <v>37</v>
      </c>
      <c r="C104" s="12">
        <v>4</v>
      </c>
      <c r="D104" s="12">
        <v>18</v>
      </c>
      <c r="E104" s="12">
        <v>1</v>
      </c>
      <c r="F104" s="12" t="s">
        <v>97</v>
      </c>
    </row>
    <row r="105" spans="1:6">
      <c r="A105" s="12" t="s">
        <v>112</v>
      </c>
      <c r="B105" s="12">
        <v>61</v>
      </c>
      <c r="C105" s="12">
        <v>3</v>
      </c>
      <c r="D105" s="12">
        <v>18</v>
      </c>
      <c r="E105" s="12">
        <v>1</v>
      </c>
      <c r="F105" s="12" t="s">
        <v>97</v>
      </c>
    </row>
    <row r="106" spans="1:6">
      <c r="A106" s="12" t="s">
        <v>113</v>
      </c>
      <c r="B106" s="12">
        <v>23</v>
      </c>
      <c r="C106" s="12">
        <v>3</v>
      </c>
      <c r="D106" s="12">
        <v>18</v>
      </c>
      <c r="E106" s="12">
        <v>1</v>
      </c>
      <c r="F106" s="12" t="s">
        <v>97</v>
      </c>
    </row>
    <row r="107" spans="1:6">
      <c r="A107" s="12" t="s">
        <v>114</v>
      </c>
      <c r="B107" s="12">
        <v>48</v>
      </c>
      <c r="C107" s="12">
        <v>5</v>
      </c>
      <c r="D107" s="12">
        <v>18</v>
      </c>
      <c r="E107" s="12">
        <v>0</v>
      </c>
      <c r="F107" s="12" t="s">
        <v>97</v>
      </c>
    </row>
    <row r="108" spans="1:6">
      <c r="A108" s="12" t="s">
        <v>115</v>
      </c>
      <c r="B108" s="12">
        <v>69</v>
      </c>
      <c r="C108" s="12">
        <v>7</v>
      </c>
      <c r="D108" s="12">
        <v>33</v>
      </c>
      <c r="E108" s="12">
        <v>1</v>
      </c>
      <c r="F108" s="12" t="s">
        <v>97</v>
      </c>
    </row>
    <row r="109" spans="1:6">
      <c r="A109" s="12" t="s">
        <v>116</v>
      </c>
      <c r="B109" s="12">
        <v>40</v>
      </c>
      <c r="C109" s="12">
        <v>3</v>
      </c>
      <c r="D109" s="12">
        <v>33</v>
      </c>
      <c r="E109" s="12">
        <v>1</v>
      </c>
      <c r="F109" s="12" t="s">
        <v>97</v>
      </c>
    </row>
    <row r="110" spans="1:6">
      <c r="A110" s="12" t="s">
        <v>117</v>
      </c>
      <c r="B110" s="12">
        <v>42</v>
      </c>
      <c r="C110" s="12">
        <v>2</v>
      </c>
      <c r="D110" s="12">
        <v>33</v>
      </c>
      <c r="E110" s="12">
        <v>1</v>
      </c>
      <c r="F110" s="12" t="s">
        <v>97</v>
      </c>
    </row>
    <row r="111" spans="1:6">
      <c r="A111" s="12" t="s">
        <v>118</v>
      </c>
      <c r="B111" s="12">
        <v>25</v>
      </c>
      <c r="C111" s="12">
        <v>4</v>
      </c>
      <c r="D111" s="12">
        <v>33</v>
      </c>
      <c r="E111" s="12">
        <v>0</v>
      </c>
      <c r="F111" s="12" t="s">
        <v>97</v>
      </c>
    </row>
    <row r="112" spans="1:6">
      <c r="A112" s="12" t="s">
        <v>119</v>
      </c>
      <c r="B112" s="12">
        <v>61</v>
      </c>
      <c r="C112" s="12">
        <v>3</v>
      </c>
      <c r="D112" s="12">
        <v>33</v>
      </c>
      <c r="E112" s="12">
        <v>1</v>
      </c>
      <c r="F112" s="12" t="s">
        <v>97</v>
      </c>
    </row>
    <row r="113" spans="1:6">
      <c r="A113" s="12" t="s">
        <v>120</v>
      </c>
      <c r="B113" s="12">
        <v>69</v>
      </c>
      <c r="C113" s="12">
        <v>1</v>
      </c>
      <c r="D113" s="12">
        <v>33</v>
      </c>
      <c r="E113" s="12">
        <v>1</v>
      </c>
      <c r="F113" s="12" t="s">
        <v>97</v>
      </c>
    </row>
    <row r="114" spans="1:6">
      <c r="A114" s="12" t="s">
        <v>121</v>
      </c>
      <c r="B114" s="12">
        <v>14</v>
      </c>
      <c r="C114" s="12">
        <v>2</v>
      </c>
      <c r="D114" s="12">
        <v>33</v>
      </c>
      <c r="E114" s="12">
        <v>1</v>
      </c>
      <c r="F114" s="12" t="s">
        <v>97</v>
      </c>
    </row>
    <row r="115" spans="1:6">
      <c r="A115" s="12" t="s">
        <v>122</v>
      </c>
      <c r="B115" s="12">
        <v>52</v>
      </c>
      <c r="C115" s="12">
        <v>3</v>
      </c>
      <c r="D115" s="12">
        <v>33</v>
      </c>
      <c r="E115" s="12">
        <v>1</v>
      </c>
      <c r="F115" s="12" t="s">
        <v>97</v>
      </c>
    </row>
    <row r="116" spans="1:6">
      <c r="A116" s="12" t="s">
        <v>123</v>
      </c>
      <c r="B116" s="12">
        <v>32</v>
      </c>
      <c r="C116" s="12">
        <v>4</v>
      </c>
      <c r="D116" s="12">
        <v>33</v>
      </c>
      <c r="E116" s="12">
        <v>1</v>
      </c>
      <c r="F116" s="12" t="s">
        <v>97</v>
      </c>
    </row>
    <row r="117" spans="1:6">
      <c r="A117" s="12" t="s">
        <v>124</v>
      </c>
      <c r="B117" s="12">
        <v>49</v>
      </c>
      <c r="C117" s="12">
        <v>4</v>
      </c>
      <c r="D117" s="12">
        <v>33</v>
      </c>
      <c r="E117" s="12">
        <v>1</v>
      </c>
      <c r="F117" s="12" t="s">
        <v>97</v>
      </c>
    </row>
    <row r="118" spans="1:6">
      <c r="A118" s="12" t="s">
        <v>125</v>
      </c>
      <c r="B118" s="12">
        <v>67</v>
      </c>
      <c r="C118" s="12">
        <v>4</v>
      </c>
      <c r="D118" s="12">
        <v>33</v>
      </c>
      <c r="E118" s="12">
        <v>1</v>
      </c>
      <c r="F118" s="12" t="s">
        <v>97</v>
      </c>
    </row>
    <row r="119" spans="1:6">
      <c r="A119" s="12" t="s">
        <v>126</v>
      </c>
      <c r="B119" s="12">
        <v>30</v>
      </c>
      <c r="C119" s="12">
        <v>7</v>
      </c>
      <c r="D119" s="12">
        <v>33</v>
      </c>
      <c r="E119" s="12">
        <v>0</v>
      </c>
      <c r="F119" s="12" t="s">
        <v>97</v>
      </c>
    </row>
    <row r="120" spans="1:6">
      <c r="A120" s="12" t="s">
        <v>127</v>
      </c>
      <c r="B120" s="12">
        <v>26</v>
      </c>
      <c r="C120" s="12">
        <v>4</v>
      </c>
      <c r="D120" s="12">
        <v>33</v>
      </c>
      <c r="E120" s="12">
        <v>1</v>
      </c>
      <c r="F120" s="12" t="s">
        <v>97</v>
      </c>
    </row>
    <row r="121" spans="1:6">
      <c r="A121" s="12" t="s">
        <v>128</v>
      </c>
      <c r="B121" s="12">
        <v>82</v>
      </c>
      <c r="C121" s="12">
        <v>5</v>
      </c>
      <c r="D121" s="12">
        <v>33</v>
      </c>
      <c r="E121" s="12">
        <v>1</v>
      </c>
      <c r="F121" s="12" t="s">
        <v>97</v>
      </c>
    </row>
    <row r="122" spans="1:6">
      <c r="A122" s="12" t="s">
        <v>129</v>
      </c>
      <c r="B122" s="12">
        <v>28</v>
      </c>
      <c r="C122" s="12">
        <v>3</v>
      </c>
      <c r="D122" s="12">
        <v>33</v>
      </c>
      <c r="E122" s="12">
        <v>1</v>
      </c>
      <c r="F122" s="12" t="s">
        <v>97</v>
      </c>
    </row>
    <row r="123" spans="1:6">
      <c r="A123" s="12" t="s">
        <v>130</v>
      </c>
      <c r="B123" s="12">
        <v>22</v>
      </c>
      <c r="C123" s="12">
        <v>4</v>
      </c>
      <c r="D123" s="12">
        <v>33</v>
      </c>
      <c r="E123" s="12">
        <v>0</v>
      </c>
      <c r="F123" s="12" t="s">
        <v>97</v>
      </c>
    </row>
    <row r="124" spans="1:6">
      <c r="A124" s="12" t="s">
        <v>131</v>
      </c>
      <c r="B124" s="12">
        <v>24</v>
      </c>
      <c r="C124" s="12">
        <v>3</v>
      </c>
      <c r="D124" s="12">
        <v>33</v>
      </c>
      <c r="E124" s="12">
        <v>1</v>
      </c>
      <c r="F124" s="12" t="s">
        <v>97</v>
      </c>
    </row>
    <row r="125" spans="1:6">
      <c r="A125" s="12" t="s">
        <v>132</v>
      </c>
      <c r="B125" s="12">
        <v>39</v>
      </c>
      <c r="C125" s="12">
        <v>4</v>
      </c>
      <c r="D125" s="12">
        <v>33</v>
      </c>
      <c r="E125" s="12">
        <v>0</v>
      </c>
      <c r="F125" s="12" t="s">
        <v>97</v>
      </c>
    </row>
    <row r="126" spans="1:6">
      <c r="A126" s="12" t="s">
        <v>133</v>
      </c>
      <c r="B126" s="12">
        <v>51</v>
      </c>
      <c r="C126" s="12">
        <v>3</v>
      </c>
      <c r="D126" s="12">
        <v>33</v>
      </c>
      <c r="E126" s="12">
        <v>1</v>
      </c>
      <c r="F126" s="12" t="s">
        <v>97</v>
      </c>
    </row>
    <row r="127" spans="1:6">
      <c r="A127" s="12" t="s">
        <v>134</v>
      </c>
      <c r="B127" s="12">
        <v>21</v>
      </c>
      <c r="C127" s="12">
        <v>2</v>
      </c>
      <c r="D127" s="12">
        <v>33</v>
      </c>
      <c r="E127" s="12">
        <v>0</v>
      </c>
      <c r="F127" s="12" t="s">
        <v>97</v>
      </c>
    </row>
    <row r="128" spans="1:6">
      <c r="A128" s="12" t="s">
        <v>135</v>
      </c>
      <c r="B128" s="12">
        <v>38</v>
      </c>
      <c r="C128" s="12">
        <v>2</v>
      </c>
      <c r="D128" s="12">
        <v>33</v>
      </c>
      <c r="E128" s="12">
        <v>0</v>
      </c>
      <c r="F128" s="12" t="s">
        <v>97</v>
      </c>
    </row>
    <row r="129" spans="1:6">
      <c r="A129" s="12" t="s">
        <v>136</v>
      </c>
      <c r="B129" s="12">
        <v>4</v>
      </c>
      <c r="C129" s="12">
        <v>3</v>
      </c>
      <c r="D129" s="12">
        <v>33</v>
      </c>
      <c r="E129" s="12">
        <v>0</v>
      </c>
      <c r="F129" s="12" t="s">
        <v>97</v>
      </c>
    </row>
    <row r="130" spans="1:6">
      <c r="A130" s="12" t="s">
        <v>137</v>
      </c>
      <c r="B130" s="12">
        <v>12</v>
      </c>
      <c r="C130" s="12">
        <v>4</v>
      </c>
      <c r="D130" s="12">
        <v>33</v>
      </c>
      <c r="E130" s="12">
        <v>0</v>
      </c>
      <c r="F130" s="12" t="s">
        <v>97</v>
      </c>
    </row>
    <row r="131" spans="1:6">
      <c r="A131" s="12" t="s">
        <v>138</v>
      </c>
      <c r="B131" s="12">
        <v>10</v>
      </c>
      <c r="C131" s="12">
        <v>2</v>
      </c>
      <c r="D131" s="12">
        <v>33</v>
      </c>
      <c r="E131" s="12">
        <v>0</v>
      </c>
      <c r="F131" s="12" t="s">
        <v>97</v>
      </c>
    </row>
    <row r="132" spans="1:6">
      <c r="A132" s="12" t="s">
        <v>139</v>
      </c>
      <c r="B132" s="12">
        <v>10</v>
      </c>
      <c r="C132" s="12">
        <v>3</v>
      </c>
      <c r="D132" s="12">
        <v>33</v>
      </c>
      <c r="E132" s="12">
        <v>1</v>
      </c>
      <c r="F132" s="12" t="s">
        <v>97</v>
      </c>
    </row>
    <row r="133" spans="1:6">
      <c r="A133" s="12" t="s">
        <v>140</v>
      </c>
      <c r="B133" s="12">
        <v>6</v>
      </c>
      <c r="C133" s="12">
        <v>4</v>
      </c>
      <c r="D133" s="12">
        <v>33</v>
      </c>
      <c r="E133" s="12">
        <v>0</v>
      </c>
      <c r="F133" s="12" t="s">
        <v>97</v>
      </c>
    </row>
    <row r="134" spans="1:6">
      <c r="A134" s="12" t="s">
        <v>141</v>
      </c>
      <c r="B134" s="12">
        <v>4</v>
      </c>
      <c r="C134" s="12">
        <v>2</v>
      </c>
      <c r="D134" s="12">
        <v>33</v>
      </c>
      <c r="E134" s="12">
        <v>1</v>
      </c>
      <c r="F134" s="12" t="s">
        <v>97</v>
      </c>
    </row>
    <row r="135" spans="1:6">
      <c r="A135" s="12" t="s">
        <v>142</v>
      </c>
      <c r="B135" s="12">
        <v>10</v>
      </c>
      <c r="C135" s="12">
        <v>2</v>
      </c>
      <c r="D135" s="12">
        <v>33</v>
      </c>
      <c r="E135" s="12">
        <v>0</v>
      </c>
      <c r="F135" s="12" t="s">
        <v>97</v>
      </c>
    </row>
    <row r="136" spans="1:6">
      <c r="A136" s="12" t="s">
        <v>143</v>
      </c>
      <c r="B136" s="12">
        <v>6</v>
      </c>
      <c r="C136" s="12">
        <v>2</v>
      </c>
      <c r="D136" s="12">
        <v>33</v>
      </c>
      <c r="E136" s="12">
        <v>0</v>
      </c>
      <c r="F136" s="12" t="s">
        <v>97</v>
      </c>
    </row>
    <row r="137" spans="1:6">
      <c r="A137" s="12" t="s">
        <v>144</v>
      </c>
      <c r="B137" s="12">
        <v>3</v>
      </c>
      <c r="C137" s="12">
        <v>1</v>
      </c>
      <c r="D137" s="12">
        <v>33</v>
      </c>
      <c r="E137" s="12">
        <v>1</v>
      </c>
      <c r="F137" s="12" t="s">
        <v>97</v>
      </c>
    </row>
    <row r="138" spans="1:6">
      <c r="A138" s="12" t="s">
        <v>145</v>
      </c>
      <c r="B138" s="12">
        <v>13</v>
      </c>
      <c r="C138" s="12">
        <v>3</v>
      </c>
      <c r="D138" s="12">
        <v>33</v>
      </c>
      <c r="E138" s="12">
        <v>1</v>
      </c>
      <c r="F138" s="12" t="s">
        <v>97</v>
      </c>
    </row>
    <row r="139" spans="1:6">
      <c r="A139" s="12" t="s">
        <v>146</v>
      </c>
      <c r="B139" s="12">
        <v>52</v>
      </c>
      <c r="C139" s="12">
        <v>7</v>
      </c>
      <c r="D139" s="12">
        <v>21</v>
      </c>
      <c r="E139" s="12">
        <v>0</v>
      </c>
      <c r="F139" s="12" t="s">
        <v>97</v>
      </c>
    </row>
    <row r="140" spans="1:6">
      <c r="A140" s="12" t="s">
        <v>147</v>
      </c>
      <c r="B140" s="12">
        <v>74</v>
      </c>
      <c r="C140" s="12">
        <v>5</v>
      </c>
      <c r="D140" s="12">
        <v>21</v>
      </c>
      <c r="E140" s="12">
        <v>1</v>
      </c>
      <c r="F140" s="12" t="s">
        <v>97</v>
      </c>
    </row>
    <row r="141" spans="1:6">
      <c r="A141" s="12" t="s">
        <v>148</v>
      </c>
      <c r="B141" s="12">
        <v>36</v>
      </c>
      <c r="C141" s="12">
        <v>2</v>
      </c>
      <c r="D141" s="12">
        <v>21</v>
      </c>
      <c r="E141" s="12">
        <v>0</v>
      </c>
      <c r="F141" s="12" t="s">
        <v>97</v>
      </c>
    </row>
    <row r="142" spans="1:6">
      <c r="A142" s="12" t="s">
        <v>149</v>
      </c>
      <c r="B142" s="12">
        <v>39</v>
      </c>
      <c r="C142" s="12">
        <v>2</v>
      </c>
      <c r="D142" s="12">
        <v>21</v>
      </c>
      <c r="E142" s="12">
        <v>1</v>
      </c>
      <c r="F142" s="12" t="s">
        <v>97</v>
      </c>
    </row>
    <row r="143" spans="1:6">
      <c r="A143" s="12" t="s">
        <v>150</v>
      </c>
      <c r="B143" s="12">
        <v>20</v>
      </c>
      <c r="C143" s="12">
        <v>4</v>
      </c>
      <c r="D143" s="12">
        <v>21</v>
      </c>
      <c r="E143" s="12">
        <v>1</v>
      </c>
      <c r="F143" s="12" t="s">
        <v>97</v>
      </c>
    </row>
    <row r="144" spans="1:6">
      <c r="A144" s="12" t="s">
        <v>119</v>
      </c>
      <c r="B144" s="12">
        <v>61</v>
      </c>
      <c r="C144" s="12">
        <v>4</v>
      </c>
      <c r="D144" s="12">
        <v>21</v>
      </c>
      <c r="E144" s="12">
        <v>1</v>
      </c>
      <c r="F144" s="12" t="s">
        <v>97</v>
      </c>
    </row>
    <row r="145" spans="1:6">
      <c r="A145" s="12" t="s">
        <v>151</v>
      </c>
      <c r="B145" s="12">
        <v>28</v>
      </c>
      <c r="C145" s="12">
        <v>4</v>
      </c>
      <c r="D145" s="12">
        <v>21</v>
      </c>
      <c r="E145" s="12">
        <v>1</v>
      </c>
      <c r="F145" s="12" t="s">
        <v>97</v>
      </c>
    </row>
    <row r="146" spans="1:6">
      <c r="A146" s="12" t="s">
        <v>152</v>
      </c>
      <c r="B146" s="12">
        <v>34</v>
      </c>
      <c r="C146" s="12">
        <v>2</v>
      </c>
      <c r="D146" s="12">
        <v>21</v>
      </c>
      <c r="E146" s="12">
        <v>1</v>
      </c>
      <c r="F146" s="12" t="s">
        <v>97</v>
      </c>
    </row>
    <row r="147" spans="1:6">
      <c r="A147" s="12" t="s">
        <v>153</v>
      </c>
      <c r="B147" s="12">
        <v>66</v>
      </c>
      <c r="C147" s="12">
        <v>10</v>
      </c>
      <c r="D147" s="12">
        <v>21</v>
      </c>
      <c r="E147" s="12">
        <v>1</v>
      </c>
      <c r="F147" s="12" t="s">
        <v>97</v>
      </c>
    </row>
    <row r="148" spans="1:6">
      <c r="A148" s="12" t="s">
        <v>154</v>
      </c>
      <c r="B148" s="12">
        <v>55</v>
      </c>
      <c r="C148" s="12">
        <v>3</v>
      </c>
      <c r="D148" s="12">
        <v>21</v>
      </c>
      <c r="E148" s="12">
        <v>1</v>
      </c>
      <c r="F148" s="12" t="s">
        <v>97</v>
      </c>
    </row>
    <row r="149" spans="1:6">
      <c r="A149" s="12" t="s">
        <v>155</v>
      </c>
      <c r="B149" s="12">
        <v>19</v>
      </c>
      <c r="C149" s="12">
        <v>5</v>
      </c>
      <c r="D149" s="12">
        <v>21</v>
      </c>
      <c r="E149" s="12">
        <v>0</v>
      </c>
      <c r="F149" s="12" t="s">
        <v>97</v>
      </c>
    </row>
    <row r="150" spans="1:6">
      <c r="A150" s="12" t="s">
        <v>156</v>
      </c>
      <c r="B150" s="12">
        <v>61</v>
      </c>
      <c r="C150" s="12">
        <v>5</v>
      </c>
      <c r="D150" s="12">
        <v>21</v>
      </c>
      <c r="E150" s="12">
        <v>1</v>
      </c>
      <c r="F150" s="12" t="s">
        <v>97</v>
      </c>
    </row>
    <row r="151" spans="1:6">
      <c r="A151" s="12" t="s">
        <v>157</v>
      </c>
      <c r="B151" s="12">
        <v>24</v>
      </c>
      <c r="C151" s="12">
        <v>3</v>
      </c>
      <c r="D151" s="12">
        <v>21</v>
      </c>
      <c r="E151" s="12">
        <v>0</v>
      </c>
      <c r="F151" s="12" t="s">
        <v>97</v>
      </c>
    </row>
    <row r="152" spans="1:6">
      <c r="A152" s="12" t="s">
        <v>158</v>
      </c>
      <c r="B152" s="12">
        <v>47</v>
      </c>
      <c r="C152" s="12">
        <v>3</v>
      </c>
      <c r="D152" s="12">
        <v>21</v>
      </c>
      <c r="E152" s="12">
        <v>1</v>
      </c>
      <c r="F152" s="12" t="s">
        <v>97</v>
      </c>
    </row>
    <row r="153" spans="1:6">
      <c r="A153" s="12" t="s">
        <v>159</v>
      </c>
      <c r="B153" s="12">
        <v>73</v>
      </c>
      <c r="C153" s="12">
        <v>7</v>
      </c>
      <c r="D153" s="12">
        <v>21</v>
      </c>
      <c r="E153" s="12">
        <v>1</v>
      </c>
      <c r="F153" s="12" t="s">
        <v>97</v>
      </c>
    </row>
    <row r="154" spans="1:6">
      <c r="A154" s="12" t="s">
        <v>160</v>
      </c>
      <c r="B154" s="12">
        <v>18</v>
      </c>
      <c r="C154" s="12">
        <v>5</v>
      </c>
      <c r="D154" s="12">
        <v>21</v>
      </c>
      <c r="E154" s="12">
        <v>1</v>
      </c>
      <c r="F154" s="12" t="s">
        <v>97</v>
      </c>
    </row>
    <row r="155" spans="1:6">
      <c r="A155" s="12" t="s">
        <v>161</v>
      </c>
      <c r="B155" s="12">
        <v>19</v>
      </c>
      <c r="C155" s="12">
        <v>5</v>
      </c>
      <c r="D155" s="12">
        <v>21</v>
      </c>
      <c r="E155" s="12">
        <v>1</v>
      </c>
      <c r="F155" s="12" t="s">
        <v>97</v>
      </c>
    </row>
    <row r="156" spans="1:6">
      <c r="A156" s="12" t="s">
        <v>162</v>
      </c>
      <c r="B156" s="12">
        <v>5</v>
      </c>
      <c r="C156" s="12">
        <v>2</v>
      </c>
      <c r="D156" s="12">
        <v>21</v>
      </c>
      <c r="E156" s="12">
        <v>0</v>
      </c>
      <c r="F156" s="12" t="s">
        <v>97</v>
      </c>
    </row>
    <row r="157" spans="1:6">
      <c r="A157" s="12" t="s">
        <v>163</v>
      </c>
      <c r="B157" s="12">
        <v>15</v>
      </c>
      <c r="C157" s="12">
        <v>4</v>
      </c>
      <c r="D157" s="12">
        <v>21</v>
      </c>
      <c r="E157" s="12">
        <v>1</v>
      </c>
      <c r="F157" s="12" t="s">
        <v>97</v>
      </c>
    </row>
    <row r="158" spans="1:6">
      <c r="A158" s="12" t="s">
        <v>164</v>
      </c>
      <c r="B158" s="12">
        <v>5</v>
      </c>
      <c r="C158" s="12">
        <v>2</v>
      </c>
      <c r="D158" s="12">
        <v>21</v>
      </c>
      <c r="E158" s="12">
        <v>0</v>
      </c>
      <c r="F158" s="12" t="s">
        <v>97</v>
      </c>
    </row>
    <row r="159" spans="1:6">
      <c r="A159" s="12" t="s">
        <v>165</v>
      </c>
      <c r="B159" s="12">
        <v>17</v>
      </c>
      <c r="C159" s="12">
        <v>2</v>
      </c>
      <c r="D159" s="12">
        <v>21</v>
      </c>
      <c r="E159" s="12">
        <v>0</v>
      </c>
      <c r="F159" s="12" t="s">
        <v>97</v>
      </c>
    </row>
    <row r="160" spans="1:6">
      <c r="A160" s="12" t="s">
        <v>166</v>
      </c>
      <c r="B160" s="12">
        <v>16</v>
      </c>
      <c r="C160" s="12">
        <v>3</v>
      </c>
      <c r="D160" s="12">
        <v>21</v>
      </c>
      <c r="E160" s="12">
        <v>0</v>
      </c>
      <c r="F160" s="12" t="s">
        <v>97</v>
      </c>
    </row>
    <row r="161" spans="1:6">
      <c r="A161" s="12" t="s">
        <v>167</v>
      </c>
      <c r="B161" s="12">
        <v>12</v>
      </c>
      <c r="C161" s="12">
        <v>3</v>
      </c>
      <c r="D161" s="12">
        <v>21</v>
      </c>
      <c r="E161" s="12">
        <v>1</v>
      </c>
      <c r="F161" s="12" t="s">
        <v>97</v>
      </c>
    </row>
    <row r="162" spans="1:6">
      <c r="A162" s="12" t="s">
        <v>168</v>
      </c>
      <c r="B162" s="12">
        <v>22</v>
      </c>
      <c r="C162" s="12">
        <v>3</v>
      </c>
      <c r="D162" s="12">
        <v>3</v>
      </c>
      <c r="E162" s="12">
        <v>1</v>
      </c>
      <c r="F162" s="12" t="s">
        <v>20</v>
      </c>
    </row>
    <row r="163" spans="1:6">
      <c r="A163" s="12" t="s">
        <v>169</v>
      </c>
      <c r="B163" s="12">
        <v>34</v>
      </c>
      <c r="C163" s="12">
        <v>4</v>
      </c>
      <c r="D163" s="12">
        <v>3</v>
      </c>
      <c r="E163" s="12">
        <v>1</v>
      </c>
      <c r="F163" s="12" t="s">
        <v>20</v>
      </c>
    </row>
    <row r="164" spans="1:6">
      <c r="A164" s="12" t="s">
        <v>170</v>
      </c>
      <c r="B164" s="12">
        <v>10</v>
      </c>
      <c r="C164" s="12">
        <v>6</v>
      </c>
      <c r="D164" s="12">
        <v>3</v>
      </c>
      <c r="E164" s="12">
        <v>0</v>
      </c>
      <c r="F164" s="12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32"/>
  <sheetViews>
    <sheetView topLeftCell="N67" zoomScale="93" zoomScaleNormal="93" workbookViewId="0">
      <selection activeCell="P197" sqref="P197"/>
    </sheetView>
  </sheetViews>
  <sheetFormatPr defaultColWidth="9" defaultRowHeight="15"/>
  <cols>
    <col min="2" max="2" width="8.7109375"/>
    <col min="3" max="3" width="15.85546875" customWidth="1"/>
    <col min="4" max="4" width="22" customWidth="1"/>
    <col min="5" max="5" width="13.28515625" customWidth="1"/>
    <col min="6" max="6" width="13.85546875" customWidth="1"/>
    <col min="7" max="7" width="12.42578125" customWidth="1"/>
    <col min="10" max="10" width="22.42578125" customWidth="1"/>
    <col min="11" max="11" width="22.42578125" bestFit="1" customWidth="1"/>
    <col min="12" max="12" width="16.140625" customWidth="1"/>
    <col min="13" max="13" width="19.28515625" customWidth="1"/>
    <col min="15" max="15" width="26.42578125" customWidth="1"/>
    <col min="16" max="16" width="12.7109375" customWidth="1"/>
    <col min="17" max="17" width="17.7109375" customWidth="1"/>
    <col min="20" max="20" width="24.85546875" customWidth="1"/>
    <col min="21" max="21" width="12.7109375" customWidth="1"/>
    <col min="22" max="22" width="12" customWidth="1"/>
  </cols>
  <sheetData>
    <row r="1" spans="1:17">
      <c r="A1" s="1" t="s">
        <v>171</v>
      </c>
      <c r="B1" s="1" t="s">
        <v>1</v>
      </c>
      <c r="C1" s="1" t="s">
        <v>2</v>
      </c>
      <c r="D1" s="1" t="s">
        <v>172</v>
      </c>
      <c r="E1" s="1" t="s">
        <v>4</v>
      </c>
      <c r="F1" s="1" t="s">
        <v>5</v>
      </c>
      <c r="H1" s="1" t="s">
        <v>171</v>
      </c>
      <c r="I1" s="1" t="s">
        <v>1</v>
      </c>
      <c r="J1" s="1" t="s">
        <v>2</v>
      </c>
      <c r="K1" s="1" t="s">
        <v>172</v>
      </c>
      <c r="L1" s="1" t="s">
        <v>4</v>
      </c>
      <c r="M1" s="1" t="s">
        <v>5</v>
      </c>
      <c r="O1" s="1" t="s">
        <v>173</v>
      </c>
      <c r="P1" s="3"/>
      <c r="Q1" s="3"/>
    </row>
    <row r="2" spans="1:17">
      <c r="A2" s="2">
        <f ca="1">RANDBETWEEN(2,164)</f>
        <v>162</v>
      </c>
      <c r="B2" s="2" cm="1">
        <f t="array" ref="B2" ca="1">INDEX(Data_DBD!$B:$B,$A2)</f>
        <v>22</v>
      </c>
      <c r="C2" s="2" cm="1">
        <f t="array" ref="C2" ca="1">INDEX(Data_DBD!$C:$C,$A2)</f>
        <v>3</v>
      </c>
      <c r="D2" s="2" cm="1">
        <f t="array" ref="D2" ca="1">INDEX(Data_DBD!$D:$D,$A2)</f>
        <v>3</v>
      </c>
      <c r="E2" s="2" cm="1">
        <f t="array" ref="E2" ca="1">INDEX(Data_DBD!$E:$E,$A2)</f>
        <v>1</v>
      </c>
      <c r="F2" s="2" t="str" cm="1">
        <f t="array" ref="F2" ca="1">INDEX(Data_DBD!$F:$F,$A2)</f>
        <v>Rendah</v>
      </c>
      <c r="H2" s="2">
        <v>42</v>
      </c>
      <c r="I2" s="2">
        <v>21</v>
      </c>
      <c r="J2" s="2">
        <v>5</v>
      </c>
      <c r="K2" s="2">
        <v>13</v>
      </c>
      <c r="L2" s="2">
        <v>1</v>
      </c>
      <c r="M2" s="2" t="s">
        <v>7</v>
      </c>
      <c r="O2" s="3" t="s">
        <v>97</v>
      </c>
      <c r="P2" s="3">
        <f>COUNTIF(M2:M164,"Tinggi")</f>
        <v>73</v>
      </c>
      <c r="Q2" s="3">
        <f>P2/163</f>
        <v>0.44785276073619634</v>
      </c>
    </row>
    <row r="3" spans="1:17">
      <c r="A3" s="2">
        <f t="shared" ref="A3:A66" ca="1" si="0">RANDBETWEEN(2,164)</f>
        <v>27</v>
      </c>
      <c r="B3" s="2" cm="1">
        <f t="array" ref="B3" ca="1">INDEX(Data_DBD!$B:$B,$A3)</f>
        <v>37</v>
      </c>
      <c r="C3" s="2" cm="1">
        <f t="array" ref="C3" ca="1">INDEX(Data_DBD!$C:$C,$A3)</f>
        <v>4</v>
      </c>
      <c r="D3" s="2" cm="1">
        <f t="array" ref="D3" ca="1">INDEX(Data_DBD!$D:$D,$A3)</f>
        <v>14</v>
      </c>
      <c r="E3" s="2" cm="1">
        <f t="array" ref="E3" ca="1">INDEX(Data_DBD!$E:$E,$A3)</f>
        <v>1</v>
      </c>
      <c r="F3" s="2" t="str" cm="1">
        <f t="array" ref="F3" ca="1">INDEX(Data_DBD!$F:$F,$A3)</f>
        <v>Sedang</v>
      </c>
      <c r="H3" s="2">
        <v>47</v>
      </c>
      <c r="I3" s="2">
        <v>19</v>
      </c>
      <c r="J3" s="2">
        <v>2</v>
      </c>
      <c r="K3" s="2">
        <v>13</v>
      </c>
      <c r="L3" s="2">
        <v>0</v>
      </c>
      <c r="M3" s="2" t="s">
        <v>7</v>
      </c>
      <c r="O3" s="3" t="s">
        <v>7</v>
      </c>
      <c r="P3" s="3">
        <f>COUNTIF(M2:M164,"Sedang")</f>
        <v>79</v>
      </c>
      <c r="Q3" s="3">
        <f>P3/163</f>
        <v>0.48466257668711699</v>
      </c>
    </row>
    <row r="4" spans="1:17">
      <c r="A4" s="2">
        <f t="shared" ca="1" si="0"/>
        <v>102</v>
      </c>
      <c r="B4" s="2" cm="1">
        <f t="array" ref="B4" ca="1">INDEX(Data_DBD!$B:$B,$A4)</f>
        <v>41</v>
      </c>
      <c r="C4" s="2" cm="1">
        <f t="array" ref="C4" ca="1">INDEX(Data_DBD!$C:$C,$A4)</f>
        <v>4</v>
      </c>
      <c r="D4" s="2" cm="1">
        <f t="array" ref="D4" ca="1">INDEX(Data_DBD!$D:$D,$A4)</f>
        <v>18</v>
      </c>
      <c r="E4" s="2" cm="1">
        <f t="array" ref="E4" ca="1">INDEX(Data_DBD!$E:$E,$A4)</f>
        <v>0</v>
      </c>
      <c r="F4" s="2" t="str" cm="1">
        <f t="array" ref="F4" ca="1">INDEX(Data_DBD!$F:$F,$A4)</f>
        <v>Tinggi</v>
      </c>
      <c r="H4" s="2">
        <v>123</v>
      </c>
      <c r="I4" s="2">
        <v>22</v>
      </c>
      <c r="J4" s="2">
        <v>4</v>
      </c>
      <c r="K4" s="2">
        <v>33</v>
      </c>
      <c r="L4" s="2">
        <v>0</v>
      </c>
      <c r="M4" s="2" t="s">
        <v>97</v>
      </c>
      <c r="O4" s="3" t="s">
        <v>20</v>
      </c>
      <c r="P4" s="3">
        <f>COUNTIF(M2:M164,"Rendah")</f>
        <v>11</v>
      </c>
      <c r="Q4" s="3">
        <f>P4/163</f>
        <v>6.7484662576687102E-2</v>
      </c>
    </row>
    <row r="5" spans="1:17">
      <c r="A5" s="2">
        <f t="shared" ca="1" si="0"/>
        <v>115</v>
      </c>
      <c r="B5" s="2" cm="1">
        <f t="array" ref="B5" ca="1">INDEX(Data_DBD!$B:$B,$A5)</f>
        <v>52</v>
      </c>
      <c r="C5" s="2" cm="1">
        <f t="array" ref="C5" ca="1">INDEX(Data_DBD!$C:$C,$A5)</f>
        <v>3</v>
      </c>
      <c r="D5" s="2" cm="1">
        <f t="array" ref="D5" ca="1">INDEX(Data_DBD!$D:$D,$A5)</f>
        <v>33</v>
      </c>
      <c r="E5" s="2" cm="1">
        <f t="array" ref="E5" ca="1">INDEX(Data_DBD!$E:$E,$A5)</f>
        <v>1</v>
      </c>
      <c r="F5" s="2" t="str" cm="1">
        <f t="array" ref="F5" ca="1">INDEX(Data_DBD!$F:$F,$A5)</f>
        <v>Tinggi</v>
      </c>
      <c r="H5" s="2">
        <v>52</v>
      </c>
      <c r="I5" s="2">
        <v>59</v>
      </c>
      <c r="J5" s="2">
        <v>4</v>
      </c>
      <c r="K5" s="2">
        <v>15</v>
      </c>
      <c r="L5" s="2">
        <v>1</v>
      </c>
      <c r="M5" s="2" t="s">
        <v>7</v>
      </c>
      <c r="O5" s="4" t="s">
        <v>174</v>
      </c>
      <c r="P5">
        <f>-(IFERROR(Q2*LOG(Q2,2),0)+IFERROR(Q3*LOG(Q3,2),0)+IFERROR(Q4*LOG(Q4,2),0))</f>
        <v>1.2879329412909399</v>
      </c>
    </row>
    <row r="6" spans="1:17">
      <c r="A6" s="2">
        <f t="shared" ca="1" si="0"/>
        <v>19</v>
      </c>
      <c r="B6" s="2" cm="1">
        <f t="array" ref="B6" ca="1">INDEX(Data_DBD!$B:$B,$A6)</f>
        <v>8</v>
      </c>
      <c r="C6" s="2" cm="1">
        <f t="array" ref="C6" ca="1">INDEX(Data_DBD!$C:$C,$A6)</f>
        <v>4</v>
      </c>
      <c r="D6" s="2" cm="1">
        <f t="array" ref="D6" ca="1">INDEX(Data_DBD!$D:$D,$A6)</f>
        <v>7</v>
      </c>
      <c r="E6" s="2" cm="1">
        <f t="array" ref="E6" ca="1">INDEX(Data_DBD!$E:$E,$A6)</f>
        <v>0</v>
      </c>
      <c r="F6" s="2" t="str" cm="1">
        <f t="array" ref="F6" ca="1">INDEX(Data_DBD!$F:$F,$A6)</f>
        <v>Rendah</v>
      </c>
      <c r="H6" s="2">
        <v>111</v>
      </c>
      <c r="I6" s="2">
        <v>25</v>
      </c>
      <c r="J6" s="2">
        <v>4</v>
      </c>
      <c r="K6" s="2">
        <v>33</v>
      </c>
      <c r="L6" s="2">
        <v>0</v>
      </c>
      <c r="M6" s="2" t="s">
        <v>97</v>
      </c>
    </row>
    <row r="7" spans="1:17">
      <c r="A7" s="2">
        <f t="shared" ca="1" si="0"/>
        <v>117</v>
      </c>
      <c r="B7" s="2" cm="1">
        <f t="array" ref="B7" ca="1">INDEX(Data_DBD!$B:$B,$A7)</f>
        <v>49</v>
      </c>
      <c r="C7" s="2" cm="1">
        <f t="array" ref="C7" ca="1">INDEX(Data_DBD!$C:$C,$A7)</f>
        <v>4</v>
      </c>
      <c r="D7" s="2" cm="1">
        <f t="array" ref="D7" ca="1">INDEX(Data_DBD!$D:$D,$A7)</f>
        <v>33</v>
      </c>
      <c r="E7" s="2" cm="1">
        <f t="array" ref="E7" ca="1">INDEX(Data_DBD!$E:$E,$A7)</f>
        <v>1</v>
      </c>
      <c r="F7" s="2" t="str" cm="1">
        <f t="array" ref="F7" ca="1">INDEX(Data_DBD!$F:$F,$A7)</f>
        <v>Tinggi</v>
      </c>
      <c r="H7" s="2">
        <v>156</v>
      </c>
      <c r="I7" s="2">
        <v>5</v>
      </c>
      <c r="J7" s="2">
        <v>2</v>
      </c>
      <c r="K7" s="2">
        <v>21</v>
      </c>
      <c r="L7" s="2">
        <v>0</v>
      </c>
      <c r="M7" s="2" t="s">
        <v>97</v>
      </c>
    </row>
    <row r="8" spans="1:17">
      <c r="A8" s="2">
        <f t="shared" ca="1" si="0"/>
        <v>138</v>
      </c>
      <c r="B8" s="2" cm="1">
        <f t="array" ref="B8" ca="1">INDEX(Data_DBD!$B:$B,$A8)</f>
        <v>13</v>
      </c>
      <c r="C8" s="2" cm="1">
        <f t="array" ref="C8" ca="1">INDEX(Data_DBD!$C:$C,$A8)</f>
        <v>3</v>
      </c>
      <c r="D8" s="2" cm="1">
        <f t="array" ref="D8" ca="1">INDEX(Data_DBD!$D:$D,$A8)</f>
        <v>33</v>
      </c>
      <c r="E8" s="2" cm="1">
        <f t="array" ref="E8" ca="1">INDEX(Data_DBD!$E:$E,$A8)</f>
        <v>1</v>
      </c>
      <c r="F8" s="2" t="str" cm="1">
        <f t="array" ref="F8" ca="1">INDEX(Data_DBD!$F:$F,$A8)</f>
        <v>Tinggi</v>
      </c>
      <c r="H8" s="2">
        <v>64</v>
      </c>
      <c r="I8" s="2">
        <v>35</v>
      </c>
      <c r="J8" s="2">
        <v>1</v>
      </c>
      <c r="K8" s="2">
        <v>15</v>
      </c>
      <c r="L8" s="2">
        <v>0</v>
      </c>
      <c r="M8" s="2" t="s">
        <v>7</v>
      </c>
    </row>
    <row r="9" spans="1:17">
      <c r="A9" s="2">
        <f t="shared" ca="1" si="0"/>
        <v>90</v>
      </c>
      <c r="B9" s="2" cm="1">
        <f t="array" ref="B9" ca="1">INDEX(Data_DBD!$B:$B,$A9)</f>
        <v>47</v>
      </c>
      <c r="C9" s="2" cm="1">
        <f t="array" ref="C9" ca="1">INDEX(Data_DBD!$C:$C,$A9)</f>
        <v>3</v>
      </c>
      <c r="D9" s="2" cm="1">
        <f t="array" ref="D9" ca="1">INDEX(Data_DBD!$D:$D,$A9)</f>
        <v>18</v>
      </c>
      <c r="E9" s="2" cm="1">
        <f t="array" ref="E9" ca="1">INDEX(Data_DBD!$E:$E,$A9)</f>
        <v>0</v>
      </c>
      <c r="F9" s="2" t="str" cm="1">
        <f t="array" ref="F9" ca="1">INDEX(Data_DBD!$F:$F,$A9)</f>
        <v>Tinggi</v>
      </c>
      <c r="H9" s="2">
        <v>160</v>
      </c>
      <c r="I9" s="2">
        <v>16</v>
      </c>
      <c r="J9" s="2">
        <v>3</v>
      </c>
      <c r="K9" s="2">
        <v>21</v>
      </c>
      <c r="L9" s="2">
        <v>0</v>
      </c>
      <c r="M9" s="2" t="s">
        <v>97</v>
      </c>
    </row>
    <row r="10" spans="1:17">
      <c r="A10" s="2">
        <f t="shared" ca="1" si="0"/>
        <v>152</v>
      </c>
      <c r="B10" s="2" cm="1">
        <f t="array" ref="B10" ca="1">INDEX(Data_DBD!$B:$B,$A10)</f>
        <v>47</v>
      </c>
      <c r="C10" s="2" cm="1">
        <f t="array" ref="C10" ca="1">INDEX(Data_DBD!$C:$C,$A10)</f>
        <v>3</v>
      </c>
      <c r="D10" s="2" cm="1">
        <f t="array" ref="D10" ca="1">INDEX(Data_DBD!$D:$D,$A10)</f>
        <v>21</v>
      </c>
      <c r="E10" s="2" cm="1">
        <f t="array" ref="E10" ca="1">INDEX(Data_DBD!$E:$E,$A10)</f>
        <v>1</v>
      </c>
      <c r="F10" s="2" t="str" cm="1">
        <f t="array" ref="F10" ca="1">INDEX(Data_DBD!$F:$F,$A10)</f>
        <v>Tinggi</v>
      </c>
      <c r="H10" s="2">
        <v>82</v>
      </c>
      <c r="I10" s="2">
        <v>28</v>
      </c>
      <c r="J10" s="2">
        <v>3</v>
      </c>
      <c r="K10" s="2">
        <v>13</v>
      </c>
      <c r="L10" s="2">
        <v>1</v>
      </c>
      <c r="M10" s="2" t="s">
        <v>7</v>
      </c>
    </row>
    <row r="11" spans="1:17">
      <c r="A11" s="2">
        <f t="shared" ca="1" si="0"/>
        <v>59</v>
      </c>
      <c r="B11" s="2" cm="1">
        <f t="array" ref="B11" ca="1">INDEX(Data_DBD!$B:$B,$A11)</f>
        <v>28</v>
      </c>
      <c r="C11" s="2" cm="1">
        <f t="array" ref="C11" ca="1">INDEX(Data_DBD!$C:$C,$A11)</f>
        <v>4</v>
      </c>
      <c r="D11" s="2" cm="1">
        <f t="array" ref="D11" ca="1">INDEX(Data_DBD!$D:$D,$A11)</f>
        <v>15</v>
      </c>
      <c r="E11" s="2" cm="1">
        <f t="array" ref="E11" ca="1">INDEX(Data_DBD!$E:$E,$A11)</f>
        <v>0</v>
      </c>
      <c r="F11" s="2" t="str" cm="1">
        <f t="array" ref="F11" ca="1">INDEX(Data_DBD!$F:$F,$A11)</f>
        <v>Sedang</v>
      </c>
      <c r="H11" s="2">
        <v>6</v>
      </c>
      <c r="I11" s="2">
        <v>14</v>
      </c>
      <c r="J11" s="2">
        <v>4</v>
      </c>
      <c r="K11" s="2">
        <v>12</v>
      </c>
      <c r="L11" s="2">
        <v>0</v>
      </c>
      <c r="M11" s="2" t="s">
        <v>7</v>
      </c>
    </row>
    <row r="12" spans="1:17">
      <c r="A12" s="2">
        <f t="shared" ca="1" si="0"/>
        <v>125</v>
      </c>
      <c r="B12" s="2" cm="1">
        <f t="array" ref="B12" ca="1">INDEX(Data_DBD!$B:$B,$A12)</f>
        <v>39</v>
      </c>
      <c r="C12" s="2" cm="1">
        <f t="array" ref="C12" ca="1">INDEX(Data_DBD!$C:$C,$A12)</f>
        <v>4</v>
      </c>
      <c r="D12" s="2" cm="1">
        <f t="array" ref="D12" ca="1">INDEX(Data_DBD!$D:$D,$A12)</f>
        <v>33</v>
      </c>
      <c r="E12" s="2" cm="1">
        <f t="array" ref="E12" ca="1">INDEX(Data_DBD!$E:$E,$A12)</f>
        <v>0</v>
      </c>
      <c r="F12" s="2" t="str" cm="1">
        <f t="array" ref="F12" ca="1">INDEX(Data_DBD!$F:$F,$A12)</f>
        <v>Tinggi</v>
      </c>
      <c r="H12" s="2">
        <v>121</v>
      </c>
      <c r="I12" s="2">
        <v>82</v>
      </c>
      <c r="J12" s="2">
        <v>5</v>
      </c>
      <c r="K12" s="2">
        <v>33</v>
      </c>
      <c r="L12" s="2">
        <v>1</v>
      </c>
      <c r="M12" s="2" t="s">
        <v>97</v>
      </c>
    </row>
    <row r="13" spans="1:17">
      <c r="A13" s="2">
        <f t="shared" ca="1" si="0"/>
        <v>82</v>
      </c>
      <c r="B13" s="2" cm="1">
        <f t="array" ref="B13" ca="1">INDEX(Data_DBD!$B:$B,$A13)</f>
        <v>28</v>
      </c>
      <c r="C13" s="2" cm="1">
        <f t="array" ref="C13" ca="1">INDEX(Data_DBD!$C:$C,$A13)</f>
        <v>3</v>
      </c>
      <c r="D13" s="2" cm="1">
        <f t="array" ref="D13" ca="1">INDEX(Data_DBD!$D:$D,$A13)</f>
        <v>13</v>
      </c>
      <c r="E13" s="2" cm="1">
        <f t="array" ref="E13" ca="1">INDEX(Data_DBD!$E:$E,$A13)</f>
        <v>1</v>
      </c>
      <c r="F13" s="2" t="str" cm="1">
        <f t="array" ref="F13" ca="1">INDEX(Data_DBD!$F:$F,$A13)</f>
        <v>Sedang</v>
      </c>
      <c r="H13" s="2">
        <v>138</v>
      </c>
      <c r="I13" s="2">
        <v>13</v>
      </c>
      <c r="J13" s="2">
        <v>3</v>
      </c>
      <c r="K13" s="2">
        <v>33</v>
      </c>
      <c r="L13" s="2">
        <v>1</v>
      </c>
      <c r="M13" s="2" t="s">
        <v>97</v>
      </c>
    </row>
    <row r="14" spans="1:17">
      <c r="A14" s="2">
        <f t="shared" ca="1" si="0"/>
        <v>146</v>
      </c>
      <c r="B14" s="2" cm="1">
        <f t="array" ref="B14" ca="1">INDEX(Data_DBD!$B:$B,$A14)</f>
        <v>34</v>
      </c>
      <c r="C14" s="2" cm="1">
        <f t="array" ref="C14" ca="1">INDEX(Data_DBD!$C:$C,$A14)</f>
        <v>2</v>
      </c>
      <c r="D14" s="2" cm="1">
        <f t="array" ref="D14" ca="1">INDEX(Data_DBD!$D:$D,$A14)</f>
        <v>21</v>
      </c>
      <c r="E14" s="2" cm="1">
        <f t="array" ref="E14" ca="1">INDEX(Data_DBD!$E:$E,$A14)</f>
        <v>1</v>
      </c>
      <c r="F14" s="2" t="str" cm="1">
        <f t="array" ref="F14" ca="1">INDEX(Data_DBD!$F:$F,$A14)</f>
        <v>Tinggi</v>
      </c>
      <c r="H14" s="2">
        <v>122</v>
      </c>
      <c r="I14" s="2">
        <v>28</v>
      </c>
      <c r="J14" s="2">
        <v>3</v>
      </c>
      <c r="K14" s="2">
        <v>33</v>
      </c>
      <c r="L14" s="2">
        <v>1</v>
      </c>
      <c r="M14" s="2" t="s">
        <v>97</v>
      </c>
    </row>
    <row r="15" spans="1:17">
      <c r="A15" s="2">
        <f t="shared" ca="1" si="0"/>
        <v>135</v>
      </c>
      <c r="B15" s="2" cm="1">
        <f t="array" ref="B15" ca="1">INDEX(Data_DBD!$B:$B,$A15)</f>
        <v>10</v>
      </c>
      <c r="C15" s="2" cm="1">
        <f t="array" ref="C15" ca="1">INDEX(Data_DBD!$C:$C,$A15)</f>
        <v>2</v>
      </c>
      <c r="D15" s="2" cm="1">
        <f t="array" ref="D15" ca="1">INDEX(Data_DBD!$D:$D,$A15)</f>
        <v>33</v>
      </c>
      <c r="E15" s="2" cm="1">
        <f t="array" ref="E15" ca="1">INDEX(Data_DBD!$E:$E,$A15)</f>
        <v>0</v>
      </c>
      <c r="F15" s="2" t="str" cm="1">
        <f t="array" ref="F15" ca="1">INDEX(Data_DBD!$F:$F,$A15)</f>
        <v>Tinggi</v>
      </c>
      <c r="H15" s="2">
        <v>10</v>
      </c>
      <c r="I15" s="2">
        <v>18</v>
      </c>
      <c r="J15" s="2">
        <v>5</v>
      </c>
      <c r="K15" s="2">
        <v>12</v>
      </c>
      <c r="L15" s="2">
        <v>0</v>
      </c>
      <c r="M15" s="2" t="s">
        <v>7</v>
      </c>
    </row>
    <row r="16" spans="1:17">
      <c r="A16" s="2">
        <f t="shared" ca="1" si="0"/>
        <v>9</v>
      </c>
      <c r="B16" s="2" cm="1">
        <f t="array" ref="B16" ca="1">INDEX(Data_DBD!$B:$B,$A16)</f>
        <v>16</v>
      </c>
      <c r="C16" s="2" cm="1">
        <f t="array" ref="C16" ca="1">INDEX(Data_DBD!$C:$C,$A16)</f>
        <v>6</v>
      </c>
      <c r="D16" s="2" cm="1">
        <f t="array" ref="D16" ca="1">INDEX(Data_DBD!$D:$D,$A16)</f>
        <v>12</v>
      </c>
      <c r="E16" s="2" cm="1">
        <f t="array" ref="E16" ca="1">INDEX(Data_DBD!$E:$E,$A16)</f>
        <v>1</v>
      </c>
      <c r="F16" s="2" t="str" cm="1">
        <f t="array" ref="F16" ca="1">INDEX(Data_DBD!$F:$F,$A16)</f>
        <v>Sedang</v>
      </c>
      <c r="H16" s="2">
        <v>71</v>
      </c>
      <c r="I16" s="2">
        <v>84</v>
      </c>
      <c r="J16" s="2">
        <v>3</v>
      </c>
      <c r="K16" s="2">
        <v>10</v>
      </c>
      <c r="L16" s="2">
        <v>0</v>
      </c>
      <c r="M16" s="2" t="s">
        <v>7</v>
      </c>
    </row>
    <row r="17" spans="1:13">
      <c r="A17" s="2">
        <f t="shared" ca="1" si="0"/>
        <v>162</v>
      </c>
      <c r="B17" s="2" cm="1">
        <f t="array" ref="B17" ca="1">INDEX(Data_DBD!$B:$B,$A17)</f>
        <v>22</v>
      </c>
      <c r="C17" s="2" cm="1">
        <f t="array" ref="C17" ca="1">INDEX(Data_DBD!$C:$C,$A17)</f>
        <v>3</v>
      </c>
      <c r="D17" s="2" cm="1">
        <f t="array" ref="D17" ca="1">INDEX(Data_DBD!$D:$D,$A17)</f>
        <v>3</v>
      </c>
      <c r="E17" s="2" cm="1">
        <f t="array" ref="E17" ca="1">INDEX(Data_DBD!$E:$E,$A17)</f>
        <v>1</v>
      </c>
      <c r="F17" s="2" t="str" cm="1">
        <f t="array" ref="F17" ca="1">INDEX(Data_DBD!$F:$F,$A17)</f>
        <v>Rendah</v>
      </c>
      <c r="H17" s="2">
        <v>128</v>
      </c>
      <c r="I17" s="2">
        <v>38</v>
      </c>
      <c r="J17" s="2">
        <v>2</v>
      </c>
      <c r="K17" s="2">
        <v>33</v>
      </c>
      <c r="L17" s="2">
        <v>0</v>
      </c>
      <c r="M17" s="2" t="s">
        <v>97</v>
      </c>
    </row>
    <row r="18" spans="1:13">
      <c r="A18" s="2">
        <f t="shared" ca="1" si="0"/>
        <v>129</v>
      </c>
      <c r="B18" s="2" cm="1">
        <f t="array" ref="B18" ca="1">INDEX(Data_DBD!$B:$B,$A18)</f>
        <v>4</v>
      </c>
      <c r="C18" s="2" cm="1">
        <f t="array" ref="C18" ca="1">INDEX(Data_DBD!$C:$C,$A18)</f>
        <v>3</v>
      </c>
      <c r="D18" s="2" cm="1">
        <f t="array" ref="D18" ca="1">INDEX(Data_DBD!$D:$D,$A18)</f>
        <v>33</v>
      </c>
      <c r="E18" s="2" cm="1">
        <f t="array" ref="E18" ca="1">INDEX(Data_DBD!$E:$E,$A18)</f>
        <v>0</v>
      </c>
      <c r="F18" s="2" t="str" cm="1">
        <f t="array" ref="F18" ca="1">INDEX(Data_DBD!$F:$F,$A18)</f>
        <v>Tinggi</v>
      </c>
      <c r="H18" s="2">
        <v>147</v>
      </c>
      <c r="I18" s="2">
        <v>66</v>
      </c>
      <c r="J18" s="2">
        <v>10</v>
      </c>
      <c r="K18" s="2">
        <v>21</v>
      </c>
      <c r="L18" s="2">
        <v>1</v>
      </c>
      <c r="M18" s="2" t="s">
        <v>97</v>
      </c>
    </row>
    <row r="19" spans="1:13">
      <c r="A19" s="2">
        <f t="shared" ca="1" si="0"/>
        <v>35</v>
      </c>
      <c r="B19" s="2" cm="1">
        <f t="array" ref="B19" ca="1">INDEX(Data_DBD!$B:$B,$A19)</f>
        <v>40</v>
      </c>
      <c r="C19" s="2" cm="1">
        <f t="array" ref="C19" ca="1">INDEX(Data_DBD!$C:$C,$A19)</f>
        <v>3</v>
      </c>
      <c r="D19" s="2" cm="1">
        <f t="array" ref="D19" ca="1">INDEX(Data_DBD!$D:$D,$A19)</f>
        <v>4</v>
      </c>
      <c r="E19" s="2" cm="1">
        <f t="array" ref="E19" ca="1">INDEX(Data_DBD!$E:$E,$A19)</f>
        <v>1</v>
      </c>
      <c r="F19" s="2" t="str" cm="1">
        <f t="array" ref="F19" ca="1">INDEX(Data_DBD!$F:$F,$A19)</f>
        <v>Rendah</v>
      </c>
      <c r="H19" s="2">
        <v>15</v>
      </c>
      <c r="I19" s="2">
        <v>21</v>
      </c>
      <c r="J19" s="2">
        <v>2</v>
      </c>
      <c r="K19" s="2">
        <v>7</v>
      </c>
      <c r="L19" s="2">
        <v>0</v>
      </c>
      <c r="M19" s="2" t="s">
        <v>20</v>
      </c>
    </row>
    <row r="20" spans="1:13">
      <c r="A20" s="2">
        <f t="shared" ca="1" si="0"/>
        <v>161</v>
      </c>
      <c r="B20" s="2" cm="1">
        <f t="array" ref="B20" ca="1">INDEX(Data_DBD!$B:$B,$A20)</f>
        <v>12</v>
      </c>
      <c r="C20" s="2" cm="1">
        <f t="array" ref="C20" ca="1">INDEX(Data_DBD!$C:$C,$A20)</f>
        <v>3</v>
      </c>
      <c r="D20" s="2" cm="1">
        <f t="array" ref="D20" ca="1">INDEX(Data_DBD!$D:$D,$A20)</f>
        <v>21</v>
      </c>
      <c r="E20" s="2" cm="1">
        <f t="array" ref="E20" ca="1">INDEX(Data_DBD!$E:$E,$A20)</f>
        <v>1</v>
      </c>
      <c r="F20" s="2" t="str" cm="1">
        <f t="array" ref="F20" ca="1">INDEX(Data_DBD!$F:$F,$A20)</f>
        <v>Tinggi</v>
      </c>
      <c r="H20" s="2">
        <v>151</v>
      </c>
      <c r="I20" s="2">
        <v>24</v>
      </c>
      <c r="J20" s="2">
        <v>3</v>
      </c>
      <c r="K20" s="2">
        <v>21</v>
      </c>
      <c r="L20" s="2">
        <v>0</v>
      </c>
      <c r="M20" s="2" t="s">
        <v>97</v>
      </c>
    </row>
    <row r="21" spans="1:13">
      <c r="A21" s="2">
        <f t="shared" ca="1" si="0"/>
        <v>116</v>
      </c>
      <c r="B21" s="2" cm="1">
        <f t="array" ref="B21" ca="1">INDEX(Data_DBD!$B:$B,$A21)</f>
        <v>32</v>
      </c>
      <c r="C21" s="2" cm="1">
        <f t="array" ref="C21" ca="1">INDEX(Data_DBD!$C:$C,$A21)</f>
        <v>4</v>
      </c>
      <c r="D21" s="2" cm="1">
        <f t="array" ref="D21" ca="1">INDEX(Data_DBD!$D:$D,$A21)</f>
        <v>33</v>
      </c>
      <c r="E21" s="2" cm="1">
        <f t="array" ref="E21" ca="1">INDEX(Data_DBD!$E:$E,$A21)</f>
        <v>1</v>
      </c>
      <c r="F21" s="2" t="str" cm="1">
        <f t="array" ref="F21" ca="1">INDEX(Data_DBD!$F:$F,$A21)</f>
        <v>Tinggi</v>
      </c>
      <c r="H21" s="2">
        <v>37</v>
      </c>
      <c r="I21" s="2">
        <v>28</v>
      </c>
      <c r="J21" s="2">
        <v>4</v>
      </c>
      <c r="K21" s="2">
        <v>4</v>
      </c>
      <c r="L21" s="2">
        <v>1</v>
      </c>
      <c r="M21" s="2" t="s">
        <v>20</v>
      </c>
    </row>
    <row r="22" spans="1:13">
      <c r="A22" s="2">
        <f t="shared" ca="1" si="0"/>
        <v>121</v>
      </c>
      <c r="B22" s="2" cm="1">
        <f t="array" ref="B22" ca="1">INDEX(Data_DBD!$B:$B,$A22)</f>
        <v>82</v>
      </c>
      <c r="C22" s="2" cm="1">
        <f t="array" ref="C22" ca="1">INDEX(Data_DBD!$C:$C,$A22)</f>
        <v>5</v>
      </c>
      <c r="D22" s="2" cm="1">
        <f t="array" ref="D22" ca="1">INDEX(Data_DBD!$D:$D,$A22)</f>
        <v>33</v>
      </c>
      <c r="E22" s="2" cm="1">
        <f t="array" ref="E22" ca="1">INDEX(Data_DBD!$E:$E,$A22)</f>
        <v>1</v>
      </c>
      <c r="F22" s="2" t="str" cm="1">
        <f t="array" ref="F22" ca="1">INDEX(Data_DBD!$F:$F,$A22)</f>
        <v>Tinggi</v>
      </c>
      <c r="H22" s="2">
        <v>106</v>
      </c>
      <c r="I22" s="2">
        <v>23</v>
      </c>
      <c r="J22" s="2">
        <v>3</v>
      </c>
      <c r="K22" s="2">
        <v>18</v>
      </c>
      <c r="L22" s="2">
        <v>1</v>
      </c>
      <c r="M22" s="2" t="s">
        <v>97</v>
      </c>
    </row>
    <row r="23" spans="1:13">
      <c r="A23" s="2">
        <f t="shared" ca="1" si="0"/>
        <v>71</v>
      </c>
      <c r="B23" s="2" cm="1">
        <f t="array" ref="B23" ca="1">INDEX(Data_DBD!$B:$B,$A23)</f>
        <v>84</v>
      </c>
      <c r="C23" s="2" cm="1">
        <f t="array" ref="C23" ca="1">INDEX(Data_DBD!$C:$C,$A23)</f>
        <v>3</v>
      </c>
      <c r="D23" s="2" cm="1">
        <f t="array" ref="D23" ca="1">INDEX(Data_DBD!$D:$D,$A23)</f>
        <v>10</v>
      </c>
      <c r="E23" s="2" cm="1">
        <f t="array" ref="E23" ca="1">INDEX(Data_DBD!$E:$E,$A23)</f>
        <v>0</v>
      </c>
      <c r="F23" s="2" t="str" cm="1">
        <f t="array" ref="F23" ca="1">INDEX(Data_DBD!$F:$F,$A23)</f>
        <v>Sedang</v>
      </c>
      <c r="H23" s="2">
        <v>60</v>
      </c>
      <c r="I23" s="2">
        <v>68</v>
      </c>
      <c r="J23" s="2">
        <v>4</v>
      </c>
      <c r="K23" s="2">
        <v>15</v>
      </c>
      <c r="L23" s="2">
        <v>0</v>
      </c>
      <c r="M23" s="2" t="s">
        <v>7</v>
      </c>
    </row>
    <row r="24" spans="1:13">
      <c r="A24" s="2">
        <f t="shared" ca="1" si="0"/>
        <v>13</v>
      </c>
      <c r="B24" s="2" cm="1">
        <f t="array" ref="B24" ca="1">INDEX(Data_DBD!$B:$B,$A24)</f>
        <v>47</v>
      </c>
      <c r="C24" s="2" cm="1">
        <f t="array" ref="C24" ca="1">INDEX(Data_DBD!$C:$C,$A24)</f>
        <v>2</v>
      </c>
      <c r="D24" s="2" cm="1">
        <f t="array" ref="D24" ca="1">INDEX(Data_DBD!$D:$D,$A24)</f>
        <v>12</v>
      </c>
      <c r="E24" s="2" cm="1">
        <f t="array" ref="E24" ca="1">INDEX(Data_DBD!$E:$E,$A24)</f>
        <v>0</v>
      </c>
      <c r="F24" s="2" t="str" cm="1">
        <f t="array" ref="F24" ca="1">INDEX(Data_DBD!$F:$F,$A24)</f>
        <v>Sedang</v>
      </c>
      <c r="H24" s="2">
        <v>41</v>
      </c>
      <c r="I24" s="2">
        <v>8</v>
      </c>
      <c r="J24" s="2">
        <v>4</v>
      </c>
      <c r="K24" s="2">
        <v>13</v>
      </c>
      <c r="L24" s="2">
        <v>0</v>
      </c>
      <c r="M24" s="2" t="s">
        <v>7</v>
      </c>
    </row>
    <row r="25" spans="1:13">
      <c r="A25" s="2">
        <f t="shared" ca="1" si="0"/>
        <v>85</v>
      </c>
      <c r="B25" s="2" cm="1">
        <f t="array" ref="B25" ca="1">INDEX(Data_DBD!$B:$B,$A25)</f>
        <v>27</v>
      </c>
      <c r="C25" s="2" cm="1">
        <f t="array" ref="C25" ca="1">INDEX(Data_DBD!$C:$C,$A25)</f>
        <v>9</v>
      </c>
      <c r="D25" s="2" cm="1">
        <f t="array" ref="D25" ca="1">INDEX(Data_DBD!$D:$D,$A25)</f>
        <v>13</v>
      </c>
      <c r="E25" s="2" cm="1">
        <f t="array" ref="E25" ca="1">INDEX(Data_DBD!$E:$E,$A25)</f>
        <v>0</v>
      </c>
      <c r="F25" s="2" t="str" cm="1">
        <f t="array" ref="F25" ca="1">INDEX(Data_DBD!$F:$F,$A25)</f>
        <v>Sedang</v>
      </c>
      <c r="H25" s="2">
        <v>127</v>
      </c>
      <c r="I25" s="2">
        <v>21</v>
      </c>
      <c r="J25" s="2">
        <v>2</v>
      </c>
      <c r="K25" s="2">
        <v>33</v>
      </c>
      <c r="L25" s="2">
        <v>0</v>
      </c>
      <c r="M25" s="2" t="s">
        <v>97</v>
      </c>
    </row>
    <row r="26" spans="1:13">
      <c r="A26" s="2">
        <f t="shared" ca="1" si="0"/>
        <v>123</v>
      </c>
      <c r="B26" s="2" cm="1">
        <f t="array" ref="B26" ca="1">INDEX(Data_DBD!$B:$B,$A26)</f>
        <v>22</v>
      </c>
      <c r="C26" s="2" cm="1">
        <f t="array" ref="C26" ca="1">INDEX(Data_DBD!$C:$C,$A26)</f>
        <v>4</v>
      </c>
      <c r="D26" s="2" cm="1">
        <f t="array" ref="D26" ca="1">INDEX(Data_DBD!$D:$D,$A26)</f>
        <v>33</v>
      </c>
      <c r="E26" s="2" cm="1">
        <f t="array" ref="E26" ca="1">INDEX(Data_DBD!$E:$E,$A26)</f>
        <v>0</v>
      </c>
      <c r="F26" s="2" t="str" cm="1">
        <f t="array" ref="F26" ca="1">INDEX(Data_DBD!$F:$F,$A26)</f>
        <v>Tinggi</v>
      </c>
      <c r="H26" s="2">
        <v>105</v>
      </c>
      <c r="I26" s="2">
        <v>61</v>
      </c>
      <c r="J26" s="2">
        <v>3</v>
      </c>
      <c r="K26" s="2">
        <v>18</v>
      </c>
      <c r="L26" s="2">
        <v>1</v>
      </c>
      <c r="M26" s="2" t="s">
        <v>97</v>
      </c>
    </row>
    <row r="27" spans="1:13">
      <c r="A27" s="2">
        <f t="shared" ca="1" si="0"/>
        <v>127</v>
      </c>
      <c r="B27" s="2" cm="1">
        <f t="array" ref="B27" ca="1">INDEX(Data_DBD!$B:$B,$A27)</f>
        <v>21</v>
      </c>
      <c r="C27" s="2" cm="1">
        <f t="array" ref="C27" ca="1">INDEX(Data_DBD!$C:$C,$A27)</f>
        <v>2</v>
      </c>
      <c r="D27" s="2" cm="1">
        <f t="array" ref="D27" ca="1">INDEX(Data_DBD!$D:$D,$A27)</f>
        <v>33</v>
      </c>
      <c r="E27" s="2" cm="1">
        <f t="array" ref="E27" ca="1">INDEX(Data_DBD!$E:$E,$A27)</f>
        <v>0</v>
      </c>
      <c r="F27" s="2" t="str" cm="1">
        <f t="array" ref="F27" ca="1">INDEX(Data_DBD!$F:$F,$A27)</f>
        <v>Tinggi</v>
      </c>
      <c r="H27" s="2">
        <v>32</v>
      </c>
      <c r="I27" s="2">
        <v>54</v>
      </c>
      <c r="J27" s="2">
        <v>4</v>
      </c>
      <c r="K27" s="2">
        <v>14</v>
      </c>
      <c r="L27" s="2">
        <v>0</v>
      </c>
      <c r="M27" s="2" t="s">
        <v>7</v>
      </c>
    </row>
    <row r="28" spans="1:13">
      <c r="A28" s="2">
        <f t="shared" ca="1" si="0"/>
        <v>113</v>
      </c>
      <c r="B28" s="2" cm="1">
        <f t="array" ref="B28" ca="1">INDEX(Data_DBD!$B:$B,$A28)</f>
        <v>69</v>
      </c>
      <c r="C28" s="2" cm="1">
        <f t="array" ref="C28" ca="1">INDEX(Data_DBD!$C:$C,$A28)</f>
        <v>1</v>
      </c>
      <c r="D28" s="2" cm="1">
        <f t="array" ref="D28" ca="1">INDEX(Data_DBD!$D:$D,$A28)</f>
        <v>33</v>
      </c>
      <c r="E28" s="2" cm="1">
        <f t="array" ref="E28" ca="1">INDEX(Data_DBD!$E:$E,$A28)</f>
        <v>1</v>
      </c>
      <c r="F28" s="2" t="str" cm="1">
        <f t="array" ref="F28" ca="1">INDEX(Data_DBD!$F:$F,$A28)</f>
        <v>Tinggi</v>
      </c>
      <c r="H28" s="2">
        <v>56</v>
      </c>
      <c r="I28" s="2">
        <v>4</v>
      </c>
      <c r="J28" s="2">
        <v>3</v>
      </c>
      <c r="K28" s="2">
        <v>15</v>
      </c>
      <c r="L28" s="2">
        <v>0</v>
      </c>
      <c r="M28" s="2" t="s">
        <v>7</v>
      </c>
    </row>
    <row r="29" spans="1:13">
      <c r="A29" s="2">
        <f t="shared" ca="1" si="0"/>
        <v>26</v>
      </c>
      <c r="B29" s="2" cm="1">
        <f t="array" ref="B29" ca="1">INDEX(Data_DBD!$B:$B,$A29)</f>
        <v>75</v>
      </c>
      <c r="C29" s="2" cm="1">
        <f t="array" ref="C29" ca="1">INDEX(Data_DBD!$C:$C,$A29)</f>
        <v>4</v>
      </c>
      <c r="D29" s="2" cm="1">
        <f t="array" ref="D29" ca="1">INDEX(Data_DBD!$D:$D,$A29)</f>
        <v>14</v>
      </c>
      <c r="E29" s="2" cm="1">
        <f t="array" ref="E29" ca="1">INDEX(Data_DBD!$E:$E,$A29)</f>
        <v>1</v>
      </c>
      <c r="F29" s="2" t="str" cm="1">
        <f t="array" ref="F29" ca="1">INDEX(Data_DBD!$F:$F,$A29)</f>
        <v>Sedang</v>
      </c>
      <c r="H29" s="2">
        <v>139</v>
      </c>
      <c r="I29" s="2">
        <v>52</v>
      </c>
      <c r="J29" s="2">
        <v>7</v>
      </c>
      <c r="K29" s="2">
        <v>21</v>
      </c>
      <c r="L29" s="2">
        <v>0</v>
      </c>
      <c r="M29" s="2" t="s">
        <v>97</v>
      </c>
    </row>
    <row r="30" spans="1:13">
      <c r="A30" s="2">
        <f t="shared" ca="1" si="0"/>
        <v>137</v>
      </c>
      <c r="B30" s="2" cm="1">
        <f t="array" ref="B30" ca="1">INDEX(Data_DBD!$B:$B,$A30)</f>
        <v>3</v>
      </c>
      <c r="C30" s="2" cm="1">
        <f t="array" ref="C30" ca="1">INDEX(Data_DBD!$C:$C,$A30)</f>
        <v>1</v>
      </c>
      <c r="D30" s="2" cm="1">
        <f t="array" ref="D30" ca="1">INDEX(Data_DBD!$D:$D,$A30)</f>
        <v>33</v>
      </c>
      <c r="E30" s="2" cm="1">
        <f t="array" ref="E30" ca="1">INDEX(Data_DBD!$E:$E,$A30)</f>
        <v>1</v>
      </c>
      <c r="F30" s="2" t="str" cm="1">
        <f t="array" ref="F30" ca="1">INDEX(Data_DBD!$F:$F,$A30)</f>
        <v>Tinggi</v>
      </c>
      <c r="H30" s="2">
        <v>106</v>
      </c>
      <c r="I30" s="2">
        <v>23</v>
      </c>
      <c r="J30" s="2">
        <v>3</v>
      </c>
      <c r="K30" s="2">
        <v>18</v>
      </c>
      <c r="L30" s="2">
        <v>1</v>
      </c>
      <c r="M30" s="2" t="s">
        <v>97</v>
      </c>
    </row>
    <row r="31" spans="1:13">
      <c r="A31" s="2">
        <f t="shared" ca="1" si="0"/>
        <v>72</v>
      </c>
      <c r="B31" s="2" cm="1">
        <f t="array" ref="B31" ca="1">INDEX(Data_DBD!$B:$B,$A31)</f>
        <v>3</v>
      </c>
      <c r="C31" s="2" cm="1">
        <f t="array" ref="C31" ca="1">INDEX(Data_DBD!$C:$C,$A31)</f>
        <v>5</v>
      </c>
      <c r="D31" s="2" cm="1">
        <f t="array" ref="D31" ca="1">INDEX(Data_DBD!$D:$D,$A31)</f>
        <v>10</v>
      </c>
      <c r="E31" s="2" cm="1">
        <f t="array" ref="E31" ca="1">INDEX(Data_DBD!$E:$E,$A31)</f>
        <v>1</v>
      </c>
      <c r="F31" s="2" t="str" cm="1">
        <f t="array" ref="F31" ca="1">INDEX(Data_DBD!$F:$F,$A31)</f>
        <v>Sedang</v>
      </c>
      <c r="H31" s="2">
        <v>108</v>
      </c>
      <c r="I31" s="2">
        <v>69</v>
      </c>
      <c r="J31" s="2">
        <v>7</v>
      </c>
      <c r="K31" s="2">
        <v>33</v>
      </c>
      <c r="L31" s="2">
        <v>1</v>
      </c>
      <c r="M31" s="2" t="s">
        <v>97</v>
      </c>
    </row>
    <row r="32" spans="1:13">
      <c r="A32" s="2">
        <f t="shared" ca="1" si="0"/>
        <v>59</v>
      </c>
      <c r="B32" s="2" cm="1">
        <f t="array" ref="B32" ca="1">INDEX(Data_DBD!$B:$B,$A32)</f>
        <v>28</v>
      </c>
      <c r="C32" s="2" cm="1">
        <f t="array" ref="C32" ca="1">INDEX(Data_DBD!$C:$C,$A32)</f>
        <v>4</v>
      </c>
      <c r="D32" s="2" cm="1">
        <f t="array" ref="D32" ca="1">INDEX(Data_DBD!$D:$D,$A32)</f>
        <v>15</v>
      </c>
      <c r="E32" s="2" cm="1">
        <f t="array" ref="E32" ca="1">INDEX(Data_DBD!$E:$E,$A32)</f>
        <v>0</v>
      </c>
      <c r="F32" s="2" t="str" cm="1">
        <f t="array" ref="F32" ca="1">INDEX(Data_DBD!$F:$F,$A32)</f>
        <v>Sedang</v>
      </c>
      <c r="H32" s="2">
        <v>58</v>
      </c>
      <c r="I32" s="2">
        <v>17</v>
      </c>
      <c r="J32" s="2">
        <v>3</v>
      </c>
      <c r="K32" s="2">
        <v>15</v>
      </c>
      <c r="L32" s="2">
        <v>0</v>
      </c>
      <c r="M32" s="2" t="s">
        <v>7</v>
      </c>
    </row>
    <row r="33" spans="1:13">
      <c r="A33" s="2">
        <f t="shared" ca="1" si="0"/>
        <v>100</v>
      </c>
      <c r="B33" s="2" cm="1">
        <f t="array" ref="B33" ca="1">INDEX(Data_DBD!$B:$B,$A33)</f>
        <v>19</v>
      </c>
      <c r="C33" s="2" cm="1">
        <f t="array" ref="C33" ca="1">INDEX(Data_DBD!$C:$C,$A33)</f>
        <v>6</v>
      </c>
      <c r="D33" s="2" cm="1">
        <f t="array" ref="D33" ca="1">INDEX(Data_DBD!$D:$D,$A33)</f>
        <v>18</v>
      </c>
      <c r="E33" s="2" cm="1">
        <f t="array" ref="E33" ca="1">INDEX(Data_DBD!$E:$E,$A33)</f>
        <v>0</v>
      </c>
      <c r="F33" s="2" t="str" cm="1">
        <f t="array" ref="F33" ca="1">INDEX(Data_DBD!$F:$F,$A33)</f>
        <v>Tinggi</v>
      </c>
      <c r="H33" s="2">
        <v>21</v>
      </c>
      <c r="I33" s="2">
        <v>10</v>
      </c>
      <c r="J33" s="2">
        <v>5</v>
      </c>
      <c r="K33" s="2">
        <v>14</v>
      </c>
      <c r="L33" s="2">
        <v>1</v>
      </c>
      <c r="M33" s="2" t="s">
        <v>7</v>
      </c>
    </row>
    <row r="34" spans="1:13">
      <c r="A34" s="2">
        <f t="shared" ca="1" si="0"/>
        <v>50</v>
      </c>
      <c r="B34" s="2" cm="1">
        <f t="array" ref="B34" ca="1">INDEX(Data_DBD!$B:$B,$A34)</f>
        <v>19</v>
      </c>
      <c r="C34" s="2" cm="1">
        <f t="array" ref="C34" ca="1">INDEX(Data_DBD!$C:$C,$A34)</f>
        <v>5</v>
      </c>
      <c r="D34" s="2" cm="1">
        <f t="array" ref="D34" ca="1">INDEX(Data_DBD!$D:$D,$A34)</f>
        <v>13</v>
      </c>
      <c r="E34" s="2" cm="1">
        <f t="array" ref="E34" ca="1">INDEX(Data_DBD!$E:$E,$A34)</f>
        <v>0</v>
      </c>
      <c r="F34" s="2" t="str" cm="1">
        <f t="array" ref="F34" ca="1">INDEX(Data_DBD!$F:$F,$A34)</f>
        <v>Sedang</v>
      </c>
      <c r="H34" s="2">
        <v>106</v>
      </c>
      <c r="I34" s="2">
        <v>23</v>
      </c>
      <c r="J34" s="2">
        <v>3</v>
      </c>
      <c r="K34" s="2">
        <v>18</v>
      </c>
      <c r="L34" s="2">
        <v>1</v>
      </c>
      <c r="M34" s="2" t="s">
        <v>97</v>
      </c>
    </row>
    <row r="35" spans="1:13">
      <c r="A35" s="2">
        <f t="shared" ca="1" si="0"/>
        <v>109</v>
      </c>
      <c r="B35" s="2" cm="1">
        <f t="array" ref="B35" ca="1">INDEX(Data_DBD!$B:$B,$A35)</f>
        <v>40</v>
      </c>
      <c r="C35" s="2" cm="1">
        <f t="array" ref="C35" ca="1">INDEX(Data_DBD!$C:$C,$A35)</f>
        <v>3</v>
      </c>
      <c r="D35" s="2" cm="1">
        <f t="array" ref="D35" ca="1">INDEX(Data_DBD!$D:$D,$A35)</f>
        <v>33</v>
      </c>
      <c r="E35" s="2" cm="1">
        <f t="array" ref="E35" ca="1">INDEX(Data_DBD!$E:$E,$A35)</f>
        <v>1</v>
      </c>
      <c r="F35" s="2" t="str" cm="1">
        <f t="array" ref="F35" ca="1">INDEX(Data_DBD!$F:$F,$A35)</f>
        <v>Tinggi</v>
      </c>
      <c r="H35" s="2">
        <v>84</v>
      </c>
      <c r="I35" s="2">
        <v>42</v>
      </c>
      <c r="J35" s="2">
        <v>4</v>
      </c>
      <c r="K35" s="2">
        <v>13</v>
      </c>
      <c r="L35" s="2">
        <v>1</v>
      </c>
      <c r="M35" s="2" t="s">
        <v>7</v>
      </c>
    </row>
    <row r="36" spans="1:13">
      <c r="A36" s="2">
        <f t="shared" ca="1" si="0"/>
        <v>73</v>
      </c>
      <c r="B36" s="2" cm="1">
        <f t="array" ref="B36" ca="1">INDEX(Data_DBD!$B:$B,$A36)</f>
        <v>15</v>
      </c>
      <c r="C36" s="2" cm="1">
        <f t="array" ref="C36" ca="1">INDEX(Data_DBD!$C:$C,$A36)</f>
        <v>3</v>
      </c>
      <c r="D36" s="2" cm="1">
        <f t="array" ref="D36" ca="1">INDEX(Data_DBD!$D:$D,$A36)</f>
        <v>10</v>
      </c>
      <c r="E36" s="2" cm="1">
        <f t="array" ref="E36" ca="1">INDEX(Data_DBD!$E:$E,$A36)</f>
        <v>1</v>
      </c>
      <c r="F36" s="2" t="str" cm="1">
        <f t="array" ref="F36" ca="1">INDEX(Data_DBD!$F:$F,$A36)</f>
        <v>Sedang</v>
      </c>
      <c r="H36" s="2">
        <v>83</v>
      </c>
      <c r="I36" s="2">
        <v>50</v>
      </c>
      <c r="J36" s="2">
        <v>3</v>
      </c>
      <c r="K36" s="2">
        <v>13</v>
      </c>
      <c r="L36" s="2">
        <v>0</v>
      </c>
      <c r="M36" s="2" t="s">
        <v>7</v>
      </c>
    </row>
    <row r="37" spans="1:13">
      <c r="A37" s="2">
        <f t="shared" ca="1" si="0"/>
        <v>34</v>
      </c>
      <c r="B37" s="2" cm="1">
        <f t="array" ref="B37" ca="1">INDEX(Data_DBD!$B:$B,$A37)</f>
        <v>55</v>
      </c>
      <c r="C37" s="2" cm="1">
        <f t="array" ref="C37" ca="1">INDEX(Data_DBD!$C:$C,$A37)</f>
        <v>3</v>
      </c>
      <c r="D37" s="2" cm="1">
        <f t="array" ref="D37" ca="1">INDEX(Data_DBD!$D:$D,$A37)</f>
        <v>14</v>
      </c>
      <c r="E37" s="2" cm="1">
        <f t="array" ref="E37" ca="1">INDEX(Data_DBD!$E:$E,$A37)</f>
        <v>0</v>
      </c>
      <c r="F37" s="2" t="str" cm="1">
        <f t="array" ref="F37" ca="1">INDEX(Data_DBD!$F:$F,$A37)</f>
        <v>Sedang</v>
      </c>
      <c r="H37" s="2">
        <v>148</v>
      </c>
      <c r="I37" s="2">
        <v>55</v>
      </c>
      <c r="J37" s="2">
        <v>3</v>
      </c>
      <c r="K37" s="2">
        <v>21</v>
      </c>
      <c r="L37" s="2">
        <v>1</v>
      </c>
      <c r="M37" s="2" t="s">
        <v>97</v>
      </c>
    </row>
    <row r="38" spans="1:13">
      <c r="A38" s="2">
        <f t="shared" ca="1" si="0"/>
        <v>45</v>
      </c>
      <c r="B38" s="2" cm="1">
        <f t="array" ref="B38" ca="1">INDEX(Data_DBD!$B:$B,$A38)</f>
        <v>75</v>
      </c>
      <c r="C38" s="2" cm="1">
        <f t="array" ref="C38" ca="1">INDEX(Data_DBD!$C:$C,$A38)</f>
        <v>3</v>
      </c>
      <c r="D38" s="2" cm="1">
        <f t="array" ref="D38" ca="1">INDEX(Data_DBD!$D:$D,$A38)</f>
        <v>13</v>
      </c>
      <c r="E38" s="2" cm="1">
        <f t="array" ref="E38" ca="1">INDEX(Data_DBD!$E:$E,$A38)</f>
        <v>1</v>
      </c>
      <c r="F38" s="2" t="str" cm="1">
        <f t="array" ref="F38" ca="1">INDEX(Data_DBD!$F:$F,$A38)</f>
        <v>Sedang</v>
      </c>
      <c r="H38" s="2">
        <v>20</v>
      </c>
      <c r="I38" s="2">
        <v>15</v>
      </c>
      <c r="J38" s="2">
        <v>5</v>
      </c>
      <c r="K38" s="2">
        <v>7</v>
      </c>
      <c r="L38" s="2">
        <v>0</v>
      </c>
      <c r="M38" s="2" t="s">
        <v>20</v>
      </c>
    </row>
    <row r="39" spans="1:13">
      <c r="A39" s="2">
        <f t="shared" ca="1" si="0"/>
        <v>65</v>
      </c>
      <c r="B39" s="2" cm="1">
        <f t="array" ref="B39" ca="1">INDEX(Data_DBD!$B:$B,$A39)</f>
        <v>49</v>
      </c>
      <c r="C39" s="2" cm="1">
        <f t="array" ref="C39" ca="1">INDEX(Data_DBD!$C:$C,$A39)</f>
        <v>3</v>
      </c>
      <c r="D39" s="2" cm="1">
        <f t="array" ref="D39" ca="1">INDEX(Data_DBD!$D:$D,$A39)</f>
        <v>15</v>
      </c>
      <c r="E39" s="2" cm="1">
        <f t="array" ref="E39" ca="1">INDEX(Data_DBD!$E:$E,$A39)</f>
        <v>0</v>
      </c>
      <c r="F39" s="2" t="str" cm="1">
        <f t="array" ref="F39" ca="1">INDEX(Data_DBD!$F:$F,$A39)</f>
        <v>Sedang</v>
      </c>
      <c r="H39" s="2">
        <v>56</v>
      </c>
      <c r="I39" s="2">
        <v>4</v>
      </c>
      <c r="J39" s="2">
        <v>3</v>
      </c>
      <c r="K39" s="2">
        <v>15</v>
      </c>
      <c r="L39" s="2">
        <v>0</v>
      </c>
      <c r="M39" s="2" t="s">
        <v>7</v>
      </c>
    </row>
    <row r="40" spans="1:13">
      <c r="A40" s="2">
        <f t="shared" ca="1" si="0"/>
        <v>80</v>
      </c>
      <c r="B40" s="2" cm="1">
        <f t="array" ref="B40" ca="1">INDEX(Data_DBD!$B:$B,$A40)</f>
        <v>27</v>
      </c>
      <c r="C40" s="2" cm="1">
        <f t="array" ref="C40" ca="1">INDEX(Data_DBD!$C:$C,$A40)</f>
        <v>3</v>
      </c>
      <c r="D40" s="2" cm="1">
        <f t="array" ref="D40" ca="1">INDEX(Data_DBD!$D:$D,$A40)</f>
        <v>13</v>
      </c>
      <c r="E40" s="2" cm="1">
        <f t="array" ref="E40" ca="1">INDEX(Data_DBD!$E:$E,$A40)</f>
        <v>1</v>
      </c>
      <c r="F40" s="2" t="str" cm="1">
        <f t="array" ref="F40" ca="1">INDEX(Data_DBD!$F:$F,$A40)</f>
        <v>Sedang</v>
      </c>
      <c r="H40" s="2">
        <v>144</v>
      </c>
      <c r="I40" s="2">
        <v>61</v>
      </c>
      <c r="J40" s="2">
        <v>4</v>
      </c>
      <c r="K40" s="2">
        <v>21</v>
      </c>
      <c r="L40" s="2">
        <v>1</v>
      </c>
      <c r="M40" s="2" t="s">
        <v>97</v>
      </c>
    </row>
    <row r="41" spans="1:13">
      <c r="A41" s="2">
        <f t="shared" ca="1" si="0"/>
        <v>137</v>
      </c>
      <c r="B41" s="2" cm="1">
        <f t="array" ref="B41" ca="1">INDEX(Data_DBD!$B:$B,$A41)</f>
        <v>3</v>
      </c>
      <c r="C41" s="2" cm="1">
        <f t="array" ref="C41" ca="1">INDEX(Data_DBD!$C:$C,$A41)</f>
        <v>1</v>
      </c>
      <c r="D41" s="2" cm="1">
        <f t="array" ref="D41" ca="1">INDEX(Data_DBD!$D:$D,$A41)</f>
        <v>33</v>
      </c>
      <c r="E41" s="2" cm="1">
        <f t="array" ref="E41" ca="1">INDEX(Data_DBD!$E:$E,$A41)</f>
        <v>1</v>
      </c>
      <c r="F41" s="2" t="str" cm="1">
        <f t="array" ref="F41" ca="1">INDEX(Data_DBD!$F:$F,$A41)</f>
        <v>Tinggi</v>
      </c>
      <c r="H41" s="2">
        <v>135</v>
      </c>
      <c r="I41" s="2">
        <v>10</v>
      </c>
      <c r="J41" s="2">
        <v>2</v>
      </c>
      <c r="K41" s="2">
        <v>33</v>
      </c>
      <c r="L41" s="2">
        <v>0</v>
      </c>
      <c r="M41" s="2" t="s">
        <v>97</v>
      </c>
    </row>
    <row r="42" spans="1:13">
      <c r="A42" s="2">
        <f t="shared" ca="1" si="0"/>
        <v>76</v>
      </c>
      <c r="B42" s="2" cm="1">
        <f t="array" ref="B42" ca="1">INDEX(Data_DBD!$B:$B,$A42)</f>
        <v>70</v>
      </c>
      <c r="C42" s="2" cm="1">
        <f t="array" ref="C42" ca="1">INDEX(Data_DBD!$C:$C,$A42)</f>
        <v>2</v>
      </c>
      <c r="D42" s="2" cm="1">
        <f t="array" ref="D42" ca="1">INDEX(Data_DBD!$D:$D,$A42)</f>
        <v>10</v>
      </c>
      <c r="E42" s="2" cm="1">
        <f t="array" ref="E42" ca="1">INDEX(Data_DBD!$E:$E,$A42)</f>
        <v>0</v>
      </c>
      <c r="F42" s="2" t="str" cm="1">
        <f t="array" ref="F42" ca="1">INDEX(Data_DBD!$F:$F,$A42)</f>
        <v>Sedang</v>
      </c>
      <c r="H42" s="2">
        <v>112</v>
      </c>
      <c r="I42" s="2">
        <v>61</v>
      </c>
      <c r="J42" s="2">
        <v>3</v>
      </c>
      <c r="K42" s="2">
        <v>33</v>
      </c>
      <c r="L42" s="2">
        <v>1</v>
      </c>
      <c r="M42" s="2" t="s">
        <v>97</v>
      </c>
    </row>
    <row r="43" spans="1:13">
      <c r="A43" s="2">
        <f t="shared" ca="1" si="0"/>
        <v>33</v>
      </c>
      <c r="B43" s="2" cm="1">
        <f t="array" ref="B43" ca="1">INDEX(Data_DBD!$B:$B,$A43)</f>
        <v>19</v>
      </c>
      <c r="C43" s="2" cm="1">
        <f t="array" ref="C43" ca="1">INDEX(Data_DBD!$C:$C,$A43)</f>
        <v>4</v>
      </c>
      <c r="D43" s="2" cm="1">
        <f t="array" ref="D43" ca="1">INDEX(Data_DBD!$D:$D,$A43)</f>
        <v>14</v>
      </c>
      <c r="E43" s="2" cm="1">
        <f t="array" ref="E43" ca="1">INDEX(Data_DBD!$E:$E,$A43)</f>
        <v>1</v>
      </c>
      <c r="F43" s="2" t="str" cm="1">
        <f t="array" ref="F43" ca="1">INDEX(Data_DBD!$F:$F,$A43)</f>
        <v>Sedang</v>
      </c>
      <c r="H43" s="2">
        <v>61</v>
      </c>
      <c r="I43" s="2">
        <v>29</v>
      </c>
      <c r="J43" s="2">
        <v>3</v>
      </c>
      <c r="K43" s="2">
        <v>15</v>
      </c>
      <c r="L43" s="2">
        <v>1</v>
      </c>
      <c r="M43" s="2" t="s">
        <v>7</v>
      </c>
    </row>
    <row r="44" spans="1:13">
      <c r="A44" s="2">
        <f t="shared" ca="1" si="0"/>
        <v>154</v>
      </c>
      <c r="B44" s="2" cm="1">
        <f t="array" ref="B44" ca="1">INDEX(Data_DBD!$B:$B,$A44)</f>
        <v>18</v>
      </c>
      <c r="C44" s="2" cm="1">
        <f t="array" ref="C44" ca="1">INDEX(Data_DBD!$C:$C,$A44)</f>
        <v>5</v>
      </c>
      <c r="D44" s="2" cm="1">
        <f t="array" ref="D44" ca="1">INDEX(Data_DBD!$D:$D,$A44)</f>
        <v>21</v>
      </c>
      <c r="E44" s="2" cm="1">
        <f t="array" ref="E44" ca="1">INDEX(Data_DBD!$E:$E,$A44)</f>
        <v>1</v>
      </c>
      <c r="F44" s="2" t="str" cm="1">
        <f t="array" ref="F44" ca="1">INDEX(Data_DBD!$F:$F,$A44)</f>
        <v>Tinggi</v>
      </c>
      <c r="H44" s="2">
        <v>93</v>
      </c>
      <c r="I44" s="2">
        <v>65</v>
      </c>
      <c r="J44" s="2">
        <v>4</v>
      </c>
      <c r="K44" s="2">
        <v>18</v>
      </c>
      <c r="L44" s="2">
        <v>0</v>
      </c>
      <c r="M44" s="2" t="s">
        <v>97</v>
      </c>
    </row>
    <row r="45" spans="1:13">
      <c r="A45" s="2">
        <f t="shared" ca="1" si="0"/>
        <v>154</v>
      </c>
      <c r="B45" s="2" cm="1">
        <f t="array" ref="B45" ca="1">INDEX(Data_DBD!$B:$B,$A45)</f>
        <v>18</v>
      </c>
      <c r="C45" s="2" cm="1">
        <f t="array" ref="C45" ca="1">INDEX(Data_DBD!$C:$C,$A45)</f>
        <v>5</v>
      </c>
      <c r="D45" s="2" cm="1">
        <f t="array" ref="D45" ca="1">INDEX(Data_DBD!$D:$D,$A45)</f>
        <v>21</v>
      </c>
      <c r="E45" s="2" cm="1">
        <f t="array" ref="E45" ca="1">INDEX(Data_DBD!$E:$E,$A45)</f>
        <v>1</v>
      </c>
      <c r="F45" s="2" t="str" cm="1">
        <f t="array" ref="F45" ca="1">INDEX(Data_DBD!$F:$F,$A45)</f>
        <v>Tinggi</v>
      </c>
      <c r="H45" s="2">
        <v>158</v>
      </c>
      <c r="I45" s="2">
        <v>5</v>
      </c>
      <c r="J45" s="2">
        <v>2</v>
      </c>
      <c r="K45" s="2">
        <v>21</v>
      </c>
      <c r="L45" s="2">
        <v>0</v>
      </c>
      <c r="M45" s="2" t="s">
        <v>97</v>
      </c>
    </row>
    <row r="46" spans="1:13">
      <c r="A46" s="2">
        <f t="shared" ca="1" si="0"/>
        <v>34</v>
      </c>
      <c r="B46" s="2" cm="1">
        <f t="array" ref="B46" ca="1">INDEX(Data_DBD!$B:$B,$A46)</f>
        <v>55</v>
      </c>
      <c r="C46" s="2" cm="1">
        <f t="array" ref="C46" ca="1">INDEX(Data_DBD!$C:$C,$A46)</f>
        <v>3</v>
      </c>
      <c r="D46" s="2" cm="1">
        <f t="array" ref="D46" ca="1">INDEX(Data_DBD!$D:$D,$A46)</f>
        <v>14</v>
      </c>
      <c r="E46" s="2" cm="1">
        <f t="array" ref="E46" ca="1">INDEX(Data_DBD!$E:$E,$A46)</f>
        <v>0</v>
      </c>
      <c r="F46" s="2" t="str" cm="1">
        <f t="array" ref="F46" ca="1">INDEX(Data_DBD!$F:$F,$A46)</f>
        <v>Sedang</v>
      </c>
      <c r="H46" s="2">
        <v>119</v>
      </c>
      <c r="I46" s="2">
        <v>30</v>
      </c>
      <c r="J46" s="2">
        <v>7</v>
      </c>
      <c r="K46" s="2">
        <v>33</v>
      </c>
      <c r="L46" s="2">
        <v>0</v>
      </c>
      <c r="M46" s="2" t="s">
        <v>97</v>
      </c>
    </row>
    <row r="47" spans="1:13">
      <c r="A47" s="2">
        <f t="shared" ca="1" si="0"/>
        <v>43</v>
      </c>
      <c r="B47" s="2" cm="1">
        <f t="array" ref="B47" ca="1">INDEX(Data_DBD!$B:$B,$A47)</f>
        <v>15</v>
      </c>
      <c r="C47" s="2" cm="1">
        <f t="array" ref="C47" ca="1">INDEX(Data_DBD!$C:$C,$A47)</f>
        <v>4</v>
      </c>
      <c r="D47" s="2" cm="1">
        <f t="array" ref="D47" ca="1">INDEX(Data_DBD!$D:$D,$A47)</f>
        <v>13</v>
      </c>
      <c r="E47" s="2" cm="1">
        <f t="array" ref="E47" ca="1">INDEX(Data_DBD!$E:$E,$A47)</f>
        <v>0</v>
      </c>
      <c r="F47" s="2" t="str" cm="1">
        <f t="array" ref="F47" ca="1">INDEX(Data_DBD!$F:$F,$A47)</f>
        <v>Sedang</v>
      </c>
      <c r="H47" s="2">
        <v>105</v>
      </c>
      <c r="I47" s="2">
        <v>61</v>
      </c>
      <c r="J47" s="2">
        <v>3</v>
      </c>
      <c r="K47" s="2">
        <v>18</v>
      </c>
      <c r="L47" s="2">
        <v>1</v>
      </c>
      <c r="M47" s="2" t="s">
        <v>97</v>
      </c>
    </row>
    <row r="48" spans="1:13">
      <c r="A48" s="2">
        <f t="shared" ca="1" si="0"/>
        <v>115</v>
      </c>
      <c r="B48" s="2" cm="1">
        <f t="array" ref="B48" ca="1">INDEX(Data_DBD!$B:$B,$A48)</f>
        <v>52</v>
      </c>
      <c r="C48" s="2" cm="1">
        <f t="array" ref="C48" ca="1">INDEX(Data_DBD!$C:$C,$A48)</f>
        <v>3</v>
      </c>
      <c r="D48" s="2" cm="1">
        <f t="array" ref="D48" ca="1">INDEX(Data_DBD!$D:$D,$A48)</f>
        <v>33</v>
      </c>
      <c r="E48" s="2" cm="1">
        <f t="array" ref="E48" ca="1">INDEX(Data_DBD!$E:$E,$A48)</f>
        <v>1</v>
      </c>
      <c r="F48" s="2" t="str" cm="1">
        <f t="array" ref="F48" ca="1">INDEX(Data_DBD!$F:$F,$A48)</f>
        <v>Tinggi</v>
      </c>
      <c r="H48" s="2">
        <v>26</v>
      </c>
      <c r="I48" s="2">
        <v>75</v>
      </c>
      <c r="J48" s="2">
        <v>4</v>
      </c>
      <c r="K48" s="2">
        <v>14</v>
      </c>
      <c r="L48" s="2">
        <v>1</v>
      </c>
      <c r="M48" s="2" t="s">
        <v>7</v>
      </c>
    </row>
    <row r="49" spans="1:13">
      <c r="A49" s="2">
        <f t="shared" ca="1" si="0"/>
        <v>88</v>
      </c>
      <c r="B49" s="2" cm="1">
        <f t="array" ref="B49" ca="1">INDEX(Data_DBD!$B:$B,$A49)</f>
        <v>20</v>
      </c>
      <c r="C49" s="2" cm="1">
        <f t="array" ref="C49" ca="1">INDEX(Data_DBD!$C:$C,$A49)</f>
        <v>4</v>
      </c>
      <c r="D49" s="2" cm="1">
        <f t="array" ref="D49" ca="1">INDEX(Data_DBD!$D:$D,$A49)</f>
        <v>13</v>
      </c>
      <c r="E49" s="2" cm="1">
        <f t="array" ref="E49" ca="1">INDEX(Data_DBD!$E:$E,$A49)</f>
        <v>1</v>
      </c>
      <c r="F49" s="2" t="str" cm="1">
        <f t="array" ref="F49" ca="1">INDEX(Data_DBD!$F:$F,$A49)</f>
        <v>Sedang</v>
      </c>
      <c r="H49" s="2">
        <v>124</v>
      </c>
      <c r="I49" s="2">
        <v>24</v>
      </c>
      <c r="J49" s="2">
        <v>3</v>
      </c>
      <c r="K49" s="2">
        <v>33</v>
      </c>
      <c r="L49" s="2">
        <v>1</v>
      </c>
      <c r="M49" s="2" t="s">
        <v>97</v>
      </c>
    </row>
    <row r="50" spans="1:13">
      <c r="A50" s="2">
        <f t="shared" ca="1" si="0"/>
        <v>114</v>
      </c>
      <c r="B50" s="2" cm="1">
        <f t="array" ref="B50" ca="1">INDEX(Data_DBD!$B:$B,$A50)</f>
        <v>14</v>
      </c>
      <c r="C50" s="2" cm="1">
        <f t="array" ref="C50" ca="1">INDEX(Data_DBD!$C:$C,$A50)</f>
        <v>2</v>
      </c>
      <c r="D50" s="2" cm="1">
        <f t="array" ref="D50" ca="1">INDEX(Data_DBD!$D:$D,$A50)</f>
        <v>33</v>
      </c>
      <c r="E50" s="2" cm="1">
        <f t="array" ref="E50" ca="1">INDEX(Data_DBD!$E:$E,$A50)</f>
        <v>1</v>
      </c>
      <c r="F50" s="2" t="str" cm="1">
        <f t="array" ref="F50" ca="1">INDEX(Data_DBD!$F:$F,$A50)</f>
        <v>Tinggi</v>
      </c>
      <c r="H50" s="2">
        <v>15</v>
      </c>
      <c r="I50" s="2">
        <v>21</v>
      </c>
      <c r="J50" s="2">
        <v>2</v>
      </c>
      <c r="K50" s="2">
        <v>7</v>
      </c>
      <c r="L50" s="2">
        <v>0</v>
      </c>
      <c r="M50" s="2" t="s">
        <v>20</v>
      </c>
    </row>
    <row r="51" spans="1:13">
      <c r="A51" s="2">
        <f t="shared" ca="1" si="0"/>
        <v>47</v>
      </c>
      <c r="B51" s="2" cm="1">
        <f t="array" ref="B51" ca="1">INDEX(Data_DBD!$B:$B,$A51)</f>
        <v>19</v>
      </c>
      <c r="C51" s="2" cm="1">
        <f t="array" ref="C51" ca="1">INDEX(Data_DBD!$C:$C,$A51)</f>
        <v>2</v>
      </c>
      <c r="D51" s="2" cm="1">
        <f t="array" ref="D51" ca="1">INDEX(Data_DBD!$D:$D,$A51)</f>
        <v>13</v>
      </c>
      <c r="E51" s="2" cm="1">
        <f t="array" ref="E51" ca="1">INDEX(Data_DBD!$E:$E,$A51)</f>
        <v>0</v>
      </c>
      <c r="F51" s="2" t="str" cm="1">
        <f t="array" ref="F51" ca="1">INDEX(Data_DBD!$F:$F,$A51)</f>
        <v>Sedang</v>
      </c>
      <c r="H51" s="2">
        <v>3</v>
      </c>
      <c r="I51" s="2">
        <v>43</v>
      </c>
      <c r="J51" s="2">
        <v>3</v>
      </c>
      <c r="K51" s="2">
        <v>12</v>
      </c>
      <c r="L51" s="2">
        <v>1</v>
      </c>
      <c r="M51" s="2" t="s">
        <v>7</v>
      </c>
    </row>
    <row r="52" spans="1:13">
      <c r="A52" s="2">
        <f t="shared" ca="1" si="0"/>
        <v>28</v>
      </c>
      <c r="B52" s="2" cm="1">
        <f t="array" ref="B52" ca="1">INDEX(Data_DBD!$B:$B,$A52)</f>
        <v>22</v>
      </c>
      <c r="C52" s="2" cm="1">
        <f t="array" ref="C52" ca="1">INDEX(Data_DBD!$C:$C,$A52)</f>
        <v>2</v>
      </c>
      <c r="D52" s="2" cm="1">
        <f t="array" ref="D52" ca="1">INDEX(Data_DBD!$D:$D,$A52)</f>
        <v>14</v>
      </c>
      <c r="E52" s="2" cm="1">
        <f t="array" ref="E52" ca="1">INDEX(Data_DBD!$E:$E,$A52)</f>
        <v>1</v>
      </c>
      <c r="F52" s="2" t="str" cm="1">
        <f t="array" ref="F52" ca="1">INDEX(Data_DBD!$F:$F,$A52)</f>
        <v>Sedang</v>
      </c>
      <c r="H52" s="2">
        <v>10</v>
      </c>
      <c r="I52" s="2">
        <v>18</v>
      </c>
      <c r="J52" s="2">
        <v>5</v>
      </c>
      <c r="K52" s="2">
        <v>12</v>
      </c>
      <c r="L52" s="2">
        <v>0</v>
      </c>
      <c r="M52" s="2" t="s">
        <v>7</v>
      </c>
    </row>
    <row r="53" spans="1:13">
      <c r="A53" s="2">
        <f t="shared" ca="1" si="0"/>
        <v>84</v>
      </c>
      <c r="B53" s="2" cm="1">
        <f t="array" ref="B53" ca="1">INDEX(Data_DBD!$B:$B,$A53)</f>
        <v>42</v>
      </c>
      <c r="C53" s="2" cm="1">
        <f t="array" ref="C53" ca="1">INDEX(Data_DBD!$C:$C,$A53)</f>
        <v>4</v>
      </c>
      <c r="D53" s="2" cm="1">
        <f t="array" ref="D53" ca="1">INDEX(Data_DBD!$D:$D,$A53)</f>
        <v>13</v>
      </c>
      <c r="E53" s="2" cm="1">
        <f t="array" ref="E53" ca="1">INDEX(Data_DBD!$E:$E,$A53)</f>
        <v>1</v>
      </c>
      <c r="F53" s="2" t="str" cm="1">
        <f t="array" ref="F53" ca="1">INDEX(Data_DBD!$F:$F,$A53)</f>
        <v>Sedang</v>
      </c>
      <c r="H53" s="2">
        <v>37</v>
      </c>
      <c r="I53" s="2">
        <v>28</v>
      </c>
      <c r="J53" s="2">
        <v>4</v>
      </c>
      <c r="K53" s="2">
        <v>4</v>
      </c>
      <c r="L53" s="2">
        <v>1</v>
      </c>
      <c r="M53" s="2" t="s">
        <v>20</v>
      </c>
    </row>
    <row r="54" spans="1:13">
      <c r="A54" s="2">
        <f t="shared" ca="1" si="0"/>
        <v>100</v>
      </c>
      <c r="B54" s="2" cm="1">
        <f t="array" ref="B54" ca="1">INDEX(Data_DBD!$B:$B,$A54)</f>
        <v>19</v>
      </c>
      <c r="C54" s="2" cm="1">
        <f t="array" ref="C54" ca="1">INDEX(Data_DBD!$C:$C,$A54)</f>
        <v>6</v>
      </c>
      <c r="D54" s="2" cm="1">
        <f t="array" ref="D54" ca="1">INDEX(Data_DBD!$D:$D,$A54)</f>
        <v>18</v>
      </c>
      <c r="E54" s="2" cm="1">
        <f t="array" ref="E54" ca="1">INDEX(Data_DBD!$E:$E,$A54)</f>
        <v>0</v>
      </c>
      <c r="F54" s="2" t="str" cm="1">
        <f t="array" ref="F54" ca="1">INDEX(Data_DBD!$F:$F,$A54)</f>
        <v>Tinggi</v>
      </c>
      <c r="H54" s="2">
        <v>161</v>
      </c>
      <c r="I54" s="2">
        <v>12</v>
      </c>
      <c r="J54" s="2">
        <v>3</v>
      </c>
      <c r="K54" s="2">
        <v>21</v>
      </c>
      <c r="L54" s="2">
        <v>1</v>
      </c>
      <c r="M54" s="2" t="s">
        <v>97</v>
      </c>
    </row>
    <row r="55" spans="1:13">
      <c r="A55" s="2">
        <f t="shared" ca="1" si="0"/>
        <v>28</v>
      </c>
      <c r="B55" s="2" cm="1">
        <f t="array" ref="B55" ca="1">INDEX(Data_DBD!$B:$B,$A55)</f>
        <v>22</v>
      </c>
      <c r="C55" s="2" cm="1">
        <f t="array" ref="C55" ca="1">INDEX(Data_DBD!$C:$C,$A55)</f>
        <v>2</v>
      </c>
      <c r="D55" s="2" cm="1">
        <f t="array" ref="D55" ca="1">INDEX(Data_DBD!$D:$D,$A55)</f>
        <v>14</v>
      </c>
      <c r="E55" s="2" cm="1">
        <f t="array" ref="E55" ca="1">INDEX(Data_DBD!$E:$E,$A55)</f>
        <v>1</v>
      </c>
      <c r="F55" s="2" t="str" cm="1">
        <f t="array" ref="F55" ca="1">INDEX(Data_DBD!$F:$F,$A55)</f>
        <v>Sedang</v>
      </c>
      <c r="H55" s="2">
        <v>45</v>
      </c>
      <c r="I55" s="2">
        <v>75</v>
      </c>
      <c r="J55" s="2">
        <v>3</v>
      </c>
      <c r="K55" s="2">
        <v>13</v>
      </c>
      <c r="L55" s="2">
        <v>1</v>
      </c>
      <c r="M55" s="2" t="s">
        <v>7</v>
      </c>
    </row>
    <row r="56" spans="1:13">
      <c r="A56" s="2">
        <f t="shared" ca="1" si="0"/>
        <v>147</v>
      </c>
      <c r="B56" s="2" cm="1">
        <f t="array" ref="B56" ca="1">INDEX(Data_DBD!$B:$B,$A56)</f>
        <v>66</v>
      </c>
      <c r="C56" s="2" cm="1">
        <f t="array" ref="C56" ca="1">INDEX(Data_DBD!$C:$C,$A56)</f>
        <v>10</v>
      </c>
      <c r="D56" s="2" cm="1">
        <f t="array" ref="D56" ca="1">INDEX(Data_DBD!$D:$D,$A56)</f>
        <v>21</v>
      </c>
      <c r="E56" s="2" cm="1">
        <f t="array" ref="E56" ca="1">INDEX(Data_DBD!$E:$E,$A56)</f>
        <v>1</v>
      </c>
      <c r="F56" s="2" t="str" cm="1">
        <f t="array" ref="F56" ca="1">INDEX(Data_DBD!$F:$F,$A56)</f>
        <v>Tinggi</v>
      </c>
      <c r="H56" s="2">
        <v>151</v>
      </c>
      <c r="I56" s="2">
        <v>24</v>
      </c>
      <c r="J56" s="2">
        <v>3</v>
      </c>
      <c r="K56" s="2">
        <v>21</v>
      </c>
      <c r="L56" s="2">
        <v>0</v>
      </c>
      <c r="M56" s="2" t="s">
        <v>97</v>
      </c>
    </row>
    <row r="57" spans="1:13">
      <c r="A57" s="2">
        <f t="shared" ca="1" si="0"/>
        <v>113</v>
      </c>
      <c r="B57" s="2" cm="1">
        <f t="array" ref="B57" ca="1">INDEX(Data_DBD!$B:$B,$A57)</f>
        <v>69</v>
      </c>
      <c r="C57" s="2" cm="1">
        <f t="array" ref="C57" ca="1">INDEX(Data_DBD!$C:$C,$A57)</f>
        <v>1</v>
      </c>
      <c r="D57" s="2" cm="1">
        <f t="array" ref="D57" ca="1">INDEX(Data_DBD!$D:$D,$A57)</f>
        <v>33</v>
      </c>
      <c r="E57" s="2" cm="1">
        <f t="array" ref="E57" ca="1">INDEX(Data_DBD!$E:$E,$A57)</f>
        <v>1</v>
      </c>
      <c r="F57" s="2" t="str" cm="1">
        <f t="array" ref="F57" ca="1">INDEX(Data_DBD!$F:$F,$A57)</f>
        <v>Tinggi</v>
      </c>
      <c r="H57" s="2">
        <v>56</v>
      </c>
      <c r="I57" s="2">
        <v>4</v>
      </c>
      <c r="J57" s="2">
        <v>3</v>
      </c>
      <c r="K57" s="2">
        <v>15</v>
      </c>
      <c r="L57" s="2">
        <v>0</v>
      </c>
      <c r="M57" s="2" t="s">
        <v>7</v>
      </c>
    </row>
    <row r="58" spans="1:13">
      <c r="A58" s="2">
        <f t="shared" ca="1" si="0"/>
        <v>163</v>
      </c>
      <c r="B58" s="2" cm="1">
        <f t="array" ref="B58" ca="1">INDEX(Data_DBD!$B:$B,$A58)</f>
        <v>34</v>
      </c>
      <c r="C58" s="2" cm="1">
        <f t="array" ref="C58" ca="1">INDEX(Data_DBD!$C:$C,$A58)</f>
        <v>4</v>
      </c>
      <c r="D58" s="2" cm="1">
        <f t="array" ref="D58" ca="1">INDEX(Data_DBD!$D:$D,$A58)</f>
        <v>3</v>
      </c>
      <c r="E58" s="2" cm="1">
        <f t="array" ref="E58" ca="1">INDEX(Data_DBD!$E:$E,$A58)</f>
        <v>1</v>
      </c>
      <c r="F58" s="2" t="str" cm="1">
        <f t="array" ref="F58" ca="1">INDEX(Data_DBD!$F:$F,$A58)</f>
        <v>Rendah</v>
      </c>
      <c r="H58" s="2">
        <v>32</v>
      </c>
      <c r="I58" s="2">
        <v>54</v>
      </c>
      <c r="J58" s="2">
        <v>4</v>
      </c>
      <c r="K58" s="2">
        <v>14</v>
      </c>
      <c r="L58" s="2">
        <v>0</v>
      </c>
      <c r="M58" s="2" t="s">
        <v>7</v>
      </c>
    </row>
    <row r="59" spans="1:13">
      <c r="A59" s="2">
        <f t="shared" ca="1" si="0"/>
        <v>77</v>
      </c>
      <c r="B59" s="2" cm="1">
        <f t="array" ref="B59" ca="1">INDEX(Data_DBD!$B:$B,$A59)</f>
        <v>16</v>
      </c>
      <c r="C59" s="2" cm="1">
        <f t="array" ref="C59" ca="1">INDEX(Data_DBD!$C:$C,$A59)</f>
        <v>4</v>
      </c>
      <c r="D59" s="2" cm="1">
        <f t="array" ref="D59" ca="1">INDEX(Data_DBD!$D:$D,$A59)</f>
        <v>13</v>
      </c>
      <c r="E59" s="2" cm="1">
        <f t="array" ref="E59" ca="1">INDEX(Data_DBD!$E:$E,$A59)</f>
        <v>1</v>
      </c>
      <c r="F59" s="2" t="str" cm="1">
        <f t="array" ref="F59" ca="1">INDEX(Data_DBD!$F:$F,$A59)</f>
        <v>Sedang</v>
      </c>
      <c r="H59" s="2">
        <v>23</v>
      </c>
      <c r="I59" s="2">
        <v>28</v>
      </c>
      <c r="J59" s="2">
        <v>4</v>
      </c>
      <c r="K59" s="2">
        <v>14</v>
      </c>
      <c r="L59" s="2">
        <v>1</v>
      </c>
      <c r="M59" s="2" t="s">
        <v>7</v>
      </c>
    </row>
    <row r="60" spans="1:13">
      <c r="A60" s="2">
        <f t="shared" ca="1" si="0"/>
        <v>100</v>
      </c>
      <c r="B60" s="2" cm="1">
        <f t="array" ref="B60" ca="1">INDEX(Data_DBD!$B:$B,$A60)</f>
        <v>19</v>
      </c>
      <c r="C60" s="2" cm="1">
        <f t="array" ref="C60" ca="1">INDEX(Data_DBD!$C:$C,$A60)</f>
        <v>6</v>
      </c>
      <c r="D60" s="2" cm="1">
        <f t="array" ref="D60" ca="1">INDEX(Data_DBD!$D:$D,$A60)</f>
        <v>18</v>
      </c>
      <c r="E60" s="2" cm="1">
        <f t="array" ref="E60" ca="1">INDEX(Data_DBD!$E:$E,$A60)</f>
        <v>0</v>
      </c>
      <c r="F60" s="2" t="str" cm="1">
        <f t="array" ref="F60" ca="1">INDEX(Data_DBD!$F:$F,$A60)</f>
        <v>Tinggi</v>
      </c>
      <c r="H60" s="2">
        <v>66</v>
      </c>
      <c r="I60" s="2">
        <v>21</v>
      </c>
      <c r="J60" s="2">
        <v>5</v>
      </c>
      <c r="K60" s="2">
        <v>15</v>
      </c>
      <c r="L60" s="2">
        <v>1</v>
      </c>
      <c r="M60" s="2" t="s">
        <v>7</v>
      </c>
    </row>
    <row r="61" spans="1:13">
      <c r="A61" s="2">
        <f t="shared" ca="1" si="0"/>
        <v>32</v>
      </c>
      <c r="B61" s="2" cm="1">
        <f t="array" ref="B61" ca="1">INDEX(Data_DBD!$B:$B,$A61)</f>
        <v>54</v>
      </c>
      <c r="C61" s="2" cm="1">
        <f t="array" ref="C61" ca="1">INDEX(Data_DBD!$C:$C,$A61)</f>
        <v>4</v>
      </c>
      <c r="D61" s="2" cm="1">
        <f t="array" ref="D61" ca="1">INDEX(Data_DBD!$D:$D,$A61)</f>
        <v>14</v>
      </c>
      <c r="E61" s="2" cm="1">
        <f t="array" ref="E61" ca="1">INDEX(Data_DBD!$E:$E,$A61)</f>
        <v>0</v>
      </c>
      <c r="F61" s="2" t="str" cm="1">
        <f t="array" ref="F61" ca="1">INDEX(Data_DBD!$F:$F,$A61)</f>
        <v>Sedang</v>
      </c>
      <c r="H61" s="2">
        <v>105</v>
      </c>
      <c r="I61" s="2">
        <v>61</v>
      </c>
      <c r="J61" s="2">
        <v>3</v>
      </c>
      <c r="K61" s="2">
        <v>18</v>
      </c>
      <c r="L61" s="2">
        <v>1</v>
      </c>
      <c r="M61" s="2" t="s">
        <v>97</v>
      </c>
    </row>
    <row r="62" spans="1:13">
      <c r="A62" s="2">
        <f t="shared" ca="1" si="0"/>
        <v>135</v>
      </c>
      <c r="B62" s="2" cm="1">
        <f t="array" ref="B62" ca="1">INDEX(Data_DBD!$B:$B,$A62)</f>
        <v>10</v>
      </c>
      <c r="C62" s="2" cm="1">
        <f t="array" ref="C62" ca="1">INDEX(Data_DBD!$C:$C,$A62)</f>
        <v>2</v>
      </c>
      <c r="D62" s="2" cm="1">
        <f t="array" ref="D62" ca="1">INDEX(Data_DBD!$D:$D,$A62)</f>
        <v>33</v>
      </c>
      <c r="E62" s="2" cm="1">
        <f t="array" ref="E62" ca="1">INDEX(Data_DBD!$E:$E,$A62)</f>
        <v>0</v>
      </c>
      <c r="F62" s="2" t="str" cm="1">
        <f t="array" ref="F62" ca="1">INDEX(Data_DBD!$F:$F,$A62)</f>
        <v>Tinggi</v>
      </c>
      <c r="H62" s="2">
        <v>157</v>
      </c>
      <c r="I62" s="2">
        <v>15</v>
      </c>
      <c r="J62" s="2">
        <v>4</v>
      </c>
      <c r="K62" s="2">
        <v>21</v>
      </c>
      <c r="L62" s="2">
        <v>1</v>
      </c>
      <c r="M62" s="2" t="s">
        <v>97</v>
      </c>
    </row>
    <row r="63" spans="1:13">
      <c r="A63" s="2">
        <f t="shared" ca="1" si="0"/>
        <v>48</v>
      </c>
      <c r="B63" s="2" cm="1">
        <f t="array" ref="B63" ca="1">INDEX(Data_DBD!$B:$B,$A63)</f>
        <v>50</v>
      </c>
      <c r="C63" s="2" cm="1">
        <f t="array" ref="C63" ca="1">INDEX(Data_DBD!$C:$C,$A63)</f>
        <v>5</v>
      </c>
      <c r="D63" s="2" cm="1">
        <f t="array" ref="D63" ca="1">INDEX(Data_DBD!$D:$D,$A63)</f>
        <v>13</v>
      </c>
      <c r="E63" s="2" cm="1">
        <f t="array" ref="E63" ca="1">INDEX(Data_DBD!$E:$E,$A63)</f>
        <v>1</v>
      </c>
      <c r="F63" s="2" t="str" cm="1">
        <f t="array" ref="F63" ca="1">INDEX(Data_DBD!$F:$F,$A63)</f>
        <v>Sedang</v>
      </c>
      <c r="H63" s="2">
        <v>99</v>
      </c>
      <c r="I63" s="2">
        <v>4</v>
      </c>
      <c r="J63" s="2">
        <v>2</v>
      </c>
      <c r="K63" s="2">
        <v>18</v>
      </c>
      <c r="L63" s="2">
        <v>1</v>
      </c>
      <c r="M63" s="2" t="s">
        <v>97</v>
      </c>
    </row>
    <row r="64" spans="1:13">
      <c r="A64" s="2">
        <f t="shared" ca="1" si="0"/>
        <v>107</v>
      </c>
      <c r="B64" s="2" cm="1">
        <f t="array" ref="B64" ca="1">INDEX(Data_DBD!$B:$B,$A64)</f>
        <v>48</v>
      </c>
      <c r="C64" s="2" cm="1">
        <f t="array" ref="C64" ca="1">INDEX(Data_DBD!$C:$C,$A64)</f>
        <v>5</v>
      </c>
      <c r="D64" s="2" cm="1">
        <f t="array" ref="D64" ca="1">INDEX(Data_DBD!$D:$D,$A64)</f>
        <v>18</v>
      </c>
      <c r="E64" s="2" cm="1">
        <f t="array" ref="E64" ca="1">INDEX(Data_DBD!$E:$E,$A64)</f>
        <v>0</v>
      </c>
      <c r="F64" s="2" t="str" cm="1">
        <f t="array" ref="F64" ca="1">INDEX(Data_DBD!$F:$F,$A64)</f>
        <v>Tinggi</v>
      </c>
      <c r="H64" s="2">
        <v>60</v>
      </c>
      <c r="I64" s="2">
        <v>68</v>
      </c>
      <c r="J64" s="2">
        <v>4</v>
      </c>
      <c r="K64" s="2">
        <v>15</v>
      </c>
      <c r="L64" s="2">
        <v>0</v>
      </c>
      <c r="M64" s="2" t="s">
        <v>7</v>
      </c>
    </row>
    <row r="65" spans="1:21">
      <c r="A65" s="2">
        <f t="shared" ca="1" si="0"/>
        <v>82</v>
      </c>
      <c r="B65" s="2" cm="1">
        <f t="array" ref="B65" ca="1">INDEX(Data_DBD!$B:$B,$A65)</f>
        <v>28</v>
      </c>
      <c r="C65" s="2" cm="1">
        <f t="array" ref="C65" ca="1">INDEX(Data_DBD!$C:$C,$A65)</f>
        <v>3</v>
      </c>
      <c r="D65" s="2" cm="1">
        <f t="array" ref="D65" ca="1">INDEX(Data_DBD!$D:$D,$A65)</f>
        <v>13</v>
      </c>
      <c r="E65" s="2" cm="1">
        <f t="array" ref="E65" ca="1">INDEX(Data_DBD!$E:$E,$A65)</f>
        <v>1</v>
      </c>
      <c r="F65" s="2" t="str" cm="1">
        <f t="array" ref="F65" ca="1">INDEX(Data_DBD!$F:$F,$A65)</f>
        <v>Sedang</v>
      </c>
      <c r="H65" s="2">
        <v>141</v>
      </c>
      <c r="I65" s="2">
        <v>36</v>
      </c>
      <c r="J65" s="2">
        <v>2</v>
      </c>
      <c r="K65" s="2">
        <v>21</v>
      </c>
      <c r="L65" s="2">
        <v>0</v>
      </c>
      <c r="M65" s="2" t="s">
        <v>97</v>
      </c>
    </row>
    <row r="66" spans="1:21">
      <c r="A66" s="2">
        <f t="shared" ca="1" si="0"/>
        <v>140</v>
      </c>
      <c r="B66" s="2" cm="1">
        <f t="array" ref="B66" ca="1">INDEX(Data_DBD!$B:$B,$A66)</f>
        <v>74</v>
      </c>
      <c r="C66" s="2" cm="1">
        <f t="array" ref="C66" ca="1">INDEX(Data_DBD!$C:$C,$A66)</f>
        <v>5</v>
      </c>
      <c r="D66" s="2" cm="1">
        <f t="array" ref="D66" ca="1">INDEX(Data_DBD!$D:$D,$A66)</f>
        <v>21</v>
      </c>
      <c r="E66" s="2" cm="1">
        <f t="array" ref="E66" ca="1">INDEX(Data_DBD!$E:$E,$A66)</f>
        <v>1</v>
      </c>
      <c r="F66" s="2" t="str" cm="1">
        <f t="array" ref="F66" ca="1">INDEX(Data_DBD!$F:$F,$A66)</f>
        <v>Tinggi</v>
      </c>
      <c r="H66" s="2">
        <v>128</v>
      </c>
      <c r="I66" s="2">
        <v>38</v>
      </c>
      <c r="J66" s="2">
        <v>2</v>
      </c>
      <c r="K66" s="2">
        <v>33</v>
      </c>
      <c r="L66" s="2">
        <v>0</v>
      </c>
      <c r="M66" s="2" t="s">
        <v>97</v>
      </c>
    </row>
    <row r="67" spans="1:21">
      <c r="A67" s="2">
        <f t="shared" ref="A67:A130" ca="1" si="1">RANDBETWEEN(2,164)</f>
        <v>163</v>
      </c>
      <c r="B67" s="2" cm="1">
        <f t="array" ref="B67" ca="1">INDEX(Data_DBD!$B:$B,$A67)</f>
        <v>34</v>
      </c>
      <c r="C67" s="2" cm="1">
        <f t="array" ref="C67" ca="1">INDEX(Data_DBD!$C:$C,$A67)</f>
        <v>4</v>
      </c>
      <c r="D67" s="2" cm="1">
        <f t="array" ref="D67" ca="1">INDEX(Data_DBD!$D:$D,$A67)</f>
        <v>3</v>
      </c>
      <c r="E67" s="2" cm="1">
        <f t="array" ref="E67" ca="1">INDEX(Data_DBD!$E:$E,$A67)</f>
        <v>1</v>
      </c>
      <c r="F67" s="2" t="str" cm="1">
        <f t="array" ref="F67" ca="1">INDEX(Data_DBD!$F:$F,$A67)</f>
        <v>Rendah</v>
      </c>
      <c r="H67" s="2">
        <v>89</v>
      </c>
      <c r="I67" s="2">
        <v>32</v>
      </c>
      <c r="J67" s="2">
        <v>4</v>
      </c>
      <c r="K67" s="2">
        <v>13</v>
      </c>
      <c r="L67" s="2">
        <v>0</v>
      </c>
      <c r="M67" s="2" t="s">
        <v>7</v>
      </c>
    </row>
    <row r="68" spans="1:21">
      <c r="A68" s="2">
        <f t="shared" ca="1" si="1"/>
        <v>102</v>
      </c>
      <c r="B68" s="2" cm="1">
        <f t="array" ref="B68" ca="1">INDEX(Data_DBD!$B:$B,$A68)</f>
        <v>41</v>
      </c>
      <c r="C68" s="2" cm="1">
        <f t="array" ref="C68" ca="1">INDEX(Data_DBD!$C:$C,$A68)</f>
        <v>4</v>
      </c>
      <c r="D68" s="2" cm="1">
        <f t="array" ref="D68" ca="1">INDEX(Data_DBD!$D:$D,$A68)</f>
        <v>18</v>
      </c>
      <c r="E68" s="2" cm="1">
        <f t="array" ref="E68" ca="1">INDEX(Data_DBD!$E:$E,$A68)</f>
        <v>0</v>
      </c>
      <c r="F68" s="2" t="str" cm="1">
        <f t="array" ref="F68" ca="1">INDEX(Data_DBD!$F:$F,$A68)</f>
        <v>Tinggi</v>
      </c>
      <c r="H68" s="2">
        <v>11</v>
      </c>
      <c r="I68" s="2">
        <v>24</v>
      </c>
      <c r="J68" s="2">
        <v>5</v>
      </c>
      <c r="K68" s="2">
        <v>12</v>
      </c>
      <c r="L68" s="2">
        <v>1</v>
      </c>
      <c r="M68" s="2" t="s">
        <v>7</v>
      </c>
      <c r="U68" s="9"/>
    </row>
    <row r="69" spans="1:21">
      <c r="A69" s="2">
        <f t="shared" ca="1" si="1"/>
        <v>139</v>
      </c>
      <c r="B69" s="2" cm="1">
        <f t="array" ref="B69" ca="1">INDEX(Data_DBD!$B:$B,$A69)</f>
        <v>52</v>
      </c>
      <c r="C69" s="2" cm="1">
        <f t="array" ref="C69" ca="1">INDEX(Data_DBD!$C:$C,$A69)</f>
        <v>7</v>
      </c>
      <c r="D69" s="2" cm="1">
        <f t="array" ref="D69" ca="1">INDEX(Data_DBD!$D:$D,$A69)</f>
        <v>21</v>
      </c>
      <c r="E69" s="2" cm="1">
        <f t="array" ref="E69" ca="1">INDEX(Data_DBD!$E:$E,$A69)</f>
        <v>0</v>
      </c>
      <c r="F69" s="2" t="str" cm="1">
        <f t="array" ref="F69" ca="1">INDEX(Data_DBD!$F:$F,$A69)</f>
        <v>Tinggi</v>
      </c>
      <c r="H69" s="2">
        <v>79</v>
      </c>
      <c r="I69" s="2">
        <v>29</v>
      </c>
      <c r="J69" s="2">
        <v>3</v>
      </c>
      <c r="K69" s="2">
        <v>13</v>
      </c>
      <c r="L69" s="2">
        <v>0</v>
      </c>
      <c r="M69" s="2" t="s">
        <v>7</v>
      </c>
    </row>
    <row r="70" spans="1:21">
      <c r="A70" s="2">
        <f t="shared" ca="1" si="1"/>
        <v>75</v>
      </c>
      <c r="B70" s="2" cm="1">
        <f t="array" ref="B70" ca="1">INDEX(Data_DBD!$B:$B,$A70)</f>
        <v>2</v>
      </c>
      <c r="C70" s="2" cm="1">
        <f t="array" ref="C70" ca="1">INDEX(Data_DBD!$C:$C,$A70)</f>
        <v>2</v>
      </c>
      <c r="D70" s="2" cm="1">
        <f t="array" ref="D70" ca="1">INDEX(Data_DBD!$D:$D,$A70)</f>
        <v>10</v>
      </c>
      <c r="E70" s="2" cm="1">
        <f t="array" ref="E70" ca="1">INDEX(Data_DBD!$E:$E,$A70)</f>
        <v>1</v>
      </c>
      <c r="F70" s="2" t="str" cm="1">
        <f t="array" ref="F70" ca="1">INDEX(Data_DBD!$F:$F,$A70)</f>
        <v>Sedang</v>
      </c>
      <c r="H70" s="2">
        <v>133</v>
      </c>
      <c r="I70" s="2">
        <v>6</v>
      </c>
      <c r="J70" s="2">
        <v>4</v>
      </c>
      <c r="K70" s="2">
        <v>33</v>
      </c>
      <c r="L70" s="2">
        <v>0</v>
      </c>
      <c r="M70" s="2" t="s">
        <v>97</v>
      </c>
    </row>
    <row r="71" spans="1:21">
      <c r="A71" s="2">
        <f t="shared" ca="1" si="1"/>
        <v>49</v>
      </c>
      <c r="B71" s="2" cm="1">
        <f t="array" ref="B71" ca="1">INDEX(Data_DBD!$B:$B,$A71)</f>
        <v>64</v>
      </c>
      <c r="C71" s="2" cm="1">
        <f t="array" ref="C71" ca="1">INDEX(Data_DBD!$C:$C,$A71)</f>
        <v>5</v>
      </c>
      <c r="D71" s="2" cm="1">
        <f t="array" ref="D71" ca="1">INDEX(Data_DBD!$D:$D,$A71)</f>
        <v>13</v>
      </c>
      <c r="E71" s="2" cm="1">
        <f t="array" ref="E71" ca="1">INDEX(Data_DBD!$E:$E,$A71)</f>
        <v>0</v>
      </c>
      <c r="F71" s="2" t="str" cm="1">
        <f t="array" ref="F71" ca="1">INDEX(Data_DBD!$F:$F,$A71)</f>
        <v>Sedang</v>
      </c>
      <c r="H71" s="2">
        <v>133</v>
      </c>
      <c r="I71" s="2">
        <v>6</v>
      </c>
      <c r="J71" s="2">
        <v>4</v>
      </c>
      <c r="K71" s="2">
        <v>33</v>
      </c>
      <c r="L71" s="2">
        <v>0</v>
      </c>
      <c r="M71" s="2" t="s">
        <v>97</v>
      </c>
    </row>
    <row r="72" spans="1:21">
      <c r="A72" s="2">
        <f t="shared" ca="1" si="1"/>
        <v>145</v>
      </c>
      <c r="B72" s="2" cm="1">
        <f t="array" ref="B72" ca="1">INDEX(Data_DBD!$B:$B,$A72)</f>
        <v>28</v>
      </c>
      <c r="C72" s="2" cm="1">
        <f t="array" ref="C72" ca="1">INDEX(Data_DBD!$C:$C,$A72)</f>
        <v>4</v>
      </c>
      <c r="D72" s="2" cm="1">
        <f t="array" ref="D72" ca="1">INDEX(Data_DBD!$D:$D,$A72)</f>
        <v>21</v>
      </c>
      <c r="E72" s="2" cm="1">
        <f t="array" ref="E72" ca="1">INDEX(Data_DBD!$E:$E,$A72)</f>
        <v>1</v>
      </c>
      <c r="F72" s="2" t="str" cm="1">
        <f t="array" ref="F72" ca="1">INDEX(Data_DBD!$F:$F,$A72)</f>
        <v>Tinggi</v>
      </c>
      <c r="H72" s="2">
        <v>94</v>
      </c>
      <c r="I72" s="2">
        <v>12</v>
      </c>
      <c r="J72" s="2">
        <v>4</v>
      </c>
      <c r="K72" s="2">
        <v>18</v>
      </c>
      <c r="L72" s="2">
        <v>0</v>
      </c>
      <c r="M72" s="2" t="s">
        <v>97</v>
      </c>
    </row>
    <row r="73" spans="1:21">
      <c r="A73" s="2">
        <f t="shared" ca="1" si="1"/>
        <v>16</v>
      </c>
      <c r="B73" s="2" cm="1">
        <f t="array" ref="B73" ca="1">INDEX(Data_DBD!$B:$B,$A73)</f>
        <v>66</v>
      </c>
      <c r="C73" s="2" cm="1">
        <f t="array" ref="C73" ca="1">INDEX(Data_DBD!$C:$C,$A73)</f>
        <v>5</v>
      </c>
      <c r="D73" s="2" cm="1">
        <f t="array" ref="D73" ca="1">INDEX(Data_DBD!$D:$D,$A73)</f>
        <v>7</v>
      </c>
      <c r="E73" s="2" cm="1">
        <f t="array" ref="E73" ca="1">INDEX(Data_DBD!$E:$E,$A73)</f>
        <v>1</v>
      </c>
      <c r="F73" s="2" t="str" cm="1">
        <f t="array" ref="F73" ca="1">INDEX(Data_DBD!$F:$F,$A73)</f>
        <v>Rendah</v>
      </c>
      <c r="H73" s="2">
        <v>84</v>
      </c>
      <c r="I73" s="2">
        <v>42</v>
      </c>
      <c r="J73" s="2">
        <v>4</v>
      </c>
      <c r="K73" s="2">
        <v>13</v>
      </c>
      <c r="L73" s="2">
        <v>1</v>
      </c>
      <c r="M73" s="2" t="s">
        <v>7</v>
      </c>
    </row>
    <row r="74" spans="1:21">
      <c r="A74" s="2">
        <f t="shared" ca="1" si="1"/>
        <v>14</v>
      </c>
      <c r="B74" s="2" cm="1">
        <f t="array" ref="B74" ca="1">INDEX(Data_DBD!$B:$B,$A74)</f>
        <v>49</v>
      </c>
      <c r="C74" s="2" cm="1">
        <f t="array" ref="C74" ca="1">INDEX(Data_DBD!$C:$C,$A74)</f>
        <v>4</v>
      </c>
      <c r="D74" s="2" cm="1">
        <f t="array" ref="D74" ca="1">INDEX(Data_DBD!$D:$D,$A74)</f>
        <v>7</v>
      </c>
      <c r="E74" s="2" cm="1">
        <f t="array" ref="E74" ca="1">INDEX(Data_DBD!$E:$E,$A74)</f>
        <v>1</v>
      </c>
      <c r="F74" s="2" t="str" cm="1">
        <f t="array" ref="F74" ca="1">INDEX(Data_DBD!$F:$F,$A74)</f>
        <v>Rendah</v>
      </c>
      <c r="H74" s="2">
        <v>33</v>
      </c>
      <c r="I74" s="2">
        <v>19</v>
      </c>
      <c r="J74" s="2">
        <v>4</v>
      </c>
      <c r="K74" s="2">
        <v>14</v>
      </c>
      <c r="L74" s="2">
        <v>1</v>
      </c>
      <c r="M74" s="2" t="s">
        <v>7</v>
      </c>
    </row>
    <row r="75" spans="1:21">
      <c r="A75" s="2">
        <f t="shared" ca="1" si="1"/>
        <v>80</v>
      </c>
      <c r="B75" s="2" cm="1">
        <f t="array" ref="B75" ca="1">INDEX(Data_DBD!$B:$B,$A75)</f>
        <v>27</v>
      </c>
      <c r="C75" s="2" cm="1">
        <f t="array" ref="C75" ca="1">INDEX(Data_DBD!$C:$C,$A75)</f>
        <v>3</v>
      </c>
      <c r="D75" s="2" cm="1">
        <f t="array" ref="D75" ca="1">INDEX(Data_DBD!$D:$D,$A75)</f>
        <v>13</v>
      </c>
      <c r="E75" s="2" cm="1">
        <f t="array" ref="E75" ca="1">INDEX(Data_DBD!$E:$E,$A75)</f>
        <v>1</v>
      </c>
      <c r="F75" s="2" t="str" cm="1">
        <f t="array" ref="F75" ca="1">INDEX(Data_DBD!$F:$F,$A75)</f>
        <v>Sedang</v>
      </c>
      <c r="H75" s="2">
        <v>114</v>
      </c>
      <c r="I75" s="2">
        <v>14</v>
      </c>
      <c r="J75" s="2">
        <v>2</v>
      </c>
      <c r="K75" s="2">
        <v>33</v>
      </c>
      <c r="L75" s="2">
        <v>1</v>
      </c>
      <c r="M75" s="2" t="s">
        <v>97</v>
      </c>
    </row>
    <row r="76" spans="1:21">
      <c r="A76" s="2">
        <f t="shared" ca="1" si="1"/>
        <v>93</v>
      </c>
      <c r="B76" s="2" cm="1">
        <f t="array" ref="B76" ca="1">INDEX(Data_DBD!$B:$B,$A76)</f>
        <v>65</v>
      </c>
      <c r="C76" s="2" cm="1">
        <f t="array" ref="C76" ca="1">INDEX(Data_DBD!$C:$C,$A76)</f>
        <v>4</v>
      </c>
      <c r="D76" s="2" cm="1">
        <f t="array" ref="D76" ca="1">INDEX(Data_DBD!$D:$D,$A76)</f>
        <v>18</v>
      </c>
      <c r="E76" s="2" cm="1">
        <f t="array" ref="E76" ca="1">INDEX(Data_DBD!$E:$E,$A76)</f>
        <v>0</v>
      </c>
      <c r="F76" s="2" t="str" cm="1">
        <f t="array" ref="F76" ca="1">INDEX(Data_DBD!$F:$F,$A76)</f>
        <v>Tinggi</v>
      </c>
      <c r="H76" s="2">
        <v>77</v>
      </c>
      <c r="I76" s="2">
        <v>16</v>
      </c>
      <c r="J76" s="2">
        <v>4</v>
      </c>
      <c r="K76" s="2">
        <v>13</v>
      </c>
      <c r="L76" s="2">
        <v>1</v>
      </c>
      <c r="M76" s="2" t="s">
        <v>7</v>
      </c>
    </row>
    <row r="77" spans="1:21">
      <c r="A77" s="2">
        <f t="shared" ca="1" si="1"/>
        <v>142</v>
      </c>
      <c r="B77" s="2" cm="1">
        <f t="array" ref="B77" ca="1">INDEX(Data_DBD!$B:$B,$A77)</f>
        <v>39</v>
      </c>
      <c r="C77" s="2" cm="1">
        <f t="array" ref="C77" ca="1">INDEX(Data_DBD!$C:$C,$A77)</f>
        <v>2</v>
      </c>
      <c r="D77" s="2" cm="1">
        <f t="array" ref="D77" ca="1">INDEX(Data_DBD!$D:$D,$A77)</f>
        <v>21</v>
      </c>
      <c r="E77" s="2" cm="1">
        <f t="array" ref="E77" ca="1">INDEX(Data_DBD!$E:$E,$A77)</f>
        <v>1</v>
      </c>
      <c r="F77" s="2" t="str" cm="1">
        <f t="array" ref="F77" ca="1">INDEX(Data_DBD!$F:$F,$A77)</f>
        <v>Tinggi</v>
      </c>
      <c r="H77" s="2">
        <v>114</v>
      </c>
      <c r="I77" s="2">
        <v>14</v>
      </c>
      <c r="J77" s="2">
        <v>2</v>
      </c>
      <c r="K77" s="2">
        <v>33</v>
      </c>
      <c r="L77" s="2">
        <v>1</v>
      </c>
      <c r="M77" s="2" t="s">
        <v>97</v>
      </c>
    </row>
    <row r="78" spans="1:21">
      <c r="A78" s="2">
        <f t="shared" ca="1" si="1"/>
        <v>75</v>
      </c>
      <c r="B78" s="2" cm="1">
        <f t="array" ref="B78" ca="1">INDEX(Data_DBD!$B:$B,$A78)</f>
        <v>2</v>
      </c>
      <c r="C78" s="2" cm="1">
        <f t="array" ref="C78" ca="1">INDEX(Data_DBD!$C:$C,$A78)</f>
        <v>2</v>
      </c>
      <c r="D78" s="2" cm="1">
        <f t="array" ref="D78" ca="1">INDEX(Data_DBD!$D:$D,$A78)</f>
        <v>10</v>
      </c>
      <c r="E78" s="2" cm="1">
        <f t="array" ref="E78" ca="1">INDEX(Data_DBD!$E:$E,$A78)</f>
        <v>1</v>
      </c>
      <c r="F78" s="2" t="str" cm="1">
        <f t="array" ref="F78" ca="1">INDEX(Data_DBD!$F:$F,$A78)</f>
        <v>Sedang</v>
      </c>
      <c r="H78" s="2">
        <v>102</v>
      </c>
      <c r="I78" s="2">
        <v>41</v>
      </c>
      <c r="J78" s="2">
        <v>4</v>
      </c>
      <c r="K78" s="2">
        <v>18</v>
      </c>
      <c r="L78" s="2">
        <v>0</v>
      </c>
      <c r="M78" s="2" t="s">
        <v>97</v>
      </c>
    </row>
    <row r="79" spans="1:21">
      <c r="A79" s="2">
        <f t="shared" ca="1" si="1"/>
        <v>159</v>
      </c>
      <c r="B79" s="2" cm="1">
        <f t="array" ref="B79" ca="1">INDEX(Data_DBD!$B:$B,$A79)</f>
        <v>17</v>
      </c>
      <c r="C79" s="2" cm="1">
        <f t="array" ref="C79" ca="1">INDEX(Data_DBD!$C:$C,$A79)</f>
        <v>2</v>
      </c>
      <c r="D79" s="2" cm="1">
        <f t="array" ref="D79" ca="1">INDEX(Data_DBD!$D:$D,$A79)</f>
        <v>21</v>
      </c>
      <c r="E79" s="2" cm="1">
        <f t="array" ref="E79" ca="1">INDEX(Data_DBD!$E:$E,$A79)</f>
        <v>0</v>
      </c>
      <c r="F79" s="2" t="str" cm="1">
        <f t="array" ref="F79" ca="1">INDEX(Data_DBD!$F:$F,$A79)</f>
        <v>Tinggi</v>
      </c>
      <c r="H79" s="2">
        <v>3</v>
      </c>
      <c r="I79" s="2">
        <v>43</v>
      </c>
      <c r="J79" s="2">
        <v>3</v>
      </c>
      <c r="K79" s="2">
        <v>12</v>
      </c>
      <c r="L79" s="2">
        <v>1</v>
      </c>
      <c r="M79" s="2" t="s">
        <v>7</v>
      </c>
    </row>
    <row r="80" spans="1:21">
      <c r="A80" s="2">
        <f t="shared" ca="1" si="1"/>
        <v>140</v>
      </c>
      <c r="B80" s="2" cm="1">
        <f t="array" ref="B80" ca="1">INDEX(Data_DBD!$B:$B,$A80)</f>
        <v>74</v>
      </c>
      <c r="C80" s="2" cm="1">
        <f t="array" ref="C80" ca="1">INDEX(Data_DBD!$C:$C,$A80)</f>
        <v>5</v>
      </c>
      <c r="D80" s="2" cm="1">
        <f t="array" ref="D80" ca="1">INDEX(Data_DBD!$D:$D,$A80)</f>
        <v>21</v>
      </c>
      <c r="E80" s="2" cm="1">
        <f t="array" ref="E80" ca="1">INDEX(Data_DBD!$E:$E,$A80)</f>
        <v>1</v>
      </c>
      <c r="F80" s="2" t="str" cm="1">
        <f t="array" ref="F80" ca="1">INDEX(Data_DBD!$F:$F,$A80)</f>
        <v>Tinggi</v>
      </c>
      <c r="H80" s="2">
        <v>72</v>
      </c>
      <c r="I80" s="2">
        <v>3</v>
      </c>
      <c r="J80" s="2">
        <v>5</v>
      </c>
      <c r="K80" s="2">
        <v>10</v>
      </c>
      <c r="L80" s="2">
        <v>1</v>
      </c>
      <c r="M80" s="2" t="s">
        <v>7</v>
      </c>
    </row>
    <row r="81" spans="1:13">
      <c r="A81" s="2">
        <f t="shared" ca="1" si="1"/>
        <v>138</v>
      </c>
      <c r="B81" s="2" cm="1">
        <f t="array" ref="B81" ca="1">INDEX(Data_DBD!$B:$B,$A81)</f>
        <v>13</v>
      </c>
      <c r="C81" s="2" cm="1">
        <f t="array" ref="C81" ca="1">INDEX(Data_DBD!$C:$C,$A81)</f>
        <v>3</v>
      </c>
      <c r="D81" s="2" cm="1">
        <f t="array" ref="D81" ca="1">INDEX(Data_DBD!$D:$D,$A81)</f>
        <v>33</v>
      </c>
      <c r="E81" s="2" cm="1">
        <f t="array" ref="E81" ca="1">INDEX(Data_DBD!$E:$E,$A81)</f>
        <v>1</v>
      </c>
      <c r="F81" s="2" t="str" cm="1">
        <f t="array" ref="F81" ca="1">INDEX(Data_DBD!$F:$F,$A81)</f>
        <v>Tinggi</v>
      </c>
      <c r="H81" s="2">
        <v>92</v>
      </c>
      <c r="I81" s="2">
        <v>55</v>
      </c>
      <c r="J81" s="2">
        <v>7</v>
      </c>
      <c r="K81" s="2">
        <v>18</v>
      </c>
      <c r="L81" s="2">
        <v>0</v>
      </c>
      <c r="M81" s="2" t="s">
        <v>97</v>
      </c>
    </row>
    <row r="82" spans="1:13">
      <c r="A82" s="2">
        <f t="shared" ca="1" si="1"/>
        <v>130</v>
      </c>
      <c r="B82" s="2" cm="1">
        <f t="array" ref="B82" ca="1">INDEX(Data_DBD!$B:$B,$A82)</f>
        <v>12</v>
      </c>
      <c r="C82" s="2" cm="1">
        <f t="array" ref="C82" ca="1">INDEX(Data_DBD!$C:$C,$A82)</f>
        <v>4</v>
      </c>
      <c r="D82" s="2" cm="1">
        <f t="array" ref="D82" ca="1">INDEX(Data_DBD!$D:$D,$A82)</f>
        <v>33</v>
      </c>
      <c r="E82" s="2" cm="1">
        <f t="array" ref="E82" ca="1">INDEX(Data_DBD!$E:$E,$A82)</f>
        <v>0</v>
      </c>
      <c r="F82" s="2" t="str" cm="1">
        <f t="array" ref="F82" ca="1">INDEX(Data_DBD!$F:$F,$A82)</f>
        <v>Tinggi</v>
      </c>
      <c r="H82" s="2">
        <v>65</v>
      </c>
      <c r="I82" s="2">
        <v>49</v>
      </c>
      <c r="J82" s="2">
        <v>3</v>
      </c>
      <c r="K82" s="2">
        <v>15</v>
      </c>
      <c r="L82" s="2">
        <v>0</v>
      </c>
      <c r="M82" s="2" t="s">
        <v>7</v>
      </c>
    </row>
    <row r="83" spans="1:13">
      <c r="A83" s="2">
        <f t="shared" ca="1" si="1"/>
        <v>69</v>
      </c>
      <c r="B83" s="2" cm="1">
        <f t="array" ref="B83" ca="1">INDEX(Data_DBD!$B:$B,$A83)</f>
        <v>24</v>
      </c>
      <c r="C83" s="2" cm="1">
        <f t="array" ref="C83" ca="1">INDEX(Data_DBD!$C:$C,$A83)</f>
        <v>4</v>
      </c>
      <c r="D83" s="2" cm="1">
        <f t="array" ref="D83" ca="1">INDEX(Data_DBD!$D:$D,$A83)</f>
        <v>10</v>
      </c>
      <c r="E83" s="2" cm="1">
        <f t="array" ref="E83" ca="1">INDEX(Data_DBD!$E:$E,$A83)</f>
        <v>1</v>
      </c>
      <c r="F83" s="2" t="str" cm="1">
        <f t="array" ref="F83" ca="1">INDEX(Data_DBD!$F:$F,$A83)</f>
        <v>Sedang</v>
      </c>
      <c r="H83" s="2">
        <v>90</v>
      </c>
      <c r="I83" s="2">
        <v>47</v>
      </c>
      <c r="J83" s="2">
        <v>3</v>
      </c>
      <c r="K83" s="2">
        <v>18</v>
      </c>
      <c r="L83" s="2">
        <v>0</v>
      </c>
      <c r="M83" s="2" t="s">
        <v>97</v>
      </c>
    </row>
    <row r="84" spans="1:13">
      <c r="A84" s="2">
        <f t="shared" ca="1" si="1"/>
        <v>12</v>
      </c>
      <c r="B84" s="2" cm="1">
        <f t="array" ref="B84" ca="1">INDEX(Data_DBD!$B:$B,$A84)</f>
        <v>23</v>
      </c>
      <c r="C84" s="2" cm="1">
        <f t="array" ref="C84" ca="1">INDEX(Data_DBD!$C:$C,$A84)</f>
        <v>3</v>
      </c>
      <c r="D84" s="2" cm="1">
        <f t="array" ref="D84" ca="1">INDEX(Data_DBD!$D:$D,$A84)</f>
        <v>12</v>
      </c>
      <c r="E84" s="2" cm="1">
        <f t="array" ref="E84" ca="1">INDEX(Data_DBD!$E:$E,$A84)</f>
        <v>0</v>
      </c>
      <c r="F84" s="2" t="str" cm="1">
        <f t="array" ref="F84" ca="1">INDEX(Data_DBD!$F:$F,$A84)</f>
        <v>Sedang</v>
      </c>
      <c r="H84" s="2">
        <v>93</v>
      </c>
      <c r="I84" s="2">
        <v>65</v>
      </c>
      <c r="J84" s="2">
        <v>4</v>
      </c>
      <c r="K84" s="2">
        <v>18</v>
      </c>
      <c r="L84" s="2">
        <v>0</v>
      </c>
      <c r="M84" s="2" t="s">
        <v>97</v>
      </c>
    </row>
    <row r="85" spans="1:13">
      <c r="A85" s="2">
        <f t="shared" ca="1" si="1"/>
        <v>152</v>
      </c>
      <c r="B85" s="2" cm="1">
        <f t="array" ref="B85" ca="1">INDEX(Data_DBD!$B:$B,$A85)</f>
        <v>47</v>
      </c>
      <c r="C85" s="2" cm="1">
        <f t="array" ref="C85" ca="1">INDEX(Data_DBD!$C:$C,$A85)</f>
        <v>3</v>
      </c>
      <c r="D85" s="2" cm="1">
        <f t="array" ref="D85" ca="1">INDEX(Data_DBD!$D:$D,$A85)</f>
        <v>21</v>
      </c>
      <c r="E85" s="2" cm="1">
        <f t="array" ref="E85" ca="1">INDEX(Data_DBD!$E:$E,$A85)</f>
        <v>1</v>
      </c>
      <c r="F85" s="2" t="str" cm="1">
        <f t="array" ref="F85" ca="1">INDEX(Data_DBD!$F:$F,$A85)</f>
        <v>Tinggi</v>
      </c>
      <c r="H85" s="2">
        <v>16</v>
      </c>
      <c r="I85" s="2">
        <v>66</v>
      </c>
      <c r="J85" s="2">
        <v>5</v>
      </c>
      <c r="K85" s="2">
        <v>7</v>
      </c>
      <c r="L85" s="2">
        <v>1</v>
      </c>
      <c r="M85" s="2" t="s">
        <v>20</v>
      </c>
    </row>
    <row r="86" spans="1:13">
      <c r="A86" s="2">
        <f t="shared" ca="1" si="1"/>
        <v>51</v>
      </c>
      <c r="B86" s="2" cm="1">
        <f t="array" ref="B86" ca="1">INDEX(Data_DBD!$B:$B,$A86)</f>
        <v>48</v>
      </c>
      <c r="C86" s="2" cm="1">
        <f t="array" ref="C86" ca="1">INDEX(Data_DBD!$C:$C,$A86)</f>
        <v>4</v>
      </c>
      <c r="D86" s="2" cm="1">
        <f t="array" ref="D86" ca="1">INDEX(Data_DBD!$D:$D,$A86)</f>
        <v>13</v>
      </c>
      <c r="E86" s="2" cm="1">
        <f t="array" ref="E86" ca="1">INDEX(Data_DBD!$E:$E,$A86)</f>
        <v>0</v>
      </c>
      <c r="F86" s="2" t="str" cm="1">
        <f t="array" ref="F86" ca="1">INDEX(Data_DBD!$F:$F,$A86)</f>
        <v>Sedang</v>
      </c>
      <c r="H86" s="2">
        <v>146</v>
      </c>
      <c r="I86" s="2">
        <v>34</v>
      </c>
      <c r="J86" s="2">
        <v>2</v>
      </c>
      <c r="K86" s="2">
        <v>21</v>
      </c>
      <c r="L86" s="2">
        <v>1</v>
      </c>
      <c r="M86" s="2" t="s">
        <v>97</v>
      </c>
    </row>
    <row r="87" spans="1:13">
      <c r="A87" s="2">
        <f t="shared" ca="1" si="1"/>
        <v>20</v>
      </c>
      <c r="B87" s="2" cm="1">
        <f t="array" ref="B87" ca="1">INDEX(Data_DBD!$B:$B,$A87)</f>
        <v>15</v>
      </c>
      <c r="C87" s="2" cm="1">
        <f t="array" ref="C87" ca="1">INDEX(Data_DBD!$C:$C,$A87)</f>
        <v>5</v>
      </c>
      <c r="D87" s="2" cm="1">
        <f t="array" ref="D87" ca="1">INDEX(Data_DBD!$D:$D,$A87)</f>
        <v>7</v>
      </c>
      <c r="E87" s="2" cm="1">
        <f t="array" ref="E87" ca="1">INDEX(Data_DBD!$E:$E,$A87)</f>
        <v>0</v>
      </c>
      <c r="F87" s="2" t="str" cm="1">
        <f t="array" ref="F87" ca="1">INDEX(Data_DBD!$F:$F,$A87)</f>
        <v>Rendah</v>
      </c>
      <c r="H87" s="2">
        <v>10</v>
      </c>
      <c r="I87" s="2">
        <v>18</v>
      </c>
      <c r="J87" s="2">
        <v>5</v>
      </c>
      <c r="K87" s="2">
        <v>12</v>
      </c>
      <c r="L87" s="2">
        <v>0</v>
      </c>
      <c r="M87" s="2" t="s">
        <v>7</v>
      </c>
    </row>
    <row r="88" spans="1:13">
      <c r="A88" s="2">
        <f t="shared" ca="1" si="1"/>
        <v>19</v>
      </c>
      <c r="B88" s="2" cm="1">
        <f t="array" ref="B88" ca="1">INDEX(Data_DBD!$B:$B,$A88)</f>
        <v>8</v>
      </c>
      <c r="C88" s="2" cm="1">
        <f t="array" ref="C88" ca="1">INDEX(Data_DBD!$C:$C,$A88)</f>
        <v>4</v>
      </c>
      <c r="D88" s="2" cm="1">
        <f t="array" ref="D88" ca="1">INDEX(Data_DBD!$D:$D,$A88)</f>
        <v>7</v>
      </c>
      <c r="E88" s="2" cm="1">
        <f t="array" ref="E88" ca="1">INDEX(Data_DBD!$E:$E,$A88)</f>
        <v>0</v>
      </c>
      <c r="F88" s="2" t="str" cm="1">
        <f t="array" ref="F88" ca="1">INDEX(Data_DBD!$F:$F,$A88)</f>
        <v>Rendah</v>
      </c>
      <c r="H88" s="2">
        <v>116</v>
      </c>
      <c r="I88" s="2">
        <v>32</v>
      </c>
      <c r="J88" s="2">
        <v>4</v>
      </c>
      <c r="K88" s="2">
        <v>33</v>
      </c>
      <c r="L88" s="2">
        <v>1</v>
      </c>
      <c r="M88" s="2" t="s">
        <v>97</v>
      </c>
    </row>
    <row r="89" spans="1:13">
      <c r="A89" s="2">
        <f t="shared" ca="1" si="1"/>
        <v>68</v>
      </c>
      <c r="B89" s="2" cm="1">
        <f t="array" ref="B89" ca="1">INDEX(Data_DBD!$B:$B,$A89)</f>
        <v>44</v>
      </c>
      <c r="C89" s="2" cm="1">
        <f t="array" ref="C89" ca="1">INDEX(Data_DBD!$C:$C,$A89)</f>
        <v>5</v>
      </c>
      <c r="D89" s="2" cm="1">
        <f t="array" ref="D89" ca="1">INDEX(Data_DBD!$D:$D,$A89)</f>
        <v>10</v>
      </c>
      <c r="E89" s="2" cm="1">
        <f t="array" ref="E89" ca="1">INDEX(Data_DBD!$E:$E,$A89)</f>
        <v>0</v>
      </c>
      <c r="F89" s="2" t="str" cm="1">
        <f t="array" ref="F89" ca="1">INDEX(Data_DBD!$F:$F,$A89)</f>
        <v>Sedang</v>
      </c>
      <c r="H89" s="2">
        <v>144</v>
      </c>
      <c r="I89" s="2">
        <v>61</v>
      </c>
      <c r="J89" s="2">
        <v>4</v>
      </c>
      <c r="K89" s="2">
        <v>21</v>
      </c>
      <c r="L89" s="2">
        <v>1</v>
      </c>
      <c r="M89" s="2" t="s">
        <v>97</v>
      </c>
    </row>
    <row r="90" spans="1:13">
      <c r="A90" s="2">
        <f t="shared" ca="1" si="1"/>
        <v>10</v>
      </c>
      <c r="B90" s="2" cm="1">
        <f t="array" ref="B90" ca="1">INDEX(Data_DBD!$B:$B,$A90)</f>
        <v>18</v>
      </c>
      <c r="C90" s="2" cm="1">
        <f t="array" ref="C90" ca="1">INDEX(Data_DBD!$C:$C,$A90)</f>
        <v>5</v>
      </c>
      <c r="D90" s="2" cm="1">
        <f t="array" ref="D90" ca="1">INDEX(Data_DBD!$D:$D,$A90)</f>
        <v>12</v>
      </c>
      <c r="E90" s="2" cm="1">
        <f t="array" ref="E90" ca="1">INDEX(Data_DBD!$E:$E,$A90)</f>
        <v>0</v>
      </c>
      <c r="F90" s="2" t="str" cm="1">
        <f t="array" ref="F90" ca="1">INDEX(Data_DBD!$F:$F,$A90)</f>
        <v>Sedang</v>
      </c>
      <c r="H90" s="2">
        <v>45</v>
      </c>
      <c r="I90" s="2">
        <v>75</v>
      </c>
      <c r="J90" s="2">
        <v>3</v>
      </c>
      <c r="K90" s="2">
        <v>13</v>
      </c>
      <c r="L90" s="2">
        <v>1</v>
      </c>
      <c r="M90" s="2" t="s">
        <v>7</v>
      </c>
    </row>
    <row r="91" spans="1:13">
      <c r="A91" s="2">
        <f t="shared" ca="1" si="1"/>
        <v>80</v>
      </c>
      <c r="B91" s="2" cm="1">
        <f t="array" ref="B91" ca="1">INDEX(Data_DBD!$B:$B,$A91)</f>
        <v>27</v>
      </c>
      <c r="C91" s="2" cm="1">
        <f t="array" ref="C91" ca="1">INDEX(Data_DBD!$C:$C,$A91)</f>
        <v>3</v>
      </c>
      <c r="D91" s="2" cm="1">
        <f t="array" ref="D91" ca="1">INDEX(Data_DBD!$D:$D,$A91)</f>
        <v>13</v>
      </c>
      <c r="E91" s="2" cm="1">
        <f t="array" ref="E91" ca="1">INDEX(Data_DBD!$E:$E,$A91)</f>
        <v>1</v>
      </c>
      <c r="F91" s="2" t="str" cm="1">
        <f t="array" ref="F91" ca="1">INDEX(Data_DBD!$F:$F,$A91)</f>
        <v>Sedang</v>
      </c>
      <c r="H91" s="2">
        <v>66</v>
      </c>
      <c r="I91" s="2">
        <v>21</v>
      </c>
      <c r="J91" s="2">
        <v>5</v>
      </c>
      <c r="K91" s="2">
        <v>15</v>
      </c>
      <c r="L91" s="2">
        <v>1</v>
      </c>
      <c r="M91" s="2" t="s">
        <v>7</v>
      </c>
    </row>
    <row r="92" spans="1:13">
      <c r="A92" s="2">
        <f t="shared" ca="1" si="1"/>
        <v>152</v>
      </c>
      <c r="B92" s="2" cm="1">
        <f t="array" ref="B92" ca="1">INDEX(Data_DBD!$B:$B,$A92)</f>
        <v>47</v>
      </c>
      <c r="C92" s="2" cm="1">
        <f t="array" ref="C92" ca="1">INDEX(Data_DBD!$C:$C,$A92)</f>
        <v>3</v>
      </c>
      <c r="D92" s="2" cm="1">
        <f t="array" ref="D92" ca="1">INDEX(Data_DBD!$D:$D,$A92)</f>
        <v>21</v>
      </c>
      <c r="E92" s="2" cm="1">
        <f t="array" ref="E92" ca="1">INDEX(Data_DBD!$E:$E,$A92)</f>
        <v>1</v>
      </c>
      <c r="F92" s="2" t="str" cm="1">
        <f t="array" ref="F92" ca="1">INDEX(Data_DBD!$F:$F,$A92)</f>
        <v>Tinggi</v>
      </c>
      <c r="H92" s="2">
        <v>41</v>
      </c>
      <c r="I92" s="2">
        <v>8</v>
      </c>
      <c r="J92" s="2">
        <v>4</v>
      </c>
      <c r="K92" s="2">
        <v>13</v>
      </c>
      <c r="L92" s="2">
        <v>0</v>
      </c>
      <c r="M92" s="2" t="s">
        <v>7</v>
      </c>
    </row>
    <row r="93" spans="1:13">
      <c r="A93" s="2">
        <f t="shared" ca="1" si="1"/>
        <v>68</v>
      </c>
      <c r="B93" s="2" cm="1">
        <f t="array" ref="B93" ca="1">INDEX(Data_DBD!$B:$B,$A93)</f>
        <v>44</v>
      </c>
      <c r="C93" s="2" cm="1">
        <f t="array" ref="C93" ca="1">INDEX(Data_DBD!$C:$C,$A93)</f>
        <v>5</v>
      </c>
      <c r="D93" s="2" cm="1">
        <f t="array" ref="D93" ca="1">INDEX(Data_DBD!$D:$D,$A93)</f>
        <v>10</v>
      </c>
      <c r="E93" s="2" cm="1">
        <f t="array" ref="E93" ca="1">INDEX(Data_DBD!$E:$E,$A93)</f>
        <v>0</v>
      </c>
      <c r="F93" s="2" t="str" cm="1">
        <f t="array" ref="F93" ca="1">INDEX(Data_DBD!$F:$F,$A93)</f>
        <v>Sedang</v>
      </c>
      <c r="H93" s="2">
        <v>83</v>
      </c>
      <c r="I93" s="2">
        <v>50</v>
      </c>
      <c r="J93" s="2">
        <v>3</v>
      </c>
      <c r="K93" s="2">
        <v>13</v>
      </c>
      <c r="L93" s="2">
        <v>0</v>
      </c>
      <c r="M93" s="2" t="s">
        <v>7</v>
      </c>
    </row>
    <row r="94" spans="1:13">
      <c r="A94" s="2">
        <f t="shared" ca="1" si="1"/>
        <v>74</v>
      </c>
      <c r="B94" s="2" cm="1">
        <f t="array" ref="B94" ca="1">INDEX(Data_DBD!$B:$B,$A94)</f>
        <v>9</v>
      </c>
      <c r="C94" s="2" cm="1">
        <f t="array" ref="C94" ca="1">INDEX(Data_DBD!$C:$C,$A94)</f>
        <v>4</v>
      </c>
      <c r="D94" s="2" cm="1">
        <f t="array" ref="D94" ca="1">INDEX(Data_DBD!$D:$D,$A94)</f>
        <v>10</v>
      </c>
      <c r="E94" s="2" cm="1">
        <f t="array" ref="E94" ca="1">INDEX(Data_DBD!$E:$E,$A94)</f>
        <v>0</v>
      </c>
      <c r="F94" s="2" t="str" cm="1">
        <f t="array" ref="F94" ca="1">INDEX(Data_DBD!$F:$F,$A94)</f>
        <v>Sedang</v>
      </c>
      <c r="H94" s="2">
        <v>82</v>
      </c>
      <c r="I94" s="2">
        <v>28</v>
      </c>
      <c r="J94" s="2">
        <v>3</v>
      </c>
      <c r="K94" s="2">
        <v>13</v>
      </c>
      <c r="L94" s="2">
        <v>1</v>
      </c>
      <c r="M94" s="2" t="s">
        <v>7</v>
      </c>
    </row>
    <row r="95" spans="1:13">
      <c r="A95" s="2">
        <f t="shared" ca="1" si="1"/>
        <v>130</v>
      </c>
      <c r="B95" s="2" cm="1">
        <f t="array" ref="B95" ca="1">INDEX(Data_DBD!$B:$B,$A95)</f>
        <v>12</v>
      </c>
      <c r="C95" s="2" cm="1">
        <f t="array" ref="C95" ca="1">INDEX(Data_DBD!$C:$C,$A95)</f>
        <v>4</v>
      </c>
      <c r="D95" s="2" cm="1">
        <f t="array" ref="D95" ca="1">INDEX(Data_DBD!$D:$D,$A95)</f>
        <v>33</v>
      </c>
      <c r="E95" s="2" cm="1">
        <f t="array" ref="E95" ca="1">INDEX(Data_DBD!$E:$E,$A95)</f>
        <v>0</v>
      </c>
      <c r="F95" s="2" t="str" cm="1">
        <f t="array" ref="F95" ca="1">INDEX(Data_DBD!$F:$F,$A95)</f>
        <v>Tinggi</v>
      </c>
      <c r="H95" s="2">
        <v>121</v>
      </c>
      <c r="I95" s="2">
        <v>82</v>
      </c>
      <c r="J95" s="2">
        <v>5</v>
      </c>
      <c r="K95" s="2">
        <v>33</v>
      </c>
      <c r="L95" s="2">
        <v>1</v>
      </c>
      <c r="M95" s="2" t="s">
        <v>97</v>
      </c>
    </row>
    <row r="96" spans="1:13">
      <c r="A96" s="2">
        <f t="shared" ca="1" si="1"/>
        <v>142</v>
      </c>
      <c r="B96" s="2" cm="1">
        <f t="array" ref="B96" ca="1">INDEX(Data_DBD!$B:$B,$A96)</f>
        <v>39</v>
      </c>
      <c r="C96" s="2" cm="1">
        <f t="array" ref="C96" ca="1">INDEX(Data_DBD!$C:$C,$A96)</f>
        <v>2</v>
      </c>
      <c r="D96" s="2" cm="1">
        <f t="array" ref="D96" ca="1">INDEX(Data_DBD!$D:$D,$A96)</f>
        <v>21</v>
      </c>
      <c r="E96" s="2" cm="1">
        <f t="array" ref="E96" ca="1">INDEX(Data_DBD!$E:$E,$A96)</f>
        <v>1</v>
      </c>
      <c r="F96" s="2" t="str" cm="1">
        <f t="array" ref="F96" ca="1">INDEX(Data_DBD!$F:$F,$A96)</f>
        <v>Tinggi</v>
      </c>
      <c r="H96" s="2">
        <v>51</v>
      </c>
      <c r="I96" s="2">
        <v>48</v>
      </c>
      <c r="J96" s="2">
        <v>4</v>
      </c>
      <c r="K96" s="2">
        <v>13</v>
      </c>
      <c r="L96" s="2">
        <v>0</v>
      </c>
      <c r="M96" s="2" t="s">
        <v>7</v>
      </c>
    </row>
    <row r="97" spans="1:13">
      <c r="A97" s="2">
        <f t="shared" ca="1" si="1"/>
        <v>127</v>
      </c>
      <c r="B97" s="2" cm="1">
        <f t="array" ref="B97" ca="1">INDEX(Data_DBD!$B:$B,$A97)</f>
        <v>21</v>
      </c>
      <c r="C97" s="2" cm="1">
        <f t="array" ref="C97" ca="1">INDEX(Data_DBD!$C:$C,$A97)</f>
        <v>2</v>
      </c>
      <c r="D97" s="2" cm="1">
        <f t="array" ref="D97" ca="1">INDEX(Data_DBD!$D:$D,$A97)</f>
        <v>33</v>
      </c>
      <c r="E97" s="2" cm="1">
        <f t="array" ref="E97" ca="1">INDEX(Data_DBD!$E:$E,$A97)</f>
        <v>0</v>
      </c>
      <c r="F97" s="2" t="str" cm="1">
        <f t="array" ref="F97" ca="1">INDEX(Data_DBD!$F:$F,$A97)</f>
        <v>Tinggi</v>
      </c>
      <c r="H97" s="2">
        <v>126</v>
      </c>
      <c r="I97" s="2">
        <v>51</v>
      </c>
      <c r="J97" s="2">
        <v>3</v>
      </c>
      <c r="K97" s="2">
        <v>33</v>
      </c>
      <c r="L97" s="2">
        <v>1</v>
      </c>
      <c r="M97" s="2" t="s">
        <v>97</v>
      </c>
    </row>
    <row r="98" spans="1:13">
      <c r="A98" s="2">
        <f t="shared" ca="1" si="1"/>
        <v>56</v>
      </c>
      <c r="B98" s="2" cm="1">
        <f t="array" ref="B98" ca="1">INDEX(Data_DBD!$B:$B,$A98)</f>
        <v>4</v>
      </c>
      <c r="C98" s="2" cm="1">
        <f t="array" ref="C98" ca="1">INDEX(Data_DBD!$C:$C,$A98)</f>
        <v>3</v>
      </c>
      <c r="D98" s="2" cm="1">
        <f t="array" ref="D98" ca="1">INDEX(Data_DBD!$D:$D,$A98)</f>
        <v>15</v>
      </c>
      <c r="E98" s="2" cm="1">
        <f t="array" ref="E98" ca="1">INDEX(Data_DBD!$E:$E,$A98)</f>
        <v>0</v>
      </c>
      <c r="F98" s="2" t="str" cm="1">
        <f t="array" ref="F98" ca="1">INDEX(Data_DBD!$F:$F,$A98)</f>
        <v>Sedang</v>
      </c>
      <c r="H98" s="2">
        <v>125</v>
      </c>
      <c r="I98" s="2">
        <v>39</v>
      </c>
      <c r="J98" s="2">
        <v>4</v>
      </c>
      <c r="K98" s="2">
        <v>33</v>
      </c>
      <c r="L98" s="2">
        <v>0</v>
      </c>
      <c r="M98" s="2" t="s">
        <v>97</v>
      </c>
    </row>
    <row r="99" spans="1:13">
      <c r="A99" s="2">
        <f t="shared" ca="1" si="1"/>
        <v>98</v>
      </c>
      <c r="B99" s="2" cm="1">
        <f t="array" ref="B99" ca="1">INDEX(Data_DBD!$B:$B,$A99)</f>
        <v>16</v>
      </c>
      <c r="C99" s="2" cm="1">
        <f t="array" ref="C99" ca="1">INDEX(Data_DBD!$C:$C,$A99)</f>
        <v>2</v>
      </c>
      <c r="D99" s="2" cm="1">
        <f t="array" ref="D99" ca="1">INDEX(Data_DBD!$D:$D,$A99)</f>
        <v>18</v>
      </c>
      <c r="E99" s="2" cm="1">
        <f t="array" ref="E99" ca="1">INDEX(Data_DBD!$E:$E,$A99)</f>
        <v>1</v>
      </c>
      <c r="F99" s="2" t="str" cm="1">
        <f t="array" ref="F99" ca="1">INDEX(Data_DBD!$F:$F,$A99)</f>
        <v>Tinggi</v>
      </c>
      <c r="H99" s="2">
        <v>39</v>
      </c>
      <c r="I99" s="2">
        <v>12</v>
      </c>
      <c r="J99" s="2">
        <v>5</v>
      </c>
      <c r="K99" s="2">
        <v>13</v>
      </c>
      <c r="L99" s="2">
        <v>1</v>
      </c>
      <c r="M99" s="2" t="s">
        <v>7</v>
      </c>
    </row>
    <row r="100" spans="1:13">
      <c r="A100" s="2">
        <f t="shared" ca="1" si="1"/>
        <v>19</v>
      </c>
      <c r="B100" s="2" cm="1">
        <f t="array" ref="B100" ca="1">INDEX(Data_DBD!$B:$B,$A100)</f>
        <v>8</v>
      </c>
      <c r="C100" s="2" cm="1">
        <f t="array" ref="C100" ca="1">INDEX(Data_DBD!$C:$C,$A100)</f>
        <v>4</v>
      </c>
      <c r="D100" s="2" cm="1">
        <f t="array" ref="D100" ca="1">INDEX(Data_DBD!$D:$D,$A100)</f>
        <v>7</v>
      </c>
      <c r="E100" s="2" cm="1">
        <f t="array" ref="E100" ca="1">INDEX(Data_DBD!$E:$E,$A100)</f>
        <v>0</v>
      </c>
      <c r="F100" s="2" t="str" cm="1">
        <f t="array" ref="F100" ca="1">INDEX(Data_DBD!$F:$F,$A100)</f>
        <v>Rendah</v>
      </c>
      <c r="H100" s="2">
        <v>8</v>
      </c>
      <c r="I100" s="2">
        <v>4</v>
      </c>
      <c r="J100" s="2">
        <v>2</v>
      </c>
      <c r="K100" s="2">
        <v>12</v>
      </c>
      <c r="L100" s="2">
        <v>0</v>
      </c>
      <c r="M100" s="2" t="s">
        <v>7</v>
      </c>
    </row>
    <row r="101" spans="1:13">
      <c r="A101" s="2">
        <f t="shared" ca="1" si="1"/>
        <v>34</v>
      </c>
      <c r="B101" s="2" cm="1">
        <f t="array" ref="B101" ca="1">INDEX(Data_DBD!$B:$B,$A101)</f>
        <v>55</v>
      </c>
      <c r="C101" s="2" cm="1">
        <f t="array" ref="C101" ca="1">INDEX(Data_DBD!$C:$C,$A101)</f>
        <v>3</v>
      </c>
      <c r="D101" s="2" cm="1">
        <f t="array" ref="D101" ca="1">INDEX(Data_DBD!$D:$D,$A101)</f>
        <v>14</v>
      </c>
      <c r="E101" s="2" cm="1">
        <f t="array" ref="E101" ca="1">INDEX(Data_DBD!$E:$E,$A101)</f>
        <v>0</v>
      </c>
      <c r="F101" s="2" t="str" cm="1">
        <f t="array" ref="F101" ca="1">INDEX(Data_DBD!$F:$F,$A101)</f>
        <v>Sedang</v>
      </c>
      <c r="H101" s="2">
        <v>14</v>
      </c>
      <c r="I101" s="2">
        <v>49</v>
      </c>
      <c r="J101" s="2">
        <v>4</v>
      </c>
      <c r="K101" s="2">
        <v>7</v>
      </c>
      <c r="L101" s="2">
        <v>1</v>
      </c>
      <c r="M101" s="2" t="s">
        <v>20</v>
      </c>
    </row>
    <row r="102" spans="1:13">
      <c r="A102" s="2">
        <f t="shared" ca="1" si="1"/>
        <v>12</v>
      </c>
      <c r="B102" s="2" cm="1">
        <f t="array" ref="B102" ca="1">INDEX(Data_DBD!$B:$B,$A102)</f>
        <v>23</v>
      </c>
      <c r="C102" s="2" cm="1">
        <f t="array" ref="C102" ca="1">INDEX(Data_DBD!$C:$C,$A102)</f>
        <v>3</v>
      </c>
      <c r="D102" s="2" cm="1">
        <f t="array" ref="D102" ca="1">INDEX(Data_DBD!$D:$D,$A102)</f>
        <v>12</v>
      </c>
      <c r="E102" s="2" cm="1">
        <f t="array" ref="E102" ca="1">INDEX(Data_DBD!$E:$E,$A102)</f>
        <v>0</v>
      </c>
      <c r="F102" s="2" t="str" cm="1">
        <f t="array" ref="F102" ca="1">INDEX(Data_DBD!$F:$F,$A102)</f>
        <v>Sedang</v>
      </c>
      <c r="H102" s="2">
        <v>135</v>
      </c>
      <c r="I102" s="2">
        <v>10</v>
      </c>
      <c r="J102" s="2">
        <v>2</v>
      </c>
      <c r="K102" s="2">
        <v>33</v>
      </c>
      <c r="L102" s="2">
        <v>0</v>
      </c>
      <c r="M102" s="2" t="s">
        <v>97</v>
      </c>
    </row>
    <row r="103" spans="1:13">
      <c r="A103" s="2">
        <f t="shared" ca="1" si="1"/>
        <v>36</v>
      </c>
      <c r="B103" s="2" cm="1">
        <f t="array" ref="B103" ca="1">INDEX(Data_DBD!$B:$B,$A103)</f>
        <v>27</v>
      </c>
      <c r="C103" s="2" cm="1">
        <f t="array" ref="C103" ca="1">INDEX(Data_DBD!$C:$C,$A103)</f>
        <v>1</v>
      </c>
      <c r="D103" s="2" cm="1">
        <f t="array" ref="D103" ca="1">INDEX(Data_DBD!$D:$D,$A103)</f>
        <v>4</v>
      </c>
      <c r="E103" s="2" cm="1">
        <f t="array" ref="E103" ca="1">INDEX(Data_DBD!$E:$E,$A103)</f>
        <v>1</v>
      </c>
      <c r="F103" s="2" t="str" cm="1">
        <f t="array" ref="F103" ca="1">INDEX(Data_DBD!$F:$F,$A103)</f>
        <v>Rendah</v>
      </c>
      <c r="H103" s="2">
        <v>80</v>
      </c>
      <c r="I103" s="2">
        <v>27</v>
      </c>
      <c r="J103" s="2">
        <v>3</v>
      </c>
      <c r="K103" s="2">
        <v>13</v>
      </c>
      <c r="L103" s="2">
        <v>1</v>
      </c>
      <c r="M103" s="2" t="s">
        <v>7</v>
      </c>
    </row>
    <row r="104" spans="1:13">
      <c r="A104" s="2">
        <f t="shared" ca="1" si="1"/>
        <v>60</v>
      </c>
      <c r="B104" s="2" cm="1">
        <f t="array" ref="B104" ca="1">INDEX(Data_DBD!$B:$B,$A104)</f>
        <v>68</v>
      </c>
      <c r="C104" s="2" cm="1">
        <f t="array" ref="C104" ca="1">INDEX(Data_DBD!$C:$C,$A104)</f>
        <v>4</v>
      </c>
      <c r="D104" s="2" cm="1">
        <f t="array" ref="D104" ca="1">INDEX(Data_DBD!$D:$D,$A104)</f>
        <v>15</v>
      </c>
      <c r="E104" s="2" cm="1">
        <f t="array" ref="E104" ca="1">INDEX(Data_DBD!$E:$E,$A104)</f>
        <v>0</v>
      </c>
      <c r="F104" s="2" t="str" cm="1">
        <f t="array" ref="F104" ca="1">INDEX(Data_DBD!$F:$F,$A104)</f>
        <v>Sedang</v>
      </c>
      <c r="H104" s="2">
        <v>53</v>
      </c>
      <c r="I104" s="2">
        <v>35</v>
      </c>
      <c r="J104" s="2">
        <v>4</v>
      </c>
      <c r="K104" s="2">
        <v>15</v>
      </c>
      <c r="L104" s="2">
        <v>1</v>
      </c>
      <c r="M104" s="2" t="s">
        <v>7</v>
      </c>
    </row>
    <row r="105" spans="1:13">
      <c r="A105" s="2">
        <f t="shared" ca="1" si="1"/>
        <v>148</v>
      </c>
      <c r="B105" s="2" cm="1">
        <f t="array" ref="B105" ca="1">INDEX(Data_DBD!$B:$B,$A105)</f>
        <v>55</v>
      </c>
      <c r="C105" s="2" cm="1">
        <f t="array" ref="C105" ca="1">INDEX(Data_DBD!$C:$C,$A105)</f>
        <v>3</v>
      </c>
      <c r="D105" s="2" cm="1">
        <f t="array" ref="D105" ca="1">INDEX(Data_DBD!$D:$D,$A105)</f>
        <v>21</v>
      </c>
      <c r="E105" s="2" cm="1">
        <f t="array" ref="E105" ca="1">INDEX(Data_DBD!$E:$E,$A105)</f>
        <v>1</v>
      </c>
      <c r="F105" s="2" t="str" cm="1">
        <f t="array" ref="F105" ca="1">INDEX(Data_DBD!$F:$F,$A105)</f>
        <v>Tinggi</v>
      </c>
      <c r="H105" s="2">
        <v>84</v>
      </c>
      <c r="I105" s="2">
        <v>42</v>
      </c>
      <c r="J105" s="2">
        <v>4</v>
      </c>
      <c r="K105" s="2">
        <v>13</v>
      </c>
      <c r="L105" s="2">
        <v>1</v>
      </c>
      <c r="M105" s="2" t="s">
        <v>7</v>
      </c>
    </row>
    <row r="106" spans="1:13">
      <c r="A106" s="2">
        <f t="shared" ca="1" si="1"/>
        <v>6</v>
      </c>
      <c r="B106" s="2" cm="1">
        <f t="array" ref="B106" ca="1">INDEX(Data_DBD!$B:$B,$A106)</f>
        <v>14</v>
      </c>
      <c r="C106" s="2" cm="1">
        <f t="array" ref="C106" ca="1">INDEX(Data_DBD!$C:$C,$A106)</f>
        <v>4</v>
      </c>
      <c r="D106" s="2" cm="1">
        <f t="array" ref="D106" ca="1">INDEX(Data_DBD!$D:$D,$A106)</f>
        <v>12</v>
      </c>
      <c r="E106" s="2" cm="1">
        <f t="array" ref="E106" ca="1">INDEX(Data_DBD!$E:$E,$A106)</f>
        <v>0</v>
      </c>
      <c r="F106" s="2" t="str" cm="1">
        <f t="array" ref="F106" ca="1">INDEX(Data_DBD!$F:$F,$A106)</f>
        <v>Sedang</v>
      </c>
      <c r="H106" s="2">
        <v>81</v>
      </c>
      <c r="I106" s="2">
        <v>23</v>
      </c>
      <c r="J106" s="2">
        <v>5</v>
      </c>
      <c r="K106" s="2">
        <v>13</v>
      </c>
      <c r="L106" s="2">
        <v>1</v>
      </c>
      <c r="M106" s="2" t="s">
        <v>7</v>
      </c>
    </row>
    <row r="107" spans="1:13">
      <c r="A107" s="2">
        <f t="shared" ca="1" si="1"/>
        <v>83</v>
      </c>
      <c r="B107" s="2" cm="1">
        <f t="array" ref="B107" ca="1">INDEX(Data_DBD!$B:$B,$A107)</f>
        <v>50</v>
      </c>
      <c r="C107" s="2" cm="1">
        <f t="array" ref="C107" ca="1">INDEX(Data_DBD!$C:$C,$A107)</f>
        <v>3</v>
      </c>
      <c r="D107" s="2" cm="1">
        <f t="array" ref="D107" ca="1">INDEX(Data_DBD!$D:$D,$A107)</f>
        <v>13</v>
      </c>
      <c r="E107" s="2" cm="1">
        <f t="array" ref="E107" ca="1">INDEX(Data_DBD!$E:$E,$A107)</f>
        <v>0</v>
      </c>
      <c r="F107" s="2" t="str" cm="1">
        <f t="array" ref="F107" ca="1">INDEX(Data_DBD!$F:$F,$A107)</f>
        <v>Sedang</v>
      </c>
      <c r="H107" s="2">
        <v>12</v>
      </c>
      <c r="I107" s="2">
        <v>23</v>
      </c>
      <c r="J107" s="2">
        <v>3</v>
      </c>
      <c r="K107" s="2">
        <v>12</v>
      </c>
      <c r="L107" s="2">
        <v>0</v>
      </c>
      <c r="M107" s="2" t="s">
        <v>7</v>
      </c>
    </row>
    <row r="108" spans="1:13">
      <c r="A108" s="2">
        <f t="shared" ca="1" si="1"/>
        <v>39</v>
      </c>
      <c r="B108" s="2" cm="1">
        <f t="array" ref="B108" ca="1">INDEX(Data_DBD!$B:$B,$A108)</f>
        <v>12</v>
      </c>
      <c r="C108" s="2" cm="1">
        <f t="array" ref="C108" ca="1">INDEX(Data_DBD!$C:$C,$A108)</f>
        <v>5</v>
      </c>
      <c r="D108" s="2" cm="1">
        <f t="array" ref="D108" ca="1">INDEX(Data_DBD!$D:$D,$A108)</f>
        <v>13</v>
      </c>
      <c r="E108" s="2" cm="1">
        <f t="array" ref="E108" ca="1">INDEX(Data_DBD!$E:$E,$A108)</f>
        <v>1</v>
      </c>
      <c r="F108" s="2" t="str" cm="1">
        <f t="array" ref="F108" ca="1">INDEX(Data_DBD!$F:$F,$A108)</f>
        <v>Sedang</v>
      </c>
      <c r="H108" s="2">
        <v>115</v>
      </c>
      <c r="I108" s="2">
        <v>52</v>
      </c>
      <c r="J108" s="2">
        <v>3</v>
      </c>
      <c r="K108" s="2">
        <v>33</v>
      </c>
      <c r="L108" s="2">
        <v>1</v>
      </c>
      <c r="M108" s="2" t="s">
        <v>97</v>
      </c>
    </row>
    <row r="109" spans="1:13">
      <c r="A109" s="2">
        <f t="shared" ca="1" si="1"/>
        <v>125</v>
      </c>
      <c r="B109" s="2" cm="1">
        <f t="array" ref="B109" ca="1">INDEX(Data_DBD!$B:$B,$A109)</f>
        <v>39</v>
      </c>
      <c r="C109" s="2" cm="1">
        <f t="array" ref="C109" ca="1">INDEX(Data_DBD!$C:$C,$A109)</f>
        <v>4</v>
      </c>
      <c r="D109" s="2" cm="1">
        <f t="array" ref="D109" ca="1">INDEX(Data_DBD!$D:$D,$A109)</f>
        <v>33</v>
      </c>
      <c r="E109" s="2" cm="1">
        <f t="array" ref="E109" ca="1">INDEX(Data_DBD!$E:$E,$A109)</f>
        <v>0</v>
      </c>
      <c r="F109" s="2" t="str" cm="1">
        <f t="array" ref="F109" ca="1">INDEX(Data_DBD!$F:$F,$A109)</f>
        <v>Tinggi</v>
      </c>
      <c r="H109" s="2">
        <v>107</v>
      </c>
      <c r="I109" s="2">
        <v>48</v>
      </c>
      <c r="J109" s="2">
        <v>5</v>
      </c>
      <c r="K109" s="2">
        <v>18</v>
      </c>
      <c r="L109" s="2">
        <v>0</v>
      </c>
      <c r="M109" s="2" t="s">
        <v>97</v>
      </c>
    </row>
    <row r="110" spans="1:13">
      <c r="A110" s="2">
        <f t="shared" ca="1" si="1"/>
        <v>124</v>
      </c>
      <c r="B110" s="2" cm="1">
        <f t="array" ref="B110" ca="1">INDEX(Data_DBD!$B:$B,$A110)</f>
        <v>24</v>
      </c>
      <c r="C110" s="2" cm="1">
        <f t="array" ref="C110" ca="1">INDEX(Data_DBD!$C:$C,$A110)</f>
        <v>3</v>
      </c>
      <c r="D110" s="2" cm="1">
        <f t="array" ref="D110" ca="1">INDEX(Data_DBD!$D:$D,$A110)</f>
        <v>33</v>
      </c>
      <c r="E110" s="2" cm="1">
        <f t="array" ref="E110" ca="1">INDEX(Data_DBD!$E:$E,$A110)</f>
        <v>1</v>
      </c>
      <c r="F110" s="2" t="str" cm="1">
        <f t="array" ref="F110" ca="1">INDEX(Data_DBD!$F:$F,$A110)</f>
        <v>Tinggi</v>
      </c>
      <c r="H110" s="2">
        <v>76</v>
      </c>
      <c r="I110" s="2">
        <v>70</v>
      </c>
      <c r="J110" s="2">
        <v>2</v>
      </c>
      <c r="K110" s="2">
        <v>10</v>
      </c>
      <c r="L110" s="2">
        <v>0</v>
      </c>
      <c r="M110" s="2" t="s">
        <v>7</v>
      </c>
    </row>
    <row r="111" spans="1:13">
      <c r="A111" s="2">
        <f t="shared" ca="1" si="1"/>
        <v>119</v>
      </c>
      <c r="B111" s="2" cm="1">
        <f t="array" ref="B111" ca="1">INDEX(Data_DBD!$B:$B,$A111)</f>
        <v>30</v>
      </c>
      <c r="C111" s="2" cm="1">
        <f t="array" ref="C111" ca="1">INDEX(Data_DBD!$C:$C,$A111)</f>
        <v>7</v>
      </c>
      <c r="D111" s="2" cm="1">
        <f t="array" ref="D111" ca="1">INDEX(Data_DBD!$D:$D,$A111)</f>
        <v>33</v>
      </c>
      <c r="E111" s="2" cm="1">
        <f t="array" ref="E111" ca="1">INDEX(Data_DBD!$E:$E,$A111)</f>
        <v>0</v>
      </c>
      <c r="F111" s="2" t="str" cm="1">
        <f t="array" ref="F111" ca="1">INDEX(Data_DBD!$F:$F,$A111)</f>
        <v>Tinggi</v>
      </c>
      <c r="H111" s="2">
        <v>84</v>
      </c>
      <c r="I111" s="2">
        <v>42</v>
      </c>
      <c r="J111" s="2">
        <v>4</v>
      </c>
      <c r="K111" s="2">
        <v>13</v>
      </c>
      <c r="L111" s="2">
        <v>1</v>
      </c>
      <c r="M111" s="2" t="s">
        <v>7</v>
      </c>
    </row>
    <row r="112" spans="1:13">
      <c r="A112" s="2">
        <f t="shared" ca="1" si="1"/>
        <v>137</v>
      </c>
      <c r="B112" s="2" cm="1">
        <f t="array" ref="B112" ca="1">INDEX(Data_DBD!$B:$B,$A112)</f>
        <v>3</v>
      </c>
      <c r="C112" s="2" cm="1">
        <f t="array" ref="C112" ca="1">INDEX(Data_DBD!$C:$C,$A112)</f>
        <v>1</v>
      </c>
      <c r="D112" s="2" cm="1">
        <f t="array" ref="D112" ca="1">INDEX(Data_DBD!$D:$D,$A112)</f>
        <v>33</v>
      </c>
      <c r="E112" s="2" cm="1">
        <f t="array" ref="E112" ca="1">INDEX(Data_DBD!$E:$E,$A112)</f>
        <v>1</v>
      </c>
      <c r="F112" s="2" t="str" cm="1">
        <f t="array" ref="F112" ca="1">INDEX(Data_DBD!$F:$F,$A112)</f>
        <v>Tinggi</v>
      </c>
      <c r="H112" s="2">
        <v>60</v>
      </c>
      <c r="I112" s="2">
        <v>68</v>
      </c>
      <c r="J112" s="2">
        <v>4</v>
      </c>
      <c r="K112" s="2">
        <v>15</v>
      </c>
      <c r="L112" s="2">
        <v>0</v>
      </c>
      <c r="M112" s="2" t="s">
        <v>7</v>
      </c>
    </row>
    <row r="113" spans="1:13">
      <c r="A113" s="2">
        <f t="shared" ca="1" si="1"/>
        <v>115</v>
      </c>
      <c r="B113" s="2" cm="1">
        <f t="array" ref="B113" ca="1">INDEX(Data_DBD!$B:$B,$A113)</f>
        <v>52</v>
      </c>
      <c r="C113" s="2" cm="1">
        <f t="array" ref="C113" ca="1">INDEX(Data_DBD!$C:$C,$A113)</f>
        <v>3</v>
      </c>
      <c r="D113" s="2" cm="1">
        <f t="array" ref="D113" ca="1">INDEX(Data_DBD!$D:$D,$A113)</f>
        <v>33</v>
      </c>
      <c r="E113" s="2" cm="1">
        <f t="array" ref="E113" ca="1">INDEX(Data_DBD!$E:$E,$A113)</f>
        <v>1</v>
      </c>
      <c r="F113" s="2" t="str" cm="1">
        <f t="array" ref="F113" ca="1">INDEX(Data_DBD!$F:$F,$A113)</f>
        <v>Tinggi</v>
      </c>
      <c r="H113" s="2">
        <v>86</v>
      </c>
      <c r="I113" s="2">
        <v>23</v>
      </c>
      <c r="J113" s="2">
        <v>3</v>
      </c>
      <c r="K113" s="2">
        <v>13</v>
      </c>
      <c r="L113" s="2">
        <v>0</v>
      </c>
      <c r="M113" s="2" t="s">
        <v>7</v>
      </c>
    </row>
    <row r="114" spans="1:13">
      <c r="A114" s="2">
        <f t="shared" ca="1" si="1"/>
        <v>2</v>
      </c>
      <c r="B114" s="2" cm="1">
        <f t="array" ref="B114" ca="1">INDEX(Data_DBD!$B:$B,$A114)</f>
        <v>34</v>
      </c>
      <c r="C114" s="2" cm="1">
        <f t="array" ref="C114" ca="1">INDEX(Data_DBD!$C:$C,$A114)</f>
        <v>3</v>
      </c>
      <c r="D114" s="2" cm="1">
        <f t="array" ref="D114" ca="1">INDEX(Data_DBD!$D:$D,$A114)</f>
        <v>12</v>
      </c>
      <c r="E114" s="2" cm="1">
        <f t="array" ref="E114" ca="1">INDEX(Data_DBD!$E:$E,$A114)</f>
        <v>0</v>
      </c>
      <c r="F114" s="2" t="str" cm="1">
        <f t="array" ref="F114" ca="1">INDEX(Data_DBD!$F:$F,$A114)</f>
        <v>Sedang</v>
      </c>
      <c r="H114" s="2">
        <v>134</v>
      </c>
      <c r="I114" s="2">
        <v>4</v>
      </c>
      <c r="J114" s="2">
        <v>2</v>
      </c>
      <c r="K114" s="2">
        <v>33</v>
      </c>
      <c r="L114" s="2">
        <v>1</v>
      </c>
      <c r="M114" s="2" t="s">
        <v>97</v>
      </c>
    </row>
    <row r="115" spans="1:13">
      <c r="A115" s="2">
        <f t="shared" ca="1" si="1"/>
        <v>93</v>
      </c>
      <c r="B115" s="2" cm="1">
        <f t="array" ref="B115" ca="1">INDEX(Data_DBD!$B:$B,$A115)</f>
        <v>65</v>
      </c>
      <c r="C115" s="2" cm="1">
        <f t="array" ref="C115" ca="1">INDEX(Data_DBD!$C:$C,$A115)</f>
        <v>4</v>
      </c>
      <c r="D115" s="2" cm="1">
        <f t="array" ref="D115" ca="1">INDEX(Data_DBD!$D:$D,$A115)</f>
        <v>18</v>
      </c>
      <c r="E115" s="2" cm="1">
        <f t="array" ref="E115" ca="1">INDEX(Data_DBD!$E:$E,$A115)</f>
        <v>0</v>
      </c>
      <c r="F115" s="2" t="str" cm="1">
        <f t="array" ref="F115" ca="1">INDEX(Data_DBD!$F:$F,$A115)</f>
        <v>Tinggi</v>
      </c>
      <c r="H115" s="2">
        <v>163</v>
      </c>
      <c r="I115" s="2">
        <v>34</v>
      </c>
      <c r="J115" s="2">
        <v>4</v>
      </c>
      <c r="K115" s="2">
        <v>3</v>
      </c>
      <c r="L115" s="2">
        <v>1</v>
      </c>
      <c r="M115" s="2" t="s">
        <v>20</v>
      </c>
    </row>
    <row r="116" spans="1:13">
      <c r="A116" s="2">
        <f t="shared" ca="1" si="1"/>
        <v>137</v>
      </c>
      <c r="B116" s="2" cm="1">
        <f t="array" ref="B116" ca="1">INDEX(Data_DBD!$B:$B,$A116)</f>
        <v>3</v>
      </c>
      <c r="C116" s="2" cm="1">
        <f t="array" ref="C116" ca="1">INDEX(Data_DBD!$C:$C,$A116)</f>
        <v>1</v>
      </c>
      <c r="D116" s="2" cm="1">
        <f t="array" ref="D116" ca="1">INDEX(Data_DBD!$D:$D,$A116)</f>
        <v>33</v>
      </c>
      <c r="E116" s="2" cm="1">
        <f t="array" ref="E116" ca="1">INDEX(Data_DBD!$E:$E,$A116)</f>
        <v>1</v>
      </c>
      <c r="F116" s="2" t="str" cm="1">
        <f t="array" ref="F116" ca="1">INDEX(Data_DBD!$F:$F,$A116)</f>
        <v>Tinggi</v>
      </c>
      <c r="H116" s="2">
        <v>115</v>
      </c>
      <c r="I116" s="2">
        <v>52</v>
      </c>
      <c r="J116" s="2">
        <v>3</v>
      </c>
      <c r="K116" s="2">
        <v>33</v>
      </c>
      <c r="L116" s="2">
        <v>1</v>
      </c>
      <c r="M116" s="2" t="s">
        <v>97</v>
      </c>
    </row>
    <row r="117" spans="1:13">
      <c r="A117" s="2">
        <f t="shared" ca="1" si="1"/>
        <v>81</v>
      </c>
      <c r="B117" s="2" cm="1">
        <f t="array" ref="B117" ca="1">INDEX(Data_DBD!$B:$B,$A117)</f>
        <v>23</v>
      </c>
      <c r="C117" s="2" cm="1">
        <f t="array" ref="C117" ca="1">INDEX(Data_DBD!$C:$C,$A117)</f>
        <v>5</v>
      </c>
      <c r="D117" s="2" cm="1">
        <f t="array" ref="D117" ca="1">INDEX(Data_DBD!$D:$D,$A117)</f>
        <v>13</v>
      </c>
      <c r="E117" s="2" cm="1">
        <f t="array" ref="E117" ca="1">INDEX(Data_DBD!$E:$E,$A117)</f>
        <v>1</v>
      </c>
      <c r="F117" s="2" t="str" cm="1">
        <f t="array" ref="F117" ca="1">INDEX(Data_DBD!$F:$F,$A117)</f>
        <v>Sedang</v>
      </c>
      <c r="H117" s="2">
        <v>21</v>
      </c>
      <c r="I117" s="2">
        <v>10</v>
      </c>
      <c r="J117" s="2">
        <v>5</v>
      </c>
      <c r="K117" s="2">
        <v>14</v>
      </c>
      <c r="L117" s="2">
        <v>1</v>
      </c>
      <c r="M117" s="2" t="s">
        <v>7</v>
      </c>
    </row>
    <row r="118" spans="1:13">
      <c r="A118" s="2">
        <f t="shared" ca="1" si="1"/>
        <v>141</v>
      </c>
      <c r="B118" s="2" cm="1">
        <f t="array" ref="B118" ca="1">INDEX(Data_DBD!$B:$B,$A118)</f>
        <v>36</v>
      </c>
      <c r="C118" s="2" cm="1">
        <f t="array" ref="C118" ca="1">INDEX(Data_DBD!$C:$C,$A118)</f>
        <v>2</v>
      </c>
      <c r="D118" s="2" cm="1">
        <f t="array" ref="D118" ca="1">INDEX(Data_DBD!$D:$D,$A118)</f>
        <v>21</v>
      </c>
      <c r="E118" s="2" cm="1">
        <f t="array" ref="E118" ca="1">INDEX(Data_DBD!$E:$E,$A118)</f>
        <v>0</v>
      </c>
      <c r="F118" s="2" t="str" cm="1">
        <f t="array" ref="F118" ca="1">INDEX(Data_DBD!$F:$F,$A118)</f>
        <v>Tinggi</v>
      </c>
      <c r="H118" s="2">
        <v>145</v>
      </c>
      <c r="I118" s="2">
        <v>28</v>
      </c>
      <c r="J118" s="2">
        <v>4</v>
      </c>
      <c r="K118" s="2">
        <v>21</v>
      </c>
      <c r="L118" s="2">
        <v>1</v>
      </c>
      <c r="M118" s="2" t="s">
        <v>97</v>
      </c>
    </row>
    <row r="119" spans="1:13">
      <c r="A119" s="2">
        <f t="shared" ca="1" si="1"/>
        <v>105</v>
      </c>
      <c r="B119" s="2" cm="1">
        <f t="array" ref="B119" ca="1">INDEX(Data_DBD!$B:$B,$A119)</f>
        <v>61</v>
      </c>
      <c r="C119" s="2" cm="1">
        <f t="array" ref="C119" ca="1">INDEX(Data_DBD!$C:$C,$A119)</f>
        <v>3</v>
      </c>
      <c r="D119" s="2" cm="1">
        <f t="array" ref="D119" ca="1">INDEX(Data_DBD!$D:$D,$A119)</f>
        <v>18</v>
      </c>
      <c r="E119" s="2" cm="1">
        <f t="array" ref="E119" ca="1">INDEX(Data_DBD!$E:$E,$A119)</f>
        <v>1</v>
      </c>
      <c r="F119" s="2" t="str" cm="1">
        <f t="array" ref="F119" ca="1">INDEX(Data_DBD!$F:$F,$A119)</f>
        <v>Tinggi</v>
      </c>
      <c r="H119" s="2">
        <v>117</v>
      </c>
      <c r="I119" s="2">
        <v>49</v>
      </c>
      <c r="J119" s="2">
        <v>4</v>
      </c>
      <c r="K119" s="2">
        <v>33</v>
      </c>
      <c r="L119" s="2">
        <v>1</v>
      </c>
      <c r="M119" s="2" t="s">
        <v>97</v>
      </c>
    </row>
    <row r="120" spans="1:13">
      <c r="A120" s="2">
        <f t="shared" ca="1" si="1"/>
        <v>135</v>
      </c>
      <c r="B120" s="2" cm="1">
        <f t="array" ref="B120" ca="1">INDEX(Data_DBD!$B:$B,$A120)</f>
        <v>10</v>
      </c>
      <c r="C120" s="2" cm="1">
        <f t="array" ref="C120" ca="1">INDEX(Data_DBD!$C:$C,$A120)</f>
        <v>2</v>
      </c>
      <c r="D120" s="2" cm="1">
        <f t="array" ref="D120" ca="1">INDEX(Data_DBD!$D:$D,$A120)</f>
        <v>33</v>
      </c>
      <c r="E120" s="2" cm="1">
        <f t="array" ref="E120" ca="1">INDEX(Data_DBD!$E:$E,$A120)</f>
        <v>0</v>
      </c>
      <c r="F120" s="2" t="str" cm="1">
        <f t="array" ref="F120" ca="1">INDEX(Data_DBD!$F:$F,$A120)</f>
        <v>Tinggi</v>
      </c>
      <c r="H120" s="2">
        <v>93</v>
      </c>
      <c r="I120" s="2">
        <v>65</v>
      </c>
      <c r="J120" s="2">
        <v>4</v>
      </c>
      <c r="K120" s="2">
        <v>18</v>
      </c>
      <c r="L120" s="2">
        <v>0</v>
      </c>
      <c r="M120" s="2" t="s">
        <v>97</v>
      </c>
    </row>
    <row r="121" spans="1:13">
      <c r="A121" s="2">
        <f t="shared" ca="1" si="1"/>
        <v>98</v>
      </c>
      <c r="B121" s="2" cm="1">
        <f t="array" ref="B121" ca="1">INDEX(Data_DBD!$B:$B,$A121)</f>
        <v>16</v>
      </c>
      <c r="C121" s="2" cm="1">
        <f t="array" ref="C121" ca="1">INDEX(Data_DBD!$C:$C,$A121)</f>
        <v>2</v>
      </c>
      <c r="D121" s="2" cm="1">
        <f t="array" ref="D121" ca="1">INDEX(Data_DBD!$D:$D,$A121)</f>
        <v>18</v>
      </c>
      <c r="E121" s="2" cm="1">
        <f t="array" ref="E121" ca="1">INDEX(Data_DBD!$E:$E,$A121)</f>
        <v>1</v>
      </c>
      <c r="F121" s="2" t="str" cm="1">
        <f t="array" ref="F121" ca="1">INDEX(Data_DBD!$F:$F,$A121)</f>
        <v>Tinggi</v>
      </c>
      <c r="H121" s="2">
        <v>78</v>
      </c>
      <c r="I121" s="2">
        <v>6</v>
      </c>
      <c r="J121" s="2">
        <v>3</v>
      </c>
      <c r="K121" s="2">
        <v>13</v>
      </c>
      <c r="L121" s="2">
        <v>0</v>
      </c>
      <c r="M121" s="2" t="s">
        <v>7</v>
      </c>
    </row>
    <row r="122" spans="1:13">
      <c r="A122" s="2">
        <f t="shared" ca="1" si="1"/>
        <v>135</v>
      </c>
      <c r="B122" s="2" cm="1">
        <f t="array" ref="B122" ca="1">INDEX(Data_DBD!$B:$B,$A122)</f>
        <v>10</v>
      </c>
      <c r="C122" s="2" cm="1">
        <f t="array" ref="C122" ca="1">INDEX(Data_DBD!$C:$C,$A122)</f>
        <v>2</v>
      </c>
      <c r="D122" s="2" cm="1">
        <f t="array" ref="D122" ca="1">INDEX(Data_DBD!$D:$D,$A122)</f>
        <v>33</v>
      </c>
      <c r="E122" s="2" cm="1">
        <f t="array" ref="E122" ca="1">INDEX(Data_DBD!$E:$E,$A122)</f>
        <v>0</v>
      </c>
      <c r="F122" s="2" t="str" cm="1">
        <f t="array" ref="F122" ca="1">INDEX(Data_DBD!$F:$F,$A122)</f>
        <v>Tinggi</v>
      </c>
      <c r="H122" s="2">
        <v>27</v>
      </c>
      <c r="I122" s="2">
        <v>37</v>
      </c>
      <c r="J122" s="2">
        <v>4</v>
      </c>
      <c r="K122" s="2">
        <v>14</v>
      </c>
      <c r="L122" s="2">
        <v>1</v>
      </c>
      <c r="M122" s="2" t="s">
        <v>7</v>
      </c>
    </row>
    <row r="123" spans="1:13">
      <c r="A123" s="2">
        <f t="shared" ca="1" si="1"/>
        <v>84</v>
      </c>
      <c r="B123" s="2" cm="1">
        <f t="array" ref="B123" ca="1">INDEX(Data_DBD!$B:$B,$A123)</f>
        <v>42</v>
      </c>
      <c r="C123" s="2" cm="1">
        <f t="array" ref="C123" ca="1">INDEX(Data_DBD!$C:$C,$A123)</f>
        <v>4</v>
      </c>
      <c r="D123" s="2" cm="1">
        <f t="array" ref="D123" ca="1">INDEX(Data_DBD!$D:$D,$A123)</f>
        <v>13</v>
      </c>
      <c r="E123" s="2" cm="1">
        <f t="array" ref="E123" ca="1">INDEX(Data_DBD!$E:$E,$A123)</f>
        <v>1</v>
      </c>
      <c r="F123" s="2" t="str" cm="1">
        <f t="array" ref="F123" ca="1">INDEX(Data_DBD!$F:$F,$A123)</f>
        <v>Sedang</v>
      </c>
      <c r="H123" s="2">
        <v>79</v>
      </c>
      <c r="I123" s="2">
        <v>29</v>
      </c>
      <c r="J123" s="2">
        <v>3</v>
      </c>
      <c r="K123" s="2">
        <v>13</v>
      </c>
      <c r="L123" s="2">
        <v>0</v>
      </c>
      <c r="M123" s="2" t="s">
        <v>7</v>
      </c>
    </row>
    <row r="124" spans="1:13">
      <c r="A124" s="2">
        <f t="shared" ca="1" si="1"/>
        <v>159</v>
      </c>
      <c r="B124" s="2" cm="1">
        <f t="array" ref="B124" ca="1">INDEX(Data_DBD!$B:$B,$A124)</f>
        <v>17</v>
      </c>
      <c r="C124" s="2" cm="1">
        <f t="array" ref="C124" ca="1">INDEX(Data_DBD!$C:$C,$A124)</f>
        <v>2</v>
      </c>
      <c r="D124" s="2" cm="1">
        <f t="array" ref="D124" ca="1">INDEX(Data_DBD!$D:$D,$A124)</f>
        <v>21</v>
      </c>
      <c r="E124" s="2" cm="1">
        <f t="array" ref="E124" ca="1">INDEX(Data_DBD!$E:$E,$A124)</f>
        <v>0</v>
      </c>
      <c r="F124" s="2" t="str" cm="1">
        <f t="array" ref="F124" ca="1">INDEX(Data_DBD!$F:$F,$A124)</f>
        <v>Tinggi</v>
      </c>
      <c r="H124" s="2">
        <v>2</v>
      </c>
      <c r="I124" s="2">
        <v>34</v>
      </c>
      <c r="J124" s="2">
        <v>3</v>
      </c>
      <c r="K124" s="2">
        <v>12</v>
      </c>
      <c r="L124" s="2">
        <v>0</v>
      </c>
      <c r="M124" s="2" t="s">
        <v>7</v>
      </c>
    </row>
    <row r="125" spans="1:13">
      <c r="A125" s="2">
        <f t="shared" ca="1" si="1"/>
        <v>10</v>
      </c>
      <c r="B125" s="2" cm="1">
        <f t="array" ref="B125" ca="1">INDEX(Data_DBD!$B:$B,$A125)</f>
        <v>18</v>
      </c>
      <c r="C125" s="2" cm="1">
        <f t="array" ref="C125" ca="1">INDEX(Data_DBD!$C:$C,$A125)</f>
        <v>5</v>
      </c>
      <c r="D125" s="2" cm="1">
        <f t="array" ref="D125" ca="1">INDEX(Data_DBD!$D:$D,$A125)</f>
        <v>12</v>
      </c>
      <c r="E125" s="2" cm="1">
        <f t="array" ref="E125" ca="1">INDEX(Data_DBD!$E:$E,$A125)</f>
        <v>0</v>
      </c>
      <c r="F125" s="2" t="str" cm="1">
        <f t="array" ref="F125" ca="1">INDEX(Data_DBD!$F:$F,$A125)</f>
        <v>Sedang</v>
      </c>
      <c r="H125" s="2">
        <v>112</v>
      </c>
      <c r="I125" s="2">
        <v>61</v>
      </c>
      <c r="J125" s="2">
        <v>3</v>
      </c>
      <c r="K125" s="2">
        <v>33</v>
      </c>
      <c r="L125" s="2">
        <v>1</v>
      </c>
      <c r="M125" s="2" t="s">
        <v>97</v>
      </c>
    </row>
    <row r="126" spans="1:13">
      <c r="A126" s="2">
        <f t="shared" ca="1" si="1"/>
        <v>122</v>
      </c>
      <c r="B126" s="2" cm="1">
        <f t="array" ref="B126" ca="1">INDEX(Data_DBD!$B:$B,$A126)</f>
        <v>28</v>
      </c>
      <c r="C126" s="2" cm="1">
        <f t="array" ref="C126" ca="1">INDEX(Data_DBD!$C:$C,$A126)</f>
        <v>3</v>
      </c>
      <c r="D126" s="2" cm="1">
        <f t="array" ref="D126" ca="1">INDEX(Data_DBD!$D:$D,$A126)</f>
        <v>33</v>
      </c>
      <c r="E126" s="2" cm="1">
        <f t="array" ref="E126" ca="1">INDEX(Data_DBD!$E:$E,$A126)</f>
        <v>1</v>
      </c>
      <c r="F126" s="2" t="str" cm="1">
        <f t="array" ref="F126" ca="1">INDEX(Data_DBD!$F:$F,$A126)</f>
        <v>Tinggi</v>
      </c>
      <c r="H126" s="2">
        <v>86</v>
      </c>
      <c r="I126" s="2">
        <v>23</v>
      </c>
      <c r="J126" s="2">
        <v>3</v>
      </c>
      <c r="K126" s="2">
        <v>13</v>
      </c>
      <c r="L126" s="2">
        <v>0</v>
      </c>
      <c r="M126" s="2" t="s">
        <v>7</v>
      </c>
    </row>
    <row r="127" spans="1:13">
      <c r="A127" s="2">
        <f t="shared" ca="1" si="1"/>
        <v>145</v>
      </c>
      <c r="B127" s="2" cm="1">
        <f t="array" ref="B127" ca="1">INDEX(Data_DBD!$B:$B,$A127)</f>
        <v>28</v>
      </c>
      <c r="C127" s="2" cm="1">
        <f t="array" ref="C127" ca="1">INDEX(Data_DBD!$C:$C,$A127)</f>
        <v>4</v>
      </c>
      <c r="D127" s="2" cm="1">
        <f t="array" ref="D127" ca="1">INDEX(Data_DBD!$D:$D,$A127)</f>
        <v>21</v>
      </c>
      <c r="E127" s="2" cm="1">
        <f t="array" ref="E127" ca="1">INDEX(Data_DBD!$E:$E,$A127)</f>
        <v>1</v>
      </c>
      <c r="F127" s="2" t="str" cm="1">
        <f t="array" ref="F127" ca="1">INDEX(Data_DBD!$F:$F,$A127)</f>
        <v>Tinggi</v>
      </c>
      <c r="H127" s="2">
        <v>71</v>
      </c>
      <c r="I127" s="2">
        <v>84</v>
      </c>
      <c r="J127" s="2">
        <v>3</v>
      </c>
      <c r="K127" s="2">
        <v>10</v>
      </c>
      <c r="L127" s="2">
        <v>0</v>
      </c>
      <c r="M127" s="2" t="s">
        <v>7</v>
      </c>
    </row>
    <row r="128" spans="1:13">
      <c r="A128" s="2">
        <f t="shared" ca="1" si="1"/>
        <v>46</v>
      </c>
      <c r="B128" s="2" cm="1">
        <f t="array" ref="B128" ca="1">INDEX(Data_DBD!$B:$B,$A128)</f>
        <v>62</v>
      </c>
      <c r="C128" s="2" cm="1">
        <f t="array" ref="C128" ca="1">INDEX(Data_DBD!$C:$C,$A128)</f>
        <v>2</v>
      </c>
      <c r="D128" s="2" cm="1">
        <f t="array" ref="D128" ca="1">INDEX(Data_DBD!$D:$D,$A128)</f>
        <v>13</v>
      </c>
      <c r="E128" s="2" cm="1">
        <f t="array" ref="E128" ca="1">INDEX(Data_DBD!$E:$E,$A128)</f>
        <v>0</v>
      </c>
      <c r="F128" s="2" t="str" cm="1">
        <f t="array" ref="F128" ca="1">INDEX(Data_DBD!$F:$F,$A128)</f>
        <v>Sedang</v>
      </c>
      <c r="H128" s="2">
        <v>148</v>
      </c>
      <c r="I128" s="2">
        <v>55</v>
      </c>
      <c r="J128" s="2">
        <v>3</v>
      </c>
      <c r="K128" s="2">
        <v>21</v>
      </c>
      <c r="L128" s="2">
        <v>1</v>
      </c>
      <c r="M128" s="2" t="s">
        <v>97</v>
      </c>
    </row>
    <row r="129" spans="1:13">
      <c r="A129" s="2">
        <f t="shared" ca="1" si="1"/>
        <v>76</v>
      </c>
      <c r="B129" s="2" cm="1">
        <f t="array" ref="B129" ca="1">INDEX(Data_DBD!$B:$B,$A129)</f>
        <v>70</v>
      </c>
      <c r="C129" s="2" cm="1">
        <f t="array" ref="C129" ca="1">INDEX(Data_DBD!$C:$C,$A129)</f>
        <v>2</v>
      </c>
      <c r="D129" s="2" cm="1">
        <f t="array" ref="D129" ca="1">INDEX(Data_DBD!$D:$D,$A129)</f>
        <v>10</v>
      </c>
      <c r="E129" s="2" cm="1">
        <f t="array" ref="E129" ca="1">INDEX(Data_DBD!$E:$E,$A129)</f>
        <v>0</v>
      </c>
      <c r="F129" s="2" t="str" cm="1">
        <f t="array" ref="F129" ca="1">INDEX(Data_DBD!$F:$F,$A129)</f>
        <v>Sedang</v>
      </c>
      <c r="H129" s="2">
        <v>110</v>
      </c>
      <c r="I129" s="2">
        <v>42</v>
      </c>
      <c r="J129" s="2">
        <v>2</v>
      </c>
      <c r="K129" s="2">
        <v>33</v>
      </c>
      <c r="L129" s="2">
        <v>1</v>
      </c>
      <c r="M129" s="2" t="s">
        <v>97</v>
      </c>
    </row>
    <row r="130" spans="1:13">
      <c r="A130" s="2">
        <f t="shared" ca="1" si="1"/>
        <v>89</v>
      </c>
      <c r="B130" s="2" cm="1">
        <f t="array" ref="B130" ca="1">INDEX(Data_DBD!$B:$B,$A130)</f>
        <v>32</v>
      </c>
      <c r="C130" s="2" cm="1">
        <f t="array" ref="C130" ca="1">INDEX(Data_DBD!$C:$C,$A130)</f>
        <v>4</v>
      </c>
      <c r="D130" s="2" cm="1">
        <f t="array" ref="D130" ca="1">INDEX(Data_DBD!$D:$D,$A130)</f>
        <v>13</v>
      </c>
      <c r="E130" s="2" cm="1">
        <f t="array" ref="E130" ca="1">INDEX(Data_DBD!$E:$E,$A130)</f>
        <v>0</v>
      </c>
      <c r="F130" s="2" t="str" cm="1">
        <f t="array" ref="F130" ca="1">INDEX(Data_DBD!$F:$F,$A130)</f>
        <v>Sedang</v>
      </c>
      <c r="H130" s="2">
        <v>98</v>
      </c>
      <c r="I130" s="2">
        <v>16</v>
      </c>
      <c r="J130" s="2">
        <v>2</v>
      </c>
      <c r="K130" s="2">
        <v>18</v>
      </c>
      <c r="L130" s="2">
        <v>1</v>
      </c>
      <c r="M130" s="2" t="s">
        <v>97</v>
      </c>
    </row>
    <row r="131" spans="1:13">
      <c r="A131" s="2">
        <f t="shared" ref="A131:A164" ca="1" si="2">RANDBETWEEN(2,164)</f>
        <v>134</v>
      </c>
      <c r="B131" s="2" cm="1">
        <f t="array" ref="B131" ca="1">INDEX(Data_DBD!$B:$B,$A131)</f>
        <v>4</v>
      </c>
      <c r="C131" s="2" cm="1">
        <f t="array" ref="C131" ca="1">INDEX(Data_DBD!$C:$C,$A131)</f>
        <v>2</v>
      </c>
      <c r="D131" s="2" cm="1">
        <f t="array" ref="D131" ca="1">INDEX(Data_DBD!$D:$D,$A131)</f>
        <v>33</v>
      </c>
      <c r="E131" s="2" cm="1">
        <f t="array" ref="E131" ca="1">INDEX(Data_DBD!$E:$E,$A131)</f>
        <v>1</v>
      </c>
      <c r="F131" s="2" t="str" cm="1">
        <f t="array" ref="F131" ca="1">INDEX(Data_DBD!$F:$F,$A131)</f>
        <v>Tinggi</v>
      </c>
      <c r="H131" s="2">
        <v>116</v>
      </c>
      <c r="I131" s="2">
        <v>32</v>
      </c>
      <c r="J131" s="2">
        <v>4</v>
      </c>
      <c r="K131" s="2">
        <v>33</v>
      </c>
      <c r="L131" s="2">
        <v>1</v>
      </c>
      <c r="M131" s="2" t="s">
        <v>97</v>
      </c>
    </row>
    <row r="132" spans="1:13">
      <c r="A132" s="2">
        <f t="shared" ca="1" si="2"/>
        <v>33</v>
      </c>
      <c r="B132" s="2" cm="1">
        <f t="array" ref="B132" ca="1">INDEX(Data_DBD!$B:$B,$A132)</f>
        <v>19</v>
      </c>
      <c r="C132" s="2" cm="1">
        <f t="array" ref="C132" ca="1">INDEX(Data_DBD!$C:$C,$A132)</f>
        <v>4</v>
      </c>
      <c r="D132" s="2" cm="1">
        <f t="array" ref="D132" ca="1">INDEX(Data_DBD!$D:$D,$A132)</f>
        <v>14</v>
      </c>
      <c r="E132" s="2" cm="1">
        <f t="array" ref="E132" ca="1">INDEX(Data_DBD!$E:$E,$A132)</f>
        <v>1</v>
      </c>
      <c r="F132" s="2" t="str" cm="1">
        <f t="array" ref="F132" ca="1">INDEX(Data_DBD!$F:$F,$A132)</f>
        <v>Sedang</v>
      </c>
      <c r="H132" s="2">
        <v>56</v>
      </c>
      <c r="I132" s="2">
        <v>4</v>
      </c>
      <c r="J132" s="2">
        <v>3</v>
      </c>
      <c r="K132" s="2">
        <v>15</v>
      </c>
      <c r="L132" s="2">
        <v>0</v>
      </c>
      <c r="M132" s="2" t="s">
        <v>7</v>
      </c>
    </row>
    <row r="133" spans="1:13">
      <c r="A133" s="2">
        <f t="shared" ca="1" si="2"/>
        <v>109</v>
      </c>
      <c r="B133" s="2" cm="1">
        <f t="array" ref="B133" ca="1">INDEX(Data_DBD!$B:$B,$A133)</f>
        <v>40</v>
      </c>
      <c r="C133" s="2" cm="1">
        <f t="array" ref="C133" ca="1">INDEX(Data_DBD!$C:$C,$A133)</f>
        <v>3</v>
      </c>
      <c r="D133" s="2" cm="1">
        <f t="array" ref="D133" ca="1">INDEX(Data_DBD!$D:$D,$A133)</f>
        <v>33</v>
      </c>
      <c r="E133" s="2" cm="1">
        <f t="array" ref="E133" ca="1">INDEX(Data_DBD!$E:$E,$A133)</f>
        <v>1</v>
      </c>
      <c r="F133" s="2" t="str" cm="1">
        <f t="array" ref="F133" ca="1">INDEX(Data_DBD!$F:$F,$A133)</f>
        <v>Tinggi</v>
      </c>
      <c r="H133" s="2">
        <v>22</v>
      </c>
      <c r="I133" s="2">
        <v>6</v>
      </c>
      <c r="J133" s="2">
        <v>3</v>
      </c>
      <c r="K133" s="2">
        <v>14</v>
      </c>
      <c r="L133" s="2">
        <v>0</v>
      </c>
      <c r="M133" s="2" t="s">
        <v>7</v>
      </c>
    </row>
    <row r="134" spans="1:13">
      <c r="A134" s="2">
        <f t="shared" ca="1" si="2"/>
        <v>125</v>
      </c>
      <c r="B134" s="2" cm="1">
        <f t="array" ref="B134" ca="1">INDEX(Data_DBD!$B:$B,$A134)</f>
        <v>39</v>
      </c>
      <c r="C134" s="2" cm="1">
        <f t="array" ref="C134" ca="1">INDEX(Data_DBD!$C:$C,$A134)</f>
        <v>4</v>
      </c>
      <c r="D134" s="2" cm="1">
        <f t="array" ref="D134" ca="1">INDEX(Data_DBD!$D:$D,$A134)</f>
        <v>33</v>
      </c>
      <c r="E134" s="2" cm="1">
        <f t="array" ref="E134" ca="1">INDEX(Data_DBD!$E:$E,$A134)</f>
        <v>0</v>
      </c>
      <c r="F134" s="2" t="str" cm="1">
        <f t="array" ref="F134" ca="1">INDEX(Data_DBD!$F:$F,$A134)</f>
        <v>Tinggi</v>
      </c>
      <c r="H134" s="2">
        <v>62</v>
      </c>
      <c r="I134" s="2">
        <v>43</v>
      </c>
      <c r="J134" s="2">
        <v>4</v>
      </c>
      <c r="K134" s="2">
        <v>15</v>
      </c>
      <c r="L134" s="2">
        <v>1</v>
      </c>
      <c r="M134" s="2" t="s">
        <v>7</v>
      </c>
    </row>
    <row r="135" spans="1:13">
      <c r="A135" s="2">
        <f t="shared" ca="1" si="2"/>
        <v>60</v>
      </c>
      <c r="B135" s="2" cm="1">
        <f t="array" ref="B135" ca="1">INDEX(Data_DBD!$B:$B,$A135)</f>
        <v>68</v>
      </c>
      <c r="C135" s="2" cm="1">
        <f t="array" ref="C135" ca="1">INDEX(Data_DBD!$C:$C,$A135)</f>
        <v>4</v>
      </c>
      <c r="D135" s="2" cm="1">
        <f t="array" ref="D135" ca="1">INDEX(Data_DBD!$D:$D,$A135)</f>
        <v>15</v>
      </c>
      <c r="E135" s="2" cm="1">
        <f t="array" ref="E135" ca="1">INDEX(Data_DBD!$E:$E,$A135)</f>
        <v>0</v>
      </c>
      <c r="F135" s="2" t="str" cm="1">
        <f t="array" ref="F135" ca="1">INDEX(Data_DBD!$F:$F,$A135)</f>
        <v>Sedang</v>
      </c>
      <c r="H135" s="2">
        <v>89</v>
      </c>
      <c r="I135" s="2">
        <v>32</v>
      </c>
      <c r="J135" s="2">
        <v>4</v>
      </c>
      <c r="K135" s="2">
        <v>13</v>
      </c>
      <c r="L135" s="2">
        <v>0</v>
      </c>
      <c r="M135" s="2" t="s">
        <v>7</v>
      </c>
    </row>
    <row r="136" spans="1:13">
      <c r="A136" s="2">
        <f t="shared" ca="1" si="2"/>
        <v>27</v>
      </c>
      <c r="B136" s="2" cm="1">
        <f t="array" ref="B136" ca="1">INDEX(Data_DBD!$B:$B,$A136)</f>
        <v>37</v>
      </c>
      <c r="C136" s="2" cm="1">
        <f t="array" ref="C136" ca="1">INDEX(Data_DBD!$C:$C,$A136)</f>
        <v>4</v>
      </c>
      <c r="D136" s="2" cm="1">
        <f t="array" ref="D136" ca="1">INDEX(Data_DBD!$D:$D,$A136)</f>
        <v>14</v>
      </c>
      <c r="E136" s="2" cm="1">
        <f t="array" ref="E136" ca="1">INDEX(Data_DBD!$E:$E,$A136)</f>
        <v>1</v>
      </c>
      <c r="F136" s="2" t="str" cm="1">
        <f t="array" ref="F136" ca="1">INDEX(Data_DBD!$F:$F,$A136)</f>
        <v>Sedang</v>
      </c>
      <c r="H136" s="2">
        <v>31</v>
      </c>
      <c r="I136" s="2">
        <v>64</v>
      </c>
      <c r="J136" s="2">
        <v>4</v>
      </c>
      <c r="K136" s="2">
        <v>14</v>
      </c>
      <c r="L136" s="2">
        <v>1</v>
      </c>
      <c r="M136" s="2" t="s">
        <v>7</v>
      </c>
    </row>
    <row r="137" spans="1:13">
      <c r="A137" s="2">
        <f t="shared" ca="1" si="2"/>
        <v>10</v>
      </c>
      <c r="B137" s="2" cm="1">
        <f t="array" ref="B137" ca="1">INDEX(Data_DBD!$B:$B,$A137)</f>
        <v>18</v>
      </c>
      <c r="C137" s="2" cm="1">
        <f t="array" ref="C137" ca="1">INDEX(Data_DBD!$C:$C,$A137)</f>
        <v>5</v>
      </c>
      <c r="D137" s="2" cm="1">
        <f t="array" ref="D137" ca="1">INDEX(Data_DBD!$D:$D,$A137)</f>
        <v>12</v>
      </c>
      <c r="E137" s="2" cm="1">
        <f t="array" ref="E137" ca="1">INDEX(Data_DBD!$E:$E,$A137)</f>
        <v>0</v>
      </c>
      <c r="F137" s="2" t="str" cm="1">
        <f t="array" ref="F137" ca="1">INDEX(Data_DBD!$F:$F,$A137)</f>
        <v>Sedang</v>
      </c>
      <c r="H137" s="2">
        <v>112</v>
      </c>
      <c r="I137" s="2">
        <v>61</v>
      </c>
      <c r="J137" s="2">
        <v>3</v>
      </c>
      <c r="K137" s="2">
        <v>33</v>
      </c>
      <c r="L137" s="2">
        <v>1</v>
      </c>
      <c r="M137" s="2" t="s">
        <v>97</v>
      </c>
    </row>
    <row r="138" spans="1:13">
      <c r="A138" s="2">
        <f t="shared" ca="1" si="2"/>
        <v>75</v>
      </c>
      <c r="B138" s="2" cm="1">
        <f t="array" ref="B138" ca="1">INDEX(Data_DBD!$B:$B,$A138)</f>
        <v>2</v>
      </c>
      <c r="C138" s="2" cm="1">
        <f t="array" ref="C138" ca="1">INDEX(Data_DBD!$C:$C,$A138)</f>
        <v>2</v>
      </c>
      <c r="D138" s="2" cm="1">
        <f t="array" ref="D138" ca="1">INDEX(Data_DBD!$D:$D,$A138)</f>
        <v>10</v>
      </c>
      <c r="E138" s="2" cm="1">
        <f t="array" ref="E138" ca="1">INDEX(Data_DBD!$E:$E,$A138)</f>
        <v>1</v>
      </c>
      <c r="F138" s="2" t="str" cm="1">
        <f t="array" ref="F138" ca="1">INDEX(Data_DBD!$F:$F,$A138)</f>
        <v>Sedang</v>
      </c>
      <c r="H138" s="2">
        <v>152</v>
      </c>
      <c r="I138" s="2">
        <v>47</v>
      </c>
      <c r="J138" s="2">
        <v>3</v>
      </c>
      <c r="K138" s="2">
        <v>21</v>
      </c>
      <c r="L138" s="2">
        <v>1</v>
      </c>
      <c r="M138" s="2" t="s">
        <v>97</v>
      </c>
    </row>
    <row r="139" spans="1:13">
      <c r="A139" s="2">
        <f t="shared" ca="1" si="2"/>
        <v>156</v>
      </c>
      <c r="B139" s="2" cm="1">
        <f t="array" ref="B139" ca="1">INDEX(Data_DBD!$B:$B,$A139)</f>
        <v>5</v>
      </c>
      <c r="C139" s="2" cm="1">
        <f t="array" ref="C139" ca="1">INDEX(Data_DBD!$C:$C,$A139)</f>
        <v>2</v>
      </c>
      <c r="D139" s="2" cm="1">
        <f t="array" ref="D139" ca="1">INDEX(Data_DBD!$D:$D,$A139)</f>
        <v>21</v>
      </c>
      <c r="E139" s="2" cm="1">
        <f t="array" ref="E139" ca="1">INDEX(Data_DBD!$E:$E,$A139)</f>
        <v>0</v>
      </c>
      <c r="F139" s="2" t="str" cm="1">
        <f t="array" ref="F139" ca="1">INDEX(Data_DBD!$F:$F,$A139)</f>
        <v>Tinggi</v>
      </c>
      <c r="H139" s="2">
        <v>32</v>
      </c>
      <c r="I139" s="2">
        <v>54</v>
      </c>
      <c r="J139" s="2">
        <v>4</v>
      </c>
      <c r="K139" s="2">
        <v>14</v>
      </c>
      <c r="L139" s="2">
        <v>0</v>
      </c>
      <c r="M139" s="2" t="s">
        <v>7</v>
      </c>
    </row>
    <row r="140" spans="1:13">
      <c r="A140" s="2">
        <f t="shared" ca="1" si="2"/>
        <v>84</v>
      </c>
      <c r="B140" s="2" cm="1">
        <f t="array" ref="B140" ca="1">INDEX(Data_DBD!$B:$B,$A140)</f>
        <v>42</v>
      </c>
      <c r="C140" s="2" cm="1">
        <f t="array" ref="C140" ca="1">INDEX(Data_DBD!$C:$C,$A140)</f>
        <v>4</v>
      </c>
      <c r="D140" s="2" cm="1">
        <f t="array" ref="D140" ca="1">INDEX(Data_DBD!$D:$D,$A140)</f>
        <v>13</v>
      </c>
      <c r="E140" s="2" cm="1">
        <f t="array" ref="E140" ca="1">INDEX(Data_DBD!$E:$E,$A140)</f>
        <v>1</v>
      </c>
      <c r="F140" s="2" t="str" cm="1">
        <f t="array" ref="F140" ca="1">INDEX(Data_DBD!$F:$F,$A140)</f>
        <v>Sedang</v>
      </c>
      <c r="H140" s="2">
        <v>17</v>
      </c>
      <c r="I140" s="2">
        <v>2</v>
      </c>
      <c r="J140" s="2">
        <v>3</v>
      </c>
      <c r="K140" s="2">
        <v>7</v>
      </c>
      <c r="L140" s="2">
        <v>0</v>
      </c>
      <c r="M140" s="2" t="s">
        <v>20</v>
      </c>
    </row>
    <row r="141" spans="1:13">
      <c r="A141" s="2">
        <f t="shared" ca="1" si="2"/>
        <v>30</v>
      </c>
      <c r="B141" s="2" cm="1">
        <f t="array" ref="B141" ca="1">INDEX(Data_DBD!$B:$B,$A141)</f>
        <v>3</v>
      </c>
      <c r="C141" s="2" cm="1">
        <f t="array" ref="C141" ca="1">INDEX(Data_DBD!$C:$C,$A141)</f>
        <v>2</v>
      </c>
      <c r="D141" s="2" cm="1">
        <f t="array" ref="D141" ca="1">INDEX(Data_DBD!$D:$D,$A141)</f>
        <v>14</v>
      </c>
      <c r="E141" s="2" cm="1">
        <f t="array" ref="E141" ca="1">INDEX(Data_DBD!$E:$E,$A141)</f>
        <v>1</v>
      </c>
      <c r="F141" s="2" t="str" cm="1">
        <f t="array" ref="F141" ca="1">INDEX(Data_DBD!$F:$F,$A141)</f>
        <v>Sedang</v>
      </c>
      <c r="H141" s="2">
        <v>75</v>
      </c>
      <c r="I141" s="2">
        <v>2</v>
      </c>
      <c r="J141" s="2">
        <v>2</v>
      </c>
      <c r="K141" s="2">
        <v>10</v>
      </c>
      <c r="L141" s="2">
        <v>1</v>
      </c>
      <c r="M141" s="2" t="s">
        <v>7</v>
      </c>
    </row>
    <row r="142" spans="1:13">
      <c r="A142" s="2">
        <f t="shared" ca="1" si="2"/>
        <v>62</v>
      </c>
      <c r="B142" s="2" cm="1">
        <f t="array" ref="B142" ca="1">INDEX(Data_DBD!$B:$B,$A142)</f>
        <v>43</v>
      </c>
      <c r="C142" s="2" cm="1">
        <f t="array" ref="C142" ca="1">INDEX(Data_DBD!$C:$C,$A142)</f>
        <v>4</v>
      </c>
      <c r="D142" s="2" cm="1">
        <f t="array" ref="D142" ca="1">INDEX(Data_DBD!$D:$D,$A142)</f>
        <v>15</v>
      </c>
      <c r="E142" s="2" cm="1">
        <f t="array" ref="E142" ca="1">INDEX(Data_DBD!$E:$E,$A142)</f>
        <v>1</v>
      </c>
      <c r="F142" s="2" t="str" cm="1">
        <f t="array" ref="F142" ca="1">INDEX(Data_DBD!$F:$F,$A142)</f>
        <v>Sedang</v>
      </c>
      <c r="H142" s="2">
        <v>36</v>
      </c>
      <c r="I142" s="2">
        <v>27</v>
      </c>
      <c r="J142" s="2">
        <v>1</v>
      </c>
      <c r="K142" s="2">
        <v>4</v>
      </c>
      <c r="L142" s="2">
        <v>1</v>
      </c>
      <c r="M142" s="2" t="s">
        <v>20</v>
      </c>
    </row>
    <row r="143" spans="1:13">
      <c r="A143" s="2">
        <f t="shared" ca="1" si="2"/>
        <v>25</v>
      </c>
      <c r="B143" s="2" cm="1">
        <f t="array" ref="B143" ca="1">INDEX(Data_DBD!$B:$B,$A143)</f>
        <v>81</v>
      </c>
      <c r="C143" s="2" cm="1">
        <f t="array" ref="C143" ca="1">INDEX(Data_DBD!$C:$C,$A143)</f>
        <v>5</v>
      </c>
      <c r="D143" s="2" cm="1">
        <f t="array" ref="D143" ca="1">INDEX(Data_DBD!$D:$D,$A143)</f>
        <v>14</v>
      </c>
      <c r="E143" s="2" cm="1">
        <f t="array" ref="E143" ca="1">INDEX(Data_DBD!$E:$E,$A143)</f>
        <v>0</v>
      </c>
      <c r="F143" s="2" t="str" cm="1">
        <f t="array" ref="F143" ca="1">INDEX(Data_DBD!$F:$F,$A143)</f>
        <v>Sedang</v>
      </c>
      <c r="H143" s="2">
        <v>162</v>
      </c>
      <c r="I143" s="2">
        <v>22</v>
      </c>
      <c r="J143" s="2">
        <v>3</v>
      </c>
      <c r="K143" s="2">
        <v>3</v>
      </c>
      <c r="L143" s="2">
        <v>1</v>
      </c>
      <c r="M143" s="2" t="s">
        <v>20</v>
      </c>
    </row>
    <row r="144" spans="1:13">
      <c r="A144" s="2">
        <f t="shared" ca="1" si="2"/>
        <v>157</v>
      </c>
      <c r="B144" s="2" cm="1">
        <f t="array" ref="B144" ca="1">INDEX(Data_DBD!$B:$B,$A144)</f>
        <v>15</v>
      </c>
      <c r="C144" s="2" cm="1">
        <f t="array" ref="C144" ca="1">INDEX(Data_DBD!$C:$C,$A144)</f>
        <v>4</v>
      </c>
      <c r="D144" s="2" cm="1">
        <f t="array" ref="D144" ca="1">INDEX(Data_DBD!$D:$D,$A144)</f>
        <v>21</v>
      </c>
      <c r="E144" s="2" cm="1">
        <f t="array" ref="E144" ca="1">INDEX(Data_DBD!$E:$E,$A144)</f>
        <v>1</v>
      </c>
      <c r="F144" s="2" t="str" cm="1">
        <f t="array" ref="F144" ca="1">INDEX(Data_DBD!$F:$F,$A144)</f>
        <v>Tinggi</v>
      </c>
      <c r="H144" s="2">
        <v>101</v>
      </c>
      <c r="I144" s="2">
        <v>42</v>
      </c>
      <c r="J144" s="2">
        <v>5</v>
      </c>
      <c r="K144" s="2">
        <v>18</v>
      </c>
      <c r="L144" s="2">
        <v>0</v>
      </c>
      <c r="M144" s="2" t="s">
        <v>97</v>
      </c>
    </row>
    <row r="145" spans="1:13">
      <c r="A145" s="2">
        <f t="shared" ca="1" si="2"/>
        <v>144</v>
      </c>
      <c r="B145" s="2" cm="1">
        <f t="array" ref="B145" ca="1">INDEX(Data_DBD!$B:$B,$A145)</f>
        <v>61</v>
      </c>
      <c r="C145" s="2" cm="1">
        <f t="array" ref="C145" ca="1">INDEX(Data_DBD!$C:$C,$A145)</f>
        <v>4</v>
      </c>
      <c r="D145" s="2" cm="1">
        <f t="array" ref="D145" ca="1">INDEX(Data_DBD!$D:$D,$A145)</f>
        <v>21</v>
      </c>
      <c r="E145" s="2" cm="1">
        <f t="array" ref="E145" ca="1">INDEX(Data_DBD!$E:$E,$A145)</f>
        <v>1</v>
      </c>
      <c r="F145" s="2" t="str" cm="1">
        <f t="array" ref="F145" ca="1">INDEX(Data_DBD!$F:$F,$A145)</f>
        <v>Tinggi</v>
      </c>
      <c r="H145" s="2">
        <v>144</v>
      </c>
      <c r="I145" s="2">
        <v>61</v>
      </c>
      <c r="J145" s="2">
        <v>4</v>
      </c>
      <c r="K145" s="2">
        <v>21</v>
      </c>
      <c r="L145" s="2">
        <v>1</v>
      </c>
      <c r="M145" s="2" t="s">
        <v>97</v>
      </c>
    </row>
    <row r="146" spans="1:13">
      <c r="A146" s="2">
        <f t="shared" ca="1" si="2"/>
        <v>86</v>
      </c>
      <c r="B146" s="2" cm="1">
        <f t="array" ref="B146" ca="1">INDEX(Data_DBD!$B:$B,$A146)</f>
        <v>23</v>
      </c>
      <c r="C146" s="2" cm="1">
        <f t="array" ref="C146" ca="1">INDEX(Data_DBD!$C:$C,$A146)</f>
        <v>3</v>
      </c>
      <c r="D146" s="2" cm="1">
        <f t="array" ref="D146" ca="1">INDEX(Data_DBD!$D:$D,$A146)</f>
        <v>13</v>
      </c>
      <c r="E146" s="2" cm="1">
        <f t="array" ref="E146" ca="1">INDEX(Data_DBD!$E:$E,$A146)</f>
        <v>0</v>
      </c>
      <c r="F146" s="2" t="str" cm="1">
        <f t="array" ref="F146" ca="1">INDEX(Data_DBD!$F:$F,$A146)</f>
        <v>Sedang</v>
      </c>
      <c r="H146" s="2">
        <v>93</v>
      </c>
      <c r="I146" s="2">
        <v>65</v>
      </c>
      <c r="J146" s="2">
        <v>4</v>
      </c>
      <c r="K146" s="2">
        <v>18</v>
      </c>
      <c r="L146" s="2">
        <v>0</v>
      </c>
      <c r="M146" s="2" t="s">
        <v>97</v>
      </c>
    </row>
    <row r="147" spans="1:13">
      <c r="A147" s="2">
        <f t="shared" ca="1" si="2"/>
        <v>33</v>
      </c>
      <c r="B147" s="2" cm="1">
        <f t="array" ref="B147" ca="1">INDEX(Data_DBD!$B:$B,$A147)</f>
        <v>19</v>
      </c>
      <c r="C147" s="2" cm="1">
        <f t="array" ref="C147" ca="1">INDEX(Data_DBD!$C:$C,$A147)</f>
        <v>4</v>
      </c>
      <c r="D147" s="2" cm="1">
        <f t="array" ref="D147" ca="1">INDEX(Data_DBD!$D:$D,$A147)</f>
        <v>14</v>
      </c>
      <c r="E147" s="2" cm="1">
        <f t="array" ref="E147" ca="1">INDEX(Data_DBD!$E:$E,$A147)</f>
        <v>1</v>
      </c>
      <c r="F147" s="2" t="str" cm="1">
        <f t="array" ref="F147" ca="1">INDEX(Data_DBD!$F:$F,$A147)</f>
        <v>Sedang</v>
      </c>
      <c r="H147" s="2">
        <v>54</v>
      </c>
      <c r="I147" s="2">
        <v>7</v>
      </c>
      <c r="J147" s="2">
        <v>3</v>
      </c>
      <c r="K147" s="2">
        <v>15</v>
      </c>
      <c r="L147" s="2">
        <v>0</v>
      </c>
      <c r="M147" s="2" t="s">
        <v>7</v>
      </c>
    </row>
    <row r="148" spans="1:13">
      <c r="A148" s="2">
        <f t="shared" ca="1" si="2"/>
        <v>122</v>
      </c>
      <c r="B148" s="2" cm="1">
        <f t="array" ref="B148" ca="1">INDEX(Data_DBD!$B:$B,$A148)</f>
        <v>28</v>
      </c>
      <c r="C148" s="2" cm="1">
        <f t="array" ref="C148" ca="1">INDEX(Data_DBD!$C:$C,$A148)</f>
        <v>3</v>
      </c>
      <c r="D148" s="2" cm="1">
        <f t="array" ref="D148" ca="1">INDEX(Data_DBD!$D:$D,$A148)</f>
        <v>33</v>
      </c>
      <c r="E148" s="2" cm="1">
        <f t="array" ref="E148" ca="1">INDEX(Data_DBD!$E:$E,$A148)</f>
        <v>1</v>
      </c>
      <c r="F148" s="2" t="str" cm="1">
        <f t="array" ref="F148" ca="1">INDEX(Data_DBD!$F:$F,$A148)</f>
        <v>Tinggi</v>
      </c>
      <c r="H148" s="2">
        <v>33</v>
      </c>
      <c r="I148" s="2">
        <v>19</v>
      </c>
      <c r="J148" s="2">
        <v>4</v>
      </c>
      <c r="K148" s="2">
        <v>14</v>
      </c>
      <c r="L148" s="2">
        <v>1</v>
      </c>
      <c r="M148" s="2" t="s">
        <v>7</v>
      </c>
    </row>
    <row r="149" spans="1:13">
      <c r="A149" s="2">
        <f t="shared" ca="1" si="2"/>
        <v>77</v>
      </c>
      <c r="B149" s="2" cm="1">
        <f t="array" ref="B149" ca="1">INDEX(Data_DBD!$B:$B,$A149)</f>
        <v>16</v>
      </c>
      <c r="C149" s="2" cm="1">
        <f t="array" ref="C149" ca="1">INDEX(Data_DBD!$C:$C,$A149)</f>
        <v>4</v>
      </c>
      <c r="D149" s="2" cm="1">
        <f t="array" ref="D149" ca="1">INDEX(Data_DBD!$D:$D,$A149)</f>
        <v>13</v>
      </c>
      <c r="E149" s="2" cm="1">
        <f t="array" ref="E149" ca="1">INDEX(Data_DBD!$E:$E,$A149)</f>
        <v>1</v>
      </c>
      <c r="F149" s="2" t="str" cm="1">
        <f t="array" ref="F149" ca="1">INDEX(Data_DBD!$F:$F,$A149)</f>
        <v>Sedang</v>
      </c>
      <c r="H149" s="2">
        <v>101</v>
      </c>
      <c r="I149" s="2">
        <v>42</v>
      </c>
      <c r="J149" s="2">
        <v>5</v>
      </c>
      <c r="K149" s="2">
        <v>18</v>
      </c>
      <c r="L149" s="2">
        <v>0</v>
      </c>
      <c r="M149" s="2" t="s">
        <v>97</v>
      </c>
    </row>
    <row r="150" spans="1:13">
      <c r="A150" s="2">
        <f t="shared" ca="1" si="2"/>
        <v>92</v>
      </c>
      <c r="B150" s="2" cm="1">
        <f t="array" ref="B150" ca="1">INDEX(Data_DBD!$B:$B,$A150)</f>
        <v>55</v>
      </c>
      <c r="C150" s="2" cm="1">
        <f t="array" ref="C150" ca="1">INDEX(Data_DBD!$C:$C,$A150)</f>
        <v>7</v>
      </c>
      <c r="D150" s="2" cm="1">
        <f t="array" ref="D150" ca="1">INDEX(Data_DBD!$D:$D,$A150)</f>
        <v>18</v>
      </c>
      <c r="E150" s="2" cm="1">
        <f t="array" ref="E150" ca="1">INDEX(Data_DBD!$E:$E,$A150)</f>
        <v>0</v>
      </c>
      <c r="F150" s="2" t="str" cm="1">
        <f t="array" ref="F150" ca="1">INDEX(Data_DBD!$F:$F,$A150)</f>
        <v>Tinggi</v>
      </c>
      <c r="H150" s="2">
        <v>117</v>
      </c>
      <c r="I150" s="2">
        <v>49</v>
      </c>
      <c r="J150" s="2">
        <v>4</v>
      </c>
      <c r="K150" s="2">
        <v>33</v>
      </c>
      <c r="L150" s="2">
        <v>1</v>
      </c>
      <c r="M150" s="2" t="s">
        <v>97</v>
      </c>
    </row>
    <row r="151" spans="1:13">
      <c r="A151" s="2">
        <f t="shared" ca="1" si="2"/>
        <v>55</v>
      </c>
      <c r="B151" s="2" cm="1">
        <f t="array" ref="B151" ca="1">INDEX(Data_DBD!$B:$B,$A151)</f>
        <v>7</v>
      </c>
      <c r="C151" s="2" cm="1">
        <f t="array" ref="C151" ca="1">INDEX(Data_DBD!$C:$C,$A151)</f>
        <v>4</v>
      </c>
      <c r="D151" s="2" cm="1">
        <f t="array" ref="D151" ca="1">INDEX(Data_DBD!$D:$D,$A151)</f>
        <v>15</v>
      </c>
      <c r="E151" s="2" cm="1">
        <f t="array" ref="E151" ca="1">INDEX(Data_DBD!$E:$E,$A151)</f>
        <v>1</v>
      </c>
      <c r="F151" s="2" t="str" cm="1">
        <f t="array" ref="F151" ca="1">INDEX(Data_DBD!$F:$F,$A151)</f>
        <v>Sedang</v>
      </c>
      <c r="H151" s="2">
        <v>5</v>
      </c>
      <c r="I151" s="2">
        <v>18</v>
      </c>
      <c r="J151" s="2">
        <v>2</v>
      </c>
      <c r="K151" s="2">
        <v>12</v>
      </c>
      <c r="L151" s="2">
        <v>1</v>
      </c>
      <c r="M151" s="2" t="s">
        <v>7</v>
      </c>
    </row>
    <row r="152" spans="1:13">
      <c r="A152" s="2">
        <f t="shared" ca="1" si="2"/>
        <v>68</v>
      </c>
      <c r="B152" s="2" cm="1">
        <f t="array" ref="B152" ca="1">INDEX(Data_DBD!$B:$B,$A152)</f>
        <v>44</v>
      </c>
      <c r="C152" s="2" cm="1">
        <f t="array" ref="C152" ca="1">INDEX(Data_DBD!$C:$C,$A152)</f>
        <v>5</v>
      </c>
      <c r="D152" s="2" cm="1">
        <f t="array" ref="D152" ca="1">INDEX(Data_DBD!$D:$D,$A152)</f>
        <v>10</v>
      </c>
      <c r="E152" s="2" cm="1">
        <f t="array" ref="E152" ca="1">INDEX(Data_DBD!$E:$E,$A152)</f>
        <v>0</v>
      </c>
      <c r="F152" s="2" t="str" cm="1">
        <f t="array" ref="F152" ca="1">INDEX(Data_DBD!$F:$F,$A152)</f>
        <v>Sedang</v>
      </c>
      <c r="H152" s="2">
        <v>133</v>
      </c>
      <c r="I152" s="2">
        <v>6</v>
      </c>
      <c r="J152" s="2">
        <v>4</v>
      </c>
      <c r="K152" s="2">
        <v>33</v>
      </c>
      <c r="L152" s="2">
        <v>0</v>
      </c>
      <c r="M152" s="2" t="s">
        <v>97</v>
      </c>
    </row>
    <row r="153" spans="1:13">
      <c r="A153" s="2">
        <f t="shared" ca="1" si="2"/>
        <v>3</v>
      </c>
      <c r="B153" s="2" cm="1">
        <f t="array" ref="B153" ca="1">INDEX(Data_DBD!$B:$B,$A153)</f>
        <v>43</v>
      </c>
      <c r="C153" s="2" cm="1">
        <f t="array" ref="C153" ca="1">INDEX(Data_DBD!$C:$C,$A153)</f>
        <v>3</v>
      </c>
      <c r="D153" s="2" cm="1">
        <f t="array" ref="D153" ca="1">INDEX(Data_DBD!$D:$D,$A153)</f>
        <v>12</v>
      </c>
      <c r="E153" s="2" cm="1">
        <f t="array" ref="E153" ca="1">INDEX(Data_DBD!$E:$E,$A153)</f>
        <v>1</v>
      </c>
      <c r="F153" s="2" t="str" cm="1">
        <f t="array" ref="F153" ca="1">INDEX(Data_DBD!$F:$F,$A153)</f>
        <v>Sedang</v>
      </c>
      <c r="H153" s="2">
        <v>24</v>
      </c>
      <c r="I153" s="2">
        <v>60</v>
      </c>
      <c r="J153" s="2">
        <v>4</v>
      </c>
      <c r="K153" s="2">
        <v>14</v>
      </c>
      <c r="L153" s="2">
        <v>0</v>
      </c>
      <c r="M153" s="2" t="s">
        <v>7</v>
      </c>
    </row>
    <row r="154" spans="1:13">
      <c r="A154" s="2">
        <f t="shared" ca="1" si="2"/>
        <v>85</v>
      </c>
      <c r="B154" s="2" cm="1">
        <f t="array" ref="B154" ca="1">INDEX(Data_DBD!$B:$B,$A154)</f>
        <v>27</v>
      </c>
      <c r="C154" s="2" cm="1">
        <f t="array" ref="C154" ca="1">INDEX(Data_DBD!$C:$C,$A154)</f>
        <v>9</v>
      </c>
      <c r="D154" s="2" cm="1">
        <f t="array" ref="D154" ca="1">INDEX(Data_DBD!$D:$D,$A154)</f>
        <v>13</v>
      </c>
      <c r="E154" s="2" cm="1">
        <f t="array" ref="E154" ca="1">INDEX(Data_DBD!$E:$E,$A154)</f>
        <v>0</v>
      </c>
      <c r="F154" s="2" t="str" cm="1">
        <f t="array" ref="F154" ca="1">INDEX(Data_DBD!$F:$F,$A154)</f>
        <v>Sedang</v>
      </c>
      <c r="H154" s="2">
        <v>55</v>
      </c>
      <c r="I154" s="2">
        <v>7</v>
      </c>
      <c r="J154" s="2">
        <v>4</v>
      </c>
      <c r="K154" s="2">
        <v>15</v>
      </c>
      <c r="L154" s="2">
        <v>1</v>
      </c>
      <c r="M154" s="2" t="s">
        <v>7</v>
      </c>
    </row>
    <row r="155" spans="1:13">
      <c r="A155" s="2">
        <f t="shared" ca="1" si="2"/>
        <v>114</v>
      </c>
      <c r="B155" s="2" cm="1">
        <f t="array" ref="B155" ca="1">INDEX(Data_DBD!$B:$B,$A155)</f>
        <v>14</v>
      </c>
      <c r="C155" s="2" cm="1">
        <f t="array" ref="C155" ca="1">INDEX(Data_DBD!$C:$C,$A155)</f>
        <v>2</v>
      </c>
      <c r="D155" s="2" cm="1">
        <f t="array" ref="D155" ca="1">INDEX(Data_DBD!$D:$D,$A155)</f>
        <v>33</v>
      </c>
      <c r="E155" s="2" cm="1">
        <f t="array" ref="E155" ca="1">INDEX(Data_DBD!$E:$E,$A155)</f>
        <v>1</v>
      </c>
      <c r="F155" s="2" t="str" cm="1">
        <f t="array" ref="F155" ca="1">INDEX(Data_DBD!$F:$F,$A155)</f>
        <v>Tinggi</v>
      </c>
      <c r="H155" s="2">
        <v>77</v>
      </c>
      <c r="I155" s="2">
        <v>16</v>
      </c>
      <c r="J155" s="2">
        <v>4</v>
      </c>
      <c r="K155" s="2">
        <v>13</v>
      </c>
      <c r="L155" s="2">
        <v>1</v>
      </c>
      <c r="M155" s="2" t="s">
        <v>7</v>
      </c>
    </row>
    <row r="156" spans="1:13">
      <c r="A156" s="2">
        <f t="shared" ca="1" si="2"/>
        <v>137</v>
      </c>
      <c r="B156" s="2" cm="1">
        <f t="array" ref="B156" ca="1">INDEX(Data_DBD!$B:$B,$A156)</f>
        <v>3</v>
      </c>
      <c r="C156" s="2" cm="1">
        <f t="array" ref="C156" ca="1">INDEX(Data_DBD!$C:$C,$A156)</f>
        <v>1</v>
      </c>
      <c r="D156" s="2" cm="1">
        <f t="array" ref="D156" ca="1">INDEX(Data_DBD!$D:$D,$A156)</f>
        <v>33</v>
      </c>
      <c r="E156" s="2" cm="1">
        <f t="array" ref="E156" ca="1">INDEX(Data_DBD!$E:$E,$A156)</f>
        <v>1</v>
      </c>
      <c r="F156" s="2" t="str" cm="1">
        <f t="array" ref="F156" ca="1">INDEX(Data_DBD!$F:$F,$A156)</f>
        <v>Tinggi</v>
      </c>
      <c r="H156" s="2">
        <v>92</v>
      </c>
      <c r="I156" s="2">
        <v>55</v>
      </c>
      <c r="J156" s="2">
        <v>7</v>
      </c>
      <c r="K156" s="2">
        <v>18</v>
      </c>
      <c r="L156" s="2">
        <v>0</v>
      </c>
      <c r="M156" s="2" t="s">
        <v>97</v>
      </c>
    </row>
    <row r="157" spans="1:13">
      <c r="A157" s="2">
        <f t="shared" ca="1" si="2"/>
        <v>130</v>
      </c>
      <c r="B157" s="2" cm="1">
        <f t="array" ref="B157" ca="1">INDEX(Data_DBD!$B:$B,$A157)</f>
        <v>12</v>
      </c>
      <c r="C157" s="2" cm="1">
        <f t="array" ref="C157" ca="1">INDEX(Data_DBD!$C:$C,$A157)</f>
        <v>4</v>
      </c>
      <c r="D157" s="2" cm="1">
        <f t="array" ref="D157" ca="1">INDEX(Data_DBD!$D:$D,$A157)</f>
        <v>33</v>
      </c>
      <c r="E157" s="2" cm="1">
        <f t="array" ref="E157" ca="1">INDEX(Data_DBD!$E:$E,$A157)</f>
        <v>0</v>
      </c>
      <c r="F157" s="2" t="str" cm="1">
        <f t="array" ref="F157" ca="1">INDEX(Data_DBD!$F:$F,$A157)</f>
        <v>Tinggi</v>
      </c>
      <c r="H157" s="2">
        <v>31</v>
      </c>
      <c r="I157" s="2">
        <v>64</v>
      </c>
      <c r="J157" s="2">
        <v>4</v>
      </c>
      <c r="K157" s="2">
        <v>14</v>
      </c>
      <c r="L157" s="2">
        <v>1</v>
      </c>
      <c r="M157" s="2" t="s">
        <v>7</v>
      </c>
    </row>
    <row r="158" spans="1:13">
      <c r="A158" s="2">
        <f t="shared" ca="1" si="2"/>
        <v>93</v>
      </c>
      <c r="B158" s="2" cm="1">
        <f t="array" ref="B158" ca="1">INDEX(Data_DBD!$B:$B,$A158)</f>
        <v>65</v>
      </c>
      <c r="C158" s="2" cm="1">
        <f t="array" ref="C158" ca="1">INDEX(Data_DBD!$C:$C,$A158)</f>
        <v>4</v>
      </c>
      <c r="D158" s="2" cm="1">
        <f t="array" ref="D158" ca="1">INDEX(Data_DBD!$D:$D,$A158)</f>
        <v>18</v>
      </c>
      <c r="E158" s="2" cm="1">
        <f t="array" ref="E158" ca="1">INDEX(Data_DBD!$E:$E,$A158)</f>
        <v>0</v>
      </c>
      <c r="F158" s="2" t="str" cm="1">
        <f t="array" ref="F158" ca="1">INDEX(Data_DBD!$F:$F,$A158)</f>
        <v>Tinggi</v>
      </c>
      <c r="H158" s="2">
        <v>115</v>
      </c>
      <c r="I158" s="2">
        <v>52</v>
      </c>
      <c r="J158" s="2">
        <v>3</v>
      </c>
      <c r="K158" s="2">
        <v>33</v>
      </c>
      <c r="L158" s="2">
        <v>1</v>
      </c>
      <c r="M158" s="2" t="s">
        <v>97</v>
      </c>
    </row>
    <row r="159" spans="1:13">
      <c r="A159" s="2">
        <f t="shared" ca="1" si="2"/>
        <v>135</v>
      </c>
      <c r="B159" s="2" cm="1">
        <f t="array" ref="B159" ca="1">INDEX(Data_DBD!$B:$B,$A159)</f>
        <v>10</v>
      </c>
      <c r="C159" s="2" cm="1">
        <f t="array" ref="C159" ca="1">INDEX(Data_DBD!$C:$C,$A159)</f>
        <v>2</v>
      </c>
      <c r="D159" s="2" cm="1">
        <f t="array" ref="D159" ca="1">INDEX(Data_DBD!$D:$D,$A159)</f>
        <v>33</v>
      </c>
      <c r="E159" s="2" cm="1">
        <f t="array" ref="E159" ca="1">INDEX(Data_DBD!$E:$E,$A159)</f>
        <v>0</v>
      </c>
      <c r="F159" s="2" t="str" cm="1">
        <f t="array" ref="F159" ca="1">INDEX(Data_DBD!$F:$F,$A159)</f>
        <v>Tinggi</v>
      </c>
      <c r="H159" s="2">
        <v>39</v>
      </c>
      <c r="I159" s="2">
        <v>12</v>
      </c>
      <c r="J159" s="2">
        <v>5</v>
      </c>
      <c r="K159" s="2">
        <v>13</v>
      </c>
      <c r="L159" s="2">
        <v>1</v>
      </c>
      <c r="M159" s="2" t="s">
        <v>7</v>
      </c>
    </row>
    <row r="160" spans="1:13">
      <c r="A160" s="2">
        <f t="shared" ca="1" si="2"/>
        <v>112</v>
      </c>
      <c r="B160" s="2" cm="1">
        <f t="array" ref="B160" ca="1">INDEX(Data_DBD!$B:$B,$A160)</f>
        <v>61</v>
      </c>
      <c r="C160" s="2" cm="1">
        <f t="array" ref="C160" ca="1">INDEX(Data_DBD!$C:$C,$A160)</f>
        <v>3</v>
      </c>
      <c r="D160" s="2" cm="1">
        <f t="array" ref="D160" ca="1">INDEX(Data_DBD!$D:$D,$A160)</f>
        <v>33</v>
      </c>
      <c r="E160" s="2" cm="1">
        <f t="array" ref="E160" ca="1">INDEX(Data_DBD!$E:$E,$A160)</f>
        <v>1</v>
      </c>
      <c r="F160" s="2" t="str" cm="1">
        <f t="array" ref="F160" ca="1">INDEX(Data_DBD!$F:$F,$A160)</f>
        <v>Tinggi</v>
      </c>
      <c r="H160" s="2">
        <v>58</v>
      </c>
      <c r="I160" s="2">
        <v>17</v>
      </c>
      <c r="J160" s="2">
        <v>3</v>
      </c>
      <c r="K160" s="2">
        <v>15</v>
      </c>
      <c r="L160" s="2">
        <v>0</v>
      </c>
      <c r="M160" s="2" t="s">
        <v>7</v>
      </c>
    </row>
    <row r="161" spans="1:22">
      <c r="A161" s="2">
        <f t="shared" ca="1" si="2"/>
        <v>66</v>
      </c>
      <c r="B161" s="2" cm="1">
        <f t="array" ref="B161" ca="1">INDEX(Data_DBD!$B:$B,$A161)</f>
        <v>21</v>
      </c>
      <c r="C161" s="2" cm="1">
        <f t="array" ref="C161" ca="1">INDEX(Data_DBD!$C:$C,$A161)</f>
        <v>5</v>
      </c>
      <c r="D161" s="2" cm="1">
        <f t="array" ref="D161" ca="1">INDEX(Data_DBD!$D:$D,$A161)</f>
        <v>15</v>
      </c>
      <c r="E161" s="2" cm="1">
        <f t="array" ref="E161" ca="1">INDEX(Data_DBD!$E:$E,$A161)</f>
        <v>1</v>
      </c>
      <c r="F161" s="2" t="str" cm="1">
        <f t="array" ref="F161" ca="1">INDEX(Data_DBD!$F:$F,$A161)</f>
        <v>Sedang</v>
      </c>
      <c r="H161" s="2">
        <v>146</v>
      </c>
      <c r="I161" s="2">
        <v>34</v>
      </c>
      <c r="J161" s="2">
        <v>2</v>
      </c>
      <c r="K161" s="2">
        <v>21</v>
      </c>
      <c r="L161" s="2">
        <v>1</v>
      </c>
      <c r="M161" s="2" t="s">
        <v>97</v>
      </c>
    </row>
    <row r="162" spans="1:22">
      <c r="A162" s="2">
        <f t="shared" ca="1" si="2"/>
        <v>9</v>
      </c>
      <c r="B162" s="2" cm="1">
        <f t="array" ref="B162" ca="1">INDEX(Data_DBD!$B:$B,$A162)</f>
        <v>16</v>
      </c>
      <c r="C162" s="2" cm="1">
        <f t="array" ref="C162" ca="1">INDEX(Data_DBD!$C:$C,$A162)</f>
        <v>6</v>
      </c>
      <c r="D162" s="2" cm="1">
        <f t="array" ref="D162" ca="1">INDEX(Data_DBD!$D:$D,$A162)</f>
        <v>12</v>
      </c>
      <c r="E162" s="2" cm="1">
        <f t="array" ref="E162" ca="1">INDEX(Data_DBD!$E:$E,$A162)</f>
        <v>1</v>
      </c>
      <c r="F162" s="2" t="str" cm="1">
        <f t="array" ref="F162" ca="1">INDEX(Data_DBD!$F:$F,$A162)</f>
        <v>Sedang</v>
      </c>
      <c r="H162" s="2">
        <v>144</v>
      </c>
      <c r="I162" s="2">
        <v>61</v>
      </c>
      <c r="J162" s="2">
        <v>4</v>
      </c>
      <c r="K162" s="2">
        <v>21</v>
      </c>
      <c r="L162" s="2">
        <v>1</v>
      </c>
      <c r="M162" s="2" t="s">
        <v>97</v>
      </c>
    </row>
    <row r="163" spans="1:22">
      <c r="A163" s="2">
        <f t="shared" ca="1" si="2"/>
        <v>21</v>
      </c>
      <c r="B163" s="2" cm="1">
        <f t="array" ref="B163" ca="1">INDEX(Data_DBD!$B:$B,$A163)</f>
        <v>10</v>
      </c>
      <c r="C163" s="2" cm="1">
        <f t="array" ref="C163" ca="1">INDEX(Data_DBD!$C:$C,$A163)</f>
        <v>5</v>
      </c>
      <c r="D163" s="2" cm="1">
        <f t="array" ref="D163" ca="1">INDEX(Data_DBD!$D:$D,$A163)</f>
        <v>14</v>
      </c>
      <c r="E163" s="2" cm="1">
        <f t="array" ref="E163" ca="1">INDEX(Data_DBD!$E:$E,$A163)</f>
        <v>1</v>
      </c>
      <c r="F163" s="2" t="str" cm="1">
        <f t="array" ref="F163" ca="1">INDEX(Data_DBD!$F:$F,$A163)</f>
        <v>Sedang</v>
      </c>
      <c r="H163" s="2">
        <v>4</v>
      </c>
      <c r="I163" s="2">
        <v>23</v>
      </c>
      <c r="J163" s="2">
        <v>5</v>
      </c>
      <c r="K163" s="2">
        <v>12</v>
      </c>
      <c r="L163" s="2">
        <v>0</v>
      </c>
      <c r="M163" s="2" t="s">
        <v>7</v>
      </c>
    </row>
    <row r="164" spans="1:22">
      <c r="A164" s="2">
        <f t="shared" ca="1" si="2"/>
        <v>5</v>
      </c>
      <c r="B164" s="2" cm="1">
        <f t="array" ref="B164" ca="1">INDEX(Data_DBD!$B:$B,$A164)</f>
        <v>18</v>
      </c>
      <c r="C164" s="2" cm="1">
        <f t="array" ref="C164" ca="1">INDEX(Data_DBD!$C:$C,$A164)</f>
        <v>2</v>
      </c>
      <c r="D164" s="2" cm="1">
        <f t="array" ref="D164" ca="1">INDEX(Data_DBD!$D:$D,$A164)</f>
        <v>12</v>
      </c>
      <c r="E164" s="2" cm="1">
        <f t="array" ref="E164" ca="1">INDEX(Data_DBD!$E:$E,$A164)</f>
        <v>1</v>
      </c>
      <c r="F164" s="2" t="str" cm="1">
        <f t="array" ref="F164" ca="1">INDEX(Data_DBD!$F:$F,$A164)</f>
        <v>Sedang</v>
      </c>
      <c r="H164" s="2">
        <v>69</v>
      </c>
      <c r="I164" s="2">
        <v>24</v>
      </c>
      <c r="J164" s="2">
        <v>4</v>
      </c>
      <c r="K164" s="2">
        <v>10</v>
      </c>
      <c r="L164" s="2">
        <v>1</v>
      </c>
      <c r="M164" s="2" t="s">
        <v>7</v>
      </c>
    </row>
    <row r="165" spans="1:22">
      <c r="I165" s="10">
        <f>AVERAGE(I2:I164)</f>
        <v>34.558282208588956</v>
      </c>
      <c r="J165" s="10">
        <f>AVERAGE(J2:J164)</f>
        <v>3.6073619631901801</v>
      </c>
      <c r="K165" s="10">
        <f>AVERAGE(K2:K164)</f>
        <v>18.269938650306699</v>
      </c>
      <c r="L165" s="10">
        <f>AVERAGE(L2:L164)</f>
        <v>0.53374233128834403</v>
      </c>
    </row>
    <row r="167" spans="1:22">
      <c r="B167">
        <v>2</v>
      </c>
    </row>
    <row r="168" spans="1:22">
      <c r="E168" s="5" t="s">
        <v>175</v>
      </c>
      <c r="J168" s="5" t="s">
        <v>176</v>
      </c>
      <c r="O168" s="5" t="s">
        <v>177</v>
      </c>
      <c r="T168" s="5" t="s">
        <v>178</v>
      </c>
    </row>
    <row r="169" spans="1:22">
      <c r="E169" s="2" t="s">
        <v>1</v>
      </c>
      <c r="F169" s="2">
        <f>AVERAGEIF($I$2:$I$164,"&lt;="&amp;$I$165)</f>
        <v>17.967032967032967</v>
      </c>
      <c r="G169" s="2">
        <f>AVERAGEIF($I$2:$I$164,"&gt;"&amp;$I$165)</f>
        <v>55.527777777777779</v>
      </c>
      <c r="J169" s="2" t="s">
        <v>179</v>
      </c>
      <c r="K169" s="2">
        <f>AVERAGEIF($J$2:$J$164,"&lt;="&amp;$J$165)</f>
        <v>2.6582278481012702</v>
      </c>
      <c r="L169" s="2">
        <f>AVERAGEIF($J$2:$J$164,"&gt;"&amp;$J$165)</f>
        <v>4.5</v>
      </c>
      <c r="O169" s="2" t="s">
        <v>180</v>
      </c>
      <c r="P169" s="2">
        <f>AVERAGEIF($K$2:$K$164,"&lt;="&amp;$K$165)</f>
        <v>13.3545454545455</v>
      </c>
      <c r="Q169" s="2">
        <f>AVERAGEIF($K$2:$K$164,"&gt;"&amp;$K$165)</f>
        <v>28.471698113207498</v>
      </c>
      <c r="T169" s="2" t="s">
        <v>181</v>
      </c>
      <c r="U169" s="2">
        <f>AVERAGEIF($L$2:$L$164,"&lt;="&amp;$L$165)</f>
        <v>0</v>
      </c>
      <c r="V169" s="2">
        <f>AVERAGEIF($L$2:$L$164,"&gt;"&amp;$L$165)</f>
        <v>1</v>
      </c>
    </row>
    <row r="170" spans="1:22">
      <c r="E170" s="2" t="str" cm="1">
        <f t="array" ref="E170:E332">IF($I$2:$I$164&lt;$F$169,"kiri",IF($I$2:$I$164&lt;$G$169,"tengah","kanan"))</f>
        <v>tengah</v>
      </c>
      <c r="F170" s="2" t="s">
        <v>182</v>
      </c>
      <c r="G170" s="2"/>
      <c r="J170" s="2" t="str" cm="1">
        <f t="array" ref="J170:J332">IF($J$2:$J$164&lt;$K$169,"kiri",IF($J$2:$J$164&lt;$L$169,"tengah","kanan"))</f>
        <v>kanan</v>
      </c>
      <c r="K170" s="2" t="s">
        <v>183</v>
      </c>
      <c r="L170" s="2"/>
      <c r="O170" s="2" t="str" cm="1">
        <f t="array" ref="O170:O332">IF($K$2:$K$164&lt;$P$169,"kiri",IF($K$2:$K$164&lt;$Q$169,"tengah","kanan"))</f>
        <v>kiri</v>
      </c>
      <c r="P170" s="2" t="s">
        <v>184</v>
      </c>
      <c r="Q170" s="2"/>
      <c r="T170" s="2" t="str" cm="1">
        <f t="array" ref="T170:T332">IF($L$2:$L$164&lt;$U$169,"kiri",IF($L$2:$L$164&lt;$V$169,"tengah","kanan"))</f>
        <v>kanan</v>
      </c>
      <c r="U170" s="2" t="s">
        <v>185</v>
      </c>
      <c r="V170" s="2"/>
    </row>
    <row r="171" spans="1:22">
      <c r="E171" s="2" t="str">
        <v>tengah</v>
      </c>
      <c r="F171" s="2">
        <f>COUNTIFS($E$170:$E$332,"Kanan",$M$2:$M$164,"Tinggi")</f>
        <v>18</v>
      </c>
      <c r="G171" s="2">
        <f>F171/32</f>
        <v>0.5625</v>
      </c>
      <c r="J171" s="2" t="str">
        <v>kiri</v>
      </c>
      <c r="K171" s="2">
        <f>COUNTIFS($J$170:$J$332,"Kanan",$M$2:$M$164,"Tinggi")</f>
        <v>11</v>
      </c>
      <c r="L171" s="2">
        <f>K171/27</f>
        <v>0.407407407407407</v>
      </c>
      <c r="O171" s="2" t="str">
        <v>kiri</v>
      </c>
      <c r="P171" s="2">
        <f>COUNTIFS($O$170:$O$332,"Kanan",$M$2:$M$164,"Tinggi")</f>
        <v>33</v>
      </c>
      <c r="Q171" s="2">
        <f>P171/33</f>
        <v>1</v>
      </c>
      <c r="T171" s="2" t="str">
        <v>tengah</v>
      </c>
      <c r="U171" s="2">
        <f>COUNTIFS($T$170:$T$332,"Kanan",$M$2:$M$164,"Tinggi")</f>
        <v>42</v>
      </c>
      <c r="V171" s="2">
        <f>U171/87</f>
        <v>0.48275862068965503</v>
      </c>
    </row>
    <row r="172" spans="1:22">
      <c r="E172" s="2" t="str">
        <v>tengah</v>
      </c>
      <c r="F172" s="2">
        <f>COUNTIFS($E$170:$E$332,"Kanan",$M$2:$M$164,"Sedang")</f>
        <v>13</v>
      </c>
      <c r="G172" s="2">
        <f>F172/32</f>
        <v>0.40625</v>
      </c>
      <c r="J172" s="2" t="str">
        <v>tengah</v>
      </c>
      <c r="K172" s="2">
        <f>COUNTIFS($J$170:$J$332,"Kanan",$M$2:$M$164,"Sedang")</f>
        <v>14</v>
      </c>
      <c r="L172" s="2">
        <f>K172/27</f>
        <v>0.51851851851851805</v>
      </c>
      <c r="O172" s="2" t="str">
        <v>kanan</v>
      </c>
      <c r="P172" s="2">
        <f>COUNTIFS($O$170:$O$332,"Kanan",$M$2:$M$164,"Sedang")</f>
        <v>0</v>
      </c>
      <c r="Q172" s="2">
        <f>P172/27</f>
        <v>0</v>
      </c>
      <c r="T172" s="2" t="str">
        <v>tengah</v>
      </c>
      <c r="U172" s="2">
        <f>COUNTIFS($T$170:$T$332,"Kanan",$M$2:$M$164,"Sedang")</f>
        <v>38</v>
      </c>
      <c r="V172" s="2">
        <f>U172/87</f>
        <v>0.43678160919540199</v>
      </c>
    </row>
    <row r="173" spans="1:22">
      <c r="E173" s="2" t="str">
        <v>kanan</v>
      </c>
      <c r="F173" s="2">
        <f>COUNTIFS($E$170:$E$332,"Kanan",$M$2:$M$164,"Rendah")</f>
        <v>1</v>
      </c>
      <c r="G173" s="2">
        <f>F173/32</f>
        <v>3.125E-2</v>
      </c>
      <c r="J173" s="2" t="str">
        <v>tengah</v>
      </c>
      <c r="K173" s="2">
        <f>COUNTIFS($J$170:$J$332,"Kanan",$M$2:$M$164,"Rendah")</f>
        <v>2</v>
      </c>
      <c r="L173" s="2">
        <f>K173/27</f>
        <v>7.4074074074074098E-2</v>
      </c>
      <c r="O173" s="2" t="str">
        <v>tengah</v>
      </c>
      <c r="P173" s="2">
        <f>COUNTIFS($O$170:$O$332,"Kanan",$M$2:$M$164,"Rendah")</f>
        <v>0</v>
      </c>
      <c r="Q173" s="2">
        <f>P173/27</f>
        <v>0</v>
      </c>
      <c r="T173" s="2" t="str">
        <v>kanan</v>
      </c>
      <c r="U173" s="2">
        <f>COUNTIFS($T$170:$T$332,"Kanan",$M$2:$M$164,"Rendah")</f>
        <v>7</v>
      </c>
      <c r="V173" s="2">
        <f>U173/87</f>
        <v>8.04597701149425E-2</v>
      </c>
    </row>
    <row r="174" spans="1:22">
      <c r="E174" s="2" t="str">
        <v>tengah</v>
      </c>
      <c r="F174" s="2" t="s">
        <v>186</v>
      </c>
      <c r="G174" s="2">
        <f>-(IFERROR(G171*LOG(G171,2),0)+IFERROR(G172*LOG(G172,2),0)+IFERROR(G173*LOG(G173,2),0))</f>
        <v>1.1511135511938806</v>
      </c>
      <c r="J174" s="2" t="str">
        <v>tengah</v>
      </c>
      <c r="K174" s="2" t="s">
        <v>186</v>
      </c>
      <c r="L174" s="2">
        <f>-(IFERROR(L171*LOG(L171,2),0)+IFERROR(L172*LOG(L172,2),0)+IFERROR(L173*LOG(L173,2),0))</f>
        <v>1.2972313275776599</v>
      </c>
      <c r="O174" s="2" t="str">
        <v>kanan</v>
      </c>
      <c r="P174" s="2" t="s">
        <v>186</v>
      </c>
      <c r="Q174" s="2">
        <f>-(IFERROR(Q171*LOG(Q171,2),0)+IFERROR(Q172*LOG(Q172,2),0)+IFERROR(Q173*LOG(Q173,2),0))</f>
        <v>0</v>
      </c>
      <c r="T174" s="2" t="str">
        <v>tengah</v>
      </c>
      <c r="U174" s="2" t="s">
        <v>186</v>
      </c>
      <c r="V174" s="2">
        <f>-(IFERROR(V171*LOG(V171,2),0)+IFERROR(V172*LOG(V172,2),0)+IFERROR(V173*LOG(V173,2),0))</f>
        <v>1.3216784185847399</v>
      </c>
    </row>
    <row r="175" spans="1:22">
      <c r="E175" s="2" t="str">
        <v>kiri</v>
      </c>
      <c r="F175" s="2"/>
      <c r="G175" s="2">
        <f>SUM(F171:F173)/163</f>
        <v>0.19631901840490798</v>
      </c>
      <c r="J175" s="2" t="str">
        <v>kiri</v>
      </c>
      <c r="K175" s="2"/>
      <c r="L175" s="2">
        <f>SUM(K171:K173)/163</f>
        <v>0.16564417177914101</v>
      </c>
      <c r="O175" s="2" t="str">
        <v>tengah</v>
      </c>
      <c r="P175" s="2"/>
      <c r="Q175" s="2">
        <f>SUM(P171:P173)/163</f>
        <v>0.20245398773006101</v>
      </c>
      <c r="T175" s="2" t="str">
        <v>tengah</v>
      </c>
      <c r="U175" s="2"/>
      <c r="V175" s="2">
        <f>SUM(U171:U173)/163</f>
        <v>0.53374233128834403</v>
      </c>
    </row>
    <row r="176" spans="1:22">
      <c r="E176" s="2" t="str">
        <v>tengah</v>
      </c>
      <c r="F176" s="2"/>
      <c r="G176" s="6">
        <f>G174*G175</f>
        <v>0.22598548244297043</v>
      </c>
      <c r="J176" s="2" t="str">
        <v>kiri</v>
      </c>
      <c r="K176" s="2"/>
      <c r="L176" s="6">
        <f>L174*L175</f>
        <v>0.214878808862558</v>
      </c>
      <c r="O176" s="2" t="str">
        <v>tengah</v>
      </c>
      <c r="P176" s="2"/>
      <c r="Q176" s="6">
        <f>Q174*Q175</f>
        <v>0</v>
      </c>
      <c r="T176" s="2" t="str">
        <v>tengah</v>
      </c>
      <c r="U176" s="2"/>
      <c r="V176" s="6">
        <f>V174*V175</f>
        <v>0.705435720348908</v>
      </c>
    </row>
    <row r="177" spans="5:22">
      <c r="E177" s="2" t="str">
        <v>kiri</v>
      </c>
      <c r="F177" s="2"/>
      <c r="G177" s="2"/>
      <c r="J177" s="2" t="str">
        <v>tengah</v>
      </c>
      <c r="K177" s="2"/>
      <c r="L177" s="2"/>
      <c r="O177" s="2" t="str">
        <v>tengah</v>
      </c>
      <c r="P177" s="2"/>
      <c r="Q177" s="2"/>
      <c r="T177" s="2" t="str">
        <v>tengah</v>
      </c>
      <c r="U177" s="2"/>
      <c r="V177" s="2"/>
    </row>
    <row r="178" spans="5:22">
      <c r="E178" s="2" t="str">
        <v>tengah</v>
      </c>
      <c r="F178" s="2"/>
      <c r="G178" s="2"/>
      <c r="J178" s="2" t="str">
        <v>tengah</v>
      </c>
      <c r="K178" s="2"/>
      <c r="L178" s="2"/>
      <c r="O178" s="2" t="str">
        <v>kiri</v>
      </c>
      <c r="P178" s="2"/>
      <c r="Q178" s="2"/>
      <c r="T178" s="2" t="str">
        <v>kanan</v>
      </c>
      <c r="U178" s="2"/>
      <c r="V178" s="2"/>
    </row>
    <row r="179" spans="5:22">
      <c r="E179" s="2" t="str">
        <v>kiri</v>
      </c>
      <c r="F179" s="2" t="s">
        <v>187</v>
      </c>
      <c r="G179" s="2"/>
      <c r="J179" s="2" t="str">
        <v>tengah</v>
      </c>
      <c r="K179" s="2" t="s">
        <v>188</v>
      </c>
      <c r="L179" s="2"/>
      <c r="O179" s="2" t="str">
        <v>kiri</v>
      </c>
      <c r="P179" s="2" t="s">
        <v>189</v>
      </c>
      <c r="Q179" s="2"/>
      <c r="T179" s="2" t="str">
        <v>tengah</v>
      </c>
      <c r="U179" s="2" t="s">
        <v>190</v>
      </c>
      <c r="V179" s="2"/>
    </row>
    <row r="180" spans="5:22">
      <c r="E180" s="2" t="str">
        <v>kanan</v>
      </c>
      <c r="F180" s="2">
        <f>COUNTIFS($E$170:$E$332,"Kiri",$M$2:$M$164,"Tinggi")</f>
        <v>17</v>
      </c>
      <c r="G180" s="2">
        <f>F180/41</f>
        <v>0.41463414634146339</v>
      </c>
      <c r="J180" s="2" t="str">
        <v>kanan</v>
      </c>
      <c r="K180" s="2">
        <f>COUNTIFS($J$170:$J$332,"Kiri",$M$2:$M$164,"Tinggi")</f>
        <v>16</v>
      </c>
      <c r="L180" s="2">
        <f>K180/25</f>
        <v>0.64</v>
      </c>
      <c r="O180" s="2" t="str">
        <v>kanan</v>
      </c>
      <c r="P180" s="2">
        <f>COUNTIFS($O$170:$O$332,"Kiri",$M$2:$M$164,"Tinggi")</f>
        <v>0</v>
      </c>
      <c r="Q180" s="2">
        <f>P180/57</f>
        <v>0</v>
      </c>
      <c r="T180" s="2" t="str">
        <v>kanan</v>
      </c>
      <c r="U180" s="2">
        <f>COUNTIFS($T$170:$T$332,"Kiri",$M$2:$M$164,"Tinggi")</f>
        <v>0</v>
      </c>
      <c r="V180" s="2">
        <f>U180/57</f>
        <v>0</v>
      </c>
    </row>
    <row r="181" spans="5:22">
      <c r="E181" s="2" t="str">
        <v>kiri</v>
      </c>
      <c r="F181" s="2">
        <f>COUNTIFS($E$170:$E$332,"Kiri",$M$2:$M$164,"Sedang")</f>
        <v>22</v>
      </c>
      <c r="G181" s="2">
        <f>F181/41</f>
        <v>0.53658536585365857</v>
      </c>
      <c r="J181" s="2" t="str">
        <v>tengah</v>
      </c>
      <c r="K181" s="2">
        <f>COUNTIFS($J$170:$J$332,"Kiri",$M$2:$M$164,"Sedang")</f>
        <v>6</v>
      </c>
      <c r="L181" s="2">
        <f>K181/25</f>
        <v>0.24</v>
      </c>
      <c r="O181" s="2" t="str">
        <v>kanan</v>
      </c>
      <c r="P181" s="2">
        <f>COUNTIFS($O$170:$O$332,"Kiri",$M$2:$M$164,"Sedang")</f>
        <v>46</v>
      </c>
      <c r="Q181" s="2">
        <f>P181/57</f>
        <v>0.80701754385964897</v>
      </c>
      <c r="T181" s="2" t="str">
        <v>kanan</v>
      </c>
      <c r="U181" s="2">
        <f>COUNTIFS($T$170:$T$332,"Kiri",$M$2:$M$164,"Sedang")</f>
        <v>0</v>
      </c>
      <c r="V181" s="2">
        <f>U181/57</f>
        <v>0</v>
      </c>
    </row>
    <row r="182" spans="5:22">
      <c r="E182" s="2" t="str">
        <v>tengah</v>
      </c>
      <c r="F182" s="2">
        <f>COUNTIFS($E$170:$E$332,"Kiri",$M$2:$M$164,"Rendah")</f>
        <v>2</v>
      </c>
      <c r="G182" s="2">
        <f>F182/41</f>
        <v>4.878048780487805E-2</v>
      </c>
      <c r="J182" s="2" t="str">
        <v>tengah</v>
      </c>
      <c r="K182" s="2">
        <f>COUNTIFS($J$170:$J$332,"Kiri",$M$2:$M$164,"Rendah")</f>
        <v>3</v>
      </c>
      <c r="L182" s="2">
        <f>K182/25</f>
        <v>0.12</v>
      </c>
      <c r="O182" s="2" t="str">
        <v>kanan</v>
      </c>
      <c r="P182" s="2">
        <f>COUNTIFS($O$170:$O$332,"Kiri",$M$2:$M$164,"Rendah")</f>
        <v>11</v>
      </c>
      <c r="Q182" s="2">
        <f>P182/57</f>
        <v>0.19298245614035101</v>
      </c>
      <c r="T182" s="2" t="str">
        <v>kanan</v>
      </c>
      <c r="U182" s="2">
        <f>COUNTIFS($T$170:$T$332,"Kiri",$M$2:$M$164,"Rendah")</f>
        <v>0</v>
      </c>
      <c r="V182" s="2">
        <f>U182/57</f>
        <v>0</v>
      </c>
    </row>
    <row r="183" spans="5:22">
      <c r="E183" s="2" t="str">
        <v>tengah</v>
      </c>
      <c r="F183" s="2" t="s">
        <v>186</v>
      </c>
      <c r="G183" s="2">
        <f>-(IFERROR(G180*LOG(G180,2),0)+IFERROR(G181*LOG(G181,2),0)+IFERROR(G182*LOG(G182,2),0))</f>
        <v>1.2211041043430519</v>
      </c>
      <c r="J183" s="2" t="str">
        <v>kanan</v>
      </c>
      <c r="K183" s="2" t="s">
        <v>186</v>
      </c>
      <c r="L183" s="2">
        <f>-(IFERROR(L180*LOG(L180,2),0)+IFERROR(L181*LOG(L181,2),0)+IFERROR(L182*LOG(L182,2),0))</f>
        <v>1.2732696895151101</v>
      </c>
      <c r="O183" s="2" t="str">
        <v>kiri</v>
      </c>
      <c r="P183" s="2" t="s">
        <v>186</v>
      </c>
      <c r="Q183" s="2">
        <f>-(IFERROR(Q180*LOG(Q180,2),0)+IFERROR(Q181*LOG(Q181,2),0)+IFERROR(Q182*LOG(Q182,2),0))</f>
        <v>0.70766900041679703</v>
      </c>
      <c r="T183" s="2" t="str">
        <v>tengah</v>
      </c>
      <c r="U183" s="2" t="s">
        <v>186</v>
      </c>
      <c r="V183" s="2">
        <f>-(IFERROR(V180*LOG(V180,2),0)+IFERROR(V181*LOG(V181,2),0)+IFERROR(V182*LOG(V182,2),0))</f>
        <v>0</v>
      </c>
    </row>
    <row r="184" spans="5:22">
      <c r="E184" s="2" t="str">
        <v>kanan</v>
      </c>
      <c r="F184" s="2"/>
      <c r="G184" s="2">
        <f>SUM(F180:F182)/163</f>
        <v>0.25153374233128833</v>
      </c>
      <c r="J184" s="2" t="str">
        <v>tengah</v>
      </c>
      <c r="K184" s="2"/>
      <c r="L184" s="2">
        <f>SUM(K180:K182)/163</f>
        <v>0.153374233128834</v>
      </c>
      <c r="O184" s="2" t="str">
        <v>kiri</v>
      </c>
      <c r="P184" s="2"/>
      <c r="Q184" s="2">
        <f>SUM(P180:P182)/163</f>
        <v>0.34969325153374198</v>
      </c>
      <c r="T184" s="2" t="str">
        <v>tengah</v>
      </c>
      <c r="U184" s="2"/>
      <c r="V184" s="2">
        <f>SUM(U180:U182)/163</f>
        <v>0</v>
      </c>
    </row>
    <row r="185" spans="5:22">
      <c r="E185" s="2" t="str">
        <v>tengah</v>
      </c>
      <c r="F185" s="2"/>
      <c r="G185" s="6">
        <f>G183*G184</f>
        <v>0.30714888514150385</v>
      </c>
      <c r="J185" s="2" t="str">
        <v>kiri</v>
      </c>
      <c r="K185" s="2"/>
      <c r="L185" s="6">
        <f>L183*L184</f>
        <v>0.19528676219556901</v>
      </c>
      <c r="O185" s="2" t="str">
        <v>kanan</v>
      </c>
      <c r="P185" s="2"/>
      <c r="Q185" s="6">
        <f>Q183*Q184</f>
        <v>0.24746707376538299</v>
      </c>
      <c r="T185" s="2" t="str">
        <v>tengah</v>
      </c>
      <c r="U185" s="2"/>
      <c r="V185" s="6">
        <f>V183*V184</f>
        <v>0</v>
      </c>
    </row>
    <row r="186" spans="5:22">
      <c r="E186" s="2" t="str">
        <v>kanan</v>
      </c>
      <c r="F186" s="2"/>
      <c r="G186" s="2"/>
      <c r="J186" s="2" t="str">
        <v>kanan</v>
      </c>
      <c r="K186" s="2"/>
      <c r="L186" s="2"/>
      <c r="O186" s="2" t="str">
        <v>tengah</v>
      </c>
      <c r="P186" s="2"/>
      <c r="Q186" s="2"/>
      <c r="T186" s="2" t="str">
        <v>kanan</v>
      </c>
      <c r="U186" s="2"/>
      <c r="V186" s="2"/>
    </row>
    <row r="187" spans="5:22">
      <c r="E187" s="2" t="str">
        <v>tengah</v>
      </c>
      <c r="F187" s="2"/>
      <c r="G187" s="2"/>
      <c r="J187" s="2" t="str">
        <v>kiri</v>
      </c>
      <c r="K187" s="2"/>
      <c r="L187" s="2"/>
      <c r="O187" s="2" t="str">
        <v>kiri</v>
      </c>
      <c r="P187" s="2"/>
      <c r="Q187" s="2"/>
      <c r="T187" s="2" t="str">
        <v>tengah</v>
      </c>
      <c r="U187" s="2"/>
      <c r="V187" s="2"/>
    </row>
    <row r="188" spans="5:22">
      <c r="E188" s="2" t="str">
        <v>tengah</v>
      </c>
      <c r="F188" s="2" t="s">
        <v>191</v>
      </c>
      <c r="G188" s="2"/>
      <c r="J188" s="2" t="str">
        <v>tengah</v>
      </c>
      <c r="K188" s="2" t="s">
        <v>191</v>
      </c>
      <c r="L188" s="2"/>
      <c r="O188" s="2" t="str">
        <v>tengah</v>
      </c>
      <c r="P188" s="2" t="s">
        <v>191</v>
      </c>
      <c r="Q188" s="2"/>
      <c r="T188" s="2" t="str">
        <v>tengah</v>
      </c>
      <c r="U188" s="2" t="s">
        <v>191</v>
      </c>
      <c r="V188" s="2"/>
    </row>
    <row r="189" spans="5:22">
      <c r="E189" s="2" t="str">
        <v>tengah</v>
      </c>
      <c r="F189" s="2">
        <f>COUNTIFS($E$170:$E$332,"Tengah",$M$2:$M$164,"Tinggi")</f>
        <v>38</v>
      </c>
      <c r="G189" s="2">
        <f>F189/90</f>
        <v>0.42222222222222222</v>
      </c>
      <c r="J189" s="2" t="str">
        <v>tengah</v>
      </c>
      <c r="K189" s="2">
        <f>COUNTIFS($J$170:$J$332,"Tengah",$M$2:$M$164,"Tinggi")</f>
        <v>46</v>
      </c>
      <c r="L189" s="2">
        <f>K189/111</f>
        <v>0.41441441441441401</v>
      </c>
      <c r="O189" s="2" t="str">
        <v>kiri</v>
      </c>
      <c r="P189" s="2">
        <f>COUNTIFS($O$170:$O$332,"Tengah",$M$2:$M$164,"Tinggi")</f>
        <v>40</v>
      </c>
      <c r="Q189" s="2">
        <f>P189/73</f>
        <v>0.54794520547945202</v>
      </c>
      <c r="T189" s="2" t="str">
        <v>kanan</v>
      </c>
      <c r="U189" s="2">
        <f>COUNTIFS($T$170:$T$332,"Tengah",$M$2:$M$164,"Tinggi")</f>
        <v>31</v>
      </c>
      <c r="V189" s="2">
        <f>U189/76</f>
        <v>0.40789473684210498</v>
      </c>
    </row>
    <row r="190" spans="5:22">
      <c r="E190" s="2" t="str">
        <v>tengah</v>
      </c>
      <c r="F190" s="2">
        <f>COUNTIFS($E$170:$E$332,"Tengah",$M$2:$M$164,"Sedang")</f>
        <v>44</v>
      </c>
      <c r="G190" s="2">
        <f>F190/90</f>
        <v>0.48888888888888887</v>
      </c>
      <c r="J190" s="2" t="str">
        <v>tengah</v>
      </c>
      <c r="K190" s="2">
        <f>COUNTIFS($J$170:$J$332,"Tengah",$M$2:$M$164,"Sedang")</f>
        <v>59</v>
      </c>
      <c r="L190" s="2">
        <f>K190/111</f>
        <v>0.53153153153153199</v>
      </c>
      <c r="O190" s="2" t="str">
        <v>tengah</v>
      </c>
      <c r="P190" s="2">
        <f>COUNTIFS($O$170:$O$332,"Tengah",$M$2:$M$164,"Sedang")</f>
        <v>33</v>
      </c>
      <c r="Q190" s="2">
        <f>P190/73</f>
        <v>0.45205479452054798</v>
      </c>
      <c r="T190" s="2" t="str">
        <v>kanan</v>
      </c>
      <c r="U190" s="2">
        <f>COUNTIFS($T$170:$T$332,"Tengah",$M$2:$M$164,"Sedang")</f>
        <v>41</v>
      </c>
      <c r="V190" s="2">
        <f>U190/76</f>
        <v>0.53947368421052599</v>
      </c>
    </row>
    <row r="191" spans="5:22">
      <c r="E191" s="2" t="str">
        <v>kanan</v>
      </c>
      <c r="F191" s="2">
        <f>COUNTIFS($E$170:$E$332,"Tengah",$M$2:$M$164,"Rendah")</f>
        <v>8</v>
      </c>
      <c r="G191" s="2">
        <f>F191/90</f>
        <v>8.8888888888888892E-2</v>
      </c>
      <c r="J191" s="2" t="str">
        <v>tengah</v>
      </c>
      <c r="K191" s="2">
        <f>COUNTIFS($J$170:$J$332,"Tengah",$M$2:$M$164,"Rendah")</f>
        <v>6</v>
      </c>
      <c r="L191" s="2">
        <f>K191/111</f>
        <v>5.4054054054054099E-2</v>
      </c>
      <c r="O191" s="2" t="str">
        <v>tengah</v>
      </c>
      <c r="P191" s="2">
        <f>COUNTIFS($O$170:$O$332,"Tengah",$M$2:$M$164,"Rendah")</f>
        <v>0</v>
      </c>
      <c r="Q191" s="2">
        <f>P191/73</f>
        <v>0</v>
      </c>
      <c r="T191" s="2" t="str">
        <v>tengah</v>
      </c>
      <c r="U191" s="2">
        <f>COUNTIFS($T$170:$T$332,"Tengah",$M$2:$M$164,"Rendah")</f>
        <v>4</v>
      </c>
      <c r="V191" s="2">
        <f>U191/76</f>
        <v>5.2631578947368397E-2</v>
      </c>
    </row>
    <row r="192" spans="5:22">
      <c r="E192" s="2" t="str">
        <v>kiri</v>
      </c>
      <c r="F192" s="2" t="s">
        <v>186</v>
      </c>
      <c r="G192" s="2">
        <f>-(IFERROR(G189*LOG(G189,2),0)+IFERROR(G190*LOG(G190,2),0)+IFERROR(G191*LOG(G191,2),0))</f>
        <v>1.34033935487526</v>
      </c>
      <c r="J192" s="2" t="str">
        <v>tengah</v>
      </c>
      <c r="K192" s="2" t="s">
        <v>186</v>
      </c>
      <c r="L192" s="2">
        <f>-(IFERROR(L189*LOG(L189,2),0)+IFERROR(L190*LOG(L190,2),0)+IFERROR(L191*LOG(L191,2),0))</f>
        <v>1.2388342006266999</v>
      </c>
      <c r="O192" s="2" t="str">
        <v>kiri</v>
      </c>
      <c r="P192" s="2" t="s">
        <v>186</v>
      </c>
      <c r="Q192" s="2">
        <f>-(IFERROR(Q189*LOG(Q189,2),0)+IFERROR(Q190*LOG(Q190,2),0)+IFERROR(Q191*LOG(Q191,2),0))</f>
        <v>0.993357028272847</v>
      </c>
      <c r="T192" s="2" t="str">
        <v>tengah</v>
      </c>
      <c r="U192" s="2" t="s">
        <v>186</v>
      </c>
      <c r="V192" s="2">
        <f>-(IFERROR(V189*LOG(V189,2),0)+IFERROR(V190*LOG(V190,2),0)+IFERROR(V191*LOG(V191,2),0))</f>
        <v>1.23161543697866</v>
      </c>
    </row>
    <row r="193" spans="5:22">
      <c r="E193" s="2" t="str">
        <v>tengah</v>
      </c>
      <c r="F193" s="2"/>
      <c r="G193" s="2">
        <f>SUM(F189:F191)/163</f>
        <v>0.55214723926380371</v>
      </c>
      <c r="J193" s="2" t="str">
        <v>kiri</v>
      </c>
      <c r="K193" s="2"/>
      <c r="L193" s="2">
        <f>SUM(K189:K191)/163</f>
        <v>0.68098159509202405</v>
      </c>
      <c r="O193" s="2" t="str">
        <v>kanan</v>
      </c>
      <c r="P193" s="2"/>
      <c r="Q193" s="2">
        <f>SUM(P189:P191)/163</f>
        <v>0.44785276073619601</v>
      </c>
      <c r="T193" s="2" t="str">
        <v>tengah</v>
      </c>
      <c r="U193" s="2"/>
      <c r="V193" s="2">
        <f>SUM(U189:U191)/163</f>
        <v>0.46625766871165603</v>
      </c>
    </row>
    <row r="194" spans="5:22">
      <c r="E194" s="2" t="str">
        <v>kanan</v>
      </c>
      <c r="F194" s="2"/>
      <c r="G194" s="6">
        <f>G192*G193</f>
        <v>0.74006467447100255</v>
      </c>
      <c r="J194" s="2" t="str">
        <v>tengah</v>
      </c>
      <c r="K194" s="2"/>
      <c r="L194" s="6">
        <f>L192*L193</f>
        <v>0.84362328999732294</v>
      </c>
      <c r="O194" s="2" t="str">
        <v>tengah</v>
      </c>
      <c r="P194" s="2"/>
      <c r="Q194" s="6">
        <f>Q192*Q193</f>
        <v>0.44487768750869799</v>
      </c>
      <c r="T194" s="2" t="str">
        <v>kanan</v>
      </c>
      <c r="U194" s="2"/>
      <c r="V194" s="6">
        <f>V192*V193</f>
        <v>0.57425014239495697</v>
      </c>
    </row>
    <row r="195" spans="5:22">
      <c r="E195" s="2" t="str">
        <v>tengah</v>
      </c>
      <c r="F195" s="2"/>
      <c r="G195" s="2"/>
      <c r="J195" s="2" t="str">
        <v>tengah</v>
      </c>
      <c r="K195" s="2"/>
      <c r="L195" s="2"/>
      <c r="O195" s="2" t="str">
        <v>tengah</v>
      </c>
      <c r="P195" s="2"/>
      <c r="Q195" s="2"/>
      <c r="T195" s="2" t="str">
        <v>tengah</v>
      </c>
      <c r="U195" s="2"/>
      <c r="V195" s="2"/>
    </row>
    <row r="196" spans="5:22">
      <c r="E196" s="2" t="str">
        <v>kiri</v>
      </c>
      <c r="F196" s="2" t="s">
        <v>192</v>
      </c>
      <c r="G196" s="2"/>
      <c r="J196" s="2" t="str">
        <v>tengah</v>
      </c>
      <c r="K196" s="2" t="s">
        <v>192</v>
      </c>
      <c r="L196" s="2"/>
      <c r="O196" s="2" t="str">
        <v>tengah</v>
      </c>
      <c r="P196" s="2" t="s">
        <v>192</v>
      </c>
      <c r="Q196" s="2"/>
      <c r="T196" s="2" t="str">
        <v>tengah</v>
      </c>
      <c r="U196" s="2" t="s">
        <v>192</v>
      </c>
      <c r="V196" s="2"/>
    </row>
    <row r="197" spans="5:22">
      <c r="E197" s="2" t="str">
        <v>tengah</v>
      </c>
      <c r="F197" s="7">
        <f>P5-(G176+G185+G194)</f>
        <v>1.4733899235463088E-2</v>
      </c>
      <c r="G197" s="2"/>
      <c r="J197" s="2" t="str">
        <v>kanan</v>
      </c>
      <c r="K197" s="7">
        <f>P5-(L176+L185+L194)</f>
        <v>3.4144080235489302E-2</v>
      </c>
      <c r="L197" s="2"/>
      <c r="O197" s="2" t="str">
        <v>tengah</v>
      </c>
      <c r="P197" s="7">
        <f>P5-(Q176+Q185+Q194)</f>
        <v>0.59558818001685798</v>
      </c>
      <c r="Q197" s="2"/>
      <c r="T197" s="2" t="str">
        <v>tengah</v>
      </c>
      <c r="U197" s="7">
        <f>P5-(V176+V185+V194)</f>
        <v>8.2470785470742901E-3</v>
      </c>
      <c r="V197" s="2"/>
    </row>
    <row r="198" spans="5:22">
      <c r="E198" s="2" t="str">
        <v>tengah</v>
      </c>
      <c r="F198" s="2"/>
      <c r="G198" s="2"/>
      <c r="J198" s="2" t="str">
        <v>tengah</v>
      </c>
      <c r="K198" s="2"/>
      <c r="L198" s="2"/>
      <c r="O198" s="2" t="str">
        <v>tengah</v>
      </c>
      <c r="P198" s="2"/>
      <c r="Q198" s="2"/>
      <c r="T198" s="2" t="str">
        <v>kanan</v>
      </c>
      <c r="U198" s="2"/>
      <c r="V198" s="2"/>
    </row>
    <row r="199" spans="5:22">
      <c r="E199" s="2" t="str">
        <v>kanan</v>
      </c>
      <c r="F199" s="2"/>
      <c r="G199" s="2"/>
      <c r="J199" s="2" t="str">
        <v>kanan</v>
      </c>
      <c r="K199" s="2"/>
      <c r="L199" s="2"/>
      <c r="O199" s="2" t="str">
        <v>kanan</v>
      </c>
      <c r="P199" s="2"/>
      <c r="Q199" s="2"/>
      <c r="T199" s="2" t="str">
        <v>kanan</v>
      </c>
      <c r="U199" s="2"/>
      <c r="V199" s="2"/>
    </row>
    <row r="200" spans="5:22">
      <c r="E200" s="2" t="str">
        <v>kiri</v>
      </c>
      <c r="F200" s="2"/>
      <c r="G200" s="2"/>
      <c r="J200" s="2" t="str">
        <v>tengah</v>
      </c>
      <c r="K200" s="2"/>
      <c r="L200" s="2"/>
      <c r="O200" s="2" t="str">
        <v>tengah</v>
      </c>
      <c r="P200" s="2"/>
      <c r="Q200" s="2"/>
      <c r="T200" s="2" t="str">
        <v>tengah</v>
      </c>
      <c r="U200" s="2"/>
      <c r="V200" s="2"/>
    </row>
    <row r="201" spans="5:22">
      <c r="E201" s="2" t="str">
        <v>kiri</v>
      </c>
      <c r="F201" s="2"/>
      <c r="G201" s="2"/>
      <c r="J201" s="2" t="str">
        <v>kanan</v>
      </c>
      <c r="K201" s="2"/>
      <c r="L201" s="2"/>
      <c r="O201" s="2" t="str">
        <v>tengah</v>
      </c>
      <c r="P201" s="2"/>
      <c r="Q201" s="2"/>
      <c r="T201" s="2" t="str">
        <v>kanan</v>
      </c>
      <c r="U201" s="2"/>
      <c r="V201" s="2"/>
    </row>
    <row r="202" spans="5:22">
      <c r="E202" s="2" t="str">
        <v>tengah</v>
      </c>
      <c r="F202" s="2"/>
      <c r="G202" s="2"/>
      <c r="J202" s="2" t="str">
        <v>tengah</v>
      </c>
      <c r="K202" s="2"/>
      <c r="L202" s="2"/>
      <c r="O202" s="2" t="str">
        <v>tengah</v>
      </c>
      <c r="P202" s="2"/>
      <c r="Q202" s="2"/>
      <c r="T202" s="2" t="str">
        <v>kanan</v>
      </c>
      <c r="U202" s="2"/>
      <c r="V202" s="2"/>
    </row>
    <row r="203" spans="5:22">
      <c r="E203" s="2" t="str">
        <v>tengah</v>
      </c>
      <c r="F203" s="2"/>
      <c r="G203" s="2"/>
      <c r="J203" s="2" t="str">
        <v>tengah</v>
      </c>
      <c r="K203" s="2"/>
      <c r="L203" s="2"/>
      <c r="O203" s="2" t="str">
        <v>kiri</v>
      </c>
      <c r="P203" s="2"/>
      <c r="Q203" s="2"/>
      <c r="T203" s="2" t="str">
        <v>kanan</v>
      </c>
      <c r="U203" s="2"/>
      <c r="V203" s="2"/>
    </row>
    <row r="204" spans="5:22">
      <c r="E204" s="2" t="str">
        <v>tengah</v>
      </c>
      <c r="F204" s="2"/>
      <c r="G204" s="2"/>
      <c r="J204" s="2" t="str">
        <v>tengah</v>
      </c>
      <c r="K204" s="2"/>
      <c r="L204" s="2"/>
      <c r="O204" s="2" t="str">
        <v>kiri</v>
      </c>
      <c r="P204" s="2"/>
      <c r="Q204" s="2"/>
      <c r="T204" s="2" t="str">
        <v>tengah</v>
      </c>
      <c r="U204" s="2"/>
      <c r="V204" s="2"/>
    </row>
    <row r="205" spans="5:22">
      <c r="E205" s="2" t="str">
        <v>tengah</v>
      </c>
      <c r="F205" s="2"/>
      <c r="G205" s="2"/>
      <c r="J205" s="2" t="str">
        <v>tengah</v>
      </c>
      <c r="K205" s="2"/>
      <c r="L205" s="2"/>
      <c r="O205" s="2" t="str">
        <v>tengah</v>
      </c>
      <c r="P205" s="2"/>
      <c r="Q205" s="2"/>
      <c r="T205" s="2" t="str">
        <v>kanan</v>
      </c>
      <c r="U205" s="2"/>
      <c r="V205" s="2"/>
    </row>
    <row r="206" spans="5:22">
      <c r="E206" s="2" t="str">
        <v>kiri</v>
      </c>
      <c r="F206" s="2"/>
      <c r="G206" s="2"/>
      <c r="J206" s="2" t="str">
        <v>kanan</v>
      </c>
      <c r="K206" s="2"/>
      <c r="L206" s="2"/>
      <c r="O206" s="2" t="str">
        <v>kiri</v>
      </c>
      <c r="P206" s="2"/>
      <c r="Q206" s="2"/>
      <c r="T206" s="2" t="str">
        <v>tengah</v>
      </c>
      <c r="U206" s="2"/>
      <c r="V206" s="2"/>
    </row>
    <row r="207" spans="5:22">
      <c r="E207" s="2" t="str">
        <v>kiri</v>
      </c>
      <c r="F207" s="2"/>
      <c r="G207" s="2"/>
      <c r="J207" s="2" t="str">
        <v>tengah</v>
      </c>
      <c r="K207" s="2"/>
      <c r="L207" s="2"/>
      <c r="O207" s="2" t="str">
        <v>tengah</v>
      </c>
      <c r="P207" s="2"/>
      <c r="Q207" s="2"/>
      <c r="T207" s="2" t="str">
        <v>tengah</v>
      </c>
      <c r="U207" s="2"/>
      <c r="V207" s="2"/>
    </row>
    <row r="208" spans="5:22">
      <c r="E208" s="2" t="str">
        <v>kanan</v>
      </c>
      <c r="F208" s="2"/>
      <c r="G208" s="2"/>
      <c r="J208" s="2" t="str">
        <v>tengah</v>
      </c>
      <c r="K208" s="2"/>
      <c r="L208" s="2"/>
      <c r="O208" s="2" t="str">
        <v>tengah</v>
      </c>
      <c r="P208" s="2"/>
      <c r="Q208" s="2"/>
      <c r="T208" s="2" t="str">
        <v>kanan</v>
      </c>
      <c r="U208" s="2"/>
      <c r="V208" s="2"/>
    </row>
    <row r="209" spans="5:22">
      <c r="E209" s="2" t="str">
        <v>kiri</v>
      </c>
      <c r="F209" s="2"/>
      <c r="G209" s="2"/>
      <c r="J209" s="2" t="str">
        <v>kiri</v>
      </c>
      <c r="K209" s="2"/>
      <c r="L209" s="2"/>
      <c r="O209" s="2" t="str">
        <v>kanan</v>
      </c>
      <c r="P209" s="2"/>
      <c r="Q209" s="2"/>
      <c r="T209" s="2" t="str">
        <v>tengah</v>
      </c>
      <c r="U209" s="2"/>
      <c r="V209" s="2"/>
    </row>
    <row r="210" spans="5:22">
      <c r="E210" s="2" t="str">
        <v>kanan</v>
      </c>
      <c r="F210" s="2"/>
      <c r="G210" s="2"/>
      <c r="J210" s="2" t="str">
        <v>tengah</v>
      </c>
      <c r="K210" s="2"/>
      <c r="L210" s="2"/>
      <c r="O210" s="2" t="str">
        <v>kanan</v>
      </c>
      <c r="P210" s="2"/>
      <c r="Q210" s="2"/>
      <c r="T210" s="2" t="str">
        <v>kanan</v>
      </c>
      <c r="U210" s="2"/>
      <c r="V210" s="2"/>
    </row>
    <row r="211" spans="5:22">
      <c r="E211" s="2" t="str">
        <v>tengah</v>
      </c>
      <c r="F211" s="2"/>
      <c r="G211" s="2"/>
      <c r="J211" s="2" t="str">
        <v>tengah</v>
      </c>
      <c r="K211" s="2"/>
      <c r="L211" s="2"/>
      <c r="O211" s="2" t="str">
        <v>tengah</v>
      </c>
      <c r="P211" s="2"/>
      <c r="Q211" s="2"/>
      <c r="T211" s="2" t="str">
        <v>kanan</v>
      </c>
      <c r="U211" s="2"/>
      <c r="V211" s="2"/>
    </row>
    <row r="212" spans="5:22">
      <c r="E212" s="2" t="str">
        <v>kanan</v>
      </c>
      <c r="F212" s="2"/>
      <c r="G212" s="2"/>
      <c r="J212" s="2" t="str">
        <v>tengah</v>
      </c>
      <c r="K212" s="2"/>
      <c r="L212" s="2"/>
      <c r="O212" s="2" t="str">
        <v>tengah</v>
      </c>
      <c r="P212" s="2"/>
      <c r="Q212" s="2"/>
      <c r="T212" s="2" t="str">
        <v>tengah</v>
      </c>
      <c r="U212" s="2"/>
      <c r="V212" s="2"/>
    </row>
    <row r="213" spans="5:22">
      <c r="E213" s="2" t="str">
        <v>kiri</v>
      </c>
      <c r="F213" s="2"/>
      <c r="G213" s="2"/>
      <c r="J213" s="2" t="str">
        <v>kiri</v>
      </c>
      <c r="K213" s="2"/>
      <c r="L213" s="2"/>
      <c r="O213" s="2" t="str">
        <v>tengah</v>
      </c>
      <c r="P213" s="2"/>
      <c r="Q213" s="2"/>
      <c r="T213" s="2" t="str">
        <v>tengah</v>
      </c>
      <c r="U213" s="2"/>
      <c r="V213" s="2"/>
    </row>
    <row r="214" spans="5:22">
      <c r="E214" s="2" t="str">
        <v>tengah</v>
      </c>
      <c r="F214" s="2"/>
      <c r="G214" s="2"/>
      <c r="J214" s="2" t="str">
        <v>kanan</v>
      </c>
      <c r="K214" s="2"/>
      <c r="L214" s="2"/>
      <c r="O214" s="2" t="str">
        <v>kanan</v>
      </c>
      <c r="P214" s="2"/>
      <c r="Q214" s="2"/>
      <c r="T214" s="2" t="str">
        <v>tengah</v>
      </c>
      <c r="U214" s="2"/>
      <c r="V214" s="2"/>
    </row>
    <row r="215" spans="5:22">
      <c r="E215" s="2" t="str">
        <v>kanan</v>
      </c>
      <c r="F215" s="2"/>
      <c r="G215" s="2"/>
      <c r="J215" s="2" t="str">
        <v>tengah</v>
      </c>
      <c r="K215" s="2"/>
      <c r="L215" s="2"/>
      <c r="O215" s="2" t="str">
        <v>tengah</v>
      </c>
      <c r="P215" s="2"/>
      <c r="Q215" s="2"/>
      <c r="T215" s="2" t="str">
        <v>kanan</v>
      </c>
      <c r="U215" s="2"/>
      <c r="V215" s="2"/>
    </row>
    <row r="216" spans="5:22">
      <c r="E216" s="2" t="str">
        <v>kanan</v>
      </c>
      <c r="F216" s="2"/>
      <c r="G216" s="2"/>
      <c r="J216" s="2" t="str">
        <v>tengah</v>
      </c>
      <c r="K216" s="2"/>
      <c r="L216" s="2"/>
      <c r="O216" s="2" t="str">
        <v>tengah</v>
      </c>
      <c r="P216" s="2"/>
      <c r="Q216" s="2"/>
      <c r="T216" s="2" t="str">
        <v>kanan</v>
      </c>
      <c r="U216" s="2"/>
      <c r="V216" s="2"/>
    </row>
    <row r="217" spans="5:22">
      <c r="E217" s="2" t="str">
        <v>tengah</v>
      </c>
      <c r="F217" s="2"/>
      <c r="G217" s="2"/>
      <c r="J217" s="2" t="str">
        <v>tengah</v>
      </c>
      <c r="K217" s="2"/>
      <c r="L217" s="2"/>
      <c r="O217" s="2" t="str">
        <v>kanan</v>
      </c>
      <c r="P217" s="2"/>
      <c r="Q217" s="2"/>
      <c r="T217" s="2" t="str">
        <v>kanan</v>
      </c>
      <c r="U217" s="2"/>
      <c r="V217" s="2"/>
    </row>
    <row r="218" spans="5:22">
      <c r="E218" s="2" t="str">
        <v>tengah</v>
      </c>
      <c r="F218" s="2"/>
      <c r="G218" s="2"/>
      <c r="J218" s="2" t="str">
        <v>kiri</v>
      </c>
      <c r="K218" s="2"/>
      <c r="L218" s="2"/>
      <c r="O218" s="2" t="str">
        <v>kiri</v>
      </c>
      <c r="P218" s="2"/>
      <c r="Q218" s="2"/>
      <c r="T218" s="2" t="str">
        <v>tengah</v>
      </c>
      <c r="U218" s="2"/>
      <c r="V218" s="2"/>
    </row>
    <row r="219" spans="5:22">
      <c r="E219" s="2" t="str">
        <v>tengah</v>
      </c>
      <c r="F219" s="2"/>
      <c r="G219" s="2"/>
      <c r="J219" s="2" t="str">
        <v>tengah</v>
      </c>
      <c r="K219" s="2"/>
      <c r="L219" s="2"/>
      <c r="O219" s="2" t="str">
        <v>kiri</v>
      </c>
      <c r="P219" s="2"/>
      <c r="Q219" s="2"/>
      <c r="T219" s="2" t="str">
        <v>kanan</v>
      </c>
      <c r="U219" s="2"/>
      <c r="V219" s="2"/>
    </row>
    <row r="220" spans="5:22">
      <c r="E220" s="2" t="str">
        <v>tengah</v>
      </c>
      <c r="F220" s="2"/>
      <c r="G220" s="2"/>
      <c r="J220" s="2" t="str">
        <v>kanan</v>
      </c>
      <c r="K220" s="2"/>
      <c r="L220" s="2"/>
      <c r="O220" s="2" t="str">
        <v>kiri</v>
      </c>
      <c r="P220" s="2"/>
      <c r="Q220" s="2"/>
      <c r="T220" s="2" t="str">
        <v>tengah</v>
      </c>
      <c r="U220" s="2"/>
      <c r="V220" s="2"/>
    </row>
    <row r="221" spans="5:22">
      <c r="E221" s="2" t="str">
        <v>tengah</v>
      </c>
      <c r="F221" s="2"/>
      <c r="G221" s="2"/>
      <c r="J221" s="2" t="str">
        <v>tengah</v>
      </c>
      <c r="K221" s="2"/>
      <c r="L221" s="2"/>
      <c r="O221" s="2" t="str">
        <v>kiri</v>
      </c>
      <c r="P221" s="2"/>
      <c r="Q221" s="2"/>
      <c r="T221" s="2" t="str">
        <v>kanan</v>
      </c>
      <c r="U221" s="2"/>
      <c r="V221" s="2"/>
    </row>
    <row r="222" spans="5:22">
      <c r="E222" s="2" t="str">
        <v>kiri</v>
      </c>
      <c r="F222" s="2"/>
      <c r="G222" s="2"/>
      <c r="J222" s="2" t="str">
        <v>tengah</v>
      </c>
      <c r="K222" s="2"/>
      <c r="L222" s="2"/>
      <c r="O222" s="2" t="str">
        <v>tengah</v>
      </c>
      <c r="P222" s="2"/>
      <c r="Q222" s="2"/>
      <c r="T222" s="2" t="str">
        <v>kanan</v>
      </c>
      <c r="U222" s="2"/>
      <c r="V222" s="2"/>
    </row>
    <row r="223" spans="5:22">
      <c r="E223" s="2" t="str">
        <v>kanan</v>
      </c>
      <c r="F223" s="2"/>
      <c r="G223" s="2"/>
      <c r="J223" s="2" t="str">
        <v>tengah</v>
      </c>
      <c r="K223" s="2"/>
      <c r="L223" s="2"/>
      <c r="O223" s="2" t="str">
        <v>kiri</v>
      </c>
      <c r="P223" s="2"/>
      <c r="Q223" s="2"/>
      <c r="T223" s="2" t="str">
        <v>kanan</v>
      </c>
      <c r="U223" s="2"/>
      <c r="V223" s="2"/>
    </row>
    <row r="224" spans="5:22">
      <c r="E224" s="2" t="str">
        <v>tengah</v>
      </c>
      <c r="F224" s="2"/>
      <c r="G224" s="2"/>
      <c r="J224" s="2" t="str">
        <v>tengah</v>
      </c>
      <c r="K224" s="2"/>
      <c r="L224" s="2"/>
      <c r="O224" s="2" t="str">
        <v>tengah</v>
      </c>
      <c r="P224" s="2"/>
      <c r="Q224" s="2"/>
      <c r="T224" s="2" t="str">
        <v>tengah</v>
      </c>
      <c r="U224" s="2"/>
      <c r="V224" s="2"/>
    </row>
    <row r="225" spans="5:22">
      <c r="E225" s="2" t="str">
        <v>kiri</v>
      </c>
      <c r="F225" s="2"/>
      <c r="G225" s="2"/>
      <c r="J225" s="2" t="str">
        <v>tengah</v>
      </c>
      <c r="K225" s="2"/>
      <c r="L225" s="2"/>
      <c r="O225" s="2" t="str">
        <v>tengah</v>
      </c>
      <c r="P225" s="2"/>
      <c r="Q225" s="2"/>
      <c r="T225" s="2" t="str">
        <v>tengah</v>
      </c>
      <c r="U225" s="2"/>
      <c r="V225" s="2"/>
    </row>
    <row r="226" spans="5:22">
      <c r="E226" s="2" t="str">
        <v>tengah</v>
      </c>
      <c r="F226" s="2"/>
      <c r="G226" s="2"/>
      <c r="J226" s="2" t="str">
        <v>tengah</v>
      </c>
      <c r="K226" s="2"/>
      <c r="L226" s="2"/>
      <c r="O226" s="2" t="str">
        <v>tengah</v>
      </c>
      <c r="P226" s="2"/>
      <c r="Q226" s="2"/>
      <c r="T226" s="2" t="str">
        <v>tengah</v>
      </c>
      <c r="U226" s="2"/>
      <c r="V226" s="2"/>
    </row>
    <row r="227" spans="5:22">
      <c r="E227" s="2" t="str">
        <v>tengah</v>
      </c>
      <c r="F227" s="2"/>
      <c r="G227" s="2"/>
      <c r="J227" s="2" t="str">
        <v>tengah</v>
      </c>
      <c r="K227" s="2"/>
      <c r="L227" s="2"/>
      <c r="O227" s="2" t="str">
        <v>tengah</v>
      </c>
      <c r="P227" s="2"/>
      <c r="Q227" s="2"/>
      <c r="T227" s="2" t="str">
        <v>kanan</v>
      </c>
      <c r="U227" s="2"/>
      <c r="V227" s="2"/>
    </row>
    <row r="228" spans="5:22">
      <c r="E228" s="2" t="str">
        <v>tengah</v>
      </c>
      <c r="F228" s="2"/>
      <c r="G228" s="2"/>
      <c r="J228" s="2" t="str">
        <v>kanan</v>
      </c>
      <c r="K228" s="2"/>
      <c r="L228" s="2"/>
      <c r="O228" s="2" t="str">
        <v>tengah</v>
      </c>
      <c r="P228" s="2"/>
      <c r="Q228" s="2"/>
      <c r="T228" s="2" t="str">
        <v>kanan</v>
      </c>
      <c r="U228" s="2"/>
      <c r="V228" s="2"/>
    </row>
    <row r="229" spans="5:22">
      <c r="E229" s="2" t="str">
        <v>kanan</v>
      </c>
      <c r="F229" s="2"/>
      <c r="G229" s="2"/>
      <c r="J229" s="2" t="str">
        <v>tengah</v>
      </c>
      <c r="K229" s="2"/>
      <c r="L229" s="2"/>
      <c r="O229" s="2" t="str">
        <v>tengah</v>
      </c>
      <c r="P229" s="2"/>
      <c r="Q229" s="2"/>
      <c r="T229" s="2" t="str">
        <v>kanan</v>
      </c>
      <c r="U229" s="2"/>
      <c r="V229" s="2"/>
    </row>
    <row r="230" spans="5:22">
      <c r="E230" s="2" t="str">
        <v>kiri</v>
      </c>
      <c r="F230" s="2"/>
      <c r="G230" s="2"/>
      <c r="J230" s="2" t="str">
        <v>tengah</v>
      </c>
      <c r="K230" s="2"/>
      <c r="L230" s="2"/>
      <c r="O230" s="2" t="str">
        <v>tengah</v>
      </c>
      <c r="P230" s="2"/>
      <c r="Q230" s="2"/>
      <c r="T230" s="2" t="str">
        <v>kanan</v>
      </c>
      <c r="U230" s="2"/>
      <c r="V230" s="2"/>
    </row>
    <row r="231" spans="5:22">
      <c r="E231" s="2" t="str">
        <v>kiri</v>
      </c>
      <c r="F231" s="2"/>
      <c r="G231" s="2"/>
      <c r="J231" s="2" t="str">
        <v>kiri</v>
      </c>
      <c r="K231" s="2"/>
      <c r="L231" s="2"/>
      <c r="O231" s="2" t="str">
        <v>tengah</v>
      </c>
      <c r="P231" s="2"/>
      <c r="Q231" s="2"/>
      <c r="T231" s="2" t="str">
        <v>kanan</v>
      </c>
      <c r="U231" s="2"/>
      <c r="V231" s="2"/>
    </row>
    <row r="232" spans="5:22">
      <c r="E232" s="2" t="str">
        <v>kanan</v>
      </c>
      <c r="F232" s="2"/>
      <c r="G232" s="2"/>
      <c r="J232" s="2" t="str">
        <v>tengah</v>
      </c>
      <c r="K232" s="2"/>
      <c r="L232" s="2"/>
      <c r="O232" s="2" t="str">
        <v>tengah</v>
      </c>
      <c r="P232" s="2"/>
      <c r="Q232" s="2"/>
      <c r="T232" s="2" t="str">
        <v>tengah</v>
      </c>
      <c r="U232" s="2"/>
      <c r="V232" s="2"/>
    </row>
    <row r="233" spans="5:22">
      <c r="E233" s="2" t="str">
        <v>tengah</v>
      </c>
      <c r="F233" s="2"/>
      <c r="G233" s="2"/>
      <c r="J233" s="2" t="str">
        <v>kiri</v>
      </c>
      <c r="K233" s="2"/>
      <c r="L233" s="2"/>
      <c r="O233" s="2" t="str">
        <v>tengah</v>
      </c>
      <c r="P233" s="2"/>
      <c r="Q233" s="2"/>
      <c r="T233" s="2" t="str">
        <v>tengah</v>
      </c>
      <c r="U233" s="2"/>
      <c r="V233" s="2"/>
    </row>
    <row r="234" spans="5:22">
      <c r="E234" s="2" t="str">
        <v>tengah</v>
      </c>
      <c r="F234" s="2"/>
      <c r="G234" s="2"/>
      <c r="J234" s="2" t="str">
        <v>kiri</v>
      </c>
      <c r="K234" s="2"/>
      <c r="L234" s="2"/>
      <c r="O234" s="2" t="str">
        <v>kanan</v>
      </c>
      <c r="P234" s="2"/>
      <c r="Q234" s="2"/>
      <c r="T234" s="2" t="str">
        <v>tengah</v>
      </c>
      <c r="U234" s="2"/>
      <c r="V234" s="2"/>
    </row>
    <row r="235" spans="5:22">
      <c r="E235" s="2" t="str">
        <v>tengah</v>
      </c>
      <c r="F235" s="2"/>
      <c r="G235" s="2"/>
      <c r="J235" s="2" t="str">
        <v>tengah</v>
      </c>
      <c r="K235" s="2"/>
      <c r="L235" s="2"/>
      <c r="O235" s="2" t="str">
        <v>kiri</v>
      </c>
      <c r="P235" s="2"/>
      <c r="Q235" s="2"/>
      <c r="T235" s="2" t="str">
        <v>tengah</v>
      </c>
      <c r="U235" s="2"/>
      <c r="V235" s="2"/>
    </row>
    <row r="236" spans="5:22">
      <c r="E236" s="2" t="str">
        <v>tengah</v>
      </c>
      <c r="F236" s="2"/>
      <c r="G236" s="2"/>
      <c r="J236" s="2" t="str">
        <v>kanan</v>
      </c>
      <c r="K236" s="2"/>
      <c r="L236" s="2"/>
      <c r="O236" s="2" t="str">
        <v>kiri</v>
      </c>
      <c r="P236" s="2"/>
      <c r="Q236" s="2"/>
      <c r="T236" s="2" t="str">
        <v>kanan</v>
      </c>
      <c r="U236" s="2"/>
      <c r="V236" s="2"/>
    </row>
    <row r="237" spans="5:22">
      <c r="E237" s="2" t="str">
        <v>tengah</v>
      </c>
      <c r="F237" s="2"/>
      <c r="G237" s="2"/>
      <c r="J237" s="2" t="str">
        <v>tengah</v>
      </c>
      <c r="K237" s="2"/>
      <c r="L237" s="2"/>
      <c r="O237" s="2" t="str">
        <v>kiri</v>
      </c>
      <c r="P237" s="2"/>
      <c r="Q237" s="2"/>
      <c r="T237" s="2" t="str">
        <v>tengah</v>
      </c>
      <c r="U237" s="2"/>
      <c r="V237" s="2"/>
    </row>
    <row r="238" spans="5:22">
      <c r="E238" s="2" t="str">
        <v>kiri</v>
      </c>
      <c r="F238" s="2"/>
      <c r="G238" s="2"/>
      <c r="J238" s="2" t="str">
        <v>tengah</v>
      </c>
      <c r="K238" s="2"/>
      <c r="L238" s="2"/>
      <c r="O238" s="2" t="str">
        <v>kanan</v>
      </c>
      <c r="P238" s="2"/>
      <c r="Q238" s="2"/>
      <c r="T238" s="2" t="str">
        <v>tengah</v>
      </c>
      <c r="U238" s="2"/>
      <c r="V238" s="2"/>
    </row>
    <row r="239" spans="5:22">
      <c r="E239" s="2" t="str">
        <v>kiri</v>
      </c>
      <c r="F239" s="2"/>
      <c r="G239" s="2"/>
      <c r="J239" s="2" t="str">
        <v>tengah</v>
      </c>
      <c r="K239" s="2"/>
      <c r="L239" s="2"/>
      <c r="O239" s="2" t="str">
        <v>kanan</v>
      </c>
      <c r="P239" s="2"/>
      <c r="Q239" s="2"/>
      <c r="T239" s="2" t="str">
        <v>tengah</v>
      </c>
      <c r="U239" s="2"/>
      <c r="V239" s="2"/>
    </row>
    <row r="240" spans="5:22">
      <c r="E240" s="2" t="str">
        <v>kiri</v>
      </c>
      <c r="F240" s="2"/>
      <c r="G240" s="2"/>
      <c r="J240" s="2" t="str">
        <v>tengah</v>
      </c>
      <c r="K240" s="2"/>
      <c r="L240" s="2"/>
      <c r="O240" s="2" t="str">
        <v>tengah</v>
      </c>
      <c r="P240" s="2"/>
      <c r="Q240" s="2"/>
      <c r="T240" s="2" t="str">
        <v>tengah</v>
      </c>
      <c r="U240" s="2"/>
      <c r="V240" s="2"/>
    </row>
    <row r="241" spans="5:22">
      <c r="E241" s="2" t="str">
        <v>tengah</v>
      </c>
      <c r="F241" s="2"/>
      <c r="G241" s="2"/>
      <c r="J241" s="2" t="str">
        <v>tengah</v>
      </c>
      <c r="K241" s="2"/>
      <c r="L241" s="2"/>
      <c r="O241" s="2" t="str">
        <v>kiri</v>
      </c>
      <c r="P241" s="2"/>
      <c r="Q241" s="2"/>
      <c r="T241" s="2" t="str">
        <v>kanan</v>
      </c>
      <c r="U241" s="2"/>
      <c r="V241" s="2"/>
    </row>
    <row r="242" spans="5:22">
      <c r="E242" s="2" t="str">
        <v>tengah</v>
      </c>
      <c r="F242" s="2"/>
      <c r="G242" s="2"/>
      <c r="J242" s="2" t="str">
        <v>tengah</v>
      </c>
      <c r="K242" s="2"/>
      <c r="L242" s="2"/>
      <c r="O242" s="2" t="str">
        <v>tengah</v>
      </c>
      <c r="P242" s="2"/>
      <c r="Q242" s="2"/>
      <c r="T242" s="2" t="str">
        <v>kanan</v>
      </c>
      <c r="U242" s="2"/>
      <c r="V242" s="2"/>
    </row>
    <row r="243" spans="5:22">
      <c r="E243" s="2" t="str">
        <v>kiri</v>
      </c>
      <c r="F243" s="2"/>
      <c r="G243" s="2"/>
      <c r="J243" s="2" t="str">
        <v>kiri</v>
      </c>
      <c r="K243" s="2"/>
      <c r="L243" s="2"/>
      <c r="O243" s="2" t="str">
        <v>kanan</v>
      </c>
      <c r="P243" s="2"/>
      <c r="Q243" s="2"/>
      <c r="T243" s="2" t="str">
        <v>kanan</v>
      </c>
      <c r="U243" s="2"/>
      <c r="V243" s="2"/>
    </row>
    <row r="244" spans="5:22">
      <c r="E244" s="2" t="str">
        <v>kiri</v>
      </c>
      <c r="F244" s="2"/>
      <c r="G244" s="2"/>
      <c r="J244" s="2" t="str">
        <v>tengah</v>
      </c>
      <c r="K244" s="2"/>
      <c r="L244" s="2"/>
      <c r="O244" s="2" t="str">
        <v>kiri</v>
      </c>
      <c r="P244" s="2"/>
      <c r="Q244" s="2"/>
      <c r="T244" s="2" t="str">
        <v>kanan</v>
      </c>
      <c r="U244" s="2"/>
      <c r="V244" s="2"/>
    </row>
    <row r="245" spans="5:22">
      <c r="E245" s="2" t="str">
        <v>kiri</v>
      </c>
      <c r="F245" s="2"/>
      <c r="G245" s="2"/>
      <c r="J245" s="2" t="str">
        <v>kiri</v>
      </c>
      <c r="K245" s="2"/>
      <c r="L245" s="2"/>
      <c r="O245" s="2" t="str">
        <v>kanan</v>
      </c>
      <c r="P245" s="2"/>
      <c r="Q245" s="2"/>
      <c r="T245" s="2" t="str">
        <v>kanan</v>
      </c>
      <c r="U245" s="2"/>
      <c r="V245" s="2"/>
    </row>
    <row r="246" spans="5:22">
      <c r="E246" s="2" t="str">
        <v>tengah</v>
      </c>
      <c r="F246" s="2"/>
      <c r="G246" s="2"/>
      <c r="J246" s="2" t="str">
        <v>tengah</v>
      </c>
      <c r="K246" s="2"/>
      <c r="L246" s="2"/>
      <c r="O246" s="2" t="str">
        <v>tengah</v>
      </c>
      <c r="P246" s="2"/>
      <c r="Q246" s="2"/>
      <c r="T246" s="2" t="str">
        <v>tengah</v>
      </c>
      <c r="U246" s="2"/>
      <c r="V246" s="2"/>
    </row>
    <row r="247" spans="5:22">
      <c r="E247" s="2" t="str">
        <v>tengah</v>
      </c>
      <c r="F247" s="2"/>
      <c r="G247" s="2"/>
      <c r="J247" s="2" t="str">
        <v>tengah</v>
      </c>
      <c r="K247" s="2"/>
      <c r="L247" s="2"/>
      <c r="O247" s="2" t="str">
        <v>kiri</v>
      </c>
      <c r="P247" s="2"/>
      <c r="Q247" s="2"/>
      <c r="T247" s="2" t="str">
        <v>kanan</v>
      </c>
      <c r="U247" s="2"/>
      <c r="V247" s="2"/>
    </row>
    <row r="248" spans="5:22">
      <c r="E248" s="2" t="str">
        <v>kiri</v>
      </c>
      <c r="F248" s="2"/>
      <c r="G248" s="2"/>
      <c r="J248" s="2" t="str">
        <v>kanan</v>
      </c>
      <c r="K248" s="2"/>
      <c r="L248" s="2"/>
      <c r="O248" s="2" t="str">
        <v>kiri</v>
      </c>
      <c r="P248" s="2"/>
      <c r="Q248" s="2"/>
      <c r="T248" s="2" t="str">
        <v>kanan</v>
      </c>
      <c r="U248" s="2"/>
      <c r="V248" s="2"/>
    </row>
    <row r="249" spans="5:22">
      <c r="E249" s="2" t="str">
        <v>tengah</v>
      </c>
      <c r="F249" s="2"/>
      <c r="G249" s="2"/>
      <c r="J249" s="2" t="str">
        <v>kanan</v>
      </c>
      <c r="K249" s="2"/>
      <c r="L249" s="2"/>
      <c r="O249" s="2" t="str">
        <v>tengah</v>
      </c>
      <c r="P249" s="2"/>
      <c r="Q249" s="2"/>
      <c r="T249" s="2" t="str">
        <v>tengah</v>
      </c>
      <c r="U249" s="2"/>
      <c r="V249" s="2"/>
    </row>
    <row r="250" spans="5:22">
      <c r="E250" s="2" t="str">
        <v>tengah</v>
      </c>
      <c r="F250" s="2"/>
      <c r="G250" s="2"/>
      <c r="J250" s="2" t="str">
        <v>tengah</v>
      </c>
      <c r="K250" s="2"/>
      <c r="L250" s="2"/>
      <c r="O250" s="2" t="str">
        <v>tengah</v>
      </c>
      <c r="P250" s="2"/>
      <c r="Q250" s="2"/>
      <c r="T250" s="2" t="str">
        <v>tengah</v>
      </c>
      <c r="U250" s="2"/>
      <c r="V250" s="2"/>
    </row>
    <row r="251" spans="5:22">
      <c r="E251" s="2" t="str">
        <v>tengah</v>
      </c>
      <c r="F251" s="2"/>
      <c r="G251" s="2"/>
      <c r="J251" s="2" t="str">
        <v>tengah</v>
      </c>
      <c r="K251" s="2"/>
      <c r="L251" s="2"/>
      <c r="O251" s="2" t="str">
        <v>tengah</v>
      </c>
      <c r="P251" s="2"/>
      <c r="Q251" s="2"/>
      <c r="T251" s="2" t="str">
        <v>tengah</v>
      </c>
      <c r="U251" s="2"/>
      <c r="V251" s="2"/>
    </row>
    <row r="252" spans="5:22">
      <c r="E252" s="2" t="str">
        <v>kanan</v>
      </c>
      <c r="F252" s="2"/>
      <c r="G252" s="2"/>
      <c r="J252" s="2" t="str">
        <v>tengah</v>
      </c>
      <c r="K252" s="2"/>
      <c r="L252" s="2"/>
      <c r="O252" s="2" t="str">
        <v>tengah</v>
      </c>
      <c r="P252" s="2"/>
      <c r="Q252" s="2"/>
      <c r="T252" s="2" t="str">
        <v>tengah</v>
      </c>
      <c r="U252" s="2"/>
      <c r="V252" s="2"/>
    </row>
    <row r="253" spans="5:22">
      <c r="E253" s="2" t="str">
        <v>kanan</v>
      </c>
      <c r="F253" s="2"/>
      <c r="G253" s="2"/>
      <c r="J253" s="2" t="str">
        <v>kanan</v>
      </c>
      <c r="K253" s="2"/>
      <c r="L253" s="2"/>
      <c r="O253" s="2" t="str">
        <v>kiri</v>
      </c>
      <c r="P253" s="2"/>
      <c r="Q253" s="2"/>
      <c r="T253" s="2" t="str">
        <v>kanan</v>
      </c>
      <c r="U253" s="2"/>
      <c r="V253" s="2"/>
    </row>
    <row r="254" spans="5:22">
      <c r="E254" s="2" t="str">
        <v>tengah</v>
      </c>
      <c r="F254" s="2"/>
      <c r="G254" s="2"/>
      <c r="J254" s="2" t="str">
        <v>kiri</v>
      </c>
      <c r="K254" s="2"/>
      <c r="L254" s="2"/>
      <c r="O254" s="2" t="str">
        <v>tengah</v>
      </c>
      <c r="P254" s="2"/>
      <c r="Q254" s="2"/>
      <c r="T254" s="2" t="str">
        <v>kanan</v>
      </c>
      <c r="U254" s="2"/>
      <c r="V254" s="2"/>
    </row>
    <row r="255" spans="5:22">
      <c r="E255" s="2" t="str">
        <v>tengah</v>
      </c>
      <c r="F255" s="2"/>
      <c r="G255" s="2"/>
      <c r="J255" s="2" t="str">
        <v>kanan</v>
      </c>
      <c r="K255" s="2"/>
      <c r="L255" s="2"/>
      <c r="O255" s="2" t="str">
        <v>kiri</v>
      </c>
      <c r="P255" s="2"/>
      <c r="Q255" s="2"/>
      <c r="T255" s="2" t="str">
        <v>tengah</v>
      </c>
      <c r="U255" s="2"/>
      <c r="V255" s="2"/>
    </row>
    <row r="256" spans="5:22">
      <c r="E256" s="2" t="str">
        <v>tengah</v>
      </c>
      <c r="F256" s="2"/>
      <c r="G256" s="2"/>
      <c r="J256" s="2" t="str">
        <v>tengah</v>
      </c>
      <c r="K256" s="2"/>
      <c r="L256" s="2"/>
      <c r="O256" s="2" t="str">
        <v>kanan</v>
      </c>
      <c r="P256" s="2"/>
      <c r="Q256" s="2"/>
      <c r="T256" s="2" t="str">
        <v>kanan</v>
      </c>
      <c r="U256" s="2"/>
      <c r="V256" s="2"/>
    </row>
    <row r="257" spans="5:22">
      <c r="E257" s="2" t="str">
        <v>kanan</v>
      </c>
      <c r="F257" s="2"/>
      <c r="G257" s="2"/>
      <c r="J257" s="2" t="str">
        <v>tengah</v>
      </c>
      <c r="K257" s="2"/>
      <c r="L257" s="2"/>
      <c r="O257" s="2" t="str">
        <v>tengah</v>
      </c>
      <c r="P257" s="2"/>
      <c r="Q257" s="2"/>
      <c r="T257" s="2" t="str">
        <v>kanan</v>
      </c>
      <c r="U257" s="2"/>
      <c r="V257" s="2"/>
    </row>
    <row r="258" spans="5:22">
      <c r="E258" s="2" t="str">
        <v>kanan</v>
      </c>
      <c r="F258" s="2"/>
      <c r="G258" s="2"/>
      <c r="J258" s="2" t="str">
        <v>tengah</v>
      </c>
      <c r="K258" s="2"/>
      <c r="L258" s="2"/>
      <c r="O258" s="2" t="str">
        <v>kiri</v>
      </c>
      <c r="P258" s="2"/>
      <c r="Q258" s="2"/>
      <c r="T258" s="2" t="str">
        <v>kanan</v>
      </c>
      <c r="U258" s="2"/>
      <c r="V258" s="2"/>
    </row>
    <row r="259" spans="5:22">
      <c r="E259" s="2" t="str">
        <v>tengah</v>
      </c>
      <c r="F259" s="2"/>
      <c r="G259" s="2"/>
      <c r="J259" s="2" t="str">
        <v>kanan</v>
      </c>
      <c r="K259" s="2"/>
      <c r="L259" s="2"/>
      <c r="O259" s="2" t="str">
        <v>tengah</v>
      </c>
      <c r="P259" s="2"/>
      <c r="Q259" s="2"/>
      <c r="T259" s="2" t="str">
        <v>kanan</v>
      </c>
      <c r="U259" s="2"/>
      <c r="V259" s="2"/>
    </row>
    <row r="260" spans="5:22">
      <c r="E260" s="2" t="str">
        <v>kiri</v>
      </c>
      <c r="F260" s="2"/>
      <c r="G260" s="2"/>
      <c r="J260" s="2" t="str">
        <v>tengah</v>
      </c>
      <c r="K260" s="2"/>
      <c r="L260" s="2"/>
      <c r="O260" s="2" t="str">
        <v>kiri</v>
      </c>
      <c r="P260" s="2"/>
      <c r="Q260" s="2"/>
      <c r="T260" s="2" t="str">
        <v>tengah</v>
      </c>
      <c r="U260" s="2"/>
      <c r="V260" s="2"/>
    </row>
    <row r="261" spans="5:22">
      <c r="E261" s="2" t="str">
        <v>tengah</v>
      </c>
      <c r="F261" s="2"/>
      <c r="G261" s="2"/>
      <c r="J261" s="2" t="str">
        <v>tengah</v>
      </c>
      <c r="K261" s="2"/>
      <c r="L261" s="2"/>
      <c r="O261" s="2" t="str">
        <v>kiri</v>
      </c>
      <c r="P261" s="2"/>
      <c r="Q261" s="2"/>
      <c r="T261" s="2" t="str">
        <v>tengah</v>
      </c>
      <c r="U261" s="2"/>
      <c r="V261" s="2"/>
    </row>
    <row r="262" spans="5:22">
      <c r="E262" s="2" t="str">
        <v>tengah</v>
      </c>
      <c r="F262" s="2"/>
      <c r="G262" s="2"/>
      <c r="J262" s="2" t="str">
        <v>tengah</v>
      </c>
      <c r="K262" s="2"/>
      <c r="L262" s="2"/>
      <c r="O262" s="2" t="str">
        <v>kiri</v>
      </c>
      <c r="P262" s="2"/>
      <c r="Q262" s="2"/>
      <c r="T262" s="2" t="str">
        <v>kanan</v>
      </c>
      <c r="U262" s="2"/>
      <c r="V262" s="2"/>
    </row>
    <row r="263" spans="5:22">
      <c r="E263" s="2" t="str">
        <v>kanan</v>
      </c>
      <c r="F263" s="2"/>
      <c r="G263" s="2"/>
      <c r="J263" s="2" t="str">
        <v>kanan</v>
      </c>
      <c r="K263" s="2"/>
      <c r="L263" s="2"/>
      <c r="O263" s="2" t="str">
        <v>kanan</v>
      </c>
      <c r="P263" s="2"/>
      <c r="Q263" s="2"/>
      <c r="T263" s="2" t="str">
        <v>kanan</v>
      </c>
      <c r="U263" s="2"/>
      <c r="V263" s="2"/>
    </row>
    <row r="264" spans="5:22">
      <c r="E264" s="2" t="str">
        <v>tengah</v>
      </c>
      <c r="F264" s="2"/>
      <c r="G264" s="2"/>
      <c r="J264" s="2" t="str">
        <v>tengah</v>
      </c>
      <c r="K264" s="2"/>
      <c r="L264" s="2"/>
      <c r="O264" s="2" t="str">
        <v>kiri</v>
      </c>
      <c r="P264" s="2"/>
      <c r="Q264" s="2"/>
      <c r="T264" s="2" t="str">
        <v>tengah</v>
      </c>
      <c r="U264" s="2"/>
      <c r="V264" s="2"/>
    </row>
    <row r="265" spans="5:22">
      <c r="E265" s="2" t="str">
        <v>tengah</v>
      </c>
      <c r="F265" s="2"/>
      <c r="G265" s="2"/>
      <c r="J265" s="2" t="str">
        <v>tengah</v>
      </c>
      <c r="K265" s="2"/>
      <c r="L265" s="2"/>
      <c r="O265" s="2" t="str">
        <v>kanan</v>
      </c>
      <c r="P265" s="2"/>
      <c r="Q265" s="2"/>
      <c r="T265" s="2" t="str">
        <v>kanan</v>
      </c>
      <c r="U265" s="2"/>
      <c r="V265" s="2"/>
    </row>
    <row r="266" spans="5:22">
      <c r="E266" s="2" t="str">
        <v>tengah</v>
      </c>
      <c r="F266" s="2"/>
      <c r="G266" s="2"/>
      <c r="J266" s="2" t="str">
        <v>tengah</v>
      </c>
      <c r="K266" s="2"/>
      <c r="L266" s="2"/>
      <c r="O266" s="2" t="str">
        <v>kanan</v>
      </c>
      <c r="P266" s="2"/>
      <c r="Q266" s="2"/>
      <c r="T266" s="2" t="str">
        <v>tengah</v>
      </c>
      <c r="U266" s="2"/>
      <c r="V266" s="2"/>
    </row>
    <row r="267" spans="5:22">
      <c r="E267" s="2" t="str">
        <v>kiri</v>
      </c>
      <c r="F267" s="2"/>
      <c r="G267" s="2"/>
      <c r="J267" s="2" t="str">
        <v>kanan</v>
      </c>
      <c r="K267" s="2"/>
      <c r="L267" s="2"/>
      <c r="O267" s="2" t="str">
        <v>kiri</v>
      </c>
      <c r="P267" s="2"/>
      <c r="Q267" s="2"/>
      <c r="T267" s="2" t="str">
        <v>kanan</v>
      </c>
      <c r="U267" s="2"/>
      <c r="V267" s="2"/>
    </row>
    <row r="268" spans="5:22">
      <c r="E268" s="2" t="str">
        <v>kiri</v>
      </c>
      <c r="F268" s="2"/>
      <c r="G268" s="2"/>
      <c r="J268" s="2" t="str">
        <v>kiri</v>
      </c>
      <c r="K268" s="2"/>
      <c r="L268" s="2"/>
      <c r="O268" s="2" t="str">
        <v>kiri</v>
      </c>
      <c r="P268" s="2"/>
      <c r="Q268" s="2"/>
      <c r="T268" s="2" t="str">
        <v>tengah</v>
      </c>
      <c r="U268" s="2"/>
      <c r="V268" s="2"/>
    </row>
    <row r="269" spans="5:22">
      <c r="E269" s="2" t="str">
        <v>tengah</v>
      </c>
      <c r="F269" s="2"/>
      <c r="G269" s="2"/>
      <c r="J269" s="2" t="str">
        <v>tengah</v>
      </c>
      <c r="K269" s="2"/>
      <c r="L269" s="2"/>
      <c r="O269" s="2" t="str">
        <v>kiri</v>
      </c>
      <c r="P269" s="2"/>
      <c r="Q269" s="2"/>
      <c r="T269" s="2" t="str">
        <v>kanan</v>
      </c>
      <c r="U269" s="2"/>
      <c r="V269" s="2"/>
    </row>
    <row r="270" spans="5:22">
      <c r="E270" s="2" t="str">
        <v>kiri</v>
      </c>
      <c r="F270" s="2"/>
      <c r="G270" s="2"/>
      <c r="J270" s="2" t="str">
        <v>kiri</v>
      </c>
      <c r="K270" s="2"/>
      <c r="L270" s="2"/>
      <c r="O270" s="2" t="str">
        <v>kanan</v>
      </c>
      <c r="P270" s="2"/>
      <c r="Q270" s="2"/>
      <c r="T270" s="2" t="str">
        <v>tengah</v>
      </c>
      <c r="U270" s="2"/>
      <c r="V270" s="2"/>
    </row>
    <row r="271" spans="5:22">
      <c r="E271" s="2" t="str">
        <v>tengah</v>
      </c>
      <c r="F271" s="2"/>
      <c r="G271" s="2"/>
      <c r="J271" s="2" t="str">
        <v>tengah</v>
      </c>
      <c r="K271" s="2"/>
      <c r="L271" s="2"/>
      <c r="O271" s="2" t="str">
        <v>kiri</v>
      </c>
      <c r="P271" s="2"/>
      <c r="Q271" s="2"/>
      <c r="T271" s="2" t="str">
        <v>kanan</v>
      </c>
      <c r="U271" s="2"/>
      <c r="V271" s="2"/>
    </row>
    <row r="272" spans="5:22">
      <c r="E272" s="2" t="str">
        <v>tengah</v>
      </c>
      <c r="F272" s="2"/>
      <c r="G272" s="2"/>
      <c r="J272" s="2" t="str">
        <v>tengah</v>
      </c>
      <c r="K272" s="2"/>
      <c r="L272" s="2"/>
      <c r="O272" s="2" t="str">
        <v>tengah</v>
      </c>
      <c r="P272" s="2"/>
      <c r="Q272" s="2"/>
      <c r="T272" s="2" t="str">
        <v>kanan</v>
      </c>
      <c r="U272" s="2"/>
      <c r="V272" s="2"/>
    </row>
    <row r="273" spans="5:22">
      <c r="E273" s="2" t="str">
        <v>tengah</v>
      </c>
      <c r="F273" s="2"/>
      <c r="G273" s="2"/>
      <c r="J273" s="2" t="str">
        <v>tengah</v>
      </c>
      <c r="K273" s="2"/>
      <c r="L273" s="2"/>
      <c r="O273" s="2" t="str">
        <v>kiri</v>
      </c>
      <c r="P273" s="2"/>
      <c r="Q273" s="2"/>
      <c r="T273" s="2" t="str">
        <v>kanan</v>
      </c>
      <c r="U273" s="2"/>
      <c r="V273" s="2"/>
    </row>
    <row r="274" spans="5:22">
      <c r="E274" s="2" t="str">
        <v>tengah</v>
      </c>
      <c r="F274" s="2"/>
      <c r="G274" s="2"/>
      <c r="J274" s="2" t="str">
        <v>kanan</v>
      </c>
      <c r="K274" s="2"/>
      <c r="L274" s="2"/>
      <c r="O274" s="2" t="str">
        <v>kiri</v>
      </c>
      <c r="P274" s="2"/>
      <c r="Q274" s="2"/>
      <c r="T274" s="2" t="str">
        <v>kanan</v>
      </c>
      <c r="U274" s="2"/>
      <c r="V274" s="2"/>
    </row>
    <row r="275" spans="5:22">
      <c r="E275" s="2" t="str">
        <v>tengah</v>
      </c>
      <c r="F275" s="2"/>
      <c r="G275" s="2"/>
      <c r="J275" s="2" t="str">
        <v>tengah</v>
      </c>
      <c r="K275" s="2"/>
      <c r="L275" s="2"/>
      <c r="O275" s="2" t="str">
        <v>kiri</v>
      </c>
      <c r="P275" s="2"/>
      <c r="Q275" s="2"/>
      <c r="T275" s="2" t="str">
        <v>tengah</v>
      </c>
      <c r="U275" s="2"/>
      <c r="V275" s="2"/>
    </row>
    <row r="276" spans="5:22">
      <c r="E276" s="2" t="str">
        <v>tengah</v>
      </c>
      <c r="F276" s="2"/>
      <c r="G276" s="2"/>
      <c r="J276" s="2" t="str">
        <v>tengah</v>
      </c>
      <c r="K276" s="2"/>
      <c r="L276" s="2"/>
      <c r="O276" s="2" t="str">
        <v>kanan</v>
      </c>
      <c r="P276" s="2"/>
      <c r="Q276" s="2"/>
      <c r="T276" s="2" t="str">
        <v>kanan</v>
      </c>
      <c r="U276" s="2"/>
      <c r="V276" s="2"/>
    </row>
    <row r="277" spans="5:22">
      <c r="E277" s="2" t="str">
        <v>tengah</v>
      </c>
      <c r="F277" s="2"/>
      <c r="G277" s="2"/>
      <c r="J277" s="2" t="str">
        <v>kanan</v>
      </c>
      <c r="K277" s="2"/>
      <c r="L277" s="2"/>
      <c r="O277" s="2" t="str">
        <v>tengah</v>
      </c>
      <c r="P277" s="2"/>
      <c r="Q277" s="2"/>
      <c r="T277" s="2" t="str">
        <v>tengah</v>
      </c>
      <c r="U277" s="2"/>
      <c r="V277" s="2"/>
    </row>
    <row r="278" spans="5:22">
      <c r="E278" s="2" t="str">
        <v>kanan</v>
      </c>
      <c r="F278" s="2"/>
      <c r="G278" s="2"/>
      <c r="J278" s="2" t="str">
        <v>kiri</v>
      </c>
      <c r="K278" s="2"/>
      <c r="L278" s="2"/>
      <c r="O278" s="2" t="str">
        <v>kiri</v>
      </c>
      <c r="P278" s="2"/>
      <c r="Q278" s="2"/>
      <c r="T278" s="2" t="str">
        <v>tengah</v>
      </c>
      <c r="U278" s="2"/>
      <c r="V278" s="2"/>
    </row>
    <row r="279" spans="5:22">
      <c r="E279" s="2" t="str">
        <v>tengah</v>
      </c>
      <c r="F279" s="2"/>
      <c r="G279" s="2"/>
      <c r="J279" s="2" t="str">
        <v>tengah</v>
      </c>
      <c r="K279" s="2"/>
      <c r="L279" s="2"/>
      <c r="O279" s="2" t="str">
        <v>kiri</v>
      </c>
      <c r="P279" s="2"/>
      <c r="Q279" s="2"/>
      <c r="T279" s="2" t="str">
        <v>kanan</v>
      </c>
      <c r="U279" s="2"/>
      <c r="V279" s="2"/>
    </row>
    <row r="280" spans="5:22">
      <c r="E280" s="2" t="str">
        <v>kanan</v>
      </c>
      <c r="F280" s="2"/>
      <c r="G280" s="2"/>
      <c r="J280" s="2" t="str">
        <v>tengah</v>
      </c>
      <c r="K280" s="2"/>
      <c r="L280" s="2"/>
      <c r="O280" s="2" t="str">
        <v>tengah</v>
      </c>
      <c r="P280" s="2"/>
      <c r="Q280" s="2"/>
      <c r="T280" s="2" t="str">
        <v>tengah</v>
      </c>
      <c r="U280" s="2"/>
      <c r="V280" s="2"/>
    </row>
    <row r="281" spans="5:22">
      <c r="E281" s="2" t="str">
        <v>tengah</v>
      </c>
      <c r="F281" s="2"/>
      <c r="G281" s="2"/>
      <c r="J281" s="2" t="str">
        <v>tengah</v>
      </c>
      <c r="K281" s="2"/>
      <c r="L281" s="2"/>
      <c r="O281" s="2" t="str">
        <v>kiri</v>
      </c>
      <c r="P281" s="2"/>
      <c r="Q281" s="2"/>
      <c r="T281" s="2" t="str">
        <v>tengah</v>
      </c>
      <c r="U281" s="2"/>
      <c r="V281" s="2"/>
    </row>
    <row r="282" spans="5:22">
      <c r="E282" s="2" t="str">
        <v>kiri</v>
      </c>
      <c r="F282" s="2"/>
      <c r="G282" s="2"/>
      <c r="J282" s="2" t="str">
        <v>kiri</v>
      </c>
      <c r="K282" s="2"/>
      <c r="L282" s="2"/>
      <c r="O282" s="2" t="str">
        <v>kanan</v>
      </c>
      <c r="P282" s="2"/>
      <c r="Q282" s="2"/>
      <c r="T282" s="2" t="str">
        <v>kanan</v>
      </c>
      <c r="U282" s="2"/>
      <c r="V282" s="2"/>
    </row>
    <row r="283" spans="5:22">
      <c r="E283" s="2" t="str">
        <v>tengah</v>
      </c>
      <c r="F283" s="2"/>
      <c r="G283" s="2"/>
      <c r="J283" s="2" t="str">
        <v>tengah</v>
      </c>
      <c r="K283" s="2"/>
      <c r="L283" s="2"/>
      <c r="O283" s="2" t="str">
        <v>kiri</v>
      </c>
      <c r="P283" s="2"/>
      <c r="Q283" s="2"/>
      <c r="T283" s="2" t="str">
        <v>kanan</v>
      </c>
      <c r="U283" s="2"/>
      <c r="V283" s="2"/>
    </row>
    <row r="284" spans="5:22">
      <c r="E284" s="2" t="str">
        <v>tengah</v>
      </c>
      <c r="F284" s="2"/>
      <c r="G284" s="2"/>
      <c r="J284" s="2" t="str">
        <v>tengah</v>
      </c>
      <c r="K284" s="2"/>
      <c r="L284" s="2"/>
      <c r="O284" s="2" t="str">
        <v>kanan</v>
      </c>
      <c r="P284" s="2"/>
      <c r="Q284" s="2"/>
      <c r="T284" s="2" t="str">
        <v>kanan</v>
      </c>
      <c r="U284" s="2"/>
      <c r="V284" s="2"/>
    </row>
    <row r="285" spans="5:22">
      <c r="E285" s="2" t="str">
        <v>kiri</v>
      </c>
      <c r="F285" s="2"/>
      <c r="G285" s="2"/>
      <c r="J285" s="2" t="str">
        <v>kanan</v>
      </c>
      <c r="K285" s="2"/>
      <c r="L285" s="2"/>
      <c r="O285" s="2" t="str">
        <v>tengah</v>
      </c>
      <c r="P285" s="2"/>
      <c r="Q285" s="2"/>
      <c r="T285" s="2" t="str">
        <v>kanan</v>
      </c>
      <c r="U285" s="2"/>
      <c r="V285" s="2"/>
    </row>
    <row r="286" spans="5:22">
      <c r="E286" s="2" t="str">
        <v>tengah</v>
      </c>
      <c r="F286" s="2"/>
      <c r="G286" s="2"/>
      <c r="J286" s="2" t="str">
        <v>tengah</v>
      </c>
      <c r="K286" s="2"/>
      <c r="L286" s="2"/>
      <c r="O286" s="2" t="str">
        <v>tengah</v>
      </c>
      <c r="P286" s="2"/>
      <c r="Q286" s="2"/>
      <c r="T286" s="2" t="str">
        <v>kanan</v>
      </c>
      <c r="U286" s="2"/>
      <c r="V286" s="2"/>
    </row>
    <row r="287" spans="5:22">
      <c r="E287" s="2" t="str">
        <v>tengah</v>
      </c>
      <c r="F287" s="2"/>
      <c r="G287" s="2"/>
      <c r="J287" s="2" t="str">
        <v>tengah</v>
      </c>
      <c r="K287" s="2"/>
      <c r="L287" s="2"/>
      <c r="O287" s="2" t="str">
        <v>kanan</v>
      </c>
      <c r="P287" s="2"/>
      <c r="Q287" s="2"/>
      <c r="T287" s="2" t="str">
        <v>kanan</v>
      </c>
      <c r="U287" s="2"/>
      <c r="V287" s="2"/>
    </row>
    <row r="288" spans="5:22">
      <c r="E288" s="2" t="str">
        <v>kanan</v>
      </c>
      <c r="F288" s="2"/>
      <c r="G288" s="2"/>
      <c r="J288" s="2" t="str">
        <v>tengah</v>
      </c>
      <c r="K288" s="2"/>
      <c r="L288" s="2"/>
      <c r="O288" s="2" t="str">
        <v>tengah</v>
      </c>
      <c r="P288" s="2"/>
      <c r="Q288" s="2"/>
      <c r="T288" s="2" t="str">
        <v>tengah</v>
      </c>
      <c r="U288" s="2"/>
      <c r="V288" s="2"/>
    </row>
    <row r="289" spans="5:22">
      <c r="E289" s="2" t="str">
        <v>kiri</v>
      </c>
      <c r="F289" s="2"/>
      <c r="G289" s="2"/>
      <c r="J289" s="2" t="str">
        <v>tengah</v>
      </c>
      <c r="K289" s="2"/>
      <c r="L289" s="2"/>
      <c r="O289" s="2" t="str">
        <v>kiri</v>
      </c>
      <c r="P289" s="2"/>
      <c r="Q289" s="2"/>
      <c r="T289" s="2" t="str">
        <v>tengah</v>
      </c>
      <c r="U289" s="2"/>
      <c r="V289" s="2"/>
    </row>
    <row r="290" spans="5:22">
      <c r="E290" s="2" t="str">
        <v>tengah</v>
      </c>
      <c r="F290" s="2"/>
      <c r="G290" s="2"/>
      <c r="J290" s="2" t="str">
        <v>tengah</v>
      </c>
      <c r="K290" s="2"/>
      <c r="L290" s="2"/>
      <c r="O290" s="2" t="str">
        <v>tengah</v>
      </c>
      <c r="P290" s="2"/>
      <c r="Q290" s="2"/>
      <c r="T290" s="2" t="str">
        <v>kanan</v>
      </c>
      <c r="U290" s="2"/>
      <c r="V290" s="2"/>
    </row>
    <row r="291" spans="5:22">
      <c r="E291" s="2" t="str">
        <v>tengah</v>
      </c>
      <c r="F291" s="2"/>
      <c r="G291" s="2"/>
      <c r="J291" s="2" t="str">
        <v>tengah</v>
      </c>
      <c r="K291" s="2"/>
      <c r="L291" s="2"/>
      <c r="O291" s="2" t="str">
        <v>kiri</v>
      </c>
      <c r="P291" s="2"/>
      <c r="Q291" s="2"/>
      <c r="T291" s="2" t="str">
        <v>tengah</v>
      </c>
      <c r="U291" s="2"/>
      <c r="V291" s="2"/>
    </row>
    <row r="292" spans="5:22">
      <c r="E292" s="2" t="str">
        <v>tengah</v>
      </c>
      <c r="F292" s="2"/>
      <c r="G292" s="2"/>
      <c r="J292" s="2" t="str">
        <v>tengah</v>
      </c>
      <c r="K292" s="2"/>
      <c r="L292" s="2"/>
      <c r="O292" s="2" t="str">
        <v>kiri</v>
      </c>
      <c r="P292" s="2"/>
      <c r="Q292" s="2"/>
      <c r="T292" s="2" t="str">
        <v>tengah</v>
      </c>
      <c r="U292" s="2"/>
      <c r="V292" s="2"/>
    </row>
    <row r="293" spans="5:22">
      <c r="E293" s="2" t="str">
        <v>kanan</v>
      </c>
      <c r="F293" s="2"/>
      <c r="G293" s="2"/>
      <c r="J293" s="2" t="str">
        <v>tengah</v>
      </c>
      <c r="K293" s="2"/>
      <c r="L293" s="2"/>
      <c r="O293" s="2" t="str">
        <v>kanan</v>
      </c>
      <c r="P293" s="2"/>
      <c r="Q293" s="2"/>
      <c r="T293" s="2" t="str">
        <v>kanan</v>
      </c>
      <c r="U293" s="2"/>
      <c r="V293" s="2"/>
    </row>
    <row r="294" spans="5:22">
      <c r="E294" s="2" t="str">
        <v>tengah</v>
      </c>
      <c r="F294" s="2"/>
      <c r="G294" s="2"/>
      <c r="J294" s="2" t="str">
        <v>tengah</v>
      </c>
      <c r="K294" s="2"/>
      <c r="L294" s="2"/>
      <c r="O294" s="2" t="str">
        <v>kiri</v>
      </c>
      <c r="P294" s="2"/>
      <c r="Q294" s="2"/>
      <c r="T294" s="2" t="str">
        <v>tengah</v>
      </c>
      <c r="U294" s="2"/>
      <c r="V294" s="2"/>
    </row>
    <row r="295" spans="5:22">
      <c r="E295" s="2" t="str">
        <v>kanan</v>
      </c>
      <c r="F295" s="2"/>
      <c r="G295" s="2"/>
      <c r="J295" s="2" t="str">
        <v>tengah</v>
      </c>
      <c r="K295" s="2"/>
      <c r="L295" s="2"/>
      <c r="O295" s="2" t="str">
        <v>kiri</v>
      </c>
      <c r="P295" s="2"/>
      <c r="Q295" s="2"/>
      <c r="T295" s="2" t="str">
        <v>tengah</v>
      </c>
      <c r="U295" s="2"/>
      <c r="V295" s="2"/>
    </row>
    <row r="296" spans="5:22">
      <c r="E296" s="2" t="str">
        <v>tengah</v>
      </c>
      <c r="F296" s="2"/>
      <c r="G296" s="2"/>
      <c r="J296" s="2" t="str">
        <v>tengah</v>
      </c>
      <c r="K296" s="2"/>
      <c r="L296" s="2"/>
      <c r="O296" s="2" t="str">
        <v>tengah</v>
      </c>
      <c r="P296" s="2"/>
      <c r="Q296" s="2"/>
      <c r="T296" s="2" t="str">
        <v>kanan</v>
      </c>
      <c r="U296" s="2"/>
      <c r="V296" s="2"/>
    </row>
    <row r="297" spans="5:22">
      <c r="E297" s="2" t="str">
        <v>tengah</v>
      </c>
      <c r="F297" s="2"/>
      <c r="G297" s="2"/>
      <c r="J297" s="2" t="str">
        <v>kiri</v>
      </c>
      <c r="K297" s="2"/>
      <c r="L297" s="2"/>
      <c r="O297" s="2" t="str">
        <v>kanan</v>
      </c>
      <c r="P297" s="2"/>
      <c r="Q297" s="2"/>
      <c r="T297" s="2" t="str">
        <v>kanan</v>
      </c>
      <c r="U297" s="2"/>
      <c r="V297" s="2"/>
    </row>
    <row r="298" spans="5:22">
      <c r="E298" s="2" t="str">
        <v>kiri</v>
      </c>
      <c r="F298" s="2"/>
      <c r="G298" s="2"/>
      <c r="J298" s="2" t="str">
        <v>kiri</v>
      </c>
      <c r="K298" s="2"/>
      <c r="L298" s="2"/>
      <c r="O298" s="2" t="str">
        <v>tengah</v>
      </c>
      <c r="P298" s="2"/>
      <c r="Q298" s="2"/>
      <c r="T298" s="2" t="str">
        <v>kanan</v>
      </c>
      <c r="U298" s="2"/>
      <c r="V298" s="2"/>
    </row>
    <row r="299" spans="5:22">
      <c r="E299" s="2" t="str">
        <v>tengah</v>
      </c>
      <c r="F299" s="2"/>
      <c r="G299" s="2"/>
      <c r="J299" s="2" t="str">
        <v>tengah</v>
      </c>
      <c r="K299" s="2"/>
      <c r="L299" s="2"/>
      <c r="O299" s="2" t="str">
        <v>kanan</v>
      </c>
      <c r="P299" s="2"/>
      <c r="Q299" s="2"/>
      <c r="T299" s="2" t="str">
        <v>kanan</v>
      </c>
      <c r="U299" s="2"/>
      <c r="V299" s="2"/>
    </row>
    <row r="300" spans="5:22">
      <c r="E300" s="2" t="str">
        <v>kiri</v>
      </c>
      <c r="F300" s="2"/>
      <c r="G300" s="2"/>
      <c r="J300" s="2" t="str">
        <v>tengah</v>
      </c>
      <c r="K300" s="2"/>
      <c r="L300" s="2"/>
      <c r="O300" s="2" t="str">
        <v>tengah</v>
      </c>
      <c r="P300" s="2"/>
      <c r="Q300" s="2"/>
      <c r="T300" s="2" t="str">
        <v>tengah</v>
      </c>
      <c r="U300" s="2"/>
      <c r="V300" s="2"/>
    </row>
    <row r="301" spans="5:22">
      <c r="E301" s="2" t="str">
        <v>kiri</v>
      </c>
      <c r="F301" s="2"/>
      <c r="G301" s="2"/>
      <c r="J301" s="2" t="str">
        <v>tengah</v>
      </c>
      <c r="K301" s="2"/>
      <c r="L301" s="2"/>
      <c r="O301" s="2" t="str">
        <v>tengah</v>
      </c>
      <c r="P301" s="2"/>
      <c r="Q301" s="2"/>
      <c r="T301" s="2" t="str">
        <v>tengah</v>
      </c>
      <c r="U301" s="2"/>
      <c r="V301" s="2"/>
    </row>
    <row r="302" spans="5:22">
      <c r="E302" s="2" t="str">
        <v>tengah</v>
      </c>
      <c r="F302" s="2"/>
      <c r="G302" s="2"/>
      <c r="J302" s="2" t="str">
        <v>tengah</v>
      </c>
      <c r="K302" s="2"/>
      <c r="L302" s="2"/>
      <c r="O302" s="2" t="str">
        <v>tengah</v>
      </c>
      <c r="P302" s="2"/>
      <c r="Q302" s="2"/>
      <c r="T302" s="2" t="str">
        <v>kanan</v>
      </c>
      <c r="U302" s="2"/>
      <c r="V302" s="2"/>
    </row>
    <row r="303" spans="5:22">
      <c r="E303" s="2" t="str">
        <v>tengah</v>
      </c>
      <c r="F303" s="2"/>
      <c r="G303" s="2"/>
      <c r="J303" s="2" t="str">
        <v>tengah</v>
      </c>
      <c r="K303" s="2"/>
      <c r="L303" s="2"/>
      <c r="O303" s="2" t="str">
        <v>kiri</v>
      </c>
      <c r="P303" s="2"/>
      <c r="Q303" s="2"/>
      <c r="T303" s="2" t="str">
        <v>tengah</v>
      </c>
      <c r="U303" s="2"/>
      <c r="V303" s="2"/>
    </row>
    <row r="304" spans="5:22">
      <c r="E304" s="2" t="str">
        <v>kanan</v>
      </c>
      <c r="F304" s="2"/>
      <c r="G304" s="2"/>
      <c r="J304" s="2" t="str">
        <v>tengah</v>
      </c>
      <c r="K304" s="2"/>
      <c r="L304" s="2"/>
      <c r="O304" s="2" t="str">
        <v>tengah</v>
      </c>
      <c r="P304" s="2"/>
      <c r="Q304" s="2"/>
      <c r="T304" s="2" t="str">
        <v>kanan</v>
      </c>
      <c r="U304" s="2"/>
      <c r="V304" s="2"/>
    </row>
    <row r="305" spans="5:22">
      <c r="E305" s="2" t="str">
        <v>kanan</v>
      </c>
      <c r="F305" s="2"/>
      <c r="G305" s="2"/>
      <c r="J305" s="2" t="str">
        <v>tengah</v>
      </c>
      <c r="K305" s="2"/>
      <c r="L305" s="2"/>
      <c r="O305" s="2" t="str">
        <v>kanan</v>
      </c>
      <c r="P305" s="2"/>
      <c r="Q305" s="2"/>
      <c r="T305" s="2" t="str">
        <v>kanan</v>
      </c>
      <c r="U305" s="2"/>
      <c r="V305" s="2"/>
    </row>
    <row r="306" spans="5:22">
      <c r="E306" s="2" t="str">
        <v>tengah</v>
      </c>
      <c r="F306" s="2"/>
      <c r="G306" s="2"/>
      <c r="J306" s="2" t="str">
        <v>tengah</v>
      </c>
      <c r="K306" s="2"/>
      <c r="L306" s="2"/>
      <c r="O306" s="2" t="str">
        <v>tengah</v>
      </c>
      <c r="P306" s="2"/>
      <c r="Q306" s="2"/>
      <c r="T306" s="2" t="str">
        <v>kanan</v>
      </c>
      <c r="U306" s="2"/>
      <c r="V306" s="2"/>
    </row>
    <row r="307" spans="5:22">
      <c r="E307" s="2" t="str">
        <v>tengah</v>
      </c>
      <c r="F307" s="2"/>
      <c r="G307" s="2"/>
      <c r="J307" s="2" t="str">
        <v>tengah</v>
      </c>
      <c r="K307" s="2"/>
      <c r="L307" s="2"/>
      <c r="O307" s="2" t="str">
        <v>tengah</v>
      </c>
      <c r="P307" s="2"/>
      <c r="Q307" s="2"/>
      <c r="T307" s="2" t="str">
        <v>tengah</v>
      </c>
      <c r="U307" s="2"/>
      <c r="V307" s="2"/>
    </row>
    <row r="308" spans="5:22">
      <c r="E308" s="2" t="str">
        <v>kiri</v>
      </c>
      <c r="F308" s="2"/>
      <c r="G308" s="2"/>
      <c r="J308" s="2" t="str">
        <v>tengah</v>
      </c>
      <c r="K308" s="2"/>
      <c r="L308" s="2"/>
      <c r="O308" s="2" t="str">
        <v>kiri</v>
      </c>
      <c r="P308" s="2"/>
      <c r="Q308" s="2"/>
      <c r="T308" s="2" t="str">
        <v>tengah</v>
      </c>
      <c r="U308" s="2"/>
      <c r="V308" s="2"/>
    </row>
    <row r="309" spans="5:22">
      <c r="E309" s="2" t="str">
        <v>kiri</v>
      </c>
      <c r="F309" s="2"/>
      <c r="G309" s="2"/>
      <c r="J309" s="2" t="str">
        <v>kiri</v>
      </c>
      <c r="K309" s="2"/>
      <c r="L309" s="2"/>
      <c r="O309" s="2" t="str">
        <v>kiri</v>
      </c>
      <c r="P309" s="2"/>
      <c r="Q309" s="2"/>
      <c r="T309" s="2" t="str">
        <v>kanan</v>
      </c>
      <c r="U309" s="2"/>
      <c r="V309" s="2"/>
    </row>
    <row r="310" spans="5:22">
      <c r="E310" s="2" t="str">
        <v>tengah</v>
      </c>
      <c r="F310" s="2"/>
      <c r="G310" s="2"/>
      <c r="J310" s="2" t="str">
        <v>kiri</v>
      </c>
      <c r="K310" s="2"/>
      <c r="L310" s="2"/>
      <c r="O310" s="2" t="str">
        <v>kiri</v>
      </c>
      <c r="P310" s="2"/>
      <c r="Q310" s="2"/>
      <c r="T310" s="2" t="str">
        <v>kanan</v>
      </c>
      <c r="U310" s="2"/>
      <c r="V310" s="2"/>
    </row>
    <row r="311" spans="5:22">
      <c r="E311" s="2" t="str">
        <v>tengah</v>
      </c>
      <c r="F311" s="2"/>
      <c r="G311" s="2"/>
      <c r="J311" s="2" t="str">
        <v>tengah</v>
      </c>
      <c r="K311" s="2"/>
      <c r="L311" s="2"/>
      <c r="O311" s="2" t="str">
        <v>kiri</v>
      </c>
      <c r="P311" s="2"/>
      <c r="Q311" s="2"/>
      <c r="T311" s="2" t="str">
        <v>kanan</v>
      </c>
      <c r="U311" s="2"/>
      <c r="V311" s="2"/>
    </row>
    <row r="312" spans="5:22">
      <c r="E312" s="2" t="str">
        <v>tengah</v>
      </c>
      <c r="F312" s="2"/>
      <c r="G312" s="2"/>
      <c r="J312" s="2" t="str">
        <v>kanan</v>
      </c>
      <c r="K312" s="2"/>
      <c r="L312" s="2"/>
      <c r="O312" s="2" t="str">
        <v>tengah</v>
      </c>
      <c r="P312" s="2"/>
      <c r="Q312" s="2"/>
      <c r="T312" s="2" t="str">
        <v>tengah</v>
      </c>
      <c r="U312" s="2"/>
      <c r="V312" s="2"/>
    </row>
    <row r="313" spans="5:22">
      <c r="E313" s="2" t="str">
        <v>kanan</v>
      </c>
      <c r="F313" s="2"/>
      <c r="G313" s="2"/>
      <c r="J313" s="2" t="str">
        <v>tengah</v>
      </c>
      <c r="K313" s="2"/>
      <c r="L313" s="2"/>
      <c r="O313" s="2" t="str">
        <v>tengah</v>
      </c>
      <c r="P313" s="2"/>
      <c r="Q313" s="2"/>
      <c r="T313" s="2" t="str">
        <v>kanan</v>
      </c>
      <c r="U313" s="2"/>
      <c r="V313" s="2"/>
    </row>
    <row r="314" spans="5:22">
      <c r="E314" s="2" t="str">
        <v>kanan</v>
      </c>
      <c r="F314" s="2"/>
      <c r="G314" s="2"/>
      <c r="J314" s="2" t="str">
        <v>tengah</v>
      </c>
      <c r="K314" s="2"/>
      <c r="L314" s="2"/>
      <c r="O314" s="2" t="str">
        <v>tengah</v>
      </c>
      <c r="P314" s="2"/>
      <c r="Q314" s="2"/>
      <c r="T314" s="2" t="str">
        <v>tengah</v>
      </c>
      <c r="U314" s="2"/>
      <c r="V314" s="2"/>
    </row>
    <row r="315" spans="5:22">
      <c r="E315" s="2" t="str">
        <v>kiri</v>
      </c>
      <c r="F315" s="2"/>
      <c r="G315" s="2"/>
      <c r="J315" s="2" t="str">
        <v>tengah</v>
      </c>
      <c r="K315" s="2"/>
      <c r="L315" s="2"/>
      <c r="O315" s="2" t="str">
        <v>tengah</v>
      </c>
      <c r="P315" s="2"/>
      <c r="Q315" s="2"/>
      <c r="T315" s="2" t="str">
        <v>tengah</v>
      </c>
      <c r="U315" s="2"/>
      <c r="V315" s="2"/>
    </row>
    <row r="316" spans="5:22">
      <c r="E316" s="2" t="str">
        <v>tengah</v>
      </c>
      <c r="F316" s="2"/>
      <c r="G316" s="2"/>
      <c r="J316" s="2" t="str">
        <v>tengah</v>
      </c>
      <c r="K316" s="2"/>
      <c r="L316" s="2"/>
      <c r="O316" s="2" t="str">
        <v>tengah</v>
      </c>
      <c r="P316" s="2"/>
      <c r="Q316" s="2"/>
      <c r="T316" s="2" t="str">
        <v>kanan</v>
      </c>
      <c r="U316" s="2"/>
      <c r="V316" s="2"/>
    </row>
    <row r="317" spans="5:22">
      <c r="E317" s="2" t="str">
        <v>tengah</v>
      </c>
      <c r="F317" s="2"/>
      <c r="G317" s="2"/>
      <c r="J317" s="2" t="str">
        <v>kanan</v>
      </c>
      <c r="K317" s="2"/>
      <c r="L317" s="2"/>
      <c r="O317" s="2" t="str">
        <v>tengah</v>
      </c>
      <c r="P317" s="2"/>
      <c r="Q317" s="2"/>
      <c r="T317" s="2" t="str">
        <v>tengah</v>
      </c>
      <c r="U317" s="2"/>
      <c r="V317" s="2"/>
    </row>
    <row r="318" spans="5:22">
      <c r="E318" s="2" t="str">
        <v>tengah</v>
      </c>
      <c r="F318" s="2"/>
      <c r="G318" s="2"/>
      <c r="J318" s="2" t="str">
        <v>tengah</v>
      </c>
      <c r="K318" s="2"/>
      <c r="L318" s="2"/>
      <c r="O318" s="2" t="str">
        <v>kanan</v>
      </c>
      <c r="P318" s="2"/>
      <c r="Q318" s="2"/>
      <c r="T318" s="2" t="str">
        <v>kanan</v>
      </c>
      <c r="U318" s="2"/>
      <c r="V318" s="2"/>
    </row>
    <row r="319" spans="5:22">
      <c r="E319" s="2" t="str">
        <v>tengah</v>
      </c>
      <c r="F319" s="2"/>
      <c r="G319" s="2"/>
      <c r="J319" s="2" t="str">
        <v>kiri</v>
      </c>
      <c r="K319" s="2"/>
      <c r="L319" s="2"/>
      <c r="O319" s="2" t="str">
        <v>kiri</v>
      </c>
      <c r="P319" s="2"/>
      <c r="Q319" s="2"/>
      <c r="T319" s="2" t="str">
        <v>kanan</v>
      </c>
      <c r="U319" s="2"/>
      <c r="V319" s="2"/>
    </row>
    <row r="320" spans="5:22">
      <c r="E320" s="2" t="str">
        <v>kiri</v>
      </c>
      <c r="F320" s="2"/>
      <c r="G320" s="2"/>
      <c r="J320" s="2" t="str">
        <v>tengah</v>
      </c>
      <c r="K320" s="2"/>
      <c r="L320" s="2"/>
      <c r="O320" s="2" t="str">
        <v>kanan</v>
      </c>
      <c r="P320" s="2"/>
      <c r="Q320" s="2"/>
      <c r="T320" s="2" t="str">
        <v>tengah</v>
      </c>
      <c r="U320" s="2"/>
      <c r="V320" s="2"/>
    </row>
    <row r="321" spans="5:22">
      <c r="E321" s="2" t="str">
        <v>kanan</v>
      </c>
      <c r="F321" s="2"/>
      <c r="G321" s="2"/>
      <c r="J321" s="2" t="str">
        <v>tengah</v>
      </c>
      <c r="K321" s="2"/>
      <c r="L321" s="2"/>
      <c r="O321" s="2" t="str">
        <v>tengah</v>
      </c>
      <c r="P321" s="2"/>
      <c r="Q321" s="2"/>
      <c r="T321" s="2" t="str">
        <v>tengah</v>
      </c>
      <c r="U321" s="2"/>
      <c r="V321" s="2"/>
    </row>
    <row r="322" spans="5:22">
      <c r="E322" s="2" t="str">
        <v>kiri</v>
      </c>
      <c r="F322" s="2"/>
      <c r="G322" s="2"/>
      <c r="J322" s="2" t="str">
        <v>tengah</v>
      </c>
      <c r="K322" s="2"/>
      <c r="L322" s="2"/>
      <c r="O322" s="2" t="str">
        <v>tengah</v>
      </c>
      <c r="P322" s="2"/>
      <c r="Q322" s="2"/>
      <c r="T322" s="2" t="str">
        <v>kanan</v>
      </c>
      <c r="U322" s="2"/>
      <c r="V322" s="2"/>
    </row>
    <row r="323" spans="5:22">
      <c r="E323" s="2" t="str">
        <v>kiri</v>
      </c>
      <c r="F323" s="2"/>
      <c r="G323" s="2"/>
      <c r="J323" s="2" t="str">
        <v>tengah</v>
      </c>
      <c r="K323" s="2"/>
      <c r="L323" s="2"/>
      <c r="O323" s="2" t="str">
        <v>kiri</v>
      </c>
      <c r="P323" s="2"/>
      <c r="Q323" s="2"/>
      <c r="T323" s="2" t="str">
        <v>kanan</v>
      </c>
      <c r="U323" s="2"/>
      <c r="V323" s="2"/>
    </row>
    <row r="324" spans="5:22">
      <c r="E324" s="2" t="str">
        <v>tengah</v>
      </c>
      <c r="F324" s="2"/>
      <c r="G324" s="2"/>
      <c r="J324" s="2" t="str">
        <v>kanan</v>
      </c>
      <c r="K324" s="2"/>
      <c r="L324" s="2"/>
      <c r="O324" s="2" t="str">
        <v>tengah</v>
      </c>
      <c r="P324" s="2"/>
      <c r="Q324" s="2"/>
      <c r="T324" s="2" t="str">
        <v>tengah</v>
      </c>
      <c r="U324" s="2"/>
      <c r="V324" s="2"/>
    </row>
    <row r="325" spans="5:22">
      <c r="E325" s="2" t="str">
        <v>kanan</v>
      </c>
      <c r="F325" s="2"/>
      <c r="G325" s="2"/>
      <c r="J325" s="2" t="str">
        <v>tengah</v>
      </c>
      <c r="K325" s="2"/>
      <c r="L325" s="2"/>
      <c r="O325" s="2" t="str">
        <v>tengah</v>
      </c>
      <c r="P325" s="2"/>
      <c r="Q325" s="2"/>
      <c r="T325" s="2" t="str">
        <v>kanan</v>
      </c>
      <c r="U325" s="2"/>
      <c r="V325" s="2"/>
    </row>
    <row r="326" spans="5:22">
      <c r="E326" s="2" t="str">
        <v>tengah</v>
      </c>
      <c r="F326" s="2"/>
      <c r="G326" s="2"/>
      <c r="J326" s="2" t="str">
        <v>tengah</v>
      </c>
      <c r="K326" s="2"/>
      <c r="L326" s="2"/>
      <c r="O326" s="2" t="str">
        <v>kanan</v>
      </c>
      <c r="P326" s="2"/>
      <c r="Q326" s="2"/>
      <c r="T326" s="2" t="str">
        <v>kanan</v>
      </c>
      <c r="U326" s="2"/>
      <c r="V326" s="2"/>
    </row>
    <row r="327" spans="5:22">
      <c r="E327" s="2" t="str">
        <v>kiri</v>
      </c>
      <c r="F327" s="2"/>
      <c r="G327" s="2"/>
      <c r="J327" s="2" t="str">
        <v>kanan</v>
      </c>
      <c r="K327" s="2"/>
      <c r="L327" s="2"/>
      <c r="O327" s="2" t="str">
        <v>kiri</v>
      </c>
      <c r="P327" s="2"/>
      <c r="Q327" s="2"/>
      <c r="T327" s="2" t="str">
        <v>kanan</v>
      </c>
      <c r="U327" s="2"/>
      <c r="V327" s="2"/>
    </row>
    <row r="328" spans="5:22">
      <c r="E328" s="2" t="str">
        <v>kiri</v>
      </c>
      <c r="F328" s="2"/>
      <c r="G328" s="2"/>
      <c r="J328" s="2" t="str">
        <v>tengah</v>
      </c>
      <c r="K328" s="2"/>
      <c r="L328" s="2"/>
      <c r="O328" s="2" t="str">
        <v>tengah</v>
      </c>
      <c r="P328" s="2"/>
      <c r="Q328" s="2"/>
      <c r="T328" s="2" t="str">
        <v>tengah</v>
      </c>
      <c r="U328" s="2"/>
      <c r="V328" s="2"/>
    </row>
    <row r="329" spans="5:22">
      <c r="E329" s="2" t="str">
        <v>tengah</v>
      </c>
      <c r="F329" s="2"/>
      <c r="G329" s="2"/>
      <c r="J329" s="2" t="str">
        <v>kiri</v>
      </c>
      <c r="K329" s="2"/>
      <c r="L329" s="2"/>
      <c r="O329" s="2" t="str">
        <v>tengah</v>
      </c>
      <c r="P329" s="2"/>
      <c r="Q329" s="2"/>
      <c r="T329" s="2" t="str">
        <v>kanan</v>
      </c>
      <c r="U329" s="2"/>
      <c r="V329" s="2"/>
    </row>
    <row r="330" spans="5:22">
      <c r="E330" s="2" t="str">
        <v>kanan</v>
      </c>
      <c r="F330" s="2"/>
      <c r="G330" s="2"/>
      <c r="J330" s="2" t="str">
        <v>tengah</v>
      </c>
      <c r="K330" s="2"/>
      <c r="L330" s="2"/>
      <c r="O330" s="2" t="str">
        <v>tengah</v>
      </c>
      <c r="P330" s="2"/>
      <c r="Q330" s="2"/>
      <c r="T330" s="2" t="str">
        <v>kanan</v>
      </c>
      <c r="U330" s="2"/>
      <c r="V330" s="2"/>
    </row>
    <row r="331" spans="5:22">
      <c r="E331" s="2" t="str">
        <v>tengah</v>
      </c>
      <c r="F331" s="2"/>
      <c r="G331" s="2"/>
      <c r="J331" s="2" t="str">
        <v>kanan</v>
      </c>
      <c r="K331" s="2"/>
      <c r="L331" s="2"/>
      <c r="O331" s="2" t="str">
        <v>kiri</v>
      </c>
      <c r="P331" s="2"/>
      <c r="Q331" s="2"/>
      <c r="T331" s="2" t="str">
        <v>tengah</v>
      </c>
      <c r="U331" s="2"/>
      <c r="V331" s="2"/>
    </row>
    <row r="332" spans="5:22">
      <c r="E332" s="2" t="str">
        <v>tengah</v>
      </c>
      <c r="F332" s="2"/>
      <c r="G332" s="2"/>
      <c r="J332" s="2" t="str">
        <v>tengah</v>
      </c>
      <c r="K332" s="2"/>
      <c r="L332" s="2"/>
      <c r="O332" s="2" t="str">
        <v>kiri</v>
      </c>
      <c r="P332" s="2"/>
      <c r="Q332" s="2"/>
      <c r="T332" s="2" t="str">
        <v>kanan</v>
      </c>
      <c r="U332" s="2"/>
      <c r="V332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32"/>
  <sheetViews>
    <sheetView topLeftCell="N157" zoomScaleNormal="100" workbookViewId="0">
      <selection activeCell="T165" sqref="T165"/>
    </sheetView>
  </sheetViews>
  <sheetFormatPr defaultColWidth="9" defaultRowHeight="15"/>
  <cols>
    <col min="3" max="3" width="15.85546875" customWidth="1"/>
    <col min="4" max="4" width="22" customWidth="1"/>
    <col min="5" max="5" width="13.28515625" customWidth="1"/>
    <col min="6" max="6" width="13.85546875" customWidth="1"/>
    <col min="7" max="7" width="12" bestFit="1" customWidth="1"/>
    <col min="10" max="10" width="15.85546875" customWidth="1"/>
    <col min="11" max="11" width="13.28515625" customWidth="1"/>
    <col min="12" max="12" width="13.85546875" customWidth="1"/>
    <col min="15" max="15" width="16.140625" customWidth="1"/>
    <col min="17" max="17" width="14.140625" customWidth="1"/>
    <col min="20" max="20" width="14.28515625" customWidth="1"/>
  </cols>
  <sheetData>
    <row r="1" spans="1:17">
      <c r="A1" s="1" t="s">
        <v>171</v>
      </c>
      <c r="B1" s="1" t="s">
        <v>1</v>
      </c>
      <c r="C1" s="1" t="s">
        <v>2</v>
      </c>
      <c r="D1" s="1" t="s">
        <v>4</v>
      </c>
      <c r="E1" s="1" t="s">
        <v>5</v>
      </c>
      <c r="H1" s="2" t="s">
        <v>171</v>
      </c>
      <c r="I1" s="2" t="s">
        <v>1</v>
      </c>
      <c r="J1" s="2" t="s">
        <v>2</v>
      </c>
      <c r="K1" s="2" t="s">
        <v>4</v>
      </c>
      <c r="L1" s="2" t="s">
        <v>5</v>
      </c>
      <c r="O1" s="1" t="s">
        <v>173</v>
      </c>
      <c r="P1" s="3"/>
      <c r="Q1" s="3"/>
    </row>
    <row r="2" spans="1:17">
      <c r="A2" s="2">
        <f ca="1">RANDBETWEEN(2,164)</f>
        <v>122</v>
      </c>
      <c r="B2" s="2" cm="1">
        <f t="array" ref="B2" ca="1">INDEX(Data_DBD!$B:$B,$A2)</f>
        <v>28</v>
      </c>
      <c r="C2" s="2" cm="1">
        <f t="array" ref="C2" ca="1">INDEX(Data_DBD!$C:$C,$A2)</f>
        <v>3</v>
      </c>
      <c r="D2" s="2" cm="1">
        <f t="array" ref="D2" ca="1">INDEX(Data_DBD!$E:$E,$A2)</f>
        <v>1</v>
      </c>
      <c r="E2" s="2" t="str" cm="1">
        <f t="array" ref="E2" ca="1">INDEX(Data_DBD!$F:$F,$A2)</f>
        <v>Tinggi</v>
      </c>
      <c r="H2" s="2">
        <v>95</v>
      </c>
      <c r="I2" s="2">
        <v>11</v>
      </c>
      <c r="J2" s="2">
        <v>3</v>
      </c>
      <c r="K2" s="2">
        <v>1</v>
      </c>
      <c r="L2" s="2" t="s">
        <v>97</v>
      </c>
      <c r="O2" s="3" t="s">
        <v>97</v>
      </c>
      <c r="P2" s="3">
        <f>COUNTIF(L2:L164,"Tinggi")</f>
        <v>65</v>
      </c>
      <c r="Q2" s="3">
        <f>P2/163</f>
        <v>0.39877300613496902</v>
      </c>
    </row>
    <row r="3" spans="1:17">
      <c r="A3" s="2">
        <f t="shared" ref="A3:A66" ca="1" si="0">RANDBETWEEN(2,164)</f>
        <v>145</v>
      </c>
      <c r="B3" s="2" cm="1">
        <f t="array" ref="B3" ca="1">INDEX(Data_DBD!$B:$B,$A3)</f>
        <v>28</v>
      </c>
      <c r="C3" s="2" cm="1">
        <f t="array" ref="C3" ca="1">INDEX(Data_DBD!$C:$C,$A3)</f>
        <v>4</v>
      </c>
      <c r="D3" s="2" cm="1">
        <f t="array" ref="D3" ca="1">INDEX(Data_DBD!$E:$E,$A3)</f>
        <v>1</v>
      </c>
      <c r="E3" s="2" t="str" cm="1">
        <f t="array" ref="E3" ca="1">INDEX(Data_DBD!$F:$F,$A3)</f>
        <v>Tinggi</v>
      </c>
      <c r="H3" s="2">
        <v>12</v>
      </c>
      <c r="I3" s="2">
        <v>23</v>
      </c>
      <c r="J3" s="2">
        <v>3</v>
      </c>
      <c r="K3" s="2">
        <v>0</v>
      </c>
      <c r="L3" s="2" t="s">
        <v>7</v>
      </c>
      <c r="O3" s="3" t="s">
        <v>7</v>
      </c>
      <c r="P3" s="3">
        <f>COUNTIF(L2:L164,"Sedang")</f>
        <v>83</v>
      </c>
      <c r="Q3" s="3">
        <f>P3/163</f>
        <v>0.50920245398773001</v>
      </c>
    </row>
    <row r="4" spans="1:17">
      <c r="A4" s="2">
        <f t="shared" ca="1" si="0"/>
        <v>61</v>
      </c>
      <c r="B4" s="2" cm="1">
        <f t="array" ref="B4" ca="1">INDEX(Data_DBD!$B:$B,$A4)</f>
        <v>29</v>
      </c>
      <c r="C4" s="2" cm="1">
        <f t="array" ref="C4" ca="1">INDEX(Data_DBD!$C:$C,$A4)</f>
        <v>3</v>
      </c>
      <c r="D4" s="2" cm="1">
        <f t="array" ref="D4" ca="1">INDEX(Data_DBD!$E:$E,$A4)</f>
        <v>1</v>
      </c>
      <c r="E4" s="2" t="str" cm="1">
        <f t="array" ref="E4" ca="1">INDEX(Data_DBD!$F:$F,$A4)</f>
        <v>Sedang</v>
      </c>
      <c r="H4" s="2">
        <v>30</v>
      </c>
      <c r="I4" s="2">
        <v>3</v>
      </c>
      <c r="J4" s="2">
        <v>2</v>
      </c>
      <c r="K4" s="2">
        <v>1</v>
      </c>
      <c r="L4" s="2" t="s">
        <v>7</v>
      </c>
      <c r="O4" s="3" t="s">
        <v>20</v>
      </c>
      <c r="P4" s="3">
        <f>COUNTIF(L2:L164,"Rendah")</f>
        <v>15</v>
      </c>
      <c r="Q4" s="3">
        <f>P4/163</f>
        <v>9.2024539877300596E-2</v>
      </c>
    </row>
    <row r="5" spans="1:17">
      <c r="A5" s="2">
        <f t="shared" ca="1" si="0"/>
        <v>64</v>
      </c>
      <c r="B5" s="2" cm="1">
        <f t="array" ref="B5" ca="1">INDEX(Data_DBD!$B:$B,$A5)</f>
        <v>35</v>
      </c>
      <c r="C5" s="2" cm="1">
        <f t="array" ref="C5" ca="1">INDEX(Data_DBD!$C:$C,$A5)</f>
        <v>1</v>
      </c>
      <c r="D5" s="2" cm="1">
        <f t="array" ref="D5" ca="1">INDEX(Data_DBD!$E:$E,$A5)</f>
        <v>0</v>
      </c>
      <c r="E5" s="2" t="str" cm="1">
        <f t="array" ref="E5" ca="1">INDEX(Data_DBD!$F:$F,$A5)</f>
        <v>Sedang</v>
      </c>
      <c r="H5" s="2">
        <v>76</v>
      </c>
      <c r="I5" s="2">
        <v>70</v>
      </c>
      <c r="J5" s="2">
        <v>2</v>
      </c>
      <c r="K5" s="2">
        <v>0</v>
      </c>
      <c r="L5" s="2" t="s">
        <v>7</v>
      </c>
      <c r="O5" s="3" t="s">
        <v>174</v>
      </c>
      <c r="P5" s="32">
        <f>-(IFERROR(Q2*LOG(Q2,2),0)+IFERROR(Q3*LOG(Q3,2),0)+IFERROR(Q4*LOG(Q4,2),0))</f>
        <v>1.3414549052570199</v>
      </c>
      <c r="Q5" s="33"/>
    </row>
    <row r="6" spans="1:17">
      <c r="A6" s="2">
        <f t="shared" ca="1" si="0"/>
        <v>78</v>
      </c>
      <c r="B6" s="2" cm="1">
        <f t="array" ref="B6" ca="1">INDEX(Data_DBD!$B:$B,$A6)</f>
        <v>6</v>
      </c>
      <c r="C6" s="2" cm="1">
        <f t="array" ref="C6" ca="1">INDEX(Data_DBD!$C:$C,$A6)</f>
        <v>3</v>
      </c>
      <c r="D6" s="2" cm="1">
        <f t="array" ref="D6" ca="1">INDEX(Data_DBD!$E:$E,$A6)</f>
        <v>0</v>
      </c>
      <c r="E6" s="2" t="str" cm="1">
        <f t="array" ref="E6" ca="1">INDEX(Data_DBD!$F:$F,$A6)</f>
        <v>Sedang</v>
      </c>
      <c r="H6" s="2">
        <v>85</v>
      </c>
      <c r="I6" s="2">
        <v>27</v>
      </c>
      <c r="J6" s="2">
        <v>9</v>
      </c>
      <c r="K6" s="2">
        <v>0</v>
      </c>
      <c r="L6" s="2" t="s">
        <v>7</v>
      </c>
    </row>
    <row r="7" spans="1:17">
      <c r="A7" s="2">
        <f t="shared" ca="1" si="0"/>
        <v>91</v>
      </c>
      <c r="B7" s="2" cm="1">
        <f t="array" ref="B7" ca="1">INDEX(Data_DBD!$B:$B,$A7)</f>
        <v>35</v>
      </c>
      <c r="C7" s="2" cm="1">
        <f t="array" ref="C7" ca="1">INDEX(Data_DBD!$C:$C,$A7)</f>
        <v>1</v>
      </c>
      <c r="D7" s="2" cm="1">
        <f t="array" ref="D7" ca="1">INDEX(Data_DBD!$E:$E,$A7)</f>
        <v>1</v>
      </c>
      <c r="E7" s="2" t="str" cm="1">
        <f t="array" ref="E7" ca="1">INDEX(Data_DBD!$F:$F,$A7)</f>
        <v>Tinggi</v>
      </c>
      <c r="H7" s="2">
        <v>55</v>
      </c>
      <c r="I7" s="2">
        <v>7</v>
      </c>
      <c r="J7" s="2">
        <v>4</v>
      </c>
      <c r="K7" s="2">
        <v>1</v>
      </c>
      <c r="L7" s="2" t="s">
        <v>7</v>
      </c>
    </row>
    <row r="8" spans="1:17">
      <c r="A8" s="2">
        <f t="shared" ca="1" si="0"/>
        <v>55</v>
      </c>
      <c r="B8" s="2" cm="1">
        <f t="array" ref="B8" ca="1">INDEX(Data_DBD!$B:$B,$A8)</f>
        <v>7</v>
      </c>
      <c r="C8" s="2" cm="1">
        <f t="array" ref="C8" ca="1">INDEX(Data_DBD!$C:$C,$A8)</f>
        <v>4</v>
      </c>
      <c r="D8" s="2" cm="1">
        <f t="array" ref="D8" ca="1">INDEX(Data_DBD!$E:$E,$A8)</f>
        <v>1</v>
      </c>
      <c r="E8" s="2" t="str" cm="1">
        <f t="array" ref="E8" ca="1">INDEX(Data_DBD!$F:$F,$A8)</f>
        <v>Sedang</v>
      </c>
      <c r="H8" s="2">
        <v>51</v>
      </c>
      <c r="I8" s="2">
        <v>48</v>
      </c>
      <c r="J8" s="2">
        <v>4</v>
      </c>
      <c r="K8" s="2">
        <v>0</v>
      </c>
      <c r="L8" s="2" t="s">
        <v>7</v>
      </c>
    </row>
    <row r="9" spans="1:17">
      <c r="A9" s="2">
        <f t="shared" ca="1" si="0"/>
        <v>43</v>
      </c>
      <c r="B9" s="2" cm="1">
        <f t="array" ref="B9" ca="1">INDEX(Data_DBD!$B:$B,$A9)</f>
        <v>15</v>
      </c>
      <c r="C9" s="2" cm="1">
        <f t="array" ref="C9" ca="1">INDEX(Data_DBD!$C:$C,$A9)</f>
        <v>4</v>
      </c>
      <c r="D9" s="2" cm="1">
        <f t="array" ref="D9" ca="1">INDEX(Data_DBD!$E:$E,$A9)</f>
        <v>0</v>
      </c>
      <c r="E9" s="2" t="str" cm="1">
        <f t="array" ref="E9" ca="1">INDEX(Data_DBD!$F:$F,$A9)</f>
        <v>Sedang</v>
      </c>
      <c r="H9" s="2">
        <v>108</v>
      </c>
      <c r="I9" s="2">
        <v>69</v>
      </c>
      <c r="J9" s="2">
        <v>7</v>
      </c>
      <c r="K9" s="2">
        <v>1</v>
      </c>
      <c r="L9" s="2" t="s">
        <v>97</v>
      </c>
    </row>
    <row r="10" spans="1:17">
      <c r="A10" s="2">
        <f t="shared" ca="1" si="0"/>
        <v>116</v>
      </c>
      <c r="B10" s="2" cm="1">
        <f t="array" ref="B10" ca="1">INDEX(Data_DBD!$B:$B,$A10)</f>
        <v>32</v>
      </c>
      <c r="C10" s="2" cm="1">
        <f t="array" ref="C10" ca="1">INDEX(Data_DBD!$C:$C,$A10)</f>
        <v>4</v>
      </c>
      <c r="D10" s="2" cm="1">
        <f t="array" ref="D10" ca="1">INDEX(Data_DBD!$E:$E,$A10)</f>
        <v>1</v>
      </c>
      <c r="E10" s="2" t="str" cm="1">
        <f t="array" ref="E10" ca="1">INDEX(Data_DBD!$F:$F,$A10)</f>
        <v>Tinggi</v>
      </c>
      <c r="H10" s="2">
        <v>72</v>
      </c>
      <c r="I10" s="2">
        <v>3</v>
      </c>
      <c r="J10" s="2">
        <v>5</v>
      </c>
      <c r="K10" s="2">
        <v>1</v>
      </c>
      <c r="L10" s="2" t="s">
        <v>7</v>
      </c>
    </row>
    <row r="11" spans="1:17">
      <c r="A11" s="2">
        <f t="shared" ca="1" si="0"/>
        <v>39</v>
      </c>
      <c r="B11" s="2" cm="1">
        <f t="array" ref="B11" ca="1">INDEX(Data_DBD!$B:$B,$A11)</f>
        <v>12</v>
      </c>
      <c r="C11" s="2" cm="1">
        <f t="array" ref="C11" ca="1">INDEX(Data_DBD!$C:$C,$A11)</f>
        <v>5</v>
      </c>
      <c r="D11" s="2" cm="1">
        <f t="array" ref="D11" ca="1">INDEX(Data_DBD!$E:$E,$A11)</f>
        <v>1</v>
      </c>
      <c r="E11" s="2" t="str" cm="1">
        <f t="array" ref="E11" ca="1">INDEX(Data_DBD!$F:$F,$A11)</f>
        <v>Sedang</v>
      </c>
      <c r="H11" s="2">
        <v>147</v>
      </c>
      <c r="I11" s="2">
        <v>66</v>
      </c>
      <c r="J11" s="2">
        <v>10</v>
      </c>
      <c r="K11" s="2">
        <v>1</v>
      </c>
      <c r="L11" s="2" t="s">
        <v>97</v>
      </c>
    </row>
    <row r="12" spans="1:17">
      <c r="A12" s="2">
        <f t="shared" ca="1" si="0"/>
        <v>63</v>
      </c>
      <c r="B12" s="2" cm="1">
        <f t="array" ref="B12" ca="1">INDEX(Data_DBD!$B:$B,$A12)</f>
        <v>25</v>
      </c>
      <c r="C12" s="2" cm="1">
        <f t="array" ref="C12" ca="1">INDEX(Data_DBD!$C:$C,$A12)</f>
        <v>3</v>
      </c>
      <c r="D12" s="2" cm="1">
        <f t="array" ref="D12" ca="1">INDEX(Data_DBD!$E:$E,$A12)</f>
        <v>0</v>
      </c>
      <c r="E12" s="2" t="str" cm="1">
        <f t="array" ref="E12" ca="1">INDEX(Data_DBD!$F:$F,$A12)</f>
        <v>Sedang</v>
      </c>
      <c r="H12" s="2">
        <v>69</v>
      </c>
      <c r="I12" s="2">
        <v>24</v>
      </c>
      <c r="J12" s="2">
        <v>4</v>
      </c>
      <c r="K12" s="2">
        <v>1</v>
      </c>
      <c r="L12" s="2" t="s">
        <v>7</v>
      </c>
    </row>
    <row r="13" spans="1:17">
      <c r="A13" s="2">
        <f t="shared" ca="1" si="0"/>
        <v>122</v>
      </c>
      <c r="B13" s="2" cm="1">
        <f t="array" ref="B13" ca="1">INDEX(Data_DBD!$B:$B,$A13)</f>
        <v>28</v>
      </c>
      <c r="C13" s="2" cm="1">
        <f t="array" ref="C13" ca="1">INDEX(Data_DBD!$C:$C,$A13)</f>
        <v>3</v>
      </c>
      <c r="D13" s="2" cm="1">
        <f t="array" ref="D13" ca="1">INDEX(Data_DBD!$E:$E,$A13)</f>
        <v>1</v>
      </c>
      <c r="E13" s="2" t="str" cm="1">
        <f t="array" ref="E13" ca="1">INDEX(Data_DBD!$F:$F,$A13)</f>
        <v>Tinggi</v>
      </c>
      <c r="H13" s="2">
        <v>4</v>
      </c>
      <c r="I13" s="2">
        <v>23</v>
      </c>
      <c r="J13" s="2">
        <v>5</v>
      </c>
      <c r="K13" s="2">
        <v>0</v>
      </c>
      <c r="L13" s="2" t="s">
        <v>7</v>
      </c>
    </row>
    <row r="14" spans="1:17">
      <c r="A14" s="2">
        <f t="shared" ca="1" si="0"/>
        <v>162</v>
      </c>
      <c r="B14" s="2" cm="1">
        <f t="array" ref="B14" ca="1">INDEX(Data_DBD!$B:$B,$A14)</f>
        <v>22</v>
      </c>
      <c r="C14" s="2" cm="1">
        <f t="array" ref="C14" ca="1">INDEX(Data_DBD!$C:$C,$A14)</f>
        <v>3</v>
      </c>
      <c r="D14" s="2" cm="1">
        <f t="array" ref="D14" ca="1">INDEX(Data_DBD!$E:$E,$A14)</f>
        <v>1</v>
      </c>
      <c r="E14" s="2" t="str" cm="1">
        <f t="array" ref="E14" ca="1">INDEX(Data_DBD!$F:$F,$A14)</f>
        <v>Rendah</v>
      </c>
      <c r="H14" s="2">
        <v>6</v>
      </c>
      <c r="I14" s="2">
        <v>14</v>
      </c>
      <c r="J14" s="2">
        <v>4</v>
      </c>
      <c r="K14" s="2">
        <v>0</v>
      </c>
      <c r="L14" s="2" t="s">
        <v>7</v>
      </c>
    </row>
    <row r="15" spans="1:17">
      <c r="A15" s="2">
        <f t="shared" ca="1" si="0"/>
        <v>59</v>
      </c>
      <c r="B15" s="2" cm="1">
        <f t="array" ref="B15" ca="1">INDEX(Data_DBD!$B:$B,$A15)</f>
        <v>28</v>
      </c>
      <c r="C15" s="2" cm="1">
        <f t="array" ref="C15" ca="1">INDEX(Data_DBD!$C:$C,$A15)</f>
        <v>4</v>
      </c>
      <c r="D15" s="2" cm="1">
        <f t="array" ref="D15" ca="1">INDEX(Data_DBD!$E:$E,$A15)</f>
        <v>0</v>
      </c>
      <c r="E15" s="2" t="str" cm="1">
        <f t="array" ref="E15" ca="1">INDEX(Data_DBD!$F:$F,$A15)</f>
        <v>Sedang</v>
      </c>
      <c r="H15" s="2">
        <v>13</v>
      </c>
      <c r="I15" s="2">
        <v>47</v>
      </c>
      <c r="J15" s="2">
        <v>2</v>
      </c>
      <c r="K15" s="2">
        <v>0</v>
      </c>
      <c r="L15" s="2" t="s">
        <v>7</v>
      </c>
    </row>
    <row r="16" spans="1:17">
      <c r="A16" s="2">
        <f t="shared" ca="1" si="0"/>
        <v>10</v>
      </c>
      <c r="B16" s="2" cm="1">
        <f t="array" ref="B16" ca="1">INDEX(Data_DBD!$B:$B,$A16)</f>
        <v>18</v>
      </c>
      <c r="C16" s="2" cm="1">
        <f t="array" ref="C16" ca="1">INDEX(Data_DBD!$C:$C,$A16)</f>
        <v>5</v>
      </c>
      <c r="D16" s="2" cm="1">
        <f t="array" ref="D16" ca="1">INDEX(Data_DBD!$E:$E,$A16)</f>
        <v>0</v>
      </c>
      <c r="E16" s="2" t="str" cm="1">
        <f t="array" ref="E16" ca="1">INDEX(Data_DBD!$F:$F,$A16)</f>
        <v>Sedang</v>
      </c>
      <c r="H16" s="2">
        <v>142</v>
      </c>
      <c r="I16" s="2">
        <v>39</v>
      </c>
      <c r="J16" s="2">
        <v>2</v>
      </c>
      <c r="K16" s="2">
        <v>1</v>
      </c>
      <c r="L16" s="2" t="s">
        <v>97</v>
      </c>
    </row>
    <row r="17" spans="1:12">
      <c r="A17" s="2">
        <f t="shared" ca="1" si="0"/>
        <v>101</v>
      </c>
      <c r="B17" s="2" cm="1">
        <f t="array" ref="B17" ca="1">INDEX(Data_DBD!$B:$B,$A17)</f>
        <v>42</v>
      </c>
      <c r="C17" s="2" cm="1">
        <f t="array" ref="C17" ca="1">INDEX(Data_DBD!$C:$C,$A17)</f>
        <v>5</v>
      </c>
      <c r="D17" s="2" cm="1">
        <f t="array" ref="D17" ca="1">INDEX(Data_DBD!$E:$E,$A17)</f>
        <v>0</v>
      </c>
      <c r="E17" s="2" t="str" cm="1">
        <f t="array" ref="E17" ca="1">INDEX(Data_DBD!$F:$F,$A17)</f>
        <v>Tinggi</v>
      </c>
      <c r="H17" s="2">
        <v>159</v>
      </c>
      <c r="I17" s="2">
        <v>17</v>
      </c>
      <c r="J17" s="2">
        <v>2</v>
      </c>
      <c r="K17" s="2">
        <v>0</v>
      </c>
      <c r="L17" s="2" t="s">
        <v>97</v>
      </c>
    </row>
    <row r="18" spans="1:12">
      <c r="A18" s="2">
        <f t="shared" ca="1" si="0"/>
        <v>32</v>
      </c>
      <c r="B18" s="2" cm="1">
        <f t="array" ref="B18" ca="1">INDEX(Data_DBD!$B:$B,$A18)</f>
        <v>54</v>
      </c>
      <c r="C18" s="2" cm="1">
        <f t="array" ref="C18" ca="1">INDEX(Data_DBD!$C:$C,$A18)</f>
        <v>4</v>
      </c>
      <c r="D18" s="2" cm="1">
        <f t="array" ref="D18" ca="1">INDEX(Data_DBD!$E:$E,$A18)</f>
        <v>0</v>
      </c>
      <c r="E18" s="2" t="str" cm="1">
        <f t="array" ref="E18" ca="1">INDEX(Data_DBD!$F:$F,$A18)</f>
        <v>Sedang</v>
      </c>
      <c r="H18" s="2">
        <v>8</v>
      </c>
      <c r="I18" s="2">
        <v>4</v>
      </c>
      <c r="J18" s="2">
        <v>2</v>
      </c>
      <c r="K18" s="2">
        <v>0</v>
      </c>
      <c r="L18" s="2" t="s">
        <v>7</v>
      </c>
    </row>
    <row r="19" spans="1:12">
      <c r="A19" s="2">
        <f t="shared" ca="1" si="0"/>
        <v>75</v>
      </c>
      <c r="B19" s="2" cm="1">
        <f t="array" ref="B19" ca="1">INDEX(Data_DBD!$B:$B,$A19)</f>
        <v>2</v>
      </c>
      <c r="C19" s="2" cm="1">
        <f t="array" ref="C19" ca="1">INDEX(Data_DBD!$C:$C,$A19)</f>
        <v>2</v>
      </c>
      <c r="D19" s="2" cm="1">
        <f t="array" ref="D19" ca="1">INDEX(Data_DBD!$E:$E,$A19)</f>
        <v>1</v>
      </c>
      <c r="E19" s="2" t="str" cm="1">
        <f t="array" ref="E19" ca="1">INDEX(Data_DBD!$F:$F,$A19)</f>
        <v>Sedang</v>
      </c>
      <c r="H19" s="2">
        <v>105</v>
      </c>
      <c r="I19" s="2">
        <v>61</v>
      </c>
      <c r="J19" s="2">
        <v>3</v>
      </c>
      <c r="K19" s="2">
        <v>1</v>
      </c>
      <c r="L19" s="2" t="s">
        <v>97</v>
      </c>
    </row>
    <row r="20" spans="1:12">
      <c r="A20" s="2">
        <f t="shared" ca="1" si="0"/>
        <v>125</v>
      </c>
      <c r="B20" s="2" cm="1">
        <f t="array" ref="B20" ca="1">INDEX(Data_DBD!$B:$B,$A20)</f>
        <v>39</v>
      </c>
      <c r="C20" s="2" cm="1">
        <f t="array" ref="C20" ca="1">INDEX(Data_DBD!$C:$C,$A20)</f>
        <v>4</v>
      </c>
      <c r="D20" s="2" cm="1">
        <f t="array" ref="D20" ca="1">INDEX(Data_DBD!$E:$E,$A20)</f>
        <v>0</v>
      </c>
      <c r="E20" s="2" t="str" cm="1">
        <f t="array" ref="E20" ca="1">INDEX(Data_DBD!$F:$F,$A20)</f>
        <v>Tinggi</v>
      </c>
      <c r="H20" s="2">
        <v>122</v>
      </c>
      <c r="I20" s="2">
        <v>28</v>
      </c>
      <c r="J20" s="2">
        <v>3</v>
      </c>
      <c r="K20" s="2">
        <v>1</v>
      </c>
      <c r="L20" s="2" t="s">
        <v>97</v>
      </c>
    </row>
    <row r="21" spans="1:12">
      <c r="A21" s="2">
        <f t="shared" ca="1" si="0"/>
        <v>108</v>
      </c>
      <c r="B21" s="2" cm="1">
        <f t="array" ref="B21" ca="1">INDEX(Data_DBD!$B:$B,$A21)</f>
        <v>69</v>
      </c>
      <c r="C21" s="2" cm="1">
        <f t="array" ref="C21" ca="1">INDEX(Data_DBD!$C:$C,$A21)</f>
        <v>7</v>
      </c>
      <c r="D21" s="2" cm="1">
        <f t="array" ref="D21" ca="1">INDEX(Data_DBD!$E:$E,$A21)</f>
        <v>1</v>
      </c>
      <c r="E21" s="2" t="str" cm="1">
        <f t="array" ref="E21" ca="1">INDEX(Data_DBD!$F:$F,$A21)</f>
        <v>Tinggi</v>
      </c>
      <c r="H21" s="2">
        <v>161</v>
      </c>
      <c r="I21" s="2">
        <v>12</v>
      </c>
      <c r="J21" s="2">
        <v>3</v>
      </c>
      <c r="K21" s="2">
        <v>1</v>
      </c>
      <c r="L21" s="2" t="s">
        <v>97</v>
      </c>
    </row>
    <row r="22" spans="1:12">
      <c r="A22" s="2">
        <f t="shared" ca="1" si="0"/>
        <v>134</v>
      </c>
      <c r="B22" s="2" cm="1">
        <f t="array" ref="B22" ca="1">INDEX(Data_DBD!$B:$B,$A22)</f>
        <v>4</v>
      </c>
      <c r="C22" s="2" cm="1">
        <f t="array" ref="C22" ca="1">INDEX(Data_DBD!$C:$C,$A22)</f>
        <v>2</v>
      </c>
      <c r="D22" s="2" cm="1">
        <f t="array" ref="D22" ca="1">INDEX(Data_DBD!$E:$E,$A22)</f>
        <v>1</v>
      </c>
      <c r="E22" s="2" t="str" cm="1">
        <f t="array" ref="E22" ca="1">INDEX(Data_DBD!$F:$F,$A22)</f>
        <v>Tinggi</v>
      </c>
      <c r="H22" s="2">
        <v>138</v>
      </c>
      <c r="I22" s="2">
        <v>13</v>
      </c>
      <c r="J22" s="2">
        <v>3</v>
      </c>
      <c r="K22" s="2">
        <v>1</v>
      </c>
      <c r="L22" s="2" t="s">
        <v>97</v>
      </c>
    </row>
    <row r="23" spans="1:12">
      <c r="A23" s="2">
        <f t="shared" ca="1" si="0"/>
        <v>146</v>
      </c>
      <c r="B23" s="2" cm="1">
        <f t="array" ref="B23" ca="1">INDEX(Data_DBD!$B:$B,$A23)</f>
        <v>34</v>
      </c>
      <c r="C23" s="2" cm="1">
        <f t="array" ref="C23" ca="1">INDEX(Data_DBD!$C:$C,$A23)</f>
        <v>2</v>
      </c>
      <c r="D23" s="2" cm="1">
        <f t="array" ref="D23" ca="1">INDEX(Data_DBD!$E:$E,$A23)</f>
        <v>1</v>
      </c>
      <c r="E23" s="2" t="str" cm="1">
        <f t="array" ref="E23" ca="1">INDEX(Data_DBD!$F:$F,$A23)</f>
        <v>Tinggi</v>
      </c>
      <c r="H23" s="2">
        <v>34</v>
      </c>
      <c r="I23" s="2">
        <v>55</v>
      </c>
      <c r="J23" s="2">
        <v>3</v>
      </c>
      <c r="K23" s="2">
        <v>0</v>
      </c>
      <c r="L23" s="2" t="s">
        <v>7</v>
      </c>
    </row>
    <row r="24" spans="1:12">
      <c r="A24" s="2">
        <f t="shared" ca="1" si="0"/>
        <v>136</v>
      </c>
      <c r="B24" s="2" cm="1">
        <f t="array" ref="B24" ca="1">INDEX(Data_DBD!$B:$B,$A24)</f>
        <v>6</v>
      </c>
      <c r="C24" s="2" cm="1">
        <f t="array" ref="C24" ca="1">INDEX(Data_DBD!$C:$C,$A24)</f>
        <v>2</v>
      </c>
      <c r="D24" s="2" cm="1">
        <f t="array" ref="D24" ca="1">INDEX(Data_DBD!$E:$E,$A24)</f>
        <v>0</v>
      </c>
      <c r="E24" s="2" t="str" cm="1">
        <f t="array" ref="E24" ca="1">INDEX(Data_DBD!$F:$F,$A24)</f>
        <v>Tinggi</v>
      </c>
      <c r="H24" s="2">
        <v>54</v>
      </c>
      <c r="I24" s="2">
        <v>7</v>
      </c>
      <c r="J24" s="2">
        <v>3</v>
      </c>
      <c r="K24" s="2">
        <v>0</v>
      </c>
      <c r="L24" s="2" t="s">
        <v>7</v>
      </c>
    </row>
    <row r="25" spans="1:12">
      <c r="A25" s="2">
        <f t="shared" ca="1" si="0"/>
        <v>158</v>
      </c>
      <c r="B25" s="2" cm="1">
        <f t="array" ref="B25" ca="1">INDEX(Data_DBD!$B:$B,$A25)</f>
        <v>5</v>
      </c>
      <c r="C25" s="2" cm="1">
        <f t="array" ref="C25" ca="1">INDEX(Data_DBD!$C:$C,$A25)</f>
        <v>2</v>
      </c>
      <c r="D25" s="2" cm="1">
        <f t="array" ref="D25" ca="1">INDEX(Data_DBD!$E:$E,$A25)</f>
        <v>0</v>
      </c>
      <c r="E25" s="2" t="str" cm="1">
        <f t="array" ref="E25" ca="1">INDEX(Data_DBD!$F:$F,$A25)</f>
        <v>Tinggi</v>
      </c>
      <c r="H25" s="2">
        <v>69</v>
      </c>
      <c r="I25" s="2">
        <v>24</v>
      </c>
      <c r="J25" s="2">
        <v>4</v>
      </c>
      <c r="K25" s="2">
        <v>1</v>
      </c>
      <c r="L25" s="2" t="s">
        <v>7</v>
      </c>
    </row>
    <row r="26" spans="1:12">
      <c r="A26" s="2">
        <f t="shared" ca="1" si="0"/>
        <v>48</v>
      </c>
      <c r="B26" s="2" cm="1">
        <f t="array" ref="B26" ca="1">INDEX(Data_DBD!$B:$B,$A26)</f>
        <v>50</v>
      </c>
      <c r="C26" s="2" cm="1">
        <f t="array" ref="C26" ca="1">INDEX(Data_DBD!$C:$C,$A26)</f>
        <v>5</v>
      </c>
      <c r="D26" s="2" cm="1">
        <f t="array" ref="D26" ca="1">INDEX(Data_DBD!$E:$E,$A26)</f>
        <v>1</v>
      </c>
      <c r="E26" s="2" t="str" cm="1">
        <f t="array" ref="E26" ca="1">INDEX(Data_DBD!$F:$F,$A26)</f>
        <v>Sedang</v>
      </c>
      <c r="H26" s="2">
        <v>34</v>
      </c>
      <c r="I26" s="2">
        <v>55</v>
      </c>
      <c r="J26" s="2">
        <v>3</v>
      </c>
      <c r="K26" s="2">
        <v>0</v>
      </c>
      <c r="L26" s="2" t="s">
        <v>7</v>
      </c>
    </row>
    <row r="27" spans="1:12">
      <c r="A27" s="2">
        <f t="shared" ca="1" si="0"/>
        <v>36</v>
      </c>
      <c r="B27" s="2" cm="1">
        <f t="array" ref="B27" ca="1">INDEX(Data_DBD!$B:$B,$A27)</f>
        <v>27</v>
      </c>
      <c r="C27" s="2" cm="1">
        <f t="array" ref="C27" ca="1">INDEX(Data_DBD!$C:$C,$A27)</f>
        <v>1</v>
      </c>
      <c r="D27" s="2" cm="1">
        <f t="array" ref="D27" ca="1">INDEX(Data_DBD!$E:$E,$A27)</f>
        <v>1</v>
      </c>
      <c r="E27" s="2" t="str" cm="1">
        <f t="array" ref="E27" ca="1">INDEX(Data_DBD!$F:$F,$A27)</f>
        <v>Rendah</v>
      </c>
      <c r="H27" s="2">
        <v>15</v>
      </c>
      <c r="I27" s="2">
        <v>21</v>
      </c>
      <c r="J27" s="2">
        <v>2</v>
      </c>
      <c r="K27" s="2">
        <v>0</v>
      </c>
      <c r="L27" s="2" t="s">
        <v>20</v>
      </c>
    </row>
    <row r="28" spans="1:12">
      <c r="A28" s="2">
        <f t="shared" ca="1" si="0"/>
        <v>74</v>
      </c>
      <c r="B28" s="2" cm="1">
        <f t="array" ref="B28" ca="1">INDEX(Data_DBD!$B:$B,$A28)</f>
        <v>9</v>
      </c>
      <c r="C28" s="2" cm="1">
        <f t="array" ref="C28" ca="1">INDEX(Data_DBD!$C:$C,$A28)</f>
        <v>4</v>
      </c>
      <c r="D28" s="2" cm="1">
        <f t="array" ref="D28" ca="1">INDEX(Data_DBD!$E:$E,$A28)</f>
        <v>0</v>
      </c>
      <c r="E28" s="2" t="str" cm="1">
        <f t="array" ref="E28" ca="1">INDEX(Data_DBD!$F:$F,$A28)</f>
        <v>Sedang</v>
      </c>
      <c r="H28" s="2">
        <v>63</v>
      </c>
      <c r="I28" s="2">
        <v>25</v>
      </c>
      <c r="J28" s="2">
        <v>3</v>
      </c>
      <c r="K28" s="2">
        <v>0</v>
      </c>
      <c r="L28" s="2" t="s">
        <v>7</v>
      </c>
    </row>
    <row r="29" spans="1:12">
      <c r="A29" s="2">
        <f t="shared" ca="1" si="0"/>
        <v>11</v>
      </c>
      <c r="B29" s="2" cm="1">
        <f t="array" ref="B29" ca="1">INDEX(Data_DBD!$B:$B,$A29)</f>
        <v>24</v>
      </c>
      <c r="C29" s="2" cm="1">
        <f t="array" ref="C29" ca="1">INDEX(Data_DBD!$C:$C,$A29)</f>
        <v>5</v>
      </c>
      <c r="D29" s="2" cm="1">
        <f t="array" ref="D29" ca="1">INDEX(Data_DBD!$E:$E,$A29)</f>
        <v>1</v>
      </c>
      <c r="E29" s="2" t="str" cm="1">
        <f t="array" ref="E29" ca="1">INDEX(Data_DBD!$F:$F,$A29)</f>
        <v>Sedang</v>
      </c>
      <c r="H29" s="2">
        <v>93</v>
      </c>
      <c r="I29" s="2">
        <v>65</v>
      </c>
      <c r="J29" s="2">
        <v>4</v>
      </c>
      <c r="K29" s="2">
        <v>0</v>
      </c>
      <c r="L29" s="2" t="s">
        <v>97</v>
      </c>
    </row>
    <row r="30" spans="1:12">
      <c r="A30" s="2">
        <f t="shared" ca="1" si="0"/>
        <v>134</v>
      </c>
      <c r="B30" s="2" cm="1">
        <f t="array" ref="B30" ca="1">INDEX(Data_DBD!$B:$B,$A30)</f>
        <v>4</v>
      </c>
      <c r="C30" s="2" cm="1">
        <f t="array" ref="C30" ca="1">INDEX(Data_DBD!$C:$C,$A30)</f>
        <v>2</v>
      </c>
      <c r="D30" s="2" cm="1">
        <f t="array" ref="D30" ca="1">INDEX(Data_DBD!$E:$E,$A30)</f>
        <v>1</v>
      </c>
      <c r="E30" s="2" t="str" cm="1">
        <f t="array" ref="E30" ca="1">INDEX(Data_DBD!$F:$F,$A30)</f>
        <v>Tinggi</v>
      </c>
      <c r="H30" s="2">
        <v>137</v>
      </c>
      <c r="I30" s="2">
        <v>3</v>
      </c>
      <c r="J30" s="2">
        <v>1</v>
      </c>
      <c r="K30" s="2">
        <v>1</v>
      </c>
      <c r="L30" s="2" t="s">
        <v>97</v>
      </c>
    </row>
    <row r="31" spans="1:12">
      <c r="A31" s="2">
        <f t="shared" ca="1" si="0"/>
        <v>45</v>
      </c>
      <c r="B31" s="2" cm="1">
        <f t="array" ref="B31" ca="1">INDEX(Data_DBD!$B:$B,$A31)</f>
        <v>75</v>
      </c>
      <c r="C31" s="2" cm="1">
        <f t="array" ref="C31" ca="1">INDEX(Data_DBD!$C:$C,$A31)</f>
        <v>3</v>
      </c>
      <c r="D31" s="2" cm="1">
        <f t="array" ref="D31" ca="1">INDEX(Data_DBD!$E:$E,$A31)</f>
        <v>1</v>
      </c>
      <c r="E31" s="2" t="str" cm="1">
        <f t="array" ref="E31" ca="1">INDEX(Data_DBD!$F:$F,$A31)</f>
        <v>Sedang</v>
      </c>
      <c r="H31" s="2">
        <v>3</v>
      </c>
      <c r="I31" s="2">
        <v>43</v>
      </c>
      <c r="J31" s="2">
        <v>3</v>
      </c>
      <c r="K31" s="2">
        <v>1</v>
      </c>
      <c r="L31" s="2" t="s">
        <v>7</v>
      </c>
    </row>
    <row r="32" spans="1:12">
      <c r="A32" s="2">
        <f t="shared" ca="1" si="0"/>
        <v>96</v>
      </c>
      <c r="B32" s="2" cm="1">
        <f t="array" ref="B32" ca="1">INDEX(Data_DBD!$B:$B,$A32)</f>
        <v>56</v>
      </c>
      <c r="C32" s="2" cm="1">
        <f t="array" ref="C32" ca="1">INDEX(Data_DBD!$C:$C,$A32)</f>
        <v>4</v>
      </c>
      <c r="D32" s="2" cm="1">
        <f t="array" ref="D32" ca="1">INDEX(Data_DBD!$E:$E,$A32)</f>
        <v>0</v>
      </c>
      <c r="E32" s="2" t="str" cm="1">
        <f t="array" ref="E32" ca="1">INDEX(Data_DBD!$F:$F,$A32)</f>
        <v>Tinggi</v>
      </c>
      <c r="H32" s="2">
        <v>91</v>
      </c>
      <c r="I32" s="2">
        <v>35</v>
      </c>
      <c r="J32" s="2">
        <v>1</v>
      </c>
      <c r="K32" s="2">
        <v>1</v>
      </c>
      <c r="L32" s="2" t="s">
        <v>97</v>
      </c>
    </row>
    <row r="33" spans="1:12">
      <c r="A33" s="2">
        <f t="shared" ca="1" si="0"/>
        <v>122</v>
      </c>
      <c r="B33" s="2" cm="1">
        <f t="array" ref="B33" ca="1">INDEX(Data_DBD!$B:$B,$A33)</f>
        <v>28</v>
      </c>
      <c r="C33" s="2" cm="1">
        <f t="array" ref="C33" ca="1">INDEX(Data_DBD!$C:$C,$A33)</f>
        <v>3</v>
      </c>
      <c r="D33" s="2" cm="1">
        <f t="array" ref="D33" ca="1">INDEX(Data_DBD!$E:$E,$A33)</f>
        <v>1</v>
      </c>
      <c r="E33" s="2" t="str" cm="1">
        <f t="array" ref="E33" ca="1">INDEX(Data_DBD!$F:$F,$A33)</f>
        <v>Tinggi</v>
      </c>
      <c r="H33" s="2">
        <v>91</v>
      </c>
      <c r="I33" s="2">
        <v>35</v>
      </c>
      <c r="J33" s="2">
        <v>1</v>
      </c>
      <c r="K33" s="2">
        <v>1</v>
      </c>
      <c r="L33" s="2" t="s">
        <v>97</v>
      </c>
    </row>
    <row r="34" spans="1:12">
      <c r="A34" s="2">
        <f t="shared" ca="1" si="0"/>
        <v>89</v>
      </c>
      <c r="B34" s="2" cm="1">
        <f t="array" ref="B34" ca="1">INDEX(Data_DBD!$B:$B,$A34)</f>
        <v>32</v>
      </c>
      <c r="C34" s="2" cm="1">
        <f t="array" ref="C34" ca="1">INDEX(Data_DBD!$C:$C,$A34)</f>
        <v>4</v>
      </c>
      <c r="D34" s="2" cm="1">
        <f t="array" ref="D34" ca="1">INDEX(Data_DBD!$E:$E,$A34)</f>
        <v>0</v>
      </c>
      <c r="E34" s="2" t="str" cm="1">
        <f t="array" ref="E34" ca="1">INDEX(Data_DBD!$F:$F,$A34)</f>
        <v>Sedang</v>
      </c>
      <c r="H34" s="2">
        <v>75</v>
      </c>
      <c r="I34" s="2">
        <v>2</v>
      </c>
      <c r="J34" s="2">
        <v>2</v>
      </c>
      <c r="K34" s="2">
        <v>1</v>
      </c>
      <c r="L34" s="2" t="s">
        <v>7</v>
      </c>
    </row>
    <row r="35" spans="1:12">
      <c r="A35" s="2">
        <f t="shared" ca="1" si="0"/>
        <v>41</v>
      </c>
      <c r="B35" s="2" cm="1">
        <f t="array" ref="B35" ca="1">INDEX(Data_DBD!$B:$B,$A35)</f>
        <v>8</v>
      </c>
      <c r="C35" s="2" cm="1">
        <f t="array" ref="C35" ca="1">INDEX(Data_DBD!$C:$C,$A35)</f>
        <v>4</v>
      </c>
      <c r="D35" s="2" cm="1">
        <f t="array" ref="D35" ca="1">INDEX(Data_DBD!$E:$E,$A35)</f>
        <v>0</v>
      </c>
      <c r="E35" s="2" t="str" cm="1">
        <f t="array" ref="E35" ca="1">INDEX(Data_DBD!$F:$F,$A35)</f>
        <v>Sedang</v>
      </c>
      <c r="H35" s="2">
        <v>151</v>
      </c>
      <c r="I35" s="2">
        <v>24</v>
      </c>
      <c r="J35" s="2">
        <v>3</v>
      </c>
      <c r="K35" s="2">
        <v>0</v>
      </c>
      <c r="L35" s="2" t="s">
        <v>97</v>
      </c>
    </row>
    <row r="36" spans="1:12">
      <c r="A36" s="2">
        <f t="shared" ca="1" si="0"/>
        <v>112</v>
      </c>
      <c r="B36" s="2" cm="1">
        <f t="array" ref="B36" ca="1">INDEX(Data_DBD!$B:$B,$A36)</f>
        <v>61</v>
      </c>
      <c r="C36" s="2" cm="1">
        <f t="array" ref="C36" ca="1">INDEX(Data_DBD!$C:$C,$A36)</f>
        <v>3</v>
      </c>
      <c r="D36" s="2" cm="1">
        <f t="array" ref="D36" ca="1">INDEX(Data_DBD!$E:$E,$A36)</f>
        <v>1</v>
      </c>
      <c r="E36" s="2" t="str" cm="1">
        <f t="array" ref="E36" ca="1">INDEX(Data_DBD!$F:$F,$A36)</f>
        <v>Tinggi</v>
      </c>
      <c r="H36" s="2">
        <v>80</v>
      </c>
      <c r="I36" s="2">
        <v>27</v>
      </c>
      <c r="J36" s="2">
        <v>3</v>
      </c>
      <c r="K36" s="2">
        <v>1</v>
      </c>
      <c r="L36" s="2" t="s">
        <v>7</v>
      </c>
    </row>
    <row r="37" spans="1:12">
      <c r="A37" s="2">
        <f t="shared" ca="1" si="0"/>
        <v>153</v>
      </c>
      <c r="B37" s="2" cm="1">
        <f t="array" ref="B37" ca="1">INDEX(Data_DBD!$B:$B,$A37)</f>
        <v>73</v>
      </c>
      <c r="C37" s="2" cm="1">
        <f t="array" ref="C37" ca="1">INDEX(Data_DBD!$C:$C,$A37)</f>
        <v>7</v>
      </c>
      <c r="D37" s="2" cm="1">
        <f t="array" ref="D37" ca="1">INDEX(Data_DBD!$E:$E,$A37)</f>
        <v>1</v>
      </c>
      <c r="E37" s="2" t="str" cm="1">
        <f t="array" ref="E37" ca="1">INDEX(Data_DBD!$F:$F,$A37)</f>
        <v>Tinggi</v>
      </c>
      <c r="H37" s="2">
        <v>23</v>
      </c>
      <c r="I37" s="2">
        <v>28</v>
      </c>
      <c r="J37" s="2">
        <v>4</v>
      </c>
      <c r="K37" s="2">
        <v>1</v>
      </c>
      <c r="L37" s="2" t="s">
        <v>7</v>
      </c>
    </row>
    <row r="38" spans="1:12">
      <c r="A38" s="2">
        <f t="shared" ca="1" si="0"/>
        <v>26</v>
      </c>
      <c r="B38" s="2" cm="1">
        <f t="array" ref="B38" ca="1">INDEX(Data_DBD!$B:$B,$A38)</f>
        <v>75</v>
      </c>
      <c r="C38" s="2" cm="1">
        <f t="array" ref="C38" ca="1">INDEX(Data_DBD!$C:$C,$A38)</f>
        <v>4</v>
      </c>
      <c r="D38" s="2" cm="1">
        <f t="array" ref="D38" ca="1">INDEX(Data_DBD!$E:$E,$A38)</f>
        <v>1</v>
      </c>
      <c r="E38" s="2" t="str" cm="1">
        <f t="array" ref="E38" ca="1">INDEX(Data_DBD!$F:$F,$A38)</f>
        <v>Sedang</v>
      </c>
      <c r="H38" s="2">
        <v>35</v>
      </c>
      <c r="I38" s="2">
        <v>40</v>
      </c>
      <c r="J38" s="2">
        <v>3</v>
      </c>
      <c r="K38" s="2">
        <v>1</v>
      </c>
      <c r="L38" s="2" t="s">
        <v>20</v>
      </c>
    </row>
    <row r="39" spans="1:12">
      <c r="A39" s="2">
        <f t="shared" ca="1" si="0"/>
        <v>137</v>
      </c>
      <c r="B39" s="2" cm="1">
        <f t="array" ref="B39" ca="1">INDEX(Data_DBD!$B:$B,$A39)</f>
        <v>3</v>
      </c>
      <c r="C39" s="2" cm="1">
        <f t="array" ref="C39" ca="1">INDEX(Data_DBD!$C:$C,$A39)</f>
        <v>1</v>
      </c>
      <c r="D39" s="2" cm="1">
        <f t="array" ref="D39" ca="1">INDEX(Data_DBD!$E:$E,$A39)</f>
        <v>1</v>
      </c>
      <c r="E39" s="2" t="str" cm="1">
        <f t="array" ref="E39" ca="1">INDEX(Data_DBD!$F:$F,$A39)</f>
        <v>Tinggi</v>
      </c>
      <c r="H39" s="2">
        <v>129</v>
      </c>
      <c r="I39" s="2">
        <v>4</v>
      </c>
      <c r="J39" s="2">
        <v>3</v>
      </c>
      <c r="K39" s="2">
        <v>0</v>
      </c>
      <c r="L39" s="2" t="s">
        <v>97</v>
      </c>
    </row>
    <row r="40" spans="1:12">
      <c r="A40" s="2">
        <f t="shared" ca="1" si="0"/>
        <v>158</v>
      </c>
      <c r="B40" s="2" cm="1">
        <f t="array" ref="B40" ca="1">INDEX(Data_DBD!$B:$B,$A40)</f>
        <v>5</v>
      </c>
      <c r="C40" s="2" cm="1">
        <f t="array" ref="C40" ca="1">INDEX(Data_DBD!$C:$C,$A40)</f>
        <v>2</v>
      </c>
      <c r="D40" s="2" cm="1">
        <f t="array" ref="D40" ca="1">INDEX(Data_DBD!$E:$E,$A40)</f>
        <v>0</v>
      </c>
      <c r="E40" s="2" t="str" cm="1">
        <f t="array" ref="E40" ca="1">INDEX(Data_DBD!$F:$F,$A40)</f>
        <v>Tinggi</v>
      </c>
      <c r="H40" s="2">
        <v>143</v>
      </c>
      <c r="I40" s="2">
        <v>20</v>
      </c>
      <c r="J40" s="2">
        <v>4</v>
      </c>
      <c r="K40" s="2">
        <v>1</v>
      </c>
      <c r="L40" s="2" t="s">
        <v>97</v>
      </c>
    </row>
    <row r="41" spans="1:12">
      <c r="A41" s="2">
        <f t="shared" ca="1" si="0"/>
        <v>30</v>
      </c>
      <c r="B41" s="2" cm="1">
        <f t="array" ref="B41" ca="1">INDEX(Data_DBD!$B:$B,$A41)</f>
        <v>3</v>
      </c>
      <c r="C41" s="2" cm="1">
        <f t="array" ref="C41" ca="1">INDEX(Data_DBD!$C:$C,$A41)</f>
        <v>2</v>
      </c>
      <c r="D41" s="2" cm="1">
        <f t="array" ref="D41" ca="1">INDEX(Data_DBD!$E:$E,$A41)</f>
        <v>1</v>
      </c>
      <c r="E41" s="2" t="str" cm="1">
        <f t="array" ref="E41" ca="1">INDEX(Data_DBD!$F:$F,$A41)</f>
        <v>Sedang</v>
      </c>
      <c r="H41" s="2">
        <v>53</v>
      </c>
      <c r="I41" s="2">
        <v>35</v>
      </c>
      <c r="J41" s="2">
        <v>4</v>
      </c>
      <c r="K41" s="2">
        <v>1</v>
      </c>
      <c r="L41" s="2" t="s">
        <v>7</v>
      </c>
    </row>
    <row r="42" spans="1:12">
      <c r="A42" s="2">
        <f t="shared" ca="1" si="0"/>
        <v>112</v>
      </c>
      <c r="B42" s="2" cm="1">
        <f t="array" ref="B42" ca="1">INDEX(Data_DBD!$B:$B,$A42)</f>
        <v>61</v>
      </c>
      <c r="C42" s="2" cm="1">
        <f t="array" ref="C42" ca="1">INDEX(Data_DBD!$C:$C,$A42)</f>
        <v>3</v>
      </c>
      <c r="D42" s="2" cm="1">
        <f t="array" ref="D42" ca="1">INDEX(Data_DBD!$E:$E,$A42)</f>
        <v>1</v>
      </c>
      <c r="E42" s="2" t="str" cm="1">
        <f t="array" ref="E42" ca="1">INDEX(Data_DBD!$F:$F,$A42)</f>
        <v>Tinggi</v>
      </c>
      <c r="H42" s="2">
        <v>72</v>
      </c>
      <c r="I42" s="2">
        <v>3</v>
      </c>
      <c r="J42" s="2">
        <v>5</v>
      </c>
      <c r="K42" s="2">
        <v>1</v>
      </c>
      <c r="L42" s="2" t="s">
        <v>7</v>
      </c>
    </row>
    <row r="43" spans="1:12">
      <c r="A43" s="2">
        <f t="shared" ca="1" si="0"/>
        <v>28</v>
      </c>
      <c r="B43" s="2" cm="1">
        <f t="array" ref="B43" ca="1">INDEX(Data_DBD!$B:$B,$A43)</f>
        <v>22</v>
      </c>
      <c r="C43" s="2" cm="1">
        <f t="array" ref="C43" ca="1">INDEX(Data_DBD!$C:$C,$A43)</f>
        <v>2</v>
      </c>
      <c r="D43" s="2" cm="1">
        <f t="array" ref="D43" ca="1">INDEX(Data_DBD!$E:$E,$A43)</f>
        <v>1</v>
      </c>
      <c r="E43" s="2" t="str" cm="1">
        <f t="array" ref="E43" ca="1">INDEX(Data_DBD!$F:$F,$A43)</f>
        <v>Sedang</v>
      </c>
      <c r="H43" s="2">
        <v>157</v>
      </c>
      <c r="I43" s="2">
        <v>15</v>
      </c>
      <c r="J43" s="2">
        <v>4</v>
      </c>
      <c r="K43" s="2">
        <v>1</v>
      </c>
      <c r="L43" s="2" t="s">
        <v>97</v>
      </c>
    </row>
    <row r="44" spans="1:12">
      <c r="A44" s="2">
        <f t="shared" ca="1" si="0"/>
        <v>128</v>
      </c>
      <c r="B44" s="2" cm="1">
        <f t="array" ref="B44" ca="1">INDEX(Data_DBD!$B:$B,$A44)</f>
        <v>38</v>
      </c>
      <c r="C44" s="2" cm="1">
        <f t="array" ref="C44" ca="1">INDEX(Data_DBD!$C:$C,$A44)</f>
        <v>2</v>
      </c>
      <c r="D44" s="2" cm="1">
        <f t="array" ref="D44" ca="1">INDEX(Data_DBD!$E:$E,$A44)</f>
        <v>0</v>
      </c>
      <c r="E44" s="2" t="str" cm="1">
        <f t="array" ref="E44" ca="1">INDEX(Data_DBD!$F:$F,$A44)</f>
        <v>Tinggi</v>
      </c>
      <c r="H44" s="2">
        <v>50</v>
      </c>
      <c r="I44" s="2">
        <v>19</v>
      </c>
      <c r="J44" s="2">
        <v>5</v>
      </c>
      <c r="K44" s="2">
        <v>0</v>
      </c>
      <c r="L44" s="2" t="s">
        <v>7</v>
      </c>
    </row>
    <row r="45" spans="1:12">
      <c r="A45" s="2">
        <f t="shared" ca="1" si="0"/>
        <v>94</v>
      </c>
      <c r="B45" s="2" cm="1">
        <f t="array" ref="B45" ca="1">INDEX(Data_DBD!$B:$B,$A45)</f>
        <v>12</v>
      </c>
      <c r="C45" s="2" cm="1">
        <f t="array" ref="C45" ca="1">INDEX(Data_DBD!$C:$C,$A45)</f>
        <v>4</v>
      </c>
      <c r="D45" s="2" cm="1">
        <f t="array" ref="D45" ca="1">INDEX(Data_DBD!$E:$E,$A45)</f>
        <v>0</v>
      </c>
      <c r="E45" s="2" t="str" cm="1">
        <f t="array" ref="E45" ca="1">INDEX(Data_DBD!$F:$F,$A45)</f>
        <v>Tinggi</v>
      </c>
      <c r="H45" s="2">
        <v>124</v>
      </c>
      <c r="I45" s="2">
        <v>24</v>
      </c>
      <c r="J45" s="2">
        <v>3</v>
      </c>
      <c r="K45" s="2">
        <v>1</v>
      </c>
      <c r="L45" s="2" t="s">
        <v>97</v>
      </c>
    </row>
    <row r="46" spans="1:12">
      <c r="A46" s="2">
        <f t="shared" ca="1" si="0"/>
        <v>156</v>
      </c>
      <c r="B46" s="2" cm="1">
        <f t="array" ref="B46" ca="1">INDEX(Data_DBD!$B:$B,$A46)</f>
        <v>5</v>
      </c>
      <c r="C46" s="2" cm="1">
        <f t="array" ref="C46" ca="1">INDEX(Data_DBD!$C:$C,$A46)</f>
        <v>2</v>
      </c>
      <c r="D46" s="2" cm="1">
        <f t="array" ref="D46" ca="1">INDEX(Data_DBD!$E:$E,$A46)</f>
        <v>0</v>
      </c>
      <c r="E46" s="2" t="str" cm="1">
        <f t="array" ref="E46" ca="1">INDEX(Data_DBD!$F:$F,$A46)</f>
        <v>Tinggi</v>
      </c>
      <c r="H46" s="2">
        <v>75</v>
      </c>
      <c r="I46" s="2">
        <v>2</v>
      </c>
      <c r="J46" s="2">
        <v>2</v>
      </c>
      <c r="K46" s="2">
        <v>1</v>
      </c>
      <c r="L46" s="2" t="s">
        <v>7</v>
      </c>
    </row>
    <row r="47" spans="1:12">
      <c r="A47" s="2">
        <f t="shared" ca="1" si="0"/>
        <v>24</v>
      </c>
      <c r="B47" s="2" cm="1">
        <f t="array" ref="B47" ca="1">INDEX(Data_DBD!$B:$B,$A47)</f>
        <v>60</v>
      </c>
      <c r="C47" s="2" cm="1">
        <f t="array" ref="C47" ca="1">INDEX(Data_DBD!$C:$C,$A47)</f>
        <v>4</v>
      </c>
      <c r="D47" s="2" cm="1">
        <f t="array" ref="D47" ca="1">INDEX(Data_DBD!$E:$E,$A47)</f>
        <v>0</v>
      </c>
      <c r="E47" s="2" t="str" cm="1">
        <f t="array" ref="E47" ca="1">INDEX(Data_DBD!$F:$F,$A47)</f>
        <v>Sedang</v>
      </c>
      <c r="H47" s="2">
        <v>147</v>
      </c>
      <c r="I47" s="2">
        <v>66</v>
      </c>
      <c r="J47" s="2">
        <v>10</v>
      </c>
      <c r="K47" s="2">
        <v>1</v>
      </c>
      <c r="L47" s="2" t="s">
        <v>97</v>
      </c>
    </row>
    <row r="48" spans="1:12">
      <c r="A48" s="2">
        <f t="shared" ca="1" si="0"/>
        <v>135</v>
      </c>
      <c r="B48" s="2" cm="1">
        <f t="array" ref="B48" ca="1">INDEX(Data_DBD!$B:$B,$A48)</f>
        <v>10</v>
      </c>
      <c r="C48" s="2" cm="1">
        <f t="array" ref="C48" ca="1">INDEX(Data_DBD!$C:$C,$A48)</f>
        <v>2</v>
      </c>
      <c r="D48" s="2" cm="1">
        <f t="array" ref="D48" ca="1">INDEX(Data_DBD!$E:$E,$A48)</f>
        <v>0</v>
      </c>
      <c r="E48" s="2" t="str" cm="1">
        <f t="array" ref="E48" ca="1">INDEX(Data_DBD!$F:$F,$A48)</f>
        <v>Tinggi</v>
      </c>
      <c r="H48" s="2">
        <v>45</v>
      </c>
      <c r="I48" s="2">
        <v>75</v>
      </c>
      <c r="J48" s="2">
        <v>3</v>
      </c>
      <c r="K48" s="2">
        <v>1</v>
      </c>
      <c r="L48" s="2" t="s">
        <v>7</v>
      </c>
    </row>
    <row r="49" spans="1:12">
      <c r="A49" s="2">
        <f t="shared" ca="1" si="0"/>
        <v>107</v>
      </c>
      <c r="B49" s="2" cm="1">
        <f t="array" ref="B49" ca="1">INDEX(Data_DBD!$B:$B,$A49)</f>
        <v>48</v>
      </c>
      <c r="C49" s="2" cm="1">
        <f t="array" ref="C49" ca="1">INDEX(Data_DBD!$C:$C,$A49)</f>
        <v>5</v>
      </c>
      <c r="D49" s="2" cm="1">
        <f t="array" ref="D49" ca="1">INDEX(Data_DBD!$E:$E,$A49)</f>
        <v>0</v>
      </c>
      <c r="E49" s="2" t="str" cm="1">
        <f t="array" ref="E49" ca="1">INDEX(Data_DBD!$F:$F,$A49)</f>
        <v>Tinggi</v>
      </c>
      <c r="H49" s="2">
        <v>163</v>
      </c>
      <c r="I49" s="2">
        <v>34</v>
      </c>
      <c r="J49" s="2">
        <v>4</v>
      </c>
      <c r="K49" s="2">
        <v>1</v>
      </c>
      <c r="L49" s="2" t="s">
        <v>20</v>
      </c>
    </row>
    <row r="50" spans="1:12">
      <c r="A50" s="2">
        <f t="shared" ca="1" si="0"/>
        <v>89</v>
      </c>
      <c r="B50" s="2" cm="1">
        <f t="array" ref="B50" ca="1">INDEX(Data_DBD!$B:$B,$A50)</f>
        <v>32</v>
      </c>
      <c r="C50" s="2" cm="1">
        <f t="array" ref="C50" ca="1">INDEX(Data_DBD!$C:$C,$A50)</f>
        <v>4</v>
      </c>
      <c r="D50" s="2" cm="1">
        <f t="array" ref="D50" ca="1">INDEX(Data_DBD!$E:$E,$A50)</f>
        <v>0</v>
      </c>
      <c r="E50" s="2" t="str" cm="1">
        <f t="array" ref="E50" ca="1">INDEX(Data_DBD!$F:$F,$A50)</f>
        <v>Sedang</v>
      </c>
      <c r="H50" s="2">
        <v>40</v>
      </c>
      <c r="I50" s="2">
        <v>65</v>
      </c>
      <c r="J50" s="2">
        <v>3</v>
      </c>
      <c r="K50" s="2">
        <v>1</v>
      </c>
      <c r="L50" s="2" t="s">
        <v>7</v>
      </c>
    </row>
    <row r="51" spans="1:12">
      <c r="A51" s="2">
        <f t="shared" ca="1" si="0"/>
        <v>61</v>
      </c>
      <c r="B51" s="2" cm="1">
        <f t="array" ref="B51" ca="1">INDEX(Data_DBD!$B:$B,$A51)</f>
        <v>29</v>
      </c>
      <c r="C51" s="2" cm="1">
        <f t="array" ref="C51" ca="1">INDEX(Data_DBD!$C:$C,$A51)</f>
        <v>3</v>
      </c>
      <c r="D51" s="2" cm="1">
        <f t="array" ref="D51" ca="1">INDEX(Data_DBD!$E:$E,$A51)</f>
        <v>1</v>
      </c>
      <c r="E51" s="2" t="str" cm="1">
        <f t="array" ref="E51" ca="1">INDEX(Data_DBD!$F:$F,$A51)</f>
        <v>Sedang</v>
      </c>
      <c r="H51" s="2">
        <v>22</v>
      </c>
      <c r="I51" s="2">
        <v>6</v>
      </c>
      <c r="J51" s="2">
        <v>3</v>
      </c>
      <c r="K51" s="2">
        <v>0</v>
      </c>
      <c r="L51" s="2" t="s">
        <v>7</v>
      </c>
    </row>
    <row r="52" spans="1:12">
      <c r="A52" s="2">
        <f t="shared" ca="1" si="0"/>
        <v>62</v>
      </c>
      <c r="B52" s="2" cm="1">
        <f t="array" ref="B52" ca="1">INDEX(Data_DBD!$B:$B,$A52)</f>
        <v>43</v>
      </c>
      <c r="C52" s="2" cm="1">
        <f t="array" ref="C52" ca="1">INDEX(Data_DBD!$C:$C,$A52)</f>
        <v>4</v>
      </c>
      <c r="D52" s="2" cm="1">
        <f t="array" ref="D52" ca="1">INDEX(Data_DBD!$E:$E,$A52)</f>
        <v>1</v>
      </c>
      <c r="E52" s="2" t="str" cm="1">
        <f t="array" ref="E52" ca="1">INDEX(Data_DBD!$F:$F,$A52)</f>
        <v>Sedang</v>
      </c>
      <c r="H52" s="2">
        <v>105</v>
      </c>
      <c r="I52" s="2">
        <v>61</v>
      </c>
      <c r="J52" s="2">
        <v>3</v>
      </c>
      <c r="K52" s="2">
        <v>1</v>
      </c>
      <c r="L52" s="2" t="s">
        <v>97</v>
      </c>
    </row>
    <row r="53" spans="1:12">
      <c r="A53" s="2">
        <f t="shared" ca="1" si="0"/>
        <v>141</v>
      </c>
      <c r="B53" s="2" cm="1">
        <f t="array" ref="B53" ca="1">INDEX(Data_DBD!$B:$B,$A53)</f>
        <v>36</v>
      </c>
      <c r="C53" s="2" cm="1">
        <f t="array" ref="C53" ca="1">INDEX(Data_DBD!$C:$C,$A53)</f>
        <v>2</v>
      </c>
      <c r="D53" s="2" cm="1">
        <f t="array" ref="D53" ca="1">INDEX(Data_DBD!$E:$E,$A53)</f>
        <v>0</v>
      </c>
      <c r="E53" s="2" t="str" cm="1">
        <f t="array" ref="E53" ca="1">INDEX(Data_DBD!$F:$F,$A53)</f>
        <v>Tinggi</v>
      </c>
      <c r="H53" s="2">
        <v>12</v>
      </c>
      <c r="I53" s="2">
        <v>23</v>
      </c>
      <c r="J53" s="2">
        <v>3</v>
      </c>
      <c r="K53" s="2">
        <v>0</v>
      </c>
      <c r="L53" s="2" t="s">
        <v>7</v>
      </c>
    </row>
    <row r="54" spans="1:12">
      <c r="A54" s="2">
        <f t="shared" ca="1" si="0"/>
        <v>118</v>
      </c>
      <c r="B54" s="2" cm="1">
        <f t="array" ref="B54" ca="1">INDEX(Data_DBD!$B:$B,$A54)</f>
        <v>67</v>
      </c>
      <c r="C54" s="2" cm="1">
        <f t="array" ref="C54" ca="1">INDEX(Data_DBD!$C:$C,$A54)</f>
        <v>4</v>
      </c>
      <c r="D54" s="2" cm="1">
        <f t="array" ref="D54" ca="1">INDEX(Data_DBD!$E:$E,$A54)</f>
        <v>1</v>
      </c>
      <c r="E54" s="2" t="str" cm="1">
        <f t="array" ref="E54" ca="1">INDEX(Data_DBD!$F:$F,$A54)</f>
        <v>Tinggi</v>
      </c>
      <c r="H54" s="2">
        <v>155</v>
      </c>
      <c r="I54" s="2">
        <v>19</v>
      </c>
      <c r="J54" s="2">
        <v>5</v>
      </c>
      <c r="K54" s="2">
        <v>1</v>
      </c>
      <c r="L54" s="2" t="s">
        <v>97</v>
      </c>
    </row>
    <row r="55" spans="1:12">
      <c r="A55" s="2">
        <f t="shared" ca="1" si="0"/>
        <v>57</v>
      </c>
      <c r="B55" s="2" cm="1">
        <f t="array" ref="B55" ca="1">INDEX(Data_DBD!$B:$B,$A55)</f>
        <v>2</v>
      </c>
      <c r="C55" s="2" cm="1">
        <f t="array" ref="C55" ca="1">INDEX(Data_DBD!$C:$C,$A55)</f>
        <v>2</v>
      </c>
      <c r="D55" s="2" cm="1">
        <f t="array" ref="D55" ca="1">INDEX(Data_DBD!$E:$E,$A55)</f>
        <v>1</v>
      </c>
      <c r="E55" s="2" t="str" cm="1">
        <f t="array" ref="E55" ca="1">INDEX(Data_DBD!$F:$F,$A55)</f>
        <v>Sedang</v>
      </c>
      <c r="H55" s="2">
        <v>45</v>
      </c>
      <c r="I55" s="2">
        <v>75</v>
      </c>
      <c r="J55" s="2">
        <v>3</v>
      </c>
      <c r="K55" s="2">
        <v>1</v>
      </c>
      <c r="L55" s="2" t="s">
        <v>7</v>
      </c>
    </row>
    <row r="56" spans="1:12">
      <c r="A56" s="2">
        <f t="shared" ca="1" si="0"/>
        <v>98</v>
      </c>
      <c r="B56" s="2" cm="1">
        <f t="array" ref="B56" ca="1">INDEX(Data_DBD!$B:$B,$A56)</f>
        <v>16</v>
      </c>
      <c r="C56" s="2" cm="1">
        <f t="array" ref="C56" ca="1">INDEX(Data_DBD!$C:$C,$A56)</f>
        <v>2</v>
      </c>
      <c r="D56" s="2" cm="1">
        <f t="array" ref="D56" ca="1">INDEX(Data_DBD!$E:$E,$A56)</f>
        <v>1</v>
      </c>
      <c r="E56" s="2" t="str" cm="1">
        <f t="array" ref="E56" ca="1">INDEX(Data_DBD!$F:$F,$A56)</f>
        <v>Tinggi</v>
      </c>
      <c r="H56" s="2">
        <v>91</v>
      </c>
      <c r="I56" s="2">
        <v>35</v>
      </c>
      <c r="J56" s="2">
        <v>1</v>
      </c>
      <c r="K56" s="2">
        <v>1</v>
      </c>
      <c r="L56" s="2" t="s">
        <v>97</v>
      </c>
    </row>
    <row r="57" spans="1:12">
      <c r="A57" s="2">
        <f t="shared" ca="1" si="0"/>
        <v>162</v>
      </c>
      <c r="B57" s="2" cm="1">
        <f t="array" ref="B57" ca="1">INDEX(Data_DBD!$B:$B,$A57)</f>
        <v>22</v>
      </c>
      <c r="C57" s="2" cm="1">
        <f t="array" ref="C57" ca="1">INDEX(Data_DBD!$C:$C,$A57)</f>
        <v>3</v>
      </c>
      <c r="D57" s="2" cm="1">
        <f t="array" ref="D57" ca="1">INDEX(Data_DBD!$E:$E,$A57)</f>
        <v>1</v>
      </c>
      <c r="E57" s="2" t="str" cm="1">
        <f t="array" ref="E57" ca="1">INDEX(Data_DBD!$F:$F,$A57)</f>
        <v>Rendah</v>
      </c>
      <c r="H57" s="2">
        <v>60</v>
      </c>
      <c r="I57" s="2">
        <v>68</v>
      </c>
      <c r="J57" s="2">
        <v>4</v>
      </c>
      <c r="K57" s="2">
        <v>0</v>
      </c>
      <c r="L57" s="2" t="s">
        <v>7</v>
      </c>
    </row>
    <row r="58" spans="1:12">
      <c r="A58" s="2">
        <f t="shared" ca="1" si="0"/>
        <v>157</v>
      </c>
      <c r="B58" s="2" cm="1">
        <f t="array" ref="B58" ca="1">INDEX(Data_DBD!$B:$B,$A58)</f>
        <v>15</v>
      </c>
      <c r="C58" s="2" cm="1">
        <f t="array" ref="C58" ca="1">INDEX(Data_DBD!$C:$C,$A58)</f>
        <v>4</v>
      </c>
      <c r="D58" s="2" cm="1">
        <f t="array" ref="D58" ca="1">INDEX(Data_DBD!$E:$E,$A58)</f>
        <v>1</v>
      </c>
      <c r="E58" s="2" t="str" cm="1">
        <f t="array" ref="E58" ca="1">INDEX(Data_DBD!$F:$F,$A58)</f>
        <v>Tinggi</v>
      </c>
      <c r="H58" s="2">
        <v>76</v>
      </c>
      <c r="I58" s="2">
        <v>70</v>
      </c>
      <c r="J58" s="2">
        <v>2</v>
      </c>
      <c r="K58" s="2">
        <v>0</v>
      </c>
      <c r="L58" s="2" t="s">
        <v>7</v>
      </c>
    </row>
    <row r="59" spans="1:12">
      <c r="A59" s="2">
        <f t="shared" ca="1" si="0"/>
        <v>89</v>
      </c>
      <c r="B59" s="2" cm="1">
        <f t="array" ref="B59" ca="1">INDEX(Data_DBD!$B:$B,$A59)</f>
        <v>32</v>
      </c>
      <c r="C59" s="2" cm="1">
        <f t="array" ref="C59" ca="1">INDEX(Data_DBD!$C:$C,$A59)</f>
        <v>4</v>
      </c>
      <c r="D59" s="2" cm="1">
        <f t="array" ref="D59" ca="1">INDEX(Data_DBD!$E:$E,$A59)</f>
        <v>0</v>
      </c>
      <c r="E59" s="2" t="str" cm="1">
        <f t="array" ref="E59" ca="1">INDEX(Data_DBD!$F:$F,$A59)</f>
        <v>Sedang</v>
      </c>
      <c r="H59" s="2">
        <v>82</v>
      </c>
      <c r="I59" s="2">
        <v>28</v>
      </c>
      <c r="J59" s="2">
        <v>3</v>
      </c>
      <c r="K59" s="2">
        <v>1</v>
      </c>
      <c r="L59" s="2" t="s">
        <v>7</v>
      </c>
    </row>
    <row r="60" spans="1:12">
      <c r="A60" s="2">
        <f t="shared" ca="1" si="0"/>
        <v>92</v>
      </c>
      <c r="B60" s="2" cm="1">
        <f t="array" ref="B60" ca="1">INDEX(Data_DBD!$B:$B,$A60)</f>
        <v>55</v>
      </c>
      <c r="C60" s="2" cm="1">
        <f t="array" ref="C60" ca="1">INDEX(Data_DBD!$C:$C,$A60)</f>
        <v>7</v>
      </c>
      <c r="D60" s="2" cm="1">
        <f t="array" ref="D60" ca="1">INDEX(Data_DBD!$E:$E,$A60)</f>
        <v>0</v>
      </c>
      <c r="E60" s="2" t="str" cm="1">
        <f t="array" ref="E60" ca="1">INDEX(Data_DBD!$F:$F,$A60)</f>
        <v>Tinggi</v>
      </c>
      <c r="H60" s="2">
        <v>154</v>
      </c>
      <c r="I60" s="2">
        <v>18</v>
      </c>
      <c r="J60" s="2">
        <v>5</v>
      </c>
      <c r="K60" s="2">
        <v>1</v>
      </c>
      <c r="L60" s="2" t="s">
        <v>97</v>
      </c>
    </row>
    <row r="61" spans="1:12">
      <c r="A61" s="2">
        <f t="shared" ca="1" si="0"/>
        <v>47</v>
      </c>
      <c r="B61" s="2" cm="1">
        <f t="array" ref="B61" ca="1">INDEX(Data_DBD!$B:$B,$A61)</f>
        <v>19</v>
      </c>
      <c r="C61" s="2" cm="1">
        <f t="array" ref="C61" ca="1">INDEX(Data_DBD!$C:$C,$A61)</f>
        <v>2</v>
      </c>
      <c r="D61" s="2" cm="1">
        <f t="array" ref="D61" ca="1">INDEX(Data_DBD!$E:$E,$A61)</f>
        <v>0</v>
      </c>
      <c r="E61" s="2" t="str" cm="1">
        <f t="array" ref="E61" ca="1">INDEX(Data_DBD!$F:$F,$A61)</f>
        <v>Sedang</v>
      </c>
      <c r="H61" s="2">
        <v>63</v>
      </c>
      <c r="I61" s="2">
        <v>25</v>
      </c>
      <c r="J61" s="2">
        <v>3</v>
      </c>
      <c r="K61" s="2">
        <v>0</v>
      </c>
      <c r="L61" s="2" t="s">
        <v>7</v>
      </c>
    </row>
    <row r="62" spans="1:12">
      <c r="A62" s="2">
        <f t="shared" ca="1" si="0"/>
        <v>12</v>
      </c>
      <c r="B62" s="2" cm="1">
        <f t="array" ref="B62" ca="1">INDEX(Data_DBD!$B:$B,$A62)</f>
        <v>23</v>
      </c>
      <c r="C62" s="2" cm="1">
        <f t="array" ref="C62" ca="1">INDEX(Data_DBD!$C:$C,$A62)</f>
        <v>3</v>
      </c>
      <c r="D62" s="2" cm="1">
        <f t="array" ref="D62" ca="1">INDEX(Data_DBD!$E:$E,$A62)</f>
        <v>0</v>
      </c>
      <c r="E62" s="2" t="str" cm="1">
        <f t="array" ref="E62" ca="1">INDEX(Data_DBD!$F:$F,$A62)</f>
        <v>Sedang</v>
      </c>
      <c r="H62" s="2">
        <v>17</v>
      </c>
      <c r="I62" s="2">
        <v>2</v>
      </c>
      <c r="J62" s="2">
        <v>3</v>
      </c>
      <c r="K62" s="2">
        <v>0</v>
      </c>
      <c r="L62" s="2" t="s">
        <v>20</v>
      </c>
    </row>
    <row r="63" spans="1:12">
      <c r="A63" s="2">
        <f t="shared" ca="1" si="0"/>
        <v>74</v>
      </c>
      <c r="B63" s="2" cm="1">
        <f t="array" ref="B63" ca="1">INDEX(Data_DBD!$B:$B,$A63)</f>
        <v>9</v>
      </c>
      <c r="C63" s="2" cm="1">
        <f t="array" ref="C63" ca="1">INDEX(Data_DBD!$C:$C,$A63)</f>
        <v>4</v>
      </c>
      <c r="D63" s="2" cm="1">
        <f t="array" ref="D63" ca="1">INDEX(Data_DBD!$E:$E,$A63)</f>
        <v>0</v>
      </c>
      <c r="E63" s="2" t="str" cm="1">
        <f t="array" ref="E63" ca="1">INDEX(Data_DBD!$F:$F,$A63)</f>
        <v>Sedang</v>
      </c>
      <c r="H63" s="2">
        <v>157</v>
      </c>
      <c r="I63" s="2">
        <v>15</v>
      </c>
      <c r="J63" s="2">
        <v>4</v>
      </c>
      <c r="K63" s="2">
        <v>1</v>
      </c>
      <c r="L63" s="2" t="s">
        <v>97</v>
      </c>
    </row>
    <row r="64" spans="1:12">
      <c r="A64" s="2">
        <f t="shared" ca="1" si="0"/>
        <v>59</v>
      </c>
      <c r="B64" s="2" cm="1">
        <f t="array" ref="B64" ca="1">INDEX(Data_DBD!$B:$B,$A64)</f>
        <v>28</v>
      </c>
      <c r="C64" s="2" cm="1">
        <f t="array" ref="C64" ca="1">INDEX(Data_DBD!$C:$C,$A64)</f>
        <v>4</v>
      </c>
      <c r="D64" s="2" cm="1">
        <f t="array" ref="D64" ca="1">INDEX(Data_DBD!$E:$E,$A64)</f>
        <v>0</v>
      </c>
      <c r="E64" s="2" t="str" cm="1">
        <f t="array" ref="E64" ca="1">INDEX(Data_DBD!$F:$F,$A64)</f>
        <v>Sedang</v>
      </c>
      <c r="H64" s="2">
        <v>123</v>
      </c>
      <c r="I64" s="2">
        <v>22</v>
      </c>
      <c r="J64" s="2">
        <v>4</v>
      </c>
      <c r="K64" s="2">
        <v>0</v>
      </c>
      <c r="L64" s="2" t="s">
        <v>97</v>
      </c>
    </row>
    <row r="65" spans="1:12">
      <c r="A65" s="2">
        <f t="shared" ca="1" si="0"/>
        <v>12</v>
      </c>
      <c r="B65" s="2" cm="1">
        <f t="array" ref="B65" ca="1">INDEX(Data_DBD!$B:$B,$A65)</f>
        <v>23</v>
      </c>
      <c r="C65" s="2" cm="1">
        <f t="array" ref="C65" ca="1">INDEX(Data_DBD!$C:$C,$A65)</f>
        <v>3</v>
      </c>
      <c r="D65" s="2" cm="1">
        <f t="array" ref="D65" ca="1">INDEX(Data_DBD!$E:$E,$A65)</f>
        <v>0</v>
      </c>
      <c r="E65" s="2" t="str" cm="1">
        <f t="array" ref="E65" ca="1">INDEX(Data_DBD!$F:$F,$A65)</f>
        <v>Sedang</v>
      </c>
      <c r="H65" s="2">
        <v>3</v>
      </c>
      <c r="I65" s="2">
        <v>43</v>
      </c>
      <c r="J65" s="2">
        <v>3</v>
      </c>
      <c r="K65" s="2">
        <v>1</v>
      </c>
      <c r="L65" s="2" t="s">
        <v>7</v>
      </c>
    </row>
    <row r="66" spans="1:12">
      <c r="A66" s="2">
        <f t="shared" ca="1" si="0"/>
        <v>124</v>
      </c>
      <c r="B66" s="2" cm="1">
        <f t="array" ref="B66" ca="1">INDEX(Data_DBD!$B:$B,$A66)</f>
        <v>24</v>
      </c>
      <c r="C66" s="2" cm="1">
        <f t="array" ref="C66" ca="1">INDEX(Data_DBD!$C:$C,$A66)</f>
        <v>3</v>
      </c>
      <c r="D66" s="2" cm="1">
        <f t="array" ref="D66" ca="1">INDEX(Data_DBD!$E:$E,$A66)</f>
        <v>1</v>
      </c>
      <c r="E66" s="2" t="str" cm="1">
        <f t="array" ref="E66" ca="1">INDEX(Data_DBD!$F:$F,$A66)</f>
        <v>Tinggi</v>
      </c>
      <c r="H66" s="2">
        <v>32</v>
      </c>
      <c r="I66" s="2">
        <v>54</v>
      </c>
      <c r="J66" s="2">
        <v>4</v>
      </c>
      <c r="K66" s="2">
        <v>0</v>
      </c>
      <c r="L66" s="2" t="s">
        <v>7</v>
      </c>
    </row>
    <row r="67" spans="1:12">
      <c r="A67" s="2">
        <f t="shared" ref="A67:A130" ca="1" si="1">RANDBETWEEN(2,164)</f>
        <v>75</v>
      </c>
      <c r="B67" s="2" cm="1">
        <f t="array" ref="B67" ca="1">INDEX(Data_DBD!$B:$B,$A67)</f>
        <v>2</v>
      </c>
      <c r="C67" s="2" cm="1">
        <f t="array" ref="C67" ca="1">INDEX(Data_DBD!$C:$C,$A67)</f>
        <v>2</v>
      </c>
      <c r="D67" s="2" cm="1">
        <f t="array" ref="D67" ca="1">INDEX(Data_DBD!$E:$E,$A67)</f>
        <v>1</v>
      </c>
      <c r="E67" s="2" t="str" cm="1">
        <f t="array" ref="E67" ca="1">INDEX(Data_DBD!$F:$F,$A67)</f>
        <v>Sedang</v>
      </c>
      <c r="H67" s="2">
        <v>121</v>
      </c>
      <c r="I67" s="2">
        <v>82</v>
      </c>
      <c r="J67" s="2">
        <v>5</v>
      </c>
      <c r="K67" s="2">
        <v>1</v>
      </c>
      <c r="L67" s="2" t="s">
        <v>97</v>
      </c>
    </row>
    <row r="68" spans="1:12">
      <c r="A68" s="2">
        <f t="shared" ca="1" si="1"/>
        <v>74</v>
      </c>
      <c r="B68" s="2" cm="1">
        <f t="array" ref="B68" ca="1">INDEX(Data_DBD!$B:$B,$A68)</f>
        <v>9</v>
      </c>
      <c r="C68" s="2" cm="1">
        <f t="array" ref="C68" ca="1">INDEX(Data_DBD!$C:$C,$A68)</f>
        <v>4</v>
      </c>
      <c r="D68" s="2" cm="1">
        <f t="array" ref="D68" ca="1">INDEX(Data_DBD!$E:$E,$A68)</f>
        <v>0</v>
      </c>
      <c r="E68" s="2" t="str" cm="1">
        <f t="array" ref="E68" ca="1">INDEX(Data_DBD!$F:$F,$A68)</f>
        <v>Sedang</v>
      </c>
      <c r="H68" s="2">
        <v>60</v>
      </c>
      <c r="I68" s="2">
        <v>68</v>
      </c>
      <c r="J68" s="2">
        <v>4</v>
      </c>
      <c r="K68" s="2">
        <v>0</v>
      </c>
      <c r="L68" s="2" t="s">
        <v>7</v>
      </c>
    </row>
    <row r="69" spans="1:12">
      <c r="A69" s="2">
        <f t="shared" ca="1" si="1"/>
        <v>142</v>
      </c>
      <c r="B69" s="2" cm="1">
        <f t="array" ref="B69" ca="1">INDEX(Data_DBD!$B:$B,$A69)</f>
        <v>39</v>
      </c>
      <c r="C69" s="2" cm="1">
        <f t="array" ref="C69" ca="1">INDEX(Data_DBD!$C:$C,$A69)</f>
        <v>2</v>
      </c>
      <c r="D69" s="2" cm="1">
        <f t="array" ref="D69" ca="1">INDEX(Data_DBD!$E:$E,$A69)</f>
        <v>1</v>
      </c>
      <c r="E69" s="2" t="str" cm="1">
        <f t="array" ref="E69" ca="1">INDEX(Data_DBD!$F:$F,$A69)</f>
        <v>Tinggi</v>
      </c>
      <c r="H69" s="2">
        <v>15</v>
      </c>
      <c r="I69" s="2">
        <v>21</v>
      </c>
      <c r="J69" s="2">
        <v>2</v>
      </c>
      <c r="K69" s="2">
        <v>0</v>
      </c>
      <c r="L69" s="2" t="s">
        <v>20</v>
      </c>
    </row>
    <row r="70" spans="1:12">
      <c r="A70" s="2">
        <f t="shared" ca="1" si="1"/>
        <v>62</v>
      </c>
      <c r="B70" s="2" cm="1">
        <f t="array" ref="B70" ca="1">INDEX(Data_DBD!$B:$B,$A70)</f>
        <v>43</v>
      </c>
      <c r="C70" s="2" cm="1">
        <f t="array" ref="C70" ca="1">INDEX(Data_DBD!$C:$C,$A70)</f>
        <v>4</v>
      </c>
      <c r="D70" s="2" cm="1">
        <f t="array" ref="D70" ca="1">INDEX(Data_DBD!$E:$E,$A70)</f>
        <v>1</v>
      </c>
      <c r="E70" s="2" t="str" cm="1">
        <f t="array" ref="E70" ca="1">INDEX(Data_DBD!$F:$F,$A70)</f>
        <v>Sedang</v>
      </c>
      <c r="H70" s="2">
        <v>122</v>
      </c>
      <c r="I70" s="2">
        <v>28</v>
      </c>
      <c r="J70" s="2">
        <v>3</v>
      </c>
      <c r="K70" s="2">
        <v>1</v>
      </c>
      <c r="L70" s="2" t="s">
        <v>97</v>
      </c>
    </row>
    <row r="71" spans="1:12">
      <c r="A71" s="2">
        <f t="shared" ca="1" si="1"/>
        <v>63</v>
      </c>
      <c r="B71" s="2" cm="1">
        <f t="array" ref="B71" ca="1">INDEX(Data_DBD!$B:$B,$A71)</f>
        <v>25</v>
      </c>
      <c r="C71" s="2" cm="1">
        <f t="array" ref="C71" ca="1">INDEX(Data_DBD!$C:$C,$A71)</f>
        <v>3</v>
      </c>
      <c r="D71" s="2" cm="1">
        <f t="array" ref="D71" ca="1">INDEX(Data_DBD!$E:$E,$A71)</f>
        <v>0</v>
      </c>
      <c r="E71" s="2" t="str" cm="1">
        <f t="array" ref="E71" ca="1">INDEX(Data_DBD!$F:$F,$A71)</f>
        <v>Sedang</v>
      </c>
      <c r="H71" s="2">
        <v>61</v>
      </c>
      <c r="I71" s="2">
        <v>29</v>
      </c>
      <c r="J71" s="2">
        <v>3</v>
      </c>
      <c r="K71" s="2">
        <v>1</v>
      </c>
      <c r="L71" s="2" t="s">
        <v>7</v>
      </c>
    </row>
    <row r="72" spans="1:12">
      <c r="A72" s="2">
        <f t="shared" ca="1" si="1"/>
        <v>114</v>
      </c>
      <c r="B72" s="2" cm="1">
        <f t="array" ref="B72" ca="1">INDEX(Data_DBD!$B:$B,$A72)</f>
        <v>14</v>
      </c>
      <c r="C72" s="2" cm="1">
        <f t="array" ref="C72" ca="1">INDEX(Data_DBD!$C:$C,$A72)</f>
        <v>2</v>
      </c>
      <c r="D72" s="2" cm="1">
        <f t="array" ref="D72" ca="1">INDEX(Data_DBD!$E:$E,$A72)</f>
        <v>1</v>
      </c>
      <c r="E72" s="2" t="str" cm="1">
        <f t="array" ref="E72" ca="1">INDEX(Data_DBD!$F:$F,$A72)</f>
        <v>Tinggi</v>
      </c>
      <c r="H72" s="2">
        <v>74</v>
      </c>
      <c r="I72" s="2">
        <v>9</v>
      </c>
      <c r="J72" s="2">
        <v>4</v>
      </c>
      <c r="K72" s="2">
        <v>0</v>
      </c>
      <c r="L72" s="2" t="s">
        <v>7</v>
      </c>
    </row>
    <row r="73" spans="1:12">
      <c r="A73" s="2">
        <f t="shared" ca="1" si="1"/>
        <v>48</v>
      </c>
      <c r="B73" s="2" cm="1">
        <f t="array" ref="B73" ca="1">INDEX(Data_DBD!$B:$B,$A73)</f>
        <v>50</v>
      </c>
      <c r="C73" s="2" cm="1">
        <f t="array" ref="C73" ca="1">INDEX(Data_DBD!$C:$C,$A73)</f>
        <v>5</v>
      </c>
      <c r="D73" s="2" cm="1">
        <f t="array" ref="D73" ca="1">INDEX(Data_DBD!$E:$E,$A73)</f>
        <v>1</v>
      </c>
      <c r="E73" s="2" t="str" cm="1">
        <f t="array" ref="E73" ca="1">INDEX(Data_DBD!$F:$F,$A73)</f>
        <v>Sedang</v>
      </c>
      <c r="H73" s="2">
        <v>54</v>
      </c>
      <c r="I73" s="2">
        <v>7</v>
      </c>
      <c r="J73" s="2">
        <v>3</v>
      </c>
      <c r="K73" s="2">
        <v>0</v>
      </c>
      <c r="L73" s="2" t="s">
        <v>7</v>
      </c>
    </row>
    <row r="74" spans="1:12">
      <c r="A74" s="2">
        <f t="shared" ca="1" si="1"/>
        <v>110</v>
      </c>
      <c r="B74" s="2" cm="1">
        <f t="array" ref="B74" ca="1">INDEX(Data_DBD!$B:$B,$A74)</f>
        <v>42</v>
      </c>
      <c r="C74" s="2" cm="1">
        <f t="array" ref="C74" ca="1">INDEX(Data_DBD!$C:$C,$A74)</f>
        <v>2</v>
      </c>
      <c r="D74" s="2" cm="1">
        <f t="array" ref="D74" ca="1">INDEX(Data_DBD!$E:$E,$A74)</f>
        <v>1</v>
      </c>
      <c r="E74" s="2" t="str" cm="1">
        <f t="array" ref="E74" ca="1">INDEX(Data_DBD!$F:$F,$A74)</f>
        <v>Tinggi</v>
      </c>
      <c r="H74" s="2">
        <v>86</v>
      </c>
      <c r="I74" s="2">
        <v>23</v>
      </c>
      <c r="J74" s="2">
        <v>3</v>
      </c>
      <c r="K74" s="2">
        <v>0</v>
      </c>
      <c r="L74" s="2" t="s">
        <v>7</v>
      </c>
    </row>
    <row r="75" spans="1:12">
      <c r="A75" s="2">
        <f t="shared" ca="1" si="1"/>
        <v>59</v>
      </c>
      <c r="B75" s="2" cm="1">
        <f t="array" ref="B75" ca="1">INDEX(Data_DBD!$B:$B,$A75)</f>
        <v>28</v>
      </c>
      <c r="C75" s="2" cm="1">
        <f t="array" ref="C75" ca="1">INDEX(Data_DBD!$C:$C,$A75)</f>
        <v>4</v>
      </c>
      <c r="D75" s="2" cm="1">
        <f t="array" ref="D75" ca="1">INDEX(Data_DBD!$E:$E,$A75)</f>
        <v>0</v>
      </c>
      <c r="E75" s="2" t="str" cm="1">
        <f t="array" ref="E75" ca="1">INDEX(Data_DBD!$F:$F,$A75)</f>
        <v>Sedang</v>
      </c>
      <c r="H75" s="2">
        <v>136</v>
      </c>
      <c r="I75" s="2">
        <v>6</v>
      </c>
      <c r="J75" s="2">
        <v>2</v>
      </c>
      <c r="K75" s="2">
        <v>0</v>
      </c>
      <c r="L75" s="2" t="s">
        <v>97</v>
      </c>
    </row>
    <row r="76" spans="1:12">
      <c r="A76" s="2">
        <f t="shared" ca="1" si="1"/>
        <v>71</v>
      </c>
      <c r="B76" s="2" cm="1">
        <f t="array" ref="B76" ca="1">INDEX(Data_DBD!$B:$B,$A76)</f>
        <v>84</v>
      </c>
      <c r="C76" s="2" cm="1">
        <f t="array" ref="C76" ca="1">INDEX(Data_DBD!$C:$C,$A76)</f>
        <v>3</v>
      </c>
      <c r="D76" s="2" cm="1">
        <f t="array" ref="D76" ca="1">INDEX(Data_DBD!$E:$E,$A76)</f>
        <v>0</v>
      </c>
      <c r="E76" s="2" t="str" cm="1">
        <f t="array" ref="E76" ca="1">INDEX(Data_DBD!$F:$F,$A76)</f>
        <v>Sedang</v>
      </c>
      <c r="H76" s="2">
        <v>47</v>
      </c>
      <c r="I76" s="2">
        <v>19</v>
      </c>
      <c r="J76" s="2">
        <v>2</v>
      </c>
      <c r="K76" s="2">
        <v>0</v>
      </c>
      <c r="L76" s="2" t="s">
        <v>7</v>
      </c>
    </row>
    <row r="77" spans="1:12">
      <c r="A77" s="2">
        <f t="shared" ca="1" si="1"/>
        <v>77</v>
      </c>
      <c r="B77" s="2" cm="1">
        <f t="array" ref="B77" ca="1">INDEX(Data_DBD!$B:$B,$A77)</f>
        <v>16</v>
      </c>
      <c r="C77" s="2" cm="1">
        <f t="array" ref="C77" ca="1">INDEX(Data_DBD!$C:$C,$A77)</f>
        <v>4</v>
      </c>
      <c r="D77" s="2" cm="1">
        <f t="array" ref="D77" ca="1">INDEX(Data_DBD!$E:$E,$A77)</f>
        <v>1</v>
      </c>
      <c r="E77" s="2" t="str" cm="1">
        <f t="array" ref="E77" ca="1">INDEX(Data_DBD!$F:$F,$A77)</f>
        <v>Sedang</v>
      </c>
      <c r="H77" s="2">
        <v>161</v>
      </c>
      <c r="I77" s="2">
        <v>12</v>
      </c>
      <c r="J77" s="2">
        <v>3</v>
      </c>
      <c r="K77" s="2">
        <v>1</v>
      </c>
      <c r="L77" s="2" t="s">
        <v>97</v>
      </c>
    </row>
    <row r="78" spans="1:12">
      <c r="A78" s="2">
        <f t="shared" ca="1" si="1"/>
        <v>121</v>
      </c>
      <c r="B78" s="2" cm="1">
        <f t="array" ref="B78" ca="1">INDEX(Data_DBD!$B:$B,$A78)</f>
        <v>82</v>
      </c>
      <c r="C78" s="2" cm="1">
        <f t="array" ref="C78" ca="1">INDEX(Data_DBD!$C:$C,$A78)</f>
        <v>5</v>
      </c>
      <c r="D78" s="2" cm="1">
        <f t="array" ref="D78" ca="1">INDEX(Data_DBD!$E:$E,$A78)</f>
        <v>1</v>
      </c>
      <c r="E78" s="2" t="str" cm="1">
        <f t="array" ref="E78" ca="1">INDEX(Data_DBD!$F:$F,$A78)</f>
        <v>Tinggi</v>
      </c>
      <c r="H78" s="2">
        <v>110</v>
      </c>
      <c r="I78" s="2">
        <v>42</v>
      </c>
      <c r="J78" s="2">
        <v>2</v>
      </c>
      <c r="K78" s="2">
        <v>1</v>
      </c>
      <c r="L78" s="2" t="s">
        <v>97</v>
      </c>
    </row>
    <row r="79" spans="1:12">
      <c r="A79" s="2">
        <f t="shared" ca="1" si="1"/>
        <v>133</v>
      </c>
      <c r="B79" s="2" cm="1">
        <f t="array" ref="B79" ca="1">INDEX(Data_DBD!$B:$B,$A79)</f>
        <v>6</v>
      </c>
      <c r="C79" s="2" cm="1">
        <f t="array" ref="C79" ca="1">INDEX(Data_DBD!$C:$C,$A79)</f>
        <v>4</v>
      </c>
      <c r="D79" s="2" cm="1">
        <f t="array" ref="D79" ca="1">INDEX(Data_DBD!$E:$E,$A79)</f>
        <v>0</v>
      </c>
      <c r="E79" s="2" t="str" cm="1">
        <f t="array" ref="E79" ca="1">INDEX(Data_DBD!$F:$F,$A79)</f>
        <v>Tinggi</v>
      </c>
      <c r="H79" s="2">
        <v>102</v>
      </c>
      <c r="I79" s="2">
        <v>41</v>
      </c>
      <c r="J79" s="2">
        <v>4</v>
      </c>
      <c r="K79" s="2">
        <v>0</v>
      </c>
      <c r="L79" s="2" t="s">
        <v>97</v>
      </c>
    </row>
    <row r="80" spans="1:12">
      <c r="A80" s="2">
        <f t="shared" ca="1" si="1"/>
        <v>69</v>
      </c>
      <c r="B80" s="2" cm="1">
        <f t="array" ref="B80" ca="1">INDEX(Data_DBD!$B:$B,$A80)</f>
        <v>24</v>
      </c>
      <c r="C80" s="2" cm="1">
        <f t="array" ref="C80" ca="1">INDEX(Data_DBD!$C:$C,$A80)</f>
        <v>4</v>
      </c>
      <c r="D80" s="2" cm="1">
        <f t="array" ref="D80" ca="1">INDEX(Data_DBD!$E:$E,$A80)</f>
        <v>1</v>
      </c>
      <c r="E80" s="2" t="str" cm="1">
        <f t="array" ref="E80" ca="1">INDEX(Data_DBD!$F:$F,$A80)</f>
        <v>Sedang</v>
      </c>
      <c r="H80" s="2">
        <v>121</v>
      </c>
      <c r="I80" s="2">
        <v>82</v>
      </c>
      <c r="J80" s="2">
        <v>5</v>
      </c>
      <c r="K80" s="2">
        <v>1</v>
      </c>
      <c r="L80" s="2" t="s">
        <v>97</v>
      </c>
    </row>
    <row r="81" spans="1:12">
      <c r="A81" s="2">
        <f t="shared" ca="1" si="1"/>
        <v>134</v>
      </c>
      <c r="B81" s="2" cm="1">
        <f t="array" ref="B81" ca="1">INDEX(Data_DBD!$B:$B,$A81)</f>
        <v>4</v>
      </c>
      <c r="C81" s="2" cm="1">
        <f t="array" ref="C81" ca="1">INDEX(Data_DBD!$C:$C,$A81)</f>
        <v>2</v>
      </c>
      <c r="D81" s="2" cm="1">
        <f t="array" ref="D81" ca="1">INDEX(Data_DBD!$E:$E,$A81)</f>
        <v>1</v>
      </c>
      <c r="E81" s="2" t="str" cm="1">
        <f t="array" ref="E81" ca="1">INDEX(Data_DBD!$F:$F,$A81)</f>
        <v>Tinggi</v>
      </c>
      <c r="H81" s="2">
        <v>56</v>
      </c>
      <c r="I81" s="2">
        <v>4</v>
      </c>
      <c r="J81" s="2">
        <v>3</v>
      </c>
      <c r="K81" s="2">
        <v>0</v>
      </c>
      <c r="L81" s="2" t="s">
        <v>7</v>
      </c>
    </row>
    <row r="82" spans="1:12">
      <c r="A82" s="2">
        <f t="shared" ca="1" si="1"/>
        <v>120</v>
      </c>
      <c r="B82" s="2" cm="1">
        <f t="array" ref="B82" ca="1">INDEX(Data_DBD!$B:$B,$A82)</f>
        <v>26</v>
      </c>
      <c r="C82" s="2" cm="1">
        <f t="array" ref="C82" ca="1">INDEX(Data_DBD!$C:$C,$A82)</f>
        <v>4</v>
      </c>
      <c r="D82" s="2" cm="1">
        <f t="array" ref="D82" ca="1">INDEX(Data_DBD!$E:$E,$A82)</f>
        <v>1</v>
      </c>
      <c r="E82" s="2" t="str" cm="1">
        <f t="array" ref="E82" ca="1">INDEX(Data_DBD!$F:$F,$A82)</f>
        <v>Tinggi</v>
      </c>
      <c r="H82" s="2">
        <v>4</v>
      </c>
      <c r="I82" s="2">
        <v>23</v>
      </c>
      <c r="J82" s="2">
        <v>5</v>
      </c>
      <c r="K82" s="2">
        <v>0</v>
      </c>
      <c r="L82" s="2" t="s">
        <v>7</v>
      </c>
    </row>
    <row r="83" spans="1:12">
      <c r="A83" s="2">
        <f t="shared" ca="1" si="1"/>
        <v>32</v>
      </c>
      <c r="B83" s="2" cm="1">
        <f t="array" ref="B83" ca="1">INDEX(Data_DBD!$B:$B,$A83)</f>
        <v>54</v>
      </c>
      <c r="C83" s="2" cm="1">
        <f t="array" ref="C83" ca="1">INDEX(Data_DBD!$C:$C,$A83)</f>
        <v>4</v>
      </c>
      <c r="D83" s="2" cm="1">
        <f t="array" ref="D83" ca="1">INDEX(Data_DBD!$E:$E,$A83)</f>
        <v>0</v>
      </c>
      <c r="E83" s="2" t="str" cm="1">
        <f t="array" ref="E83" ca="1">INDEX(Data_DBD!$F:$F,$A83)</f>
        <v>Sedang</v>
      </c>
      <c r="H83" s="2">
        <v>90</v>
      </c>
      <c r="I83" s="2">
        <v>47</v>
      </c>
      <c r="J83" s="2">
        <v>3</v>
      </c>
      <c r="K83" s="2">
        <v>0</v>
      </c>
      <c r="L83" s="2" t="s">
        <v>97</v>
      </c>
    </row>
    <row r="84" spans="1:12">
      <c r="A84" s="2">
        <f t="shared" ca="1" si="1"/>
        <v>97</v>
      </c>
      <c r="B84" s="2" cm="1">
        <f t="array" ref="B84" ca="1">INDEX(Data_DBD!$B:$B,$A84)</f>
        <v>16</v>
      </c>
      <c r="C84" s="2" cm="1">
        <f t="array" ref="C84" ca="1">INDEX(Data_DBD!$C:$C,$A84)</f>
        <v>2</v>
      </c>
      <c r="D84" s="2" cm="1">
        <f t="array" ref="D84" ca="1">INDEX(Data_DBD!$E:$E,$A84)</f>
        <v>1</v>
      </c>
      <c r="E84" s="2" t="str" cm="1">
        <f t="array" ref="E84" ca="1">INDEX(Data_DBD!$F:$F,$A84)</f>
        <v>Tinggi</v>
      </c>
      <c r="H84" s="2">
        <v>69</v>
      </c>
      <c r="I84" s="2">
        <v>24</v>
      </c>
      <c r="J84" s="2">
        <v>4</v>
      </c>
      <c r="K84" s="2">
        <v>1</v>
      </c>
      <c r="L84" s="2" t="s">
        <v>7</v>
      </c>
    </row>
    <row r="85" spans="1:12">
      <c r="A85" s="2">
        <f t="shared" ca="1" si="1"/>
        <v>66</v>
      </c>
      <c r="B85" s="2" cm="1">
        <f t="array" ref="B85" ca="1">INDEX(Data_DBD!$B:$B,$A85)</f>
        <v>21</v>
      </c>
      <c r="C85" s="2" cm="1">
        <f t="array" ref="C85" ca="1">INDEX(Data_DBD!$C:$C,$A85)</f>
        <v>5</v>
      </c>
      <c r="D85" s="2" cm="1">
        <f t="array" ref="D85" ca="1">INDEX(Data_DBD!$E:$E,$A85)</f>
        <v>1</v>
      </c>
      <c r="E85" s="2" t="str" cm="1">
        <f t="array" ref="E85" ca="1">INDEX(Data_DBD!$F:$F,$A85)</f>
        <v>Sedang</v>
      </c>
      <c r="H85" s="2">
        <v>112</v>
      </c>
      <c r="I85" s="2">
        <v>61</v>
      </c>
      <c r="J85" s="2">
        <v>3</v>
      </c>
      <c r="K85" s="2">
        <v>1</v>
      </c>
      <c r="L85" s="2" t="s">
        <v>97</v>
      </c>
    </row>
    <row r="86" spans="1:12">
      <c r="A86" s="2">
        <f t="shared" ca="1" si="1"/>
        <v>39</v>
      </c>
      <c r="B86" s="2" cm="1">
        <f t="array" ref="B86" ca="1">INDEX(Data_DBD!$B:$B,$A86)</f>
        <v>12</v>
      </c>
      <c r="C86" s="2" cm="1">
        <f t="array" ref="C86" ca="1">INDEX(Data_DBD!$C:$C,$A86)</f>
        <v>5</v>
      </c>
      <c r="D86" s="2" cm="1">
        <f t="array" ref="D86" ca="1">INDEX(Data_DBD!$E:$E,$A86)</f>
        <v>1</v>
      </c>
      <c r="E86" s="2" t="str" cm="1">
        <f t="array" ref="E86" ca="1">INDEX(Data_DBD!$F:$F,$A86)</f>
        <v>Sedang</v>
      </c>
      <c r="H86" s="2">
        <v>94</v>
      </c>
      <c r="I86" s="2">
        <v>12</v>
      </c>
      <c r="J86" s="2">
        <v>4</v>
      </c>
      <c r="K86" s="2">
        <v>0</v>
      </c>
      <c r="L86" s="2" t="s">
        <v>97</v>
      </c>
    </row>
    <row r="87" spans="1:12">
      <c r="A87" s="2">
        <f t="shared" ca="1" si="1"/>
        <v>128</v>
      </c>
      <c r="B87" s="2" cm="1">
        <f t="array" ref="B87" ca="1">INDEX(Data_DBD!$B:$B,$A87)</f>
        <v>38</v>
      </c>
      <c r="C87" s="2" cm="1">
        <f t="array" ref="C87" ca="1">INDEX(Data_DBD!$C:$C,$A87)</f>
        <v>2</v>
      </c>
      <c r="D87" s="2" cm="1">
        <f t="array" ref="D87" ca="1">INDEX(Data_DBD!$E:$E,$A87)</f>
        <v>0</v>
      </c>
      <c r="E87" s="2" t="str" cm="1">
        <f t="array" ref="E87" ca="1">INDEX(Data_DBD!$F:$F,$A87)</f>
        <v>Tinggi</v>
      </c>
      <c r="H87" s="2">
        <v>143</v>
      </c>
      <c r="I87" s="2">
        <v>20</v>
      </c>
      <c r="J87" s="2">
        <v>4</v>
      </c>
      <c r="K87" s="2">
        <v>1</v>
      </c>
      <c r="L87" s="2" t="s">
        <v>97</v>
      </c>
    </row>
    <row r="88" spans="1:12">
      <c r="A88" s="2">
        <f t="shared" ca="1" si="1"/>
        <v>85</v>
      </c>
      <c r="B88" s="2" cm="1">
        <f t="array" ref="B88" ca="1">INDEX(Data_DBD!$B:$B,$A88)</f>
        <v>27</v>
      </c>
      <c r="C88" s="2" cm="1">
        <f t="array" ref="C88" ca="1">INDEX(Data_DBD!$C:$C,$A88)</f>
        <v>9</v>
      </c>
      <c r="D88" s="2" cm="1">
        <f t="array" ref="D88" ca="1">INDEX(Data_DBD!$E:$E,$A88)</f>
        <v>0</v>
      </c>
      <c r="E88" s="2" t="str" cm="1">
        <f t="array" ref="E88" ca="1">INDEX(Data_DBD!$F:$F,$A88)</f>
        <v>Sedang</v>
      </c>
      <c r="H88" s="2">
        <v>94</v>
      </c>
      <c r="I88" s="2">
        <v>12</v>
      </c>
      <c r="J88" s="2">
        <v>4</v>
      </c>
      <c r="K88" s="2">
        <v>0</v>
      </c>
      <c r="L88" s="2" t="s">
        <v>97</v>
      </c>
    </row>
    <row r="89" spans="1:12">
      <c r="A89" s="2">
        <f t="shared" ca="1" si="1"/>
        <v>123</v>
      </c>
      <c r="B89" s="2" cm="1">
        <f t="array" ref="B89" ca="1">INDEX(Data_DBD!$B:$B,$A89)</f>
        <v>22</v>
      </c>
      <c r="C89" s="2" cm="1">
        <f t="array" ref="C89" ca="1">INDEX(Data_DBD!$C:$C,$A89)</f>
        <v>4</v>
      </c>
      <c r="D89" s="2" cm="1">
        <f t="array" ref="D89" ca="1">INDEX(Data_DBD!$E:$E,$A89)</f>
        <v>0</v>
      </c>
      <c r="E89" s="2" t="str" cm="1">
        <f t="array" ref="E89" ca="1">INDEX(Data_DBD!$F:$F,$A89)</f>
        <v>Tinggi</v>
      </c>
      <c r="H89" s="2">
        <v>53</v>
      </c>
      <c r="I89" s="2">
        <v>35</v>
      </c>
      <c r="J89" s="2">
        <v>4</v>
      </c>
      <c r="K89" s="2">
        <v>1</v>
      </c>
      <c r="L89" s="2" t="s">
        <v>7</v>
      </c>
    </row>
    <row r="90" spans="1:12">
      <c r="A90" s="2">
        <f t="shared" ca="1" si="1"/>
        <v>35</v>
      </c>
      <c r="B90" s="2" cm="1">
        <f t="array" ref="B90" ca="1">INDEX(Data_DBD!$B:$B,$A90)</f>
        <v>40</v>
      </c>
      <c r="C90" s="2" cm="1">
        <f t="array" ref="C90" ca="1">INDEX(Data_DBD!$C:$C,$A90)</f>
        <v>3</v>
      </c>
      <c r="D90" s="2" cm="1">
        <f t="array" ref="D90" ca="1">INDEX(Data_DBD!$E:$E,$A90)</f>
        <v>1</v>
      </c>
      <c r="E90" s="2" t="str" cm="1">
        <f t="array" ref="E90" ca="1">INDEX(Data_DBD!$F:$F,$A90)</f>
        <v>Rendah</v>
      </c>
      <c r="H90" s="2">
        <v>52</v>
      </c>
      <c r="I90" s="2">
        <v>59</v>
      </c>
      <c r="J90" s="2">
        <v>4</v>
      </c>
      <c r="K90" s="2">
        <v>1</v>
      </c>
      <c r="L90" s="2" t="s">
        <v>7</v>
      </c>
    </row>
    <row r="91" spans="1:12">
      <c r="A91" s="2">
        <f t="shared" ca="1" si="1"/>
        <v>122</v>
      </c>
      <c r="B91" s="2" cm="1">
        <f t="array" ref="B91" ca="1">INDEX(Data_DBD!$B:$B,$A91)</f>
        <v>28</v>
      </c>
      <c r="C91" s="2" cm="1">
        <f t="array" ref="C91" ca="1">INDEX(Data_DBD!$C:$C,$A91)</f>
        <v>3</v>
      </c>
      <c r="D91" s="2" cm="1">
        <f t="array" ref="D91" ca="1">INDEX(Data_DBD!$E:$E,$A91)</f>
        <v>1</v>
      </c>
      <c r="E91" s="2" t="str" cm="1">
        <f t="array" ref="E91" ca="1">INDEX(Data_DBD!$F:$F,$A91)</f>
        <v>Tinggi</v>
      </c>
      <c r="H91" s="2">
        <v>94</v>
      </c>
      <c r="I91" s="2">
        <v>12</v>
      </c>
      <c r="J91" s="2">
        <v>4</v>
      </c>
      <c r="K91" s="2">
        <v>0</v>
      </c>
      <c r="L91" s="2" t="s">
        <v>97</v>
      </c>
    </row>
    <row r="92" spans="1:12">
      <c r="A92" s="2">
        <f t="shared" ca="1" si="1"/>
        <v>28</v>
      </c>
      <c r="B92" s="2" cm="1">
        <f t="array" ref="B92" ca="1">INDEX(Data_DBD!$B:$B,$A92)</f>
        <v>22</v>
      </c>
      <c r="C92" s="2" cm="1">
        <f t="array" ref="C92" ca="1">INDEX(Data_DBD!$C:$C,$A92)</f>
        <v>2</v>
      </c>
      <c r="D92" s="2" cm="1">
        <f t="array" ref="D92" ca="1">INDEX(Data_DBD!$E:$E,$A92)</f>
        <v>1</v>
      </c>
      <c r="E92" s="2" t="str" cm="1">
        <f t="array" ref="E92" ca="1">INDEX(Data_DBD!$F:$F,$A92)</f>
        <v>Sedang</v>
      </c>
      <c r="H92" s="2">
        <v>34</v>
      </c>
      <c r="I92" s="2">
        <v>55</v>
      </c>
      <c r="J92" s="2">
        <v>3</v>
      </c>
      <c r="K92" s="2">
        <v>0</v>
      </c>
      <c r="L92" s="2" t="s">
        <v>7</v>
      </c>
    </row>
    <row r="93" spans="1:12">
      <c r="A93" s="2">
        <f t="shared" ca="1" si="1"/>
        <v>97</v>
      </c>
      <c r="B93" s="2" cm="1">
        <f t="array" ref="B93" ca="1">INDEX(Data_DBD!$B:$B,$A93)</f>
        <v>16</v>
      </c>
      <c r="C93" s="2" cm="1">
        <f t="array" ref="C93" ca="1">INDEX(Data_DBD!$C:$C,$A93)</f>
        <v>2</v>
      </c>
      <c r="D93" s="2" cm="1">
        <f t="array" ref="D93" ca="1">INDEX(Data_DBD!$E:$E,$A93)</f>
        <v>1</v>
      </c>
      <c r="E93" s="2" t="str" cm="1">
        <f t="array" ref="E93" ca="1">INDEX(Data_DBD!$F:$F,$A93)</f>
        <v>Tinggi</v>
      </c>
      <c r="H93" s="2">
        <v>23</v>
      </c>
      <c r="I93" s="2">
        <v>28</v>
      </c>
      <c r="J93" s="2">
        <v>4</v>
      </c>
      <c r="K93" s="2">
        <v>1</v>
      </c>
      <c r="L93" s="2" t="s">
        <v>7</v>
      </c>
    </row>
    <row r="94" spans="1:12">
      <c r="A94" s="2">
        <f t="shared" ca="1" si="1"/>
        <v>145</v>
      </c>
      <c r="B94" s="2" cm="1">
        <f t="array" ref="B94" ca="1">INDEX(Data_DBD!$B:$B,$A94)</f>
        <v>28</v>
      </c>
      <c r="C94" s="2" cm="1">
        <f t="array" ref="C94" ca="1">INDEX(Data_DBD!$C:$C,$A94)</f>
        <v>4</v>
      </c>
      <c r="D94" s="2" cm="1">
        <f t="array" ref="D94" ca="1">INDEX(Data_DBD!$E:$E,$A94)</f>
        <v>1</v>
      </c>
      <c r="E94" s="2" t="str" cm="1">
        <f t="array" ref="E94" ca="1">INDEX(Data_DBD!$F:$F,$A94)</f>
        <v>Tinggi</v>
      </c>
      <c r="H94" s="2">
        <v>24</v>
      </c>
      <c r="I94" s="2">
        <v>60</v>
      </c>
      <c r="J94" s="2">
        <v>4</v>
      </c>
      <c r="K94" s="2">
        <v>0</v>
      </c>
      <c r="L94" s="2" t="s">
        <v>7</v>
      </c>
    </row>
    <row r="95" spans="1:12">
      <c r="A95" s="2">
        <f t="shared" ca="1" si="1"/>
        <v>139</v>
      </c>
      <c r="B95" s="2" cm="1">
        <f t="array" ref="B95" ca="1">INDEX(Data_DBD!$B:$B,$A95)</f>
        <v>52</v>
      </c>
      <c r="C95" s="2" cm="1">
        <f t="array" ref="C95" ca="1">INDEX(Data_DBD!$C:$C,$A95)</f>
        <v>7</v>
      </c>
      <c r="D95" s="2" cm="1">
        <f t="array" ref="D95" ca="1">INDEX(Data_DBD!$E:$E,$A95)</f>
        <v>0</v>
      </c>
      <c r="E95" s="2" t="str" cm="1">
        <f t="array" ref="E95" ca="1">INDEX(Data_DBD!$F:$F,$A95)</f>
        <v>Tinggi</v>
      </c>
      <c r="H95" s="2">
        <v>10</v>
      </c>
      <c r="I95" s="2">
        <v>18</v>
      </c>
      <c r="J95" s="2">
        <v>5</v>
      </c>
      <c r="K95" s="2">
        <v>0</v>
      </c>
      <c r="L95" s="2" t="s">
        <v>7</v>
      </c>
    </row>
    <row r="96" spans="1:12">
      <c r="A96" s="2">
        <f t="shared" ca="1" si="1"/>
        <v>141</v>
      </c>
      <c r="B96" s="2" cm="1">
        <f t="array" ref="B96" ca="1">INDEX(Data_DBD!$B:$B,$A96)</f>
        <v>36</v>
      </c>
      <c r="C96" s="2" cm="1">
        <f t="array" ref="C96" ca="1">INDEX(Data_DBD!$C:$C,$A96)</f>
        <v>2</v>
      </c>
      <c r="D96" s="2" cm="1">
        <f t="array" ref="D96" ca="1">INDEX(Data_DBD!$E:$E,$A96)</f>
        <v>0</v>
      </c>
      <c r="E96" s="2" t="str" cm="1">
        <f t="array" ref="E96" ca="1">INDEX(Data_DBD!$F:$F,$A96)</f>
        <v>Tinggi</v>
      </c>
      <c r="H96" s="2">
        <v>32</v>
      </c>
      <c r="I96" s="2">
        <v>54</v>
      </c>
      <c r="J96" s="2">
        <v>4</v>
      </c>
      <c r="K96" s="2">
        <v>0</v>
      </c>
      <c r="L96" s="2" t="s">
        <v>7</v>
      </c>
    </row>
    <row r="97" spans="1:12">
      <c r="A97" s="2">
        <f t="shared" ca="1" si="1"/>
        <v>58</v>
      </c>
      <c r="B97" s="2" cm="1">
        <f t="array" ref="B97" ca="1">INDEX(Data_DBD!$B:$B,$A97)</f>
        <v>17</v>
      </c>
      <c r="C97" s="2" cm="1">
        <f t="array" ref="C97" ca="1">INDEX(Data_DBD!$C:$C,$A97)</f>
        <v>3</v>
      </c>
      <c r="D97" s="2" cm="1">
        <f t="array" ref="D97" ca="1">INDEX(Data_DBD!$E:$E,$A97)</f>
        <v>0</v>
      </c>
      <c r="E97" s="2" t="str" cm="1">
        <f t="array" ref="E97" ca="1">INDEX(Data_DBD!$F:$F,$A97)</f>
        <v>Sedang</v>
      </c>
      <c r="H97" s="2">
        <v>56</v>
      </c>
      <c r="I97" s="2">
        <v>4</v>
      </c>
      <c r="J97" s="2">
        <v>3</v>
      </c>
      <c r="K97" s="2">
        <v>0</v>
      </c>
      <c r="L97" s="2" t="s">
        <v>7</v>
      </c>
    </row>
    <row r="98" spans="1:12">
      <c r="A98" s="2">
        <f t="shared" ca="1" si="1"/>
        <v>11</v>
      </c>
      <c r="B98" s="2" cm="1">
        <f t="array" ref="B98" ca="1">INDEX(Data_DBD!$B:$B,$A98)</f>
        <v>24</v>
      </c>
      <c r="C98" s="2" cm="1">
        <f t="array" ref="C98" ca="1">INDEX(Data_DBD!$C:$C,$A98)</f>
        <v>5</v>
      </c>
      <c r="D98" s="2" cm="1">
        <f t="array" ref="D98" ca="1">INDEX(Data_DBD!$E:$E,$A98)</f>
        <v>1</v>
      </c>
      <c r="E98" s="2" t="str" cm="1">
        <f t="array" ref="E98" ca="1">INDEX(Data_DBD!$F:$F,$A98)</f>
        <v>Sedang</v>
      </c>
      <c r="H98" s="2">
        <v>37</v>
      </c>
      <c r="I98" s="2">
        <v>28</v>
      </c>
      <c r="J98" s="2">
        <v>4</v>
      </c>
      <c r="K98" s="2">
        <v>1</v>
      </c>
      <c r="L98" s="2" t="s">
        <v>20</v>
      </c>
    </row>
    <row r="99" spans="1:12">
      <c r="A99" s="2">
        <f t="shared" ca="1" si="1"/>
        <v>96</v>
      </c>
      <c r="B99" s="2" cm="1">
        <f t="array" ref="B99" ca="1">INDEX(Data_DBD!$B:$B,$A99)</f>
        <v>56</v>
      </c>
      <c r="C99" s="2" cm="1">
        <f t="array" ref="C99" ca="1">INDEX(Data_DBD!$C:$C,$A99)</f>
        <v>4</v>
      </c>
      <c r="D99" s="2" cm="1">
        <f t="array" ref="D99" ca="1">INDEX(Data_DBD!$E:$E,$A99)</f>
        <v>0</v>
      </c>
      <c r="E99" s="2" t="str" cm="1">
        <f t="array" ref="E99" ca="1">INDEX(Data_DBD!$F:$F,$A99)</f>
        <v>Tinggi</v>
      </c>
      <c r="H99" s="2">
        <v>49</v>
      </c>
      <c r="I99" s="2">
        <v>64</v>
      </c>
      <c r="J99" s="2">
        <v>5</v>
      </c>
      <c r="K99" s="2">
        <v>0</v>
      </c>
      <c r="L99" s="2" t="s">
        <v>7</v>
      </c>
    </row>
    <row r="100" spans="1:12">
      <c r="A100" s="2">
        <f t="shared" ca="1" si="1"/>
        <v>154</v>
      </c>
      <c r="B100" s="2" cm="1">
        <f t="array" ref="B100" ca="1">INDEX(Data_DBD!$B:$B,$A100)</f>
        <v>18</v>
      </c>
      <c r="C100" s="2" cm="1">
        <f t="array" ref="C100" ca="1">INDEX(Data_DBD!$C:$C,$A100)</f>
        <v>5</v>
      </c>
      <c r="D100" s="2" cm="1">
        <f t="array" ref="D100" ca="1">INDEX(Data_DBD!$E:$E,$A100)</f>
        <v>1</v>
      </c>
      <c r="E100" s="2" t="str" cm="1">
        <f t="array" ref="E100" ca="1">INDEX(Data_DBD!$F:$F,$A100)</f>
        <v>Tinggi</v>
      </c>
      <c r="H100" s="2">
        <v>62</v>
      </c>
      <c r="I100" s="2">
        <v>43</v>
      </c>
      <c r="J100" s="2">
        <v>4</v>
      </c>
      <c r="K100" s="2">
        <v>1</v>
      </c>
      <c r="L100" s="2" t="s">
        <v>7</v>
      </c>
    </row>
    <row r="101" spans="1:12">
      <c r="A101" s="2">
        <f t="shared" ca="1" si="1"/>
        <v>159</v>
      </c>
      <c r="B101" s="2" cm="1">
        <f t="array" ref="B101" ca="1">INDEX(Data_DBD!$B:$B,$A101)</f>
        <v>17</v>
      </c>
      <c r="C101" s="2" cm="1">
        <f t="array" ref="C101" ca="1">INDEX(Data_DBD!$C:$C,$A101)</f>
        <v>2</v>
      </c>
      <c r="D101" s="2" cm="1">
        <f t="array" ref="D101" ca="1">INDEX(Data_DBD!$E:$E,$A101)</f>
        <v>0</v>
      </c>
      <c r="E101" s="2" t="str" cm="1">
        <f t="array" ref="E101" ca="1">INDEX(Data_DBD!$F:$F,$A101)</f>
        <v>Tinggi</v>
      </c>
      <c r="H101" s="2">
        <v>57</v>
      </c>
      <c r="I101" s="2">
        <v>2</v>
      </c>
      <c r="J101" s="2">
        <v>2</v>
      </c>
      <c r="K101" s="2">
        <v>1</v>
      </c>
      <c r="L101" s="2" t="s">
        <v>7</v>
      </c>
    </row>
    <row r="102" spans="1:12">
      <c r="A102" s="2">
        <f t="shared" ca="1" si="1"/>
        <v>3</v>
      </c>
      <c r="B102" s="2" cm="1">
        <f t="array" ref="B102" ca="1">INDEX(Data_DBD!$B:$B,$A102)</f>
        <v>43</v>
      </c>
      <c r="C102" s="2" cm="1">
        <f t="array" ref="C102" ca="1">INDEX(Data_DBD!$C:$C,$A102)</f>
        <v>3</v>
      </c>
      <c r="D102" s="2" cm="1">
        <f t="array" ref="D102" ca="1">INDEX(Data_DBD!$E:$E,$A102)</f>
        <v>1</v>
      </c>
      <c r="E102" s="2" t="str" cm="1">
        <f t="array" ref="E102" ca="1">INDEX(Data_DBD!$F:$F,$A102)</f>
        <v>Sedang</v>
      </c>
      <c r="H102" s="2">
        <v>18</v>
      </c>
      <c r="I102" s="2">
        <v>49</v>
      </c>
      <c r="J102" s="2">
        <v>4</v>
      </c>
      <c r="K102" s="2">
        <v>1</v>
      </c>
      <c r="L102" s="2" t="s">
        <v>20</v>
      </c>
    </row>
    <row r="103" spans="1:12">
      <c r="A103" s="2">
        <f t="shared" ca="1" si="1"/>
        <v>135</v>
      </c>
      <c r="B103" s="2" cm="1">
        <f t="array" ref="B103" ca="1">INDEX(Data_DBD!$B:$B,$A103)</f>
        <v>10</v>
      </c>
      <c r="C103" s="2" cm="1">
        <f t="array" ref="C103" ca="1">INDEX(Data_DBD!$C:$C,$A103)</f>
        <v>2</v>
      </c>
      <c r="D103" s="2" cm="1">
        <f t="array" ref="D103" ca="1">INDEX(Data_DBD!$E:$E,$A103)</f>
        <v>0</v>
      </c>
      <c r="E103" s="2" t="str" cm="1">
        <f t="array" ref="E103" ca="1">INDEX(Data_DBD!$F:$F,$A103)</f>
        <v>Tinggi</v>
      </c>
      <c r="H103" s="2">
        <v>138</v>
      </c>
      <c r="I103" s="2">
        <v>13</v>
      </c>
      <c r="J103" s="2">
        <v>3</v>
      </c>
      <c r="K103" s="2">
        <v>1</v>
      </c>
      <c r="L103" s="2" t="s">
        <v>97</v>
      </c>
    </row>
    <row r="104" spans="1:12">
      <c r="A104" s="2">
        <f t="shared" ca="1" si="1"/>
        <v>141</v>
      </c>
      <c r="B104" s="2" cm="1">
        <f t="array" ref="B104" ca="1">INDEX(Data_DBD!$B:$B,$A104)</f>
        <v>36</v>
      </c>
      <c r="C104" s="2" cm="1">
        <f t="array" ref="C104" ca="1">INDEX(Data_DBD!$C:$C,$A104)</f>
        <v>2</v>
      </c>
      <c r="D104" s="2" cm="1">
        <f t="array" ref="D104" ca="1">INDEX(Data_DBD!$E:$E,$A104)</f>
        <v>0</v>
      </c>
      <c r="E104" s="2" t="str" cm="1">
        <f t="array" ref="E104" ca="1">INDEX(Data_DBD!$F:$F,$A104)</f>
        <v>Tinggi</v>
      </c>
      <c r="H104" s="2">
        <v>42</v>
      </c>
      <c r="I104" s="2">
        <v>21</v>
      </c>
      <c r="J104" s="2">
        <v>5</v>
      </c>
      <c r="K104" s="2">
        <v>1</v>
      </c>
      <c r="L104" s="2" t="s">
        <v>7</v>
      </c>
    </row>
    <row r="105" spans="1:12">
      <c r="A105" s="2">
        <f t="shared" ca="1" si="1"/>
        <v>122</v>
      </c>
      <c r="B105" s="2" cm="1">
        <f t="array" ref="B105" ca="1">INDEX(Data_DBD!$B:$B,$A105)</f>
        <v>28</v>
      </c>
      <c r="C105" s="2" cm="1">
        <f t="array" ref="C105" ca="1">INDEX(Data_DBD!$C:$C,$A105)</f>
        <v>3</v>
      </c>
      <c r="D105" s="2" cm="1">
        <f t="array" ref="D105" ca="1">INDEX(Data_DBD!$E:$E,$A105)</f>
        <v>1</v>
      </c>
      <c r="E105" s="2" t="str" cm="1">
        <f t="array" ref="E105" ca="1">INDEX(Data_DBD!$F:$F,$A105)</f>
        <v>Tinggi</v>
      </c>
      <c r="H105" s="2">
        <v>20</v>
      </c>
      <c r="I105" s="2">
        <v>15</v>
      </c>
      <c r="J105" s="2">
        <v>5</v>
      </c>
      <c r="K105" s="2">
        <v>0</v>
      </c>
      <c r="L105" s="2" t="s">
        <v>20</v>
      </c>
    </row>
    <row r="106" spans="1:12">
      <c r="A106" s="2">
        <f t="shared" ca="1" si="1"/>
        <v>39</v>
      </c>
      <c r="B106" s="2" cm="1">
        <f t="array" ref="B106" ca="1">INDEX(Data_DBD!$B:$B,$A106)</f>
        <v>12</v>
      </c>
      <c r="C106" s="2" cm="1">
        <f t="array" ref="C106" ca="1">INDEX(Data_DBD!$C:$C,$A106)</f>
        <v>5</v>
      </c>
      <c r="D106" s="2" cm="1">
        <f t="array" ref="D106" ca="1">INDEX(Data_DBD!$E:$E,$A106)</f>
        <v>1</v>
      </c>
      <c r="E106" s="2" t="str" cm="1">
        <f t="array" ref="E106" ca="1">INDEX(Data_DBD!$F:$F,$A106)</f>
        <v>Sedang</v>
      </c>
      <c r="H106" s="2">
        <v>37</v>
      </c>
      <c r="I106" s="2">
        <v>28</v>
      </c>
      <c r="J106" s="2">
        <v>4</v>
      </c>
      <c r="K106" s="2">
        <v>1</v>
      </c>
      <c r="L106" s="2" t="s">
        <v>20</v>
      </c>
    </row>
    <row r="107" spans="1:12">
      <c r="A107" s="2">
        <f t="shared" ca="1" si="1"/>
        <v>74</v>
      </c>
      <c r="B107" s="2" cm="1">
        <f t="array" ref="B107" ca="1">INDEX(Data_DBD!$B:$B,$A107)</f>
        <v>9</v>
      </c>
      <c r="C107" s="2" cm="1">
        <f t="array" ref="C107" ca="1">INDEX(Data_DBD!$C:$C,$A107)</f>
        <v>4</v>
      </c>
      <c r="D107" s="2" cm="1">
        <f t="array" ref="D107" ca="1">INDEX(Data_DBD!$E:$E,$A107)</f>
        <v>0</v>
      </c>
      <c r="E107" s="2" t="str" cm="1">
        <f t="array" ref="E107" ca="1">INDEX(Data_DBD!$F:$F,$A107)</f>
        <v>Sedang</v>
      </c>
      <c r="H107" s="2">
        <v>43</v>
      </c>
      <c r="I107" s="2">
        <v>15</v>
      </c>
      <c r="J107" s="2">
        <v>4</v>
      </c>
      <c r="K107" s="2">
        <v>0</v>
      </c>
      <c r="L107" s="2" t="s">
        <v>7</v>
      </c>
    </row>
    <row r="108" spans="1:12">
      <c r="A108" s="2">
        <f t="shared" ca="1" si="1"/>
        <v>85</v>
      </c>
      <c r="B108" s="2" cm="1">
        <f t="array" ref="B108" ca="1">INDEX(Data_DBD!$B:$B,$A108)</f>
        <v>27</v>
      </c>
      <c r="C108" s="2" cm="1">
        <f t="array" ref="C108" ca="1">INDEX(Data_DBD!$C:$C,$A108)</f>
        <v>9</v>
      </c>
      <c r="D108" s="2" cm="1">
        <f t="array" ref="D108" ca="1">INDEX(Data_DBD!$E:$E,$A108)</f>
        <v>0</v>
      </c>
      <c r="E108" s="2" t="str" cm="1">
        <f t="array" ref="E108" ca="1">INDEX(Data_DBD!$F:$F,$A108)</f>
        <v>Sedang</v>
      </c>
      <c r="H108" s="2">
        <v>65</v>
      </c>
      <c r="I108" s="2">
        <v>49</v>
      </c>
      <c r="J108" s="2">
        <v>3</v>
      </c>
      <c r="K108" s="2">
        <v>0</v>
      </c>
      <c r="L108" s="2" t="s">
        <v>7</v>
      </c>
    </row>
    <row r="109" spans="1:12">
      <c r="A109" s="2">
        <f t="shared" ca="1" si="1"/>
        <v>24</v>
      </c>
      <c r="B109" s="2" cm="1">
        <f t="array" ref="B109" ca="1">INDEX(Data_DBD!$B:$B,$A109)</f>
        <v>60</v>
      </c>
      <c r="C109" s="2" cm="1">
        <f t="array" ref="C109" ca="1">INDEX(Data_DBD!$C:$C,$A109)</f>
        <v>4</v>
      </c>
      <c r="D109" s="2" cm="1">
        <f t="array" ref="D109" ca="1">INDEX(Data_DBD!$E:$E,$A109)</f>
        <v>0</v>
      </c>
      <c r="E109" s="2" t="str" cm="1">
        <f t="array" ref="E109" ca="1">INDEX(Data_DBD!$F:$F,$A109)</f>
        <v>Sedang</v>
      </c>
      <c r="H109" s="2">
        <v>140</v>
      </c>
      <c r="I109" s="2">
        <v>74</v>
      </c>
      <c r="J109" s="2">
        <v>5</v>
      </c>
      <c r="K109" s="2">
        <v>1</v>
      </c>
      <c r="L109" s="2" t="s">
        <v>97</v>
      </c>
    </row>
    <row r="110" spans="1:12">
      <c r="A110" s="2">
        <f t="shared" ca="1" si="1"/>
        <v>128</v>
      </c>
      <c r="B110" s="2" cm="1">
        <f t="array" ref="B110" ca="1">INDEX(Data_DBD!$B:$B,$A110)</f>
        <v>38</v>
      </c>
      <c r="C110" s="2" cm="1">
        <f t="array" ref="C110" ca="1">INDEX(Data_DBD!$C:$C,$A110)</f>
        <v>2</v>
      </c>
      <c r="D110" s="2" cm="1">
        <f t="array" ref="D110" ca="1">INDEX(Data_DBD!$E:$E,$A110)</f>
        <v>0</v>
      </c>
      <c r="E110" s="2" t="str" cm="1">
        <f t="array" ref="E110" ca="1">INDEX(Data_DBD!$F:$F,$A110)</f>
        <v>Tinggi</v>
      </c>
      <c r="H110" s="2">
        <v>68</v>
      </c>
      <c r="I110" s="2">
        <v>44</v>
      </c>
      <c r="J110" s="2">
        <v>5</v>
      </c>
      <c r="K110" s="2">
        <v>0</v>
      </c>
      <c r="L110" s="2" t="s">
        <v>7</v>
      </c>
    </row>
    <row r="111" spans="1:12">
      <c r="A111" s="2">
        <f t="shared" ca="1" si="1"/>
        <v>81</v>
      </c>
      <c r="B111" s="2" cm="1">
        <f t="array" ref="B111" ca="1">INDEX(Data_DBD!$B:$B,$A111)</f>
        <v>23</v>
      </c>
      <c r="C111" s="2" cm="1">
        <f t="array" ref="C111" ca="1">INDEX(Data_DBD!$C:$C,$A111)</f>
        <v>5</v>
      </c>
      <c r="D111" s="2" cm="1">
        <f t="array" ref="D111" ca="1">INDEX(Data_DBD!$E:$E,$A111)</f>
        <v>1</v>
      </c>
      <c r="E111" s="2" t="str" cm="1">
        <f t="array" ref="E111" ca="1">INDEX(Data_DBD!$F:$F,$A111)</f>
        <v>Sedang</v>
      </c>
      <c r="H111" s="2">
        <v>90</v>
      </c>
      <c r="I111" s="2">
        <v>47</v>
      </c>
      <c r="J111" s="2">
        <v>3</v>
      </c>
      <c r="K111" s="2">
        <v>0</v>
      </c>
      <c r="L111" s="2" t="s">
        <v>97</v>
      </c>
    </row>
    <row r="112" spans="1:12">
      <c r="A112" s="2">
        <f t="shared" ca="1" si="1"/>
        <v>61</v>
      </c>
      <c r="B112" s="2" cm="1">
        <f t="array" ref="B112" ca="1">INDEX(Data_DBD!$B:$B,$A112)</f>
        <v>29</v>
      </c>
      <c r="C112" s="2" cm="1">
        <f t="array" ref="C112" ca="1">INDEX(Data_DBD!$C:$C,$A112)</f>
        <v>3</v>
      </c>
      <c r="D112" s="2" cm="1">
        <f t="array" ref="D112" ca="1">INDEX(Data_DBD!$E:$E,$A112)</f>
        <v>1</v>
      </c>
      <c r="E112" s="2" t="str" cm="1">
        <f t="array" ref="E112" ca="1">INDEX(Data_DBD!$F:$F,$A112)</f>
        <v>Sedang</v>
      </c>
      <c r="H112" s="2">
        <v>45</v>
      </c>
      <c r="I112" s="2">
        <v>75</v>
      </c>
      <c r="J112" s="2">
        <v>3</v>
      </c>
      <c r="K112" s="2">
        <v>1</v>
      </c>
      <c r="L112" s="2" t="s">
        <v>7</v>
      </c>
    </row>
    <row r="113" spans="1:12">
      <c r="A113" s="2">
        <f t="shared" ca="1" si="1"/>
        <v>26</v>
      </c>
      <c r="B113" s="2" cm="1">
        <f t="array" ref="B113" ca="1">INDEX(Data_DBD!$B:$B,$A113)</f>
        <v>75</v>
      </c>
      <c r="C113" s="2" cm="1">
        <f t="array" ref="C113" ca="1">INDEX(Data_DBD!$C:$C,$A113)</f>
        <v>4</v>
      </c>
      <c r="D113" s="2" cm="1">
        <f t="array" ref="D113" ca="1">INDEX(Data_DBD!$E:$E,$A113)</f>
        <v>1</v>
      </c>
      <c r="E113" s="2" t="str" cm="1">
        <f t="array" ref="E113" ca="1">INDEX(Data_DBD!$F:$F,$A113)</f>
        <v>Sedang</v>
      </c>
      <c r="H113" s="2">
        <v>18</v>
      </c>
      <c r="I113" s="2">
        <v>49</v>
      </c>
      <c r="J113" s="2">
        <v>4</v>
      </c>
      <c r="K113" s="2">
        <v>1</v>
      </c>
      <c r="L113" s="2" t="s">
        <v>20</v>
      </c>
    </row>
    <row r="114" spans="1:12">
      <c r="A114" s="2">
        <f t="shared" ca="1" si="1"/>
        <v>94</v>
      </c>
      <c r="B114" s="2" cm="1">
        <f t="array" ref="B114" ca="1">INDEX(Data_DBD!$B:$B,$A114)</f>
        <v>12</v>
      </c>
      <c r="C114" s="2" cm="1">
        <f t="array" ref="C114" ca="1">INDEX(Data_DBD!$C:$C,$A114)</f>
        <v>4</v>
      </c>
      <c r="D114" s="2" cm="1">
        <f t="array" ref="D114" ca="1">INDEX(Data_DBD!$E:$E,$A114)</f>
        <v>0</v>
      </c>
      <c r="E114" s="2" t="str" cm="1">
        <f t="array" ref="E114" ca="1">INDEX(Data_DBD!$F:$F,$A114)</f>
        <v>Tinggi</v>
      </c>
      <c r="H114" s="2">
        <v>127</v>
      </c>
      <c r="I114" s="2">
        <v>21</v>
      </c>
      <c r="J114" s="2">
        <v>2</v>
      </c>
      <c r="K114" s="2">
        <v>0</v>
      </c>
      <c r="L114" s="2" t="s">
        <v>97</v>
      </c>
    </row>
    <row r="115" spans="1:12">
      <c r="A115" s="2">
        <f t="shared" ca="1" si="1"/>
        <v>14</v>
      </c>
      <c r="B115" s="2" cm="1">
        <f t="array" ref="B115" ca="1">INDEX(Data_DBD!$B:$B,$A115)</f>
        <v>49</v>
      </c>
      <c r="C115" s="2" cm="1">
        <f t="array" ref="C115" ca="1">INDEX(Data_DBD!$C:$C,$A115)</f>
        <v>4</v>
      </c>
      <c r="D115" s="2" cm="1">
        <f t="array" ref="D115" ca="1">INDEX(Data_DBD!$E:$E,$A115)</f>
        <v>1</v>
      </c>
      <c r="E115" s="2" t="str" cm="1">
        <f t="array" ref="E115" ca="1">INDEX(Data_DBD!$F:$F,$A115)</f>
        <v>Rendah</v>
      </c>
      <c r="H115" s="2">
        <v>160</v>
      </c>
      <c r="I115" s="2">
        <v>16</v>
      </c>
      <c r="J115" s="2">
        <v>3</v>
      </c>
      <c r="K115" s="2">
        <v>0</v>
      </c>
      <c r="L115" s="2" t="s">
        <v>97</v>
      </c>
    </row>
    <row r="116" spans="1:12">
      <c r="A116" s="2">
        <f t="shared" ca="1" si="1"/>
        <v>80</v>
      </c>
      <c r="B116" s="2" cm="1">
        <f t="array" ref="B116" ca="1">INDEX(Data_DBD!$B:$B,$A116)</f>
        <v>27</v>
      </c>
      <c r="C116" s="2" cm="1">
        <f t="array" ref="C116" ca="1">INDEX(Data_DBD!$C:$C,$A116)</f>
        <v>3</v>
      </c>
      <c r="D116" s="2" cm="1">
        <f t="array" ref="D116" ca="1">INDEX(Data_DBD!$E:$E,$A116)</f>
        <v>1</v>
      </c>
      <c r="E116" s="2" t="str" cm="1">
        <f t="array" ref="E116" ca="1">INDEX(Data_DBD!$F:$F,$A116)</f>
        <v>Sedang</v>
      </c>
      <c r="H116" s="2">
        <v>80</v>
      </c>
      <c r="I116" s="2">
        <v>27</v>
      </c>
      <c r="J116" s="2">
        <v>3</v>
      </c>
      <c r="K116" s="2">
        <v>1</v>
      </c>
      <c r="L116" s="2" t="s">
        <v>7</v>
      </c>
    </row>
    <row r="117" spans="1:12">
      <c r="A117" s="2">
        <f t="shared" ca="1" si="1"/>
        <v>51</v>
      </c>
      <c r="B117" s="2" cm="1">
        <f t="array" ref="B117" ca="1">INDEX(Data_DBD!$B:$B,$A117)</f>
        <v>48</v>
      </c>
      <c r="C117" s="2" cm="1">
        <f t="array" ref="C117" ca="1">INDEX(Data_DBD!$C:$C,$A117)</f>
        <v>4</v>
      </c>
      <c r="D117" s="2" cm="1">
        <f t="array" ref="D117" ca="1">INDEX(Data_DBD!$E:$E,$A117)</f>
        <v>0</v>
      </c>
      <c r="E117" s="2" t="str" cm="1">
        <f t="array" ref="E117" ca="1">INDEX(Data_DBD!$F:$F,$A117)</f>
        <v>Sedang</v>
      </c>
      <c r="H117" s="2">
        <v>159</v>
      </c>
      <c r="I117" s="2">
        <v>17</v>
      </c>
      <c r="J117" s="2">
        <v>2</v>
      </c>
      <c r="K117" s="2">
        <v>0</v>
      </c>
      <c r="L117" s="2" t="s">
        <v>97</v>
      </c>
    </row>
    <row r="118" spans="1:12">
      <c r="A118" s="2">
        <f t="shared" ca="1" si="1"/>
        <v>115</v>
      </c>
      <c r="B118" s="2" cm="1">
        <f t="array" ref="B118" ca="1">INDEX(Data_DBD!$B:$B,$A118)</f>
        <v>52</v>
      </c>
      <c r="C118" s="2" cm="1">
        <f t="array" ref="C118" ca="1">INDEX(Data_DBD!$C:$C,$A118)</f>
        <v>3</v>
      </c>
      <c r="D118" s="2" cm="1">
        <f t="array" ref="D118" ca="1">INDEX(Data_DBD!$E:$E,$A118)</f>
        <v>1</v>
      </c>
      <c r="E118" s="2" t="str" cm="1">
        <f t="array" ref="E118" ca="1">INDEX(Data_DBD!$F:$F,$A118)</f>
        <v>Tinggi</v>
      </c>
      <c r="H118" s="2">
        <v>117</v>
      </c>
      <c r="I118" s="2">
        <v>49</v>
      </c>
      <c r="J118" s="2">
        <v>4</v>
      </c>
      <c r="K118" s="2">
        <v>1</v>
      </c>
      <c r="L118" s="2" t="s">
        <v>97</v>
      </c>
    </row>
    <row r="119" spans="1:12">
      <c r="A119" s="2">
        <f t="shared" ca="1" si="1"/>
        <v>139</v>
      </c>
      <c r="B119" s="2" cm="1">
        <f t="array" ref="B119" ca="1">INDEX(Data_DBD!$B:$B,$A119)</f>
        <v>52</v>
      </c>
      <c r="C119" s="2" cm="1">
        <f t="array" ref="C119" ca="1">INDEX(Data_DBD!$C:$C,$A119)</f>
        <v>7</v>
      </c>
      <c r="D119" s="2" cm="1">
        <f t="array" ref="D119" ca="1">INDEX(Data_DBD!$E:$E,$A119)</f>
        <v>0</v>
      </c>
      <c r="E119" s="2" t="str" cm="1">
        <f t="array" ref="E119" ca="1">INDEX(Data_DBD!$F:$F,$A119)</f>
        <v>Tinggi</v>
      </c>
      <c r="H119" s="2">
        <v>107</v>
      </c>
      <c r="I119" s="2">
        <v>48</v>
      </c>
      <c r="J119" s="2">
        <v>5</v>
      </c>
      <c r="K119" s="2">
        <v>0</v>
      </c>
      <c r="L119" s="2" t="s">
        <v>97</v>
      </c>
    </row>
    <row r="120" spans="1:12">
      <c r="A120" s="2">
        <f t="shared" ca="1" si="1"/>
        <v>51</v>
      </c>
      <c r="B120" s="2" cm="1">
        <f t="array" ref="B120" ca="1">INDEX(Data_DBD!$B:$B,$A120)</f>
        <v>48</v>
      </c>
      <c r="C120" s="2" cm="1">
        <f t="array" ref="C120" ca="1">INDEX(Data_DBD!$C:$C,$A120)</f>
        <v>4</v>
      </c>
      <c r="D120" s="2" cm="1">
        <f t="array" ref="D120" ca="1">INDEX(Data_DBD!$E:$E,$A120)</f>
        <v>0</v>
      </c>
      <c r="E120" s="2" t="str" cm="1">
        <f t="array" ref="E120" ca="1">INDEX(Data_DBD!$F:$F,$A120)</f>
        <v>Sedang</v>
      </c>
      <c r="H120" s="2">
        <v>85</v>
      </c>
      <c r="I120" s="2">
        <v>27</v>
      </c>
      <c r="J120" s="2">
        <v>9</v>
      </c>
      <c r="K120" s="2">
        <v>0</v>
      </c>
      <c r="L120" s="2" t="s">
        <v>7</v>
      </c>
    </row>
    <row r="121" spans="1:12">
      <c r="A121" s="2">
        <f t="shared" ca="1" si="1"/>
        <v>106</v>
      </c>
      <c r="B121" s="2" cm="1">
        <f t="array" ref="B121" ca="1">INDEX(Data_DBD!$B:$B,$A121)</f>
        <v>23</v>
      </c>
      <c r="C121" s="2" cm="1">
        <f t="array" ref="C121" ca="1">INDEX(Data_DBD!$C:$C,$A121)</f>
        <v>3</v>
      </c>
      <c r="D121" s="2" cm="1">
        <f t="array" ref="D121" ca="1">INDEX(Data_DBD!$E:$E,$A121)</f>
        <v>1</v>
      </c>
      <c r="E121" s="2" t="str" cm="1">
        <f t="array" ref="E121" ca="1">INDEX(Data_DBD!$F:$F,$A121)</f>
        <v>Tinggi</v>
      </c>
      <c r="H121" s="2">
        <v>38</v>
      </c>
      <c r="I121" s="2">
        <v>52</v>
      </c>
      <c r="J121" s="2">
        <v>3</v>
      </c>
      <c r="K121" s="2">
        <v>1</v>
      </c>
      <c r="L121" s="2" t="s">
        <v>20</v>
      </c>
    </row>
    <row r="122" spans="1:12">
      <c r="A122" s="2">
        <f t="shared" ca="1" si="1"/>
        <v>80</v>
      </c>
      <c r="B122" s="2" cm="1">
        <f t="array" ref="B122" ca="1">INDEX(Data_DBD!$B:$B,$A122)</f>
        <v>27</v>
      </c>
      <c r="C122" s="2" cm="1">
        <f t="array" ref="C122" ca="1">INDEX(Data_DBD!$C:$C,$A122)</f>
        <v>3</v>
      </c>
      <c r="D122" s="2" cm="1">
        <f t="array" ref="D122" ca="1">INDEX(Data_DBD!$E:$E,$A122)</f>
        <v>1</v>
      </c>
      <c r="E122" s="2" t="str" cm="1">
        <f t="array" ref="E122" ca="1">INDEX(Data_DBD!$F:$F,$A122)</f>
        <v>Sedang</v>
      </c>
      <c r="H122" s="2">
        <v>158</v>
      </c>
      <c r="I122" s="2">
        <v>5</v>
      </c>
      <c r="J122" s="2">
        <v>2</v>
      </c>
      <c r="K122" s="2">
        <v>0</v>
      </c>
      <c r="L122" s="2" t="s">
        <v>97</v>
      </c>
    </row>
    <row r="123" spans="1:12">
      <c r="A123" s="2">
        <f t="shared" ca="1" si="1"/>
        <v>131</v>
      </c>
      <c r="B123" s="2" cm="1">
        <f t="array" ref="B123" ca="1">INDEX(Data_DBD!$B:$B,$A123)</f>
        <v>10</v>
      </c>
      <c r="C123" s="2" cm="1">
        <f t="array" ref="C123" ca="1">INDEX(Data_DBD!$C:$C,$A123)</f>
        <v>2</v>
      </c>
      <c r="D123" s="2" cm="1">
        <f t="array" ref="D123" ca="1">INDEX(Data_DBD!$E:$E,$A123)</f>
        <v>0</v>
      </c>
      <c r="E123" s="2" t="str" cm="1">
        <f t="array" ref="E123" ca="1">INDEX(Data_DBD!$F:$F,$A123)</f>
        <v>Tinggi</v>
      </c>
      <c r="H123" s="2">
        <v>38</v>
      </c>
      <c r="I123" s="2">
        <v>52</v>
      </c>
      <c r="J123" s="2">
        <v>3</v>
      </c>
      <c r="K123" s="2">
        <v>1</v>
      </c>
      <c r="L123" s="2" t="s">
        <v>20</v>
      </c>
    </row>
    <row r="124" spans="1:12">
      <c r="A124" s="2">
        <f t="shared" ca="1" si="1"/>
        <v>116</v>
      </c>
      <c r="B124" s="2" cm="1">
        <f t="array" ref="B124" ca="1">INDEX(Data_DBD!$B:$B,$A124)</f>
        <v>32</v>
      </c>
      <c r="C124" s="2" cm="1">
        <f t="array" ref="C124" ca="1">INDEX(Data_DBD!$C:$C,$A124)</f>
        <v>4</v>
      </c>
      <c r="D124" s="2" cm="1">
        <f t="array" ref="D124" ca="1">INDEX(Data_DBD!$E:$E,$A124)</f>
        <v>1</v>
      </c>
      <c r="E124" s="2" t="str" cm="1">
        <f t="array" ref="E124" ca="1">INDEX(Data_DBD!$F:$F,$A124)</f>
        <v>Tinggi</v>
      </c>
      <c r="H124" s="2">
        <v>71</v>
      </c>
      <c r="I124" s="2">
        <v>84</v>
      </c>
      <c r="J124" s="2">
        <v>3</v>
      </c>
      <c r="K124" s="2">
        <v>0</v>
      </c>
      <c r="L124" s="2" t="s">
        <v>7</v>
      </c>
    </row>
    <row r="125" spans="1:12">
      <c r="A125" s="2">
        <f t="shared" ca="1" si="1"/>
        <v>116</v>
      </c>
      <c r="B125" s="2" cm="1">
        <f t="array" ref="B125" ca="1">INDEX(Data_DBD!$B:$B,$A125)</f>
        <v>32</v>
      </c>
      <c r="C125" s="2" cm="1">
        <f t="array" ref="C125" ca="1">INDEX(Data_DBD!$C:$C,$A125)</f>
        <v>4</v>
      </c>
      <c r="D125" s="2" cm="1">
        <f t="array" ref="D125" ca="1">INDEX(Data_DBD!$E:$E,$A125)</f>
        <v>1</v>
      </c>
      <c r="E125" s="2" t="str" cm="1">
        <f t="array" ref="E125" ca="1">INDEX(Data_DBD!$F:$F,$A125)</f>
        <v>Tinggi</v>
      </c>
      <c r="H125" s="2">
        <v>131</v>
      </c>
      <c r="I125" s="2">
        <v>10</v>
      </c>
      <c r="J125" s="2">
        <v>2</v>
      </c>
      <c r="K125" s="2">
        <v>0</v>
      </c>
      <c r="L125" s="2" t="s">
        <v>97</v>
      </c>
    </row>
    <row r="126" spans="1:12">
      <c r="A126" s="2">
        <f t="shared" ca="1" si="1"/>
        <v>6</v>
      </c>
      <c r="B126" s="2" cm="1">
        <f t="array" ref="B126" ca="1">INDEX(Data_DBD!$B:$B,$A126)</f>
        <v>14</v>
      </c>
      <c r="C126" s="2" cm="1">
        <f t="array" ref="C126" ca="1">INDEX(Data_DBD!$C:$C,$A126)</f>
        <v>4</v>
      </c>
      <c r="D126" s="2" cm="1">
        <f t="array" ref="D126" ca="1">INDEX(Data_DBD!$E:$E,$A126)</f>
        <v>0</v>
      </c>
      <c r="E126" s="2" t="str" cm="1">
        <f t="array" ref="E126" ca="1">INDEX(Data_DBD!$F:$F,$A126)</f>
        <v>Sedang</v>
      </c>
      <c r="H126" s="2">
        <v>7</v>
      </c>
      <c r="I126" s="2">
        <v>12</v>
      </c>
      <c r="J126" s="2">
        <v>1</v>
      </c>
      <c r="K126" s="2">
        <v>1</v>
      </c>
      <c r="L126" s="2" t="s">
        <v>7</v>
      </c>
    </row>
    <row r="127" spans="1:12">
      <c r="A127" s="2">
        <f t="shared" ca="1" si="1"/>
        <v>150</v>
      </c>
      <c r="B127" s="2" cm="1">
        <f t="array" ref="B127" ca="1">INDEX(Data_DBD!$B:$B,$A127)</f>
        <v>61</v>
      </c>
      <c r="C127" s="2" cm="1">
        <f t="array" ref="C127" ca="1">INDEX(Data_DBD!$C:$C,$A127)</f>
        <v>5</v>
      </c>
      <c r="D127" s="2" cm="1">
        <f t="array" ref="D127" ca="1">INDEX(Data_DBD!$E:$E,$A127)</f>
        <v>1</v>
      </c>
      <c r="E127" s="2" t="str" cm="1">
        <f t="array" ref="E127" ca="1">INDEX(Data_DBD!$F:$F,$A127)</f>
        <v>Tinggi</v>
      </c>
      <c r="H127" s="2">
        <v>145</v>
      </c>
      <c r="I127" s="2">
        <v>28</v>
      </c>
      <c r="J127" s="2">
        <v>4</v>
      </c>
      <c r="K127" s="2">
        <v>1</v>
      </c>
      <c r="L127" s="2" t="s">
        <v>97</v>
      </c>
    </row>
    <row r="128" spans="1:12">
      <c r="A128" s="2">
        <f t="shared" ca="1" si="1"/>
        <v>16</v>
      </c>
      <c r="B128" s="2" cm="1">
        <f t="array" ref="B128" ca="1">INDEX(Data_DBD!$B:$B,$A128)</f>
        <v>66</v>
      </c>
      <c r="C128" s="2" cm="1">
        <f t="array" ref="C128" ca="1">INDEX(Data_DBD!$C:$C,$A128)</f>
        <v>5</v>
      </c>
      <c r="D128" s="2" cm="1">
        <f t="array" ref="D128" ca="1">INDEX(Data_DBD!$E:$E,$A128)</f>
        <v>1</v>
      </c>
      <c r="E128" s="2" t="str" cm="1">
        <f t="array" ref="E128" ca="1">INDEX(Data_DBD!$F:$F,$A128)</f>
        <v>Rendah</v>
      </c>
      <c r="H128" s="2">
        <v>161</v>
      </c>
      <c r="I128" s="2">
        <v>12</v>
      </c>
      <c r="J128" s="2">
        <v>3</v>
      </c>
      <c r="K128" s="2">
        <v>1</v>
      </c>
      <c r="L128" s="2" t="s">
        <v>97</v>
      </c>
    </row>
    <row r="129" spans="1:12">
      <c r="A129" s="2">
        <f t="shared" ca="1" si="1"/>
        <v>157</v>
      </c>
      <c r="B129" s="2" cm="1">
        <f t="array" ref="B129" ca="1">INDEX(Data_DBD!$B:$B,$A129)</f>
        <v>15</v>
      </c>
      <c r="C129" s="2" cm="1">
        <f t="array" ref="C129" ca="1">INDEX(Data_DBD!$C:$C,$A129)</f>
        <v>4</v>
      </c>
      <c r="D129" s="2" cm="1">
        <f t="array" ref="D129" ca="1">INDEX(Data_DBD!$E:$E,$A129)</f>
        <v>1</v>
      </c>
      <c r="E129" s="2" t="str" cm="1">
        <f t="array" ref="E129" ca="1">INDEX(Data_DBD!$F:$F,$A129)</f>
        <v>Tinggi</v>
      </c>
      <c r="H129" s="2">
        <v>62</v>
      </c>
      <c r="I129" s="2">
        <v>43</v>
      </c>
      <c r="J129" s="2">
        <v>4</v>
      </c>
      <c r="K129" s="2">
        <v>1</v>
      </c>
      <c r="L129" s="2" t="s">
        <v>7</v>
      </c>
    </row>
    <row r="130" spans="1:12">
      <c r="A130" s="2">
        <f t="shared" ca="1" si="1"/>
        <v>92</v>
      </c>
      <c r="B130" s="2" cm="1">
        <f t="array" ref="B130" ca="1">INDEX(Data_DBD!$B:$B,$A130)</f>
        <v>55</v>
      </c>
      <c r="C130" s="2" cm="1">
        <f t="array" ref="C130" ca="1">INDEX(Data_DBD!$C:$C,$A130)</f>
        <v>7</v>
      </c>
      <c r="D130" s="2" cm="1">
        <f t="array" ref="D130" ca="1">INDEX(Data_DBD!$E:$E,$A130)</f>
        <v>0</v>
      </c>
      <c r="E130" s="2" t="str" cm="1">
        <f t="array" ref="E130" ca="1">INDEX(Data_DBD!$F:$F,$A130)</f>
        <v>Tinggi</v>
      </c>
      <c r="H130" s="2">
        <v>123</v>
      </c>
      <c r="I130" s="2">
        <v>22</v>
      </c>
      <c r="J130" s="2">
        <v>4</v>
      </c>
      <c r="K130" s="2">
        <v>0</v>
      </c>
      <c r="L130" s="2" t="s">
        <v>97</v>
      </c>
    </row>
    <row r="131" spans="1:12">
      <c r="A131" s="2">
        <f t="shared" ref="A131:A164" ca="1" si="2">RANDBETWEEN(2,164)</f>
        <v>17</v>
      </c>
      <c r="B131" s="2" cm="1">
        <f t="array" ref="B131" ca="1">INDEX(Data_DBD!$B:$B,$A131)</f>
        <v>2</v>
      </c>
      <c r="C131" s="2" cm="1">
        <f t="array" ref="C131" ca="1">INDEX(Data_DBD!$C:$C,$A131)</f>
        <v>3</v>
      </c>
      <c r="D131" s="2" cm="1">
        <f t="array" ref="D131" ca="1">INDEX(Data_DBD!$E:$E,$A131)</f>
        <v>0</v>
      </c>
      <c r="E131" s="2" t="str" cm="1">
        <f t="array" ref="E131" ca="1">INDEX(Data_DBD!$F:$F,$A131)</f>
        <v>Rendah</v>
      </c>
      <c r="H131" s="2">
        <v>144</v>
      </c>
      <c r="I131" s="2">
        <v>61</v>
      </c>
      <c r="J131" s="2">
        <v>4</v>
      </c>
      <c r="K131" s="2">
        <v>1</v>
      </c>
      <c r="L131" s="2" t="s">
        <v>97</v>
      </c>
    </row>
    <row r="132" spans="1:12">
      <c r="A132" s="2">
        <f t="shared" ca="1" si="2"/>
        <v>21</v>
      </c>
      <c r="B132" s="2" cm="1">
        <f t="array" ref="B132" ca="1">INDEX(Data_DBD!$B:$B,$A132)</f>
        <v>10</v>
      </c>
      <c r="C132" s="2" cm="1">
        <f t="array" ref="C132" ca="1">INDEX(Data_DBD!$C:$C,$A132)</f>
        <v>5</v>
      </c>
      <c r="D132" s="2" cm="1">
        <f t="array" ref="D132" ca="1">INDEX(Data_DBD!$E:$E,$A132)</f>
        <v>1</v>
      </c>
      <c r="E132" s="2" t="str" cm="1">
        <f t="array" ref="E132" ca="1">INDEX(Data_DBD!$F:$F,$A132)</f>
        <v>Sedang</v>
      </c>
      <c r="H132" s="2">
        <v>147</v>
      </c>
      <c r="I132" s="2">
        <v>66</v>
      </c>
      <c r="J132" s="2">
        <v>10</v>
      </c>
      <c r="K132" s="2">
        <v>1</v>
      </c>
      <c r="L132" s="2" t="s">
        <v>97</v>
      </c>
    </row>
    <row r="133" spans="1:12">
      <c r="A133" s="2">
        <f t="shared" ca="1" si="2"/>
        <v>143</v>
      </c>
      <c r="B133" s="2" cm="1">
        <f t="array" ref="B133" ca="1">INDEX(Data_DBD!$B:$B,$A133)</f>
        <v>20</v>
      </c>
      <c r="C133" s="2" cm="1">
        <f t="array" ref="C133" ca="1">INDEX(Data_DBD!$C:$C,$A133)</f>
        <v>4</v>
      </c>
      <c r="D133" s="2" cm="1">
        <f t="array" ref="D133" ca="1">INDEX(Data_DBD!$E:$E,$A133)</f>
        <v>1</v>
      </c>
      <c r="E133" s="2" t="str" cm="1">
        <f t="array" ref="E133" ca="1">INDEX(Data_DBD!$F:$F,$A133)</f>
        <v>Tinggi</v>
      </c>
      <c r="H133" s="2">
        <v>90</v>
      </c>
      <c r="I133" s="2">
        <v>47</v>
      </c>
      <c r="J133" s="2">
        <v>3</v>
      </c>
      <c r="K133" s="2">
        <v>0</v>
      </c>
      <c r="L133" s="2" t="s">
        <v>97</v>
      </c>
    </row>
    <row r="134" spans="1:12">
      <c r="A134" s="2">
        <f t="shared" ca="1" si="2"/>
        <v>35</v>
      </c>
      <c r="B134" s="2" cm="1">
        <f t="array" ref="B134" ca="1">INDEX(Data_DBD!$B:$B,$A134)</f>
        <v>40</v>
      </c>
      <c r="C134" s="2" cm="1">
        <f t="array" ref="C134" ca="1">INDEX(Data_DBD!$C:$C,$A134)</f>
        <v>3</v>
      </c>
      <c r="D134" s="2" cm="1">
        <f t="array" ref="D134" ca="1">INDEX(Data_DBD!$E:$E,$A134)</f>
        <v>1</v>
      </c>
      <c r="E134" s="2" t="str" cm="1">
        <f t="array" ref="E134" ca="1">INDEX(Data_DBD!$F:$F,$A134)</f>
        <v>Rendah</v>
      </c>
      <c r="H134" s="2">
        <v>79</v>
      </c>
      <c r="I134" s="2">
        <v>29</v>
      </c>
      <c r="J134" s="2">
        <v>3</v>
      </c>
      <c r="K134" s="2">
        <v>0</v>
      </c>
      <c r="L134" s="2" t="s">
        <v>7</v>
      </c>
    </row>
    <row r="135" spans="1:12">
      <c r="A135" s="2">
        <f t="shared" ca="1" si="2"/>
        <v>120</v>
      </c>
      <c r="B135" s="2" cm="1">
        <f t="array" ref="B135" ca="1">INDEX(Data_DBD!$B:$B,$A135)</f>
        <v>26</v>
      </c>
      <c r="C135" s="2" cm="1">
        <f t="array" ref="C135" ca="1">INDEX(Data_DBD!$C:$C,$A135)</f>
        <v>4</v>
      </c>
      <c r="D135" s="2" cm="1">
        <f t="array" ref="D135" ca="1">INDEX(Data_DBD!$E:$E,$A135)</f>
        <v>1</v>
      </c>
      <c r="E135" s="2" t="str" cm="1">
        <f t="array" ref="E135" ca="1">INDEX(Data_DBD!$F:$F,$A135)</f>
        <v>Tinggi</v>
      </c>
      <c r="H135" s="2">
        <v>79</v>
      </c>
      <c r="I135" s="2">
        <v>29</v>
      </c>
      <c r="J135" s="2">
        <v>3</v>
      </c>
      <c r="K135" s="2">
        <v>0</v>
      </c>
      <c r="L135" s="2" t="s">
        <v>7</v>
      </c>
    </row>
    <row r="136" spans="1:12">
      <c r="A136" s="2">
        <f t="shared" ca="1" si="2"/>
        <v>86</v>
      </c>
      <c r="B136" s="2" cm="1">
        <f t="array" ref="B136" ca="1">INDEX(Data_DBD!$B:$B,$A136)</f>
        <v>23</v>
      </c>
      <c r="C136" s="2" cm="1">
        <f t="array" ref="C136" ca="1">INDEX(Data_DBD!$C:$C,$A136)</f>
        <v>3</v>
      </c>
      <c r="D136" s="2" cm="1">
        <f t="array" ref="D136" ca="1">INDEX(Data_DBD!$E:$E,$A136)</f>
        <v>0</v>
      </c>
      <c r="E136" s="2" t="str" cm="1">
        <f t="array" ref="E136" ca="1">INDEX(Data_DBD!$F:$F,$A136)</f>
        <v>Sedang</v>
      </c>
      <c r="H136" s="2">
        <v>27</v>
      </c>
      <c r="I136" s="2">
        <v>37</v>
      </c>
      <c r="J136" s="2">
        <v>4</v>
      </c>
      <c r="K136" s="2">
        <v>1</v>
      </c>
      <c r="L136" s="2" t="s">
        <v>7</v>
      </c>
    </row>
    <row r="137" spans="1:12">
      <c r="A137" s="2">
        <f t="shared" ca="1" si="2"/>
        <v>127</v>
      </c>
      <c r="B137" s="2" cm="1">
        <f t="array" ref="B137" ca="1">INDEX(Data_DBD!$B:$B,$A137)</f>
        <v>21</v>
      </c>
      <c r="C137" s="2" cm="1">
        <f t="array" ref="C137" ca="1">INDEX(Data_DBD!$C:$C,$A137)</f>
        <v>2</v>
      </c>
      <c r="D137" s="2" cm="1">
        <f t="array" ref="D137" ca="1">INDEX(Data_DBD!$E:$E,$A137)</f>
        <v>0</v>
      </c>
      <c r="E137" s="2" t="str" cm="1">
        <f t="array" ref="E137" ca="1">INDEX(Data_DBD!$F:$F,$A137)</f>
        <v>Tinggi</v>
      </c>
      <c r="H137" s="2">
        <v>151</v>
      </c>
      <c r="I137" s="2">
        <v>24</v>
      </c>
      <c r="J137" s="2">
        <v>3</v>
      </c>
      <c r="K137" s="2">
        <v>0</v>
      </c>
      <c r="L137" s="2" t="s">
        <v>97</v>
      </c>
    </row>
    <row r="138" spans="1:12">
      <c r="A138" s="2">
        <f t="shared" ca="1" si="2"/>
        <v>151</v>
      </c>
      <c r="B138" s="2" cm="1">
        <f t="array" ref="B138" ca="1">INDEX(Data_DBD!$B:$B,$A138)</f>
        <v>24</v>
      </c>
      <c r="C138" s="2" cm="1">
        <f t="array" ref="C138" ca="1">INDEX(Data_DBD!$C:$C,$A138)</f>
        <v>3</v>
      </c>
      <c r="D138" s="2" cm="1">
        <f t="array" ref="D138" ca="1">INDEX(Data_DBD!$E:$E,$A138)</f>
        <v>0</v>
      </c>
      <c r="E138" s="2" t="str" cm="1">
        <f t="array" ref="E138" ca="1">INDEX(Data_DBD!$F:$F,$A138)</f>
        <v>Tinggi</v>
      </c>
      <c r="H138" s="2">
        <v>19</v>
      </c>
      <c r="I138" s="2">
        <v>8</v>
      </c>
      <c r="J138" s="2">
        <v>4</v>
      </c>
      <c r="K138" s="2">
        <v>0</v>
      </c>
      <c r="L138" s="2" t="s">
        <v>20</v>
      </c>
    </row>
    <row r="139" spans="1:12">
      <c r="A139" s="2">
        <f t="shared" ca="1" si="2"/>
        <v>88</v>
      </c>
      <c r="B139" s="2" cm="1">
        <f t="array" ref="B139" ca="1">INDEX(Data_DBD!$B:$B,$A139)</f>
        <v>20</v>
      </c>
      <c r="C139" s="2" cm="1">
        <f t="array" ref="C139" ca="1">INDEX(Data_DBD!$C:$C,$A139)</f>
        <v>4</v>
      </c>
      <c r="D139" s="2" cm="1">
        <f t="array" ref="D139" ca="1">INDEX(Data_DBD!$E:$E,$A139)</f>
        <v>1</v>
      </c>
      <c r="E139" s="2" t="str" cm="1">
        <f t="array" ref="E139" ca="1">INDEX(Data_DBD!$F:$F,$A139)</f>
        <v>Sedang</v>
      </c>
      <c r="H139" s="2">
        <v>78</v>
      </c>
      <c r="I139" s="2">
        <v>6</v>
      </c>
      <c r="J139" s="2">
        <v>3</v>
      </c>
      <c r="K139" s="2">
        <v>0</v>
      </c>
      <c r="L139" s="2" t="s">
        <v>7</v>
      </c>
    </row>
    <row r="140" spans="1:12">
      <c r="A140" s="2">
        <f t="shared" ca="1" si="2"/>
        <v>121</v>
      </c>
      <c r="B140" s="2" cm="1">
        <f t="array" ref="B140" ca="1">INDEX(Data_DBD!$B:$B,$A140)</f>
        <v>82</v>
      </c>
      <c r="C140" s="2" cm="1">
        <f t="array" ref="C140" ca="1">INDEX(Data_DBD!$C:$C,$A140)</f>
        <v>5</v>
      </c>
      <c r="D140" s="2" cm="1">
        <f t="array" ref="D140" ca="1">INDEX(Data_DBD!$E:$E,$A140)</f>
        <v>1</v>
      </c>
      <c r="E140" s="2" t="str" cm="1">
        <f t="array" ref="E140" ca="1">INDEX(Data_DBD!$F:$F,$A140)</f>
        <v>Tinggi</v>
      </c>
      <c r="H140" s="2">
        <v>11</v>
      </c>
      <c r="I140" s="2">
        <v>24</v>
      </c>
      <c r="J140" s="2">
        <v>5</v>
      </c>
      <c r="K140" s="2">
        <v>1</v>
      </c>
      <c r="L140" s="2" t="s">
        <v>7</v>
      </c>
    </row>
    <row r="141" spans="1:12">
      <c r="A141" s="2">
        <f t="shared" ca="1" si="2"/>
        <v>149</v>
      </c>
      <c r="B141" s="2" cm="1">
        <f t="array" ref="B141" ca="1">INDEX(Data_DBD!$B:$B,$A141)</f>
        <v>19</v>
      </c>
      <c r="C141" s="2" cm="1">
        <f t="array" ref="C141" ca="1">INDEX(Data_DBD!$C:$C,$A141)</f>
        <v>5</v>
      </c>
      <c r="D141" s="2" cm="1">
        <f t="array" ref="D141" ca="1">INDEX(Data_DBD!$E:$E,$A141)</f>
        <v>0</v>
      </c>
      <c r="E141" s="2" t="str" cm="1">
        <f t="array" ref="E141" ca="1">INDEX(Data_DBD!$F:$F,$A141)</f>
        <v>Tinggi</v>
      </c>
      <c r="H141" s="2">
        <v>95</v>
      </c>
      <c r="I141" s="2">
        <v>11</v>
      </c>
      <c r="J141" s="2">
        <v>3</v>
      </c>
      <c r="K141" s="2">
        <v>1</v>
      </c>
      <c r="L141" s="2" t="s">
        <v>97</v>
      </c>
    </row>
    <row r="142" spans="1:12">
      <c r="A142" s="2">
        <f t="shared" ca="1" si="2"/>
        <v>153</v>
      </c>
      <c r="B142" s="2" cm="1">
        <f t="array" ref="B142" ca="1">INDEX(Data_DBD!$B:$B,$A142)</f>
        <v>73</v>
      </c>
      <c r="C142" s="2" cm="1">
        <f t="array" ref="C142" ca="1">INDEX(Data_DBD!$C:$C,$A142)</f>
        <v>7</v>
      </c>
      <c r="D142" s="2" cm="1">
        <f t="array" ref="D142" ca="1">INDEX(Data_DBD!$E:$E,$A142)</f>
        <v>1</v>
      </c>
      <c r="E142" s="2" t="str" cm="1">
        <f t="array" ref="E142" ca="1">INDEX(Data_DBD!$F:$F,$A142)</f>
        <v>Tinggi</v>
      </c>
      <c r="H142" s="2">
        <v>65</v>
      </c>
      <c r="I142" s="2">
        <v>49</v>
      </c>
      <c r="J142" s="2">
        <v>3</v>
      </c>
      <c r="K142" s="2">
        <v>0</v>
      </c>
      <c r="L142" s="2" t="s">
        <v>7</v>
      </c>
    </row>
    <row r="143" spans="1:12">
      <c r="A143" s="2">
        <f t="shared" ca="1" si="2"/>
        <v>58</v>
      </c>
      <c r="B143" s="2" cm="1">
        <f t="array" ref="B143" ca="1">INDEX(Data_DBD!$B:$B,$A143)</f>
        <v>17</v>
      </c>
      <c r="C143" s="2" cm="1">
        <f t="array" ref="C143" ca="1">INDEX(Data_DBD!$C:$C,$A143)</f>
        <v>3</v>
      </c>
      <c r="D143" s="2" cm="1">
        <f t="array" ref="D143" ca="1">INDEX(Data_DBD!$E:$E,$A143)</f>
        <v>0</v>
      </c>
      <c r="E143" s="2" t="str" cm="1">
        <f t="array" ref="E143" ca="1">INDEX(Data_DBD!$F:$F,$A143)</f>
        <v>Sedang</v>
      </c>
      <c r="H143" s="2">
        <v>57</v>
      </c>
      <c r="I143" s="2">
        <v>2</v>
      </c>
      <c r="J143" s="2">
        <v>2</v>
      </c>
      <c r="K143" s="2">
        <v>1</v>
      </c>
      <c r="L143" s="2" t="s">
        <v>7</v>
      </c>
    </row>
    <row r="144" spans="1:12">
      <c r="A144" s="2">
        <f t="shared" ca="1" si="2"/>
        <v>28</v>
      </c>
      <c r="B144" s="2" cm="1">
        <f t="array" ref="B144" ca="1">INDEX(Data_DBD!$B:$B,$A144)</f>
        <v>22</v>
      </c>
      <c r="C144" s="2" cm="1">
        <f t="array" ref="C144" ca="1">INDEX(Data_DBD!$C:$C,$A144)</f>
        <v>2</v>
      </c>
      <c r="D144" s="2" cm="1">
        <f t="array" ref="D144" ca="1">INDEX(Data_DBD!$E:$E,$A144)</f>
        <v>1</v>
      </c>
      <c r="E144" s="2" t="str" cm="1">
        <f t="array" ref="E144" ca="1">INDEX(Data_DBD!$F:$F,$A144)</f>
        <v>Sedang</v>
      </c>
      <c r="H144" s="2">
        <v>113</v>
      </c>
      <c r="I144" s="2">
        <v>69</v>
      </c>
      <c r="J144" s="2">
        <v>1</v>
      </c>
      <c r="K144" s="2">
        <v>1</v>
      </c>
      <c r="L144" s="2" t="s">
        <v>97</v>
      </c>
    </row>
    <row r="145" spans="1:12">
      <c r="A145" s="2">
        <f t="shared" ca="1" si="2"/>
        <v>93</v>
      </c>
      <c r="B145" s="2" cm="1">
        <f t="array" ref="B145" ca="1">INDEX(Data_DBD!$B:$B,$A145)</f>
        <v>65</v>
      </c>
      <c r="C145" s="2" cm="1">
        <f t="array" ref="C145" ca="1">INDEX(Data_DBD!$C:$C,$A145)</f>
        <v>4</v>
      </c>
      <c r="D145" s="2" cm="1">
        <f t="array" ref="D145" ca="1">INDEX(Data_DBD!$E:$E,$A145)</f>
        <v>0</v>
      </c>
      <c r="E145" s="2" t="str" cm="1">
        <f t="array" ref="E145" ca="1">INDEX(Data_DBD!$F:$F,$A145)</f>
        <v>Tinggi</v>
      </c>
      <c r="H145" s="2">
        <v>58</v>
      </c>
      <c r="I145" s="2">
        <v>17</v>
      </c>
      <c r="J145" s="2">
        <v>3</v>
      </c>
      <c r="K145" s="2">
        <v>0</v>
      </c>
      <c r="L145" s="2" t="s">
        <v>7</v>
      </c>
    </row>
    <row r="146" spans="1:12">
      <c r="A146" s="2">
        <f t="shared" ca="1" si="2"/>
        <v>155</v>
      </c>
      <c r="B146" s="2" cm="1">
        <f t="array" ref="B146" ca="1">INDEX(Data_DBD!$B:$B,$A146)</f>
        <v>19</v>
      </c>
      <c r="C146" s="2" cm="1">
        <f t="array" ref="C146" ca="1">INDEX(Data_DBD!$C:$C,$A146)</f>
        <v>5</v>
      </c>
      <c r="D146" s="2" cm="1">
        <f t="array" ref="D146" ca="1">INDEX(Data_DBD!$E:$E,$A146)</f>
        <v>1</v>
      </c>
      <c r="E146" s="2" t="str" cm="1">
        <f t="array" ref="E146" ca="1">INDEX(Data_DBD!$F:$F,$A146)</f>
        <v>Tinggi</v>
      </c>
      <c r="H146" s="2">
        <v>111</v>
      </c>
      <c r="I146" s="2">
        <v>25</v>
      </c>
      <c r="J146" s="2">
        <v>4</v>
      </c>
      <c r="K146" s="2">
        <v>0</v>
      </c>
      <c r="L146" s="2" t="s">
        <v>97</v>
      </c>
    </row>
    <row r="147" spans="1:12">
      <c r="A147" s="2">
        <f t="shared" ca="1" si="2"/>
        <v>113</v>
      </c>
      <c r="B147" s="2" cm="1">
        <f t="array" ref="B147" ca="1">INDEX(Data_DBD!$B:$B,$A147)</f>
        <v>69</v>
      </c>
      <c r="C147" s="2" cm="1">
        <f t="array" ref="C147" ca="1">INDEX(Data_DBD!$C:$C,$A147)</f>
        <v>1</v>
      </c>
      <c r="D147" s="2" cm="1">
        <f t="array" ref="D147" ca="1">INDEX(Data_DBD!$E:$E,$A147)</f>
        <v>1</v>
      </c>
      <c r="E147" s="2" t="str" cm="1">
        <f t="array" ref="E147" ca="1">INDEX(Data_DBD!$F:$F,$A147)</f>
        <v>Tinggi</v>
      </c>
      <c r="H147" s="2">
        <v>6</v>
      </c>
      <c r="I147" s="2">
        <v>14</v>
      </c>
      <c r="J147" s="2">
        <v>4</v>
      </c>
      <c r="K147" s="2">
        <v>0</v>
      </c>
      <c r="L147" s="2" t="s">
        <v>7</v>
      </c>
    </row>
    <row r="148" spans="1:12">
      <c r="A148" s="2">
        <f t="shared" ca="1" si="2"/>
        <v>47</v>
      </c>
      <c r="B148" s="2" cm="1">
        <f t="array" ref="B148" ca="1">INDEX(Data_DBD!$B:$B,$A148)</f>
        <v>19</v>
      </c>
      <c r="C148" s="2" cm="1">
        <f t="array" ref="C148" ca="1">INDEX(Data_DBD!$C:$C,$A148)</f>
        <v>2</v>
      </c>
      <c r="D148" s="2" cm="1">
        <f t="array" ref="D148" ca="1">INDEX(Data_DBD!$E:$E,$A148)</f>
        <v>0</v>
      </c>
      <c r="E148" s="2" t="str" cm="1">
        <f t="array" ref="E148" ca="1">INDEX(Data_DBD!$F:$F,$A148)</f>
        <v>Sedang</v>
      </c>
      <c r="H148" s="2">
        <v>43</v>
      </c>
      <c r="I148" s="2">
        <v>15</v>
      </c>
      <c r="J148" s="2">
        <v>4</v>
      </c>
      <c r="K148" s="2">
        <v>0</v>
      </c>
      <c r="L148" s="2" t="s">
        <v>7</v>
      </c>
    </row>
    <row r="149" spans="1:12">
      <c r="A149" s="2">
        <f t="shared" ca="1" si="2"/>
        <v>129</v>
      </c>
      <c r="B149" s="2" cm="1">
        <f t="array" ref="B149" ca="1">INDEX(Data_DBD!$B:$B,$A149)</f>
        <v>4</v>
      </c>
      <c r="C149" s="2" cm="1">
        <f t="array" ref="C149" ca="1">INDEX(Data_DBD!$C:$C,$A149)</f>
        <v>3</v>
      </c>
      <c r="D149" s="2" cm="1">
        <f t="array" ref="D149" ca="1">INDEX(Data_DBD!$E:$E,$A149)</f>
        <v>0</v>
      </c>
      <c r="E149" s="2" t="str" cm="1">
        <f t="array" ref="E149" ca="1">INDEX(Data_DBD!$F:$F,$A149)</f>
        <v>Tinggi</v>
      </c>
      <c r="H149" s="2">
        <v>101</v>
      </c>
      <c r="I149" s="2">
        <v>42</v>
      </c>
      <c r="J149" s="2">
        <v>5</v>
      </c>
      <c r="K149" s="2">
        <v>0</v>
      </c>
      <c r="L149" s="2" t="s">
        <v>97</v>
      </c>
    </row>
    <row r="150" spans="1:12">
      <c r="A150" s="2">
        <f t="shared" ca="1" si="2"/>
        <v>37</v>
      </c>
      <c r="B150" s="2" cm="1">
        <f t="array" ref="B150" ca="1">INDEX(Data_DBD!$B:$B,$A150)</f>
        <v>28</v>
      </c>
      <c r="C150" s="2" cm="1">
        <f t="array" ref="C150" ca="1">INDEX(Data_DBD!$C:$C,$A150)</f>
        <v>4</v>
      </c>
      <c r="D150" s="2" cm="1">
        <f t="array" ref="D150" ca="1">INDEX(Data_DBD!$E:$E,$A150)</f>
        <v>1</v>
      </c>
      <c r="E150" s="2" t="str" cm="1">
        <f t="array" ref="E150" ca="1">INDEX(Data_DBD!$F:$F,$A150)</f>
        <v>Rendah</v>
      </c>
      <c r="H150" s="2">
        <v>7</v>
      </c>
      <c r="I150" s="2">
        <v>12</v>
      </c>
      <c r="J150" s="2">
        <v>1</v>
      </c>
      <c r="K150" s="2">
        <v>1</v>
      </c>
      <c r="L150" s="2" t="s">
        <v>7</v>
      </c>
    </row>
    <row r="151" spans="1:12">
      <c r="A151" s="2">
        <f t="shared" ca="1" si="2"/>
        <v>57</v>
      </c>
      <c r="B151" s="2" cm="1">
        <f t="array" ref="B151" ca="1">INDEX(Data_DBD!$B:$B,$A151)</f>
        <v>2</v>
      </c>
      <c r="C151" s="2" cm="1">
        <f t="array" ref="C151" ca="1">INDEX(Data_DBD!$C:$C,$A151)</f>
        <v>2</v>
      </c>
      <c r="D151" s="2" cm="1">
        <f t="array" ref="D151" ca="1">INDEX(Data_DBD!$E:$E,$A151)</f>
        <v>1</v>
      </c>
      <c r="E151" s="2" t="str" cm="1">
        <f t="array" ref="E151" ca="1">INDEX(Data_DBD!$F:$F,$A151)</f>
        <v>Sedang</v>
      </c>
      <c r="H151" s="2">
        <v>85</v>
      </c>
      <c r="I151" s="2">
        <v>27</v>
      </c>
      <c r="J151" s="2">
        <v>9</v>
      </c>
      <c r="K151" s="2">
        <v>0</v>
      </c>
      <c r="L151" s="2" t="s">
        <v>7</v>
      </c>
    </row>
    <row r="152" spans="1:12">
      <c r="A152" s="2">
        <f t="shared" ca="1" si="2"/>
        <v>70</v>
      </c>
      <c r="B152" s="2" cm="1">
        <f t="array" ref="B152" ca="1">INDEX(Data_DBD!$B:$B,$A152)</f>
        <v>26</v>
      </c>
      <c r="C152" s="2" cm="1">
        <f t="array" ref="C152" ca="1">INDEX(Data_DBD!$C:$C,$A152)</f>
        <v>3</v>
      </c>
      <c r="D152" s="2" cm="1">
        <f t="array" ref="D152" ca="1">INDEX(Data_DBD!$E:$E,$A152)</f>
        <v>1</v>
      </c>
      <c r="E152" s="2" t="str" cm="1">
        <f t="array" ref="E152" ca="1">INDEX(Data_DBD!$F:$F,$A152)</f>
        <v>Sedang</v>
      </c>
      <c r="H152" s="2">
        <v>122</v>
      </c>
      <c r="I152" s="2">
        <v>28</v>
      </c>
      <c r="J152" s="2">
        <v>3</v>
      </c>
      <c r="K152" s="2">
        <v>1</v>
      </c>
      <c r="L152" s="2" t="s">
        <v>97</v>
      </c>
    </row>
    <row r="153" spans="1:12">
      <c r="A153" s="2">
        <f t="shared" ca="1" si="2"/>
        <v>142</v>
      </c>
      <c r="B153" s="2" cm="1">
        <f t="array" ref="B153" ca="1">INDEX(Data_DBD!$B:$B,$A153)</f>
        <v>39</v>
      </c>
      <c r="C153" s="2" cm="1">
        <f t="array" ref="C153" ca="1">INDEX(Data_DBD!$C:$C,$A153)</f>
        <v>2</v>
      </c>
      <c r="D153" s="2" cm="1">
        <f t="array" ref="D153" ca="1">INDEX(Data_DBD!$E:$E,$A153)</f>
        <v>1</v>
      </c>
      <c r="E153" s="2" t="str" cm="1">
        <f t="array" ref="E153" ca="1">INDEX(Data_DBD!$F:$F,$A153)</f>
        <v>Tinggi</v>
      </c>
      <c r="H153" s="2">
        <v>35</v>
      </c>
      <c r="I153" s="2">
        <v>40</v>
      </c>
      <c r="J153" s="2">
        <v>3</v>
      </c>
      <c r="K153" s="2">
        <v>1</v>
      </c>
      <c r="L153" s="2" t="s">
        <v>20</v>
      </c>
    </row>
    <row r="154" spans="1:12">
      <c r="A154" s="2">
        <f t="shared" ca="1" si="2"/>
        <v>118</v>
      </c>
      <c r="B154" s="2" cm="1">
        <f t="array" ref="B154" ca="1">INDEX(Data_DBD!$B:$B,$A154)</f>
        <v>67</v>
      </c>
      <c r="C154" s="2" cm="1">
        <f t="array" ref="C154" ca="1">INDEX(Data_DBD!$C:$C,$A154)</f>
        <v>4</v>
      </c>
      <c r="D154" s="2" cm="1">
        <f t="array" ref="D154" ca="1">INDEX(Data_DBD!$E:$E,$A154)</f>
        <v>1</v>
      </c>
      <c r="E154" s="2" t="str" cm="1">
        <f t="array" ref="E154" ca="1">INDEX(Data_DBD!$F:$F,$A154)</f>
        <v>Tinggi</v>
      </c>
      <c r="H154" s="2">
        <v>161</v>
      </c>
      <c r="I154" s="2">
        <v>12</v>
      </c>
      <c r="J154" s="2">
        <v>3</v>
      </c>
      <c r="K154" s="2">
        <v>1</v>
      </c>
      <c r="L154" s="2" t="s">
        <v>97</v>
      </c>
    </row>
    <row r="155" spans="1:12">
      <c r="A155" s="2">
        <f t="shared" ca="1" si="2"/>
        <v>14</v>
      </c>
      <c r="B155" s="2" cm="1">
        <f t="array" ref="B155" ca="1">INDEX(Data_DBD!$B:$B,$A155)</f>
        <v>49</v>
      </c>
      <c r="C155" s="2" cm="1">
        <f t="array" ref="C155" ca="1">INDEX(Data_DBD!$C:$C,$A155)</f>
        <v>4</v>
      </c>
      <c r="D155" s="2" cm="1">
        <f t="array" ref="D155" ca="1">INDEX(Data_DBD!$E:$E,$A155)</f>
        <v>1</v>
      </c>
      <c r="E155" s="2" t="str" cm="1">
        <f t="array" ref="E155" ca="1">INDEX(Data_DBD!$F:$F,$A155)</f>
        <v>Rendah</v>
      </c>
      <c r="H155" s="2">
        <v>31</v>
      </c>
      <c r="I155" s="2">
        <v>64</v>
      </c>
      <c r="J155" s="2">
        <v>4</v>
      </c>
      <c r="K155" s="2">
        <v>1</v>
      </c>
      <c r="L155" s="2" t="s">
        <v>7</v>
      </c>
    </row>
    <row r="156" spans="1:12">
      <c r="A156" s="2">
        <f t="shared" ca="1" si="2"/>
        <v>65</v>
      </c>
      <c r="B156" s="2" cm="1">
        <f t="array" ref="B156" ca="1">INDEX(Data_DBD!$B:$B,$A156)</f>
        <v>49</v>
      </c>
      <c r="C156" s="2" cm="1">
        <f t="array" ref="C156" ca="1">INDEX(Data_DBD!$C:$C,$A156)</f>
        <v>3</v>
      </c>
      <c r="D156" s="2" cm="1">
        <f t="array" ref="D156" ca="1">INDEX(Data_DBD!$E:$E,$A156)</f>
        <v>0</v>
      </c>
      <c r="E156" s="2" t="str" cm="1">
        <f t="array" ref="E156" ca="1">INDEX(Data_DBD!$F:$F,$A156)</f>
        <v>Sedang</v>
      </c>
      <c r="H156" s="2">
        <v>144</v>
      </c>
      <c r="I156" s="2">
        <v>61</v>
      </c>
      <c r="J156" s="2">
        <v>4</v>
      </c>
      <c r="K156" s="2">
        <v>1</v>
      </c>
      <c r="L156" s="2" t="s">
        <v>97</v>
      </c>
    </row>
    <row r="157" spans="1:12">
      <c r="A157" s="2">
        <f t="shared" ca="1" si="2"/>
        <v>161</v>
      </c>
      <c r="B157" s="2" cm="1">
        <f t="array" ref="B157" ca="1">INDEX(Data_DBD!$B:$B,$A157)</f>
        <v>12</v>
      </c>
      <c r="C157" s="2" cm="1">
        <f t="array" ref="C157" ca="1">INDEX(Data_DBD!$C:$C,$A157)</f>
        <v>3</v>
      </c>
      <c r="D157" s="2" cm="1">
        <f t="array" ref="D157" ca="1">INDEX(Data_DBD!$E:$E,$A157)</f>
        <v>1</v>
      </c>
      <c r="E157" s="2" t="str" cm="1">
        <f t="array" ref="E157" ca="1">INDEX(Data_DBD!$F:$F,$A157)</f>
        <v>Tinggi</v>
      </c>
      <c r="H157" s="2">
        <v>77</v>
      </c>
      <c r="I157" s="2">
        <v>16</v>
      </c>
      <c r="J157" s="2">
        <v>4</v>
      </c>
      <c r="K157" s="2">
        <v>1</v>
      </c>
      <c r="L157" s="2" t="s">
        <v>7</v>
      </c>
    </row>
    <row r="158" spans="1:12">
      <c r="A158" s="2">
        <f t="shared" ca="1" si="2"/>
        <v>67</v>
      </c>
      <c r="B158" s="2" cm="1">
        <f t="array" ref="B158" ca="1">INDEX(Data_DBD!$B:$B,$A158)</f>
        <v>21</v>
      </c>
      <c r="C158" s="2" cm="1">
        <f t="array" ref="C158" ca="1">INDEX(Data_DBD!$C:$C,$A158)</f>
        <v>3</v>
      </c>
      <c r="D158" s="2" cm="1">
        <f t="array" ref="D158" ca="1">INDEX(Data_DBD!$E:$E,$A158)</f>
        <v>1</v>
      </c>
      <c r="E158" s="2" t="str" cm="1">
        <f t="array" ref="E158" ca="1">INDEX(Data_DBD!$F:$F,$A158)</f>
        <v>Sedang</v>
      </c>
      <c r="H158" s="2">
        <v>79</v>
      </c>
      <c r="I158" s="2">
        <v>29</v>
      </c>
      <c r="J158" s="2">
        <v>3</v>
      </c>
      <c r="K158" s="2">
        <v>0</v>
      </c>
      <c r="L158" s="2" t="s">
        <v>7</v>
      </c>
    </row>
    <row r="159" spans="1:12">
      <c r="A159" s="2">
        <f t="shared" ca="1" si="2"/>
        <v>71</v>
      </c>
      <c r="B159" s="2" cm="1">
        <f t="array" ref="B159" ca="1">INDEX(Data_DBD!$B:$B,$A159)</f>
        <v>84</v>
      </c>
      <c r="C159" s="2" cm="1">
        <f t="array" ref="C159" ca="1">INDEX(Data_DBD!$C:$C,$A159)</f>
        <v>3</v>
      </c>
      <c r="D159" s="2" cm="1">
        <f t="array" ref="D159" ca="1">INDEX(Data_DBD!$E:$E,$A159)</f>
        <v>0</v>
      </c>
      <c r="E159" s="2" t="str" cm="1">
        <f t="array" ref="E159" ca="1">INDEX(Data_DBD!$F:$F,$A159)</f>
        <v>Sedang</v>
      </c>
      <c r="H159" s="2">
        <v>103</v>
      </c>
      <c r="I159" s="2">
        <v>22</v>
      </c>
      <c r="J159" s="2">
        <v>5</v>
      </c>
      <c r="K159" s="2">
        <v>0</v>
      </c>
      <c r="L159" s="2" t="s">
        <v>97</v>
      </c>
    </row>
    <row r="160" spans="1:12">
      <c r="A160" s="2">
        <f t="shared" ca="1" si="2"/>
        <v>45</v>
      </c>
      <c r="B160" s="2" cm="1">
        <f t="array" ref="B160" ca="1">INDEX(Data_DBD!$B:$B,$A160)</f>
        <v>75</v>
      </c>
      <c r="C160" s="2" cm="1">
        <f t="array" ref="C160" ca="1">INDEX(Data_DBD!$C:$C,$A160)</f>
        <v>3</v>
      </c>
      <c r="D160" s="2" cm="1">
        <f t="array" ref="D160" ca="1">INDEX(Data_DBD!$E:$E,$A160)</f>
        <v>1</v>
      </c>
      <c r="E160" s="2" t="str" cm="1">
        <f t="array" ref="E160" ca="1">INDEX(Data_DBD!$F:$F,$A160)</f>
        <v>Sedang</v>
      </c>
      <c r="H160" s="2">
        <v>94</v>
      </c>
      <c r="I160" s="2">
        <v>12</v>
      </c>
      <c r="J160" s="2">
        <v>4</v>
      </c>
      <c r="K160" s="2">
        <v>0</v>
      </c>
      <c r="L160" s="2" t="s">
        <v>97</v>
      </c>
    </row>
    <row r="161" spans="1:22">
      <c r="A161" s="2">
        <f t="shared" ca="1" si="2"/>
        <v>66</v>
      </c>
      <c r="B161" s="2" cm="1">
        <f t="array" ref="B161" ca="1">INDEX(Data_DBD!$B:$B,$A161)</f>
        <v>21</v>
      </c>
      <c r="C161" s="2" cm="1">
        <f t="array" ref="C161" ca="1">INDEX(Data_DBD!$C:$C,$A161)</f>
        <v>5</v>
      </c>
      <c r="D161" s="2" cm="1">
        <f t="array" ref="D161" ca="1">INDEX(Data_DBD!$E:$E,$A161)</f>
        <v>1</v>
      </c>
      <c r="E161" s="2" t="str" cm="1">
        <f t="array" ref="E161" ca="1">INDEX(Data_DBD!$F:$F,$A161)</f>
        <v>Sedang</v>
      </c>
      <c r="H161" s="2">
        <v>81</v>
      </c>
      <c r="I161" s="2">
        <v>23</v>
      </c>
      <c r="J161" s="2">
        <v>5</v>
      </c>
      <c r="K161" s="2">
        <v>1</v>
      </c>
      <c r="L161" s="2" t="s">
        <v>7</v>
      </c>
    </row>
    <row r="162" spans="1:22">
      <c r="A162" s="2">
        <f t="shared" ca="1" si="2"/>
        <v>33</v>
      </c>
      <c r="B162" s="2" cm="1">
        <f t="array" ref="B162" ca="1">INDEX(Data_DBD!$B:$B,$A162)</f>
        <v>19</v>
      </c>
      <c r="C162" s="2" cm="1">
        <f t="array" ref="C162" ca="1">INDEX(Data_DBD!$C:$C,$A162)</f>
        <v>4</v>
      </c>
      <c r="D162" s="2" cm="1">
        <f t="array" ref="D162" ca="1">INDEX(Data_DBD!$E:$E,$A162)</f>
        <v>1</v>
      </c>
      <c r="E162" s="2" t="str" cm="1">
        <f t="array" ref="E162" ca="1">INDEX(Data_DBD!$F:$F,$A162)</f>
        <v>Sedang</v>
      </c>
      <c r="H162" s="2">
        <v>17</v>
      </c>
      <c r="I162" s="2">
        <v>2</v>
      </c>
      <c r="J162" s="2">
        <v>3</v>
      </c>
      <c r="K162" s="2">
        <v>0</v>
      </c>
      <c r="L162" s="2" t="s">
        <v>20</v>
      </c>
    </row>
    <row r="163" spans="1:22">
      <c r="A163" s="2">
        <f t="shared" ca="1" si="2"/>
        <v>131</v>
      </c>
      <c r="B163" s="2" cm="1">
        <f t="array" ref="B163" ca="1">INDEX(Data_DBD!$B:$B,$A163)</f>
        <v>10</v>
      </c>
      <c r="C163" s="2" cm="1">
        <f t="array" ref="C163" ca="1">INDEX(Data_DBD!$C:$C,$A163)</f>
        <v>2</v>
      </c>
      <c r="D163" s="2" cm="1">
        <f t="array" ref="D163" ca="1">INDEX(Data_DBD!$E:$E,$A163)</f>
        <v>0</v>
      </c>
      <c r="E163" s="2" t="str" cm="1">
        <f t="array" ref="E163" ca="1">INDEX(Data_DBD!$F:$F,$A163)</f>
        <v>Tinggi</v>
      </c>
      <c r="H163" s="2">
        <v>2</v>
      </c>
      <c r="I163" s="2">
        <v>34</v>
      </c>
      <c r="J163" s="2">
        <v>3</v>
      </c>
      <c r="K163" s="2">
        <v>0</v>
      </c>
      <c r="L163" s="2" t="s">
        <v>7</v>
      </c>
    </row>
    <row r="164" spans="1:22">
      <c r="A164" s="2">
        <f t="shared" ca="1" si="2"/>
        <v>108</v>
      </c>
      <c r="B164" s="2" cm="1">
        <f t="array" ref="B164" ca="1">INDEX(Data_DBD!$B:$B,$A164)</f>
        <v>69</v>
      </c>
      <c r="C164" s="2" cm="1">
        <f t="array" ref="C164" ca="1">INDEX(Data_DBD!$C:$C,$A164)</f>
        <v>7</v>
      </c>
      <c r="D164" s="2" cm="1">
        <f t="array" ref="D164" ca="1">INDEX(Data_DBD!$E:$E,$A164)</f>
        <v>1</v>
      </c>
      <c r="E164" s="2" t="str" cm="1">
        <f t="array" ref="E164" ca="1">INDEX(Data_DBD!$F:$F,$A164)</f>
        <v>Tinggi</v>
      </c>
      <c r="H164" s="2">
        <v>138</v>
      </c>
      <c r="I164" s="2">
        <v>13</v>
      </c>
      <c r="J164" s="2">
        <v>3</v>
      </c>
      <c r="K164" s="2">
        <v>1</v>
      </c>
      <c r="L164" s="2" t="s">
        <v>97</v>
      </c>
    </row>
    <row r="165" spans="1:22">
      <c r="I165">
        <f>AVERAGE(I2:I164)</f>
        <v>31.484662576687118</v>
      </c>
      <c r="J165">
        <f>AVERAGE(J2:J164)</f>
        <v>3.5950920245398801</v>
      </c>
      <c r="K165">
        <f>AVERAGE(K2:K164)</f>
        <v>0.52147239263803702</v>
      </c>
    </row>
    <row r="167" spans="1:22">
      <c r="B167">
        <v>2</v>
      </c>
    </row>
    <row r="168" spans="1:22">
      <c r="E168" s="5" t="s">
        <v>175</v>
      </c>
      <c r="J168" s="5" t="s">
        <v>176</v>
      </c>
      <c r="O168" s="5"/>
      <c r="T168" s="5" t="s">
        <v>178</v>
      </c>
    </row>
    <row r="169" spans="1:22">
      <c r="E169" s="2" t="s">
        <v>1</v>
      </c>
      <c r="F169" s="2">
        <f>AVERAGEIF($I$2:$I$164,"&lt;="&amp;$I$165)</f>
        <v>16.616161616161616</v>
      </c>
      <c r="G169" s="2">
        <f>AVERAGEIF($I$2:$I$164,"&gt;"&amp;$I$165)</f>
        <v>54.484375</v>
      </c>
      <c r="J169" s="2" t="s">
        <v>179</v>
      </c>
      <c r="K169" s="2">
        <f>AVERAGEIF($J$2:$J$164,"&lt;="&amp;$J$165)</f>
        <v>2.6136363636363602</v>
      </c>
      <c r="L169" s="2">
        <f>AVERAGEIF($J$2:$J$164,"&gt;"&amp;$J$165)</f>
        <v>4.7466666666666697</v>
      </c>
      <c r="O169" s="2"/>
      <c r="P169" s="2"/>
      <c r="Q169" s="2"/>
      <c r="T169" s="2" t="s">
        <v>181</v>
      </c>
      <c r="U169" s="2">
        <f>AVERAGEIF($K$2:$K$164,"&lt;="&amp;$K$165)</f>
        <v>0</v>
      </c>
      <c r="V169" s="2">
        <f>AVERAGEIF($K$2:$K$164,"&gt;"&amp;$K$165)</f>
        <v>1</v>
      </c>
    </row>
    <row r="170" spans="1:22">
      <c r="E170" s="2" t="str" cm="1">
        <f t="array" ref="E170:E332">IF($I$2:$I$164&lt;$F$169,"kiri",IF($I$2:$I$164&lt;$G$169,"tengah","kanan"))</f>
        <v>kiri</v>
      </c>
      <c r="F170" s="2" t="s">
        <v>193</v>
      </c>
      <c r="G170" s="2"/>
      <c r="J170" s="2" t="str" cm="1">
        <f t="array" ref="J170:J332">IF($J$2:$J$164&lt;$K$169,"kiri",IF($J$2:$J$164&lt;$L$169,"tengah","kanan"))</f>
        <v>tengah</v>
      </c>
      <c r="K170" s="2" t="s">
        <v>194</v>
      </c>
      <c r="L170" s="2"/>
      <c r="O170" s="2"/>
      <c r="P170" s="2"/>
      <c r="Q170" s="2"/>
      <c r="T170" s="2" t="str" cm="1">
        <f t="array" ref="T170:T332">IF($K$2:$K$164&lt;$U$169,"kiri",IF($K$2:$K$164&lt;$V$169,"tengah","kanan"))</f>
        <v>kanan</v>
      </c>
      <c r="U170" s="2" t="s">
        <v>185</v>
      </c>
      <c r="V170" s="2"/>
    </row>
    <row r="171" spans="1:22">
      <c r="E171" s="2" t="str">
        <v>tengah</v>
      </c>
      <c r="F171" s="2">
        <f>COUNTIFS($E$170:$E$332,"Kanan",$L$2:$L$164,"Tinggi")</f>
        <v>14</v>
      </c>
      <c r="G171" s="2">
        <f>F171/30</f>
        <v>0.46666666666666667</v>
      </c>
      <c r="J171" s="2" t="str">
        <v>tengah</v>
      </c>
      <c r="K171" s="2">
        <f>COUNTIFS($J$170:$J$332,"Kanan",$L$2:$L$164,"Tinggi")</f>
        <v>12</v>
      </c>
      <c r="L171" s="2">
        <f>K171/27</f>
        <v>0.44444444444444398</v>
      </c>
      <c r="O171" s="2"/>
      <c r="P171" s="2"/>
      <c r="Q171" s="2"/>
      <c r="T171" s="2" t="str">
        <v>tengah</v>
      </c>
      <c r="U171" s="2">
        <f>COUNTIFS($T$170:$T$332,"Kanan",$L$2:$L$164,"Tinggi")</f>
        <v>40</v>
      </c>
      <c r="V171" s="2">
        <f>U171/85</f>
        <v>0.47058823529411797</v>
      </c>
    </row>
    <row r="172" spans="1:22">
      <c r="E172" s="2" t="str">
        <v>kiri</v>
      </c>
      <c r="F172" s="2">
        <f>COUNTIFS($E$170:$E$332,"Kanan",$L$2:$L$164,"Sedang")</f>
        <v>16</v>
      </c>
      <c r="G172" s="2">
        <f>F172/30</f>
        <v>0.53333333333333333</v>
      </c>
      <c r="J172" s="2" t="str">
        <v>kiri</v>
      </c>
      <c r="K172" s="2">
        <f>COUNTIFS($J$170:$J$332,"Kanan",$L$2:$L$164,"Sedang")</f>
        <v>14</v>
      </c>
      <c r="L172" s="2">
        <f>K172/27</f>
        <v>0.51851851851851805</v>
      </c>
      <c r="O172" s="2"/>
      <c r="P172" s="2"/>
      <c r="Q172" s="2"/>
      <c r="T172" s="2" t="str">
        <v>kanan</v>
      </c>
      <c r="U172" s="2">
        <f>COUNTIFS($T$170:$T$332,"Kanan",$L$2:$L$164,"Sedang")</f>
        <v>36</v>
      </c>
      <c r="V172" s="2">
        <f>U172/85</f>
        <v>0.42352941176470599</v>
      </c>
    </row>
    <row r="173" spans="1:22">
      <c r="E173" s="2" t="str">
        <v>kanan</v>
      </c>
      <c r="F173" s="2">
        <f>COUNTIFS($E$170:$E$332,"Kanan",$L$2:$L$164,"Rendah")</f>
        <v>0</v>
      </c>
      <c r="G173" s="2">
        <f>F173/30</f>
        <v>0</v>
      </c>
      <c r="J173" s="2" t="str">
        <v>kiri</v>
      </c>
      <c r="K173" s="2">
        <f>COUNTIFS($J$170:$J$332,"Kanan",$L$2:$L$164,"Rendah")</f>
        <v>1</v>
      </c>
      <c r="L173" s="2">
        <f>K173/27</f>
        <v>3.7037037037037E-2</v>
      </c>
      <c r="O173" s="2"/>
      <c r="P173" s="2"/>
      <c r="Q173" s="2"/>
      <c r="T173" s="2" t="str">
        <v>tengah</v>
      </c>
      <c r="U173" s="2">
        <f>COUNTIFS($T$170:$T$332,"Kanan",$L$2:$L$164,"Rendah")</f>
        <v>9</v>
      </c>
      <c r="V173" s="2">
        <f>U173/85</f>
        <v>0.105882352941176</v>
      </c>
    </row>
    <row r="174" spans="1:22">
      <c r="E174" s="2" t="str">
        <v>tengah</v>
      </c>
      <c r="F174" s="2" t="s">
        <v>186</v>
      </c>
      <c r="G174" s="2">
        <f>-(IFERROR(G171*LOG(G171,2),0)+IFERROR(G172*LOG(G172,2),0)+IFERROR(G173*LOG(G173,2),0))</f>
        <v>0.99679163198163656</v>
      </c>
      <c r="J174" s="2" t="str">
        <v>kanan</v>
      </c>
      <c r="K174" s="2" t="s">
        <v>186</v>
      </c>
      <c r="L174" s="2">
        <f>-(IFERROR(L171*LOG(L171,2),0)+IFERROR(L172*LOG(L172,2),0)+IFERROR(L173*LOG(L173,2),0))</f>
        <v>1.1873868015167901</v>
      </c>
      <c r="O174" s="2"/>
      <c r="P174" s="2"/>
      <c r="Q174" s="2"/>
      <c r="T174" s="2" t="str">
        <v>tengah</v>
      </c>
      <c r="U174" s="2" t="s">
        <v>186</v>
      </c>
      <c r="V174" s="2">
        <f>-(IFERROR(V171*LOG(V171,2),0)+IFERROR(V172*LOG(V172,2),0)+IFERROR(V173*LOG(V173,2),0))</f>
        <v>1.37969977307419</v>
      </c>
    </row>
    <row r="175" spans="1:22">
      <c r="E175" s="2" t="str">
        <v>kiri</v>
      </c>
      <c r="F175" s="2"/>
      <c r="G175" s="2">
        <f>SUM(F171:F173)/163</f>
        <v>0.18404907975460122</v>
      </c>
      <c r="J175" s="2" t="str">
        <v>tengah</v>
      </c>
      <c r="K175" s="2"/>
      <c r="L175" s="2">
        <f>SUM(K171:K173)/163</f>
        <v>0.16564417177914101</v>
      </c>
      <c r="O175" s="2"/>
      <c r="P175" s="2"/>
      <c r="Q175" s="2"/>
      <c r="T175" s="2" t="str">
        <v>kanan</v>
      </c>
      <c r="U175" s="2"/>
      <c r="V175" s="2">
        <f>SUM(U171:U173)/163</f>
        <v>0.52147239263803702</v>
      </c>
    </row>
    <row r="176" spans="1:22">
      <c r="E176" s="2" t="str">
        <v>tengah</v>
      </c>
      <c r="F176" s="2"/>
      <c r="G176" s="6">
        <f>G174*G175</f>
        <v>0.18345858257330733</v>
      </c>
      <c r="J176" s="2" t="str">
        <v>tengah</v>
      </c>
      <c r="K176" s="2"/>
      <c r="L176" s="6">
        <f>L174*L175</f>
        <v>0.196683703318732</v>
      </c>
      <c r="O176" s="2"/>
      <c r="P176" s="2"/>
      <c r="Q176" s="6"/>
      <c r="T176" s="2" t="str">
        <v>tengah</v>
      </c>
      <c r="U176" s="2"/>
      <c r="V176" s="6">
        <f>V174*V175</f>
        <v>0.719475341787154</v>
      </c>
    </row>
    <row r="177" spans="5:22">
      <c r="E177" s="2" t="str">
        <v>kanan</v>
      </c>
      <c r="F177" s="2"/>
      <c r="G177" s="2"/>
      <c r="J177" s="2" t="str">
        <v>kanan</v>
      </c>
      <c r="K177" s="2"/>
      <c r="L177" s="2"/>
      <c r="O177" s="2"/>
      <c r="P177" s="2"/>
      <c r="Q177" s="2"/>
      <c r="T177" s="2" t="str">
        <v>kanan</v>
      </c>
      <c r="U177" s="2"/>
      <c r="V177" s="2"/>
    </row>
    <row r="178" spans="5:22">
      <c r="E178" s="2" t="str">
        <v>kiri</v>
      </c>
      <c r="F178" s="2"/>
      <c r="G178" s="2"/>
      <c r="J178" s="2" t="str">
        <v>kanan</v>
      </c>
      <c r="K178" s="2"/>
      <c r="L178" s="2"/>
      <c r="O178" s="2"/>
      <c r="P178" s="2"/>
      <c r="Q178" s="2"/>
      <c r="T178" s="2" t="str">
        <v>kanan</v>
      </c>
      <c r="U178" s="2"/>
      <c r="V178" s="2"/>
    </row>
    <row r="179" spans="5:22">
      <c r="E179" s="2" t="str">
        <v>kanan</v>
      </c>
      <c r="F179" s="2" t="s">
        <v>195</v>
      </c>
      <c r="G179" s="2"/>
      <c r="J179" s="2" t="str">
        <v>kanan</v>
      </c>
      <c r="K179" s="2" t="s">
        <v>196</v>
      </c>
      <c r="L179" s="2"/>
      <c r="O179" s="2"/>
      <c r="P179" s="2"/>
      <c r="Q179" s="2"/>
      <c r="T179" s="2" t="str">
        <v>kanan</v>
      </c>
      <c r="U179" s="2" t="s">
        <v>190</v>
      </c>
      <c r="V179" s="2"/>
    </row>
    <row r="180" spans="5:22">
      <c r="E180" s="2" t="str">
        <v>tengah</v>
      </c>
      <c r="F180" s="2">
        <f>COUNTIFS($E$170:$E$332,"Kiri",$L$2:$L$164,"Tinggi")</f>
        <v>21</v>
      </c>
      <c r="G180" s="2">
        <f>F180/48</f>
        <v>0.4375</v>
      </c>
      <c r="J180" s="2" t="str">
        <v>tengah</v>
      </c>
      <c r="K180" s="2">
        <f>COUNTIFS($J$170:$J$332,"Kiri",$L$2:$L$164,"Tinggi")</f>
        <v>13</v>
      </c>
      <c r="L180" s="2">
        <f>K180/27</f>
        <v>0.48148148148148101</v>
      </c>
      <c r="O180" s="2"/>
      <c r="P180" s="2"/>
      <c r="Q180" s="2"/>
      <c r="T180" s="2" t="str">
        <v>kanan</v>
      </c>
      <c r="U180" s="2">
        <f>COUNTIFS($T$170:$T$332,"Kiri",$L$2:$L$164,"Tinggi")</f>
        <v>0</v>
      </c>
      <c r="V180" s="2">
        <f>U180/57</f>
        <v>0</v>
      </c>
    </row>
    <row r="181" spans="5:22">
      <c r="E181" s="2" t="str">
        <v>tengah</v>
      </c>
      <c r="F181" s="2">
        <f>COUNTIFS($E$170:$E$332,"Kiri",$L$2:$L$164,"Sedang")</f>
        <v>23</v>
      </c>
      <c r="G181" s="2">
        <f>F181/48</f>
        <v>0.47916666666666669</v>
      </c>
      <c r="J181" s="2" t="str">
        <v>kanan</v>
      </c>
      <c r="K181" s="2">
        <f>COUNTIFS($J$170:$J$332,"Kiri",$L$2:$L$164,"Sedang")</f>
        <v>12</v>
      </c>
      <c r="L181" s="2">
        <f>K181/27</f>
        <v>0.44444444444444398</v>
      </c>
      <c r="O181" s="2"/>
      <c r="P181" s="2"/>
      <c r="Q181" s="2"/>
      <c r="T181" s="2" t="str">
        <v>tengah</v>
      </c>
      <c r="U181" s="2">
        <f>COUNTIFS($T$170:$T$332,"Kiri",$L$2:$L$164,"Sedang")</f>
        <v>0</v>
      </c>
      <c r="V181" s="2">
        <f>U181/57</f>
        <v>0</v>
      </c>
    </row>
    <row r="182" spans="5:22">
      <c r="E182" s="2" t="str">
        <v>kiri</v>
      </c>
      <c r="F182" s="2">
        <f>COUNTIFS($E$170:$E$332,"Kiri",$L$2:$L$164,"Rendah")</f>
        <v>4</v>
      </c>
      <c r="G182" s="2">
        <f>F182/48</f>
        <v>8.3333333333333329E-2</v>
      </c>
      <c r="J182" s="2" t="str">
        <v>tengah</v>
      </c>
      <c r="K182" s="2">
        <f>COUNTIFS($J$170:$J$332,"Kiri",$L$2:$L$164,"Rendah")</f>
        <v>2</v>
      </c>
      <c r="L182" s="2">
        <f>K182/27</f>
        <v>7.4074074074074098E-2</v>
      </c>
      <c r="O182" s="2"/>
      <c r="P182" s="2"/>
      <c r="Q182" s="2"/>
      <c r="T182" s="2" t="str">
        <v>tengah</v>
      </c>
      <c r="U182" s="2">
        <f>COUNTIFS($T$170:$T$332,"Kiri",$L$2:$L$164,"Rendah")</f>
        <v>0</v>
      </c>
      <c r="V182" s="2">
        <f>U182/57</f>
        <v>0</v>
      </c>
    </row>
    <row r="183" spans="5:22">
      <c r="E183" s="2" t="str">
        <v>tengah</v>
      </c>
      <c r="F183" s="2" t="s">
        <v>186</v>
      </c>
      <c r="G183" s="2">
        <f>-(IFERROR(G180*LOG(G180,2),0)+IFERROR(G181*LOG(G181,2),0)+IFERROR(G182*LOG(G182,2),0))</f>
        <v>1.3291168576447965</v>
      </c>
      <c r="J183" s="2" t="str">
        <v>kiri</v>
      </c>
      <c r="K183" s="2" t="s">
        <v>186</v>
      </c>
      <c r="L183" s="2">
        <f>-(IFERROR(L180*LOG(L180,2),0)+IFERROR(L181*LOG(L181,2),0)+IFERROR(L182*LOG(L182,2),0))</f>
        <v>1.3058035634787299</v>
      </c>
      <c r="O183" s="2"/>
      <c r="P183" s="2"/>
      <c r="Q183" s="2"/>
      <c r="T183" s="2" t="str">
        <v>tengah</v>
      </c>
      <c r="U183" s="2" t="s">
        <v>186</v>
      </c>
      <c r="V183" s="2">
        <f>-(IFERROR(V180*LOG(V180,2),0)+IFERROR(V181*LOG(V181,2),0)+IFERROR(V182*LOG(V182,2),0))</f>
        <v>0</v>
      </c>
    </row>
    <row r="184" spans="5:22">
      <c r="E184" s="2" t="str">
        <v>tengah</v>
      </c>
      <c r="F184" s="2"/>
      <c r="G184" s="2">
        <f>SUM(F180:F182)/163</f>
        <v>0.29447852760736198</v>
      </c>
      <c r="J184" s="2" t="str">
        <v>kiri</v>
      </c>
      <c r="K184" s="2"/>
      <c r="L184" s="2">
        <f>SUM(K180:K182)/163</f>
        <v>0.16564417177914101</v>
      </c>
      <c r="O184" s="2"/>
      <c r="P184" s="2"/>
      <c r="Q184" s="2"/>
      <c r="T184" s="2" t="str">
        <v>kanan</v>
      </c>
      <c r="U184" s="2"/>
      <c r="V184" s="2">
        <f>SUM(U180:U182)/163</f>
        <v>0</v>
      </c>
    </row>
    <row r="185" spans="5:22">
      <c r="E185" s="2" t="str">
        <v>tengah</v>
      </c>
      <c r="F185" s="2"/>
      <c r="G185" s="6">
        <f>G183*G184</f>
        <v>0.39139637525736343</v>
      </c>
      <c r="J185" s="2" t="str">
        <v>kiri</v>
      </c>
      <c r="K185" s="2"/>
      <c r="L185" s="6">
        <f>L183*L184</f>
        <v>0.21629874977868499</v>
      </c>
      <c r="O185" s="2"/>
      <c r="P185" s="2"/>
      <c r="Q185" s="6"/>
      <c r="T185" s="2" t="str">
        <v>tengah</v>
      </c>
      <c r="U185" s="2"/>
      <c r="V185" s="6">
        <f>V183*V184</f>
        <v>0</v>
      </c>
    </row>
    <row r="186" spans="5:22">
      <c r="E186" s="2" t="str">
        <v>kiri</v>
      </c>
      <c r="F186" s="2"/>
      <c r="G186" s="2"/>
      <c r="J186" s="2" t="str">
        <v>kiri</v>
      </c>
      <c r="K186" s="2"/>
      <c r="L186" s="2"/>
      <c r="O186" s="2"/>
      <c r="P186" s="2"/>
      <c r="Q186" s="2"/>
      <c r="T186" s="2" t="str">
        <v>tengah</v>
      </c>
      <c r="U186" s="2"/>
      <c r="V186" s="2"/>
    </row>
    <row r="187" spans="5:22">
      <c r="E187" s="2" t="str">
        <v>kanan</v>
      </c>
      <c r="F187" s="2"/>
      <c r="G187" s="2"/>
      <c r="J187" s="2" t="str">
        <v>tengah</v>
      </c>
      <c r="K187" s="2"/>
      <c r="L187" s="2"/>
      <c r="O187" s="2"/>
      <c r="P187" s="2"/>
      <c r="Q187" s="2"/>
      <c r="T187" s="2" t="str">
        <v>kanan</v>
      </c>
      <c r="U187" s="2"/>
      <c r="V187" s="2"/>
    </row>
    <row r="188" spans="5:22">
      <c r="E188" s="2" t="str">
        <v>tengah</v>
      </c>
      <c r="F188" s="2" t="s">
        <v>191</v>
      </c>
      <c r="G188" s="2"/>
      <c r="J188" s="2" t="str">
        <v>tengah</v>
      </c>
      <c r="K188" s="2" t="s">
        <v>191</v>
      </c>
      <c r="L188" s="2"/>
      <c r="O188" s="2"/>
      <c r="P188" s="2"/>
      <c r="Q188" s="2"/>
      <c r="T188" s="2" t="str">
        <v>kanan</v>
      </c>
      <c r="U188" s="2" t="s">
        <v>191</v>
      </c>
      <c r="V188" s="2"/>
    </row>
    <row r="189" spans="5:22">
      <c r="E189" s="2" t="str">
        <v>kiri</v>
      </c>
      <c r="F189" s="2">
        <f>COUNTIFS($E$170:$E$332,"Tengah",$L$2:$L$164,"Tinggi")</f>
        <v>30</v>
      </c>
      <c r="G189" s="2">
        <f>F189/85</f>
        <v>0.35294117647058826</v>
      </c>
      <c r="J189" s="2" t="str">
        <v>tengah</v>
      </c>
      <c r="K189" s="2">
        <f>COUNTIFS($J$170:$J$332,"Tengah",$L$2:$L$164,"Tinggi")</f>
        <v>40</v>
      </c>
      <c r="L189" s="2">
        <f>K189/109</f>
        <v>0.36697247706421998</v>
      </c>
      <c r="O189" s="2"/>
      <c r="P189" s="2"/>
      <c r="Q189" s="2"/>
      <c r="T189" s="2" t="str">
        <v>kanan</v>
      </c>
      <c r="U189" s="2">
        <f>COUNTIFS($T$170:$T$332,"Tengah",$L$2:$L$164,"Tinggi")</f>
        <v>25</v>
      </c>
      <c r="V189" s="2">
        <f>U189/78</f>
        <v>0.32051282051282098</v>
      </c>
    </row>
    <row r="190" spans="5:22">
      <c r="E190" s="2" t="str">
        <v>kiri</v>
      </c>
      <c r="F190" s="2">
        <f>COUNTIFS($E$170:$E$332,"Tengah",$L$2:$L$164,"Sedang")</f>
        <v>44</v>
      </c>
      <c r="G190" s="2">
        <f>F190/85</f>
        <v>0.51764705882352946</v>
      </c>
      <c r="J190" s="2" t="str">
        <v>tengah</v>
      </c>
      <c r="K190" s="2">
        <f>COUNTIFS($J$170:$J$332,"Tengah",$L$2:$L$164,"Sedang")</f>
        <v>57</v>
      </c>
      <c r="L190" s="2">
        <f>K190/109</f>
        <v>0.52293577981651396</v>
      </c>
      <c r="O190" s="2"/>
      <c r="P190" s="2"/>
      <c r="Q190" s="2"/>
      <c r="T190" s="2" t="str">
        <v>kanan</v>
      </c>
      <c r="U190" s="2">
        <f>COUNTIFS($T$170:$T$332,"Tengah",$L$2:$L$164,"Sedang")</f>
        <v>47</v>
      </c>
      <c r="V190" s="2">
        <f>U190/78</f>
        <v>0.60256410256410298</v>
      </c>
    </row>
    <row r="191" spans="5:22">
      <c r="E191" s="2" t="str">
        <v>kanan</v>
      </c>
      <c r="F191" s="2">
        <f>COUNTIFS($E$170:$E$332,"Tengah",$L$2:$L$164,"Rendah")</f>
        <v>11</v>
      </c>
      <c r="G191" s="2">
        <f>F191/85</f>
        <v>0.12941176470588237</v>
      </c>
      <c r="J191" s="2" t="str">
        <v>tengah</v>
      </c>
      <c r="K191" s="2">
        <f>COUNTIFS($J$170:$J$332,"Tengah",$L$2:$L$164,"Rendah")</f>
        <v>12</v>
      </c>
      <c r="L191" s="2">
        <f>K191/109</f>
        <v>0.11009174311926601</v>
      </c>
      <c r="O191" s="2"/>
      <c r="P191" s="2"/>
      <c r="Q191" s="2"/>
      <c r="T191" s="2" t="str">
        <v>tengah</v>
      </c>
      <c r="U191" s="2">
        <f>COUNTIFS($T$170:$T$332,"Tengah",$L$2:$L$164,"Rendah")</f>
        <v>6</v>
      </c>
      <c r="V191" s="2">
        <f>U191/78</f>
        <v>7.69230769230769E-2</v>
      </c>
    </row>
    <row r="192" spans="5:22">
      <c r="E192" s="2" t="str">
        <v>kiri</v>
      </c>
      <c r="F192" s="2" t="s">
        <v>186</v>
      </c>
      <c r="G192" s="2">
        <f>-(IFERROR(G189*LOG(G189,2),0)+IFERROR(G190*LOG(G190,2),0)+IFERROR(G191*LOG(G191,2),0))</f>
        <v>1.4037973256282088</v>
      </c>
      <c r="J192" s="2" t="str">
        <v>tengah</v>
      </c>
      <c r="K192" s="2" t="s">
        <v>186</v>
      </c>
      <c r="L192" s="2">
        <f>-(IFERROR(L189*LOG(L189,2),0)+IFERROR(L190*LOG(L190,2),0)+IFERROR(L191*LOG(L191,2),0))</f>
        <v>1.3702815301756499</v>
      </c>
      <c r="O192" s="2"/>
      <c r="P192" s="2"/>
      <c r="Q192" s="2"/>
      <c r="T192" s="2" t="str">
        <v>tengah</v>
      </c>
      <c r="U192" s="2" t="s">
        <v>186</v>
      </c>
      <c r="V192" s="2">
        <f>-(IFERROR(V189*LOG(V189,2),0)+IFERROR(V190*LOG(V190,2),0)+IFERROR(V191*LOG(V191,2),0))</f>
        <v>1.25114765761168</v>
      </c>
    </row>
    <row r="193" spans="5:22">
      <c r="E193" s="2" t="str">
        <v>tengah</v>
      </c>
      <c r="F193" s="2"/>
      <c r="G193" s="2">
        <f>SUM(F189:F191)/163</f>
        <v>0.5214723926380368</v>
      </c>
      <c r="J193" s="2" t="str">
        <v>tengah</v>
      </c>
      <c r="K193" s="2"/>
      <c r="L193" s="2">
        <f>SUM(K189:K191)/163</f>
        <v>0.66871165644171804</v>
      </c>
      <c r="O193" s="2"/>
      <c r="P193" s="2"/>
      <c r="Q193" s="2"/>
      <c r="T193" s="2" t="str">
        <v>kanan</v>
      </c>
      <c r="U193" s="2"/>
      <c r="V193" s="2">
        <f>SUM(U189:U191)/163</f>
        <v>0.47852760736196298</v>
      </c>
    </row>
    <row r="194" spans="5:22">
      <c r="E194" s="2" t="str">
        <v>kanan</v>
      </c>
      <c r="F194" s="2"/>
      <c r="G194" s="6">
        <f>G192*G193</f>
        <v>0.73204155017421935</v>
      </c>
      <c r="J194" s="2" t="str">
        <v>tengah</v>
      </c>
      <c r="K194" s="2"/>
      <c r="L194" s="6">
        <f>L192*L193</f>
        <v>0.91632323183525399</v>
      </c>
      <c r="O194" s="2"/>
      <c r="P194" s="2"/>
      <c r="Q194" s="6"/>
      <c r="T194" s="2" t="str">
        <v>tengah</v>
      </c>
      <c r="U194" s="2"/>
      <c r="V194" s="6">
        <f>V192*V193</f>
        <v>0.59870869505344404</v>
      </c>
    </row>
    <row r="195" spans="5:22">
      <c r="E195" s="2" t="str">
        <v>tengah</v>
      </c>
      <c r="F195" s="2"/>
      <c r="G195" s="2"/>
      <c r="J195" s="2" t="str">
        <v>kiri</v>
      </c>
      <c r="K195" s="2"/>
      <c r="L195" s="2"/>
      <c r="O195" s="2"/>
      <c r="P195" s="2"/>
      <c r="Q195" s="2"/>
      <c r="T195" s="2" t="str">
        <v>tengah</v>
      </c>
      <c r="U195" s="2"/>
      <c r="V195" s="2"/>
    </row>
    <row r="196" spans="5:22">
      <c r="E196" s="2" t="str">
        <v>tengah</v>
      </c>
      <c r="F196" s="2" t="s">
        <v>192</v>
      </c>
      <c r="G196" s="2"/>
      <c r="J196" s="2" t="str">
        <v>tengah</v>
      </c>
      <c r="K196" s="2" t="s">
        <v>192</v>
      </c>
      <c r="L196" s="2"/>
      <c r="O196" s="2"/>
      <c r="P196" s="2"/>
      <c r="Q196" s="2"/>
      <c r="T196" s="2" t="str">
        <v>tengah</v>
      </c>
      <c r="U196" s="2" t="s">
        <v>192</v>
      </c>
      <c r="V196" s="2"/>
    </row>
    <row r="197" spans="5:22">
      <c r="E197" s="2" t="str">
        <v>kanan</v>
      </c>
      <c r="F197" s="7">
        <f>P5-(G176+G185+$G$194)</f>
        <v>3.4558397252129724E-2</v>
      </c>
      <c r="G197" s="2"/>
      <c r="J197" s="2" t="str">
        <v>tengah</v>
      </c>
      <c r="K197" s="7">
        <f>P5-(L176+L185+L194)</f>
        <v>1.2149220324345599E-2</v>
      </c>
      <c r="L197" s="2"/>
      <c r="O197" s="2"/>
      <c r="P197" s="7"/>
      <c r="Q197" s="2"/>
      <c r="T197" s="2" t="str">
        <v>tengah</v>
      </c>
      <c r="U197" s="7">
        <f>P5-(V176+V185+V194)</f>
        <v>2.32708684164178E-2</v>
      </c>
      <c r="V197" s="2"/>
    </row>
    <row r="198" spans="5:22">
      <c r="E198" s="2" t="str">
        <v>kiri</v>
      </c>
      <c r="F198" s="2"/>
      <c r="G198" s="2"/>
      <c r="J198" s="2" t="str">
        <v>kiri</v>
      </c>
      <c r="K198" s="2"/>
      <c r="L198" s="2"/>
      <c r="O198" s="2"/>
      <c r="P198" s="2"/>
      <c r="Q198" s="2"/>
      <c r="T198" s="2" t="str">
        <v>kanan</v>
      </c>
      <c r="U198" s="2"/>
      <c r="V198" s="2"/>
    </row>
    <row r="199" spans="5:22">
      <c r="E199" s="2" t="str">
        <v>tengah</v>
      </c>
      <c r="F199" s="2"/>
      <c r="G199" s="2"/>
      <c r="J199" s="2" t="str">
        <v>tengah</v>
      </c>
      <c r="K199" s="2"/>
      <c r="L199" s="2"/>
      <c r="O199" s="2"/>
      <c r="P199" s="2"/>
      <c r="Q199" s="2"/>
      <c r="T199" s="2" t="str">
        <v>kanan</v>
      </c>
      <c r="U199" s="2"/>
      <c r="V199" s="2"/>
    </row>
    <row r="200" spans="5:22">
      <c r="E200" s="2" t="str">
        <v>tengah</v>
      </c>
      <c r="F200" s="2"/>
      <c r="G200" s="2"/>
      <c r="J200" s="2" t="str">
        <v>kiri</v>
      </c>
      <c r="K200" s="2"/>
      <c r="L200" s="2"/>
      <c r="O200" s="2"/>
      <c r="P200" s="2"/>
      <c r="Q200" s="2"/>
      <c r="T200" s="2" t="str">
        <v>kanan</v>
      </c>
      <c r="U200" s="2"/>
      <c r="V200" s="2"/>
    </row>
    <row r="201" spans="5:22">
      <c r="E201" s="2" t="str">
        <v>tengah</v>
      </c>
      <c r="F201" s="2"/>
      <c r="G201" s="2"/>
      <c r="J201" s="2" t="str">
        <v>kiri</v>
      </c>
      <c r="K201" s="2"/>
      <c r="L201" s="2"/>
      <c r="O201" s="2"/>
      <c r="P201" s="2"/>
      <c r="Q201" s="2"/>
      <c r="T201" s="2" t="str">
        <v>kanan</v>
      </c>
      <c r="U201" s="2"/>
      <c r="V201" s="2"/>
    </row>
    <row r="202" spans="5:22">
      <c r="E202" s="2" t="str">
        <v>kiri</v>
      </c>
      <c r="F202" s="2"/>
      <c r="G202" s="2"/>
      <c r="J202" s="2" t="str">
        <v>kiri</v>
      </c>
      <c r="K202" s="2"/>
      <c r="L202" s="2"/>
      <c r="O202" s="2"/>
      <c r="P202" s="2"/>
      <c r="Q202" s="2"/>
      <c r="T202" s="2" t="str">
        <v>kanan</v>
      </c>
      <c r="U202" s="2"/>
      <c r="V202" s="2"/>
    </row>
    <row r="203" spans="5:22">
      <c r="E203" s="2" t="str">
        <v>tengah</v>
      </c>
      <c r="F203" s="2"/>
      <c r="G203" s="2"/>
      <c r="J203" s="2" t="str">
        <v>tengah</v>
      </c>
      <c r="K203" s="2"/>
      <c r="L203" s="2"/>
      <c r="O203" s="2"/>
      <c r="P203" s="2"/>
      <c r="Q203" s="2"/>
      <c r="T203" s="2" t="str">
        <v>tengah</v>
      </c>
      <c r="U203" s="2"/>
      <c r="V203" s="2"/>
    </row>
    <row r="204" spans="5:22">
      <c r="E204" s="2" t="str">
        <v>tengah</v>
      </c>
      <c r="F204" s="2"/>
      <c r="G204" s="2"/>
      <c r="J204" s="2" t="str">
        <v>tengah</v>
      </c>
      <c r="K204" s="2"/>
      <c r="L204" s="2"/>
      <c r="O204" s="2"/>
      <c r="P204" s="2"/>
      <c r="Q204" s="2"/>
      <c r="T204" s="2" t="str">
        <v>kanan</v>
      </c>
      <c r="U204" s="2"/>
      <c r="V204" s="2"/>
    </row>
    <row r="205" spans="5:22">
      <c r="E205" s="2" t="str">
        <v>tengah</v>
      </c>
      <c r="F205" s="2"/>
      <c r="G205" s="2"/>
      <c r="J205" s="2" t="str">
        <v>tengah</v>
      </c>
      <c r="K205" s="2"/>
      <c r="L205" s="2"/>
      <c r="O205" s="2"/>
      <c r="P205" s="2"/>
      <c r="Q205" s="2"/>
      <c r="T205" s="2" t="str">
        <v>kanan</v>
      </c>
      <c r="U205" s="2"/>
      <c r="V205" s="2"/>
    </row>
    <row r="206" spans="5:22">
      <c r="E206" s="2" t="str">
        <v>tengah</v>
      </c>
      <c r="F206" s="2"/>
      <c r="G206" s="2"/>
      <c r="J206" s="2" t="str">
        <v>tengah</v>
      </c>
      <c r="K206" s="2"/>
      <c r="L206" s="2"/>
      <c r="O206" s="2"/>
      <c r="P206" s="2"/>
      <c r="Q206" s="2"/>
      <c r="T206" s="2" t="str">
        <v>kanan</v>
      </c>
      <c r="U206" s="2"/>
      <c r="V206" s="2"/>
    </row>
    <row r="207" spans="5:22">
      <c r="E207" s="2" t="str">
        <v>kiri</v>
      </c>
      <c r="F207" s="2"/>
      <c r="G207" s="2"/>
      <c r="J207" s="2" t="str">
        <v>tengah</v>
      </c>
      <c r="K207" s="2"/>
      <c r="L207" s="2"/>
      <c r="O207" s="2"/>
      <c r="P207" s="2"/>
      <c r="Q207" s="2"/>
      <c r="T207" s="2" t="str">
        <v>tengah</v>
      </c>
      <c r="U207" s="2"/>
      <c r="V207" s="2"/>
    </row>
    <row r="208" spans="5:22">
      <c r="E208" s="2" t="str">
        <v>tengah</v>
      </c>
      <c r="F208" s="2"/>
      <c r="G208" s="2"/>
      <c r="J208" s="2" t="str">
        <v>tengah</v>
      </c>
      <c r="K208" s="2"/>
      <c r="L208" s="2"/>
      <c r="O208" s="2"/>
      <c r="P208" s="2"/>
      <c r="Q208" s="2"/>
      <c r="T208" s="2" t="str">
        <v>kanan</v>
      </c>
      <c r="U208" s="2"/>
      <c r="V208" s="2"/>
    </row>
    <row r="209" spans="5:22">
      <c r="E209" s="2" t="str">
        <v>tengah</v>
      </c>
      <c r="F209" s="2"/>
      <c r="G209" s="2"/>
      <c r="J209" s="2" t="str">
        <v>tengah</v>
      </c>
      <c r="K209" s="2"/>
      <c r="L209" s="2"/>
      <c r="O209" s="2"/>
      <c r="P209" s="2"/>
      <c r="Q209" s="2"/>
      <c r="T209" s="2" t="str">
        <v>kanan</v>
      </c>
      <c r="U209" s="2"/>
      <c r="V209" s="2"/>
    </row>
    <row r="210" spans="5:22">
      <c r="E210" s="2" t="str">
        <v>kiri</v>
      </c>
      <c r="F210" s="2"/>
      <c r="G210" s="2"/>
      <c r="J210" s="2" t="str">
        <v>kanan</v>
      </c>
      <c r="K210" s="2"/>
      <c r="L210" s="2"/>
      <c r="O210" s="2"/>
      <c r="P210" s="2"/>
      <c r="Q210" s="2"/>
      <c r="T210" s="2" t="str">
        <v>kanan</v>
      </c>
      <c r="U210" s="2"/>
      <c r="V210" s="2"/>
    </row>
    <row r="211" spans="5:22">
      <c r="E211" s="2" t="str">
        <v>kiri</v>
      </c>
      <c r="F211" s="2"/>
      <c r="G211" s="2"/>
      <c r="J211" s="2" t="str">
        <v>tengah</v>
      </c>
      <c r="K211" s="2"/>
      <c r="L211" s="2"/>
      <c r="O211" s="2"/>
      <c r="P211" s="2"/>
      <c r="Q211" s="2"/>
      <c r="T211" s="2" t="str">
        <v>kanan</v>
      </c>
      <c r="U211" s="2"/>
      <c r="V211" s="2"/>
    </row>
    <row r="212" spans="5:22">
      <c r="E212" s="2" t="str">
        <v>tengah</v>
      </c>
      <c r="F212" s="2"/>
      <c r="G212" s="2"/>
      <c r="J212" s="2" t="str">
        <v>kanan</v>
      </c>
      <c r="K212" s="2"/>
      <c r="L212" s="2"/>
      <c r="O212" s="2"/>
      <c r="P212" s="2"/>
      <c r="Q212" s="2"/>
      <c r="T212" s="2" t="str">
        <v>tengah</v>
      </c>
      <c r="U212" s="2"/>
      <c r="V212" s="2"/>
    </row>
    <row r="213" spans="5:22">
      <c r="E213" s="2" t="str">
        <v>tengah</v>
      </c>
      <c r="F213" s="2"/>
      <c r="G213" s="2"/>
      <c r="J213" s="2" t="str">
        <v>tengah</v>
      </c>
      <c r="K213" s="2"/>
      <c r="L213" s="2"/>
      <c r="O213" s="2"/>
      <c r="P213" s="2"/>
      <c r="Q213" s="2"/>
      <c r="T213" s="2" t="str">
        <v>kanan</v>
      </c>
      <c r="U213" s="2"/>
      <c r="V213" s="2"/>
    </row>
    <row r="214" spans="5:22">
      <c r="E214" s="2" t="str">
        <v>kiri</v>
      </c>
      <c r="F214" s="2"/>
      <c r="G214" s="2"/>
      <c r="J214" s="2" t="str">
        <v>kiri</v>
      </c>
      <c r="K214" s="2"/>
      <c r="L214" s="2"/>
      <c r="O214" s="2"/>
      <c r="P214" s="2"/>
      <c r="Q214" s="2"/>
      <c r="T214" s="2" t="str">
        <v>kanan</v>
      </c>
      <c r="U214" s="2"/>
      <c r="V214" s="2"/>
    </row>
    <row r="215" spans="5:22">
      <c r="E215" s="2" t="str">
        <v>kanan</v>
      </c>
      <c r="F215" s="2"/>
      <c r="G215" s="2"/>
      <c r="J215" s="2" t="str">
        <v>kanan</v>
      </c>
      <c r="K215" s="2"/>
      <c r="L215" s="2"/>
      <c r="O215" s="2"/>
      <c r="P215" s="2"/>
      <c r="Q215" s="2"/>
      <c r="T215" s="2" t="str">
        <v>kanan</v>
      </c>
      <c r="U215" s="2"/>
      <c r="V215" s="2"/>
    </row>
    <row r="216" spans="5:22">
      <c r="E216" s="2" t="str">
        <v>kanan</v>
      </c>
      <c r="F216" s="2"/>
      <c r="G216" s="2"/>
      <c r="J216" s="2" t="str">
        <v>tengah</v>
      </c>
      <c r="K216" s="2"/>
      <c r="L216" s="2"/>
      <c r="O216" s="2"/>
      <c r="P216" s="2"/>
      <c r="Q216" s="2"/>
      <c r="T216" s="2" t="str">
        <v>kanan</v>
      </c>
      <c r="U216" s="2"/>
      <c r="V216" s="2"/>
    </row>
    <row r="217" spans="5:22">
      <c r="E217" s="2" t="str">
        <v>tengah</v>
      </c>
      <c r="F217" s="2"/>
      <c r="G217" s="2"/>
      <c r="J217" s="2" t="str">
        <v>tengah</v>
      </c>
      <c r="K217" s="2"/>
      <c r="L217" s="2"/>
      <c r="O217" s="2"/>
      <c r="P217" s="2"/>
      <c r="Q217" s="2"/>
      <c r="T217" s="2" t="str">
        <v>kanan</v>
      </c>
      <c r="U217" s="2"/>
      <c r="V217" s="2"/>
    </row>
    <row r="218" spans="5:22">
      <c r="E218" s="2" t="str">
        <v>kanan</v>
      </c>
      <c r="F218" s="2"/>
      <c r="G218" s="2"/>
      <c r="J218" s="2" t="str">
        <v>tengah</v>
      </c>
      <c r="K218" s="2"/>
      <c r="L218" s="2"/>
      <c r="O218" s="2"/>
      <c r="P218" s="2"/>
      <c r="Q218" s="2"/>
      <c r="T218" s="2" t="str">
        <v>kanan</v>
      </c>
      <c r="U218" s="2"/>
      <c r="V218" s="2"/>
    </row>
    <row r="219" spans="5:22">
      <c r="E219" s="2" t="str">
        <v>kiri</v>
      </c>
      <c r="F219" s="2"/>
      <c r="G219" s="2"/>
      <c r="J219" s="2" t="str">
        <v>tengah</v>
      </c>
      <c r="K219" s="2"/>
      <c r="L219" s="2"/>
      <c r="O219" s="2"/>
      <c r="P219" s="2"/>
      <c r="Q219" s="2"/>
      <c r="T219" s="2" t="str">
        <v>tengah</v>
      </c>
      <c r="U219" s="2"/>
      <c r="V219" s="2"/>
    </row>
    <row r="220" spans="5:22">
      <c r="E220" s="2" t="str">
        <v>kanan</v>
      </c>
      <c r="F220" s="2"/>
      <c r="G220" s="2"/>
      <c r="J220" s="2" t="str">
        <v>tengah</v>
      </c>
      <c r="K220" s="2"/>
      <c r="L220" s="2"/>
      <c r="O220" s="2"/>
      <c r="P220" s="2"/>
      <c r="Q220" s="2"/>
      <c r="T220" s="2" t="str">
        <v>kanan</v>
      </c>
      <c r="U220" s="2"/>
      <c r="V220" s="2"/>
    </row>
    <row r="221" spans="5:22">
      <c r="E221" s="2" t="str">
        <v>tengah</v>
      </c>
      <c r="F221" s="2"/>
      <c r="G221" s="2"/>
      <c r="J221" s="2" t="str">
        <v>tengah</v>
      </c>
      <c r="K221" s="2"/>
      <c r="L221" s="2"/>
      <c r="O221" s="2"/>
      <c r="P221" s="2"/>
      <c r="Q221" s="2"/>
      <c r="T221" s="2" t="str">
        <v>tengah</v>
      </c>
      <c r="U221" s="2"/>
      <c r="V221" s="2"/>
    </row>
    <row r="222" spans="5:22">
      <c r="E222" s="2" t="str">
        <v>tengah</v>
      </c>
      <c r="F222" s="2"/>
      <c r="G222" s="2"/>
      <c r="J222" s="2" t="str">
        <v>kanan</v>
      </c>
      <c r="K222" s="2"/>
      <c r="L222" s="2"/>
      <c r="O222" s="2"/>
      <c r="P222" s="2"/>
      <c r="Q222" s="2"/>
      <c r="T222" s="2" t="str">
        <v>kanan</v>
      </c>
      <c r="U222" s="2"/>
      <c r="V222" s="2"/>
    </row>
    <row r="223" spans="5:22">
      <c r="E223" s="2" t="str">
        <v>kanan</v>
      </c>
      <c r="F223" s="2"/>
      <c r="G223" s="2"/>
      <c r="J223" s="2" t="str">
        <v>tengah</v>
      </c>
      <c r="K223" s="2"/>
      <c r="L223" s="2"/>
      <c r="O223" s="2"/>
      <c r="P223" s="2"/>
      <c r="Q223" s="2"/>
      <c r="T223" s="2" t="str">
        <v>kanan</v>
      </c>
      <c r="U223" s="2"/>
      <c r="V223" s="2"/>
    </row>
    <row r="224" spans="5:22">
      <c r="E224" s="2" t="str">
        <v>tengah</v>
      </c>
      <c r="F224" s="2"/>
      <c r="G224" s="2"/>
      <c r="J224" s="2" t="str">
        <v>kiri</v>
      </c>
      <c r="K224" s="2"/>
      <c r="L224" s="2"/>
      <c r="O224" s="2"/>
      <c r="P224" s="2"/>
      <c r="Q224" s="2"/>
      <c r="T224" s="2" t="str">
        <v>kanan</v>
      </c>
      <c r="U224" s="2"/>
      <c r="V224" s="2"/>
    </row>
    <row r="225" spans="5:22">
      <c r="E225" s="2" t="str">
        <v>kanan</v>
      </c>
      <c r="F225" s="2"/>
      <c r="G225" s="2"/>
      <c r="J225" s="2" t="str">
        <v>tengah</v>
      </c>
      <c r="K225" s="2"/>
      <c r="L225" s="2"/>
      <c r="O225" s="2"/>
      <c r="P225" s="2"/>
      <c r="Q225" s="2"/>
      <c r="T225" s="2" t="str">
        <v>tengah</v>
      </c>
      <c r="U225" s="2"/>
      <c r="V225" s="2"/>
    </row>
    <row r="226" spans="5:22">
      <c r="E226" s="2" t="str">
        <v>kanan</v>
      </c>
      <c r="F226" s="2"/>
      <c r="G226" s="2"/>
      <c r="J226" s="2" t="str">
        <v>kiri</v>
      </c>
      <c r="K226" s="2"/>
      <c r="L226" s="2"/>
      <c r="O226" s="2"/>
      <c r="P226" s="2"/>
      <c r="Q226" s="2"/>
      <c r="T226" s="2" t="str">
        <v>tengah</v>
      </c>
      <c r="U226" s="2"/>
      <c r="V226" s="2"/>
    </row>
    <row r="227" spans="5:22">
      <c r="E227" s="2" t="str">
        <v>tengah</v>
      </c>
      <c r="F227" s="2"/>
      <c r="G227" s="2"/>
      <c r="J227" s="2" t="str">
        <v>tengah</v>
      </c>
      <c r="K227" s="2"/>
      <c r="L227" s="2"/>
      <c r="O227" s="2"/>
      <c r="P227" s="2"/>
      <c r="Q227" s="2"/>
      <c r="T227" s="2" t="str">
        <v>kanan</v>
      </c>
      <c r="U227" s="2"/>
      <c r="V227" s="2"/>
    </row>
    <row r="228" spans="5:22">
      <c r="E228" s="2" t="str">
        <v>tengah</v>
      </c>
      <c r="F228" s="2"/>
      <c r="G228" s="2"/>
      <c r="J228" s="2" t="str">
        <v>kanan</v>
      </c>
      <c r="K228" s="2"/>
      <c r="L228" s="2"/>
      <c r="O228" s="2"/>
      <c r="P228" s="2"/>
      <c r="Q228" s="2"/>
      <c r="T228" s="2" t="str">
        <v>kanan</v>
      </c>
      <c r="U228" s="2"/>
      <c r="V228" s="2"/>
    </row>
    <row r="229" spans="5:22">
      <c r="E229" s="2" t="str">
        <v>tengah</v>
      </c>
      <c r="F229" s="2"/>
      <c r="G229" s="2"/>
      <c r="J229" s="2" t="str">
        <v>tengah</v>
      </c>
      <c r="K229" s="2"/>
      <c r="L229" s="2"/>
      <c r="O229" s="2"/>
      <c r="P229" s="2"/>
      <c r="Q229" s="2"/>
      <c r="T229" s="2" t="str">
        <v>tengah</v>
      </c>
      <c r="U229" s="2"/>
      <c r="V229" s="2"/>
    </row>
    <row r="230" spans="5:22">
      <c r="E230" s="2" t="str">
        <v>kiri</v>
      </c>
      <c r="F230" s="2"/>
      <c r="G230" s="2"/>
      <c r="J230" s="2" t="str">
        <v>tengah</v>
      </c>
      <c r="K230" s="2"/>
      <c r="L230" s="2"/>
      <c r="O230" s="2"/>
      <c r="P230" s="2"/>
      <c r="Q230" s="2"/>
      <c r="T230" s="2" t="str">
        <v>tengah</v>
      </c>
      <c r="U230" s="2"/>
      <c r="V230" s="2"/>
    </row>
    <row r="231" spans="5:22">
      <c r="E231" s="2" t="str">
        <v>kiri</v>
      </c>
      <c r="F231" s="2"/>
      <c r="G231" s="2"/>
      <c r="J231" s="2" t="str">
        <v>tengah</v>
      </c>
      <c r="K231" s="2"/>
      <c r="L231" s="2"/>
      <c r="O231" s="2"/>
      <c r="P231" s="2"/>
      <c r="Q231" s="2"/>
      <c r="T231" s="2" t="str">
        <v>kanan</v>
      </c>
      <c r="U231" s="2"/>
      <c r="V231" s="2"/>
    </row>
    <row r="232" spans="5:22">
      <c r="E232" s="2" t="str">
        <v>tengah</v>
      </c>
      <c r="F232" s="2"/>
      <c r="G232" s="2"/>
      <c r="J232" s="2" t="str">
        <v>tengah</v>
      </c>
      <c r="K232" s="2"/>
      <c r="L232" s="2"/>
      <c r="O232" s="2"/>
      <c r="P232" s="2"/>
      <c r="Q232" s="2"/>
      <c r="T232" s="2" t="str">
        <v>tengah</v>
      </c>
      <c r="U232" s="2"/>
      <c r="V232" s="2"/>
    </row>
    <row r="233" spans="5:22">
      <c r="E233" s="2" t="str">
        <v>tengah</v>
      </c>
      <c r="F233" s="2"/>
      <c r="G233" s="2"/>
      <c r="J233" s="2" t="str">
        <v>tengah</v>
      </c>
      <c r="K233" s="2"/>
      <c r="L233" s="2"/>
      <c r="O233" s="2"/>
      <c r="P233" s="2"/>
      <c r="Q233" s="2"/>
      <c r="T233" s="2" t="str">
        <v>kanan</v>
      </c>
      <c r="U233" s="2"/>
      <c r="V233" s="2"/>
    </row>
    <row r="234" spans="5:22">
      <c r="E234" s="2" t="str">
        <v>tengah</v>
      </c>
      <c r="F234" s="2"/>
      <c r="G234" s="2"/>
      <c r="J234" s="2" t="str">
        <v>tengah</v>
      </c>
      <c r="K234" s="2"/>
      <c r="L234" s="2"/>
      <c r="O234" s="2"/>
      <c r="P234" s="2"/>
      <c r="Q234" s="2"/>
      <c r="T234" s="2" t="str">
        <v>tengah</v>
      </c>
      <c r="U234" s="2"/>
      <c r="V234" s="2"/>
    </row>
    <row r="235" spans="5:22">
      <c r="E235" s="2" t="str">
        <v>kanan</v>
      </c>
      <c r="F235" s="2"/>
      <c r="G235" s="2"/>
      <c r="J235" s="2" t="str">
        <v>kanan</v>
      </c>
      <c r="K235" s="2"/>
      <c r="L235" s="2"/>
      <c r="O235" s="2"/>
      <c r="P235" s="2"/>
      <c r="Q235" s="2"/>
      <c r="T235" s="2" t="str">
        <v>kanan</v>
      </c>
      <c r="U235" s="2"/>
      <c r="V235" s="2"/>
    </row>
    <row r="236" spans="5:22">
      <c r="E236" s="2" t="str">
        <v>kanan</v>
      </c>
      <c r="F236" s="2"/>
      <c r="G236" s="2"/>
      <c r="J236" s="2" t="str">
        <v>tengah</v>
      </c>
      <c r="K236" s="2"/>
      <c r="L236" s="2"/>
      <c r="O236" s="2"/>
      <c r="P236" s="2"/>
      <c r="Q236" s="2"/>
      <c r="T236" s="2" t="str">
        <v>tengah</v>
      </c>
      <c r="U236" s="2"/>
      <c r="V236" s="2"/>
    </row>
    <row r="237" spans="5:22">
      <c r="E237" s="2" t="str">
        <v>tengah</v>
      </c>
      <c r="F237" s="2"/>
      <c r="G237" s="2"/>
      <c r="J237" s="2" t="str">
        <v>kiri</v>
      </c>
      <c r="K237" s="2"/>
      <c r="L237" s="2"/>
      <c r="O237" s="2"/>
      <c r="P237" s="2"/>
      <c r="Q237" s="2"/>
      <c r="T237" s="2" t="str">
        <v>tengah</v>
      </c>
      <c r="U237" s="2"/>
      <c r="V237" s="2"/>
    </row>
    <row r="238" spans="5:22">
      <c r="E238" s="2" t="str">
        <v>tengah</v>
      </c>
      <c r="F238" s="2"/>
      <c r="G238" s="2"/>
      <c r="J238" s="2" t="str">
        <v>tengah</v>
      </c>
      <c r="K238" s="2"/>
      <c r="L238" s="2"/>
      <c r="O238" s="2"/>
      <c r="P238" s="2"/>
      <c r="Q238" s="2"/>
      <c r="T238" s="2" t="str">
        <v>kanan</v>
      </c>
      <c r="U238" s="2"/>
      <c r="V238" s="2"/>
    </row>
    <row r="239" spans="5:22">
      <c r="E239" s="2" t="str">
        <v>tengah</v>
      </c>
      <c r="F239" s="2"/>
      <c r="G239" s="2"/>
      <c r="J239" s="2" t="str">
        <v>tengah</v>
      </c>
      <c r="K239" s="2"/>
      <c r="L239" s="2"/>
      <c r="O239" s="2"/>
      <c r="P239" s="2"/>
      <c r="Q239" s="2"/>
      <c r="T239" s="2" t="str">
        <v>kanan</v>
      </c>
      <c r="U239" s="2"/>
      <c r="V239" s="2"/>
    </row>
    <row r="240" spans="5:22">
      <c r="E240" s="2" t="str">
        <v>kiri</v>
      </c>
      <c r="F240" s="2"/>
      <c r="G240" s="2"/>
      <c r="J240" s="2" t="str">
        <v>tengah</v>
      </c>
      <c r="K240" s="2"/>
      <c r="L240" s="2"/>
      <c r="O240" s="2"/>
      <c r="P240" s="2"/>
      <c r="Q240" s="2"/>
      <c r="T240" s="2" t="str">
        <v>tengah</v>
      </c>
      <c r="U240" s="2"/>
      <c r="V240" s="2"/>
    </row>
    <row r="241" spans="5:22">
      <c r="E241" s="2" t="str">
        <v>kiri</v>
      </c>
      <c r="F241" s="2"/>
      <c r="G241" s="2"/>
      <c r="J241" s="2" t="str">
        <v>tengah</v>
      </c>
      <c r="K241" s="2"/>
      <c r="L241" s="2"/>
      <c r="O241" s="2"/>
      <c r="P241" s="2"/>
      <c r="Q241" s="2"/>
      <c r="T241" s="2" t="str">
        <v>tengah</v>
      </c>
      <c r="U241" s="2"/>
      <c r="V241" s="2"/>
    </row>
    <row r="242" spans="5:22">
      <c r="E242" s="2" t="str">
        <v>tengah</v>
      </c>
      <c r="F242" s="2"/>
      <c r="G242" s="2"/>
      <c r="J242" s="2" t="str">
        <v>tengah</v>
      </c>
      <c r="K242" s="2"/>
      <c r="L242" s="2"/>
      <c r="O242" s="2"/>
      <c r="P242" s="2"/>
      <c r="Q242" s="2"/>
      <c r="T242" s="2" t="str">
        <v>tengah</v>
      </c>
      <c r="U242" s="2"/>
      <c r="V242" s="2"/>
    </row>
    <row r="243" spans="5:22">
      <c r="E243" s="2" t="str">
        <v>kiri</v>
      </c>
      <c r="F243" s="2"/>
      <c r="G243" s="2"/>
      <c r="J243" s="2" t="str">
        <v>kiri</v>
      </c>
      <c r="K243" s="2"/>
      <c r="L243" s="2"/>
      <c r="O243" s="2"/>
      <c r="P243" s="2"/>
      <c r="Q243" s="2"/>
      <c r="T243" s="2" t="str">
        <v>tengah</v>
      </c>
      <c r="U243" s="2"/>
      <c r="V243" s="2"/>
    </row>
    <row r="244" spans="5:22">
      <c r="E244" s="2" t="str">
        <v>tengah</v>
      </c>
      <c r="F244" s="2"/>
      <c r="G244" s="2"/>
      <c r="J244" s="2" t="str">
        <v>kiri</v>
      </c>
      <c r="K244" s="2"/>
      <c r="L244" s="2"/>
      <c r="O244" s="2"/>
      <c r="P244" s="2"/>
      <c r="Q244" s="2"/>
      <c r="T244" s="2" t="str">
        <v>tengah</v>
      </c>
      <c r="U244" s="2"/>
      <c r="V244" s="2"/>
    </row>
    <row r="245" spans="5:22">
      <c r="E245" s="2" t="str">
        <v>kiri</v>
      </c>
      <c r="F245" s="2"/>
      <c r="G245" s="2"/>
      <c r="J245" s="2" t="str">
        <v>tengah</v>
      </c>
      <c r="K245" s="2"/>
      <c r="L245" s="2"/>
      <c r="O245" s="2"/>
      <c r="P245" s="2"/>
      <c r="Q245" s="2"/>
      <c r="T245" s="2" t="str">
        <v>kanan</v>
      </c>
      <c r="U245" s="2"/>
      <c r="V245" s="2"/>
    </row>
    <row r="246" spans="5:22">
      <c r="E246" s="2" t="str">
        <v>tengah</v>
      </c>
      <c r="F246" s="2"/>
      <c r="G246" s="2"/>
      <c r="J246" s="2" t="str">
        <v>kiri</v>
      </c>
      <c r="K246" s="2"/>
      <c r="L246" s="2"/>
      <c r="O246" s="2"/>
      <c r="P246" s="2"/>
      <c r="Q246" s="2"/>
      <c r="T246" s="2" t="str">
        <v>kanan</v>
      </c>
      <c r="U246" s="2"/>
      <c r="V246" s="2"/>
    </row>
    <row r="247" spans="5:22">
      <c r="E247" s="2" t="str">
        <v>tengah</v>
      </c>
      <c r="F247" s="2"/>
      <c r="G247" s="2"/>
      <c r="J247" s="2" t="str">
        <v>tengah</v>
      </c>
      <c r="K247" s="2"/>
      <c r="L247" s="2"/>
      <c r="O247" s="2"/>
      <c r="P247" s="2"/>
      <c r="Q247" s="2"/>
      <c r="T247" s="2" t="str">
        <v>tengah</v>
      </c>
      <c r="U247" s="2"/>
      <c r="V247" s="2"/>
    </row>
    <row r="248" spans="5:22">
      <c r="E248" s="2" t="str">
        <v>kanan</v>
      </c>
      <c r="F248" s="2"/>
      <c r="G248" s="2"/>
      <c r="J248" s="2" t="str">
        <v>kanan</v>
      </c>
      <c r="K248" s="2"/>
      <c r="L248" s="2"/>
      <c r="O248" s="2"/>
      <c r="P248" s="2"/>
      <c r="Q248" s="2"/>
      <c r="T248" s="2" t="str">
        <v>kanan</v>
      </c>
      <c r="U248" s="2"/>
      <c r="V248" s="2"/>
    </row>
    <row r="249" spans="5:22">
      <c r="E249" s="2" t="str">
        <v>kiri</v>
      </c>
      <c r="F249" s="2"/>
      <c r="G249" s="2"/>
      <c r="J249" s="2" t="str">
        <v>tengah</v>
      </c>
      <c r="K249" s="2"/>
      <c r="L249" s="2"/>
      <c r="O249" s="2"/>
      <c r="P249" s="2"/>
      <c r="Q249" s="2"/>
      <c r="T249" s="2" t="str">
        <v>tengah</v>
      </c>
      <c r="U249" s="2"/>
      <c r="V249" s="2"/>
    </row>
    <row r="250" spans="5:22">
      <c r="E250" s="2" t="str">
        <v>tengah</v>
      </c>
      <c r="F250" s="2"/>
      <c r="G250" s="2"/>
      <c r="J250" s="2" t="str">
        <v>kanan</v>
      </c>
      <c r="K250" s="2"/>
      <c r="L250" s="2"/>
      <c r="O250" s="2"/>
      <c r="P250" s="2"/>
      <c r="Q250" s="2"/>
      <c r="T250" s="2" t="str">
        <v>tengah</v>
      </c>
      <c r="U250" s="2"/>
      <c r="V250" s="2"/>
    </row>
    <row r="251" spans="5:22">
      <c r="E251" s="2" t="str">
        <v>tengah</v>
      </c>
      <c r="F251" s="2"/>
      <c r="G251" s="2"/>
      <c r="J251" s="2" t="str">
        <v>tengah</v>
      </c>
      <c r="K251" s="2"/>
      <c r="L251" s="2"/>
      <c r="O251" s="2"/>
      <c r="P251" s="2"/>
      <c r="Q251" s="2"/>
      <c r="T251" s="2" t="str">
        <v>tengah</v>
      </c>
      <c r="U251" s="2"/>
      <c r="V251" s="2"/>
    </row>
    <row r="252" spans="5:22">
      <c r="E252" s="2" t="str">
        <v>tengah</v>
      </c>
      <c r="F252" s="2"/>
      <c r="G252" s="2"/>
      <c r="J252" s="2" t="str">
        <v>tengah</v>
      </c>
      <c r="K252" s="2"/>
      <c r="L252" s="2"/>
      <c r="O252" s="2"/>
      <c r="P252" s="2"/>
      <c r="Q252" s="2"/>
      <c r="T252" s="2" t="str">
        <v>kanan</v>
      </c>
      <c r="U252" s="2"/>
      <c r="V252" s="2"/>
    </row>
    <row r="253" spans="5:22">
      <c r="E253" s="2" t="str">
        <v>kanan</v>
      </c>
      <c r="F253" s="2"/>
      <c r="G253" s="2"/>
      <c r="J253" s="2" t="str">
        <v>tengah</v>
      </c>
      <c r="K253" s="2"/>
      <c r="L253" s="2"/>
      <c r="O253" s="2"/>
      <c r="P253" s="2"/>
      <c r="Q253" s="2"/>
      <c r="T253" s="2" t="str">
        <v>kanan</v>
      </c>
      <c r="U253" s="2"/>
      <c r="V253" s="2"/>
    </row>
    <row r="254" spans="5:22">
      <c r="E254" s="2" t="str">
        <v>kiri</v>
      </c>
      <c r="F254" s="2"/>
      <c r="G254" s="2"/>
      <c r="J254" s="2" t="str">
        <v>tengah</v>
      </c>
      <c r="K254" s="2"/>
      <c r="L254" s="2"/>
      <c r="O254" s="2"/>
      <c r="P254" s="2"/>
      <c r="Q254" s="2"/>
      <c r="T254" s="2" t="str">
        <v>tengah</v>
      </c>
      <c r="U254" s="2"/>
      <c r="V254" s="2"/>
    </row>
    <row r="255" spans="5:22">
      <c r="E255" s="2" t="str">
        <v>tengah</v>
      </c>
      <c r="F255" s="2"/>
      <c r="G255" s="2"/>
      <c r="J255" s="2" t="str">
        <v>tengah</v>
      </c>
      <c r="K255" s="2"/>
      <c r="L255" s="2"/>
      <c r="O255" s="2"/>
      <c r="P255" s="2"/>
      <c r="Q255" s="2"/>
      <c r="T255" s="2" t="str">
        <v>kanan</v>
      </c>
      <c r="U255" s="2"/>
      <c r="V255" s="2"/>
    </row>
    <row r="256" spans="5:22">
      <c r="E256" s="2" t="str">
        <v>kiri</v>
      </c>
      <c r="F256" s="2"/>
      <c r="G256" s="2"/>
      <c r="J256" s="2" t="str">
        <v>tengah</v>
      </c>
      <c r="K256" s="2"/>
      <c r="L256" s="2"/>
      <c r="O256" s="2"/>
      <c r="P256" s="2"/>
      <c r="Q256" s="2"/>
      <c r="T256" s="2" t="str">
        <v>tengah</v>
      </c>
      <c r="U256" s="2"/>
      <c r="V256" s="2"/>
    </row>
    <row r="257" spans="5:22">
      <c r="E257" s="2" t="str">
        <v>tengah</v>
      </c>
      <c r="F257" s="2"/>
      <c r="G257" s="2"/>
      <c r="J257" s="2" t="str">
        <v>tengah</v>
      </c>
      <c r="K257" s="2"/>
      <c r="L257" s="2"/>
      <c r="O257" s="2"/>
      <c r="P257" s="2"/>
      <c r="Q257" s="2"/>
      <c r="T257" s="2" t="str">
        <v>kanan</v>
      </c>
      <c r="U257" s="2"/>
      <c r="V257" s="2"/>
    </row>
    <row r="258" spans="5:22">
      <c r="E258" s="2" t="str">
        <v>kanan</v>
      </c>
      <c r="F258" s="2"/>
      <c r="G258" s="2"/>
      <c r="J258" s="2" t="str">
        <v>tengah</v>
      </c>
      <c r="K258" s="2"/>
      <c r="L258" s="2"/>
      <c r="O258" s="2"/>
      <c r="P258" s="2"/>
      <c r="Q258" s="2"/>
      <c r="T258" s="2" t="str">
        <v>kanan</v>
      </c>
      <c r="U258" s="2"/>
      <c r="V258" s="2"/>
    </row>
    <row r="259" spans="5:22">
      <c r="E259" s="2" t="str">
        <v>kiri</v>
      </c>
      <c r="F259" s="2"/>
      <c r="G259" s="2"/>
      <c r="J259" s="2" t="str">
        <v>tengah</v>
      </c>
      <c r="K259" s="2"/>
      <c r="L259" s="2"/>
      <c r="O259" s="2"/>
      <c r="P259" s="2"/>
      <c r="Q259" s="2"/>
      <c r="T259" s="2" t="str">
        <v>tengah</v>
      </c>
      <c r="U259" s="2"/>
      <c r="V259" s="2"/>
    </row>
    <row r="260" spans="5:22">
      <c r="E260" s="2" t="str">
        <v>kanan</v>
      </c>
      <c r="F260" s="2"/>
      <c r="G260" s="2"/>
      <c r="J260" s="2" t="str">
        <v>tengah</v>
      </c>
      <c r="K260" s="2"/>
      <c r="L260" s="2"/>
      <c r="O260" s="2"/>
      <c r="P260" s="2"/>
      <c r="Q260" s="2"/>
      <c r="T260" s="2" t="str">
        <v>tengah</v>
      </c>
      <c r="U260" s="2"/>
      <c r="V260" s="2"/>
    </row>
    <row r="261" spans="5:22">
      <c r="E261" s="2" t="str">
        <v>tengah</v>
      </c>
      <c r="F261" s="2"/>
      <c r="G261" s="2"/>
      <c r="J261" s="2" t="str">
        <v>tengah</v>
      </c>
      <c r="K261" s="2"/>
      <c r="L261" s="2"/>
      <c r="O261" s="2"/>
      <c r="P261" s="2"/>
      <c r="Q261" s="2"/>
      <c r="T261" s="2" t="str">
        <v>kanan</v>
      </c>
      <c r="U261" s="2"/>
      <c r="V261" s="2"/>
    </row>
    <row r="262" spans="5:22">
      <c r="E262" s="2" t="str">
        <v>kanan</v>
      </c>
      <c r="F262" s="2"/>
      <c r="G262" s="2"/>
      <c r="J262" s="2" t="str">
        <v>tengah</v>
      </c>
      <c r="K262" s="2"/>
      <c r="L262" s="2"/>
      <c r="O262" s="2"/>
      <c r="P262" s="2"/>
      <c r="Q262" s="2"/>
      <c r="T262" s="2" t="str">
        <v>tengah</v>
      </c>
      <c r="U262" s="2"/>
      <c r="V262" s="2"/>
    </row>
    <row r="263" spans="5:22">
      <c r="E263" s="2" t="str">
        <v>tengah</v>
      </c>
      <c r="F263" s="2"/>
      <c r="G263" s="2"/>
      <c r="J263" s="2" t="str">
        <v>kanan</v>
      </c>
      <c r="K263" s="2"/>
      <c r="L263" s="2"/>
      <c r="O263" s="2"/>
      <c r="P263" s="2"/>
      <c r="Q263" s="2"/>
      <c r="T263" s="2" t="str">
        <v>tengah</v>
      </c>
      <c r="U263" s="2"/>
      <c r="V263" s="2"/>
    </row>
    <row r="264" spans="5:22">
      <c r="E264" s="2" t="str">
        <v>tengah</v>
      </c>
      <c r="F264" s="2"/>
      <c r="G264" s="2"/>
      <c r="J264" s="2" t="str">
        <v>tengah</v>
      </c>
      <c r="K264" s="2"/>
      <c r="L264" s="2"/>
      <c r="O264" s="2"/>
      <c r="P264" s="2"/>
      <c r="Q264" s="2"/>
      <c r="T264" s="2" t="str">
        <v>tengah</v>
      </c>
      <c r="U264" s="2"/>
      <c r="V264" s="2"/>
    </row>
    <row r="265" spans="5:22">
      <c r="E265" s="2" t="str">
        <v>kiri</v>
      </c>
      <c r="F265" s="2"/>
      <c r="G265" s="2"/>
      <c r="J265" s="2" t="str">
        <v>tengah</v>
      </c>
      <c r="K265" s="2"/>
      <c r="L265" s="2"/>
      <c r="O265" s="2"/>
      <c r="P265" s="2"/>
      <c r="Q265" s="2"/>
      <c r="T265" s="2" t="str">
        <v>tengah</v>
      </c>
      <c r="U265" s="2"/>
      <c r="V265" s="2"/>
    </row>
    <row r="266" spans="5:22">
      <c r="E266" s="2" t="str">
        <v>tengah</v>
      </c>
      <c r="F266" s="2"/>
      <c r="G266" s="2"/>
      <c r="J266" s="2" t="str">
        <v>tengah</v>
      </c>
      <c r="K266" s="2"/>
      <c r="L266" s="2"/>
      <c r="O266" s="2"/>
      <c r="P266" s="2"/>
      <c r="Q266" s="2"/>
      <c r="T266" s="2" t="str">
        <v>kanan</v>
      </c>
      <c r="U266" s="2"/>
      <c r="V266" s="2"/>
    </row>
    <row r="267" spans="5:22">
      <c r="E267" s="2" t="str">
        <v>kanan</v>
      </c>
      <c r="F267" s="2"/>
      <c r="G267" s="2"/>
      <c r="J267" s="2" t="str">
        <v>kanan</v>
      </c>
      <c r="K267" s="2"/>
      <c r="L267" s="2"/>
      <c r="O267" s="2"/>
      <c r="P267" s="2"/>
      <c r="Q267" s="2"/>
      <c r="T267" s="2" t="str">
        <v>tengah</v>
      </c>
      <c r="U267" s="2"/>
      <c r="V267" s="2"/>
    </row>
    <row r="268" spans="5:22">
      <c r="E268" s="2" t="str">
        <v>tengah</v>
      </c>
      <c r="F268" s="2"/>
      <c r="G268" s="2"/>
      <c r="J268" s="2" t="str">
        <v>tengah</v>
      </c>
      <c r="K268" s="2"/>
      <c r="L268" s="2"/>
      <c r="O268" s="2"/>
      <c r="P268" s="2"/>
      <c r="Q268" s="2"/>
      <c r="T268" s="2" t="str">
        <v>kanan</v>
      </c>
      <c r="U268" s="2"/>
      <c r="V268" s="2"/>
    </row>
    <row r="269" spans="5:22">
      <c r="E269" s="2" t="str">
        <v>kiri</v>
      </c>
      <c r="F269" s="2"/>
      <c r="G269" s="2"/>
      <c r="J269" s="2" t="str">
        <v>kiri</v>
      </c>
      <c r="K269" s="2"/>
      <c r="L269" s="2"/>
      <c r="O269" s="2"/>
      <c r="P269" s="2"/>
      <c r="Q269" s="2"/>
      <c r="T269" s="2" t="str">
        <v>kanan</v>
      </c>
      <c r="U269" s="2"/>
      <c r="V269" s="2"/>
    </row>
    <row r="270" spans="5:22">
      <c r="E270" s="2" t="str">
        <v>tengah</v>
      </c>
      <c r="F270" s="2"/>
      <c r="G270" s="2"/>
      <c r="J270" s="2" t="str">
        <v>tengah</v>
      </c>
      <c r="K270" s="2"/>
      <c r="L270" s="2"/>
      <c r="O270" s="2"/>
      <c r="P270" s="2"/>
      <c r="Q270" s="2"/>
      <c r="T270" s="2" t="str">
        <v>kanan</v>
      </c>
      <c r="U270" s="2"/>
      <c r="V270" s="2"/>
    </row>
    <row r="271" spans="5:22">
      <c r="E271" s="2" t="str">
        <v>kiri</v>
      </c>
      <c r="F271" s="2"/>
      <c r="G271" s="2"/>
      <c r="J271" s="2" t="str">
        <v>tengah</v>
      </c>
      <c r="K271" s="2"/>
      <c r="L271" s="2"/>
      <c r="O271" s="2"/>
      <c r="P271" s="2"/>
      <c r="Q271" s="2"/>
      <c r="T271" s="2" t="str">
        <v>kanan</v>
      </c>
      <c r="U271" s="2"/>
      <c r="V271" s="2"/>
    </row>
    <row r="272" spans="5:22">
      <c r="E272" s="2" t="str">
        <v>tengah</v>
      </c>
      <c r="F272" s="2"/>
      <c r="G272" s="2"/>
      <c r="J272" s="2" t="str">
        <v>kanan</v>
      </c>
      <c r="K272" s="2"/>
      <c r="L272" s="2"/>
      <c r="O272" s="2"/>
      <c r="P272" s="2"/>
      <c r="Q272" s="2"/>
      <c r="T272" s="2" t="str">
        <v>kanan</v>
      </c>
      <c r="U272" s="2"/>
      <c r="V272" s="2"/>
    </row>
    <row r="273" spans="5:22">
      <c r="E273" s="2" t="str">
        <v>kiri</v>
      </c>
      <c r="F273" s="2"/>
      <c r="G273" s="2"/>
      <c r="J273" s="2" t="str">
        <v>kanan</v>
      </c>
      <c r="K273" s="2"/>
      <c r="L273" s="2"/>
      <c r="O273" s="2"/>
      <c r="P273" s="2"/>
      <c r="Q273" s="2"/>
      <c r="T273" s="2" t="str">
        <v>tengah</v>
      </c>
      <c r="U273" s="2"/>
      <c r="V273" s="2"/>
    </row>
    <row r="274" spans="5:22">
      <c r="E274" s="2" t="str">
        <v>tengah</v>
      </c>
      <c r="F274" s="2"/>
      <c r="G274" s="2"/>
      <c r="J274" s="2" t="str">
        <v>tengah</v>
      </c>
      <c r="K274" s="2"/>
      <c r="L274" s="2"/>
      <c r="O274" s="2"/>
      <c r="P274" s="2"/>
      <c r="Q274" s="2"/>
      <c r="T274" s="2" t="str">
        <v>kanan</v>
      </c>
      <c r="U274" s="2"/>
      <c r="V274" s="2"/>
    </row>
    <row r="275" spans="5:22">
      <c r="E275" s="2" t="str">
        <v>kiri</v>
      </c>
      <c r="F275" s="2"/>
      <c r="G275" s="2"/>
      <c r="J275" s="2" t="str">
        <v>tengah</v>
      </c>
      <c r="K275" s="2"/>
      <c r="L275" s="2"/>
      <c r="O275" s="2"/>
      <c r="P275" s="2"/>
      <c r="Q275" s="2"/>
      <c r="T275" s="2" t="str">
        <v>tengah</v>
      </c>
      <c r="U275" s="2"/>
      <c r="V275" s="2"/>
    </row>
    <row r="276" spans="5:22">
      <c r="E276" s="2" t="str">
        <v>tengah</v>
      </c>
      <c r="F276" s="2"/>
      <c r="G276" s="2"/>
      <c r="J276" s="2" t="str">
        <v>tengah</v>
      </c>
      <c r="K276" s="2"/>
      <c r="L276" s="2"/>
      <c r="O276" s="2"/>
      <c r="P276" s="2"/>
      <c r="Q276" s="2"/>
      <c r="T276" s="2" t="str">
        <v>tengah</v>
      </c>
      <c r="U276" s="2"/>
      <c r="V276" s="2"/>
    </row>
    <row r="277" spans="5:22">
      <c r="E277" s="2" t="str">
        <v>kanan</v>
      </c>
      <c r="F277" s="2"/>
      <c r="G277" s="2"/>
      <c r="J277" s="2" t="str">
        <v>kanan</v>
      </c>
      <c r="K277" s="2"/>
      <c r="L277" s="2"/>
      <c r="O277" s="2"/>
      <c r="P277" s="2"/>
      <c r="Q277" s="2"/>
      <c r="T277" s="2" t="str">
        <v>kanan</v>
      </c>
      <c r="U277" s="2"/>
      <c r="V277" s="2"/>
    </row>
    <row r="278" spans="5:22">
      <c r="E278" s="2" t="str">
        <v>tengah</v>
      </c>
      <c r="F278" s="2"/>
      <c r="G278" s="2"/>
      <c r="J278" s="2" t="str">
        <v>kanan</v>
      </c>
      <c r="K278" s="2"/>
      <c r="L278" s="2"/>
      <c r="O278" s="2"/>
      <c r="P278" s="2"/>
      <c r="Q278" s="2"/>
      <c r="T278" s="2" t="str">
        <v>tengah</v>
      </c>
      <c r="U278" s="2"/>
      <c r="V278" s="2"/>
    </row>
    <row r="279" spans="5:22">
      <c r="E279" s="2" t="str">
        <v>tengah</v>
      </c>
      <c r="F279" s="2"/>
      <c r="G279" s="2"/>
      <c r="J279" s="2" t="str">
        <v>tengah</v>
      </c>
      <c r="K279" s="2"/>
      <c r="L279" s="2"/>
      <c r="O279" s="2"/>
      <c r="P279" s="2"/>
      <c r="Q279" s="2"/>
      <c r="T279" s="2" t="str">
        <v>tengah</v>
      </c>
      <c r="U279" s="2"/>
      <c r="V279" s="2"/>
    </row>
    <row r="280" spans="5:22">
      <c r="E280" s="2" t="str">
        <v>kanan</v>
      </c>
      <c r="F280" s="2"/>
      <c r="G280" s="2"/>
      <c r="J280" s="2" t="str">
        <v>tengah</v>
      </c>
      <c r="K280" s="2"/>
      <c r="L280" s="2"/>
      <c r="O280" s="2"/>
      <c r="P280" s="2"/>
      <c r="Q280" s="2"/>
      <c r="T280" s="2" t="str">
        <v>kanan</v>
      </c>
      <c r="U280" s="2"/>
      <c r="V280" s="2"/>
    </row>
    <row r="281" spans="5:22">
      <c r="E281" s="2" t="str">
        <v>tengah</v>
      </c>
      <c r="F281" s="2"/>
      <c r="G281" s="2"/>
      <c r="J281" s="2" t="str">
        <v>tengah</v>
      </c>
      <c r="K281" s="2"/>
      <c r="L281" s="2"/>
      <c r="O281" s="2"/>
      <c r="P281" s="2"/>
      <c r="Q281" s="2"/>
      <c r="T281" s="2" t="str">
        <v>kanan</v>
      </c>
      <c r="U281" s="2"/>
      <c r="V281" s="2"/>
    </row>
    <row r="282" spans="5:22">
      <c r="E282" s="2" t="str">
        <v>tengah</v>
      </c>
      <c r="F282" s="2"/>
      <c r="G282" s="2"/>
      <c r="J282" s="2" t="str">
        <v>kiri</v>
      </c>
      <c r="K282" s="2"/>
      <c r="L282" s="2"/>
      <c r="O282" s="2"/>
      <c r="P282" s="2"/>
      <c r="Q282" s="2"/>
      <c r="T282" s="2" t="str">
        <v>tengah</v>
      </c>
      <c r="U282" s="2"/>
      <c r="V282" s="2"/>
    </row>
    <row r="283" spans="5:22">
      <c r="E283" s="2" t="str">
        <v>kiri</v>
      </c>
      <c r="F283" s="2"/>
      <c r="G283" s="2"/>
      <c r="J283" s="2" t="str">
        <v>tengah</v>
      </c>
      <c r="K283" s="2"/>
      <c r="L283" s="2"/>
      <c r="O283" s="2"/>
      <c r="P283" s="2"/>
      <c r="Q283" s="2"/>
      <c r="T283" s="2" t="str">
        <v>tengah</v>
      </c>
      <c r="U283" s="2"/>
      <c r="V283" s="2"/>
    </row>
    <row r="284" spans="5:22">
      <c r="E284" s="2" t="str">
        <v>tengah</v>
      </c>
      <c r="F284" s="2"/>
      <c r="G284" s="2"/>
      <c r="J284" s="2" t="str">
        <v>tengah</v>
      </c>
      <c r="K284" s="2"/>
      <c r="L284" s="2"/>
      <c r="O284" s="2"/>
      <c r="P284" s="2"/>
      <c r="Q284" s="2"/>
      <c r="T284" s="2" t="str">
        <v>kanan</v>
      </c>
      <c r="U284" s="2"/>
      <c r="V284" s="2"/>
    </row>
    <row r="285" spans="5:22">
      <c r="E285" s="2" t="str">
        <v>tengah</v>
      </c>
      <c r="F285" s="2"/>
      <c r="G285" s="2"/>
      <c r="J285" s="2" t="str">
        <v>kiri</v>
      </c>
      <c r="K285" s="2"/>
      <c r="L285" s="2"/>
      <c r="O285" s="2"/>
      <c r="P285" s="2"/>
      <c r="Q285" s="2"/>
      <c r="T285" s="2" t="str">
        <v>tengah</v>
      </c>
      <c r="U285" s="2"/>
      <c r="V285" s="2"/>
    </row>
    <row r="286" spans="5:22">
      <c r="E286" s="2" t="str">
        <v>tengah</v>
      </c>
      <c r="F286" s="2"/>
      <c r="G286" s="2"/>
      <c r="J286" s="2" t="str">
        <v>tengah</v>
      </c>
      <c r="K286" s="2"/>
      <c r="L286" s="2"/>
      <c r="O286" s="2"/>
      <c r="P286" s="2"/>
      <c r="Q286" s="2"/>
      <c r="T286" s="2" t="str">
        <v>kanan</v>
      </c>
      <c r="U286" s="2"/>
      <c r="V286" s="2"/>
    </row>
    <row r="287" spans="5:22">
      <c r="E287" s="2" t="str">
        <v>tengah</v>
      </c>
      <c r="F287" s="2"/>
      <c r="G287" s="2"/>
      <c r="J287" s="2" t="str">
        <v>kanan</v>
      </c>
      <c r="K287" s="2"/>
      <c r="L287" s="2"/>
      <c r="O287" s="2"/>
      <c r="P287" s="2"/>
      <c r="Q287" s="2"/>
      <c r="T287" s="2" t="str">
        <v>tengah</v>
      </c>
      <c r="U287" s="2"/>
      <c r="V287" s="2"/>
    </row>
    <row r="288" spans="5:22">
      <c r="E288" s="2" t="str">
        <v>tengah</v>
      </c>
      <c r="F288" s="2"/>
      <c r="G288" s="2"/>
      <c r="J288" s="2" t="str">
        <v>kanan</v>
      </c>
      <c r="K288" s="2"/>
      <c r="L288" s="2"/>
      <c r="O288" s="2"/>
      <c r="P288" s="2"/>
      <c r="Q288" s="2"/>
      <c r="T288" s="2" t="str">
        <v>tengah</v>
      </c>
      <c r="U288" s="2"/>
      <c r="V288" s="2"/>
    </row>
    <row r="289" spans="5:22">
      <c r="E289" s="2" t="str">
        <v>tengah</v>
      </c>
      <c r="F289" s="2"/>
      <c r="G289" s="2"/>
      <c r="J289" s="2" t="str">
        <v>tengah</v>
      </c>
      <c r="K289" s="2"/>
      <c r="L289" s="2"/>
      <c r="O289" s="2"/>
      <c r="P289" s="2"/>
      <c r="Q289" s="2"/>
      <c r="T289" s="2" t="str">
        <v>kanan</v>
      </c>
      <c r="U289" s="2"/>
      <c r="V289" s="2"/>
    </row>
    <row r="290" spans="5:22">
      <c r="E290" s="2" t="str">
        <v>kiri</v>
      </c>
      <c r="F290" s="2"/>
      <c r="G290" s="2"/>
      <c r="J290" s="2" t="str">
        <v>kiri</v>
      </c>
      <c r="K290" s="2"/>
      <c r="L290" s="2"/>
      <c r="O290" s="2"/>
      <c r="P290" s="2"/>
      <c r="Q290" s="2"/>
      <c r="T290" s="2" t="str">
        <v>tengah</v>
      </c>
      <c r="U290" s="2"/>
      <c r="V290" s="2"/>
    </row>
    <row r="291" spans="5:22">
      <c r="E291" s="2" t="str">
        <v>tengah</v>
      </c>
      <c r="F291" s="2"/>
      <c r="G291" s="2"/>
      <c r="J291" s="2" t="str">
        <v>tengah</v>
      </c>
      <c r="K291" s="2"/>
      <c r="L291" s="2"/>
      <c r="O291" s="2"/>
      <c r="P291" s="2"/>
      <c r="Q291" s="2"/>
      <c r="T291" s="2" t="str">
        <v>kanan</v>
      </c>
      <c r="U291" s="2"/>
      <c r="V291" s="2"/>
    </row>
    <row r="292" spans="5:22">
      <c r="E292" s="2" t="str">
        <v>kanan</v>
      </c>
      <c r="F292" s="2"/>
      <c r="G292" s="2"/>
      <c r="J292" s="2" t="str">
        <v>tengah</v>
      </c>
      <c r="K292" s="2"/>
      <c r="L292" s="2"/>
      <c r="O292" s="2"/>
      <c r="P292" s="2"/>
      <c r="Q292" s="2"/>
      <c r="T292" s="2" t="str">
        <v>tengah</v>
      </c>
      <c r="U292" s="2"/>
      <c r="V292" s="2"/>
    </row>
    <row r="293" spans="5:22">
      <c r="E293" s="2" t="str">
        <v>kiri</v>
      </c>
      <c r="F293" s="2"/>
      <c r="G293" s="2"/>
      <c r="J293" s="2" t="str">
        <v>kiri</v>
      </c>
      <c r="K293" s="2"/>
      <c r="L293" s="2"/>
      <c r="O293" s="2"/>
      <c r="P293" s="2"/>
      <c r="Q293" s="2"/>
      <c r="T293" s="2" t="str">
        <v>tengah</v>
      </c>
      <c r="U293" s="2"/>
      <c r="V293" s="2"/>
    </row>
    <row r="294" spans="5:22">
      <c r="E294" s="2" t="str">
        <v>kiri</v>
      </c>
      <c r="F294" s="2"/>
      <c r="G294" s="2"/>
      <c r="J294" s="2" t="str">
        <v>kiri</v>
      </c>
      <c r="K294" s="2"/>
      <c r="L294" s="2"/>
      <c r="O294" s="2"/>
      <c r="P294" s="2"/>
      <c r="Q294" s="2"/>
      <c r="T294" s="2" t="str">
        <v>kanan</v>
      </c>
      <c r="U294" s="2"/>
      <c r="V294" s="2"/>
    </row>
    <row r="295" spans="5:22">
      <c r="E295" s="2" t="str">
        <v>tengah</v>
      </c>
      <c r="F295" s="2"/>
      <c r="G295" s="2"/>
      <c r="J295" s="2" t="str">
        <v>tengah</v>
      </c>
      <c r="K295" s="2"/>
      <c r="L295" s="2"/>
      <c r="O295" s="2"/>
      <c r="P295" s="2"/>
      <c r="Q295" s="2"/>
      <c r="T295" s="2" t="str">
        <v>kanan</v>
      </c>
      <c r="U295" s="2"/>
      <c r="V295" s="2"/>
    </row>
    <row r="296" spans="5:22">
      <c r="E296" s="2" t="str">
        <v>kiri</v>
      </c>
      <c r="F296" s="2"/>
      <c r="G296" s="2"/>
      <c r="J296" s="2" t="str">
        <v>tengah</v>
      </c>
      <c r="K296" s="2"/>
      <c r="L296" s="2"/>
      <c r="O296" s="2"/>
      <c r="P296" s="2"/>
      <c r="Q296" s="2"/>
      <c r="T296" s="2" t="str">
        <v>kanan</v>
      </c>
      <c r="U296" s="2"/>
      <c r="V296" s="2"/>
    </row>
    <row r="297" spans="5:22">
      <c r="E297" s="2" t="str">
        <v>tengah</v>
      </c>
      <c r="F297" s="2"/>
      <c r="G297" s="2"/>
      <c r="J297" s="2" t="str">
        <v>tengah</v>
      </c>
      <c r="K297" s="2"/>
      <c r="L297" s="2"/>
      <c r="O297" s="2"/>
      <c r="P297" s="2"/>
      <c r="Q297" s="2"/>
      <c r="T297" s="2" t="str">
        <v>kanan</v>
      </c>
      <c r="U297" s="2"/>
      <c r="V297" s="2"/>
    </row>
    <row r="298" spans="5:22">
      <c r="E298" s="2" t="str">
        <v>tengah</v>
      </c>
      <c r="F298" s="2"/>
      <c r="G298" s="2"/>
      <c r="J298" s="2" t="str">
        <v>tengah</v>
      </c>
      <c r="K298" s="2"/>
      <c r="L298" s="2"/>
      <c r="O298" s="2"/>
      <c r="P298" s="2"/>
      <c r="Q298" s="2"/>
      <c r="T298" s="2" t="str">
        <v>tengah</v>
      </c>
      <c r="U298" s="2"/>
      <c r="V298" s="2"/>
    </row>
    <row r="299" spans="5:22">
      <c r="E299" s="2" t="str">
        <v>kanan</v>
      </c>
      <c r="F299" s="2"/>
      <c r="G299" s="2"/>
      <c r="J299" s="2" t="str">
        <v>tengah</v>
      </c>
      <c r="K299" s="2"/>
      <c r="L299" s="2"/>
      <c r="O299" s="2"/>
      <c r="P299" s="2"/>
      <c r="Q299" s="2"/>
      <c r="T299" s="2" t="str">
        <v>kanan</v>
      </c>
      <c r="U299" s="2"/>
      <c r="V299" s="2"/>
    </row>
    <row r="300" spans="5:22">
      <c r="E300" s="2" t="str">
        <v>kanan</v>
      </c>
      <c r="F300" s="2"/>
      <c r="G300" s="2"/>
      <c r="J300" s="2" t="str">
        <v>kanan</v>
      </c>
      <c r="K300" s="2"/>
      <c r="L300" s="2"/>
      <c r="O300" s="2"/>
      <c r="P300" s="2"/>
      <c r="Q300" s="2"/>
      <c r="T300" s="2" t="str">
        <v>kanan</v>
      </c>
      <c r="U300" s="2"/>
      <c r="V300" s="2"/>
    </row>
    <row r="301" spans="5:22">
      <c r="E301" s="2" t="str">
        <v>tengah</v>
      </c>
      <c r="F301" s="2"/>
      <c r="G301" s="2"/>
      <c r="J301" s="2" t="str">
        <v>tengah</v>
      </c>
      <c r="K301" s="2"/>
      <c r="L301" s="2"/>
      <c r="O301" s="2"/>
      <c r="P301" s="2"/>
      <c r="Q301" s="2"/>
      <c r="T301" s="2" t="str">
        <v>tengah</v>
      </c>
      <c r="U301" s="2"/>
      <c r="V301" s="2"/>
    </row>
    <row r="302" spans="5:22">
      <c r="E302" s="2" t="str">
        <v>tengah</v>
      </c>
      <c r="F302" s="2"/>
      <c r="G302" s="2"/>
      <c r="J302" s="2" t="str">
        <v>tengah</v>
      </c>
      <c r="K302" s="2"/>
      <c r="L302" s="2"/>
      <c r="O302" s="2"/>
      <c r="P302" s="2"/>
      <c r="Q302" s="2"/>
      <c r="T302" s="2" t="str">
        <v>tengah</v>
      </c>
      <c r="U302" s="2"/>
      <c r="V302" s="2"/>
    </row>
    <row r="303" spans="5:22">
      <c r="E303" s="2" t="str">
        <v>tengah</v>
      </c>
      <c r="F303" s="2"/>
      <c r="G303" s="2"/>
      <c r="J303" s="2" t="str">
        <v>tengah</v>
      </c>
      <c r="K303" s="2"/>
      <c r="L303" s="2"/>
      <c r="O303" s="2"/>
      <c r="P303" s="2"/>
      <c r="Q303" s="2"/>
      <c r="T303" s="2" t="str">
        <v>tengah</v>
      </c>
      <c r="U303" s="2"/>
      <c r="V303" s="2"/>
    </row>
    <row r="304" spans="5:22">
      <c r="E304" s="2" t="str">
        <v>tengah</v>
      </c>
      <c r="F304" s="2"/>
      <c r="G304" s="2"/>
      <c r="J304" s="2" t="str">
        <v>tengah</v>
      </c>
      <c r="K304" s="2"/>
      <c r="L304" s="2"/>
      <c r="O304" s="2"/>
      <c r="P304" s="2"/>
      <c r="Q304" s="2"/>
      <c r="T304" s="2" t="str">
        <v>kanan</v>
      </c>
      <c r="U304" s="2"/>
      <c r="V304" s="2"/>
    </row>
    <row r="305" spans="5:22">
      <c r="E305" s="2" t="str">
        <v>tengah</v>
      </c>
      <c r="F305" s="2"/>
      <c r="G305" s="2"/>
      <c r="J305" s="2" t="str">
        <v>tengah</v>
      </c>
      <c r="K305" s="2"/>
      <c r="L305" s="2"/>
      <c r="O305" s="2"/>
      <c r="P305" s="2"/>
      <c r="Q305" s="2"/>
      <c r="T305" s="2" t="str">
        <v>tengah</v>
      </c>
      <c r="U305" s="2"/>
      <c r="V305" s="2"/>
    </row>
    <row r="306" spans="5:22">
      <c r="E306" s="2" t="str">
        <v>kiri</v>
      </c>
      <c r="F306" s="2"/>
      <c r="G306" s="2"/>
      <c r="J306" s="2" t="str">
        <v>tengah</v>
      </c>
      <c r="K306" s="2"/>
      <c r="L306" s="2"/>
      <c r="O306" s="2"/>
      <c r="P306" s="2"/>
      <c r="Q306" s="2"/>
      <c r="T306" s="2" t="str">
        <v>tengah</v>
      </c>
      <c r="U306" s="2"/>
      <c r="V306" s="2"/>
    </row>
    <row r="307" spans="5:22">
      <c r="E307" s="2" t="str">
        <v>kiri</v>
      </c>
      <c r="F307" s="2"/>
      <c r="G307" s="2"/>
      <c r="J307" s="2" t="str">
        <v>tengah</v>
      </c>
      <c r="K307" s="2"/>
      <c r="L307" s="2"/>
      <c r="O307" s="2"/>
      <c r="P307" s="2"/>
      <c r="Q307" s="2"/>
      <c r="T307" s="2" t="str">
        <v>tengah</v>
      </c>
      <c r="U307" s="2"/>
      <c r="V307" s="2"/>
    </row>
    <row r="308" spans="5:22">
      <c r="E308" s="2" t="str">
        <v>tengah</v>
      </c>
      <c r="F308" s="2"/>
      <c r="G308" s="2"/>
      <c r="J308" s="2" t="str">
        <v>kanan</v>
      </c>
      <c r="K308" s="2"/>
      <c r="L308" s="2"/>
      <c r="O308" s="2"/>
      <c r="P308" s="2"/>
      <c r="Q308" s="2"/>
      <c r="T308" s="2" t="str">
        <v>kanan</v>
      </c>
      <c r="U308" s="2"/>
      <c r="V308" s="2"/>
    </row>
    <row r="309" spans="5:22">
      <c r="E309" s="2" t="str">
        <v>kiri</v>
      </c>
      <c r="F309" s="2"/>
      <c r="G309" s="2"/>
      <c r="J309" s="2" t="str">
        <v>tengah</v>
      </c>
      <c r="K309" s="2"/>
      <c r="L309" s="2"/>
      <c r="O309" s="2"/>
      <c r="P309" s="2"/>
      <c r="Q309" s="2"/>
      <c r="T309" s="2" t="str">
        <v>kanan</v>
      </c>
      <c r="U309" s="2"/>
      <c r="V309" s="2"/>
    </row>
    <row r="310" spans="5:22">
      <c r="E310" s="2" t="str">
        <v>tengah</v>
      </c>
      <c r="F310" s="2"/>
      <c r="G310" s="2"/>
      <c r="J310" s="2" t="str">
        <v>tengah</v>
      </c>
      <c r="K310" s="2"/>
      <c r="L310" s="2"/>
      <c r="O310" s="2"/>
      <c r="P310" s="2"/>
      <c r="Q310" s="2"/>
      <c r="T310" s="2" t="str">
        <v>tengah</v>
      </c>
      <c r="U310" s="2"/>
      <c r="V310" s="2"/>
    </row>
    <row r="311" spans="5:22">
      <c r="E311" s="2" t="str">
        <v>kiri</v>
      </c>
      <c r="F311" s="2"/>
      <c r="G311" s="2"/>
      <c r="J311" s="2" t="str">
        <v>kiri</v>
      </c>
      <c r="K311" s="2"/>
      <c r="L311" s="2"/>
      <c r="O311" s="2"/>
      <c r="P311" s="2"/>
      <c r="Q311" s="2"/>
      <c r="T311" s="2" t="str">
        <v>kanan</v>
      </c>
      <c r="U311" s="2"/>
      <c r="V311" s="2"/>
    </row>
    <row r="312" spans="5:22">
      <c r="E312" s="2" t="str">
        <v>kanan</v>
      </c>
      <c r="F312" s="2"/>
      <c r="G312" s="2"/>
      <c r="J312" s="2" t="str">
        <v>kiri</v>
      </c>
      <c r="K312" s="2"/>
      <c r="L312" s="2"/>
      <c r="O312" s="2"/>
      <c r="P312" s="2"/>
      <c r="Q312" s="2"/>
      <c r="T312" s="2" t="str">
        <v>kanan</v>
      </c>
      <c r="U312" s="2"/>
      <c r="V312" s="2"/>
    </row>
    <row r="313" spans="5:22">
      <c r="E313" s="2" t="str">
        <v>tengah</v>
      </c>
      <c r="F313" s="2"/>
      <c r="G313" s="2"/>
      <c r="J313" s="2" t="str">
        <v>tengah</v>
      </c>
      <c r="K313" s="2"/>
      <c r="L313" s="2"/>
      <c r="O313" s="2"/>
      <c r="P313" s="2"/>
      <c r="Q313" s="2"/>
      <c r="T313" s="2" t="str">
        <v>tengah</v>
      </c>
      <c r="U313" s="2"/>
      <c r="V313" s="2"/>
    </row>
    <row r="314" spans="5:22">
      <c r="E314" s="2" t="str">
        <v>tengah</v>
      </c>
      <c r="F314" s="2"/>
      <c r="G314" s="2"/>
      <c r="J314" s="2" t="str">
        <v>tengah</v>
      </c>
      <c r="K314" s="2"/>
      <c r="L314" s="2"/>
      <c r="O314" s="2"/>
      <c r="P314" s="2"/>
      <c r="Q314" s="2"/>
      <c r="T314" s="2" t="str">
        <v>tengah</v>
      </c>
      <c r="U314" s="2"/>
      <c r="V314" s="2"/>
    </row>
    <row r="315" spans="5:22">
      <c r="E315" s="2" t="str">
        <v>kiri</v>
      </c>
      <c r="F315" s="2"/>
      <c r="G315" s="2"/>
      <c r="J315" s="2" t="str">
        <v>tengah</v>
      </c>
      <c r="K315" s="2"/>
      <c r="L315" s="2"/>
      <c r="O315" s="2"/>
      <c r="P315" s="2"/>
      <c r="Q315" s="2"/>
      <c r="T315" s="2" t="str">
        <v>tengah</v>
      </c>
      <c r="U315" s="2"/>
      <c r="V315" s="2"/>
    </row>
    <row r="316" spans="5:22">
      <c r="E316" s="2" t="str">
        <v>kiri</v>
      </c>
      <c r="F316" s="2"/>
      <c r="G316" s="2"/>
      <c r="J316" s="2" t="str">
        <v>tengah</v>
      </c>
      <c r="K316" s="2"/>
      <c r="L316" s="2"/>
      <c r="O316" s="2"/>
      <c r="P316" s="2"/>
      <c r="Q316" s="2"/>
      <c r="T316" s="2" t="str">
        <v>tengah</v>
      </c>
      <c r="U316" s="2"/>
      <c r="V316" s="2"/>
    </row>
    <row r="317" spans="5:22">
      <c r="E317" s="2" t="str">
        <v>tengah</v>
      </c>
      <c r="F317" s="2"/>
      <c r="G317" s="2"/>
      <c r="J317" s="2" t="str">
        <v>kanan</v>
      </c>
      <c r="K317" s="2"/>
      <c r="L317" s="2"/>
      <c r="O317" s="2"/>
      <c r="P317" s="2"/>
      <c r="Q317" s="2"/>
      <c r="T317" s="2" t="str">
        <v>tengah</v>
      </c>
      <c r="U317" s="2"/>
      <c r="V317" s="2"/>
    </row>
    <row r="318" spans="5:22">
      <c r="E318" s="2" t="str">
        <v>kiri</v>
      </c>
      <c r="F318" s="2"/>
      <c r="G318" s="2"/>
      <c r="J318" s="2" t="str">
        <v>kiri</v>
      </c>
      <c r="K318" s="2"/>
      <c r="L318" s="2"/>
      <c r="O318" s="2"/>
      <c r="P318" s="2"/>
      <c r="Q318" s="2"/>
      <c r="T318" s="2" t="str">
        <v>kanan</v>
      </c>
      <c r="U318" s="2"/>
      <c r="V318" s="2"/>
    </row>
    <row r="319" spans="5:22">
      <c r="E319" s="2" t="str">
        <v>tengah</v>
      </c>
      <c r="F319" s="2"/>
      <c r="G319" s="2"/>
      <c r="J319" s="2" t="str">
        <v>kanan</v>
      </c>
      <c r="K319" s="2"/>
      <c r="L319" s="2"/>
      <c r="O319" s="2"/>
      <c r="P319" s="2"/>
      <c r="Q319" s="2"/>
      <c r="T319" s="2" t="str">
        <v>tengah</v>
      </c>
      <c r="U319" s="2"/>
      <c r="V319" s="2"/>
    </row>
    <row r="320" spans="5:22">
      <c r="E320" s="2" t="str">
        <v>tengah</v>
      </c>
      <c r="F320" s="2"/>
      <c r="G320" s="2"/>
      <c r="J320" s="2" t="str">
        <v>tengah</v>
      </c>
      <c r="K320" s="2"/>
      <c r="L320" s="2"/>
      <c r="O320" s="2"/>
      <c r="P320" s="2"/>
      <c r="Q320" s="2"/>
      <c r="T320" s="2" t="str">
        <v>kanan</v>
      </c>
      <c r="U320" s="2"/>
      <c r="V320" s="2"/>
    </row>
    <row r="321" spans="5:22">
      <c r="E321" s="2" t="str">
        <v>tengah</v>
      </c>
      <c r="F321" s="2"/>
      <c r="G321" s="2"/>
      <c r="J321" s="2" t="str">
        <v>tengah</v>
      </c>
      <c r="K321" s="2"/>
      <c r="L321" s="2"/>
      <c r="O321" s="2"/>
      <c r="P321" s="2"/>
      <c r="Q321" s="2"/>
      <c r="T321" s="2" t="str">
        <v>kanan</v>
      </c>
      <c r="U321" s="2"/>
      <c r="V321" s="2"/>
    </row>
    <row r="322" spans="5:22">
      <c r="E322" s="2" t="str">
        <v>kiri</v>
      </c>
      <c r="F322" s="2"/>
      <c r="G322" s="2"/>
      <c r="J322" s="2" t="str">
        <v>tengah</v>
      </c>
      <c r="K322" s="2"/>
      <c r="L322" s="2"/>
      <c r="O322" s="2"/>
      <c r="P322" s="2"/>
      <c r="Q322" s="2"/>
      <c r="T322" s="2" t="str">
        <v>kanan</v>
      </c>
      <c r="U322" s="2"/>
      <c r="V322" s="2"/>
    </row>
    <row r="323" spans="5:22">
      <c r="E323" s="2" t="str">
        <v>kanan</v>
      </c>
      <c r="F323" s="2"/>
      <c r="G323" s="2"/>
      <c r="J323" s="2" t="str">
        <v>tengah</v>
      </c>
      <c r="K323" s="2"/>
      <c r="L323" s="2"/>
      <c r="O323" s="2"/>
      <c r="P323" s="2"/>
      <c r="Q323" s="2"/>
      <c r="T323" s="2" t="str">
        <v>kanan</v>
      </c>
      <c r="U323" s="2"/>
      <c r="V323" s="2"/>
    </row>
    <row r="324" spans="5:22">
      <c r="E324" s="2" t="str">
        <v>kanan</v>
      </c>
      <c r="F324" s="2"/>
      <c r="G324" s="2"/>
      <c r="J324" s="2" t="str">
        <v>tengah</v>
      </c>
      <c r="K324" s="2"/>
      <c r="L324" s="2"/>
      <c r="O324" s="2"/>
      <c r="P324" s="2"/>
      <c r="Q324" s="2"/>
      <c r="T324" s="2" t="str">
        <v>kanan</v>
      </c>
      <c r="U324" s="2"/>
      <c r="V324" s="2"/>
    </row>
    <row r="325" spans="5:22">
      <c r="E325" s="2" t="str">
        <v>kiri</v>
      </c>
      <c r="F325" s="2"/>
      <c r="G325" s="2"/>
      <c r="J325" s="2" t="str">
        <v>tengah</v>
      </c>
      <c r="K325" s="2"/>
      <c r="L325" s="2"/>
      <c r="O325" s="2"/>
      <c r="P325" s="2"/>
      <c r="Q325" s="2"/>
      <c r="T325" s="2" t="str">
        <v>kanan</v>
      </c>
      <c r="U325" s="2"/>
      <c r="V325" s="2"/>
    </row>
    <row r="326" spans="5:22">
      <c r="E326" s="2" t="str">
        <v>tengah</v>
      </c>
      <c r="F326" s="2"/>
      <c r="G326" s="2"/>
      <c r="J326" s="2" t="str">
        <v>tengah</v>
      </c>
      <c r="K326" s="2"/>
      <c r="L326" s="2"/>
      <c r="O326" s="2"/>
      <c r="P326" s="2"/>
      <c r="Q326" s="2"/>
      <c r="T326" s="2" t="str">
        <v>tengah</v>
      </c>
      <c r="U326" s="2"/>
      <c r="V326" s="2"/>
    </row>
    <row r="327" spans="5:22">
      <c r="E327" s="2" t="str">
        <v>tengah</v>
      </c>
      <c r="F327" s="2"/>
      <c r="G327" s="2"/>
      <c r="J327" s="2" t="str">
        <v>kanan</v>
      </c>
      <c r="K327" s="2"/>
      <c r="L327" s="2"/>
      <c r="O327" s="2"/>
      <c r="P327" s="2"/>
      <c r="Q327" s="2"/>
      <c r="T327" s="2" t="str">
        <v>tengah</v>
      </c>
      <c r="U327" s="2"/>
      <c r="V327" s="2"/>
    </row>
    <row r="328" spans="5:22">
      <c r="E328" s="2" t="str">
        <v>kiri</v>
      </c>
      <c r="F328" s="2"/>
      <c r="G328" s="2"/>
      <c r="J328" s="2" t="str">
        <v>tengah</v>
      </c>
      <c r="K328" s="2"/>
      <c r="L328" s="2"/>
      <c r="O328" s="2"/>
      <c r="P328" s="2"/>
      <c r="Q328" s="2"/>
      <c r="T328" s="2" t="str">
        <v>tengah</v>
      </c>
      <c r="U328" s="2"/>
      <c r="V328" s="2"/>
    </row>
    <row r="329" spans="5:22">
      <c r="E329" s="2" t="str">
        <v>tengah</v>
      </c>
      <c r="F329" s="2"/>
      <c r="G329" s="2"/>
      <c r="J329" s="2" t="str">
        <v>kanan</v>
      </c>
      <c r="K329" s="2"/>
      <c r="L329" s="2"/>
      <c r="O329" s="2"/>
      <c r="P329" s="2"/>
      <c r="Q329" s="2"/>
      <c r="T329" s="2" t="str">
        <v>kanan</v>
      </c>
      <c r="U329" s="2"/>
      <c r="V329" s="2"/>
    </row>
    <row r="330" spans="5:22">
      <c r="E330" s="2" t="str">
        <v>kiri</v>
      </c>
      <c r="F330" s="2"/>
      <c r="G330" s="2"/>
      <c r="J330" s="2" t="str">
        <v>tengah</v>
      </c>
      <c r="K330" s="2"/>
      <c r="L330" s="2"/>
      <c r="O330" s="2"/>
      <c r="P330" s="2"/>
      <c r="Q330" s="2"/>
      <c r="T330" s="2" t="str">
        <v>tengah</v>
      </c>
      <c r="U330" s="2"/>
      <c r="V330" s="2"/>
    </row>
    <row r="331" spans="5:22">
      <c r="E331" s="2" t="str">
        <v>tengah</v>
      </c>
      <c r="F331" s="2"/>
      <c r="G331" s="2"/>
      <c r="J331" s="2" t="str">
        <v>tengah</v>
      </c>
      <c r="K331" s="2"/>
      <c r="L331" s="2"/>
      <c r="O331" s="2"/>
      <c r="P331" s="2"/>
      <c r="Q331" s="2"/>
      <c r="T331" s="2" t="str">
        <v>tengah</v>
      </c>
      <c r="U331" s="2"/>
      <c r="V331" s="2"/>
    </row>
    <row r="332" spans="5:22">
      <c r="E332" s="2" t="str">
        <v>kiri</v>
      </c>
      <c r="F332" s="2"/>
      <c r="G332" s="2"/>
      <c r="J332" s="2" t="str">
        <v>tengah</v>
      </c>
      <c r="K332" s="2"/>
      <c r="L332" s="2"/>
      <c r="O332" s="2"/>
      <c r="P332" s="2"/>
      <c r="Q332" s="2"/>
      <c r="T332" s="2" t="str">
        <v>kanan</v>
      </c>
      <c r="U332" s="2"/>
      <c r="V332" s="2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32"/>
  <sheetViews>
    <sheetView topLeftCell="F1" zoomScale="98" zoomScaleNormal="98" workbookViewId="0">
      <selection activeCell="V160" sqref="V160"/>
    </sheetView>
  </sheetViews>
  <sheetFormatPr defaultColWidth="9" defaultRowHeight="15"/>
  <cols>
    <col min="2" max="3" width="15.85546875" customWidth="1"/>
    <col min="4" max="5" width="13.85546875" customWidth="1"/>
    <col min="9" max="9" width="15.85546875" customWidth="1"/>
    <col min="10" max="10" width="13.28515625" customWidth="1"/>
    <col min="11" max="11" width="13.85546875" customWidth="1"/>
    <col min="14" max="14" width="12.5703125" customWidth="1"/>
    <col min="15" max="15" width="16.140625" customWidth="1"/>
  </cols>
  <sheetData>
    <row r="1" spans="1:17">
      <c r="A1" s="1" t="s">
        <v>171</v>
      </c>
      <c r="B1" s="1" t="s">
        <v>2</v>
      </c>
      <c r="C1" s="1" t="s">
        <v>4</v>
      </c>
      <c r="D1" s="1" t="s">
        <v>5</v>
      </c>
      <c r="H1" s="8" t="s">
        <v>171</v>
      </c>
      <c r="I1" s="8" t="s">
        <v>2</v>
      </c>
      <c r="J1" s="8" t="s">
        <v>4</v>
      </c>
      <c r="K1" s="8" t="s">
        <v>5</v>
      </c>
      <c r="O1" s="1" t="s">
        <v>173</v>
      </c>
      <c r="P1" s="3"/>
      <c r="Q1" s="3"/>
    </row>
    <row r="2" spans="1:17">
      <c r="A2" s="2">
        <f ca="1">RANDBETWEEN(2,164)</f>
        <v>104</v>
      </c>
      <c r="B2" s="2" cm="1">
        <f t="array" ref="B2" ca="1">INDEX(Data_DBD!$C:$C,$A2)</f>
        <v>4</v>
      </c>
      <c r="C2" s="2" cm="1">
        <f t="array" ref="C2" ca="1">INDEX(Data_DBD!$E:$E,$A2)</f>
        <v>1</v>
      </c>
      <c r="D2" s="2" t="str" cm="1">
        <f t="array" ref="D2" ca="1">INDEX(Data_DBD!$F:$F,$A2)</f>
        <v>Tinggi</v>
      </c>
      <c r="H2" s="2">
        <v>98</v>
      </c>
      <c r="I2" s="2">
        <v>2</v>
      </c>
      <c r="J2" s="2">
        <v>1</v>
      </c>
      <c r="K2" s="2" t="s">
        <v>97</v>
      </c>
      <c r="O2" s="3" t="s">
        <v>97</v>
      </c>
      <c r="P2" s="3">
        <f>COUNTIF(K2:K164,"Tinggi")</f>
        <v>70</v>
      </c>
      <c r="Q2" s="3">
        <f>P2/163</f>
        <v>0.42944785276073599</v>
      </c>
    </row>
    <row r="3" spans="1:17">
      <c r="A3" s="2">
        <f t="shared" ref="A3:A66" ca="1" si="0">RANDBETWEEN(2,164)</f>
        <v>146</v>
      </c>
      <c r="B3" s="2" cm="1">
        <f t="array" ref="B3" ca="1">INDEX(Data_DBD!$C:$C,$A3)</f>
        <v>2</v>
      </c>
      <c r="C3" s="2" cm="1">
        <f t="array" ref="C3" ca="1">INDEX(Data_DBD!$E:$E,$A3)</f>
        <v>1</v>
      </c>
      <c r="D3" s="2" t="str" cm="1">
        <f t="array" ref="D3" ca="1">INDEX(Data_DBD!$F:$F,$A3)</f>
        <v>Tinggi</v>
      </c>
      <c r="H3" s="2">
        <v>126</v>
      </c>
      <c r="I3" s="2">
        <v>3</v>
      </c>
      <c r="J3" s="2">
        <v>1</v>
      </c>
      <c r="K3" s="2" t="s">
        <v>97</v>
      </c>
      <c r="O3" s="3" t="s">
        <v>7</v>
      </c>
      <c r="P3" s="3">
        <f>COUNTIF(K2:K164,"Sedang")</f>
        <v>81</v>
      </c>
      <c r="Q3" s="3">
        <f>P3/163</f>
        <v>0.496932515337423</v>
      </c>
    </row>
    <row r="4" spans="1:17">
      <c r="A4" s="2">
        <f t="shared" ca="1" si="0"/>
        <v>58</v>
      </c>
      <c r="B4" s="2" cm="1">
        <f t="array" ref="B4" ca="1">INDEX(Data_DBD!$C:$C,$A4)</f>
        <v>3</v>
      </c>
      <c r="C4" s="2" cm="1">
        <f t="array" ref="C4" ca="1">INDEX(Data_DBD!$E:$E,$A4)</f>
        <v>0</v>
      </c>
      <c r="D4" s="2" t="str" cm="1">
        <f t="array" ref="D4" ca="1">INDEX(Data_DBD!$F:$F,$A4)</f>
        <v>Sedang</v>
      </c>
      <c r="H4" s="2">
        <v>49</v>
      </c>
      <c r="I4" s="2">
        <v>5</v>
      </c>
      <c r="J4" s="2">
        <v>0</v>
      </c>
      <c r="K4" s="2" t="s">
        <v>7</v>
      </c>
      <c r="O4" s="3" t="s">
        <v>20</v>
      </c>
      <c r="P4" s="3">
        <f>COUNTIF(K2:K164,"Rendah")</f>
        <v>12</v>
      </c>
      <c r="Q4" s="3">
        <f>P4/163</f>
        <v>7.3619631901840496E-2</v>
      </c>
    </row>
    <row r="5" spans="1:17">
      <c r="A5" s="2">
        <f t="shared" ca="1" si="0"/>
        <v>65</v>
      </c>
      <c r="B5" s="2" cm="1">
        <f t="array" ref="B5" ca="1">INDEX(Data_DBD!$C:$C,$A5)</f>
        <v>3</v>
      </c>
      <c r="C5" s="2" cm="1">
        <f t="array" ref="C5" ca="1">INDEX(Data_DBD!$E:$E,$A5)</f>
        <v>0</v>
      </c>
      <c r="D5" s="2" t="str" cm="1">
        <f t="array" ref="D5" ca="1">INDEX(Data_DBD!$F:$F,$A5)</f>
        <v>Sedang</v>
      </c>
      <c r="H5" s="2">
        <v>14</v>
      </c>
      <c r="I5" s="2">
        <v>4</v>
      </c>
      <c r="J5" s="2">
        <v>1</v>
      </c>
      <c r="K5" s="2" t="s">
        <v>20</v>
      </c>
      <c r="O5" s="4" t="s">
        <v>174</v>
      </c>
      <c r="P5">
        <f>-(IFERROR(Q2*LOG(Q2,2),0)+IFERROR(Q3*LOG(Q3,2),0)+IFERROR(Q4*LOG(Q4,2),0))</f>
        <v>1.30211949516079</v>
      </c>
    </row>
    <row r="6" spans="1:17">
      <c r="A6" s="2">
        <f t="shared" ca="1" si="0"/>
        <v>58</v>
      </c>
      <c r="B6" s="2" cm="1">
        <f t="array" ref="B6" ca="1">INDEX(Data_DBD!$C:$C,$A6)</f>
        <v>3</v>
      </c>
      <c r="C6" s="2" cm="1">
        <f t="array" ref="C6" ca="1">INDEX(Data_DBD!$E:$E,$A6)</f>
        <v>0</v>
      </c>
      <c r="D6" s="2" t="str" cm="1">
        <f t="array" ref="D6" ca="1">INDEX(Data_DBD!$F:$F,$A6)</f>
        <v>Sedang</v>
      </c>
      <c r="H6" s="2">
        <v>54</v>
      </c>
      <c r="I6" s="2">
        <v>3</v>
      </c>
      <c r="J6" s="2">
        <v>0</v>
      </c>
      <c r="K6" s="2" t="s">
        <v>7</v>
      </c>
    </row>
    <row r="7" spans="1:17">
      <c r="A7" s="2">
        <f t="shared" ca="1" si="0"/>
        <v>113</v>
      </c>
      <c r="B7" s="2" cm="1">
        <f t="array" ref="B7" ca="1">INDEX(Data_DBD!$C:$C,$A7)</f>
        <v>1</v>
      </c>
      <c r="C7" s="2" cm="1">
        <f t="array" ref="C7" ca="1">INDEX(Data_DBD!$E:$E,$A7)</f>
        <v>1</v>
      </c>
      <c r="D7" s="2" t="str" cm="1">
        <f t="array" ref="D7" ca="1">INDEX(Data_DBD!$F:$F,$A7)</f>
        <v>Tinggi</v>
      </c>
      <c r="H7" s="2">
        <v>80</v>
      </c>
      <c r="I7" s="2">
        <v>3</v>
      </c>
      <c r="J7" s="2">
        <v>1</v>
      </c>
      <c r="K7" s="2" t="s">
        <v>7</v>
      </c>
    </row>
    <row r="8" spans="1:17">
      <c r="A8" s="2">
        <f t="shared" ca="1" si="0"/>
        <v>68</v>
      </c>
      <c r="B8" s="2" cm="1">
        <f t="array" ref="B8" ca="1">INDEX(Data_DBD!$C:$C,$A8)</f>
        <v>5</v>
      </c>
      <c r="C8" s="2" cm="1">
        <f t="array" ref="C8" ca="1">INDEX(Data_DBD!$E:$E,$A8)</f>
        <v>0</v>
      </c>
      <c r="D8" s="2" t="str" cm="1">
        <f t="array" ref="D8" ca="1">INDEX(Data_DBD!$F:$F,$A8)</f>
        <v>Sedang</v>
      </c>
      <c r="H8" s="2">
        <v>36</v>
      </c>
      <c r="I8" s="2">
        <v>1</v>
      </c>
      <c r="J8" s="2">
        <v>1</v>
      </c>
      <c r="K8" s="2" t="s">
        <v>20</v>
      </c>
    </row>
    <row r="9" spans="1:17">
      <c r="A9" s="2">
        <f t="shared" ca="1" si="0"/>
        <v>108</v>
      </c>
      <c r="B9" s="2" cm="1">
        <f t="array" ref="B9" ca="1">INDEX(Data_DBD!$C:$C,$A9)</f>
        <v>7</v>
      </c>
      <c r="C9" s="2" cm="1">
        <f t="array" ref="C9" ca="1">INDEX(Data_DBD!$E:$E,$A9)</f>
        <v>1</v>
      </c>
      <c r="D9" s="2" t="str" cm="1">
        <f t="array" ref="D9" ca="1">INDEX(Data_DBD!$F:$F,$A9)</f>
        <v>Tinggi</v>
      </c>
      <c r="H9" s="2">
        <v>105</v>
      </c>
      <c r="I9" s="2">
        <v>3</v>
      </c>
      <c r="J9" s="2">
        <v>1</v>
      </c>
      <c r="K9" s="2" t="s">
        <v>97</v>
      </c>
    </row>
    <row r="10" spans="1:17">
      <c r="A10" s="2">
        <f t="shared" ca="1" si="0"/>
        <v>161</v>
      </c>
      <c r="B10" s="2" cm="1">
        <f t="array" ref="B10" ca="1">INDEX(Data_DBD!$C:$C,$A10)</f>
        <v>3</v>
      </c>
      <c r="C10" s="2" cm="1">
        <f t="array" ref="C10" ca="1">INDEX(Data_DBD!$E:$E,$A10)</f>
        <v>1</v>
      </c>
      <c r="D10" s="2" t="str" cm="1">
        <f t="array" ref="D10" ca="1">INDEX(Data_DBD!$F:$F,$A10)</f>
        <v>Tinggi</v>
      </c>
      <c r="H10" s="2">
        <v>26</v>
      </c>
      <c r="I10" s="2">
        <v>4</v>
      </c>
      <c r="J10" s="2">
        <v>1</v>
      </c>
      <c r="K10" s="2" t="s">
        <v>7</v>
      </c>
    </row>
    <row r="11" spans="1:17">
      <c r="A11" s="2">
        <f t="shared" ca="1" si="0"/>
        <v>65</v>
      </c>
      <c r="B11" s="2" cm="1">
        <f t="array" ref="B11" ca="1">INDEX(Data_DBD!$C:$C,$A11)</f>
        <v>3</v>
      </c>
      <c r="C11" s="2" cm="1">
        <f t="array" ref="C11" ca="1">INDEX(Data_DBD!$E:$E,$A11)</f>
        <v>0</v>
      </c>
      <c r="D11" s="2" t="str" cm="1">
        <f t="array" ref="D11" ca="1">INDEX(Data_DBD!$F:$F,$A11)</f>
        <v>Sedang</v>
      </c>
      <c r="H11" s="2">
        <v>63</v>
      </c>
      <c r="I11" s="2">
        <v>3</v>
      </c>
      <c r="J11" s="2">
        <v>0</v>
      </c>
      <c r="K11" s="2" t="s">
        <v>7</v>
      </c>
    </row>
    <row r="12" spans="1:17">
      <c r="A12" s="2">
        <f t="shared" ca="1" si="0"/>
        <v>49</v>
      </c>
      <c r="B12" s="2" cm="1">
        <f t="array" ref="B12" ca="1">INDEX(Data_DBD!$C:$C,$A12)</f>
        <v>5</v>
      </c>
      <c r="C12" s="2" cm="1">
        <f t="array" ref="C12" ca="1">INDEX(Data_DBD!$E:$E,$A12)</f>
        <v>0</v>
      </c>
      <c r="D12" s="2" t="str" cm="1">
        <f t="array" ref="D12" ca="1">INDEX(Data_DBD!$F:$F,$A12)</f>
        <v>Sedang</v>
      </c>
      <c r="H12" s="2">
        <v>107</v>
      </c>
      <c r="I12" s="2">
        <v>5</v>
      </c>
      <c r="J12" s="2">
        <v>0</v>
      </c>
      <c r="K12" s="2" t="s">
        <v>97</v>
      </c>
    </row>
    <row r="13" spans="1:17">
      <c r="A13" s="2">
        <f t="shared" ca="1" si="0"/>
        <v>118</v>
      </c>
      <c r="B13" s="2" cm="1">
        <f t="array" ref="B13" ca="1">INDEX(Data_DBD!$C:$C,$A13)</f>
        <v>4</v>
      </c>
      <c r="C13" s="2" cm="1">
        <f t="array" ref="C13" ca="1">INDEX(Data_DBD!$E:$E,$A13)</f>
        <v>1</v>
      </c>
      <c r="D13" s="2" t="str" cm="1">
        <f t="array" ref="D13" ca="1">INDEX(Data_DBD!$F:$F,$A13)</f>
        <v>Tinggi</v>
      </c>
      <c r="H13" s="2">
        <v>50</v>
      </c>
      <c r="I13" s="2">
        <v>5</v>
      </c>
      <c r="J13" s="2">
        <v>0</v>
      </c>
      <c r="K13" s="2" t="s">
        <v>7</v>
      </c>
    </row>
    <row r="14" spans="1:17">
      <c r="A14" s="2">
        <f t="shared" ca="1" si="0"/>
        <v>47</v>
      </c>
      <c r="B14" s="2" cm="1">
        <f t="array" ref="B14" ca="1">INDEX(Data_DBD!$C:$C,$A14)</f>
        <v>2</v>
      </c>
      <c r="C14" s="2" cm="1">
        <f t="array" ref="C14" ca="1">INDEX(Data_DBD!$E:$E,$A14)</f>
        <v>0</v>
      </c>
      <c r="D14" s="2" t="str" cm="1">
        <f t="array" ref="D14" ca="1">INDEX(Data_DBD!$F:$F,$A14)</f>
        <v>Sedang</v>
      </c>
      <c r="H14" s="2">
        <v>99</v>
      </c>
      <c r="I14" s="2">
        <v>2</v>
      </c>
      <c r="J14" s="2">
        <v>1</v>
      </c>
      <c r="K14" s="2" t="s">
        <v>97</v>
      </c>
    </row>
    <row r="15" spans="1:17">
      <c r="A15" s="2">
        <f t="shared" ca="1" si="0"/>
        <v>46</v>
      </c>
      <c r="B15" s="2" cm="1">
        <f t="array" ref="B15" ca="1">INDEX(Data_DBD!$C:$C,$A15)</f>
        <v>2</v>
      </c>
      <c r="C15" s="2" cm="1">
        <f t="array" ref="C15" ca="1">INDEX(Data_DBD!$E:$E,$A15)</f>
        <v>0</v>
      </c>
      <c r="D15" s="2" t="str" cm="1">
        <f t="array" ref="D15" ca="1">INDEX(Data_DBD!$F:$F,$A15)</f>
        <v>Sedang</v>
      </c>
      <c r="H15" s="2">
        <v>149</v>
      </c>
      <c r="I15" s="2">
        <v>5</v>
      </c>
      <c r="J15" s="2">
        <v>0</v>
      </c>
      <c r="K15" s="2" t="s">
        <v>97</v>
      </c>
    </row>
    <row r="16" spans="1:17">
      <c r="A16" s="2">
        <f t="shared" ca="1" si="0"/>
        <v>90</v>
      </c>
      <c r="B16" s="2" cm="1">
        <f t="array" ref="B16" ca="1">INDEX(Data_DBD!$C:$C,$A16)</f>
        <v>3</v>
      </c>
      <c r="C16" s="2" cm="1">
        <f t="array" ref="C16" ca="1">INDEX(Data_DBD!$E:$E,$A16)</f>
        <v>0</v>
      </c>
      <c r="D16" s="2" t="str" cm="1">
        <f t="array" ref="D16" ca="1">INDEX(Data_DBD!$F:$F,$A16)</f>
        <v>Tinggi</v>
      </c>
      <c r="H16" s="2">
        <v>72</v>
      </c>
      <c r="I16" s="2">
        <v>5</v>
      </c>
      <c r="J16" s="2">
        <v>1</v>
      </c>
      <c r="K16" s="2" t="s">
        <v>7</v>
      </c>
    </row>
    <row r="17" spans="1:11">
      <c r="A17" s="2">
        <f t="shared" ca="1" si="0"/>
        <v>104</v>
      </c>
      <c r="B17" s="2" cm="1">
        <f t="array" ref="B17" ca="1">INDEX(Data_DBD!$C:$C,$A17)</f>
        <v>4</v>
      </c>
      <c r="C17" s="2" cm="1">
        <f t="array" ref="C17" ca="1">INDEX(Data_DBD!$E:$E,$A17)</f>
        <v>1</v>
      </c>
      <c r="D17" s="2" t="str" cm="1">
        <f t="array" ref="D17" ca="1">INDEX(Data_DBD!$F:$F,$A17)</f>
        <v>Tinggi</v>
      </c>
      <c r="H17" s="2">
        <v>109</v>
      </c>
      <c r="I17" s="2">
        <v>3</v>
      </c>
      <c r="J17" s="2">
        <v>1</v>
      </c>
      <c r="K17" s="2" t="s">
        <v>97</v>
      </c>
    </row>
    <row r="18" spans="1:11">
      <c r="A18" s="2">
        <f t="shared" ca="1" si="0"/>
        <v>9</v>
      </c>
      <c r="B18" s="2" cm="1">
        <f t="array" ref="B18" ca="1">INDEX(Data_DBD!$C:$C,$A18)</f>
        <v>6</v>
      </c>
      <c r="C18" s="2" cm="1">
        <f t="array" ref="C18" ca="1">INDEX(Data_DBD!$E:$E,$A18)</f>
        <v>1</v>
      </c>
      <c r="D18" s="2" t="str" cm="1">
        <f t="array" ref="D18" ca="1">INDEX(Data_DBD!$F:$F,$A18)</f>
        <v>Sedang</v>
      </c>
      <c r="H18" s="2">
        <v>88</v>
      </c>
      <c r="I18" s="2">
        <v>4</v>
      </c>
      <c r="J18" s="2">
        <v>1</v>
      </c>
      <c r="K18" s="2" t="s">
        <v>7</v>
      </c>
    </row>
    <row r="19" spans="1:11">
      <c r="A19" s="2">
        <f t="shared" ca="1" si="0"/>
        <v>117</v>
      </c>
      <c r="B19" s="2" cm="1">
        <f t="array" ref="B19" ca="1">INDEX(Data_DBD!$C:$C,$A19)</f>
        <v>4</v>
      </c>
      <c r="C19" s="2" cm="1">
        <f t="array" ref="C19" ca="1">INDEX(Data_DBD!$E:$E,$A19)</f>
        <v>1</v>
      </c>
      <c r="D19" s="2" t="str" cm="1">
        <f t="array" ref="D19" ca="1">INDEX(Data_DBD!$F:$F,$A19)</f>
        <v>Tinggi</v>
      </c>
      <c r="H19" s="2">
        <v>56</v>
      </c>
      <c r="I19" s="2">
        <v>3</v>
      </c>
      <c r="J19" s="2">
        <v>0</v>
      </c>
      <c r="K19" s="2" t="s">
        <v>7</v>
      </c>
    </row>
    <row r="20" spans="1:11">
      <c r="A20" s="2">
        <f t="shared" ca="1" si="0"/>
        <v>95</v>
      </c>
      <c r="B20" s="2" cm="1">
        <f t="array" ref="B20" ca="1">INDEX(Data_DBD!$C:$C,$A20)</f>
        <v>3</v>
      </c>
      <c r="C20" s="2" cm="1">
        <f t="array" ref="C20" ca="1">INDEX(Data_DBD!$E:$E,$A20)</f>
        <v>1</v>
      </c>
      <c r="D20" s="2" t="str" cm="1">
        <f t="array" ref="D20" ca="1">INDEX(Data_DBD!$F:$F,$A20)</f>
        <v>Tinggi</v>
      </c>
      <c r="H20" s="2">
        <v>39</v>
      </c>
      <c r="I20" s="2">
        <v>5</v>
      </c>
      <c r="J20" s="2">
        <v>1</v>
      </c>
      <c r="K20" s="2" t="s">
        <v>7</v>
      </c>
    </row>
    <row r="21" spans="1:11">
      <c r="A21" s="2">
        <f t="shared" ca="1" si="0"/>
        <v>48</v>
      </c>
      <c r="B21" s="2" cm="1">
        <f t="array" ref="B21" ca="1">INDEX(Data_DBD!$C:$C,$A21)</f>
        <v>5</v>
      </c>
      <c r="C21" s="2" cm="1">
        <f t="array" ref="C21" ca="1">INDEX(Data_DBD!$E:$E,$A21)</f>
        <v>1</v>
      </c>
      <c r="D21" s="2" t="str" cm="1">
        <f t="array" ref="D21" ca="1">INDEX(Data_DBD!$F:$F,$A21)</f>
        <v>Sedang</v>
      </c>
      <c r="H21" s="2">
        <v>72</v>
      </c>
      <c r="I21" s="2">
        <v>5</v>
      </c>
      <c r="J21" s="2">
        <v>1</v>
      </c>
      <c r="K21" s="2" t="s">
        <v>7</v>
      </c>
    </row>
    <row r="22" spans="1:11">
      <c r="A22" s="2">
        <f t="shared" ca="1" si="0"/>
        <v>65</v>
      </c>
      <c r="B22" s="2" cm="1">
        <f t="array" ref="B22" ca="1">INDEX(Data_DBD!$C:$C,$A22)</f>
        <v>3</v>
      </c>
      <c r="C22" s="2" cm="1">
        <f t="array" ref="C22" ca="1">INDEX(Data_DBD!$E:$E,$A22)</f>
        <v>0</v>
      </c>
      <c r="D22" s="2" t="str" cm="1">
        <f t="array" ref="D22" ca="1">INDEX(Data_DBD!$F:$F,$A22)</f>
        <v>Sedang</v>
      </c>
      <c r="H22" s="2">
        <v>128</v>
      </c>
      <c r="I22" s="2">
        <v>2</v>
      </c>
      <c r="J22" s="2">
        <v>0</v>
      </c>
      <c r="K22" s="2" t="s">
        <v>97</v>
      </c>
    </row>
    <row r="23" spans="1:11">
      <c r="A23" s="2">
        <f t="shared" ca="1" si="0"/>
        <v>154</v>
      </c>
      <c r="B23" s="2" cm="1">
        <f t="array" ref="B23" ca="1">INDEX(Data_DBD!$C:$C,$A23)</f>
        <v>5</v>
      </c>
      <c r="C23" s="2" cm="1">
        <f t="array" ref="C23" ca="1">INDEX(Data_DBD!$E:$E,$A23)</f>
        <v>1</v>
      </c>
      <c r="D23" s="2" t="str" cm="1">
        <f t="array" ref="D23" ca="1">INDEX(Data_DBD!$F:$F,$A23)</f>
        <v>Tinggi</v>
      </c>
      <c r="H23" s="2">
        <v>35</v>
      </c>
      <c r="I23" s="2">
        <v>3</v>
      </c>
      <c r="J23" s="2">
        <v>1</v>
      </c>
      <c r="K23" s="2" t="s">
        <v>20</v>
      </c>
    </row>
    <row r="24" spans="1:11">
      <c r="A24" s="2">
        <f t="shared" ca="1" si="0"/>
        <v>78</v>
      </c>
      <c r="B24" s="2" cm="1">
        <f t="array" ref="B24" ca="1">INDEX(Data_DBD!$C:$C,$A24)</f>
        <v>3</v>
      </c>
      <c r="C24" s="2" cm="1">
        <f t="array" ref="C24" ca="1">INDEX(Data_DBD!$E:$E,$A24)</f>
        <v>0</v>
      </c>
      <c r="D24" s="2" t="str" cm="1">
        <f t="array" ref="D24" ca="1">INDEX(Data_DBD!$F:$F,$A24)</f>
        <v>Sedang</v>
      </c>
      <c r="H24" s="2">
        <v>98</v>
      </c>
      <c r="I24" s="2">
        <v>2</v>
      </c>
      <c r="J24" s="2">
        <v>1</v>
      </c>
      <c r="K24" s="2" t="s">
        <v>97</v>
      </c>
    </row>
    <row r="25" spans="1:11">
      <c r="A25" s="2">
        <f t="shared" ca="1" si="0"/>
        <v>29</v>
      </c>
      <c r="B25" s="2" cm="1">
        <f t="array" ref="B25" ca="1">INDEX(Data_DBD!$C:$C,$A25)</f>
        <v>2</v>
      </c>
      <c r="C25" s="2" cm="1">
        <f t="array" ref="C25" ca="1">INDEX(Data_DBD!$E:$E,$A25)</f>
        <v>1</v>
      </c>
      <c r="D25" s="2" t="str" cm="1">
        <f t="array" ref="D25" ca="1">INDEX(Data_DBD!$F:$F,$A25)</f>
        <v>Sedang</v>
      </c>
      <c r="H25" s="2">
        <v>12</v>
      </c>
      <c r="I25" s="2">
        <v>3</v>
      </c>
      <c r="J25" s="2">
        <v>0</v>
      </c>
      <c r="K25" s="2" t="s">
        <v>7</v>
      </c>
    </row>
    <row r="26" spans="1:11">
      <c r="A26" s="2">
        <f t="shared" ca="1" si="0"/>
        <v>129</v>
      </c>
      <c r="B26" s="2" cm="1">
        <f t="array" ref="B26" ca="1">INDEX(Data_DBD!$C:$C,$A26)</f>
        <v>3</v>
      </c>
      <c r="C26" s="2" cm="1">
        <f t="array" ref="C26" ca="1">INDEX(Data_DBD!$E:$E,$A26)</f>
        <v>0</v>
      </c>
      <c r="D26" s="2" t="str" cm="1">
        <f t="array" ref="D26" ca="1">INDEX(Data_DBD!$F:$F,$A26)</f>
        <v>Tinggi</v>
      </c>
      <c r="H26" s="2">
        <v>7</v>
      </c>
      <c r="I26" s="2">
        <v>1</v>
      </c>
      <c r="J26" s="2">
        <v>1</v>
      </c>
      <c r="K26" s="2" t="s">
        <v>7</v>
      </c>
    </row>
    <row r="27" spans="1:11">
      <c r="A27" s="2">
        <f t="shared" ca="1" si="0"/>
        <v>156</v>
      </c>
      <c r="B27" s="2" cm="1">
        <f t="array" ref="B27" ca="1">INDEX(Data_DBD!$C:$C,$A27)</f>
        <v>2</v>
      </c>
      <c r="C27" s="2" cm="1">
        <f t="array" ref="C27" ca="1">INDEX(Data_DBD!$E:$E,$A27)</f>
        <v>0</v>
      </c>
      <c r="D27" s="2" t="str" cm="1">
        <f t="array" ref="D27" ca="1">INDEX(Data_DBD!$F:$F,$A27)</f>
        <v>Tinggi</v>
      </c>
      <c r="H27" s="2">
        <v>71</v>
      </c>
      <c r="I27" s="2">
        <v>3</v>
      </c>
      <c r="J27" s="2">
        <v>0</v>
      </c>
      <c r="K27" s="2" t="s">
        <v>7</v>
      </c>
    </row>
    <row r="28" spans="1:11">
      <c r="A28" s="2">
        <f t="shared" ca="1" si="0"/>
        <v>102</v>
      </c>
      <c r="B28" s="2" cm="1">
        <f t="array" ref="B28" ca="1">INDEX(Data_DBD!$C:$C,$A28)</f>
        <v>4</v>
      </c>
      <c r="C28" s="2" cm="1">
        <f t="array" ref="C28" ca="1">INDEX(Data_DBD!$E:$E,$A28)</f>
        <v>0</v>
      </c>
      <c r="D28" s="2" t="str" cm="1">
        <f t="array" ref="D28" ca="1">INDEX(Data_DBD!$F:$F,$A28)</f>
        <v>Tinggi</v>
      </c>
      <c r="H28" s="2">
        <v>34</v>
      </c>
      <c r="I28" s="2">
        <v>3</v>
      </c>
      <c r="J28" s="2">
        <v>0</v>
      </c>
      <c r="K28" s="2" t="s">
        <v>7</v>
      </c>
    </row>
    <row r="29" spans="1:11">
      <c r="A29" s="2">
        <f t="shared" ca="1" si="0"/>
        <v>34</v>
      </c>
      <c r="B29" s="2" cm="1">
        <f t="array" ref="B29" ca="1">INDEX(Data_DBD!$C:$C,$A29)</f>
        <v>3</v>
      </c>
      <c r="C29" s="2" cm="1">
        <f t="array" ref="C29" ca="1">INDEX(Data_DBD!$E:$E,$A29)</f>
        <v>0</v>
      </c>
      <c r="D29" s="2" t="str" cm="1">
        <f t="array" ref="D29" ca="1">INDEX(Data_DBD!$F:$F,$A29)</f>
        <v>Sedang</v>
      </c>
      <c r="H29" s="2">
        <v>62</v>
      </c>
      <c r="I29" s="2">
        <v>4</v>
      </c>
      <c r="J29" s="2">
        <v>1</v>
      </c>
      <c r="K29" s="2" t="s">
        <v>7</v>
      </c>
    </row>
    <row r="30" spans="1:11">
      <c r="A30" s="2">
        <f t="shared" ca="1" si="0"/>
        <v>130</v>
      </c>
      <c r="B30" s="2" cm="1">
        <f t="array" ref="B30" ca="1">INDEX(Data_DBD!$C:$C,$A30)</f>
        <v>4</v>
      </c>
      <c r="C30" s="2" cm="1">
        <f t="array" ref="C30" ca="1">INDEX(Data_DBD!$E:$E,$A30)</f>
        <v>0</v>
      </c>
      <c r="D30" s="2" t="str" cm="1">
        <f t="array" ref="D30" ca="1">INDEX(Data_DBD!$F:$F,$A30)</f>
        <v>Tinggi</v>
      </c>
      <c r="H30" s="2">
        <v>3</v>
      </c>
      <c r="I30" s="2">
        <v>3</v>
      </c>
      <c r="J30" s="2">
        <v>1</v>
      </c>
      <c r="K30" s="2" t="s">
        <v>7</v>
      </c>
    </row>
    <row r="31" spans="1:11">
      <c r="A31" s="2">
        <f t="shared" ca="1" si="0"/>
        <v>24</v>
      </c>
      <c r="B31" s="2" cm="1">
        <f t="array" ref="B31" ca="1">INDEX(Data_DBD!$C:$C,$A31)</f>
        <v>4</v>
      </c>
      <c r="C31" s="2" cm="1">
        <f t="array" ref="C31" ca="1">INDEX(Data_DBD!$E:$E,$A31)</f>
        <v>0</v>
      </c>
      <c r="D31" s="2" t="str" cm="1">
        <f t="array" ref="D31" ca="1">INDEX(Data_DBD!$F:$F,$A31)</f>
        <v>Sedang</v>
      </c>
      <c r="H31" s="2">
        <v>3</v>
      </c>
      <c r="I31" s="2">
        <v>3</v>
      </c>
      <c r="J31" s="2">
        <v>1</v>
      </c>
      <c r="K31" s="2" t="s">
        <v>7</v>
      </c>
    </row>
    <row r="32" spans="1:11">
      <c r="A32" s="2">
        <f t="shared" ca="1" si="0"/>
        <v>61</v>
      </c>
      <c r="B32" s="2" cm="1">
        <f t="array" ref="B32" ca="1">INDEX(Data_DBD!$C:$C,$A32)</f>
        <v>3</v>
      </c>
      <c r="C32" s="2" cm="1">
        <f t="array" ref="C32" ca="1">INDEX(Data_DBD!$E:$E,$A32)</f>
        <v>1</v>
      </c>
      <c r="D32" s="2" t="str" cm="1">
        <f t="array" ref="D32" ca="1">INDEX(Data_DBD!$F:$F,$A32)</f>
        <v>Sedang</v>
      </c>
      <c r="H32" s="2">
        <v>41</v>
      </c>
      <c r="I32" s="2">
        <v>4</v>
      </c>
      <c r="J32" s="2">
        <v>0</v>
      </c>
      <c r="K32" s="2" t="s">
        <v>7</v>
      </c>
    </row>
    <row r="33" spans="1:11">
      <c r="A33" s="2">
        <f t="shared" ca="1" si="0"/>
        <v>2</v>
      </c>
      <c r="B33" s="2" cm="1">
        <f t="array" ref="B33" ca="1">INDEX(Data_DBD!$C:$C,$A33)</f>
        <v>3</v>
      </c>
      <c r="C33" s="2" cm="1">
        <f t="array" ref="C33" ca="1">INDEX(Data_DBD!$E:$E,$A33)</f>
        <v>0</v>
      </c>
      <c r="D33" s="2" t="str" cm="1">
        <f t="array" ref="D33" ca="1">INDEX(Data_DBD!$F:$F,$A33)</f>
        <v>Sedang</v>
      </c>
      <c r="H33" s="2">
        <v>146</v>
      </c>
      <c r="I33" s="2">
        <v>2</v>
      </c>
      <c r="J33" s="2">
        <v>1</v>
      </c>
      <c r="K33" s="2" t="s">
        <v>97</v>
      </c>
    </row>
    <row r="34" spans="1:11">
      <c r="A34" s="2">
        <f t="shared" ca="1" si="0"/>
        <v>100</v>
      </c>
      <c r="B34" s="2" cm="1">
        <f t="array" ref="B34" ca="1">INDEX(Data_DBD!$C:$C,$A34)</f>
        <v>6</v>
      </c>
      <c r="C34" s="2" cm="1">
        <f t="array" ref="C34" ca="1">INDEX(Data_DBD!$E:$E,$A34)</f>
        <v>0</v>
      </c>
      <c r="D34" s="2" t="str" cm="1">
        <f t="array" ref="D34" ca="1">INDEX(Data_DBD!$F:$F,$A34)</f>
        <v>Tinggi</v>
      </c>
      <c r="H34" s="2">
        <v>107</v>
      </c>
      <c r="I34" s="2">
        <v>5</v>
      </c>
      <c r="J34" s="2">
        <v>0</v>
      </c>
      <c r="K34" s="2" t="s">
        <v>97</v>
      </c>
    </row>
    <row r="35" spans="1:11">
      <c r="A35" s="2">
        <f t="shared" ca="1" si="0"/>
        <v>90</v>
      </c>
      <c r="B35" s="2" cm="1">
        <f t="array" ref="B35" ca="1">INDEX(Data_DBD!$C:$C,$A35)</f>
        <v>3</v>
      </c>
      <c r="C35" s="2" cm="1">
        <f t="array" ref="C35" ca="1">INDEX(Data_DBD!$E:$E,$A35)</f>
        <v>0</v>
      </c>
      <c r="D35" s="2" t="str" cm="1">
        <f t="array" ref="D35" ca="1">INDEX(Data_DBD!$F:$F,$A35)</f>
        <v>Tinggi</v>
      </c>
      <c r="H35" s="2">
        <v>114</v>
      </c>
      <c r="I35" s="2">
        <v>2</v>
      </c>
      <c r="J35" s="2">
        <v>1</v>
      </c>
      <c r="K35" s="2" t="s">
        <v>97</v>
      </c>
    </row>
    <row r="36" spans="1:11">
      <c r="A36" s="2">
        <f t="shared" ca="1" si="0"/>
        <v>13</v>
      </c>
      <c r="B36" s="2" cm="1">
        <f t="array" ref="B36" ca="1">INDEX(Data_DBD!$C:$C,$A36)</f>
        <v>2</v>
      </c>
      <c r="C36" s="2" cm="1">
        <f t="array" ref="C36" ca="1">INDEX(Data_DBD!$E:$E,$A36)</f>
        <v>0</v>
      </c>
      <c r="D36" s="2" t="str" cm="1">
        <f t="array" ref="D36" ca="1">INDEX(Data_DBD!$F:$F,$A36)</f>
        <v>Sedang</v>
      </c>
      <c r="H36" s="2">
        <v>47</v>
      </c>
      <c r="I36" s="2">
        <v>2</v>
      </c>
      <c r="J36" s="2">
        <v>0</v>
      </c>
      <c r="K36" s="2" t="s">
        <v>7</v>
      </c>
    </row>
    <row r="37" spans="1:11">
      <c r="A37" s="2">
        <f t="shared" ca="1" si="0"/>
        <v>55</v>
      </c>
      <c r="B37" s="2" cm="1">
        <f t="array" ref="B37" ca="1">INDEX(Data_DBD!$C:$C,$A37)</f>
        <v>4</v>
      </c>
      <c r="C37" s="2" cm="1">
        <f t="array" ref="C37" ca="1">INDEX(Data_DBD!$E:$E,$A37)</f>
        <v>1</v>
      </c>
      <c r="D37" s="2" t="str" cm="1">
        <f t="array" ref="D37" ca="1">INDEX(Data_DBD!$F:$F,$A37)</f>
        <v>Sedang</v>
      </c>
      <c r="H37" s="2">
        <v>40</v>
      </c>
      <c r="I37" s="2">
        <v>3</v>
      </c>
      <c r="J37" s="2">
        <v>1</v>
      </c>
      <c r="K37" s="2" t="s">
        <v>7</v>
      </c>
    </row>
    <row r="38" spans="1:11">
      <c r="A38" s="2">
        <f t="shared" ca="1" si="0"/>
        <v>68</v>
      </c>
      <c r="B38" s="2" cm="1">
        <f t="array" ref="B38" ca="1">INDEX(Data_DBD!$C:$C,$A38)</f>
        <v>5</v>
      </c>
      <c r="C38" s="2" cm="1">
        <f t="array" ref="C38" ca="1">INDEX(Data_DBD!$E:$E,$A38)</f>
        <v>0</v>
      </c>
      <c r="D38" s="2" t="str" cm="1">
        <f t="array" ref="D38" ca="1">INDEX(Data_DBD!$F:$F,$A38)</f>
        <v>Sedang</v>
      </c>
      <c r="H38" s="2">
        <v>104</v>
      </c>
      <c r="I38" s="2">
        <v>4</v>
      </c>
      <c r="J38" s="2">
        <v>1</v>
      </c>
      <c r="K38" s="2" t="s">
        <v>97</v>
      </c>
    </row>
    <row r="39" spans="1:11">
      <c r="A39" s="2">
        <f t="shared" ca="1" si="0"/>
        <v>30</v>
      </c>
      <c r="B39" s="2" cm="1">
        <f t="array" ref="B39" ca="1">INDEX(Data_DBD!$C:$C,$A39)</f>
        <v>2</v>
      </c>
      <c r="C39" s="2" cm="1">
        <f t="array" ref="C39" ca="1">INDEX(Data_DBD!$E:$E,$A39)</f>
        <v>1</v>
      </c>
      <c r="D39" s="2" t="str" cm="1">
        <f t="array" ref="D39" ca="1">INDEX(Data_DBD!$F:$F,$A39)</f>
        <v>Sedang</v>
      </c>
      <c r="H39" s="2">
        <v>78</v>
      </c>
      <c r="I39" s="2">
        <v>3</v>
      </c>
      <c r="J39" s="2">
        <v>0</v>
      </c>
      <c r="K39" s="2" t="s">
        <v>7</v>
      </c>
    </row>
    <row r="40" spans="1:11">
      <c r="A40" s="2">
        <f t="shared" ca="1" si="0"/>
        <v>61</v>
      </c>
      <c r="B40" s="2" cm="1">
        <f t="array" ref="B40" ca="1">INDEX(Data_DBD!$C:$C,$A40)</f>
        <v>3</v>
      </c>
      <c r="C40" s="2" cm="1">
        <f t="array" ref="C40" ca="1">INDEX(Data_DBD!$E:$E,$A40)</f>
        <v>1</v>
      </c>
      <c r="D40" s="2" t="str" cm="1">
        <f t="array" ref="D40" ca="1">INDEX(Data_DBD!$F:$F,$A40)</f>
        <v>Sedang</v>
      </c>
      <c r="H40" s="2">
        <v>149</v>
      </c>
      <c r="I40" s="2">
        <v>5</v>
      </c>
      <c r="J40" s="2">
        <v>0</v>
      </c>
      <c r="K40" s="2" t="s">
        <v>97</v>
      </c>
    </row>
    <row r="41" spans="1:11">
      <c r="A41" s="2">
        <f t="shared" ca="1" si="0"/>
        <v>14</v>
      </c>
      <c r="B41" s="2" cm="1">
        <f t="array" ref="B41" ca="1">INDEX(Data_DBD!$C:$C,$A41)</f>
        <v>4</v>
      </c>
      <c r="C41" s="2" cm="1">
        <f t="array" ref="C41" ca="1">INDEX(Data_DBD!$E:$E,$A41)</f>
        <v>1</v>
      </c>
      <c r="D41" s="2" t="str" cm="1">
        <f t="array" ref="D41" ca="1">INDEX(Data_DBD!$F:$F,$A41)</f>
        <v>Rendah</v>
      </c>
      <c r="H41" s="2">
        <v>154</v>
      </c>
      <c r="I41" s="2">
        <v>5</v>
      </c>
      <c r="J41" s="2">
        <v>1</v>
      </c>
      <c r="K41" s="2" t="s">
        <v>97</v>
      </c>
    </row>
    <row r="42" spans="1:11">
      <c r="A42" s="2">
        <f t="shared" ca="1" si="0"/>
        <v>7</v>
      </c>
      <c r="B42" s="2" cm="1">
        <f t="array" ref="B42" ca="1">INDEX(Data_DBD!$C:$C,$A42)</f>
        <v>1</v>
      </c>
      <c r="C42" s="2" cm="1">
        <f t="array" ref="C42" ca="1">INDEX(Data_DBD!$E:$E,$A42)</f>
        <v>1</v>
      </c>
      <c r="D42" s="2" t="str" cm="1">
        <f t="array" ref="D42" ca="1">INDEX(Data_DBD!$F:$F,$A42)</f>
        <v>Sedang</v>
      </c>
      <c r="H42" s="2">
        <v>37</v>
      </c>
      <c r="I42" s="2">
        <v>4</v>
      </c>
      <c r="J42" s="2">
        <v>1</v>
      </c>
      <c r="K42" s="2" t="s">
        <v>20</v>
      </c>
    </row>
    <row r="43" spans="1:11">
      <c r="A43" s="2">
        <f t="shared" ca="1" si="0"/>
        <v>85</v>
      </c>
      <c r="B43" s="2" cm="1">
        <f t="array" ref="B43" ca="1">INDEX(Data_DBD!$C:$C,$A43)</f>
        <v>9</v>
      </c>
      <c r="C43" s="2" cm="1">
        <f t="array" ref="C43" ca="1">INDEX(Data_DBD!$E:$E,$A43)</f>
        <v>0</v>
      </c>
      <c r="D43" s="2" t="str" cm="1">
        <f t="array" ref="D43" ca="1">INDEX(Data_DBD!$F:$F,$A43)</f>
        <v>Sedang</v>
      </c>
      <c r="H43" s="2">
        <v>52</v>
      </c>
      <c r="I43" s="2">
        <v>4</v>
      </c>
      <c r="J43" s="2">
        <v>1</v>
      </c>
      <c r="K43" s="2" t="s">
        <v>7</v>
      </c>
    </row>
    <row r="44" spans="1:11">
      <c r="A44" s="2">
        <f t="shared" ca="1" si="0"/>
        <v>90</v>
      </c>
      <c r="B44" s="2" cm="1">
        <f t="array" ref="B44" ca="1">INDEX(Data_DBD!$C:$C,$A44)</f>
        <v>3</v>
      </c>
      <c r="C44" s="2" cm="1">
        <f t="array" ref="C44" ca="1">INDEX(Data_DBD!$E:$E,$A44)</f>
        <v>0</v>
      </c>
      <c r="D44" s="2" t="str" cm="1">
        <f t="array" ref="D44" ca="1">INDEX(Data_DBD!$F:$F,$A44)</f>
        <v>Tinggi</v>
      </c>
      <c r="H44" s="2">
        <v>30</v>
      </c>
      <c r="I44" s="2">
        <v>2</v>
      </c>
      <c r="J44" s="2">
        <v>1</v>
      </c>
      <c r="K44" s="2" t="s">
        <v>7</v>
      </c>
    </row>
    <row r="45" spans="1:11">
      <c r="A45" s="2">
        <f t="shared" ca="1" si="0"/>
        <v>85</v>
      </c>
      <c r="B45" s="2" cm="1">
        <f t="array" ref="B45" ca="1">INDEX(Data_DBD!$C:$C,$A45)</f>
        <v>9</v>
      </c>
      <c r="C45" s="2" cm="1">
        <f t="array" ref="C45" ca="1">INDEX(Data_DBD!$E:$E,$A45)</f>
        <v>0</v>
      </c>
      <c r="D45" s="2" t="str" cm="1">
        <f t="array" ref="D45" ca="1">INDEX(Data_DBD!$F:$F,$A45)</f>
        <v>Sedang</v>
      </c>
      <c r="H45" s="2">
        <v>71</v>
      </c>
      <c r="I45" s="2">
        <v>3</v>
      </c>
      <c r="J45" s="2">
        <v>0</v>
      </c>
      <c r="K45" s="2" t="s">
        <v>7</v>
      </c>
    </row>
    <row r="46" spans="1:11">
      <c r="A46" s="2">
        <f t="shared" ca="1" si="0"/>
        <v>69</v>
      </c>
      <c r="B46" s="2" cm="1">
        <f t="array" ref="B46" ca="1">INDEX(Data_DBD!$C:$C,$A46)</f>
        <v>4</v>
      </c>
      <c r="C46" s="2" cm="1">
        <f t="array" ref="C46" ca="1">INDEX(Data_DBD!$E:$E,$A46)</f>
        <v>1</v>
      </c>
      <c r="D46" s="2" t="str" cm="1">
        <f t="array" ref="D46" ca="1">INDEX(Data_DBD!$F:$F,$A46)</f>
        <v>Sedang</v>
      </c>
      <c r="H46" s="2">
        <v>139</v>
      </c>
      <c r="I46" s="2">
        <v>7</v>
      </c>
      <c r="J46" s="2">
        <v>0</v>
      </c>
      <c r="K46" s="2" t="s">
        <v>97</v>
      </c>
    </row>
    <row r="47" spans="1:11">
      <c r="A47" s="2">
        <f t="shared" ca="1" si="0"/>
        <v>21</v>
      </c>
      <c r="B47" s="2" cm="1">
        <f t="array" ref="B47" ca="1">INDEX(Data_DBD!$C:$C,$A47)</f>
        <v>5</v>
      </c>
      <c r="C47" s="2" cm="1">
        <f t="array" ref="C47" ca="1">INDEX(Data_DBD!$E:$E,$A47)</f>
        <v>1</v>
      </c>
      <c r="D47" s="2" t="str" cm="1">
        <f t="array" ref="D47" ca="1">INDEX(Data_DBD!$F:$F,$A47)</f>
        <v>Sedang</v>
      </c>
      <c r="H47" s="2">
        <v>109</v>
      </c>
      <c r="I47" s="2">
        <v>3</v>
      </c>
      <c r="J47" s="2">
        <v>1</v>
      </c>
      <c r="K47" s="2" t="s">
        <v>97</v>
      </c>
    </row>
    <row r="48" spans="1:11">
      <c r="A48" s="2">
        <f t="shared" ca="1" si="0"/>
        <v>158</v>
      </c>
      <c r="B48" s="2" cm="1">
        <f t="array" ref="B48" ca="1">INDEX(Data_DBD!$C:$C,$A48)</f>
        <v>2</v>
      </c>
      <c r="C48" s="2" cm="1">
        <f t="array" ref="C48" ca="1">INDEX(Data_DBD!$E:$E,$A48)</f>
        <v>0</v>
      </c>
      <c r="D48" s="2" t="str" cm="1">
        <f t="array" ref="D48" ca="1">INDEX(Data_DBD!$F:$F,$A48)</f>
        <v>Tinggi</v>
      </c>
      <c r="H48" s="2">
        <v>147</v>
      </c>
      <c r="I48" s="2">
        <v>10</v>
      </c>
      <c r="J48" s="2">
        <v>1</v>
      </c>
      <c r="K48" s="2" t="s">
        <v>97</v>
      </c>
    </row>
    <row r="49" spans="1:11">
      <c r="A49" s="2">
        <f t="shared" ca="1" si="0"/>
        <v>135</v>
      </c>
      <c r="B49" s="2" cm="1">
        <f t="array" ref="B49" ca="1">INDEX(Data_DBD!$C:$C,$A49)</f>
        <v>2</v>
      </c>
      <c r="C49" s="2" cm="1">
        <f t="array" ref="C49" ca="1">INDEX(Data_DBD!$E:$E,$A49)</f>
        <v>0</v>
      </c>
      <c r="D49" s="2" t="str" cm="1">
        <f t="array" ref="D49" ca="1">INDEX(Data_DBD!$F:$F,$A49)</f>
        <v>Tinggi</v>
      </c>
      <c r="H49" s="2">
        <v>76</v>
      </c>
      <c r="I49" s="2">
        <v>2</v>
      </c>
      <c r="J49" s="2">
        <v>0</v>
      </c>
      <c r="K49" s="2" t="s">
        <v>7</v>
      </c>
    </row>
    <row r="50" spans="1:11">
      <c r="A50" s="2">
        <f t="shared" ca="1" si="0"/>
        <v>89</v>
      </c>
      <c r="B50" s="2" cm="1">
        <f t="array" ref="B50" ca="1">INDEX(Data_DBD!$C:$C,$A50)</f>
        <v>4</v>
      </c>
      <c r="C50" s="2" cm="1">
        <f t="array" ref="C50" ca="1">INDEX(Data_DBD!$E:$E,$A50)</f>
        <v>0</v>
      </c>
      <c r="D50" s="2" t="str" cm="1">
        <f t="array" ref="D50" ca="1">INDEX(Data_DBD!$F:$F,$A50)</f>
        <v>Sedang</v>
      </c>
      <c r="H50" s="2">
        <v>137</v>
      </c>
      <c r="I50" s="2">
        <v>1</v>
      </c>
      <c r="J50" s="2">
        <v>1</v>
      </c>
      <c r="K50" s="2" t="s">
        <v>97</v>
      </c>
    </row>
    <row r="51" spans="1:11">
      <c r="A51" s="2">
        <f t="shared" ca="1" si="0"/>
        <v>158</v>
      </c>
      <c r="B51" s="2" cm="1">
        <f t="array" ref="B51" ca="1">INDEX(Data_DBD!$C:$C,$A51)</f>
        <v>2</v>
      </c>
      <c r="C51" s="2" cm="1">
        <f t="array" ref="C51" ca="1">INDEX(Data_DBD!$E:$E,$A51)</f>
        <v>0</v>
      </c>
      <c r="D51" s="2" t="str" cm="1">
        <f t="array" ref="D51" ca="1">INDEX(Data_DBD!$F:$F,$A51)</f>
        <v>Tinggi</v>
      </c>
      <c r="H51" s="2">
        <v>72</v>
      </c>
      <c r="I51" s="2">
        <v>5</v>
      </c>
      <c r="J51" s="2">
        <v>1</v>
      </c>
      <c r="K51" s="2" t="s">
        <v>7</v>
      </c>
    </row>
    <row r="52" spans="1:11">
      <c r="A52" s="2">
        <f t="shared" ca="1" si="0"/>
        <v>144</v>
      </c>
      <c r="B52" s="2" cm="1">
        <f t="array" ref="B52" ca="1">INDEX(Data_DBD!$C:$C,$A52)</f>
        <v>4</v>
      </c>
      <c r="C52" s="2" cm="1">
        <f t="array" ref="C52" ca="1">INDEX(Data_DBD!$E:$E,$A52)</f>
        <v>1</v>
      </c>
      <c r="D52" s="2" t="str" cm="1">
        <f t="array" ref="D52" ca="1">INDEX(Data_DBD!$F:$F,$A52)</f>
        <v>Tinggi</v>
      </c>
      <c r="H52" s="2">
        <v>11</v>
      </c>
      <c r="I52" s="2">
        <v>5</v>
      </c>
      <c r="J52" s="2">
        <v>1</v>
      </c>
      <c r="K52" s="2" t="s">
        <v>7</v>
      </c>
    </row>
    <row r="53" spans="1:11">
      <c r="A53" s="2">
        <f t="shared" ca="1" si="0"/>
        <v>23</v>
      </c>
      <c r="B53" s="2" cm="1">
        <f t="array" ref="B53" ca="1">INDEX(Data_DBD!$C:$C,$A53)</f>
        <v>4</v>
      </c>
      <c r="C53" s="2" cm="1">
        <f t="array" ref="C53" ca="1">INDEX(Data_DBD!$E:$E,$A53)</f>
        <v>1</v>
      </c>
      <c r="D53" s="2" t="str" cm="1">
        <f t="array" ref="D53" ca="1">INDEX(Data_DBD!$F:$F,$A53)</f>
        <v>Sedang</v>
      </c>
      <c r="H53" s="2">
        <v>123</v>
      </c>
      <c r="I53" s="2">
        <v>4</v>
      </c>
      <c r="J53" s="2">
        <v>0</v>
      </c>
      <c r="K53" s="2" t="s">
        <v>97</v>
      </c>
    </row>
    <row r="54" spans="1:11">
      <c r="A54" s="2">
        <f t="shared" ca="1" si="0"/>
        <v>61</v>
      </c>
      <c r="B54" s="2" cm="1">
        <f t="array" ref="B54" ca="1">INDEX(Data_DBD!$C:$C,$A54)</f>
        <v>3</v>
      </c>
      <c r="C54" s="2" cm="1">
        <f t="array" ref="C54" ca="1">INDEX(Data_DBD!$E:$E,$A54)</f>
        <v>1</v>
      </c>
      <c r="D54" s="2" t="str" cm="1">
        <f t="array" ref="D54" ca="1">INDEX(Data_DBD!$F:$F,$A54)</f>
        <v>Sedang</v>
      </c>
      <c r="H54" s="2">
        <v>51</v>
      </c>
      <c r="I54" s="2">
        <v>4</v>
      </c>
      <c r="J54" s="2">
        <v>0</v>
      </c>
      <c r="K54" s="2" t="s">
        <v>7</v>
      </c>
    </row>
    <row r="55" spans="1:11">
      <c r="A55" s="2">
        <f t="shared" ca="1" si="0"/>
        <v>130</v>
      </c>
      <c r="B55" s="2" cm="1">
        <f t="array" ref="B55" ca="1">INDEX(Data_DBD!$C:$C,$A55)</f>
        <v>4</v>
      </c>
      <c r="C55" s="2" cm="1">
        <f t="array" ref="C55" ca="1">INDEX(Data_DBD!$E:$E,$A55)</f>
        <v>0</v>
      </c>
      <c r="D55" s="2" t="str" cm="1">
        <f t="array" ref="D55" ca="1">INDEX(Data_DBD!$F:$F,$A55)</f>
        <v>Tinggi</v>
      </c>
      <c r="H55" s="2">
        <v>70</v>
      </c>
      <c r="I55" s="2">
        <v>3</v>
      </c>
      <c r="J55" s="2">
        <v>1</v>
      </c>
      <c r="K55" s="2" t="s">
        <v>7</v>
      </c>
    </row>
    <row r="56" spans="1:11">
      <c r="A56" s="2">
        <f t="shared" ca="1" si="0"/>
        <v>70</v>
      </c>
      <c r="B56" s="2" cm="1">
        <f t="array" ref="B56" ca="1">INDEX(Data_DBD!$C:$C,$A56)</f>
        <v>3</v>
      </c>
      <c r="C56" s="2" cm="1">
        <f t="array" ref="C56" ca="1">INDEX(Data_DBD!$E:$E,$A56)</f>
        <v>1</v>
      </c>
      <c r="D56" s="2" t="str" cm="1">
        <f t="array" ref="D56" ca="1">INDEX(Data_DBD!$F:$F,$A56)</f>
        <v>Sedang</v>
      </c>
      <c r="H56" s="2">
        <v>81</v>
      </c>
      <c r="I56" s="2">
        <v>5</v>
      </c>
      <c r="J56" s="2">
        <v>1</v>
      </c>
      <c r="K56" s="2" t="s">
        <v>7</v>
      </c>
    </row>
    <row r="57" spans="1:11">
      <c r="A57" s="2">
        <f t="shared" ca="1" si="0"/>
        <v>75</v>
      </c>
      <c r="B57" s="2" cm="1">
        <f t="array" ref="B57" ca="1">INDEX(Data_DBD!$C:$C,$A57)</f>
        <v>2</v>
      </c>
      <c r="C57" s="2" cm="1">
        <f t="array" ref="C57" ca="1">INDEX(Data_DBD!$E:$E,$A57)</f>
        <v>1</v>
      </c>
      <c r="D57" s="2" t="str" cm="1">
        <f t="array" ref="D57" ca="1">INDEX(Data_DBD!$F:$F,$A57)</f>
        <v>Sedang</v>
      </c>
      <c r="H57" s="2">
        <v>51</v>
      </c>
      <c r="I57" s="2">
        <v>4</v>
      </c>
      <c r="J57" s="2">
        <v>0</v>
      </c>
      <c r="K57" s="2" t="s">
        <v>7</v>
      </c>
    </row>
    <row r="58" spans="1:11">
      <c r="A58" s="2">
        <f t="shared" ca="1" si="0"/>
        <v>25</v>
      </c>
      <c r="B58" s="2" cm="1">
        <f t="array" ref="B58" ca="1">INDEX(Data_DBD!$C:$C,$A58)</f>
        <v>5</v>
      </c>
      <c r="C58" s="2" cm="1">
        <f t="array" ref="C58" ca="1">INDEX(Data_DBD!$E:$E,$A58)</f>
        <v>0</v>
      </c>
      <c r="D58" s="2" t="str" cm="1">
        <f t="array" ref="D58" ca="1">INDEX(Data_DBD!$F:$F,$A58)</f>
        <v>Sedang</v>
      </c>
      <c r="H58" s="2">
        <v>92</v>
      </c>
      <c r="I58" s="2">
        <v>7</v>
      </c>
      <c r="J58" s="2">
        <v>0</v>
      </c>
      <c r="K58" s="2" t="s">
        <v>97</v>
      </c>
    </row>
    <row r="59" spans="1:11">
      <c r="A59" s="2">
        <f t="shared" ca="1" si="0"/>
        <v>150</v>
      </c>
      <c r="B59" s="2" cm="1">
        <f t="array" ref="B59" ca="1">INDEX(Data_DBD!$C:$C,$A59)</f>
        <v>5</v>
      </c>
      <c r="C59" s="2" cm="1">
        <f t="array" ref="C59" ca="1">INDEX(Data_DBD!$E:$E,$A59)</f>
        <v>1</v>
      </c>
      <c r="D59" s="2" t="str" cm="1">
        <f t="array" ref="D59" ca="1">INDEX(Data_DBD!$F:$F,$A59)</f>
        <v>Tinggi</v>
      </c>
      <c r="H59" s="2">
        <v>60</v>
      </c>
      <c r="I59" s="2">
        <v>4</v>
      </c>
      <c r="J59" s="2">
        <v>0</v>
      </c>
      <c r="K59" s="2" t="s">
        <v>7</v>
      </c>
    </row>
    <row r="60" spans="1:11">
      <c r="A60" s="2">
        <f t="shared" ca="1" si="0"/>
        <v>117</v>
      </c>
      <c r="B60" s="2" cm="1">
        <f t="array" ref="B60" ca="1">INDEX(Data_DBD!$C:$C,$A60)</f>
        <v>4</v>
      </c>
      <c r="C60" s="2" cm="1">
        <f t="array" ref="C60" ca="1">INDEX(Data_DBD!$E:$E,$A60)</f>
        <v>1</v>
      </c>
      <c r="D60" s="2" t="str" cm="1">
        <f t="array" ref="D60" ca="1">INDEX(Data_DBD!$F:$F,$A60)</f>
        <v>Tinggi</v>
      </c>
      <c r="H60" s="2">
        <v>103</v>
      </c>
      <c r="I60" s="2">
        <v>5</v>
      </c>
      <c r="J60" s="2">
        <v>0</v>
      </c>
      <c r="K60" s="2" t="s">
        <v>97</v>
      </c>
    </row>
    <row r="61" spans="1:11">
      <c r="A61" s="2">
        <f t="shared" ca="1" si="0"/>
        <v>147</v>
      </c>
      <c r="B61" s="2" cm="1">
        <f t="array" ref="B61" ca="1">INDEX(Data_DBD!$C:$C,$A61)</f>
        <v>10</v>
      </c>
      <c r="C61" s="2" cm="1">
        <f t="array" ref="C61" ca="1">INDEX(Data_DBD!$E:$E,$A61)</f>
        <v>1</v>
      </c>
      <c r="D61" s="2" t="str" cm="1">
        <f t="array" ref="D61" ca="1">INDEX(Data_DBD!$F:$F,$A61)</f>
        <v>Tinggi</v>
      </c>
      <c r="H61" s="2">
        <v>70</v>
      </c>
      <c r="I61" s="2">
        <v>3</v>
      </c>
      <c r="J61" s="2">
        <v>1</v>
      </c>
      <c r="K61" s="2" t="s">
        <v>7</v>
      </c>
    </row>
    <row r="62" spans="1:11">
      <c r="A62" s="2">
        <f t="shared" ca="1" si="0"/>
        <v>57</v>
      </c>
      <c r="B62" s="2" cm="1">
        <f t="array" ref="B62" ca="1">INDEX(Data_DBD!$C:$C,$A62)</f>
        <v>2</v>
      </c>
      <c r="C62" s="2" cm="1">
        <f t="array" ref="C62" ca="1">INDEX(Data_DBD!$E:$E,$A62)</f>
        <v>1</v>
      </c>
      <c r="D62" s="2" t="str" cm="1">
        <f t="array" ref="D62" ca="1">INDEX(Data_DBD!$F:$F,$A62)</f>
        <v>Sedang</v>
      </c>
      <c r="H62" s="2">
        <v>101</v>
      </c>
      <c r="I62" s="2">
        <v>5</v>
      </c>
      <c r="J62" s="2">
        <v>0</v>
      </c>
      <c r="K62" s="2" t="s">
        <v>97</v>
      </c>
    </row>
    <row r="63" spans="1:11">
      <c r="A63" s="2">
        <f t="shared" ca="1" si="0"/>
        <v>89</v>
      </c>
      <c r="B63" s="2" cm="1">
        <f t="array" ref="B63" ca="1">INDEX(Data_DBD!$C:$C,$A63)</f>
        <v>4</v>
      </c>
      <c r="C63" s="2" cm="1">
        <f t="array" ref="C63" ca="1">INDEX(Data_DBD!$E:$E,$A63)</f>
        <v>0</v>
      </c>
      <c r="D63" s="2" t="str" cm="1">
        <f t="array" ref="D63" ca="1">INDEX(Data_DBD!$F:$F,$A63)</f>
        <v>Sedang</v>
      </c>
      <c r="H63" s="2">
        <v>72</v>
      </c>
      <c r="I63" s="2">
        <v>5</v>
      </c>
      <c r="J63" s="2">
        <v>1</v>
      </c>
      <c r="K63" s="2" t="s">
        <v>7</v>
      </c>
    </row>
    <row r="64" spans="1:11">
      <c r="A64" s="2">
        <f t="shared" ca="1" si="0"/>
        <v>83</v>
      </c>
      <c r="B64" s="2" cm="1">
        <f t="array" ref="B64" ca="1">INDEX(Data_DBD!$C:$C,$A64)</f>
        <v>3</v>
      </c>
      <c r="C64" s="2" cm="1">
        <f t="array" ref="C64" ca="1">INDEX(Data_DBD!$E:$E,$A64)</f>
        <v>0</v>
      </c>
      <c r="D64" s="2" t="str" cm="1">
        <f t="array" ref="D64" ca="1">INDEX(Data_DBD!$F:$F,$A64)</f>
        <v>Sedang</v>
      </c>
      <c r="H64" s="2">
        <v>130</v>
      </c>
      <c r="I64" s="2">
        <v>4</v>
      </c>
      <c r="J64" s="2">
        <v>0</v>
      </c>
      <c r="K64" s="2" t="s">
        <v>97</v>
      </c>
    </row>
    <row r="65" spans="1:11">
      <c r="A65" s="2">
        <f t="shared" ca="1" si="0"/>
        <v>117</v>
      </c>
      <c r="B65" s="2" cm="1">
        <f t="array" ref="B65" ca="1">INDEX(Data_DBD!$C:$C,$A65)</f>
        <v>4</v>
      </c>
      <c r="C65" s="2" cm="1">
        <f t="array" ref="C65" ca="1">INDEX(Data_DBD!$E:$E,$A65)</f>
        <v>1</v>
      </c>
      <c r="D65" s="2" t="str" cm="1">
        <f t="array" ref="D65" ca="1">INDEX(Data_DBD!$F:$F,$A65)</f>
        <v>Tinggi</v>
      </c>
      <c r="H65" s="2">
        <v>20</v>
      </c>
      <c r="I65" s="2">
        <v>5</v>
      </c>
      <c r="J65" s="2">
        <v>0</v>
      </c>
      <c r="K65" s="2" t="s">
        <v>20</v>
      </c>
    </row>
    <row r="66" spans="1:11">
      <c r="A66" s="2">
        <f t="shared" ca="1" si="0"/>
        <v>2</v>
      </c>
      <c r="B66" s="2" cm="1">
        <f t="array" ref="B66" ca="1">INDEX(Data_DBD!$C:$C,$A66)</f>
        <v>3</v>
      </c>
      <c r="C66" s="2" cm="1">
        <f t="array" ref="C66" ca="1">INDEX(Data_DBD!$E:$E,$A66)</f>
        <v>0</v>
      </c>
      <c r="D66" s="2" t="str" cm="1">
        <f t="array" ref="D66" ca="1">INDEX(Data_DBD!$F:$F,$A66)</f>
        <v>Sedang</v>
      </c>
      <c r="H66" s="2">
        <v>75</v>
      </c>
      <c r="I66" s="2">
        <v>2</v>
      </c>
      <c r="J66" s="2">
        <v>1</v>
      </c>
      <c r="K66" s="2" t="s">
        <v>7</v>
      </c>
    </row>
    <row r="67" spans="1:11">
      <c r="A67" s="2">
        <f t="shared" ref="A67:A130" ca="1" si="1">RANDBETWEEN(2,164)</f>
        <v>130</v>
      </c>
      <c r="B67" s="2" cm="1">
        <f t="array" ref="B67" ca="1">INDEX(Data_DBD!$C:$C,$A67)</f>
        <v>4</v>
      </c>
      <c r="C67" s="2" cm="1">
        <f t="array" ref="C67" ca="1">INDEX(Data_DBD!$E:$E,$A67)</f>
        <v>0</v>
      </c>
      <c r="D67" s="2" t="str" cm="1">
        <f t="array" ref="D67" ca="1">INDEX(Data_DBD!$F:$F,$A67)</f>
        <v>Tinggi</v>
      </c>
      <c r="H67" s="2">
        <v>94</v>
      </c>
      <c r="I67" s="2">
        <v>4</v>
      </c>
      <c r="J67" s="2">
        <v>0</v>
      </c>
      <c r="K67" s="2" t="s">
        <v>97</v>
      </c>
    </row>
    <row r="68" spans="1:11">
      <c r="A68" s="2">
        <f t="shared" ca="1" si="1"/>
        <v>11</v>
      </c>
      <c r="B68" s="2" cm="1">
        <f t="array" ref="B68" ca="1">INDEX(Data_DBD!$C:$C,$A68)</f>
        <v>5</v>
      </c>
      <c r="C68" s="2" cm="1">
        <f t="array" ref="C68" ca="1">INDEX(Data_DBD!$E:$E,$A68)</f>
        <v>1</v>
      </c>
      <c r="D68" s="2" t="str" cm="1">
        <f t="array" ref="D68" ca="1">INDEX(Data_DBD!$F:$F,$A68)</f>
        <v>Sedang</v>
      </c>
      <c r="H68" s="2">
        <v>37</v>
      </c>
      <c r="I68" s="2">
        <v>4</v>
      </c>
      <c r="J68" s="2">
        <v>1</v>
      </c>
      <c r="K68" s="2" t="s">
        <v>20</v>
      </c>
    </row>
    <row r="69" spans="1:11">
      <c r="A69" s="2">
        <f t="shared" ca="1" si="1"/>
        <v>139</v>
      </c>
      <c r="B69" s="2" cm="1">
        <f t="array" ref="B69" ca="1">INDEX(Data_DBD!$C:$C,$A69)</f>
        <v>7</v>
      </c>
      <c r="C69" s="2" cm="1">
        <f t="array" ref="C69" ca="1">INDEX(Data_DBD!$E:$E,$A69)</f>
        <v>0</v>
      </c>
      <c r="D69" s="2" t="str" cm="1">
        <f t="array" ref="D69" ca="1">INDEX(Data_DBD!$F:$F,$A69)</f>
        <v>Tinggi</v>
      </c>
      <c r="H69" s="2">
        <v>144</v>
      </c>
      <c r="I69" s="2">
        <v>4</v>
      </c>
      <c r="J69" s="2">
        <v>1</v>
      </c>
      <c r="K69" s="2" t="s">
        <v>97</v>
      </c>
    </row>
    <row r="70" spans="1:11">
      <c r="A70" s="2">
        <f t="shared" ca="1" si="1"/>
        <v>88</v>
      </c>
      <c r="B70" s="2" cm="1">
        <f t="array" ref="B70" ca="1">INDEX(Data_DBD!$C:$C,$A70)</f>
        <v>4</v>
      </c>
      <c r="C70" s="2" cm="1">
        <f t="array" ref="C70" ca="1">INDEX(Data_DBD!$E:$E,$A70)</f>
        <v>1</v>
      </c>
      <c r="D70" s="2" t="str" cm="1">
        <f t="array" ref="D70" ca="1">INDEX(Data_DBD!$F:$F,$A70)</f>
        <v>Sedang</v>
      </c>
      <c r="H70" s="2">
        <v>154</v>
      </c>
      <c r="I70" s="2">
        <v>5</v>
      </c>
      <c r="J70" s="2">
        <v>1</v>
      </c>
      <c r="K70" s="2" t="s">
        <v>97</v>
      </c>
    </row>
    <row r="71" spans="1:11">
      <c r="A71" s="2">
        <f t="shared" ca="1" si="1"/>
        <v>34</v>
      </c>
      <c r="B71" s="2" cm="1">
        <f t="array" ref="B71" ca="1">INDEX(Data_DBD!$C:$C,$A71)</f>
        <v>3</v>
      </c>
      <c r="C71" s="2" cm="1">
        <f t="array" ref="C71" ca="1">INDEX(Data_DBD!$E:$E,$A71)</f>
        <v>0</v>
      </c>
      <c r="D71" s="2" t="str" cm="1">
        <f t="array" ref="D71" ca="1">INDEX(Data_DBD!$F:$F,$A71)</f>
        <v>Sedang</v>
      </c>
      <c r="H71" s="2">
        <v>111</v>
      </c>
      <c r="I71" s="2">
        <v>4</v>
      </c>
      <c r="J71" s="2">
        <v>0</v>
      </c>
      <c r="K71" s="2" t="s">
        <v>97</v>
      </c>
    </row>
    <row r="72" spans="1:11">
      <c r="A72" s="2">
        <f t="shared" ca="1" si="1"/>
        <v>87</v>
      </c>
      <c r="B72" s="2" cm="1">
        <f t="array" ref="B72" ca="1">INDEX(Data_DBD!$C:$C,$A72)</f>
        <v>3</v>
      </c>
      <c r="C72" s="2" cm="1">
        <f t="array" ref="C72" ca="1">INDEX(Data_DBD!$E:$E,$A72)</f>
        <v>0</v>
      </c>
      <c r="D72" s="2" t="str" cm="1">
        <f t="array" ref="D72" ca="1">INDEX(Data_DBD!$F:$F,$A72)</f>
        <v>Sedang</v>
      </c>
      <c r="H72" s="2">
        <v>149</v>
      </c>
      <c r="I72" s="2">
        <v>5</v>
      </c>
      <c r="J72" s="2">
        <v>0</v>
      </c>
      <c r="K72" s="2" t="s">
        <v>97</v>
      </c>
    </row>
    <row r="73" spans="1:11">
      <c r="A73" s="2">
        <f t="shared" ca="1" si="1"/>
        <v>88</v>
      </c>
      <c r="B73" s="2" cm="1">
        <f t="array" ref="B73" ca="1">INDEX(Data_DBD!$C:$C,$A73)</f>
        <v>4</v>
      </c>
      <c r="C73" s="2" cm="1">
        <f t="array" ref="C73" ca="1">INDEX(Data_DBD!$E:$E,$A73)</f>
        <v>1</v>
      </c>
      <c r="D73" s="2" t="str" cm="1">
        <f t="array" ref="D73" ca="1">INDEX(Data_DBD!$F:$F,$A73)</f>
        <v>Sedang</v>
      </c>
      <c r="H73" s="2">
        <v>52</v>
      </c>
      <c r="I73" s="2">
        <v>4</v>
      </c>
      <c r="J73" s="2">
        <v>1</v>
      </c>
      <c r="K73" s="2" t="s">
        <v>7</v>
      </c>
    </row>
    <row r="74" spans="1:11">
      <c r="A74" s="2">
        <f t="shared" ca="1" si="1"/>
        <v>143</v>
      </c>
      <c r="B74" s="2" cm="1">
        <f t="array" ref="B74" ca="1">INDEX(Data_DBD!$C:$C,$A74)</f>
        <v>4</v>
      </c>
      <c r="C74" s="2" cm="1">
        <f t="array" ref="C74" ca="1">INDEX(Data_DBD!$E:$E,$A74)</f>
        <v>1</v>
      </c>
      <c r="D74" s="2" t="str" cm="1">
        <f t="array" ref="D74" ca="1">INDEX(Data_DBD!$F:$F,$A74)</f>
        <v>Tinggi</v>
      </c>
      <c r="H74" s="2">
        <v>65</v>
      </c>
      <c r="I74" s="2">
        <v>3</v>
      </c>
      <c r="J74" s="2">
        <v>0</v>
      </c>
      <c r="K74" s="2" t="s">
        <v>7</v>
      </c>
    </row>
    <row r="75" spans="1:11">
      <c r="A75" s="2">
        <f t="shared" ca="1" si="1"/>
        <v>128</v>
      </c>
      <c r="B75" s="2" cm="1">
        <f t="array" ref="B75" ca="1">INDEX(Data_DBD!$C:$C,$A75)</f>
        <v>2</v>
      </c>
      <c r="C75" s="2" cm="1">
        <f t="array" ref="C75" ca="1">INDEX(Data_DBD!$E:$E,$A75)</f>
        <v>0</v>
      </c>
      <c r="D75" s="2" t="str" cm="1">
        <f t="array" ref="D75" ca="1">INDEX(Data_DBD!$F:$F,$A75)</f>
        <v>Tinggi</v>
      </c>
      <c r="H75" s="2">
        <v>112</v>
      </c>
      <c r="I75" s="2">
        <v>3</v>
      </c>
      <c r="J75" s="2">
        <v>1</v>
      </c>
      <c r="K75" s="2" t="s">
        <v>97</v>
      </c>
    </row>
    <row r="76" spans="1:11">
      <c r="A76" s="2">
        <f t="shared" ca="1" si="1"/>
        <v>137</v>
      </c>
      <c r="B76" s="2" cm="1">
        <f t="array" ref="B76" ca="1">INDEX(Data_DBD!$C:$C,$A76)</f>
        <v>1</v>
      </c>
      <c r="C76" s="2" cm="1">
        <f t="array" ref="C76" ca="1">INDEX(Data_DBD!$E:$E,$A76)</f>
        <v>1</v>
      </c>
      <c r="D76" s="2" t="str" cm="1">
        <f t="array" ref="D76" ca="1">INDEX(Data_DBD!$F:$F,$A76)</f>
        <v>Tinggi</v>
      </c>
      <c r="H76" s="2">
        <v>25</v>
      </c>
      <c r="I76" s="2">
        <v>5</v>
      </c>
      <c r="J76" s="2">
        <v>0</v>
      </c>
      <c r="K76" s="2" t="s">
        <v>7</v>
      </c>
    </row>
    <row r="77" spans="1:11">
      <c r="A77" s="2">
        <f t="shared" ca="1" si="1"/>
        <v>94</v>
      </c>
      <c r="B77" s="2" cm="1">
        <f t="array" ref="B77" ca="1">INDEX(Data_DBD!$C:$C,$A77)</f>
        <v>4</v>
      </c>
      <c r="C77" s="2" cm="1">
        <f t="array" ref="C77" ca="1">INDEX(Data_DBD!$E:$E,$A77)</f>
        <v>0</v>
      </c>
      <c r="D77" s="2" t="str" cm="1">
        <f t="array" ref="D77" ca="1">INDEX(Data_DBD!$F:$F,$A77)</f>
        <v>Tinggi</v>
      </c>
      <c r="H77" s="2">
        <v>138</v>
      </c>
      <c r="I77" s="2">
        <v>3</v>
      </c>
      <c r="J77" s="2">
        <v>1</v>
      </c>
      <c r="K77" s="2" t="s">
        <v>97</v>
      </c>
    </row>
    <row r="78" spans="1:11">
      <c r="A78" s="2">
        <f t="shared" ca="1" si="1"/>
        <v>83</v>
      </c>
      <c r="B78" s="2" cm="1">
        <f t="array" ref="B78" ca="1">INDEX(Data_DBD!$C:$C,$A78)</f>
        <v>3</v>
      </c>
      <c r="C78" s="2" cm="1">
        <f t="array" ref="C78" ca="1">INDEX(Data_DBD!$E:$E,$A78)</f>
        <v>0</v>
      </c>
      <c r="D78" s="2" t="str" cm="1">
        <f t="array" ref="D78" ca="1">INDEX(Data_DBD!$F:$F,$A78)</f>
        <v>Sedang</v>
      </c>
      <c r="H78" s="2">
        <v>133</v>
      </c>
      <c r="I78" s="2">
        <v>4</v>
      </c>
      <c r="J78" s="2">
        <v>0</v>
      </c>
      <c r="K78" s="2" t="s">
        <v>97</v>
      </c>
    </row>
    <row r="79" spans="1:11">
      <c r="A79" s="2">
        <f t="shared" ca="1" si="1"/>
        <v>40</v>
      </c>
      <c r="B79" s="2" cm="1">
        <f t="array" ref="B79" ca="1">INDEX(Data_DBD!$C:$C,$A79)</f>
        <v>3</v>
      </c>
      <c r="C79" s="2" cm="1">
        <f t="array" ref="C79" ca="1">INDEX(Data_DBD!$E:$E,$A79)</f>
        <v>1</v>
      </c>
      <c r="D79" s="2" t="str" cm="1">
        <f t="array" ref="D79" ca="1">INDEX(Data_DBD!$F:$F,$A79)</f>
        <v>Sedang</v>
      </c>
      <c r="H79" s="2">
        <v>43</v>
      </c>
      <c r="I79" s="2">
        <v>4</v>
      </c>
      <c r="J79" s="2">
        <v>0</v>
      </c>
      <c r="K79" s="2" t="s">
        <v>7</v>
      </c>
    </row>
    <row r="80" spans="1:11">
      <c r="A80" s="2">
        <f t="shared" ca="1" si="1"/>
        <v>50</v>
      </c>
      <c r="B80" s="2" cm="1">
        <f t="array" ref="B80" ca="1">INDEX(Data_DBD!$C:$C,$A80)</f>
        <v>5</v>
      </c>
      <c r="C80" s="2" cm="1">
        <f t="array" ref="C80" ca="1">INDEX(Data_DBD!$E:$E,$A80)</f>
        <v>0</v>
      </c>
      <c r="D80" s="2" t="str" cm="1">
        <f t="array" ref="D80" ca="1">INDEX(Data_DBD!$F:$F,$A80)</f>
        <v>Sedang</v>
      </c>
      <c r="H80" s="2">
        <v>162</v>
      </c>
      <c r="I80" s="2">
        <v>3</v>
      </c>
      <c r="J80" s="2">
        <v>1</v>
      </c>
      <c r="K80" s="2" t="s">
        <v>20</v>
      </c>
    </row>
    <row r="81" spans="1:11">
      <c r="A81" s="2">
        <f t="shared" ca="1" si="1"/>
        <v>153</v>
      </c>
      <c r="B81" s="2" cm="1">
        <f t="array" ref="B81" ca="1">INDEX(Data_DBD!$C:$C,$A81)</f>
        <v>7</v>
      </c>
      <c r="C81" s="2" cm="1">
        <f t="array" ref="C81" ca="1">INDEX(Data_DBD!$E:$E,$A81)</f>
        <v>1</v>
      </c>
      <c r="D81" s="2" t="str" cm="1">
        <f t="array" ref="D81" ca="1">INDEX(Data_DBD!$F:$F,$A81)</f>
        <v>Tinggi</v>
      </c>
      <c r="H81" s="2">
        <v>42</v>
      </c>
      <c r="I81" s="2">
        <v>5</v>
      </c>
      <c r="J81" s="2">
        <v>1</v>
      </c>
      <c r="K81" s="2" t="s">
        <v>7</v>
      </c>
    </row>
    <row r="82" spans="1:11">
      <c r="A82" s="2">
        <f t="shared" ca="1" si="1"/>
        <v>148</v>
      </c>
      <c r="B82" s="2" cm="1">
        <f t="array" ref="B82" ca="1">INDEX(Data_DBD!$C:$C,$A82)</f>
        <v>3</v>
      </c>
      <c r="C82" s="2" cm="1">
        <f t="array" ref="C82" ca="1">INDEX(Data_DBD!$E:$E,$A82)</f>
        <v>1</v>
      </c>
      <c r="D82" s="2" t="str" cm="1">
        <f t="array" ref="D82" ca="1">INDEX(Data_DBD!$F:$F,$A82)</f>
        <v>Tinggi</v>
      </c>
      <c r="H82" s="2">
        <v>43</v>
      </c>
      <c r="I82" s="2">
        <v>4</v>
      </c>
      <c r="J82" s="2">
        <v>0</v>
      </c>
      <c r="K82" s="2" t="s">
        <v>7</v>
      </c>
    </row>
    <row r="83" spans="1:11">
      <c r="A83" s="2">
        <f t="shared" ca="1" si="1"/>
        <v>41</v>
      </c>
      <c r="B83" s="2" cm="1">
        <f t="array" ref="B83" ca="1">INDEX(Data_DBD!$C:$C,$A83)</f>
        <v>4</v>
      </c>
      <c r="C83" s="2" cm="1">
        <f t="array" ref="C83" ca="1">INDEX(Data_DBD!$E:$E,$A83)</f>
        <v>0</v>
      </c>
      <c r="D83" s="2" t="str" cm="1">
        <f t="array" ref="D83" ca="1">INDEX(Data_DBD!$F:$F,$A83)</f>
        <v>Sedang</v>
      </c>
      <c r="H83" s="2">
        <v>80</v>
      </c>
      <c r="I83" s="2">
        <v>3</v>
      </c>
      <c r="J83" s="2">
        <v>1</v>
      </c>
      <c r="K83" s="2" t="s">
        <v>7</v>
      </c>
    </row>
    <row r="84" spans="1:11">
      <c r="A84" s="2">
        <f t="shared" ca="1" si="1"/>
        <v>164</v>
      </c>
      <c r="B84" s="2" cm="1">
        <f t="array" ref="B84" ca="1">INDEX(Data_DBD!$C:$C,$A84)</f>
        <v>6</v>
      </c>
      <c r="C84" s="2" cm="1">
        <f t="array" ref="C84" ca="1">INDEX(Data_DBD!$E:$E,$A84)</f>
        <v>0</v>
      </c>
      <c r="D84" s="2" t="str" cm="1">
        <f t="array" ref="D84" ca="1">INDEX(Data_DBD!$F:$F,$A84)</f>
        <v>Rendah</v>
      </c>
      <c r="H84" s="2">
        <v>78</v>
      </c>
      <c r="I84" s="2">
        <v>3</v>
      </c>
      <c r="J84" s="2">
        <v>0</v>
      </c>
      <c r="K84" s="2" t="s">
        <v>7</v>
      </c>
    </row>
    <row r="85" spans="1:11">
      <c r="A85" s="2">
        <f t="shared" ca="1" si="1"/>
        <v>153</v>
      </c>
      <c r="B85" s="2" cm="1">
        <f t="array" ref="B85" ca="1">INDEX(Data_DBD!$C:$C,$A85)</f>
        <v>7</v>
      </c>
      <c r="C85" s="2" cm="1">
        <f t="array" ref="C85" ca="1">INDEX(Data_DBD!$E:$E,$A85)</f>
        <v>1</v>
      </c>
      <c r="D85" s="2" t="str" cm="1">
        <f t="array" ref="D85" ca="1">INDEX(Data_DBD!$F:$F,$A85)</f>
        <v>Tinggi</v>
      </c>
      <c r="H85" s="2">
        <v>134</v>
      </c>
      <c r="I85" s="2">
        <v>2</v>
      </c>
      <c r="J85" s="2">
        <v>1</v>
      </c>
      <c r="K85" s="2" t="s">
        <v>97</v>
      </c>
    </row>
    <row r="86" spans="1:11">
      <c r="A86" s="2">
        <f t="shared" ca="1" si="1"/>
        <v>95</v>
      </c>
      <c r="B86" s="2" cm="1">
        <f t="array" ref="B86" ca="1">INDEX(Data_DBD!$C:$C,$A86)</f>
        <v>3</v>
      </c>
      <c r="C86" s="2" cm="1">
        <f t="array" ref="C86" ca="1">INDEX(Data_DBD!$E:$E,$A86)</f>
        <v>1</v>
      </c>
      <c r="D86" s="2" t="str" cm="1">
        <f t="array" ref="D86" ca="1">INDEX(Data_DBD!$F:$F,$A86)</f>
        <v>Tinggi</v>
      </c>
      <c r="H86" s="2">
        <v>22</v>
      </c>
      <c r="I86" s="2">
        <v>3</v>
      </c>
      <c r="J86" s="2">
        <v>0</v>
      </c>
      <c r="K86" s="2" t="s">
        <v>7</v>
      </c>
    </row>
    <row r="87" spans="1:11">
      <c r="A87" s="2">
        <f t="shared" ca="1" si="1"/>
        <v>17</v>
      </c>
      <c r="B87" s="2" cm="1">
        <f t="array" ref="B87" ca="1">INDEX(Data_DBD!$C:$C,$A87)</f>
        <v>3</v>
      </c>
      <c r="C87" s="2" cm="1">
        <f t="array" ref="C87" ca="1">INDEX(Data_DBD!$E:$E,$A87)</f>
        <v>0</v>
      </c>
      <c r="D87" s="2" t="str" cm="1">
        <f t="array" ref="D87" ca="1">INDEX(Data_DBD!$F:$F,$A87)</f>
        <v>Rendah</v>
      </c>
      <c r="H87" s="2">
        <v>49</v>
      </c>
      <c r="I87" s="2">
        <v>5</v>
      </c>
      <c r="J87" s="2">
        <v>0</v>
      </c>
      <c r="K87" s="2" t="s">
        <v>7</v>
      </c>
    </row>
    <row r="88" spans="1:11">
      <c r="A88" s="2">
        <f t="shared" ca="1" si="1"/>
        <v>93</v>
      </c>
      <c r="B88" s="2" cm="1">
        <f t="array" ref="B88" ca="1">INDEX(Data_DBD!$C:$C,$A88)</f>
        <v>4</v>
      </c>
      <c r="C88" s="2" cm="1">
        <f t="array" ref="C88" ca="1">INDEX(Data_DBD!$E:$E,$A88)</f>
        <v>0</v>
      </c>
      <c r="D88" s="2" t="str" cm="1">
        <f t="array" ref="D88" ca="1">INDEX(Data_DBD!$F:$F,$A88)</f>
        <v>Tinggi</v>
      </c>
      <c r="H88" s="2">
        <v>73</v>
      </c>
      <c r="I88" s="2">
        <v>3</v>
      </c>
      <c r="J88" s="2">
        <v>1</v>
      </c>
      <c r="K88" s="2" t="s">
        <v>7</v>
      </c>
    </row>
    <row r="89" spans="1:11">
      <c r="A89" s="2">
        <f t="shared" ca="1" si="1"/>
        <v>127</v>
      </c>
      <c r="B89" s="2" cm="1">
        <f t="array" ref="B89" ca="1">INDEX(Data_DBD!$C:$C,$A89)</f>
        <v>2</v>
      </c>
      <c r="C89" s="2" cm="1">
        <f t="array" ref="C89" ca="1">INDEX(Data_DBD!$E:$E,$A89)</f>
        <v>0</v>
      </c>
      <c r="D89" s="2" t="str" cm="1">
        <f t="array" ref="D89" ca="1">INDEX(Data_DBD!$F:$F,$A89)</f>
        <v>Tinggi</v>
      </c>
      <c r="H89" s="2">
        <v>67</v>
      </c>
      <c r="I89" s="2">
        <v>3</v>
      </c>
      <c r="J89" s="2">
        <v>1</v>
      </c>
      <c r="K89" s="2" t="s">
        <v>7</v>
      </c>
    </row>
    <row r="90" spans="1:11">
      <c r="A90" s="2">
        <f t="shared" ca="1" si="1"/>
        <v>138</v>
      </c>
      <c r="B90" s="2" cm="1">
        <f t="array" ref="B90" ca="1">INDEX(Data_DBD!$C:$C,$A90)</f>
        <v>3</v>
      </c>
      <c r="C90" s="2" cm="1">
        <f t="array" ref="C90" ca="1">INDEX(Data_DBD!$E:$E,$A90)</f>
        <v>1</v>
      </c>
      <c r="D90" s="2" t="str" cm="1">
        <f t="array" ref="D90" ca="1">INDEX(Data_DBD!$F:$F,$A90)</f>
        <v>Tinggi</v>
      </c>
      <c r="H90" s="2">
        <v>91</v>
      </c>
      <c r="I90" s="2">
        <v>1</v>
      </c>
      <c r="J90" s="2">
        <v>1</v>
      </c>
      <c r="K90" s="2" t="s">
        <v>97</v>
      </c>
    </row>
    <row r="91" spans="1:11">
      <c r="A91" s="2">
        <f t="shared" ca="1" si="1"/>
        <v>111</v>
      </c>
      <c r="B91" s="2" cm="1">
        <f t="array" ref="B91" ca="1">INDEX(Data_DBD!$C:$C,$A91)</f>
        <v>4</v>
      </c>
      <c r="C91" s="2" cm="1">
        <f t="array" ref="C91" ca="1">INDEX(Data_DBD!$E:$E,$A91)</f>
        <v>0</v>
      </c>
      <c r="D91" s="2" t="str" cm="1">
        <f t="array" ref="D91" ca="1">INDEX(Data_DBD!$F:$F,$A91)</f>
        <v>Tinggi</v>
      </c>
      <c r="H91" s="2">
        <v>13</v>
      </c>
      <c r="I91" s="2">
        <v>2</v>
      </c>
      <c r="J91" s="2">
        <v>0</v>
      </c>
      <c r="K91" s="2" t="s">
        <v>7</v>
      </c>
    </row>
    <row r="92" spans="1:11">
      <c r="A92" s="2">
        <f t="shared" ca="1" si="1"/>
        <v>88</v>
      </c>
      <c r="B92" s="2" cm="1">
        <f t="array" ref="B92" ca="1">INDEX(Data_DBD!$C:$C,$A92)</f>
        <v>4</v>
      </c>
      <c r="C92" s="2" cm="1">
        <f t="array" ref="C92" ca="1">INDEX(Data_DBD!$E:$E,$A92)</f>
        <v>1</v>
      </c>
      <c r="D92" s="2" t="str" cm="1">
        <f t="array" ref="D92" ca="1">INDEX(Data_DBD!$F:$F,$A92)</f>
        <v>Sedang</v>
      </c>
      <c r="H92" s="2">
        <v>149</v>
      </c>
      <c r="I92" s="2">
        <v>5</v>
      </c>
      <c r="J92" s="2">
        <v>0</v>
      </c>
      <c r="K92" s="2" t="s">
        <v>97</v>
      </c>
    </row>
    <row r="93" spans="1:11">
      <c r="A93" s="2">
        <f t="shared" ca="1" si="1"/>
        <v>53</v>
      </c>
      <c r="B93" s="2" cm="1">
        <f t="array" ref="B93" ca="1">INDEX(Data_DBD!$C:$C,$A93)</f>
        <v>4</v>
      </c>
      <c r="C93" s="2" cm="1">
        <f t="array" ref="C93" ca="1">INDEX(Data_DBD!$E:$E,$A93)</f>
        <v>1</v>
      </c>
      <c r="D93" s="2" t="str" cm="1">
        <f t="array" ref="D93" ca="1">INDEX(Data_DBD!$F:$F,$A93)</f>
        <v>Sedang</v>
      </c>
      <c r="H93" s="2">
        <v>109</v>
      </c>
      <c r="I93" s="2">
        <v>3</v>
      </c>
      <c r="J93" s="2">
        <v>1</v>
      </c>
      <c r="K93" s="2" t="s">
        <v>97</v>
      </c>
    </row>
    <row r="94" spans="1:11">
      <c r="A94" s="2">
        <f t="shared" ca="1" si="1"/>
        <v>70</v>
      </c>
      <c r="B94" s="2" cm="1">
        <f t="array" ref="B94" ca="1">INDEX(Data_DBD!$C:$C,$A94)</f>
        <v>3</v>
      </c>
      <c r="C94" s="2" cm="1">
        <f t="array" ref="C94" ca="1">INDEX(Data_DBD!$E:$E,$A94)</f>
        <v>1</v>
      </c>
      <c r="D94" s="2" t="str" cm="1">
        <f t="array" ref="D94" ca="1">INDEX(Data_DBD!$F:$F,$A94)</f>
        <v>Sedang</v>
      </c>
      <c r="H94" s="2">
        <v>135</v>
      </c>
      <c r="I94" s="2">
        <v>2</v>
      </c>
      <c r="J94" s="2">
        <v>0</v>
      </c>
      <c r="K94" s="2" t="s">
        <v>97</v>
      </c>
    </row>
    <row r="95" spans="1:11">
      <c r="A95" s="2">
        <f t="shared" ca="1" si="1"/>
        <v>142</v>
      </c>
      <c r="B95" s="2" cm="1">
        <f t="array" ref="B95" ca="1">INDEX(Data_DBD!$C:$C,$A95)</f>
        <v>2</v>
      </c>
      <c r="C95" s="2" cm="1">
        <f t="array" ref="C95" ca="1">INDEX(Data_DBD!$E:$E,$A95)</f>
        <v>1</v>
      </c>
      <c r="D95" s="2" t="str" cm="1">
        <f t="array" ref="D95" ca="1">INDEX(Data_DBD!$F:$F,$A95)</f>
        <v>Tinggi</v>
      </c>
      <c r="H95" s="2">
        <v>144</v>
      </c>
      <c r="I95" s="2">
        <v>4</v>
      </c>
      <c r="J95" s="2">
        <v>1</v>
      </c>
      <c r="K95" s="2" t="s">
        <v>97</v>
      </c>
    </row>
    <row r="96" spans="1:11">
      <c r="A96" s="2">
        <f t="shared" ca="1" si="1"/>
        <v>116</v>
      </c>
      <c r="B96" s="2" cm="1">
        <f t="array" ref="B96" ca="1">INDEX(Data_DBD!$C:$C,$A96)</f>
        <v>4</v>
      </c>
      <c r="C96" s="2" cm="1">
        <f t="array" ref="C96" ca="1">INDEX(Data_DBD!$E:$E,$A96)</f>
        <v>1</v>
      </c>
      <c r="D96" s="2" t="str" cm="1">
        <f t="array" ref="D96" ca="1">INDEX(Data_DBD!$F:$F,$A96)</f>
        <v>Tinggi</v>
      </c>
      <c r="H96" s="2">
        <v>91</v>
      </c>
      <c r="I96" s="2">
        <v>1</v>
      </c>
      <c r="J96" s="2">
        <v>1</v>
      </c>
      <c r="K96" s="2" t="s">
        <v>97</v>
      </c>
    </row>
    <row r="97" spans="1:11">
      <c r="A97" s="2">
        <f t="shared" ca="1" si="1"/>
        <v>40</v>
      </c>
      <c r="B97" s="2" cm="1">
        <f t="array" ref="B97" ca="1">INDEX(Data_DBD!$C:$C,$A97)</f>
        <v>3</v>
      </c>
      <c r="C97" s="2" cm="1">
        <f t="array" ref="C97" ca="1">INDEX(Data_DBD!$E:$E,$A97)</f>
        <v>1</v>
      </c>
      <c r="D97" s="2" t="str" cm="1">
        <f t="array" ref="D97" ca="1">INDEX(Data_DBD!$F:$F,$A97)</f>
        <v>Sedang</v>
      </c>
      <c r="H97" s="2">
        <v>66</v>
      </c>
      <c r="I97" s="2">
        <v>5</v>
      </c>
      <c r="J97" s="2">
        <v>1</v>
      </c>
      <c r="K97" s="2" t="s">
        <v>7</v>
      </c>
    </row>
    <row r="98" spans="1:11">
      <c r="A98" s="2">
        <f t="shared" ca="1" si="1"/>
        <v>43</v>
      </c>
      <c r="B98" s="2" cm="1">
        <f t="array" ref="B98" ca="1">INDEX(Data_DBD!$C:$C,$A98)</f>
        <v>4</v>
      </c>
      <c r="C98" s="2" cm="1">
        <f t="array" ref="C98" ca="1">INDEX(Data_DBD!$E:$E,$A98)</f>
        <v>0</v>
      </c>
      <c r="D98" s="2" t="str" cm="1">
        <f t="array" ref="D98" ca="1">INDEX(Data_DBD!$F:$F,$A98)</f>
        <v>Sedang</v>
      </c>
      <c r="H98" s="2">
        <v>3</v>
      </c>
      <c r="I98" s="2">
        <v>3</v>
      </c>
      <c r="J98" s="2">
        <v>1</v>
      </c>
      <c r="K98" s="2" t="s">
        <v>7</v>
      </c>
    </row>
    <row r="99" spans="1:11">
      <c r="A99" s="2">
        <f t="shared" ca="1" si="1"/>
        <v>25</v>
      </c>
      <c r="B99" s="2" cm="1">
        <f t="array" ref="B99" ca="1">INDEX(Data_DBD!$C:$C,$A99)</f>
        <v>5</v>
      </c>
      <c r="C99" s="2" cm="1">
        <f t="array" ref="C99" ca="1">INDEX(Data_DBD!$E:$E,$A99)</f>
        <v>0</v>
      </c>
      <c r="D99" s="2" t="str" cm="1">
        <f t="array" ref="D99" ca="1">INDEX(Data_DBD!$F:$F,$A99)</f>
        <v>Sedang</v>
      </c>
      <c r="H99" s="2">
        <v>103</v>
      </c>
      <c r="I99" s="2">
        <v>5</v>
      </c>
      <c r="J99" s="2">
        <v>0</v>
      </c>
      <c r="K99" s="2" t="s">
        <v>97</v>
      </c>
    </row>
    <row r="100" spans="1:11">
      <c r="A100" s="2">
        <f t="shared" ca="1" si="1"/>
        <v>78</v>
      </c>
      <c r="B100" s="2" cm="1">
        <f t="array" ref="B100" ca="1">INDEX(Data_DBD!$C:$C,$A100)</f>
        <v>3</v>
      </c>
      <c r="C100" s="2" cm="1">
        <f t="array" ref="C100" ca="1">INDEX(Data_DBD!$E:$E,$A100)</f>
        <v>0</v>
      </c>
      <c r="D100" s="2" t="str" cm="1">
        <f t="array" ref="D100" ca="1">INDEX(Data_DBD!$F:$F,$A100)</f>
        <v>Sedang</v>
      </c>
      <c r="H100" s="2">
        <v>15</v>
      </c>
      <c r="I100" s="2">
        <v>2</v>
      </c>
      <c r="J100" s="2">
        <v>0</v>
      </c>
      <c r="K100" s="2" t="s">
        <v>20</v>
      </c>
    </row>
    <row r="101" spans="1:11">
      <c r="A101" s="2">
        <f t="shared" ca="1" si="1"/>
        <v>153</v>
      </c>
      <c r="B101" s="2" cm="1">
        <f t="array" ref="B101" ca="1">INDEX(Data_DBD!$C:$C,$A101)</f>
        <v>7</v>
      </c>
      <c r="C101" s="2" cm="1">
        <f t="array" ref="C101" ca="1">INDEX(Data_DBD!$E:$E,$A101)</f>
        <v>1</v>
      </c>
      <c r="D101" s="2" t="str" cm="1">
        <f t="array" ref="D101" ca="1">INDEX(Data_DBD!$F:$F,$A101)</f>
        <v>Tinggi</v>
      </c>
      <c r="H101" s="2">
        <v>102</v>
      </c>
      <c r="I101" s="2">
        <v>4</v>
      </c>
      <c r="J101" s="2">
        <v>0</v>
      </c>
      <c r="K101" s="2" t="s">
        <v>97</v>
      </c>
    </row>
    <row r="102" spans="1:11">
      <c r="A102" s="2">
        <f t="shared" ca="1" si="1"/>
        <v>20</v>
      </c>
      <c r="B102" s="2" cm="1">
        <f t="array" ref="B102" ca="1">INDEX(Data_DBD!$C:$C,$A102)</f>
        <v>5</v>
      </c>
      <c r="C102" s="2" cm="1">
        <f t="array" ref="C102" ca="1">INDEX(Data_DBD!$E:$E,$A102)</f>
        <v>0</v>
      </c>
      <c r="D102" s="2" t="str" cm="1">
        <f t="array" ref="D102" ca="1">INDEX(Data_DBD!$F:$F,$A102)</f>
        <v>Rendah</v>
      </c>
      <c r="H102" s="2">
        <v>91</v>
      </c>
      <c r="I102" s="2">
        <v>1</v>
      </c>
      <c r="J102" s="2">
        <v>1</v>
      </c>
      <c r="K102" s="2" t="s">
        <v>97</v>
      </c>
    </row>
    <row r="103" spans="1:11">
      <c r="A103" s="2">
        <f t="shared" ca="1" si="1"/>
        <v>13</v>
      </c>
      <c r="B103" s="2" cm="1">
        <f t="array" ref="B103" ca="1">INDEX(Data_DBD!$C:$C,$A103)</f>
        <v>2</v>
      </c>
      <c r="C103" s="2" cm="1">
        <f t="array" ref="C103" ca="1">INDEX(Data_DBD!$E:$E,$A103)</f>
        <v>0</v>
      </c>
      <c r="D103" s="2" t="str" cm="1">
        <f t="array" ref="D103" ca="1">INDEX(Data_DBD!$F:$F,$A103)</f>
        <v>Sedang</v>
      </c>
      <c r="H103" s="2">
        <v>137</v>
      </c>
      <c r="I103" s="2">
        <v>1</v>
      </c>
      <c r="J103" s="2">
        <v>1</v>
      </c>
      <c r="K103" s="2" t="s">
        <v>97</v>
      </c>
    </row>
    <row r="104" spans="1:11">
      <c r="A104" s="2">
        <f t="shared" ca="1" si="1"/>
        <v>54</v>
      </c>
      <c r="B104" s="2" cm="1">
        <f t="array" ref="B104" ca="1">INDEX(Data_DBD!$C:$C,$A104)</f>
        <v>3</v>
      </c>
      <c r="C104" s="2" cm="1">
        <f t="array" ref="C104" ca="1">INDEX(Data_DBD!$E:$E,$A104)</f>
        <v>0</v>
      </c>
      <c r="D104" s="2" t="str" cm="1">
        <f t="array" ref="D104" ca="1">INDEX(Data_DBD!$F:$F,$A104)</f>
        <v>Sedang</v>
      </c>
      <c r="H104" s="2">
        <v>104</v>
      </c>
      <c r="I104" s="2">
        <v>4</v>
      </c>
      <c r="J104" s="2">
        <v>1</v>
      </c>
      <c r="K104" s="2" t="s">
        <v>97</v>
      </c>
    </row>
    <row r="105" spans="1:11">
      <c r="A105" s="2">
        <f t="shared" ca="1" si="1"/>
        <v>144</v>
      </c>
      <c r="B105" s="2" cm="1">
        <f t="array" ref="B105" ca="1">INDEX(Data_DBD!$C:$C,$A105)</f>
        <v>4</v>
      </c>
      <c r="C105" s="2" cm="1">
        <f t="array" ref="C105" ca="1">INDEX(Data_DBD!$E:$E,$A105)</f>
        <v>1</v>
      </c>
      <c r="D105" s="2" t="str" cm="1">
        <f t="array" ref="D105" ca="1">INDEX(Data_DBD!$F:$F,$A105)</f>
        <v>Tinggi</v>
      </c>
      <c r="H105" s="2">
        <v>118</v>
      </c>
      <c r="I105" s="2">
        <v>4</v>
      </c>
      <c r="J105" s="2">
        <v>1</v>
      </c>
      <c r="K105" s="2" t="s">
        <v>97</v>
      </c>
    </row>
    <row r="106" spans="1:11">
      <c r="A106" s="2">
        <f t="shared" ca="1" si="1"/>
        <v>51</v>
      </c>
      <c r="B106" s="2" cm="1">
        <f t="array" ref="B106" ca="1">INDEX(Data_DBD!$C:$C,$A106)</f>
        <v>4</v>
      </c>
      <c r="C106" s="2" cm="1">
        <f t="array" ref="C106" ca="1">INDEX(Data_DBD!$E:$E,$A106)</f>
        <v>0</v>
      </c>
      <c r="D106" s="2" t="str" cm="1">
        <f t="array" ref="D106" ca="1">INDEX(Data_DBD!$F:$F,$A106)</f>
        <v>Sedang</v>
      </c>
      <c r="H106" s="2">
        <v>114</v>
      </c>
      <c r="I106" s="2">
        <v>2</v>
      </c>
      <c r="J106" s="2">
        <v>1</v>
      </c>
      <c r="K106" s="2" t="s">
        <v>97</v>
      </c>
    </row>
    <row r="107" spans="1:11">
      <c r="A107" s="2">
        <f t="shared" ca="1" si="1"/>
        <v>156</v>
      </c>
      <c r="B107" s="2" cm="1">
        <f t="array" ref="B107" ca="1">INDEX(Data_DBD!$C:$C,$A107)</f>
        <v>2</v>
      </c>
      <c r="C107" s="2" cm="1">
        <f t="array" ref="C107" ca="1">INDEX(Data_DBD!$E:$E,$A107)</f>
        <v>0</v>
      </c>
      <c r="D107" s="2" t="str" cm="1">
        <f t="array" ref="D107" ca="1">INDEX(Data_DBD!$F:$F,$A107)</f>
        <v>Tinggi</v>
      </c>
      <c r="H107" s="2">
        <v>52</v>
      </c>
      <c r="I107" s="2">
        <v>4</v>
      </c>
      <c r="J107" s="2">
        <v>1</v>
      </c>
      <c r="K107" s="2" t="s">
        <v>7</v>
      </c>
    </row>
    <row r="108" spans="1:11">
      <c r="A108" s="2">
        <f t="shared" ca="1" si="1"/>
        <v>28</v>
      </c>
      <c r="B108" s="2" cm="1">
        <f t="array" ref="B108" ca="1">INDEX(Data_DBD!$C:$C,$A108)</f>
        <v>2</v>
      </c>
      <c r="C108" s="2" cm="1">
        <f t="array" ref="C108" ca="1">INDEX(Data_DBD!$E:$E,$A108)</f>
        <v>1</v>
      </c>
      <c r="D108" s="2" t="str" cm="1">
        <f t="array" ref="D108" ca="1">INDEX(Data_DBD!$F:$F,$A108)</f>
        <v>Sedang</v>
      </c>
      <c r="H108" s="2">
        <v>52</v>
      </c>
      <c r="I108" s="2">
        <v>4</v>
      </c>
      <c r="J108" s="2">
        <v>1</v>
      </c>
      <c r="K108" s="2" t="s">
        <v>7</v>
      </c>
    </row>
    <row r="109" spans="1:11">
      <c r="A109" s="2">
        <f t="shared" ca="1" si="1"/>
        <v>115</v>
      </c>
      <c r="B109" s="2" cm="1">
        <f t="array" ref="B109" ca="1">INDEX(Data_DBD!$C:$C,$A109)</f>
        <v>3</v>
      </c>
      <c r="C109" s="2" cm="1">
        <f t="array" ref="C109" ca="1">INDEX(Data_DBD!$E:$E,$A109)</f>
        <v>1</v>
      </c>
      <c r="D109" s="2" t="str" cm="1">
        <f t="array" ref="D109" ca="1">INDEX(Data_DBD!$F:$F,$A109)</f>
        <v>Tinggi</v>
      </c>
      <c r="H109" s="2">
        <v>140</v>
      </c>
      <c r="I109" s="2">
        <v>5</v>
      </c>
      <c r="J109" s="2">
        <v>1</v>
      </c>
      <c r="K109" s="2" t="s">
        <v>97</v>
      </c>
    </row>
    <row r="110" spans="1:11">
      <c r="A110" s="2">
        <f t="shared" ca="1" si="1"/>
        <v>79</v>
      </c>
      <c r="B110" s="2" cm="1">
        <f t="array" ref="B110" ca="1">INDEX(Data_DBD!$C:$C,$A110)</f>
        <v>3</v>
      </c>
      <c r="C110" s="2" cm="1">
        <f t="array" ref="C110" ca="1">INDEX(Data_DBD!$E:$E,$A110)</f>
        <v>0</v>
      </c>
      <c r="D110" s="2" t="str" cm="1">
        <f t="array" ref="D110" ca="1">INDEX(Data_DBD!$F:$F,$A110)</f>
        <v>Sedang</v>
      </c>
      <c r="H110" s="2">
        <v>124</v>
      </c>
      <c r="I110" s="2">
        <v>3</v>
      </c>
      <c r="J110" s="2">
        <v>1</v>
      </c>
      <c r="K110" s="2" t="s">
        <v>97</v>
      </c>
    </row>
    <row r="111" spans="1:11">
      <c r="A111" s="2">
        <f t="shared" ca="1" si="1"/>
        <v>26</v>
      </c>
      <c r="B111" s="2" cm="1">
        <f t="array" ref="B111" ca="1">INDEX(Data_DBD!$C:$C,$A111)</f>
        <v>4</v>
      </c>
      <c r="C111" s="2" cm="1">
        <f t="array" ref="C111" ca="1">INDEX(Data_DBD!$E:$E,$A111)</f>
        <v>1</v>
      </c>
      <c r="D111" s="2" t="str" cm="1">
        <f t="array" ref="D111" ca="1">INDEX(Data_DBD!$F:$F,$A111)</f>
        <v>Sedang</v>
      </c>
      <c r="H111" s="2">
        <v>114</v>
      </c>
      <c r="I111" s="2">
        <v>2</v>
      </c>
      <c r="J111" s="2">
        <v>1</v>
      </c>
      <c r="K111" s="2" t="s">
        <v>97</v>
      </c>
    </row>
    <row r="112" spans="1:11">
      <c r="A112" s="2">
        <f t="shared" ca="1" si="1"/>
        <v>18</v>
      </c>
      <c r="B112" s="2" cm="1">
        <f t="array" ref="B112" ca="1">INDEX(Data_DBD!$C:$C,$A112)</f>
        <v>4</v>
      </c>
      <c r="C112" s="2" cm="1">
        <f t="array" ref="C112" ca="1">INDEX(Data_DBD!$E:$E,$A112)</f>
        <v>1</v>
      </c>
      <c r="D112" s="2" t="str" cm="1">
        <f t="array" ref="D112" ca="1">INDEX(Data_DBD!$F:$F,$A112)</f>
        <v>Rendah</v>
      </c>
      <c r="H112" s="2">
        <v>22</v>
      </c>
      <c r="I112" s="2">
        <v>3</v>
      </c>
      <c r="J112" s="2">
        <v>0</v>
      </c>
      <c r="K112" s="2" t="s">
        <v>7</v>
      </c>
    </row>
    <row r="113" spans="1:11">
      <c r="A113" s="2">
        <f t="shared" ca="1" si="1"/>
        <v>76</v>
      </c>
      <c r="B113" s="2" cm="1">
        <f t="array" ref="B113" ca="1">INDEX(Data_DBD!$C:$C,$A113)</f>
        <v>2</v>
      </c>
      <c r="C113" s="2" cm="1">
        <f t="array" ref="C113" ca="1">INDEX(Data_DBD!$E:$E,$A113)</f>
        <v>0</v>
      </c>
      <c r="D113" s="2" t="str" cm="1">
        <f t="array" ref="D113" ca="1">INDEX(Data_DBD!$F:$F,$A113)</f>
        <v>Sedang</v>
      </c>
      <c r="H113" s="2">
        <v>51</v>
      </c>
      <c r="I113" s="2">
        <v>4</v>
      </c>
      <c r="J113" s="2">
        <v>0</v>
      </c>
      <c r="K113" s="2" t="s">
        <v>7</v>
      </c>
    </row>
    <row r="114" spans="1:11">
      <c r="A114" s="2">
        <f t="shared" ca="1" si="1"/>
        <v>124</v>
      </c>
      <c r="B114" s="2" cm="1">
        <f t="array" ref="B114" ca="1">INDEX(Data_DBD!$C:$C,$A114)</f>
        <v>3</v>
      </c>
      <c r="C114" s="2" cm="1">
        <f t="array" ref="C114" ca="1">INDEX(Data_DBD!$E:$E,$A114)</f>
        <v>1</v>
      </c>
      <c r="D114" s="2" t="str" cm="1">
        <f t="array" ref="D114" ca="1">INDEX(Data_DBD!$F:$F,$A114)</f>
        <v>Tinggi</v>
      </c>
      <c r="H114" s="2">
        <v>158</v>
      </c>
      <c r="I114" s="2">
        <v>2</v>
      </c>
      <c r="J114" s="2">
        <v>0</v>
      </c>
      <c r="K114" s="2" t="s">
        <v>97</v>
      </c>
    </row>
    <row r="115" spans="1:11">
      <c r="A115" s="2">
        <f t="shared" ca="1" si="1"/>
        <v>107</v>
      </c>
      <c r="B115" s="2" cm="1">
        <f t="array" ref="B115" ca="1">INDEX(Data_DBD!$C:$C,$A115)</f>
        <v>5</v>
      </c>
      <c r="C115" s="2" cm="1">
        <f t="array" ref="C115" ca="1">INDEX(Data_DBD!$E:$E,$A115)</f>
        <v>0</v>
      </c>
      <c r="D115" s="2" t="str" cm="1">
        <f t="array" ref="D115" ca="1">INDEX(Data_DBD!$F:$F,$A115)</f>
        <v>Tinggi</v>
      </c>
      <c r="H115" s="2">
        <v>86</v>
      </c>
      <c r="I115" s="2">
        <v>3</v>
      </c>
      <c r="J115" s="2">
        <v>0</v>
      </c>
      <c r="K115" s="2" t="s">
        <v>7</v>
      </c>
    </row>
    <row r="116" spans="1:11">
      <c r="A116" s="2">
        <f t="shared" ca="1" si="1"/>
        <v>26</v>
      </c>
      <c r="B116" s="2" cm="1">
        <f t="array" ref="B116" ca="1">INDEX(Data_DBD!$C:$C,$A116)</f>
        <v>4</v>
      </c>
      <c r="C116" s="2" cm="1">
        <f t="array" ref="C116" ca="1">INDEX(Data_DBD!$E:$E,$A116)</f>
        <v>1</v>
      </c>
      <c r="D116" s="2" t="str" cm="1">
        <f t="array" ref="D116" ca="1">INDEX(Data_DBD!$F:$F,$A116)</f>
        <v>Sedang</v>
      </c>
      <c r="H116" s="2">
        <v>138</v>
      </c>
      <c r="I116" s="2">
        <v>3</v>
      </c>
      <c r="J116" s="2">
        <v>1</v>
      </c>
      <c r="K116" s="2" t="s">
        <v>97</v>
      </c>
    </row>
    <row r="117" spans="1:11">
      <c r="A117" s="2">
        <f t="shared" ca="1" si="1"/>
        <v>54</v>
      </c>
      <c r="B117" s="2" cm="1">
        <f t="array" ref="B117" ca="1">INDEX(Data_DBD!$C:$C,$A117)</f>
        <v>3</v>
      </c>
      <c r="C117" s="2" cm="1">
        <f t="array" ref="C117" ca="1">INDEX(Data_DBD!$E:$E,$A117)</f>
        <v>0</v>
      </c>
      <c r="D117" s="2" t="str" cm="1">
        <f t="array" ref="D117" ca="1">INDEX(Data_DBD!$F:$F,$A117)</f>
        <v>Sedang</v>
      </c>
      <c r="H117" s="2">
        <v>142</v>
      </c>
      <c r="I117" s="2">
        <v>2</v>
      </c>
      <c r="J117" s="2">
        <v>1</v>
      </c>
      <c r="K117" s="2" t="s">
        <v>97</v>
      </c>
    </row>
    <row r="118" spans="1:11">
      <c r="A118" s="2">
        <f t="shared" ca="1" si="1"/>
        <v>35</v>
      </c>
      <c r="B118" s="2" cm="1">
        <f t="array" ref="B118" ca="1">INDEX(Data_DBD!$C:$C,$A118)</f>
        <v>3</v>
      </c>
      <c r="C118" s="2" cm="1">
        <f t="array" ref="C118" ca="1">INDEX(Data_DBD!$E:$E,$A118)</f>
        <v>1</v>
      </c>
      <c r="D118" s="2" t="str" cm="1">
        <f t="array" ref="D118" ca="1">INDEX(Data_DBD!$F:$F,$A118)</f>
        <v>Rendah</v>
      </c>
      <c r="H118" s="2">
        <v>2</v>
      </c>
      <c r="I118" s="2">
        <v>3</v>
      </c>
      <c r="J118" s="2">
        <v>0</v>
      </c>
      <c r="K118" s="2" t="s">
        <v>7</v>
      </c>
    </row>
    <row r="119" spans="1:11">
      <c r="A119" s="2">
        <f t="shared" ca="1" si="1"/>
        <v>68</v>
      </c>
      <c r="B119" s="2" cm="1">
        <f t="array" ref="B119" ca="1">INDEX(Data_DBD!$C:$C,$A119)</f>
        <v>5</v>
      </c>
      <c r="C119" s="2" cm="1">
        <f t="array" ref="C119" ca="1">INDEX(Data_DBD!$E:$E,$A119)</f>
        <v>0</v>
      </c>
      <c r="D119" s="2" t="str" cm="1">
        <f t="array" ref="D119" ca="1">INDEX(Data_DBD!$F:$F,$A119)</f>
        <v>Sedang</v>
      </c>
      <c r="H119" s="2">
        <v>53</v>
      </c>
      <c r="I119" s="2">
        <v>4</v>
      </c>
      <c r="J119" s="2">
        <v>1</v>
      </c>
      <c r="K119" s="2" t="s">
        <v>7</v>
      </c>
    </row>
    <row r="120" spans="1:11">
      <c r="A120" s="2">
        <f t="shared" ca="1" si="1"/>
        <v>90</v>
      </c>
      <c r="B120" s="2" cm="1">
        <f t="array" ref="B120" ca="1">INDEX(Data_DBD!$C:$C,$A120)</f>
        <v>3</v>
      </c>
      <c r="C120" s="2" cm="1">
        <f t="array" ref="C120" ca="1">INDEX(Data_DBD!$E:$E,$A120)</f>
        <v>0</v>
      </c>
      <c r="D120" s="2" t="str" cm="1">
        <f t="array" ref="D120" ca="1">INDEX(Data_DBD!$F:$F,$A120)</f>
        <v>Tinggi</v>
      </c>
      <c r="H120" s="2">
        <v>62</v>
      </c>
      <c r="I120" s="2">
        <v>4</v>
      </c>
      <c r="J120" s="2">
        <v>1</v>
      </c>
      <c r="K120" s="2" t="s">
        <v>7</v>
      </c>
    </row>
    <row r="121" spans="1:11">
      <c r="A121" s="2">
        <f t="shared" ca="1" si="1"/>
        <v>83</v>
      </c>
      <c r="B121" s="2" cm="1">
        <f t="array" ref="B121" ca="1">INDEX(Data_DBD!$C:$C,$A121)</f>
        <v>3</v>
      </c>
      <c r="C121" s="2" cm="1">
        <f t="array" ref="C121" ca="1">INDEX(Data_DBD!$E:$E,$A121)</f>
        <v>0</v>
      </c>
      <c r="D121" s="2" t="str" cm="1">
        <f t="array" ref="D121" ca="1">INDEX(Data_DBD!$F:$F,$A121)</f>
        <v>Sedang</v>
      </c>
      <c r="H121" s="2">
        <v>68</v>
      </c>
      <c r="I121" s="2">
        <v>5</v>
      </c>
      <c r="J121" s="2">
        <v>0</v>
      </c>
      <c r="K121" s="2" t="s">
        <v>7</v>
      </c>
    </row>
    <row r="122" spans="1:11">
      <c r="A122" s="2">
        <f t="shared" ca="1" si="1"/>
        <v>49</v>
      </c>
      <c r="B122" s="2" cm="1">
        <f t="array" ref="B122" ca="1">INDEX(Data_DBD!$C:$C,$A122)</f>
        <v>5</v>
      </c>
      <c r="C122" s="2" cm="1">
        <f t="array" ref="C122" ca="1">INDEX(Data_DBD!$E:$E,$A122)</f>
        <v>0</v>
      </c>
      <c r="D122" s="2" t="str" cm="1">
        <f t="array" ref="D122" ca="1">INDEX(Data_DBD!$F:$F,$A122)</f>
        <v>Sedang</v>
      </c>
      <c r="H122" s="2">
        <v>127</v>
      </c>
      <c r="I122" s="2">
        <v>2</v>
      </c>
      <c r="J122" s="2">
        <v>0</v>
      </c>
      <c r="K122" s="2" t="s">
        <v>97</v>
      </c>
    </row>
    <row r="123" spans="1:11">
      <c r="A123" s="2">
        <f t="shared" ca="1" si="1"/>
        <v>9</v>
      </c>
      <c r="B123" s="2" cm="1">
        <f t="array" ref="B123" ca="1">INDEX(Data_DBD!$C:$C,$A123)</f>
        <v>6</v>
      </c>
      <c r="C123" s="2" cm="1">
        <f t="array" ref="C123" ca="1">INDEX(Data_DBD!$E:$E,$A123)</f>
        <v>1</v>
      </c>
      <c r="D123" s="2" t="str" cm="1">
        <f t="array" ref="D123" ca="1">INDEX(Data_DBD!$F:$F,$A123)</f>
        <v>Sedang</v>
      </c>
      <c r="H123" s="2">
        <v>45</v>
      </c>
      <c r="I123" s="2">
        <v>3</v>
      </c>
      <c r="J123" s="2">
        <v>1</v>
      </c>
      <c r="K123" s="2" t="s">
        <v>7</v>
      </c>
    </row>
    <row r="124" spans="1:11">
      <c r="A124" s="2">
        <f t="shared" ca="1" si="1"/>
        <v>139</v>
      </c>
      <c r="B124" s="2" cm="1">
        <f t="array" ref="B124" ca="1">INDEX(Data_DBD!$C:$C,$A124)</f>
        <v>7</v>
      </c>
      <c r="C124" s="2" cm="1">
        <f t="array" ref="C124" ca="1">INDEX(Data_DBD!$E:$E,$A124)</f>
        <v>0</v>
      </c>
      <c r="D124" s="2" t="str" cm="1">
        <f t="array" ref="D124" ca="1">INDEX(Data_DBD!$F:$F,$A124)</f>
        <v>Tinggi</v>
      </c>
      <c r="H124" s="2">
        <v>12</v>
      </c>
      <c r="I124" s="2">
        <v>3</v>
      </c>
      <c r="J124" s="2">
        <v>0</v>
      </c>
      <c r="K124" s="2" t="s">
        <v>7</v>
      </c>
    </row>
    <row r="125" spans="1:11">
      <c r="A125" s="2">
        <f t="shared" ca="1" si="1"/>
        <v>60</v>
      </c>
      <c r="B125" s="2" cm="1">
        <f t="array" ref="B125" ca="1">INDEX(Data_DBD!$C:$C,$A125)</f>
        <v>4</v>
      </c>
      <c r="C125" s="2" cm="1">
        <f t="array" ref="C125" ca="1">INDEX(Data_DBD!$E:$E,$A125)</f>
        <v>0</v>
      </c>
      <c r="D125" s="2" t="str" cm="1">
        <f t="array" ref="D125" ca="1">INDEX(Data_DBD!$F:$F,$A125)</f>
        <v>Sedang</v>
      </c>
      <c r="H125" s="2">
        <v>15</v>
      </c>
      <c r="I125" s="2">
        <v>2</v>
      </c>
      <c r="J125" s="2">
        <v>0</v>
      </c>
      <c r="K125" s="2" t="s">
        <v>20</v>
      </c>
    </row>
    <row r="126" spans="1:11">
      <c r="A126" s="2">
        <f t="shared" ca="1" si="1"/>
        <v>104</v>
      </c>
      <c r="B126" s="2" cm="1">
        <f t="array" ref="B126" ca="1">INDEX(Data_DBD!$C:$C,$A126)</f>
        <v>4</v>
      </c>
      <c r="C126" s="2" cm="1">
        <f t="array" ref="C126" ca="1">INDEX(Data_DBD!$E:$E,$A126)</f>
        <v>1</v>
      </c>
      <c r="D126" s="2" t="str" cm="1">
        <f t="array" ref="D126" ca="1">INDEX(Data_DBD!$F:$F,$A126)</f>
        <v>Tinggi</v>
      </c>
      <c r="H126" s="2">
        <v>6</v>
      </c>
      <c r="I126" s="2">
        <v>4</v>
      </c>
      <c r="J126" s="2">
        <v>0</v>
      </c>
      <c r="K126" s="2" t="s">
        <v>7</v>
      </c>
    </row>
    <row r="127" spans="1:11">
      <c r="A127" s="2">
        <f t="shared" ca="1" si="1"/>
        <v>54</v>
      </c>
      <c r="B127" s="2" cm="1">
        <f t="array" ref="B127" ca="1">INDEX(Data_DBD!$C:$C,$A127)</f>
        <v>3</v>
      </c>
      <c r="C127" s="2" cm="1">
        <f t="array" ref="C127" ca="1">INDEX(Data_DBD!$E:$E,$A127)</f>
        <v>0</v>
      </c>
      <c r="D127" s="2" t="str" cm="1">
        <f t="array" ref="D127" ca="1">INDEX(Data_DBD!$F:$F,$A127)</f>
        <v>Sedang</v>
      </c>
      <c r="H127" s="2">
        <v>143</v>
      </c>
      <c r="I127" s="2">
        <v>4</v>
      </c>
      <c r="J127" s="2">
        <v>1</v>
      </c>
      <c r="K127" s="2" t="s">
        <v>97</v>
      </c>
    </row>
    <row r="128" spans="1:11">
      <c r="A128" s="2">
        <f t="shared" ca="1" si="1"/>
        <v>86</v>
      </c>
      <c r="B128" s="2" cm="1">
        <f t="array" ref="B128" ca="1">INDEX(Data_DBD!$C:$C,$A128)</f>
        <v>3</v>
      </c>
      <c r="C128" s="2" cm="1">
        <f t="array" ref="C128" ca="1">INDEX(Data_DBD!$E:$E,$A128)</f>
        <v>0</v>
      </c>
      <c r="D128" s="2" t="str" cm="1">
        <f t="array" ref="D128" ca="1">INDEX(Data_DBD!$F:$F,$A128)</f>
        <v>Sedang</v>
      </c>
      <c r="H128" s="2">
        <v>20</v>
      </c>
      <c r="I128" s="2">
        <v>5</v>
      </c>
      <c r="J128" s="2">
        <v>0</v>
      </c>
      <c r="K128" s="2" t="s">
        <v>20</v>
      </c>
    </row>
    <row r="129" spans="1:11">
      <c r="A129" s="2">
        <f t="shared" ca="1" si="1"/>
        <v>142</v>
      </c>
      <c r="B129" s="2" cm="1">
        <f t="array" ref="B129" ca="1">INDEX(Data_DBD!$C:$C,$A129)</f>
        <v>2</v>
      </c>
      <c r="C129" s="2" cm="1">
        <f t="array" ref="C129" ca="1">INDEX(Data_DBD!$E:$E,$A129)</f>
        <v>1</v>
      </c>
      <c r="D129" s="2" t="str" cm="1">
        <f t="array" ref="D129" ca="1">INDEX(Data_DBD!$F:$F,$A129)</f>
        <v>Tinggi</v>
      </c>
      <c r="H129" s="2">
        <v>67</v>
      </c>
      <c r="I129" s="2">
        <v>3</v>
      </c>
      <c r="J129" s="2">
        <v>1</v>
      </c>
      <c r="K129" s="2" t="s">
        <v>7</v>
      </c>
    </row>
    <row r="130" spans="1:11">
      <c r="A130" s="2">
        <f t="shared" ca="1" si="1"/>
        <v>133</v>
      </c>
      <c r="B130" s="2" cm="1">
        <f t="array" ref="B130" ca="1">INDEX(Data_DBD!$C:$C,$A130)</f>
        <v>4</v>
      </c>
      <c r="C130" s="2" cm="1">
        <f t="array" ref="C130" ca="1">INDEX(Data_DBD!$E:$E,$A130)</f>
        <v>0</v>
      </c>
      <c r="D130" s="2" t="str" cm="1">
        <f t="array" ref="D130" ca="1">INDEX(Data_DBD!$F:$F,$A130)</f>
        <v>Tinggi</v>
      </c>
      <c r="H130" s="2">
        <v>6</v>
      </c>
      <c r="I130" s="2">
        <v>4</v>
      </c>
      <c r="J130" s="2">
        <v>0</v>
      </c>
      <c r="K130" s="2" t="s">
        <v>7</v>
      </c>
    </row>
    <row r="131" spans="1:11">
      <c r="A131" s="2">
        <f t="shared" ref="A131:A164" ca="1" si="2">RANDBETWEEN(2,164)</f>
        <v>103</v>
      </c>
      <c r="B131" s="2" cm="1">
        <f t="array" ref="B131" ca="1">INDEX(Data_DBD!$C:$C,$A131)</f>
        <v>5</v>
      </c>
      <c r="C131" s="2" cm="1">
        <f t="array" ref="C131" ca="1">INDEX(Data_DBD!$E:$E,$A131)</f>
        <v>0</v>
      </c>
      <c r="D131" s="2" t="str" cm="1">
        <f t="array" ref="D131" ca="1">INDEX(Data_DBD!$F:$F,$A131)</f>
        <v>Tinggi</v>
      </c>
      <c r="H131" s="2">
        <v>72</v>
      </c>
      <c r="I131" s="2">
        <v>5</v>
      </c>
      <c r="J131" s="2">
        <v>1</v>
      </c>
      <c r="K131" s="2" t="s">
        <v>7</v>
      </c>
    </row>
    <row r="132" spans="1:11">
      <c r="A132" s="2">
        <f t="shared" ca="1" si="2"/>
        <v>158</v>
      </c>
      <c r="B132" s="2" cm="1">
        <f t="array" ref="B132" ca="1">INDEX(Data_DBD!$C:$C,$A132)</f>
        <v>2</v>
      </c>
      <c r="C132" s="2" cm="1">
        <f t="array" ref="C132" ca="1">INDEX(Data_DBD!$E:$E,$A132)</f>
        <v>0</v>
      </c>
      <c r="D132" s="2" t="str" cm="1">
        <f t="array" ref="D132" ca="1">INDEX(Data_DBD!$F:$F,$A132)</f>
        <v>Tinggi</v>
      </c>
      <c r="H132" s="2">
        <v>44</v>
      </c>
      <c r="I132" s="2">
        <v>5</v>
      </c>
      <c r="J132" s="2">
        <v>1</v>
      </c>
      <c r="K132" s="2" t="s">
        <v>7</v>
      </c>
    </row>
    <row r="133" spans="1:11">
      <c r="A133" s="2">
        <f t="shared" ca="1" si="2"/>
        <v>120</v>
      </c>
      <c r="B133" s="2" cm="1">
        <f t="array" ref="B133" ca="1">INDEX(Data_DBD!$C:$C,$A133)</f>
        <v>4</v>
      </c>
      <c r="C133" s="2" cm="1">
        <f t="array" ref="C133" ca="1">INDEX(Data_DBD!$E:$E,$A133)</f>
        <v>1</v>
      </c>
      <c r="D133" s="2" t="str" cm="1">
        <f t="array" ref="D133" ca="1">INDEX(Data_DBD!$F:$F,$A133)</f>
        <v>Tinggi</v>
      </c>
      <c r="H133" s="2">
        <v>62</v>
      </c>
      <c r="I133" s="2">
        <v>4</v>
      </c>
      <c r="J133" s="2">
        <v>1</v>
      </c>
      <c r="K133" s="2" t="s">
        <v>7</v>
      </c>
    </row>
    <row r="134" spans="1:11">
      <c r="A134" s="2">
        <f t="shared" ca="1" si="2"/>
        <v>158</v>
      </c>
      <c r="B134" s="2" cm="1">
        <f t="array" ref="B134" ca="1">INDEX(Data_DBD!$C:$C,$A134)</f>
        <v>2</v>
      </c>
      <c r="C134" s="2" cm="1">
        <f t="array" ref="C134" ca="1">INDEX(Data_DBD!$E:$E,$A134)</f>
        <v>0</v>
      </c>
      <c r="D134" s="2" t="str" cm="1">
        <f t="array" ref="D134" ca="1">INDEX(Data_DBD!$F:$F,$A134)</f>
        <v>Tinggi</v>
      </c>
      <c r="H134" s="2">
        <v>90</v>
      </c>
      <c r="I134" s="2">
        <v>3</v>
      </c>
      <c r="J134" s="2">
        <v>0</v>
      </c>
      <c r="K134" s="2" t="s">
        <v>97</v>
      </c>
    </row>
    <row r="135" spans="1:11">
      <c r="A135" s="2">
        <f t="shared" ca="1" si="2"/>
        <v>24</v>
      </c>
      <c r="B135" s="2" cm="1">
        <f t="array" ref="B135" ca="1">INDEX(Data_DBD!$C:$C,$A135)</f>
        <v>4</v>
      </c>
      <c r="C135" s="2" cm="1">
        <f t="array" ref="C135" ca="1">INDEX(Data_DBD!$E:$E,$A135)</f>
        <v>0</v>
      </c>
      <c r="D135" s="2" t="str" cm="1">
        <f t="array" ref="D135" ca="1">INDEX(Data_DBD!$F:$F,$A135)</f>
        <v>Sedang</v>
      </c>
      <c r="H135" s="2">
        <v>55</v>
      </c>
      <c r="I135" s="2">
        <v>4</v>
      </c>
      <c r="J135" s="2">
        <v>1</v>
      </c>
      <c r="K135" s="2" t="s">
        <v>7</v>
      </c>
    </row>
    <row r="136" spans="1:11">
      <c r="A136" s="2">
        <f t="shared" ca="1" si="2"/>
        <v>79</v>
      </c>
      <c r="B136" s="2" cm="1">
        <f t="array" ref="B136" ca="1">INDEX(Data_DBD!$C:$C,$A136)</f>
        <v>3</v>
      </c>
      <c r="C136" s="2" cm="1">
        <f t="array" ref="C136" ca="1">INDEX(Data_DBD!$E:$E,$A136)</f>
        <v>0</v>
      </c>
      <c r="D136" s="2" t="str" cm="1">
        <f t="array" ref="D136" ca="1">INDEX(Data_DBD!$F:$F,$A136)</f>
        <v>Sedang</v>
      </c>
      <c r="H136" s="2">
        <v>118</v>
      </c>
      <c r="I136" s="2">
        <v>4</v>
      </c>
      <c r="J136" s="2">
        <v>1</v>
      </c>
      <c r="K136" s="2" t="s">
        <v>97</v>
      </c>
    </row>
    <row r="137" spans="1:11">
      <c r="A137" s="2">
        <f t="shared" ca="1" si="2"/>
        <v>105</v>
      </c>
      <c r="B137" s="2" cm="1">
        <f t="array" ref="B137" ca="1">INDEX(Data_DBD!$C:$C,$A137)</f>
        <v>3</v>
      </c>
      <c r="C137" s="2" cm="1">
        <f t="array" ref="C137" ca="1">INDEX(Data_DBD!$E:$E,$A137)</f>
        <v>1</v>
      </c>
      <c r="D137" s="2" t="str" cm="1">
        <f t="array" ref="D137" ca="1">INDEX(Data_DBD!$F:$F,$A137)</f>
        <v>Tinggi</v>
      </c>
      <c r="H137" s="2">
        <v>41</v>
      </c>
      <c r="I137" s="2">
        <v>4</v>
      </c>
      <c r="J137" s="2">
        <v>0</v>
      </c>
      <c r="K137" s="2" t="s">
        <v>7</v>
      </c>
    </row>
    <row r="138" spans="1:11">
      <c r="A138" s="2">
        <f t="shared" ca="1" si="2"/>
        <v>119</v>
      </c>
      <c r="B138" s="2" cm="1">
        <f t="array" ref="B138" ca="1">INDEX(Data_DBD!$C:$C,$A138)</f>
        <v>7</v>
      </c>
      <c r="C138" s="2" cm="1">
        <f t="array" ref="C138" ca="1">INDEX(Data_DBD!$E:$E,$A138)</f>
        <v>0</v>
      </c>
      <c r="D138" s="2" t="str" cm="1">
        <f t="array" ref="D138" ca="1">INDEX(Data_DBD!$F:$F,$A138)</f>
        <v>Tinggi</v>
      </c>
      <c r="H138" s="2">
        <v>121</v>
      </c>
      <c r="I138" s="2">
        <v>5</v>
      </c>
      <c r="J138" s="2">
        <v>1</v>
      </c>
      <c r="K138" s="2" t="s">
        <v>97</v>
      </c>
    </row>
    <row r="139" spans="1:11">
      <c r="A139" s="2">
        <f t="shared" ca="1" si="2"/>
        <v>105</v>
      </c>
      <c r="B139" s="2" cm="1">
        <f t="array" ref="B139" ca="1">INDEX(Data_DBD!$C:$C,$A139)</f>
        <v>3</v>
      </c>
      <c r="C139" s="2" cm="1">
        <f t="array" ref="C139" ca="1">INDEX(Data_DBD!$E:$E,$A139)</f>
        <v>1</v>
      </c>
      <c r="D139" s="2" t="str" cm="1">
        <f t="array" ref="D139" ca="1">INDEX(Data_DBD!$F:$F,$A139)</f>
        <v>Tinggi</v>
      </c>
      <c r="H139" s="2">
        <v>126</v>
      </c>
      <c r="I139" s="2">
        <v>3</v>
      </c>
      <c r="J139" s="2">
        <v>1</v>
      </c>
      <c r="K139" s="2" t="s">
        <v>97</v>
      </c>
    </row>
    <row r="140" spans="1:11">
      <c r="A140" s="2">
        <f t="shared" ca="1" si="2"/>
        <v>7</v>
      </c>
      <c r="B140" s="2" cm="1">
        <f t="array" ref="B140" ca="1">INDEX(Data_DBD!$C:$C,$A140)</f>
        <v>1</v>
      </c>
      <c r="C140" s="2" cm="1">
        <f t="array" ref="C140" ca="1">INDEX(Data_DBD!$E:$E,$A140)</f>
        <v>1</v>
      </c>
      <c r="D140" s="2" t="str" cm="1">
        <f t="array" ref="D140" ca="1">INDEX(Data_DBD!$F:$F,$A140)</f>
        <v>Sedang</v>
      </c>
      <c r="H140" s="2">
        <v>40</v>
      </c>
      <c r="I140" s="2">
        <v>3</v>
      </c>
      <c r="J140" s="2">
        <v>1</v>
      </c>
      <c r="K140" s="2" t="s">
        <v>7</v>
      </c>
    </row>
    <row r="141" spans="1:11">
      <c r="A141" s="2">
        <f t="shared" ca="1" si="2"/>
        <v>152</v>
      </c>
      <c r="B141" s="2" cm="1">
        <f t="array" ref="B141" ca="1">INDEX(Data_DBD!$C:$C,$A141)</f>
        <v>3</v>
      </c>
      <c r="C141" s="2" cm="1">
        <f t="array" ref="C141" ca="1">INDEX(Data_DBD!$E:$E,$A141)</f>
        <v>1</v>
      </c>
      <c r="D141" s="2" t="str" cm="1">
        <f t="array" ref="D141" ca="1">INDEX(Data_DBD!$F:$F,$A141)</f>
        <v>Tinggi</v>
      </c>
      <c r="H141" s="2">
        <v>129</v>
      </c>
      <c r="I141" s="2">
        <v>3</v>
      </c>
      <c r="J141" s="2">
        <v>0</v>
      </c>
      <c r="K141" s="2" t="s">
        <v>97</v>
      </c>
    </row>
    <row r="142" spans="1:11">
      <c r="A142" s="2">
        <f t="shared" ca="1" si="2"/>
        <v>76</v>
      </c>
      <c r="B142" s="2" cm="1">
        <f t="array" ref="B142" ca="1">INDEX(Data_DBD!$C:$C,$A142)</f>
        <v>2</v>
      </c>
      <c r="C142" s="2" cm="1">
        <f t="array" ref="C142" ca="1">INDEX(Data_DBD!$E:$E,$A142)</f>
        <v>0</v>
      </c>
      <c r="D142" s="2" t="str" cm="1">
        <f t="array" ref="D142" ca="1">INDEX(Data_DBD!$F:$F,$A142)</f>
        <v>Sedang</v>
      </c>
      <c r="H142" s="2">
        <v>95</v>
      </c>
      <c r="I142" s="2">
        <v>3</v>
      </c>
      <c r="J142" s="2">
        <v>1</v>
      </c>
      <c r="K142" s="2" t="s">
        <v>97</v>
      </c>
    </row>
    <row r="143" spans="1:11">
      <c r="A143" s="2">
        <f t="shared" ca="1" si="2"/>
        <v>68</v>
      </c>
      <c r="B143" s="2" cm="1">
        <f t="array" ref="B143" ca="1">INDEX(Data_DBD!$C:$C,$A143)</f>
        <v>5</v>
      </c>
      <c r="C143" s="2" cm="1">
        <f t="array" ref="C143" ca="1">INDEX(Data_DBD!$E:$E,$A143)</f>
        <v>0</v>
      </c>
      <c r="D143" s="2" t="str" cm="1">
        <f t="array" ref="D143" ca="1">INDEX(Data_DBD!$F:$F,$A143)</f>
        <v>Sedang</v>
      </c>
      <c r="H143" s="2">
        <v>64</v>
      </c>
      <c r="I143" s="2">
        <v>1</v>
      </c>
      <c r="J143" s="2">
        <v>0</v>
      </c>
      <c r="K143" s="2" t="s">
        <v>7</v>
      </c>
    </row>
    <row r="144" spans="1:11">
      <c r="A144" s="2">
        <f t="shared" ca="1" si="2"/>
        <v>106</v>
      </c>
      <c r="B144" s="2" cm="1">
        <f t="array" ref="B144" ca="1">INDEX(Data_DBD!$C:$C,$A144)</f>
        <v>3</v>
      </c>
      <c r="C144" s="2" cm="1">
        <f t="array" ref="C144" ca="1">INDEX(Data_DBD!$E:$E,$A144)</f>
        <v>1</v>
      </c>
      <c r="D144" s="2" t="str" cm="1">
        <f t="array" ref="D144" ca="1">INDEX(Data_DBD!$F:$F,$A144)</f>
        <v>Tinggi</v>
      </c>
      <c r="H144" s="2">
        <v>16</v>
      </c>
      <c r="I144" s="2">
        <v>5</v>
      </c>
      <c r="J144" s="2">
        <v>1</v>
      </c>
      <c r="K144" s="2" t="s">
        <v>20</v>
      </c>
    </row>
    <row r="145" spans="1:11">
      <c r="A145" s="2">
        <f t="shared" ca="1" si="2"/>
        <v>116</v>
      </c>
      <c r="B145" s="2" cm="1">
        <f t="array" ref="B145" ca="1">INDEX(Data_DBD!$C:$C,$A145)</f>
        <v>4</v>
      </c>
      <c r="C145" s="2" cm="1">
        <f t="array" ref="C145" ca="1">INDEX(Data_DBD!$E:$E,$A145)</f>
        <v>1</v>
      </c>
      <c r="D145" s="2" t="str" cm="1">
        <f t="array" ref="D145" ca="1">INDEX(Data_DBD!$F:$F,$A145)</f>
        <v>Tinggi</v>
      </c>
      <c r="H145" s="2">
        <v>139</v>
      </c>
      <c r="I145" s="2">
        <v>7</v>
      </c>
      <c r="J145" s="2">
        <v>0</v>
      </c>
      <c r="K145" s="2" t="s">
        <v>97</v>
      </c>
    </row>
    <row r="146" spans="1:11">
      <c r="A146" s="2">
        <f t="shared" ca="1" si="2"/>
        <v>8</v>
      </c>
      <c r="B146" s="2" cm="1">
        <f t="array" ref="B146" ca="1">INDEX(Data_DBD!$C:$C,$A146)</f>
        <v>2</v>
      </c>
      <c r="C146" s="2" cm="1">
        <f t="array" ref="C146" ca="1">INDEX(Data_DBD!$E:$E,$A146)</f>
        <v>0</v>
      </c>
      <c r="D146" s="2" t="str" cm="1">
        <f t="array" ref="D146" ca="1">INDEX(Data_DBD!$F:$F,$A146)</f>
        <v>Sedang</v>
      </c>
      <c r="H146" s="2">
        <v>128</v>
      </c>
      <c r="I146" s="2">
        <v>2</v>
      </c>
      <c r="J146" s="2">
        <v>0</v>
      </c>
      <c r="K146" s="2" t="s">
        <v>97</v>
      </c>
    </row>
    <row r="147" spans="1:11">
      <c r="A147" s="2">
        <f t="shared" ca="1" si="2"/>
        <v>74</v>
      </c>
      <c r="B147" s="2" cm="1">
        <f t="array" ref="B147" ca="1">INDEX(Data_DBD!$C:$C,$A147)</f>
        <v>4</v>
      </c>
      <c r="C147" s="2" cm="1">
        <f t="array" ref="C147" ca="1">INDEX(Data_DBD!$E:$E,$A147)</f>
        <v>0</v>
      </c>
      <c r="D147" s="2" t="str" cm="1">
        <f t="array" ref="D147" ca="1">INDEX(Data_DBD!$F:$F,$A147)</f>
        <v>Sedang</v>
      </c>
      <c r="H147" s="2">
        <v>65</v>
      </c>
      <c r="I147" s="2">
        <v>3</v>
      </c>
      <c r="J147" s="2">
        <v>0</v>
      </c>
      <c r="K147" s="2" t="s">
        <v>7</v>
      </c>
    </row>
    <row r="148" spans="1:11">
      <c r="A148" s="2">
        <f t="shared" ca="1" si="2"/>
        <v>110</v>
      </c>
      <c r="B148" s="2" cm="1">
        <f t="array" ref="B148" ca="1">INDEX(Data_DBD!$C:$C,$A148)</f>
        <v>2</v>
      </c>
      <c r="C148" s="2" cm="1">
        <f t="array" ref="C148" ca="1">INDEX(Data_DBD!$E:$E,$A148)</f>
        <v>1</v>
      </c>
      <c r="D148" s="2" t="str" cm="1">
        <f t="array" ref="D148" ca="1">INDEX(Data_DBD!$F:$F,$A148)</f>
        <v>Tinggi</v>
      </c>
      <c r="H148" s="2">
        <v>39</v>
      </c>
      <c r="I148" s="2">
        <v>5</v>
      </c>
      <c r="J148" s="2">
        <v>1</v>
      </c>
      <c r="K148" s="2" t="s">
        <v>7</v>
      </c>
    </row>
    <row r="149" spans="1:11">
      <c r="A149" s="2">
        <f t="shared" ca="1" si="2"/>
        <v>137</v>
      </c>
      <c r="B149" s="2" cm="1">
        <f t="array" ref="B149" ca="1">INDEX(Data_DBD!$C:$C,$A149)</f>
        <v>1</v>
      </c>
      <c r="C149" s="2" cm="1">
        <f t="array" ref="C149" ca="1">INDEX(Data_DBD!$E:$E,$A149)</f>
        <v>1</v>
      </c>
      <c r="D149" s="2" t="str" cm="1">
        <f t="array" ref="D149" ca="1">INDEX(Data_DBD!$F:$F,$A149)</f>
        <v>Tinggi</v>
      </c>
      <c r="H149" s="2">
        <v>105</v>
      </c>
      <c r="I149" s="2">
        <v>3</v>
      </c>
      <c r="J149" s="2">
        <v>1</v>
      </c>
      <c r="K149" s="2" t="s">
        <v>97</v>
      </c>
    </row>
    <row r="150" spans="1:11">
      <c r="A150" s="2">
        <f t="shared" ca="1" si="2"/>
        <v>138</v>
      </c>
      <c r="B150" s="2" cm="1">
        <f t="array" ref="B150" ca="1">INDEX(Data_DBD!$C:$C,$A150)</f>
        <v>3</v>
      </c>
      <c r="C150" s="2" cm="1">
        <f t="array" ref="C150" ca="1">INDEX(Data_DBD!$E:$E,$A150)</f>
        <v>1</v>
      </c>
      <c r="D150" s="2" t="str" cm="1">
        <f t="array" ref="D150" ca="1">INDEX(Data_DBD!$F:$F,$A150)</f>
        <v>Tinggi</v>
      </c>
      <c r="H150" s="2">
        <v>85</v>
      </c>
      <c r="I150" s="2">
        <v>9</v>
      </c>
      <c r="J150" s="2">
        <v>0</v>
      </c>
      <c r="K150" s="2" t="s">
        <v>7</v>
      </c>
    </row>
    <row r="151" spans="1:11">
      <c r="A151" s="2">
        <f t="shared" ca="1" si="2"/>
        <v>104</v>
      </c>
      <c r="B151" s="2" cm="1">
        <f t="array" ref="B151" ca="1">INDEX(Data_DBD!$C:$C,$A151)</f>
        <v>4</v>
      </c>
      <c r="C151" s="2" cm="1">
        <f t="array" ref="C151" ca="1">INDEX(Data_DBD!$E:$E,$A151)</f>
        <v>1</v>
      </c>
      <c r="D151" s="2" t="str" cm="1">
        <f t="array" ref="D151" ca="1">INDEX(Data_DBD!$F:$F,$A151)</f>
        <v>Tinggi</v>
      </c>
      <c r="H151" s="2">
        <v>78</v>
      </c>
      <c r="I151" s="2">
        <v>3</v>
      </c>
      <c r="J151" s="2">
        <v>0</v>
      </c>
      <c r="K151" s="2" t="s">
        <v>7</v>
      </c>
    </row>
    <row r="152" spans="1:11">
      <c r="A152" s="2">
        <f t="shared" ca="1" si="2"/>
        <v>35</v>
      </c>
      <c r="B152" s="2" cm="1">
        <f t="array" ref="B152" ca="1">INDEX(Data_DBD!$C:$C,$A152)</f>
        <v>3</v>
      </c>
      <c r="C152" s="2" cm="1">
        <f t="array" ref="C152" ca="1">INDEX(Data_DBD!$E:$E,$A152)</f>
        <v>1</v>
      </c>
      <c r="D152" s="2" t="str" cm="1">
        <f t="array" ref="D152" ca="1">INDEX(Data_DBD!$F:$F,$A152)</f>
        <v>Rendah</v>
      </c>
      <c r="H152" s="2">
        <v>15</v>
      </c>
      <c r="I152" s="2">
        <v>2</v>
      </c>
      <c r="J152" s="2">
        <v>0</v>
      </c>
      <c r="K152" s="2" t="s">
        <v>20</v>
      </c>
    </row>
    <row r="153" spans="1:11">
      <c r="A153" s="2">
        <f t="shared" ca="1" si="2"/>
        <v>72</v>
      </c>
      <c r="B153" s="2" cm="1">
        <f t="array" ref="B153" ca="1">INDEX(Data_DBD!$C:$C,$A153)</f>
        <v>5</v>
      </c>
      <c r="C153" s="2" cm="1">
        <f t="array" ref="C153" ca="1">INDEX(Data_DBD!$E:$E,$A153)</f>
        <v>1</v>
      </c>
      <c r="D153" s="2" t="str" cm="1">
        <f t="array" ref="D153" ca="1">INDEX(Data_DBD!$F:$F,$A153)</f>
        <v>Sedang</v>
      </c>
      <c r="H153" s="2">
        <v>76</v>
      </c>
      <c r="I153" s="2">
        <v>2</v>
      </c>
      <c r="J153" s="2">
        <v>0</v>
      </c>
      <c r="K153" s="2" t="s">
        <v>7</v>
      </c>
    </row>
    <row r="154" spans="1:11">
      <c r="A154" s="2">
        <f t="shared" ca="1" si="2"/>
        <v>72</v>
      </c>
      <c r="B154" s="2" cm="1">
        <f t="array" ref="B154" ca="1">INDEX(Data_DBD!$C:$C,$A154)</f>
        <v>5</v>
      </c>
      <c r="C154" s="2" cm="1">
        <f t="array" ref="C154" ca="1">INDEX(Data_DBD!$E:$E,$A154)</f>
        <v>1</v>
      </c>
      <c r="D154" s="2" t="str" cm="1">
        <f t="array" ref="D154" ca="1">INDEX(Data_DBD!$F:$F,$A154)</f>
        <v>Sedang</v>
      </c>
      <c r="H154" s="2">
        <v>91</v>
      </c>
      <c r="I154" s="2">
        <v>1</v>
      </c>
      <c r="J154" s="2">
        <v>1</v>
      </c>
      <c r="K154" s="2" t="s">
        <v>97</v>
      </c>
    </row>
    <row r="155" spans="1:11">
      <c r="A155" s="2">
        <f t="shared" ca="1" si="2"/>
        <v>60</v>
      </c>
      <c r="B155" s="2" cm="1">
        <f t="array" ref="B155" ca="1">INDEX(Data_DBD!$C:$C,$A155)</f>
        <v>4</v>
      </c>
      <c r="C155" s="2" cm="1">
        <f t="array" ref="C155" ca="1">INDEX(Data_DBD!$E:$E,$A155)</f>
        <v>0</v>
      </c>
      <c r="D155" s="2" t="str" cm="1">
        <f t="array" ref="D155" ca="1">INDEX(Data_DBD!$F:$F,$A155)</f>
        <v>Sedang</v>
      </c>
      <c r="H155" s="2">
        <v>150</v>
      </c>
      <c r="I155" s="2">
        <v>5</v>
      </c>
      <c r="J155" s="2">
        <v>1</v>
      </c>
      <c r="K155" s="2" t="s">
        <v>97</v>
      </c>
    </row>
    <row r="156" spans="1:11">
      <c r="A156" s="2">
        <f t="shared" ca="1" si="2"/>
        <v>31</v>
      </c>
      <c r="B156" s="2" cm="1">
        <f t="array" ref="B156" ca="1">INDEX(Data_DBD!$C:$C,$A156)</f>
        <v>4</v>
      </c>
      <c r="C156" s="2" cm="1">
        <f t="array" ref="C156" ca="1">INDEX(Data_DBD!$E:$E,$A156)</f>
        <v>1</v>
      </c>
      <c r="D156" s="2" t="str" cm="1">
        <f t="array" ref="D156" ca="1">INDEX(Data_DBD!$F:$F,$A156)</f>
        <v>Sedang</v>
      </c>
      <c r="H156" s="2">
        <v>74</v>
      </c>
      <c r="I156" s="2">
        <v>4</v>
      </c>
      <c r="J156" s="2">
        <v>0</v>
      </c>
      <c r="K156" s="2" t="s">
        <v>7</v>
      </c>
    </row>
    <row r="157" spans="1:11">
      <c r="A157" s="2">
        <f t="shared" ca="1" si="2"/>
        <v>2</v>
      </c>
      <c r="B157" s="2" cm="1">
        <f t="array" ref="B157" ca="1">INDEX(Data_DBD!$C:$C,$A157)</f>
        <v>3</v>
      </c>
      <c r="C157" s="2" cm="1">
        <f t="array" ref="C157" ca="1">INDEX(Data_DBD!$E:$E,$A157)</f>
        <v>0</v>
      </c>
      <c r="D157" s="2" t="str" cm="1">
        <f t="array" ref="D157" ca="1">INDEX(Data_DBD!$F:$F,$A157)</f>
        <v>Sedang</v>
      </c>
      <c r="H157" s="2">
        <v>41</v>
      </c>
      <c r="I157" s="2">
        <v>4</v>
      </c>
      <c r="J157" s="2">
        <v>0</v>
      </c>
      <c r="K157" s="2" t="s">
        <v>7</v>
      </c>
    </row>
    <row r="158" spans="1:11">
      <c r="A158" s="2">
        <f t="shared" ca="1" si="2"/>
        <v>104</v>
      </c>
      <c r="B158" s="2" cm="1">
        <f t="array" ref="B158" ca="1">INDEX(Data_DBD!$C:$C,$A158)</f>
        <v>4</v>
      </c>
      <c r="C158" s="2" cm="1">
        <f t="array" ref="C158" ca="1">INDEX(Data_DBD!$E:$E,$A158)</f>
        <v>1</v>
      </c>
      <c r="D158" s="2" t="str" cm="1">
        <f t="array" ref="D158" ca="1">INDEX(Data_DBD!$F:$F,$A158)</f>
        <v>Tinggi</v>
      </c>
      <c r="H158" s="2">
        <v>142</v>
      </c>
      <c r="I158" s="2">
        <v>2</v>
      </c>
      <c r="J158" s="2">
        <v>1</v>
      </c>
      <c r="K158" s="2" t="s">
        <v>97</v>
      </c>
    </row>
    <row r="159" spans="1:11">
      <c r="A159" s="2">
        <f t="shared" ca="1" si="2"/>
        <v>118</v>
      </c>
      <c r="B159" s="2" cm="1">
        <f t="array" ref="B159" ca="1">INDEX(Data_DBD!$C:$C,$A159)</f>
        <v>4</v>
      </c>
      <c r="C159" s="2" cm="1">
        <f t="array" ref="C159" ca="1">INDEX(Data_DBD!$E:$E,$A159)</f>
        <v>1</v>
      </c>
      <c r="D159" s="2" t="str" cm="1">
        <f t="array" ref="D159" ca="1">INDEX(Data_DBD!$F:$F,$A159)</f>
        <v>Tinggi</v>
      </c>
      <c r="H159" s="2">
        <v>155</v>
      </c>
      <c r="I159" s="2">
        <v>5</v>
      </c>
      <c r="J159" s="2">
        <v>1</v>
      </c>
      <c r="K159" s="2" t="s">
        <v>97</v>
      </c>
    </row>
    <row r="160" spans="1:11">
      <c r="A160" s="2">
        <f t="shared" ca="1" si="2"/>
        <v>4</v>
      </c>
      <c r="B160" s="2" cm="1">
        <f t="array" ref="B160" ca="1">INDEX(Data_DBD!$C:$C,$A160)</f>
        <v>5</v>
      </c>
      <c r="C160" s="2" cm="1">
        <f t="array" ref="C160" ca="1">INDEX(Data_DBD!$E:$E,$A160)</f>
        <v>0</v>
      </c>
      <c r="D160" s="2" t="str" cm="1">
        <f t="array" ref="D160" ca="1">INDEX(Data_DBD!$F:$F,$A160)</f>
        <v>Sedang</v>
      </c>
      <c r="H160" s="2">
        <v>98</v>
      </c>
      <c r="I160" s="2">
        <v>2</v>
      </c>
      <c r="J160" s="2">
        <v>1</v>
      </c>
      <c r="K160" s="2" t="s">
        <v>97</v>
      </c>
    </row>
    <row r="161" spans="1:16">
      <c r="A161" s="2">
        <f t="shared" ca="1" si="2"/>
        <v>73</v>
      </c>
      <c r="B161" s="2" cm="1">
        <f t="array" ref="B161" ca="1">INDEX(Data_DBD!$C:$C,$A161)</f>
        <v>3</v>
      </c>
      <c r="C161" s="2" cm="1">
        <f t="array" ref="C161" ca="1">INDEX(Data_DBD!$E:$E,$A161)</f>
        <v>1</v>
      </c>
      <c r="D161" s="2" t="str" cm="1">
        <f t="array" ref="D161" ca="1">INDEX(Data_DBD!$F:$F,$A161)</f>
        <v>Sedang</v>
      </c>
      <c r="H161" s="2">
        <v>28</v>
      </c>
      <c r="I161" s="2">
        <v>2</v>
      </c>
      <c r="J161" s="2">
        <v>1</v>
      </c>
      <c r="K161" s="2" t="s">
        <v>7</v>
      </c>
    </row>
    <row r="162" spans="1:16">
      <c r="A162" s="2">
        <f t="shared" ca="1" si="2"/>
        <v>126</v>
      </c>
      <c r="B162" s="2" cm="1">
        <f t="array" ref="B162" ca="1">INDEX(Data_DBD!$C:$C,$A162)</f>
        <v>3</v>
      </c>
      <c r="C162" s="2" cm="1">
        <f t="array" ref="C162" ca="1">INDEX(Data_DBD!$E:$E,$A162)</f>
        <v>1</v>
      </c>
      <c r="D162" s="2" t="str" cm="1">
        <f t="array" ref="D162" ca="1">INDEX(Data_DBD!$F:$F,$A162)</f>
        <v>Tinggi</v>
      </c>
      <c r="H162" s="2">
        <v>87</v>
      </c>
      <c r="I162" s="2">
        <v>3</v>
      </c>
      <c r="J162" s="2">
        <v>0</v>
      </c>
      <c r="K162" s="2" t="s">
        <v>7</v>
      </c>
    </row>
    <row r="163" spans="1:16">
      <c r="A163" s="2">
        <f t="shared" ca="1" si="2"/>
        <v>155</v>
      </c>
      <c r="B163" s="2" cm="1">
        <f t="array" ref="B163" ca="1">INDEX(Data_DBD!$C:$C,$A163)</f>
        <v>5</v>
      </c>
      <c r="C163" s="2" cm="1">
        <f t="array" ref="C163" ca="1">INDEX(Data_DBD!$E:$E,$A163)</f>
        <v>1</v>
      </c>
      <c r="D163" s="2" t="str" cm="1">
        <f t="array" ref="D163" ca="1">INDEX(Data_DBD!$F:$F,$A163)</f>
        <v>Tinggi</v>
      </c>
      <c r="H163" s="2">
        <v>120</v>
      </c>
      <c r="I163" s="2">
        <v>4</v>
      </c>
      <c r="J163" s="2">
        <v>1</v>
      </c>
      <c r="K163" s="2" t="s">
        <v>97</v>
      </c>
    </row>
    <row r="164" spans="1:16">
      <c r="A164" s="2">
        <f t="shared" ca="1" si="2"/>
        <v>10</v>
      </c>
      <c r="B164" s="2" cm="1">
        <f t="array" ref="B164" ca="1">INDEX(Data_DBD!$C:$C,$A164)</f>
        <v>5</v>
      </c>
      <c r="C164" s="2" cm="1">
        <f t="array" ref="C164" ca="1">INDEX(Data_DBD!$E:$E,$A164)</f>
        <v>0</v>
      </c>
      <c r="D164" s="2" t="str" cm="1">
        <f t="array" ref="D164" ca="1">INDEX(Data_DBD!$F:$F,$A164)</f>
        <v>Sedang</v>
      </c>
      <c r="H164" s="2">
        <v>137</v>
      </c>
      <c r="I164" s="2">
        <v>1</v>
      </c>
      <c r="J164" s="2">
        <v>1</v>
      </c>
      <c r="K164" s="2" t="s">
        <v>97</v>
      </c>
    </row>
    <row r="165" spans="1:16">
      <c r="I165">
        <f>AVERAGE(I2:I164)</f>
        <v>3.5460122699386498</v>
      </c>
      <c r="J165">
        <f>AVERAGE(J2:J164)</f>
        <v>0.56441717791411039</v>
      </c>
    </row>
    <row r="167" spans="1:16">
      <c r="B167">
        <v>6</v>
      </c>
    </row>
    <row r="168" spans="1:16">
      <c r="I168" s="5" t="s">
        <v>176</v>
      </c>
      <c r="N168" s="5" t="s">
        <v>178</v>
      </c>
    </row>
    <row r="169" spans="1:16">
      <c r="I169" s="2" t="s">
        <v>179</v>
      </c>
      <c r="J169" s="2">
        <f>AVERAGEIF($I$2:$I$164,"&lt;="&amp;$I$165)</f>
        <v>2.4457831325301207</v>
      </c>
      <c r="K169" s="2">
        <f>AVERAGEIF($I$2:$I$164,"&gt;"&amp;$I$165)</f>
        <v>4.6875</v>
      </c>
      <c r="N169" s="2" t="s">
        <v>181</v>
      </c>
      <c r="O169" s="2">
        <f>AVERAGEIF($J$2:$J$164,"&lt;="&amp;$J$165)</f>
        <v>0</v>
      </c>
      <c r="P169" s="2">
        <f>AVERAGEIF($J$2:$J$164,"&gt;"&amp;$J$165)</f>
        <v>1</v>
      </c>
    </row>
    <row r="170" spans="1:16">
      <c r="I170" s="2" t="str" cm="1">
        <f t="array" ref="I170:I332">IF($I$2:$I$164&lt;$J$169,"kiri",IF($I$2:$I$164&lt;$K$169,"tengah","kanan"))</f>
        <v>kiri</v>
      </c>
      <c r="J170" s="2" t="s">
        <v>197</v>
      </c>
      <c r="K170" s="2"/>
      <c r="N170" s="2" t="str" cm="1">
        <f t="array" ref="N170:N332">IF($J$2:$J$164&lt;$O$169,"kiri",IF($J$2:$J$164&lt;$P$169,"tengah","kanan"))</f>
        <v>kanan</v>
      </c>
      <c r="O170" s="2" t="s">
        <v>185</v>
      </c>
      <c r="P170" s="2"/>
    </row>
    <row r="171" spans="1:16">
      <c r="I171" s="2" t="str">
        <v>tengah</v>
      </c>
      <c r="J171" s="2">
        <f>COUNTIFS($I$170:$I$332,"Kanan",$K$2:$K$164,"Tinggi")</f>
        <v>19</v>
      </c>
      <c r="K171" s="2">
        <f>J171/40</f>
        <v>0.47499999999999998</v>
      </c>
      <c r="N171" s="2" t="str">
        <v>kanan</v>
      </c>
      <c r="O171" s="2">
        <f>COUNTIFS($N$170:$N$332,"Kanan",$K$2:$K$164,"Tinggi")</f>
        <v>45</v>
      </c>
      <c r="P171" s="2">
        <f>O171/92</f>
        <v>0.4891304347826087</v>
      </c>
    </row>
    <row r="172" spans="1:16">
      <c r="I172" s="2" t="str">
        <v>kanan</v>
      </c>
      <c r="J172" s="2">
        <f>COUNTIFS($I$170:$I$332,"Kanan",$K$2:$K$164,"Sedang")</f>
        <v>18</v>
      </c>
      <c r="K172" s="2">
        <f>J172/40</f>
        <v>0.45</v>
      </c>
      <c r="N172" s="2" t="str">
        <v>tengah</v>
      </c>
      <c r="O172" s="2">
        <f>COUNTIFS($N$170:$N$332,"Kanan",$K$2:$K$164,"Sedang")</f>
        <v>40</v>
      </c>
      <c r="P172" s="2">
        <f>O172/92</f>
        <v>0.43478260869565216</v>
      </c>
    </row>
    <row r="173" spans="1:16">
      <c r="I173" s="2" t="str">
        <v>tengah</v>
      </c>
      <c r="J173" s="2">
        <f>COUNTIFS($I$170:$I$332,"Kanan",$K$2:$K$164,"Rendah")</f>
        <v>3</v>
      </c>
      <c r="K173" s="2">
        <f>J173/40</f>
        <v>7.4999999999999997E-2</v>
      </c>
      <c r="N173" s="2" t="str">
        <v>kanan</v>
      </c>
      <c r="O173" s="2">
        <f>COUNTIFS($N$170:$N$332,"Kanan",$K$2:$K$164,"Rendah")</f>
        <v>7</v>
      </c>
      <c r="P173" s="2">
        <f>O173/92</f>
        <v>7.6086956521739135E-2</v>
      </c>
    </row>
    <row r="174" spans="1:16">
      <c r="I174" s="2" t="str">
        <v>tengah</v>
      </c>
      <c r="J174" s="2" t="s">
        <v>186</v>
      </c>
      <c r="K174" s="2">
        <f>-(IFERROR(K171*LOG(K171,2),0)+IFERROR(K172*LOG(K172,2),0)+IFERROR(K173*LOG(K173,2),0))</f>
        <v>1.3088240877985322</v>
      </c>
      <c r="N174" s="2" t="str">
        <v>tengah</v>
      </c>
      <c r="O174" s="2" t="s">
        <v>186</v>
      </c>
      <c r="P174" s="2">
        <f>-(IFERROR(P171*LOG(P171,2),0)+IFERROR(P172*LOG(P172,2),0)+IFERROR(P173*LOG(P173,2),0))</f>
        <v>1.3098445910055663</v>
      </c>
    </row>
    <row r="175" spans="1:16">
      <c r="I175" s="2" t="str">
        <v>tengah</v>
      </c>
      <c r="J175" s="2"/>
      <c r="K175" s="2">
        <f>SUM(J171:J173)/163</f>
        <v>0.24539877300613497</v>
      </c>
      <c r="N175" s="2" t="str">
        <v>kanan</v>
      </c>
      <c r="O175" s="2"/>
      <c r="P175" s="2">
        <f>SUM(O171:O173)/163</f>
        <v>0.56441717791411039</v>
      </c>
    </row>
    <row r="176" spans="1:16">
      <c r="I176" s="2" t="str">
        <v>kiri</v>
      </c>
      <c r="J176" s="2"/>
      <c r="K176" s="6">
        <f>K174*K175</f>
        <v>0.32118382522663369</v>
      </c>
      <c r="N176" s="2" t="str">
        <v>kanan</v>
      </c>
      <c r="O176" s="2"/>
      <c r="P176" s="6">
        <f>P174*P175</f>
        <v>0.73929878756142386</v>
      </c>
    </row>
    <row r="177" spans="9:16">
      <c r="I177" s="2" t="str">
        <v>tengah</v>
      </c>
      <c r="J177" s="2"/>
      <c r="K177" s="2"/>
      <c r="N177" s="2" t="str">
        <v>kanan</v>
      </c>
      <c r="O177" s="2"/>
      <c r="P177" s="2"/>
    </row>
    <row r="178" spans="9:16">
      <c r="I178" s="2" t="str">
        <v>tengah</v>
      </c>
      <c r="J178" s="2"/>
      <c r="K178" s="2"/>
      <c r="N178" s="2" t="str">
        <v>kanan</v>
      </c>
      <c r="O178" s="2"/>
      <c r="P178" s="2"/>
    </row>
    <row r="179" spans="9:16">
      <c r="I179" s="2" t="str">
        <v>tengah</v>
      </c>
      <c r="J179" s="2" t="s">
        <v>198</v>
      </c>
      <c r="K179" s="2"/>
      <c r="N179" s="2" t="str">
        <v>tengah</v>
      </c>
      <c r="O179" s="2" t="s">
        <v>190</v>
      </c>
      <c r="P179" s="2"/>
    </row>
    <row r="180" spans="9:16">
      <c r="I180" s="2" t="str">
        <v>kanan</v>
      </c>
      <c r="J180" s="2">
        <f>COUNTIFS($I$170:$I$332,"Kiri",$K$2:$K$164,"Tinggi")</f>
        <v>23</v>
      </c>
      <c r="K180" s="2">
        <f>J180/36</f>
        <v>0.63888888888888884</v>
      </c>
      <c r="N180" s="2" t="str">
        <v>tengah</v>
      </c>
      <c r="O180" s="2">
        <f>COUNTIFS($N$170:$N$332,"Kiri",$K$2:$K$164,"Tinggi")</f>
        <v>0</v>
      </c>
      <c r="P180" s="2">
        <f>O180/57</f>
        <v>0</v>
      </c>
    </row>
    <row r="181" spans="9:16">
      <c r="I181" s="2" t="str">
        <v>kanan</v>
      </c>
      <c r="J181" s="2">
        <f>COUNTIFS($I$170:$I$332,"Kiri",$K$2:$K$164,"Sedang")</f>
        <v>9</v>
      </c>
      <c r="K181" s="2">
        <f>J181/36</f>
        <v>0.25</v>
      </c>
      <c r="N181" s="2" t="str">
        <v>tengah</v>
      </c>
      <c r="O181" s="2">
        <f>COUNTIFS($N$170:$N$332,"Kiri",$K$2:$K$164,"Sedang")</f>
        <v>0</v>
      </c>
      <c r="P181" s="2">
        <f>O181/57</f>
        <v>0</v>
      </c>
    </row>
    <row r="182" spans="9:16">
      <c r="I182" s="2" t="str">
        <v>kiri</v>
      </c>
      <c r="J182" s="2">
        <f>COUNTIFS($I$170:$I$332,"Kiri",$K$2:$K$164,"Rendah")</f>
        <v>4</v>
      </c>
      <c r="K182" s="2">
        <f>J182/36</f>
        <v>0.1111111111111111</v>
      </c>
      <c r="N182" s="2" t="str">
        <v>kanan</v>
      </c>
      <c r="O182" s="2">
        <f>COUNTIFS($N$170:$N$332,"Kiri",$K$2:$K$164,"Rendah")</f>
        <v>0</v>
      </c>
      <c r="P182" s="2">
        <f>O182/57</f>
        <v>0</v>
      </c>
    </row>
    <row r="183" spans="9:16">
      <c r="I183" s="2" t="str">
        <v>kanan</v>
      </c>
      <c r="J183" s="2" t="s">
        <v>186</v>
      </c>
      <c r="K183" s="2">
        <f>-(IFERROR(K180*LOG(K180,2),0)+IFERROR(K181*LOG(K181,2),0)+IFERROR(K182*LOG(K182,2),0))</f>
        <v>1.2651680569341983</v>
      </c>
      <c r="N183" s="2" t="str">
        <v>tengah</v>
      </c>
      <c r="O183" s="2" t="s">
        <v>186</v>
      </c>
      <c r="P183" s="2">
        <f>-(IFERROR(P180*LOG(P180,2),0)+IFERROR(P181*LOG(P181,2),0)+IFERROR(P182*LOG(P182,2),0))</f>
        <v>0</v>
      </c>
    </row>
    <row r="184" spans="9:16">
      <c r="I184" s="2" t="str">
        <v>kanan</v>
      </c>
      <c r="J184" s="2"/>
      <c r="K184" s="2">
        <f>SUM(J180:J182)/163</f>
        <v>0.22085889570552147</v>
      </c>
      <c r="N184" s="2" t="str">
        <v>kanan</v>
      </c>
      <c r="O184" s="2"/>
      <c r="P184" s="2">
        <f>SUM(O180:O182)/163</f>
        <v>0</v>
      </c>
    </row>
    <row r="185" spans="9:16">
      <c r="I185" s="2" t="str">
        <v>tengah</v>
      </c>
      <c r="J185" s="2"/>
      <c r="K185" s="6">
        <f>K183*K184</f>
        <v>0.27942361993638737</v>
      </c>
      <c r="N185" s="2" t="str">
        <v>kanan</v>
      </c>
      <c r="O185" s="2"/>
      <c r="P185" s="6">
        <f>P183*P184</f>
        <v>0</v>
      </c>
    </row>
    <row r="186" spans="9:16">
      <c r="I186" s="2" t="str">
        <v>tengah</v>
      </c>
      <c r="J186" s="2"/>
      <c r="K186" s="2"/>
      <c r="N186" s="2" t="str">
        <v>kanan</v>
      </c>
      <c r="O186" s="2"/>
      <c r="P186" s="2"/>
    </row>
    <row r="187" spans="9:16">
      <c r="I187" s="2" t="str">
        <v>tengah</v>
      </c>
      <c r="J187" s="2"/>
      <c r="K187" s="2"/>
      <c r="N187" s="2" t="str">
        <v>tengah</v>
      </c>
      <c r="O187" s="2"/>
      <c r="P187" s="2"/>
    </row>
    <row r="188" spans="9:16">
      <c r="I188" s="2" t="str">
        <v>kanan</v>
      </c>
      <c r="J188" s="2" t="s">
        <v>191</v>
      </c>
      <c r="K188" s="2"/>
      <c r="N188" s="2" t="str">
        <v>kanan</v>
      </c>
      <c r="O188" s="2" t="s">
        <v>191</v>
      </c>
      <c r="P188" s="2"/>
    </row>
    <row r="189" spans="9:16">
      <c r="I189" s="2" t="str">
        <v>kanan</v>
      </c>
      <c r="J189" s="2">
        <f>COUNTIFS($I$170:$I$332,"Tengah",$K$2:$K$164,"Tinggi")</f>
        <v>28</v>
      </c>
      <c r="K189" s="2">
        <f>J189/87</f>
        <v>0.32183908045977011</v>
      </c>
      <c r="N189" s="2" t="str">
        <v>kanan</v>
      </c>
      <c r="O189" s="2">
        <f>COUNTIFS($N$170:$N$332,"Tengah",$K$2:$K$164,"Tinggi")</f>
        <v>25</v>
      </c>
      <c r="P189" s="2">
        <f>O189/71</f>
        <v>0.352112676056338</v>
      </c>
    </row>
    <row r="190" spans="9:16">
      <c r="I190" s="2" t="str">
        <v>kiri</v>
      </c>
      <c r="J190" s="2">
        <f>COUNTIFS($I$170:$I$332,"Tengah",$K$2:$K$164,"Sedang")</f>
        <v>54</v>
      </c>
      <c r="K190" s="2">
        <f>J190/87</f>
        <v>0.62068965517241381</v>
      </c>
      <c r="N190" s="2" t="str">
        <v>tengah</v>
      </c>
      <c r="O190" s="2">
        <f>COUNTIFS($N$170:$N$332,"Tengah",$K$2:$K$164,"Sedang")</f>
        <v>41</v>
      </c>
      <c r="P190" s="2">
        <f>O190/71</f>
        <v>0.57746478873239437</v>
      </c>
    </row>
    <row r="191" spans="9:16">
      <c r="I191" s="2" t="str">
        <v>tengah</v>
      </c>
      <c r="J191" s="2">
        <f>COUNTIFS($I$170:$I$332,"Tengah",$K$2:$K$164,"Rendah")</f>
        <v>5</v>
      </c>
      <c r="K191" s="2">
        <f>J191/87</f>
        <v>5.7471264367816091E-2</v>
      </c>
      <c r="N191" s="2" t="str">
        <v>kanan</v>
      </c>
      <c r="O191" s="2">
        <f>COUNTIFS($N$170:$N$332,"Tengah",$K$2:$K$164,"Rendah")</f>
        <v>5</v>
      </c>
      <c r="P191" s="2">
        <f>O191/71</f>
        <v>7.0422535211267609E-2</v>
      </c>
    </row>
    <row r="192" spans="9:16">
      <c r="I192" s="2" t="str">
        <v>kiri</v>
      </c>
      <c r="J192" s="2" t="s">
        <v>186</v>
      </c>
      <c r="K192" s="2">
        <f>-(IFERROR(K189*LOG(K189,2),0)+IFERROR(K190*LOG(K190,2),0)+IFERROR(K191*LOG(K191,2),0))</f>
        <v>1.190305525631751</v>
      </c>
      <c r="N192" s="2" t="str">
        <v>kanan</v>
      </c>
      <c r="O192" s="2" t="s">
        <v>186</v>
      </c>
      <c r="P192" s="2">
        <f>-(IFERROR(P189*LOG(P189,2),0)+IFERROR(P190*LOG(P190,2),0)+IFERROR(P191*LOG(P191,2),0))</f>
        <v>1.2572727898124798</v>
      </c>
    </row>
    <row r="193" spans="9:16">
      <c r="I193" s="2" t="str">
        <v>tengah</v>
      </c>
      <c r="J193" s="2"/>
      <c r="K193" s="2">
        <f>SUM(J189:J191)/163</f>
        <v>0.53374233128834359</v>
      </c>
      <c r="N193" s="2" t="str">
        <v>tengah</v>
      </c>
      <c r="O193" s="2"/>
      <c r="P193" s="2">
        <f>SUM(O189:O191)/163</f>
        <v>0.43558282208588955</v>
      </c>
    </row>
    <row r="194" spans="9:16">
      <c r="I194" s="2" t="str">
        <v>kiri</v>
      </c>
      <c r="J194" s="2"/>
      <c r="K194" s="6">
        <f>K192*K193</f>
        <v>0.63531644619608796</v>
      </c>
      <c r="N194" s="2" t="str">
        <v>kanan</v>
      </c>
      <c r="O194" s="2"/>
      <c r="P194" s="6">
        <f>P192*P193</f>
        <v>0.54764642991831936</v>
      </c>
    </row>
    <row r="195" spans="9:16">
      <c r="I195" s="2" t="str">
        <v>tengah</v>
      </c>
      <c r="J195" s="2"/>
      <c r="K195" s="2"/>
      <c r="N195" s="2" t="str">
        <v>tengah</v>
      </c>
      <c r="O195" s="2"/>
      <c r="P195" s="2"/>
    </row>
    <row r="196" spans="9:16">
      <c r="I196" s="2" t="str">
        <v>tengah</v>
      </c>
      <c r="J196" s="2" t="s">
        <v>192</v>
      </c>
      <c r="K196" s="2"/>
      <c r="N196" s="2" t="str">
        <v>tengah</v>
      </c>
      <c r="O196" s="2" t="s">
        <v>192</v>
      </c>
      <c r="P196" s="2"/>
    </row>
    <row r="197" spans="9:16">
      <c r="I197" s="2" t="str">
        <v>tengah</v>
      </c>
      <c r="J197" s="7">
        <f>P5-(K176+K185+K194)</f>
        <v>6.6195603801681102E-2</v>
      </c>
      <c r="K197" s="2"/>
      <c r="N197" s="2" t="str">
        <v>kanan</v>
      </c>
      <c r="O197" s="7">
        <f>P5-(P176+P185+P194)</f>
        <v>1.5174277681046622E-2</v>
      </c>
      <c r="P197" s="2"/>
    </row>
    <row r="198" spans="9:16">
      <c r="I198" s="2" t="str">
        <v>tengah</v>
      </c>
      <c r="J198" s="2"/>
      <c r="K198" s="2"/>
      <c r="N198" s="2" t="str">
        <v>kanan</v>
      </c>
      <c r="O198" s="2"/>
      <c r="P198" s="2"/>
    </row>
    <row r="199" spans="9:16">
      <c r="I199" s="2" t="str">
        <v>tengah</v>
      </c>
      <c r="J199" s="2"/>
      <c r="K199" s="2"/>
      <c r="N199" s="2" t="str">
        <v>kanan</v>
      </c>
      <c r="O199" s="2"/>
      <c r="P199" s="2"/>
    </row>
    <row r="200" spans="9:16">
      <c r="I200" s="2" t="str">
        <v>tengah</v>
      </c>
      <c r="J200" s="2"/>
      <c r="K200" s="2"/>
      <c r="N200" s="2" t="str">
        <v>tengah</v>
      </c>
      <c r="O200" s="2"/>
      <c r="P200" s="2"/>
    </row>
    <row r="201" spans="9:16">
      <c r="I201" s="2" t="str">
        <v>kiri</v>
      </c>
      <c r="J201" s="2"/>
      <c r="K201" s="2"/>
      <c r="N201" s="2" t="str">
        <v>kanan</v>
      </c>
      <c r="O201" s="2"/>
      <c r="P201" s="2"/>
    </row>
    <row r="202" spans="9:16">
      <c r="I202" s="2" t="str">
        <v>kanan</v>
      </c>
      <c r="J202" s="2"/>
      <c r="K202" s="2"/>
      <c r="N202" s="2" t="str">
        <v>tengah</v>
      </c>
      <c r="O202" s="2"/>
      <c r="P202" s="2"/>
    </row>
    <row r="203" spans="9:16">
      <c r="I203" s="2" t="str">
        <v>kiri</v>
      </c>
      <c r="J203" s="2"/>
      <c r="K203" s="2"/>
      <c r="N203" s="2" t="str">
        <v>kanan</v>
      </c>
      <c r="O203" s="2"/>
      <c r="P203" s="2"/>
    </row>
    <row r="204" spans="9:16">
      <c r="I204" s="2" t="str">
        <v>kiri</v>
      </c>
      <c r="J204" s="2"/>
      <c r="K204" s="2"/>
      <c r="N204" s="2" t="str">
        <v>tengah</v>
      </c>
      <c r="O204" s="2"/>
      <c r="P204" s="2"/>
    </row>
    <row r="205" spans="9:16">
      <c r="I205" s="2" t="str">
        <v>tengah</v>
      </c>
      <c r="J205" s="2"/>
      <c r="K205" s="2"/>
      <c r="N205" s="2" t="str">
        <v>kanan</v>
      </c>
      <c r="O205" s="2"/>
      <c r="P205" s="2"/>
    </row>
    <row r="206" spans="9:16">
      <c r="I206" s="2" t="str">
        <v>tengah</v>
      </c>
      <c r="J206" s="2"/>
      <c r="K206" s="2"/>
      <c r="N206" s="2" t="str">
        <v>kanan</v>
      </c>
      <c r="O206" s="2"/>
      <c r="P206" s="2"/>
    </row>
    <row r="207" spans="9:16">
      <c r="I207" s="2" t="str">
        <v>tengah</v>
      </c>
      <c r="J207" s="2"/>
      <c r="K207" s="2"/>
      <c r="N207" s="2" t="str">
        <v>tengah</v>
      </c>
      <c r="O207" s="2"/>
      <c r="P207" s="2"/>
    </row>
    <row r="208" spans="9:16">
      <c r="I208" s="2" t="str">
        <v>kanan</v>
      </c>
      <c r="J208" s="2"/>
      <c r="K208" s="2"/>
      <c r="N208" s="2" t="str">
        <v>tengah</v>
      </c>
      <c r="O208" s="2"/>
      <c r="P208" s="2"/>
    </row>
    <row r="209" spans="9:16">
      <c r="I209" s="2" t="str">
        <v>kanan</v>
      </c>
      <c r="J209" s="2"/>
      <c r="K209" s="2"/>
      <c r="N209" s="2" t="str">
        <v>kanan</v>
      </c>
      <c r="O209" s="2"/>
      <c r="P209" s="2"/>
    </row>
    <row r="210" spans="9:16">
      <c r="I210" s="2" t="str">
        <v>tengah</v>
      </c>
      <c r="J210" s="2"/>
      <c r="K210" s="2"/>
      <c r="N210" s="2" t="str">
        <v>kanan</v>
      </c>
      <c r="O210" s="2"/>
      <c r="P210" s="2"/>
    </row>
    <row r="211" spans="9:16">
      <c r="I211" s="2" t="str">
        <v>tengah</v>
      </c>
      <c r="J211" s="2"/>
      <c r="K211" s="2"/>
      <c r="N211" s="2" t="str">
        <v>kanan</v>
      </c>
      <c r="O211" s="2"/>
      <c r="P211" s="2"/>
    </row>
    <row r="212" spans="9:16">
      <c r="I212" s="2" t="str">
        <v>kiri</v>
      </c>
      <c r="J212" s="2"/>
      <c r="K212" s="2"/>
      <c r="N212" s="2" t="str">
        <v>kanan</v>
      </c>
      <c r="O212" s="2"/>
      <c r="P212" s="2"/>
    </row>
    <row r="213" spans="9:16">
      <c r="I213" s="2" t="str">
        <v>tengah</v>
      </c>
      <c r="J213" s="2"/>
      <c r="K213" s="2"/>
      <c r="N213" s="2" t="str">
        <v>tengah</v>
      </c>
      <c r="O213" s="2"/>
      <c r="P213" s="2"/>
    </row>
    <row r="214" spans="9:16">
      <c r="I214" s="2" t="str">
        <v>kanan</v>
      </c>
      <c r="J214" s="2"/>
      <c r="K214" s="2"/>
      <c r="N214" s="2" t="str">
        <v>tengah</v>
      </c>
      <c r="O214" s="2"/>
      <c r="P214" s="2"/>
    </row>
    <row r="215" spans="9:16">
      <c r="I215" s="2" t="str">
        <v>tengah</v>
      </c>
      <c r="J215" s="2"/>
      <c r="K215" s="2"/>
      <c r="N215" s="2" t="str">
        <v>kanan</v>
      </c>
      <c r="O215" s="2"/>
      <c r="P215" s="2"/>
    </row>
    <row r="216" spans="9:16">
      <c r="I216" s="2" t="str">
        <v>kanan</v>
      </c>
      <c r="J216" s="2"/>
      <c r="K216" s="2"/>
      <c r="N216" s="2" t="str">
        <v>kanan</v>
      </c>
      <c r="O216" s="2"/>
      <c r="P216" s="2"/>
    </row>
    <row r="217" spans="9:16">
      <c r="I217" s="2" t="str">
        <v>kiri</v>
      </c>
      <c r="J217" s="2"/>
      <c r="K217" s="2"/>
      <c r="N217" s="2" t="str">
        <v>tengah</v>
      </c>
      <c r="O217" s="2"/>
      <c r="P217" s="2"/>
    </row>
    <row r="218" spans="9:16">
      <c r="I218" s="2" t="str">
        <v>kiri</v>
      </c>
      <c r="J218" s="2"/>
      <c r="K218" s="2"/>
      <c r="N218" s="2" t="str">
        <v>kanan</v>
      </c>
      <c r="O218" s="2"/>
      <c r="P218" s="2"/>
    </row>
    <row r="219" spans="9:16">
      <c r="I219" s="2" t="str">
        <v>kanan</v>
      </c>
      <c r="J219" s="2"/>
      <c r="K219" s="2"/>
      <c r="N219" s="2" t="str">
        <v>kanan</v>
      </c>
      <c r="O219" s="2"/>
      <c r="P219" s="2"/>
    </row>
    <row r="220" spans="9:16">
      <c r="I220" s="2" t="str">
        <v>kanan</v>
      </c>
      <c r="J220" s="2"/>
      <c r="K220" s="2"/>
      <c r="N220" s="2" t="str">
        <v>kanan</v>
      </c>
      <c r="O220" s="2"/>
      <c r="P220" s="2"/>
    </row>
    <row r="221" spans="9:16">
      <c r="I221" s="2" t="str">
        <v>tengah</v>
      </c>
      <c r="J221" s="2"/>
      <c r="K221" s="2"/>
      <c r="N221" s="2" t="str">
        <v>tengah</v>
      </c>
      <c r="O221" s="2"/>
      <c r="P221" s="2"/>
    </row>
    <row r="222" spans="9:16">
      <c r="I222" s="2" t="str">
        <v>tengah</v>
      </c>
      <c r="J222" s="2"/>
      <c r="K222" s="2"/>
      <c r="N222" s="2" t="str">
        <v>tengah</v>
      </c>
      <c r="O222" s="2"/>
      <c r="P222" s="2"/>
    </row>
    <row r="223" spans="9:16">
      <c r="I223" s="2" t="str">
        <v>tengah</v>
      </c>
      <c r="J223" s="2"/>
      <c r="K223" s="2"/>
      <c r="N223" s="2" t="str">
        <v>kanan</v>
      </c>
      <c r="O223" s="2"/>
      <c r="P223" s="2"/>
    </row>
    <row r="224" spans="9:16">
      <c r="I224" s="2" t="str">
        <v>kanan</v>
      </c>
      <c r="J224" s="2"/>
      <c r="K224" s="2"/>
      <c r="N224" s="2" t="str">
        <v>kanan</v>
      </c>
      <c r="O224" s="2"/>
      <c r="P224" s="2"/>
    </row>
    <row r="225" spans="9:16">
      <c r="I225" s="2" t="str">
        <v>tengah</v>
      </c>
      <c r="J225" s="2"/>
      <c r="K225" s="2"/>
      <c r="N225" s="2" t="str">
        <v>tengah</v>
      </c>
      <c r="O225" s="2"/>
      <c r="P225" s="2"/>
    </row>
    <row r="226" spans="9:16">
      <c r="I226" s="2" t="str">
        <v>kanan</v>
      </c>
      <c r="J226" s="2"/>
      <c r="K226" s="2"/>
      <c r="N226" s="2" t="str">
        <v>tengah</v>
      </c>
      <c r="O226" s="2"/>
      <c r="P226" s="2"/>
    </row>
    <row r="227" spans="9:16">
      <c r="I227" s="2" t="str">
        <v>tengah</v>
      </c>
      <c r="J227" s="2"/>
      <c r="K227" s="2"/>
      <c r="N227" s="2" t="str">
        <v>tengah</v>
      </c>
      <c r="O227" s="2"/>
      <c r="P227" s="2"/>
    </row>
    <row r="228" spans="9:16">
      <c r="I228" s="2" t="str">
        <v>kanan</v>
      </c>
      <c r="J228" s="2"/>
      <c r="K228" s="2"/>
      <c r="N228" s="2" t="str">
        <v>tengah</v>
      </c>
      <c r="O228" s="2"/>
      <c r="P228" s="2"/>
    </row>
    <row r="229" spans="9:16">
      <c r="I229" s="2" t="str">
        <v>tengah</v>
      </c>
      <c r="J229" s="2"/>
      <c r="K229" s="2"/>
      <c r="N229" s="2" t="str">
        <v>kanan</v>
      </c>
      <c r="O229" s="2"/>
      <c r="P229" s="2"/>
    </row>
    <row r="230" spans="9:16">
      <c r="I230" s="2" t="str">
        <v>kanan</v>
      </c>
      <c r="J230" s="2"/>
      <c r="K230" s="2"/>
      <c r="N230" s="2" t="str">
        <v>tengah</v>
      </c>
      <c r="O230" s="2"/>
      <c r="P230" s="2"/>
    </row>
    <row r="231" spans="9:16">
      <c r="I231" s="2" t="str">
        <v>kanan</v>
      </c>
      <c r="J231" s="2"/>
      <c r="K231" s="2"/>
      <c r="N231" s="2" t="str">
        <v>kanan</v>
      </c>
      <c r="O231" s="2"/>
      <c r="P231" s="2"/>
    </row>
    <row r="232" spans="9:16">
      <c r="I232" s="2" t="str">
        <v>tengah</v>
      </c>
      <c r="J232" s="2"/>
      <c r="K232" s="2"/>
      <c r="N232" s="2" t="str">
        <v>tengah</v>
      </c>
      <c r="O232" s="2"/>
      <c r="P232" s="2"/>
    </row>
    <row r="233" spans="9:16">
      <c r="I233" s="2" t="str">
        <v>kanan</v>
      </c>
      <c r="J233" s="2"/>
      <c r="K233" s="2"/>
      <c r="N233" s="2" t="str">
        <v>tengah</v>
      </c>
      <c r="O233" s="2"/>
      <c r="P233" s="2"/>
    </row>
    <row r="234" spans="9:16">
      <c r="I234" s="2" t="str">
        <v>kiri</v>
      </c>
      <c r="J234" s="2"/>
      <c r="K234" s="2"/>
      <c r="N234" s="2" t="str">
        <v>kanan</v>
      </c>
      <c r="O234" s="2"/>
      <c r="P234" s="2"/>
    </row>
    <row r="235" spans="9:16">
      <c r="I235" s="2" t="str">
        <v>tengah</v>
      </c>
      <c r="J235" s="2"/>
      <c r="K235" s="2"/>
      <c r="N235" s="2" t="str">
        <v>tengah</v>
      </c>
      <c r="O235" s="2"/>
      <c r="P235" s="2"/>
    </row>
    <row r="236" spans="9:16">
      <c r="I236" s="2" t="str">
        <v>tengah</v>
      </c>
      <c r="J236" s="2"/>
      <c r="K236" s="2"/>
      <c r="N236" s="2" t="str">
        <v>kanan</v>
      </c>
      <c r="O236" s="2"/>
      <c r="P236" s="2"/>
    </row>
    <row r="237" spans="9:16">
      <c r="I237" s="2" t="str">
        <v>tengah</v>
      </c>
      <c r="J237" s="2"/>
      <c r="K237" s="2"/>
      <c r="N237" s="2" t="str">
        <v>kanan</v>
      </c>
      <c r="O237" s="2"/>
      <c r="P237" s="2"/>
    </row>
    <row r="238" spans="9:16">
      <c r="I238" s="2" t="str">
        <v>kanan</v>
      </c>
      <c r="J238" s="2"/>
      <c r="K238" s="2"/>
      <c r="N238" s="2" t="str">
        <v>kanan</v>
      </c>
      <c r="O238" s="2"/>
      <c r="P238" s="2"/>
    </row>
    <row r="239" spans="9:16">
      <c r="I239" s="2" t="str">
        <v>tengah</v>
      </c>
      <c r="J239" s="2"/>
      <c r="K239" s="2"/>
      <c r="N239" s="2" t="str">
        <v>tengah</v>
      </c>
      <c r="O239" s="2"/>
      <c r="P239" s="2"/>
    </row>
    <row r="240" spans="9:16">
      <c r="I240" s="2" t="str">
        <v>kanan</v>
      </c>
      <c r="J240" s="2"/>
      <c r="K240" s="2"/>
      <c r="N240" s="2" t="str">
        <v>tengah</v>
      </c>
      <c r="O240" s="2"/>
      <c r="P240" s="2"/>
    </row>
    <row r="241" spans="9:16">
      <c r="I241" s="2" t="str">
        <v>tengah</v>
      </c>
      <c r="J241" s="2"/>
      <c r="K241" s="2"/>
      <c r="N241" s="2" t="str">
        <v>kanan</v>
      </c>
      <c r="O241" s="2"/>
      <c r="P241" s="2"/>
    </row>
    <row r="242" spans="9:16">
      <c r="I242" s="2" t="str">
        <v>tengah</v>
      </c>
      <c r="J242" s="2"/>
      <c r="K242" s="2"/>
      <c r="N242" s="2" t="str">
        <v>tengah</v>
      </c>
      <c r="O242" s="2"/>
      <c r="P242" s="2"/>
    </row>
    <row r="243" spans="9:16">
      <c r="I243" s="2" t="str">
        <v>tengah</v>
      </c>
      <c r="J243" s="2"/>
      <c r="K243" s="2"/>
      <c r="N243" s="2" t="str">
        <v>kanan</v>
      </c>
      <c r="O243" s="2"/>
      <c r="P243" s="2"/>
    </row>
    <row r="244" spans="9:16">
      <c r="I244" s="2" t="str">
        <v>kanan</v>
      </c>
      <c r="J244" s="2"/>
      <c r="K244" s="2"/>
      <c r="N244" s="2" t="str">
        <v>tengah</v>
      </c>
      <c r="O244" s="2"/>
      <c r="P244" s="2"/>
    </row>
    <row r="245" spans="9:16">
      <c r="I245" s="2" t="str">
        <v>tengah</v>
      </c>
      <c r="J245" s="2"/>
      <c r="K245" s="2"/>
      <c r="N245" s="2" t="str">
        <v>kanan</v>
      </c>
      <c r="O245" s="2"/>
      <c r="P245" s="2"/>
    </row>
    <row r="246" spans="9:16">
      <c r="I246" s="2" t="str">
        <v>tengah</v>
      </c>
      <c r="J246" s="2"/>
      <c r="K246" s="2"/>
      <c r="N246" s="2" t="str">
        <v>tengah</v>
      </c>
      <c r="O246" s="2"/>
      <c r="P246" s="2"/>
    </row>
    <row r="247" spans="9:16">
      <c r="I247" s="2" t="str">
        <v>tengah</v>
      </c>
      <c r="J247" s="2"/>
      <c r="K247" s="2"/>
      <c r="N247" s="2" t="str">
        <v>tengah</v>
      </c>
      <c r="O247" s="2"/>
      <c r="P247" s="2"/>
    </row>
    <row r="248" spans="9:16">
      <c r="I248" s="2" t="str">
        <v>tengah</v>
      </c>
      <c r="J248" s="2"/>
      <c r="K248" s="2"/>
      <c r="N248" s="2" t="str">
        <v>kanan</v>
      </c>
      <c r="O248" s="2"/>
      <c r="P248" s="2"/>
    </row>
    <row r="249" spans="9:16">
      <c r="I249" s="2" t="str">
        <v>kanan</v>
      </c>
      <c r="J249" s="2"/>
      <c r="K249" s="2"/>
      <c r="N249" s="2" t="str">
        <v>kanan</v>
      </c>
      <c r="O249" s="2"/>
      <c r="P249" s="2"/>
    </row>
    <row r="250" spans="9:16">
      <c r="I250" s="2" t="str">
        <v>tengah</v>
      </c>
      <c r="J250" s="2"/>
      <c r="K250" s="2"/>
      <c r="N250" s="2" t="str">
        <v>tengah</v>
      </c>
      <c r="O250" s="2"/>
      <c r="P250" s="2"/>
    </row>
    <row r="251" spans="9:16">
      <c r="I251" s="2" t="str">
        <v>tengah</v>
      </c>
      <c r="J251" s="2"/>
      <c r="K251" s="2"/>
      <c r="N251" s="2" t="str">
        <v>kanan</v>
      </c>
      <c r="O251" s="2"/>
      <c r="P251" s="2"/>
    </row>
    <row r="252" spans="9:16">
      <c r="I252" s="2" t="str">
        <v>tengah</v>
      </c>
      <c r="J252" s="2"/>
      <c r="K252" s="2"/>
      <c r="N252" s="2" t="str">
        <v>tengah</v>
      </c>
      <c r="O252" s="2"/>
      <c r="P252" s="2"/>
    </row>
    <row r="253" spans="9:16">
      <c r="I253" s="2" t="str">
        <v>kiri</v>
      </c>
      <c r="J253" s="2"/>
      <c r="K253" s="2"/>
      <c r="N253" s="2" t="str">
        <v>kanan</v>
      </c>
      <c r="O253" s="2"/>
      <c r="P253" s="2"/>
    </row>
    <row r="254" spans="9:16">
      <c r="I254" s="2" t="str">
        <v>tengah</v>
      </c>
      <c r="J254" s="2"/>
      <c r="K254" s="2"/>
      <c r="N254" s="2" t="str">
        <v>tengah</v>
      </c>
      <c r="O254" s="2"/>
      <c r="P254" s="2"/>
    </row>
    <row r="255" spans="9:16">
      <c r="I255" s="2" t="str">
        <v>kanan</v>
      </c>
      <c r="J255" s="2"/>
      <c r="K255" s="2"/>
      <c r="N255" s="2" t="str">
        <v>tengah</v>
      </c>
      <c r="O255" s="2"/>
      <c r="P255" s="2"/>
    </row>
    <row r="256" spans="9:16">
      <c r="I256" s="2" t="str">
        <v>tengah</v>
      </c>
      <c r="J256" s="2"/>
      <c r="K256" s="2"/>
      <c r="N256" s="2" t="str">
        <v>kanan</v>
      </c>
      <c r="O256" s="2"/>
      <c r="P256" s="2"/>
    </row>
    <row r="257" spans="9:16">
      <c r="I257" s="2" t="str">
        <v>tengah</v>
      </c>
      <c r="J257" s="2"/>
      <c r="K257" s="2"/>
      <c r="N257" s="2" t="str">
        <v>kanan</v>
      </c>
      <c r="O257" s="2"/>
      <c r="P257" s="2"/>
    </row>
    <row r="258" spans="9:16">
      <c r="I258" s="2" t="str">
        <v>kiri</v>
      </c>
      <c r="J258" s="2"/>
      <c r="K258" s="2"/>
      <c r="N258" s="2" t="str">
        <v>kanan</v>
      </c>
      <c r="O258" s="2"/>
      <c r="P258" s="2"/>
    </row>
    <row r="259" spans="9:16">
      <c r="I259" s="2" t="str">
        <v>kiri</v>
      </c>
      <c r="J259" s="2"/>
      <c r="K259" s="2"/>
      <c r="N259" s="2" t="str">
        <v>tengah</v>
      </c>
      <c r="O259" s="2"/>
      <c r="P259" s="2"/>
    </row>
    <row r="260" spans="9:16">
      <c r="I260" s="2" t="str">
        <v>kanan</v>
      </c>
      <c r="J260" s="2"/>
      <c r="K260" s="2"/>
      <c r="N260" s="2" t="str">
        <v>tengah</v>
      </c>
      <c r="O260" s="2"/>
      <c r="P260" s="2"/>
    </row>
    <row r="261" spans="9:16">
      <c r="I261" s="2" t="str">
        <v>tengah</v>
      </c>
      <c r="J261" s="2"/>
      <c r="K261" s="2"/>
      <c r="N261" s="2" t="str">
        <v>kanan</v>
      </c>
      <c r="O261" s="2"/>
      <c r="P261" s="2"/>
    </row>
    <row r="262" spans="9:16">
      <c r="I262" s="2" t="str">
        <v>kiri</v>
      </c>
      <c r="J262" s="2"/>
      <c r="K262" s="2"/>
      <c r="N262" s="2" t="str">
        <v>tengah</v>
      </c>
      <c r="O262" s="2"/>
      <c r="P262" s="2"/>
    </row>
    <row r="263" spans="9:16">
      <c r="I263" s="2" t="str">
        <v>tengah</v>
      </c>
      <c r="J263" s="2"/>
      <c r="K263" s="2"/>
      <c r="N263" s="2" t="str">
        <v>kanan</v>
      </c>
      <c r="O263" s="2"/>
      <c r="P263" s="2"/>
    </row>
    <row r="264" spans="9:16">
      <c r="I264" s="2" t="str">
        <v>kiri</v>
      </c>
      <c r="J264" s="2"/>
      <c r="K264" s="2"/>
      <c r="N264" s="2" t="str">
        <v>kanan</v>
      </c>
      <c r="O264" s="2"/>
      <c r="P264" s="2"/>
    </row>
    <row r="265" spans="9:16">
      <c r="I265" s="2" t="str">
        <v>kanan</v>
      </c>
      <c r="J265" s="2"/>
      <c r="K265" s="2"/>
      <c r="N265" s="2" t="str">
        <v>kanan</v>
      </c>
      <c r="O265" s="2"/>
      <c r="P265" s="2"/>
    </row>
    <row r="266" spans="9:16">
      <c r="I266" s="2" t="str">
        <v>tengah</v>
      </c>
      <c r="J266" s="2"/>
      <c r="K266" s="2"/>
      <c r="N266" s="2" t="str">
        <v>kanan</v>
      </c>
      <c r="O266" s="2"/>
      <c r="P266" s="2"/>
    </row>
    <row r="267" spans="9:16">
      <c r="I267" s="2" t="str">
        <v>kanan</v>
      </c>
      <c r="J267" s="2"/>
      <c r="K267" s="2"/>
      <c r="N267" s="2" t="str">
        <v>tengah</v>
      </c>
      <c r="O267" s="2"/>
      <c r="P267" s="2"/>
    </row>
    <row r="268" spans="9:16">
      <c r="I268" s="2" t="str">
        <v>kiri</v>
      </c>
      <c r="J268" s="2"/>
      <c r="K268" s="2"/>
      <c r="N268" s="2" t="str">
        <v>tengah</v>
      </c>
      <c r="O268" s="2"/>
      <c r="P268" s="2"/>
    </row>
    <row r="269" spans="9:16">
      <c r="I269" s="2" t="str">
        <v>tengah</v>
      </c>
      <c r="J269" s="2"/>
      <c r="K269" s="2"/>
      <c r="N269" s="2" t="str">
        <v>tengah</v>
      </c>
      <c r="O269" s="2"/>
      <c r="P269" s="2"/>
    </row>
    <row r="270" spans="9:16">
      <c r="I270" s="2" t="str">
        <v>kiri</v>
      </c>
      <c r="J270" s="2"/>
      <c r="K270" s="2"/>
      <c r="N270" s="2" t="str">
        <v>kanan</v>
      </c>
      <c r="O270" s="2"/>
      <c r="P270" s="2"/>
    </row>
    <row r="271" spans="9:16">
      <c r="I271" s="2" t="str">
        <v>kiri</v>
      </c>
      <c r="J271" s="2"/>
      <c r="K271" s="2"/>
      <c r="N271" s="2" t="str">
        <v>kanan</v>
      </c>
      <c r="O271" s="2"/>
      <c r="P271" s="2"/>
    </row>
    <row r="272" spans="9:16">
      <c r="I272" s="2" t="str">
        <v>tengah</v>
      </c>
      <c r="J272" s="2"/>
      <c r="K272" s="2"/>
      <c r="N272" s="2" t="str">
        <v>kanan</v>
      </c>
      <c r="O272" s="2"/>
      <c r="P272" s="2"/>
    </row>
    <row r="273" spans="9:16">
      <c r="I273" s="2" t="str">
        <v>tengah</v>
      </c>
      <c r="J273" s="2"/>
      <c r="K273" s="2"/>
      <c r="N273" s="2" t="str">
        <v>kanan</v>
      </c>
      <c r="O273" s="2"/>
      <c r="P273" s="2"/>
    </row>
    <row r="274" spans="9:16">
      <c r="I274" s="2" t="str">
        <v>kiri</v>
      </c>
      <c r="J274" s="2"/>
      <c r="K274" s="2"/>
      <c r="N274" s="2" t="str">
        <v>kanan</v>
      </c>
      <c r="O274" s="2"/>
      <c r="P274" s="2"/>
    </row>
    <row r="275" spans="9:16">
      <c r="I275" s="2" t="str">
        <v>tengah</v>
      </c>
      <c r="J275" s="2"/>
      <c r="K275" s="2"/>
      <c r="N275" s="2" t="str">
        <v>kanan</v>
      </c>
      <c r="O275" s="2"/>
      <c r="P275" s="2"/>
    </row>
    <row r="276" spans="9:16">
      <c r="I276" s="2" t="str">
        <v>tengah</v>
      </c>
      <c r="J276" s="2"/>
      <c r="K276" s="2"/>
      <c r="N276" s="2" t="str">
        <v>kanan</v>
      </c>
      <c r="O276" s="2"/>
      <c r="P276" s="2"/>
    </row>
    <row r="277" spans="9:16">
      <c r="I277" s="2" t="str">
        <v>kanan</v>
      </c>
      <c r="J277" s="2"/>
      <c r="K277" s="2"/>
      <c r="N277" s="2" t="str">
        <v>kanan</v>
      </c>
      <c r="O277" s="2"/>
      <c r="P277" s="2"/>
    </row>
    <row r="278" spans="9:16">
      <c r="I278" s="2" t="str">
        <v>tengah</v>
      </c>
      <c r="J278" s="2"/>
      <c r="K278" s="2"/>
      <c r="N278" s="2" t="str">
        <v>kanan</v>
      </c>
      <c r="O278" s="2"/>
      <c r="P278" s="2"/>
    </row>
    <row r="279" spans="9:16">
      <c r="I279" s="2" t="str">
        <v>kiri</v>
      </c>
      <c r="J279" s="2"/>
      <c r="K279" s="2"/>
      <c r="N279" s="2" t="str">
        <v>kanan</v>
      </c>
      <c r="O279" s="2"/>
      <c r="P279" s="2"/>
    </row>
    <row r="280" spans="9:16">
      <c r="I280" s="2" t="str">
        <v>tengah</v>
      </c>
      <c r="J280" s="2"/>
      <c r="K280" s="2"/>
      <c r="N280" s="2" t="str">
        <v>tengah</v>
      </c>
      <c r="O280" s="2"/>
      <c r="P280" s="2"/>
    </row>
    <row r="281" spans="9:16">
      <c r="I281" s="2" t="str">
        <v>tengah</v>
      </c>
      <c r="J281" s="2"/>
      <c r="K281" s="2"/>
      <c r="N281" s="2" t="str">
        <v>tengah</v>
      </c>
      <c r="O281" s="2"/>
      <c r="P281" s="2"/>
    </row>
    <row r="282" spans="9:16">
      <c r="I282" s="2" t="str">
        <v>kiri</v>
      </c>
      <c r="J282" s="2"/>
      <c r="K282" s="2"/>
      <c r="N282" s="2" t="str">
        <v>tengah</v>
      </c>
      <c r="O282" s="2"/>
      <c r="P282" s="2"/>
    </row>
    <row r="283" spans="9:16">
      <c r="I283" s="2" t="str">
        <v>tengah</v>
      </c>
      <c r="J283" s="2"/>
      <c r="K283" s="2"/>
      <c r="N283" s="2" t="str">
        <v>tengah</v>
      </c>
      <c r="O283" s="2"/>
      <c r="P283" s="2"/>
    </row>
    <row r="284" spans="9:16">
      <c r="I284" s="2" t="str">
        <v>tengah</v>
      </c>
      <c r="J284" s="2"/>
      <c r="K284" s="2"/>
      <c r="N284" s="2" t="str">
        <v>kanan</v>
      </c>
      <c r="O284" s="2"/>
      <c r="P284" s="2"/>
    </row>
    <row r="285" spans="9:16">
      <c r="I285" s="2" t="str">
        <v>kiri</v>
      </c>
      <c r="J285" s="2"/>
      <c r="K285" s="2"/>
      <c r="N285" s="2" t="str">
        <v>kanan</v>
      </c>
      <c r="O285" s="2"/>
      <c r="P285" s="2"/>
    </row>
    <row r="286" spans="9:16">
      <c r="I286" s="2" t="str">
        <v>tengah</v>
      </c>
      <c r="J286" s="2"/>
      <c r="K286" s="2"/>
      <c r="N286" s="2" t="str">
        <v>tengah</v>
      </c>
      <c r="O286" s="2"/>
      <c r="P286" s="2"/>
    </row>
    <row r="287" spans="9:16">
      <c r="I287" s="2" t="str">
        <v>tengah</v>
      </c>
      <c r="J287" s="2"/>
      <c r="K287" s="2"/>
      <c r="N287" s="2" t="str">
        <v>kanan</v>
      </c>
      <c r="O287" s="2"/>
      <c r="P287" s="2"/>
    </row>
    <row r="288" spans="9:16">
      <c r="I288" s="2" t="str">
        <v>tengah</v>
      </c>
      <c r="J288" s="2"/>
      <c r="K288" s="2"/>
      <c r="N288" s="2" t="str">
        <v>kanan</v>
      </c>
      <c r="O288" s="2"/>
      <c r="P288" s="2"/>
    </row>
    <row r="289" spans="9:16">
      <c r="I289" s="2" t="str">
        <v>kanan</v>
      </c>
      <c r="J289" s="2"/>
      <c r="K289" s="2"/>
      <c r="N289" s="2" t="str">
        <v>tengah</v>
      </c>
      <c r="O289" s="2"/>
      <c r="P289" s="2"/>
    </row>
    <row r="290" spans="9:16">
      <c r="I290" s="2" t="str">
        <v>kiri</v>
      </c>
      <c r="J290" s="2"/>
      <c r="K290" s="2"/>
      <c r="N290" s="2" t="str">
        <v>tengah</v>
      </c>
      <c r="O290" s="2"/>
      <c r="P290" s="2"/>
    </row>
    <row r="291" spans="9:16">
      <c r="I291" s="2" t="str">
        <v>tengah</v>
      </c>
      <c r="J291" s="2"/>
      <c r="K291" s="2"/>
      <c r="N291" s="2" t="str">
        <v>kanan</v>
      </c>
      <c r="O291" s="2"/>
      <c r="P291" s="2"/>
    </row>
    <row r="292" spans="9:16">
      <c r="I292" s="2" t="str">
        <v>tengah</v>
      </c>
      <c r="J292" s="2"/>
      <c r="K292" s="2"/>
      <c r="N292" s="2" t="str">
        <v>tengah</v>
      </c>
      <c r="O292" s="2"/>
      <c r="P292" s="2"/>
    </row>
    <row r="293" spans="9:16">
      <c r="I293" s="2" t="str">
        <v>kiri</v>
      </c>
      <c r="J293" s="2"/>
      <c r="K293" s="2"/>
      <c r="N293" s="2" t="str">
        <v>tengah</v>
      </c>
      <c r="O293" s="2"/>
      <c r="P293" s="2"/>
    </row>
    <row r="294" spans="9:16">
      <c r="I294" s="2" t="str">
        <v>tengah</v>
      </c>
      <c r="J294" s="2"/>
      <c r="K294" s="2"/>
      <c r="N294" s="2" t="str">
        <v>tengah</v>
      </c>
      <c r="O294" s="2"/>
      <c r="P294" s="2"/>
    </row>
    <row r="295" spans="9:16">
      <c r="I295" s="2" t="str">
        <v>tengah</v>
      </c>
      <c r="J295" s="2"/>
      <c r="K295" s="2"/>
      <c r="N295" s="2" t="str">
        <v>kanan</v>
      </c>
      <c r="O295" s="2"/>
      <c r="P295" s="2"/>
    </row>
    <row r="296" spans="9:16">
      <c r="I296" s="2" t="str">
        <v>kanan</v>
      </c>
      <c r="J296" s="2"/>
      <c r="K296" s="2"/>
      <c r="N296" s="2" t="str">
        <v>tengah</v>
      </c>
      <c r="O296" s="2"/>
      <c r="P296" s="2"/>
    </row>
    <row r="297" spans="9:16">
      <c r="I297" s="2" t="str">
        <v>tengah</v>
      </c>
      <c r="J297" s="2"/>
      <c r="K297" s="2"/>
      <c r="N297" s="2" t="str">
        <v>kanan</v>
      </c>
      <c r="O297" s="2"/>
      <c r="P297" s="2"/>
    </row>
    <row r="298" spans="9:16">
      <c r="I298" s="2" t="str">
        <v>tengah</v>
      </c>
      <c r="J298" s="2"/>
      <c r="K298" s="2"/>
      <c r="N298" s="2" t="str">
        <v>tengah</v>
      </c>
      <c r="O298" s="2"/>
      <c r="P298" s="2"/>
    </row>
    <row r="299" spans="9:16">
      <c r="I299" s="2" t="str">
        <v>kanan</v>
      </c>
      <c r="J299" s="2"/>
      <c r="K299" s="2"/>
      <c r="N299" s="2" t="str">
        <v>kanan</v>
      </c>
      <c r="O299" s="2"/>
      <c r="P299" s="2"/>
    </row>
    <row r="300" spans="9:16">
      <c r="I300" s="2" t="str">
        <v>kanan</v>
      </c>
      <c r="J300" s="2"/>
      <c r="K300" s="2"/>
      <c r="N300" s="2" t="str">
        <v>kanan</v>
      </c>
      <c r="O300" s="2"/>
      <c r="P300" s="2"/>
    </row>
    <row r="301" spans="9:16">
      <c r="I301" s="2" t="str">
        <v>tengah</v>
      </c>
      <c r="J301" s="2"/>
      <c r="K301" s="2"/>
      <c r="N301" s="2" t="str">
        <v>kanan</v>
      </c>
      <c r="O301" s="2"/>
      <c r="P301" s="2"/>
    </row>
    <row r="302" spans="9:16">
      <c r="I302" s="2" t="str">
        <v>tengah</v>
      </c>
      <c r="J302" s="2"/>
      <c r="K302" s="2"/>
      <c r="N302" s="2" t="str">
        <v>tengah</v>
      </c>
      <c r="O302" s="2"/>
      <c r="P302" s="2"/>
    </row>
    <row r="303" spans="9:16">
      <c r="I303" s="2" t="str">
        <v>tengah</v>
      </c>
      <c r="J303" s="2"/>
      <c r="K303" s="2"/>
      <c r="N303" s="2" t="str">
        <v>kanan</v>
      </c>
      <c r="O303" s="2"/>
      <c r="P303" s="2"/>
    </row>
    <row r="304" spans="9:16">
      <c r="I304" s="2" t="str">
        <v>tengah</v>
      </c>
      <c r="J304" s="2"/>
      <c r="K304" s="2"/>
      <c r="N304" s="2" t="str">
        <v>kanan</v>
      </c>
      <c r="O304" s="2"/>
      <c r="P304" s="2"/>
    </row>
    <row r="305" spans="9:16">
      <c r="I305" s="2" t="str">
        <v>tengah</v>
      </c>
      <c r="J305" s="2"/>
      <c r="K305" s="2"/>
      <c r="N305" s="2" t="str">
        <v>tengah</v>
      </c>
      <c r="O305" s="2"/>
      <c r="P305" s="2"/>
    </row>
    <row r="306" spans="9:16">
      <c r="I306" s="2" t="str">
        <v>kanan</v>
      </c>
      <c r="J306" s="2"/>
      <c r="K306" s="2"/>
      <c r="N306" s="2" t="str">
        <v>kanan</v>
      </c>
      <c r="O306" s="2"/>
      <c r="P306" s="2"/>
    </row>
    <row r="307" spans="9:16">
      <c r="I307" s="2" t="str">
        <v>tengah</v>
      </c>
      <c r="J307" s="2"/>
      <c r="K307" s="2"/>
      <c r="N307" s="2" t="str">
        <v>kanan</v>
      </c>
      <c r="O307" s="2"/>
      <c r="P307" s="2"/>
    </row>
    <row r="308" spans="9:16">
      <c r="I308" s="2" t="str">
        <v>tengah</v>
      </c>
      <c r="J308" s="2"/>
      <c r="K308" s="2"/>
      <c r="N308" s="2" t="str">
        <v>kanan</v>
      </c>
      <c r="O308" s="2"/>
      <c r="P308" s="2"/>
    </row>
    <row r="309" spans="9:16">
      <c r="I309" s="2" t="str">
        <v>tengah</v>
      </c>
      <c r="J309" s="2"/>
      <c r="K309" s="2"/>
      <c r="N309" s="2" t="str">
        <v>tengah</v>
      </c>
      <c r="O309" s="2"/>
      <c r="P309" s="2"/>
    </row>
    <row r="310" spans="9:16">
      <c r="I310" s="2" t="str">
        <v>tengah</v>
      </c>
      <c r="J310" s="2"/>
      <c r="K310" s="2"/>
      <c r="N310" s="2" t="str">
        <v>kanan</v>
      </c>
      <c r="O310" s="2"/>
      <c r="P310" s="2"/>
    </row>
    <row r="311" spans="9:16">
      <c r="I311" s="2" t="str">
        <v>kiri</v>
      </c>
      <c r="J311" s="2"/>
      <c r="K311" s="2"/>
      <c r="N311" s="2" t="str">
        <v>tengah</v>
      </c>
      <c r="O311" s="2"/>
      <c r="P311" s="2"/>
    </row>
    <row r="312" spans="9:16">
      <c r="I312" s="2" t="str">
        <v>kanan</v>
      </c>
      <c r="J312" s="2"/>
      <c r="K312" s="2"/>
      <c r="N312" s="2" t="str">
        <v>kanan</v>
      </c>
      <c r="O312" s="2"/>
      <c r="P312" s="2"/>
    </row>
    <row r="313" spans="9:16">
      <c r="I313" s="2" t="str">
        <v>kanan</v>
      </c>
      <c r="J313" s="2"/>
      <c r="K313" s="2"/>
      <c r="N313" s="2" t="str">
        <v>tengah</v>
      </c>
      <c r="O313" s="2"/>
      <c r="P313" s="2"/>
    </row>
    <row r="314" spans="9:16">
      <c r="I314" s="2" t="str">
        <v>kiri</v>
      </c>
      <c r="J314" s="2"/>
      <c r="K314" s="2"/>
      <c r="N314" s="2" t="str">
        <v>tengah</v>
      </c>
      <c r="O314" s="2"/>
      <c r="P314" s="2"/>
    </row>
    <row r="315" spans="9:16">
      <c r="I315" s="2" t="str">
        <v>tengah</v>
      </c>
      <c r="J315" s="2"/>
      <c r="K315" s="2"/>
      <c r="N315" s="2" t="str">
        <v>tengah</v>
      </c>
      <c r="O315" s="2"/>
      <c r="P315" s="2"/>
    </row>
    <row r="316" spans="9:16">
      <c r="I316" s="2" t="str">
        <v>kanan</v>
      </c>
      <c r="J316" s="2"/>
      <c r="K316" s="2"/>
      <c r="N316" s="2" t="str">
        <v>kanan</v>
      </c>
      <c r="O316" s="2"/>
      <c r="P316" s="2"/>
    </row>
    <row r="317" spans="9:16">
      <c r="I317" s="2" t="str">
        <v>tengah</v>
      </c>
      <c r="J317" s="2"/>
      <c r="K317" s="2"/>
      <c r="N317" s="2" t="str">
        <v>kanan</v>
      </c>
      <c r="O317" s="2"/>
      <c r="P317" s="2"/>
    </row>
    <row r="318" spans="9:16">
      <c r="I318" s="2" t="str">
        <v>kanan</v>
      </c>
      <c r="J318" s="2"/>
      <c r="K318" s="2"/>
      <c r="N318" s="2" t="str">
        <v>tengah</v>
      </c>
      <c r="O318" s="2"/>
      <c r="P318" s="2"/>
    </row>
    <row r="319" spans="9:16">
      <c r="I319" s="2" t="str">
        <v>tengah</v>
      </c>
      <c r="J319" s="2"/>
      <c r="K319" s="2"/>
      <c r="N319" s="2" t="str">
        <v>tengah</v>
      </c>
      <c r="O319" s="2"/>
      <c r="P319" s="2"/>
    </row>
    <row r="320" spans="9:16">
      <c r="I320" s="2" t="str">
        <v>kiri</v>
      </c>
      <c r="J320" s="2"/>
      <c r="K320" s="2"/>
      <c r="N320" s="2" t="str">
        <v>tengah</v>
      </c>
      <c r="O320" s="2"/>
      <c r="P320" s="2"/>
    </row>
    <row r="321" spans="9:16">
      <c r="I321" s="2" t="str">
        <v>kiri</v>
      </c>
      <c r="J321" s="2"/>
      <c r="K321" s="2"/>
      <c r="N321" s="2" t="str">
        <v>tengah</v>
      </c>
      <c r="O321" s="2"/>
      <c r="P321" s="2"/>
    </row>
    <row r="322" spans="9:16">
      <c r="I322" s="2" t="str">
        <v>kiri</v>
      </c>
      <c r="J322" s="2"/>
      <c r="K322" s="2"/>
      <c r="N322" s="2" t="str">
        <v>kanan</v>
      </c>
      <c r="O322" s="2"/>
      <c r="P322" s="2"/>
    </row>
    <row r="323" spans="9:16">
      <c r="I323" s="2" t="str">
        <v>kanan</v>
      </c>
      <c r="J323" s="2"/>
      <c r="K323" s="2"/>
      <c r="N323" s="2" t="str">
        <v>kanan</v>
      </c>
      <c r="O323" s="2"/>
      <c r="P323" s="2"/>
    </row>
    <row r="324" spans="9:16">
      <c r="I324" s="2" t="str">
        <v>tengah</v>
      </c>
      <c r="J324" s="2"/>
      <c r="K324" s="2"/>
      <c r="N324" s="2" t="str">
        <v>tengah</v>
      </c>
      <c r="O324" s="2"/>
      <c r="P324" s="2"/>
    </row>
    <row r="325" spans="9:16">
      <c r="I325" s="2" t="str">
        <v>tengah</v>
      </c>
      <c r="J325" s="2"/>
      <c r="K325" s="2"/>
      <c r="N325" s="2" t="str">
        <v>tengah</v>
      </c>
      <c r="O325" s="2"/>
      <c r="P325" s="2"/>
    </row>
    <row r="326" spans="9:16">
      <c r="I326" s="2" t="str">
        <v>kiri</v>
      </c>
      <c r="J326" s="2"/>
      <c r="K326" s="2"/>
      <c r="N326" s="2" t="str">
        <v>kanan</v>
      </c>
      <c r="O326" s="2"/>
      <c r="P326" s="2"/>
    </row>
    <row r="327" spans="9:16">
      <c r="I327" s="2" t="str">
        <v>kanan</v>
      </c>
      <c r="J327" s="2"/>
      <c r="K327" s="2"/>
      <c r="N327" s="2" t="str">
        <v>kanan</v>
      </c>
      <c r="O327" s="2"/>
      <c r="P327" s="2"/>
    </row>
    <row r="328" spans="9:16">
      <c r="I328" s="2" t="str">
        <v>kiri</v>
      </c>
      <c r="J328" s="2"/>
      <c r="K328" s="2"/>
      <c r="N328" s="2" t="str">
        <v>kanan</v>
      </c>
      <c r="O328" s="2"/>
      <c r="P328" s="2"/>
    </row>
    <row r="329" spans="9:16">
      <c r="I329" s="2" t="str">
        <v>kiri</v>
      </c>
      <c r="J329" s="2"/>
      <c r="K329" s="2"/>
      <c r="N329" s="2" t="str">
        <v>kanan</v>
      </c>
      <c r="O329" s="2"/>
      <c r="P329" s="2"/>
    </row>
    <row r="330" spans="9:16">
      <c r="I330" s="2" t="str">
        <v>tengah</v>
      </c>
      <c r="J330" s="2"/>
      <c r="K330" s="2"/>
      <c r="N330" s="2" t="str">
        <v>tengah</v>
      </c>
      <c r="O330" s="2"/>
      <c r="P330" s="2"/>
    </row>
    <row r="331" spans="9:16">
      <c r="I331" s="2" t="str">
        <v>tengah</v>
      </c>
      <c r="J331" s="2"/>
      <c r="K331" s="2"/>
      <c r="N331" s="2" t="str">
        <v>kanan</v>
      </c>
      <c r="O331" s="2"/>
      <c r="P331" s="2"/>
    </row>
    <row r="332" spans="9:16">
      <c r="I332" s="2" t="str">
        <v>kiri</v>
      </c>
      <c r="J332" s="2"/>
      <c r="K332" s="2"/>
      <c r="N332" s="2" t="str">
        <v>kanan</v>
      </c>
      <c r="O332" s="2"/>
      <c r="P332" s="2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72B89-8A8F-444F-A0C0-EFD9823DC705}">
  <dimension ref="A1:Q332"/>
  <sheetViews>
    <sheetView topLeftCell="F1" zoomScale="93" zoomScaleNormal="93" workbookViewId="0">
      <selection activeCell="I198" sqref="I198"/>
    </sheetView>
  </sheetViews>
  <sheetFormatPr defaultRowHeight="15"/>
  <cols>
    <col min="2" max="2" width="15.85546875" bestFit="1" customWidth="1"/>
    <col min="3" max="3" width="13.28515625" bestFit="1" customWidth="1"/>
    <col min="4" max="4" width="13.85546875" bestFit="1" customWidth="1"/>
    <col min="8" max="8" width="14.28515625" bestFit="1" customWidth="1"/>
    <col min="9" max="9" width="13.28515625" bestFit="1" customWidth="1"/>
    <col min="10" max="10" width="13.85546875" bestFit="1" customWidth="1"/>
    <col min="15" max="15" width="11.28515625" customWidth="1"/>
    <col min="17" max="17" width="11.7109375" customWidth="1"/>
  </cols>
  <sheetData>
    <row r="1" spans="1:17">
      <c r="A1" s="1" t="s">
        <v>171</v>
      </c>
      <c r="B1" s="1" t="s">
        <v>4</v>
      </c>
      <c r="C1" s="1" t="s">
        <v>5</v>
      </c>
      <c r="H1" s="13" t="s">
        <v>171</v>
      </c>
      <c r="I1" s="13" t="s">
        <v>4</v>
      </c>
      <c r="J1" s="13" t="s">
        <v>5</v>
      </c>
      <c r="O1" s="1" t="s">
        <v>173</v>
      </c>
      <c r="P1" s="3"/>
      <c r="Q1" s="3"/>
    </row>
    <row r="2" spans="1:17">
      <c r="A2" s="2">
        <f ca="1">RANDBETWEEN(2,164)</f>
        <v>82</v>
      </c>
      <c r="B2" s="2" cm="1">
        <f t="array" aca="1" ref="B2" ca="1">INDEX(Data_DBD!$E:$E,$A2)</f>
        <v>1</v>
      </c>
      <c r="C2" s="2" t="str" cm="1">
        <f t="array" aca="1" ref="C2" ca="1">INDEX(Data_DBD!$F:$F,$A2)</f>
        <v>Sedang</v>
      </c>
      <c r="H2" s="13">
        <v>150</v>
      </c>
      <c r="I2" s="13">
        <v>1</v>
      </c>
      <c r="J2" s="13" t="s">
        <v>97</v>
      </c>
      <c r="O2" s="3" t="s">
        <v>97</v>
      </c>
      <c r="P2" s="3">
        <f>COUNTIF(J2:J164,"Tinggi")</f>
        <v>83</v>
      </c>
      <c r="Q2" s="3">
        <f>P2/163</f>
        <v>0.50920245398773001</v>
      </c>
    </row>
    <row r="3" spans="1:17">
      <c r="A3" s="2">
        <f t="shared" ref="A3:A66" ca="1" si="0">RANDBETWEEN(2,164)</f>
        <v>133</v>
      </c>
      <c r="B3" s="2" cm="1">
        <f t="array" aca="1" ref="B3" ca="1">INDEX(Data_DBD!$E:$E,$A3)</f>
        <v>0</v>
      </c>
      <c r="C3" s="2" t="str" cm="1">
        <f t="array" aca="1" ref="C3" ca="1">INDEX(Data_DBD!$F:$F,$A3)</f>
        <v>Tinggi</v>
      </c>
      <c r="H3" s="13">
        <v>88</v>
      </c>
      <c r="I3" s="13">
        <v>1</v>
      </c>
      <c r="J3" s="13" t="s">
        <v>7</v>
      </c>
      <c r="O3" s="3" t="s">
        <v>7</v>
      </c>
      <c r="P3" s="3">
        <f>COUNTIF(J2:J164,"Sedang")</f>
        <v>69</v>
      </c>
      <c r="Q3" s="3">
        <f>P3/163</f>
        <v>0.42331288343558282</v>
      </c>
    </row>
    <row r="4" spans="1:17">
      <c r="A4" s="2">
        <f t="shared" ca="1" si="0"/>
        <v>162</v>
      </c>
      <c r="B4" s="2" cm="1">
        <f t="array" aca="1" ref="B4" ca="1">INDEX(Data_DBD!$E:$E,$A4)</f>
        <v>1</v>
      </c>
      <c r="C4" s="2" t="str" cm="1">
        <f t="array" aca="1" ref="C4" ca="1">INDEX(Data_DBD!$F:$F,$A4)</f>
        <v>Rendah</v>
      </c>
      <c r="H4" s="13">
        <v>120</v>
      </c>
      <c r="I4" s="13">
        <v>1</v>
      </c>
      <c r="J4" s="13" t="s">
        <v>97</v>
      </c>
      <c r="O4" s="3" t="s">
        <v>20</v>
      </c>
      <c r="P4" s="3">
        <f>COUNTIF(J2:J164,"Rendah")</f>
        <v>11</v>
      </c>
      <c r="Q4" s="3">
        <f>P4/163</f>
        <v>6.7484662576687116E-2</v>
      </c>
    </row>
    <row r="5" spans="1:17">
      <c r="A5" s="2">
        <f t="shared" ca="1" si="0"/>
        <v>116</v>
      </c>
      <c r="B5" s="2" cm="1">
        <f t="array" aca="1" ref="B5" ca="1">INDEX(Data_DBD!$E:$E,$A5)</f>
        <v>1</v>
      </c>
      <c r="C5" s="2" t="str" cm="1">
        <f t="array" aca="1" ref="C5" ca="1">INDEX(Data_DBD!$F:$F,$A5)</f>
        <v>Tinggi</v>
      </c>
      <c r="H5" s="13">
        <v>62</v>
      </c>
      <c r="I5" s="13">
        <v>1</v>
      </c>
      <c r="J5" s="13" t="s">
        <v>7</v>
      </c>
      <c r="O5" s="4" t="s">
        <v>174</v>
      </c>
      <c r="P5">
        <f>-(IFERROR(Q2*LOG(Q2,2),0)+IFERROR(Q3*LOG(Q3,2),0)+IFERROR(Q4*LOG(Q4,2),0))</f>
        <v>1.283266754694276</v>
      </c>
    </row>
    <row r="6" spans="1:17">
      <c r="A6" s="2">
        <f t="shared" ca="1" si="0"/>
        <v>139</v>
      </c>
      <c r="B6" s="2" cm="1">
        <f t="array" aca="1" ref="B6" ca="1">INDEX(Data_DBD!$E:$E,$A6)</f>
        <v>0</v>
      </c>
      <c r="C6" s="2" t="str" cm="1">
        <f t="array" aca="1" ref="C6" ca="1">INDEX(Data_DBD!$F:$F,$A6)</f>
        <v>Tinggi</v>
      </c>
      <c r="H6" s="13">
        <v>153</v>
      </c>
      <c r="I6" s="13">
        <v>1</v>
      </c>
      <c r="J6" s="13" t="s">
        <v>97</v>
      </c>
    </row>
    <row r="7" spans="1:17">
      <c r="A7" s="2">
        <f t="shared" ca="1" si="0"/>
        <v>142</v>
      </c>
      <c r="B7" s="2" cm="1">
        <f t="array" aca="1" ref="B7" ca="1">INDEX(Data_DBD!$E:$E,$A7)</f>
        <v>1</v>
      </c>
      <c r="C7" s="2" t="str" cm="1">
        <f t="array" aca="1" ref="C7" ca="1">INDEX(Data_DBD!$F:$F,$A7)</f>
        <v>Tinggi</v>
      </c>
      <c r="H7" s="13">
        <v>6</v>
      </c>
      <c r="I7" s="13">
        <v>0</v>
      </c>
      <c r="J7" s="13" t="s">
        <v>7</v>
      </c>
    </row>
    <row r="8" spans="1:17">
      <c r="A8" s="2">
        <f t="shared" ca="1" si="0"/>
        <v>78</v>
      </c>
      <c r="B8" s="2" cm="1">
        <f t="array" aca="1" ref="B8" ca="1">INDEX(Data_DBD!$E:$E,$A8)</f>
        <v>0</v>
      </c>
      <c r="C8" s="2" t="str" cm="1">
        <f t="array" aca="1" ref="C8" ca="1">INDEX(Data_DBD!$F:$F,$A8)</f>
        <v>Sedang</v>
      </c>
      <c r="H8" s="13">
        <v>95</v>
      </c>
      <c r="I8" s="13">
        <v>1</v>
      </c>
      <c r="J8" s="13" t="s">
        <v>97</v>
      </c>
    </row>
    <row r="9" spans="1:17">
      <c r="A9" s="2">
        <f t="shared" ca="1" si="0"/>
        <v>48</v>
      </c>
      <c r="B9" s="2" cm="1">
        <f t="array" aca="1" ref="B9" ca="1">INDEX(Data_DBD!$E:$E,$A9)</f>
        <v>1</v>
      </c>
      <c r="C9" s="2" t="str" cm="1">
        <f t="array" aca="1" ref="C9" ca="1">INDEX(Data_DBD!$F:$F,$A9)</f>
        <v>Sedang</v>
      </c>
      <c r="H9" s="13">
        <v>69</v>
      </c>
      <c r="I9" s="13">
        <v>1</v>
      </c>
      <c r="J9" s="13" t="s">
        <v>7</v>
      </c>
    </row>
    <row r="10" spans="1:17">
      <c r="A10" s="2">
        <f t="shared" ca="1" si="0"/>
        <v>113</v>
      </c>
      <c r="B10" s="2" cm="1">
        <f t="array" aca="1" ref="B10" ca="1">INDEX(Data_DBD!$E:$E,$A10)</f>
        <v>1</v>
      </c>
      <c r="C10" s="2" t="str" cm="1">
        <f t="array" aca="1" ref="C10" ca="1">INDEX(Data_DBD!$F:$F,$A10)</f>
        <v>Tinggi</v>
      </c>
      <c r="H10" s="13">
        <v>138</v>
      </c>
      <c r="I10" s="13">
        <v>1</v>
      </c>
      <c r="J10" s="13" t="s">
        <v>97</v>
      </c>
    </row>
    <row r="11" spans="1:17">
      <c r="A11" s="2">
        <f t="shared" ca="1" si="0"/>
        <v>54</v>
      </c>
      <c r="B11" s="2" cm="1">
        <f t="array" aca="1" ref="B11" ca="1">INDEX(Data_DBD!$E:$E,$A11)</f>
        <v>0</v>
      </c>
      <c r="C11" s="2" t="str" cm="1">
        <f t="array" aca="1" ref="C11" ca="1">INDEX(Data_DBD!$F:$F,$A11)</f>
        <v>Sedang</v>
      </c>
      <c r="H11" s="13">
        <v>81</v>
      </c>
      <c r="I11" s="13">
        <v>1</v>
      </c>
      <c r="J11" s="13" t="s">
        <v>7</v>
      </c>
    </row>
    <row r="12" spans="1:17">
      <c r="A12" s="2">
        <f t="shared" ca="1" si="0"/>
        <v>136</v>
      </c>
      <c r="B12" s="2" cm="1">
        <f t="array" aca="1" ref="B12" ca="1">INDEX(Data_DBD!$E:$E,$A12)</f>
        <v>0</v>
      </c>
      <c r="C12" s="2" t="str" cm="1">
        <f t="array" aca="1" ref="C12" ca="1">INDEX(Data_DBD!$F:$F,$A12)</f>
        <v>Tinggi</v>
      </c>
      <c r="H12" s="13">
        <v>88</v>
      </c>
      <c r="I12" s="13">
        <v>1</v>
      </c>
      <c r="J12" s="13" t="s">
        <v>7</v>
      </c>
    </row>
    <row r="13" spans="1:17">
      <c r="A13" s="2">
        <f t="shared" ca="1" si="0"/>
        <v>118</v>
      </c>
      <c r="B13" s="2" cm="1">
        <f t="array" aca="1" ref="B13" ca="1">INDEX(Data_DBD!$E:$E,$A13)</f>
        <v>1</v>
      </c>
      <c r="C13" s="2" t="str" cm="1">
        <f t="array" aca="1" ref="C13" ca="1">INDEX(Data_DBD!$F:$F,$A13)</f>
        <v>Tinggi</v>
      </c>
      <c r="H13" s="13">
        <v>56</v>
      </c>
      <c r="I13" s="13">
        <v>0</v>
      </c>
      <c r="J13" s="13" t="s">
        <v>7</v>
      </c>
    </row>
    <row r="14" spans="1:17">
      <c r="A14" s="2">
        <f t="shared" ca="1" si="0"/>
        <v>148</v>
      </c>
      <c r="B14" s="2" cm="1">
        <f t="array" aca="1" ref="B14" ca="1">INDEX(Data_DBD!$E:$E,$A14)</f>
        <v>1</v>
      </c>
      <c r="C14" s="2" t="str" cm="1">
        <f t="array" aca="1" ref="C14" ca="1">INDEX(Data_DBD!$F:$F,$A14)</f>
        <v>Tinggi</v>
      </c>
      <c r="H14" s="13">
        <v>58</v>
      </c>
      <c r="I14" s="13">
        <v>0</v>
      </c>
      <c r="J14" s="13" t="s">
        <v>7</v>
      </c>
    </row>
    <row r="15" spans="1:17">
      <c r="A15" s="2">
        <f t="shared" ca="1" si="0"/>
        <v>38</v>
      </c>
      <c r="B15" s="2" cm="1">
        <f t="array" aca="1" ref="B15" ca="1">INDEX(Data_DBD!$E:$E,$A15)</f>
        <v>1</v>
      </c>
      <c r="C15" s="2" t="str" cm="1">
        <f t="array" aca="1" ref="C15" ca="1">INDEX(Data_DBD!$F:$F,$A15)</f>
        <v>Rendah</v>
      </c>
      <c r="H15" s="13">
        <v>138</v>
      </c>
      <c r="I15" s="13">
        <v>1</v>
      </c>
      <c r="J15" s="13" t="s">
        <v>97</v>
      </c>
    </row>
    <row r="16" spans="1:17">
      <c r="A16" s="2">
        <f t="shared" ca="1" si="0"/>
        <v>41</v>
      </c>
      <c r="B16" s="2" cm="1">
        <f t="array" aca="1" ref="B16" ca="1">INDEX(Data_DBD!$E:$E,$A16)</f>
        <v>0</v>
      </c>
      <c r="C16" s="2" t="str" cm="1">
        <f t="array" aca="1" ref="C16" ca="1">INDEX(Data_DBD!$F:$F,$A16)</f>
        <v>Sedang</v>
      </c>
      <c r="H16" s="13">
        <v>25</v>
      </c>
      <c r="I16" s="13">
        <v>0</v>
      </c>
      <c r="J16" s="13" t="s">
        <v>7</v>
      </c>
    </row>
    <row r="17" spans="1:10">
      <c r="A17" s="2">
        <f t="shared" ca="1" si="0"/>
        <v>142</v>
      </c>
      <c r="B17" s="2" cm="1">
        <f t="array" aca="1" ref="B17" ca="1">INDEX(Data_DBD!$E:$E,$A17)</f>
        <v>1</v>
      </c>
      <c r="C17" s="2" t="str" cm="1">
        <f t="array" aca="1" ref="C17" ca="1">INDEX(Data_DBD!$F:$F,$A17)</f>
        <v>Tinggi</v>
      </c>
      <c r="H17" s="13">
        <v>9</v>
      </c>
      <c r="I17" s="13">
        <v>1</v>
      </c>
      <c r="J17" s="13" t="s">
        <v>7</v>
      </c>
    </row>
    <row r="18" spans="1:10">
      <c r="A18" s="2">
        <f t="shared" ca="1" si="0"/>
        <v>95</v>
      </c>
      <c r="B18" s="2" cm="1">
        <f t="array" aca="1" ref="B18" ca="1">INDEX(Data_DBD!$E:$E,$A18)</f>
        <v>1</v>
      </c>
      <c r="C18" s="2" t="str" cm="1">
        <f t="array" aca="1" ref="C18" ca="1">INDEX(Data_DBD!$F:$F,$A18)</f>
        <v>Tinggi</v>
      </c>
      <c r="H18" s="13">
        <v>158</v>
      </c>
      <c r="I18" s="13">
        <v>0</v>
      </c>
      <c r="J18" s="13" t="s">
        <v>97</v>
      </c>
    </row>
    <row r="19" spans="1:10">
      <c r="A19" s="2">
        <f t="shared" ca="1" si="0"/>
        <v>117</v>
      </c>
      <c r="B19" s="2" cm="1">
        <f t="array" aca="1" ref="B19" ca="1">INDEX(Data_DBD!$E:$E,$A19)</f>
        <v>1</v>
      </c>
      <c r="C19" s="2" t="str" cm="1">
        <f t="array" aca="1" ref="C19" ca="1">INDEX(Data_DBD!$F:$F,$A19)</f>
        <v>Tinggi</v>
      </c>
      <c r="H19" s="13">
        <v>161</v>
      </c>
      <c r="I19" s="13">
        <v>1</v>
      </c>
      <c r="J19" s="13" t="s">
        <v>97</v>
      </c>
    </row>
    <row r="20" spans="1:10">
      <c r="A20" s="2">
        <f t="shared" ca="1" si="0"/>
        <v>34</v>
      </c>
      <c r="B20" s="2" cm="1">
        <f t="array" aca="1" ref="B20" ca="1">INDEX(Data_DBD!$E:$E,$A20)</f>
        <v>0</v>
      </c>
      <c r="C20" s="2" t="str" cm="1">
        <f t="array" aca="1" ref="C20" ca="1">INDEX(Data_DBD!$F:$F,$A20)</f>
        <v>Sedang</v>
      </c>
      <c r="H20" s="13">
        <v>79</v>
      </c>
      <c r="I20" s="13">
        <v>0</v>
      </c>
      <c r="J20" s="13" t="s">
        <v>7</v>
      </c>
    </row>
    <row r="21" spans="1:10">
      <c r="A21" s="2">
        <f t="shared" ca="1" si="0"/>
        <v>81</v>
      </c>
      <c r="B21" s="2" cm="1">
        <f t="array" aca="1" ref="B21" ca="1">INDEX(Data_DBD!$E:$E,$A21)</f>
        <v>1</v>
      </c>
      <c r="C21" s="2" t="str" cm="1">
        <f t="array" aca="1" ref="C21" ca="1">INDEX(Data_DBD!$F:$F,$A21)</f>
        <v>Sedang</v>
      </c>
      <c r="H21" s="13">
        <v>59</v>
      </c>
      <c r="I21" s="13">
        <v>0</v>
      </c>
      <c r="J21" s="13" t="s">
        <v>7</v>
      </c>
    </row>
    <row r="22" spans="1:10">
      <c r="A22" s="2">
        <f t="shared" ca="1" si="0"/>
        <v>109</v>
      </c>
      <c r="B22" s="2" cm="1">
        <f t="array" aca="1" ref="B22" ca="1">INDEX(Data_DBD!$E:$E,$A22)</f>
        <v>1</v>
      </c>
      <c r="C22" s="2" t="str" cm="1">
        <f t="array" aca="1" ref="C22" ca="1">INDEX(Data_DBD!$F:$F,$A22)</f>
        <v>Tinggi</v>
      </c>
      <c r="H22" s="13">
        <v>92</v>
      </c>
      <c r="I22" s="13">
        <v>0</v>
      </c>
      <c r="J22" s="13" t="s">
        <v>97</v>
      </c>
    </row>
    <row r="23" spans="1:10">
      <c r="A23" s="2">
        <f t="shared" ca="1" si="0"/>
        <v>36</v>
      </c>
      <c r="B23" s="2" cm="1">
        <f t="array" aca="1" ref="B23" ca="1">INDEX(Data_DBD!$E:$E,$A23)</f>
        <v>1</v>
      </c>
      <c r="C23" s="2" t="str" cm="1">
        <f t="array" aca="1" ref="C23" ca="1">INDEX(Data_DBD!$F:$F,$A23)</f>
        <v>Rendah</v>
      </c>
      <c r="H23" s="13">
        <v>4</v>
      </c>
      <c r="I23" s="13">
        <v>0</v>
      </c>
      <c r="J23" s="13" t="s">
        <v>7</v>
      </c>
    </row>
    <row r="24" spans="1:10">
      <c r="A24" s="2">
        <f t="shared" ca="1" si="0"/>
        <v>60</v>
      </c>
      <c r="B24" s="2" cm="1">
        <f t="array" aca="1" ref="B24" ca="1">INDEX(Data_DBD!$E:$E,$A24)</f>
        <v>0</v>
      </c>
      <c r="C24" s="2" t="str" cm="1">
        <f t="array" aca="1" ref="C24" ca="1">INDEX(Data_DBD!$F:$F,$A24)</f>
        <v>Sedang</v>
      </c>
      <c r="H24" s="13">
        <v>120</v>
      </c>
      <c r="I24" s="13">
        <v>1</v>
      </c>
      <c r="J24" s="13" t="s">
        <v>97</v>
      </c>
    </row>
    <row r="25" spans="1:10">
      <c r="A25" s="2">
        <f t="shared" ca="1" si="0"/>
        <v>105</v>
      </c>
      <c r="B25" s="2" cm="1">
        <f t="array" aca="1" ref="B25" ca="1">INDEX(Data_DBD!$E:$E,$A25)</f>
        <v>1</v>
      </c>
      <c r="C25" s="2" t="str" cm="1">
        <f t="array" aca="1" ref="C25" ca="1">INDEX(Data_DBD!$F:$F,$A25)</f>
        <v>Tinggi</v>
      </c>
      <c r="H25" s="13">
        <v>10</v>
      </c>
      <c r="I25" s="13">
        <v>0</v>
      </c>
      <c r="J25" s="13" t="s">
        <v>7</v>
      </c>
    </row>
    <row r="26" spans="1:10">
      <c r="A26" s="2">
        <f t="shared" ca="1" si="0"/>
        <v>128</v>
      </c>
      <c r="B26" s="2" cm="1">
        <f t="array" aca="1" ref="B26" ca="1">INDEX(Data_DBD!$E:$E,$A26)</f>
        <v>0</v>
      </c>
      <c r="C26" s="2" t="str" cm="1">
        <f t="array" aca="1" ref="C26" ca="1">INDEX(Data_DBD!$F:$F,$A26)</f>
        <v>Tinggi</v>
      </c>
      <c r="H26" s="13">
        <v>125</v>
      </c>
      <c r="I26" s="13">
        <v>0</v>
      </c>
      <c r="J26" s="13" t="s">
        <v>97</v>
      </c>
    </row>
    <row r="27" spans="1:10">
      <c r="A27" s="2">
        <f t="shared" ca="1" si="0"/>
        <v>33</v>
      </c>
      <c r="B27" s="2" cm="1">
        <f t="array" aca="1" ref="B27" ca="1">INDEX(Data_DBD!$E:$E,$A27)</f>
        <v>1</v>
      </c>
      <c r="C27" s="2" t="str" cm="1">
        <f t="array" aca="1" ref="C27" ca="1">INDEX(Data_DBD!$F:$F,$A27)</f>
        <v>Sedang</v>
      </c>
      <c r="H27" s="13">
        <v>128</v>
      </c>
      <c r="I27" s="13">
        <v>0</v>
      </c>
      <c r="J27" s="13" t="s">
        <v>97</v>
      </c>
    </row>
    <row r="28" spans="1:10">
      <c r="A28" s="2">
        <f t="shared" ca="1" si="0"/>
        <v>86</v>
      </c>
      <c r="B28" s="2" cm="1">
        <f t="array" aca="1" ref="B28" ca="1">INDEX(Data_DBD!$E:$E,$A28)</f>
        <v>0</v>
      </c>
      <c r="C28" s="2" t="str" cm="1">
        <f t="array" aca="1" ref="C28" ca="1">INDEX(Data_DBD!$F:$F,$A28)</f>
        <v>Sedang</v>
      </c>
      <c r="H28" s="13">
        <v>106</v>
      </c>
      <c r="I28" s="13">
        <v>1</v>
      </c>
      <c r="J28" s="13" t="s">
        <v>97</v>
      </c>
    </row>
    <row r="29" spans="1:10">
      <c r="A29" s="2">
        <f t="shared" ca="1" si="0"/>
        <v>120</v>
      </c>
      <c r="B29" s="2" cm="1">
        <f t="array" aca="1" ref="B29" ca="1">INDEX(Data_DBD!$E:$E,$A29)</f>
        <v>1</v>
      </c>
      <c r="C29" s="2" t="str" cm="1">
        <f t="array" aca="1" ref="C29" ca="1">INDEX(Data_DBD!$F:$F,$A29)</f>
        <v>Tinggi</v>
      </c>
      <c r="H29" s="13">
        <v>7</v>
      </c>
      <c r="I29" s="13">
        <v>1</v>
      </c>
      <c r="J29" s="13" t="s">
        <v>7</v>
      </c>
    </row>
    <row r="30" spans="1:10">
      <c r="A30" s="2">
        <f t="shared" ca="1" si="0"/>
        <v>158</v>
      </c>
      <c r="B30" s="2" cm="1">
        <f t="array" aca="1" ref="B30" ca="1">INDEX(Data_DBD!$E:$E,$A30)</f>
        <v>0</v>
      </c>
      <c r="C30" s="2" t="str" cm="1">
        <f t="array" aca="1" ref="C30" ca="1">INDEX(Data_DBD!$F:$F,$A30)</f>
        <v>Tinggi</v>
      </c>
      <c r="H30" s="13">
        <v>7</v>
      </c>
      <c r="I30" s="13">
        <v>1</v>
      </c>
      <c r="J30" s="13" t="s">
        <v>7</v>
      </c>
    </row>
    <row r="31" spans="1:10">
      <c r="A31" s="2">
        <f t="shared" ca="1" si="0"/>
        <v>48</v>
      </c>
      <c r="B31" s="2" cm="1">
        <f t="array" aca="1" ref="B31" ca="1">INDEX(Data_DBD!$E:$E,$A31)</f>
        <v>1</v>
      </c>
      <c r="C31" s="2" t="str" cm="1">
        <f t="array" aca="1" ref="C31" ca="1">INDEX(Data_DBD!$F:$F,$A31)</f>
        <v>Sedang</v>
      </c>
      <c r="H31" s="13">
        <v>142</v>
      </c>
      <c r="I31" s="13">
        <v>1</v>
      </c>
      <c r="J31" s="13" t="s">
        <v>97</v>
      </c>
    </row>
    <row r="32" spans="1:10">
      <c r="A32" s="2">
        <f t="shared" ca="1" si="0"/>
        <v>35</v>
      </c>
      <c r="B32" s="2" cm="1">
        <f t="array" aca="1" ref="B32" ca="1">INDEX(Data_DBD!$E:$E,$A32)</f>
        <v>1</v>
      </c>
      <c r="C32" s="2" t="str" cm="1">
        <f t="array" aca="1" ref="C32" ca="1">INDEX(Data_DBD!$F:$F,$A32)</f>
        <v>Rendah</v>
      </c>
      <c r="H32" s="13">
        <v>112</v>
      </c>
      <c r="I32" s="13">
        <v>1</v>
      </c>
      <c r="J32" s="13" t="s">
        <v>97</v>
      </c>
    </row>
    <row r="33" spans="1:10">
      <c r="A33" s="2">
        <f t="shared" ca="1" si="0"/>
        <v>29</v>
      </c>
      <c r="B33" s="2" cm="1">
        <f t="array" aca="1" ref="B33" ca="1">INDEX(Data_DBD!$E:$E,$A33)</f>
        <v>1</v>
      </c>
      <c r="C33" s="2" t="str" cm="1">
        <f t="array" aca="1" ref="C33" ca="1">INDEX(Data_DBD!$F:$F,$A33)</f>
        <v>Sedang</v>
      </c>
      <c r="H33" s="13">
        <v>48</v>
      </c>
      <c r="I33" s="13">
        <v>1</v>
      </c>
      <c r="J33" s="13" t="s">
        <v>7</v>
      </c>
    </row>
    <row r="34" spans="1:10">
      <c r="A34" s="2">
        <f t="shared" ca="1" si="0"/>
        <v>60</v>
      </c>
      <c r="B34" s="2" cm="1">
        <f t="array" aca="1" ref="B34" ca="1">INDEX(Data_DBD!$E:$E,$A34)</f>
        <v>0</v>
      </c>
      <c r="C34" s="2" t="str" cm="1">
        <f t="array" aca="1" ref="C34" ca="1">INDEX(Data_DBD!$F:$F,$A34)</f>
        <v>Sedang</v>
      </c>
      <c r="H34" s="13">
        <v>43</v>
      </c>
      <c r="I34" s="13">
        <v>0</v>
      </c>
      <c r="J34" s="13" t="s">
        <v>7</v>
      </c>
    </row>
    <row r="35" spans="1:10">
      <c r="A35" s="2">
        <f t="shared" ca="1" si="0"/>
        <v>33</v>
      </c>
      <c r="B35" s="2" cm="1">
        <f t="array" aca="1" ref="B35" ca="1">INDEX(Data_DBD!$E:$E,$A35)</f>
        <v>1</v>
      </c>
      <c r="C35" s="2" t="str" cm="1">
        <f t="array" aca="1" ref="C35" ca="1">INDEX(Data_DBD!$F:$F,$A35)</f>
        <v>Sedang</v>
      </c>
      <c r="H35" s="13">
        <v>127</v>
      </c>
      <c r="I35" s="13">
        <v>0</v>
      </c>
      <c r="J35" s="13" t="s">
        <v>97</v>
      </c>
    </row>
    <row r="36" spans="1:10">
      <c r="A36" s="2">
        <f t="shared" ca="1" si="0"/>
        <v>122</v>
      </c>
      <c r="B36" s="2" cm="1">
        <f t="array" aca="1" ref="B36" ca="1">INDEX(Data_DBD!$E:$E,$A36)</f>
        <v>1</v>
      </c>
      <c r="C36" s="2" t="str" cm="1">
        <f t="array" aca="1" ref="C36" ca="1">INDEX(Data_DBD!$F:$F,$A36)</f>
        <v>Tinggi</v>
      </c>
      <c r="H36" s="13">
        <v>53</v>
      </c>
      <c r="I36" s="13">
        <v>1</v>
      </c>
      <c r="J36" s="13" t="s">
        <v>7</v>
      </c>
    </row>
    <row r="37" spans="1:10">
      <c r="A37" s="2">
        <f t="shared" ca="1" si="0"/>
        <v>106</v>
      </c>
      <c r="B37" s="2" cm="1">
        <f t="array" aca="1" ref="B37" ca="1">INDEX(Data_DBD!$E:$E,$A37)</f>
        <v>1</v>
      </c>
      <c r="C37" s="2" t="str" cm="1">
        <f t="array" aca="1" ref="C37" ca="1">INDEX(Data_DBD!$F:$F,$A37)</f>
        <v>Tinggi</v>
      </c>
      <c r="H37" s="13">
        <v>97</v>
      </c>
      <c r="I37" s="13">
        <v>1</v>
      </c>
      <c r="J37" s="13" t="s">
        <v>97</v>
      </c>
    </row>
    <row r="38" spans="1:10">
      <c r="A38" s="2">
        <f t="shared" ca="1" si="0"/>
        <v>124</v>
      </c>
      <c r="B38" s="2" cm="1">
        <f t="array" aca="1" ref="B38" ca="1">INDEX(Data_DBD!$E:$E,$A38)</f>
        <v>1</v>
      </c>
      <c r="C38" s="2" t="str" cm="1">
        <f t="array" aca="1" ref="C38" ca="1">INDEX(Data_DBD!$F:$F,$A38)</f>
        <v>Tinggi</v>
      </c>
      <c r="H38" s="13">
        <v>65</v>
      </c>
      <c r="I38" s="13">
        <v>0</v>
      </c>
      <c r="J38" s="13" t="s">
        <v>7</v>
      </c>
    </row>
    <row r="39" spans="1:10">
      <c r="A39" s="2">
        <f t="shared" ca="1" si="0"/>
        <v>69</v>
      </c>
      <c r="B39" s="2" cm="1">
        <f t="array" aca="1" ref="B39" ca="1">INDEX(Data_DBD!$E:$E,$A39)</f>
        <v>1</v>
      </c>
      <c r="C39" s="2" t="str" cm="1">
        <f t="array" aca="1" ref="C39" ca="1">INDEX(Data_DBD!$F:$F,$A39)</f>
        <v>Sedang</v>
      </c>
      <c r="H39" s="13">
        <v>149</v>
      </c>
      <c r="I39" s="13">
        <v>0</v>
      </c>
      <c r="J39" s="13" t="s">
        <v>97</v>
      </c>
    </row>
    <row r="40" spans="1:10">
      <c r="A40" s="2">
        <f t="shared" ca="1" si="0"/>
        <v>50</v>
      </c>
      <c r="B40" s="2" cm="1">
        <f t="array" aca="1" ref="B40" ca="1">INDEX(Data_DBD!$E:$E,$A40)</f>
        <v>0</v>
      </c>
      <c r="C40" s="2" t="str" cm="1">
        <f t="array" aca="1" ref="C40" ca="1">INDEX(Data_DBD!$F:$F,$A40)</f>
        <v>Sedang</v>
      </c>
      <c r="H40" s="13">
        <v>54</v>
      </c>
      <c r="I40" s="13">
        <v>0</v>
      </c>
      <c r="J40" s="13" t="s">
        <v>7</v>
      </c>
    </row>
    <row r="41" spans="1:10">
      <c r="A41" s="2">
        <f t="shared" ca="1" si="0"/>
        <v>124</v>
      </c>
      <c r="B41" s="2" cm="1">
        <f t="array" aca="1" ref="B41" ca="1">INDEX(Data_DBD!$E:$E,$A41)</f>
        <v>1</v>
      </c>
      <c r="C41" s="2" t="str" cm="1">
        <f t="array" aca="1" ref="C41" ca="1">INDEX(Data_DBD!$F:$F,$A41)</f>
        <v>Tinggi</v>
      </c>
      <c r="H41" s="13">
        <v>11</v>
      </c>
      <c r="I41" s="13">
        <v>1</v>
      </c>
      <c r="J41" s="13" t="s">
        <v>7</v>
      </c>
    </row>
    <row r="42" spans="1:10">
      <c r="A42" s="2">
        <f t="shared" ca="1" si="0"/>
        <v>120</v>
      </c>
      <c r="B42" s="2" cm="1">
        <f t="array" aca="1" ref="B42" ca="1">INDEX(Data_DBD!$E:$E,$A42)</f>
        <v>1</v>
      </c>
      <c r="C42" s="2" t="str" cm="1">
        <f t="array" aca="1" ref="C42" ca="1">INDEX(Data_DBD!$F:$F,$A42)</f>
        <v>Tinggi</v>
      </c>
      <c r="H42" s="13">
        <v>124</v>
      </c>
      <c r="I42" s="13">
        <v>1</v>
      </c>
      <c r="J42" s="13" t="s">
        <v>97</v>
      </c>
    </row>
    <row r="43" spans="1:10">
      <c r="A43" s="2">
        <f t="shared" ca="1" si="0"/>
        <v>126</v>
      </c>
      <c r="B43" s="2" cm="1">
        <f t="array" aca="1" ref="B43" ca="1">INDEX(Data_DBD!$E:$E,$A43)</f>
        <v>1</v>
      </c>
      <c r="C43" s="2" t="str" cm="1">
        <f t="array" aca="1" ref="C43" ca="1">INDEX(Data_DBD!$F:$F,$A43)</f>
        <v>Tinggi</v>
      </c>
      <c r="H43" s="13">
        <v>51</v>
      </c>
      <c r="I43" s="13">
        <v>0</v>
      </c>
      <c r="J43" s="13" t="s">
        <v>7</v>
      </c>
    </row>
    <row r="44" spans="1:10">
      <c r="A44" s="2">
        <f t="shared" ca="1" si="0"/>
        <v>54</v>
      </c>
      <c r="B44" s="2" cm="1">
        <f t="array" aca="1" ref="B44" ca="1">INDEX(Data_DBD!$E:$E,$A44)</f>
        <v>0</v>
      </c>
      <c r="C44" s="2" t="str" cm="1">
        <f t="array" aca="1" ref="C44" ca="1">INDEX(Data_DBD!$F:$F,$A44)</f>
        <v>Sedang</v>
      </c>
      <c r="H44" s="13">
        <v>119</v>
      </c>
      <c r="I44" s="13">
        <v>0</v>
      </c>
      <c r="J44" s="13" t="s">
        <v>97</v>
      </c>
    </row>
    <row r="45" spans="1:10">
      <c r="A45" s="2">
        <f t="shared" ca="1" si="0"/>
        <v>153</v>
      </c>
      <c r="B45" s="2" cm="1">
        <f t="array" aca="1" ref="B45" ca="1">INDEX(Data_DBD!$E:$E,$A45)</f>
        <v>1</v>
      </c>
      <c r="C45" s="2" t="str" cm="1">
        <f t="array" aca="1" ref="C45" ca="1">INDEX(Data_DBD!$F:$F,$A45)</f>
        <v>Tinggi</v>
      </c>
      <c r="H45" s="13">
        <v>151</v>
      </c>
      <c r="I45" s="13">
        <v>0</v>
      </c>
      <c r="J45" s="13" t="s">
        <v>97</v>
      </c>
    </row>
    <row r="46" spans="1:10">
      <c r="A46" s="2">
        <f t="shared" ca="1" si="0"/>
        <v>80</v>
      </c>
      <c r="B46" s="2" cm="1">
        <f t="array" aca="1" ref="B46" ca="1">INDEX(Data_DBD!$E:$E,$A46)</f>
        <v>1</v>
      </c>
      <c r="C46" s="2" t="str" cm="1">
        <f t="array" aca="1" ref="C46" ca="1">INDEX(Data_DBD!$F:$F,$A46)</f>
        <v>Sedang</v>
      </c>
      <c r="H46" s="13">
        <v>46</v>
      </c>
      <c r="I46" s="13">
        <v>0</v>
      </c>
      <c r="J46" s="13" t="s">
        <v>7</v>
      </c>
    </row>
    <row r="47" spans="1:10">
      <c r="A47" s="2">
        <f t="shared" ca="1" si="0"/>
        <v>143</v>
      </c>
      <c r="B47" s="2" cm="1">
        <f t="array" aca="1" ref="B47" ca="1">INDEX(Data_DBD!$E:$E,$A47)</f>
        <v>1</v>
      </c>
      <c r="C47" s="2" t="str" cm="1">
        <f t="array" aca="1" ref="C47" ca="1">INDEX(Data_DBD!$F:$F,$A47)</f>
        <v>Tinggi</v>
      </c>
      <c r="H47" s="13">
        <v>156</v>
      </c>
      <c r="I47" s="13">
        <v>0</v>
      </c>
      <c r="J47" s="13" t="s">
        <v>97</v>
      </c>
    </row>
    <row r="48" spans="1:10">
      <c r="A48" s="2">
        <f t="shared" ca="1" si="0"/>
        <v>103</v>
      </c>
      <c r="B48" s="2" cm="1">
        <f t="array" aca="1" ref="B48" ca="1">INDEX(Data_DBD!$E:$E,$A48)</f>
        <v>0</v>
      </c>
      <c r="C48" s="2" t="str" cm="1">
        <f t="array" aca="1" ref="C48" ca="1">INDEX(Data_DBD!$F:$F,$A48)</f>
        <v>Tinggi</v>
      </c>
      <c r="H48" s="13">
        <v>116</v>
      </c>
      <c r="I48" s="13">
        <v>1</v>
      </c>
      <c r="J48" s="13" t="s">
        <v>97</v>
      </c>
    </row>
    <row r="49" spans="1:10">
      <c r="A49" s="2">
        <f t="shared" ca="1" si="0"/>
        <v>84</v>
      </c>
      <c r="B49" s="2" cm="1">
        <f t="array" aca="1" ref="B49" ca="1">INDEX(Data_DBD!$E:$E,$A49)</f>
        <v>1</v>
      </c>
      <c r="C49" s="2" t="str" cm="1">
        <f t="array" aca="1" ref="C49" ca="1">INDEX(Data_DBD!$F:$F,$A49)</f>
        <v>Sedang</v>
      </c>
      <c r="H49" s="13">
        <v>117</v>
      </c>
      <c r="I49" s="13">
        <v>1</v>
      </c>
      <c r="J49" s="13" t="s">
        <v>97</v>
      </c>
    </row>
    <row r="50" spans="1:10">
      <c r="A50" s="2">
        <f t="shared" ca="1" si="0"/>
        <v>22</v>
      </c>
      <c r="B50" s="2" cm="1">
        <f t="array" aca="1" ref="B50" ca="1">INDEX(Data_DBD!$E:$E,$A50)</f>
        <v>0</v>
      </c>
      <c r="C50" s="2" t="str" cm="1">
        <f t="array" aca="1" ref="C50" ca="1">INDEX(Data_DBD!$F:$F,$A50)</f>
        <v>Sedang</v>
      </c>
      <c r="H50" s="13">
        <v>50</v>
      </c>
      <c r="I50" s="13">
        <v>0</v>
      </c>
      <c r="J50" s="13" t="s">
        <v>7</v>
      </c>
    </row>
    <row r="51" spans="1:10">
      <c r="A51" s="2">
        <f t="shared" ca="1" si="0"/>
        <v>18</v>
      </c>
      <c r="B51" s="2" cm="1">
        <f t="array" aca="1" ref="B51" ca="1">INDEX(Data_DBD!$E:$E,$A51)</f>
        <v>1</v>
      </c>
      <c r="C51" s="2" t="str" cm="1">
        <f t="array" aca="1" ref="C51" ca="1">INDEX(Data_DBD!$F:$F,$A51)</f>
        <v>Rendah</v>
      </c>
      <c r="H51" s="13">
        <v>46</v>
      </c>
      <c r="I51" s="13">
        <v>0</v>
      </c>
      <c r="J51" s="13" t="s">
        <v>7</v>
      </c>
    </row>
    <row r="52" spans="1:10">
      <c r="A52" s="2">
        <f t="shared" ca="1" si="0"/>
        <v>134</v>
      </c>
      <c r="B52" s="2" cm="1">
        <f t="array" aca="1" ref="B52" ca="1">INDEX(Data_DBD!$E:$E,$A52)</f>
        <v>1</v>
      </c>
      <c r="C52" s="2" t="str" cm="1">
        <f t="array" aca="1" ref="C52" ca="1">INDEX(Data_DBD!$F:$F,$A52)</f>
        <v>Tinggi</v>
      </c>
      <c r="H52" s="13">
        <v>17</v>
      </c>
      <c r="I52" s="13">
        <v>0</v>
      </c>
      <c r="J52" s="13" t="s">
        <v>20</v>
      </c>
    </row>
    <row r="53" spans="1:10">
      <c r="A53" s="2">
        <f t="shared" ca="1" si="0"/>
        <v>120</v>
      </c>
      <c r="B53" s="2" cm="1">
        <f t="array" aca="1" ref="B53" ca="1">INDEX(Data_DBD!$E:$E,$A53)</f>
        <v>1</v>
      </c>
      <c r="C53" s="2" t="str" cm="1">
        <f t="array" aca="1" ref="C53" ca="1">INDEX(Data_DBD!$F:$F,$A53)</f>
        <v>Tinggi</v>
      </c>
      <c r="H53" s="13">
        <v>159</v>
      </c>
      <c r="I53" s="13">
        <v>0</v>
      </c>
      <c r="J53" s="13" t="s">
        <v>97</v>
      </c>
    </row>
    <row r="54" spans="1:10">
      <c r="A54" s="2">
        <f t="shared" ca="1" si="0"/>
        <v>96</v>
      </c>
      <c r="B54" s="2" cm="1">
        <f t="array" aca="1" ref="B54" ca="1">INDEX(Data_DBD!$E:$E,$A54)</f>
        <v>0</v>
      </c>
      <c r="C54" s="2" t="str" cm="1">
        <f t="array" aca="1" ref="C54" ca="1">INDEX(Data_DBD!$F:$F,$A54)</f>
        <v>Tinggi</v>
      </c>
      <c r="H54" s="13">
        <v>148</v>
      </c>
      <c r="I54" s="13">
        <v>1</v>
      </c>
      <c r="J54" s="13" t="s">
        <v>97</v>
      </c>
    </row>
    <row r="55" spans="1:10">
      <c r="A55" s="2">
        <f t="shared" ca="1" si="0"/>
        <v>57</v>
      </c>
      <c r="B55" s="2" cm="1">
        <f t="array" aca="1" ref="B55" ca="1">INDEX(Data_DBD!$E:$E,$A55)</f>
        <v>1</v>
      </c>
      <c r="C55" s="2" t="str" cm="1">
        <f t="array" aca="1" ref="C55" ca="1">INDEX(Data_DBD!$F:$F,$A55)</f>
        <v>Sedang</v>
      </c>
      <c r="H55" s="13">
        <v>14</v>
      </c>
      <c r="I55" s="13">
        <v>1</v>
      </c>
      <c r="J55" s="13" t="s">
        <v>20</v>
      </c>
    </row>
    <row r="56" spans="1:10">
      <c r="A56" s="2">
        <f t="shared" ca="1" si="0"/>
        <v>26</v>
      </c>
      <c r="B56" s="2" cm="1">
        <f t="array" aca="1" ref="B56" ca="1">INDEX(Data_DBD!$E:$E,$A56)</f>
        <v>1</v>
      </c>
      <c r="C56" s="2" t="str" cm="1">
        <f t="array" aca="1" ref="C56" ca="1">INDEX(Data_DBD!$F:$F,$A56)</f>
        <v>Sedang</v>
      </c>
      <c r="H56" s="13">
        <v>102</v>
      </c>
      <c r="I56" s="13">
        <v>0</v>
      </c>
      <c r="J56" s="13" t="s">
        <v>97</v>
      </c>
    </row>
    <row r="57" spans="1:10">
      <c r="A57" s="2">
        <f t="shared" ca="1" si="0"/>
        <v>85</v>
      </c>
      <c r="B57" s="2" cm="1">
        <f t="array" aca="1" ref="B57" ca="1">INDEX(Data_DBD!$E:$E,$A57)</f>
        <v>0</v>
      </c>
      <c r="C57" s="2" t="str" cm="1">
        <f t="array" aca="1" ref="C57" ca="1">INDEX(Data_DBD!$F:$F,$A57)</f>
        <v>Sedang</v>
      </c>
      <c r="H57" s="13">
        <v>7</v>
      </c>
      <c r="I57" s="13">
        <v>1</v>
      </c>
      <c r="J57" s="13" t="s">
        <v>7</v>
      </c>
    </row>
    <row r="58" spans="1:10">
      <c r="A58" s="2">
        <f t="shared" ca="1" si="0"/>
        <v>10</v>
      </c>
      <c r="B58" s="2" cm="1">
        <f t="array" aca="1" ref="B58" ca="1">INDEX(Data_DBD!$E:$E,$A58)</f>
        <v>0</v>
      </c>
      <c r="C58" s="2" t="str" cm="1">
        <f t="array" aca="1" ref="C58" ca="1">INDEX(Data_DBD!$F:$F,$A58)</f>
        <v>Sedang</v>
      </c>
      <c r="H58" s="13">
        <v>100</v>
      </c>
      <c r="I58" s="13">
        <v>0</v>
      </c>
      <c r="J58" s="13" t="s">
        <v>97</v>
      </c>
    </row>
    <row r="59" spans="1:10">
      <c r="A59" s="2">
        <f t="shared" ca="1" si="0"/>
        <v>124</v>
      </c>
      <c r="B59" s="2" cm="1">
        <f t="array" aca="1" ref="B59" ca="1">INDEX(Data_DBD!$E:$E,$A59)</f>
        <v>1</v>
      </c>
      <c r="C59" s="2" t="str" cm="1">
        <f t="array" aca="1" ref="C59" ca="1">INDEX(Data_DBD!$F:$F,$A59)</f>
        <v>Tinggi</v>
      </c>
      <c r="H59" s="13">
        <v>164</v>
      </c>
      <c r="I59" s="13">
        <v>0</v>
      </c>
      <c r="J59" s="13" t="s">
        <v>20</v>
      </c>
    </row>
    <row r="60" spans="1:10">
      <c r="A60" s="2">
        <f t="shared" ca="1" si="0"/>
        <v>148</v>
      </c>
      <c r="B60" s="2" cm="1">
        <f t="array" aca="1" ref="B60" ca="1">INDEX(Data_DBD!$E:$E,$A60)</f>
        <v>1</v>
      </c>
      <c r="C60" s="2" t="str" cm="1">
        <f t="array" aca="1" ref="C60" ca="1">INDEX(Data_DBD!$F:$F,$A60)</f>
        <v>Tinggi</v>
      </c>
      <c r="H60" s="13">
        <v>53</v>
      </c>
      <c r="I60" s="13">
        <v>1</v>
      </c>
      <c r="J60" s="13" t="s">
        <v>7</v>
      </c>
    </row>
    <row r="61" spans="1:10">
      <c r="A61" s="2">
        <f t="shared" ca="1" si="0"/>
        <v>157</v>
      </c>
      <c r="B61" s="2" cm="1">
        <f t="array" aca="1" ref="B61" ca="1">INDEX(Data_DBD!$E:$E,$A61)</f>
        <v>1</v>
      </c>
      <c r="C61" s="2" t="str" cm="1">
        <f t="array" aca="1" ref="C61" ca="1">INDEX(Data_DBD!$F:$F,$A61)</f>
        <v>Tinggi</v>
      </c>
      <c r="H61" s="13">
        <v>140</v>
      </c>
      <c r="I61" s="13">
        <v>1</v>
      </c>
      <c r="J61" s="13" t="s">
        <v>97</v>
      </c>
    </row>
    <row r="62" spans="1:10">
      <c r="A62" s="2">
        <f t="shared" ca="1" si="0"/>
        <v>124</v>
      </c>
      <c r="B62" s="2" cm="1">
        <f t="array" aca="1" ref="B62" ca="1">INDEX(Data_DBD!$E:$E,$A62)</f>
        <v>1</v>
      </c>
      <c r="C62" s="2" t="str" cm="1">
        <f t="array" aca="1" ref="C62" ca="1">INDEX(Data_DBD!$F:$F,$A62)</f>
        <v>Tinggi</v>
      </c>
      <c r="H62" s="13">
        <v>132</v>
      </c>
      <c r="I62" s="13">
        <v>1</v>
      </c>
      <c r="J62" s="13" t="s">
        <v>97</v>
      </c>
    </row>
    <row r="63" spans="1:10">
      <c r="A63" s="2">
        <f t="shared" ca="1" si="0"/>
        <v>112</v>
      </c>
      <c r="B63" s="2" cm="1">
        <f t="array" aca="1" ref="B63" ca="1">INDEX(Data_DBD!$E:$E,$A63)</f>
        <v>1</v>
      </c>
      <c r="C63" s="2" t="str" cm="1">
        <f t="array" aca="1" ref="C63" ca="1">INDEX(Data_DBD!$F:$F,$A63)</f>
        <v>Tinggi</v>
      </c>
      <c r="H63" s="13">
        <v>19</v>
      </c>
      <c r="I63" s="13">
        <v>0</v>
      </c>
      <c r="J63" s="13" t="s">
        <v>20</v>
      </c>
    </row>
    <row r="64" spans="1:10">
      <c r="A64" s="2">
        <f t="shared" ca="1" si="0"/>
        <v>95</v>
      </c>
      <c r="B64" s="2" cm="1">
        <f t="array" aca="1" ref="B64" ca="1">INDEX(Data_DBD!$E:$E,$A64)</f>
        <v>1</v>
      </c>
      <c r="C64" s="2" t="str" cm="1">
        <f t="array" aca="1" ref="C64" ca="1">INDEX(Data_DBD!$F:$F,$A64)</f>
        <v>Tinggi</v>
      </c>
      <c r="H64" s="13">
        <v>68</v>
      </c>
      <c r="I64" s="13">
        <v>0</v>
      </c>
      <c r="J64" s="13" t="s">
        <v>7</v>
      </c>
    </row>
    <row r="65" spans="1:10">
      <c r="A65" s="2">
        <f t="shared" ca="1" si="0"/>
        <v>131</v>
      </c>
      <c r="B65" s="2" cm="1">
        <f t="array" aca="1" ref="B65" ca="1">INDEX(Data_DBD!$E:$E,$A65)</f>
        <v>0</v>
      </c>
      <c r="C65" s="2" t="str" cm="1">
        <f t="array" aca="1" ref="C65" ca="1">INDEX(Data_DBD!$F:$F,$A65)</f>
        <v>Tinggi</v>
      </c>
      <c r="H65" s="13">
        <v>113</v>
      </c>
      <c r="I65" s="13">
        <v>1</v>
      </c>
      <c r="J65" s="13" t="s">
        <v>97</v>
      </c>
    </row>
    <row r="66" spans="1:10">
      <c r="A66" s="2">
        <f t="shared" ca="1" si="0"/>
        <v>70</v>
      </c>
      <c r="B66" s="2" cm="1">
        <f t="array" aca="1" ref="B66" ca="1">INDEX(Data_DBD!$E:$E,$A66)</f>
        <v>1</v>
      </c>
      <c r="C66" s="2" t="str" cm="1">
        <f t="array" aca="1" ref="C66" ca="1">INDEX(Data_DBD!$F:$F,$A66)</f>
        <v>Sedang</v>
      </c>
      <c r="H66" s="13">
        <v>144</v>
      </c>
      <c r="I66" s="13">
        <v>1</v>
      </c>
      <c r="J66" s="13" t="s">
        <v>97</v>
      </c>
    </row>
    <row r="67" spans="1:10">
      <c r="A67" s="2">
        <f t="shared" ref="A67:A130" ca="1" si="1">RANDBETWEEN(2,164)</f>
        <v>156</v>
      </c>
      <c r="B67" s="2" cm="1">
        <f t="array" aca="1" ref="B67" ca="1">INDEX(Data_DBD!$E:$E,$A67)</f>
        <v>0</v>
      </c>
      <c r="C67" s="2" t="str" cm="1">
        <f t="array" aca="1" ref="C67" ca="1">INDEX(Data_DBD!$F:$F,$A67)</f>
        <v>Tinggi</v>
      </c>
      <c r="H67" s="13">
        <v>136</v>
      </c>
      <c r="I67" s="13">
        <v>0</v>
      </c>
      <c r="J67" s="13" t="s">
        <v>97</v>
      </c>
    </row>
    <row r="68" spans="1:10">
      <c r="A68" s="2">
        <f t="shared" ca="1" si="1"/>
        <v>103</v>
      </c>
      <c r="B68" s="2" cm="1">
        <f t="array" aca="1" ref="B68" ca="1">INDEX(Data_DBD!$E:$E,$A68)</f>
        <v>0</v>
      </c>
      <c r="C68" s="2" t="str" cm="1">
        <f t="array" aca="1" ref="C68" ca="1">INDEX(Data_DBD!$F:$F,$A68)</f>
        <v>Tinggi</v>
      </c>
      <c r="H68" s="13">
        <v>28</v>
      </c>
      <c r="I68" s="13">
        <v>1</v>
      </c>
      <c r="J68" s="13" t="s">
        <v>7</v>
      </c>
    </row>
    <row r="69" spans="1:10">
      <c r="A69" s="2">
        <f t="shared" ca="1" si="1"/>
        <v>107</v>
      </c>
      <c r="B69" s="2" cm="1">
        <f t="array" aca="1" ref="B69" ca="1">INDEX(Data_DBD!$E:$E,$A69)</f>
        <v>0</v>
      </c>
      <c r="C69" s="2" t="str" cm="1">
        <f t="array" aca="1" ref="C69" ca="1">INDEX(Data_DBD!$F:$F,$A69)</f>
        <v>Tinggi</v>
      </c>
      <c r="H69" s="13">
        <v>52</v>
      </c>
      <c r="I69" s="13">
        <v>1</v>
      </c>
      <c r="J69" s="13" t="s">
        <v>7</v>
      </c>
    </row>
    <row r="70" spans="1:10">
      <c r="A70" s="2">
        <f t="shared" ca="1" si="1"/>
        <v>21</v>
      </c>
      <c r="B70" s="2" cm="1">
        <f t="array" aca="1" ref="B70" ca="1">INDEX(Data_DBD!$E:$E,$A70)</f>
        <v>1</v>
      </c>
      <c r="C70" s="2" t="str" cm="1">
        <f t="array" aca="1" ref="C70" ca="1">INDEX(Data_DBD!$F:$F,$A70)</f>
        <v>Sedang</v>
      </c>
      <c r="H70" s="13">
        <v>42</v>
      </c>
      <c r="I70" s="13">
        <v>1</v>
      </c>
      <c r="J70" s="13" t="s">
        <v>7</v>
      </c>
    </row>
    <row r="71" spans="1:10">
      <c r="A71" s="2">
        <f t="shared" ca="1" si="1"/>
        <v>130</v>
      </c>
      <c r="B71" s="2" cm="1">
        <f t="array" aca="1" ref="B71" ca="1">INDEX(Data_DBD!$E:$E,$A71)</f>
        <v>0</v>
      </c>
      <c r="C71" s="2" t="str" cm="1">
        <f t="array" aca="1" ref="C71" ca="1">INDEX(Data_DBD!$F:$F,$A71)</f>
        <v>Tinggi</v>
      </c>
      <c r="H71" s="13">
        <v>104</v>
      </c>
      <c r="I71" s="13">
        <v>1</v>
      </c>
      <c r="J71" s="13" t="s">
        <v>97</v>
      </c>
    </row>
    <row r="72" spans="1:10">
      <c r="A72" s="2">
        <f t="shared" ca="1" si="1"/>
        <v>36</v>
      </c>
      <c r="B72" s="2" cm="1">
        <f t="array" aca="1" ref="B72" ca="1">INDEX(Data_DBD!$E:$E,$A72)</f>
        <v>1</v>
      </c>
      <c r="C72" s="2" t="str" cm="1">
        <f t="array" aca="1" ref="C72" ca="1">INDEX(Data_DBD!$F:$F,$A72)</f>
        <v>Rendah</v>
      </c>
      <c r="H72" s="13">
        <v>34</v>
      </c>
      <c r="I72" s="13">
        <v>0</v>
      </c>
      <c r="J72" s="13" t="s">
        <v>7</v>
      </c>
    </row>
    <row r="73" spans="1:10">
      <c r="A73" s="2">
        <f t="shared" ca="1" si="1"/>
        <v>53</v>
      </c>
      <c r="B73" s="2" cm="1">
        <f t="array" aca="1" ref="B73" ca="1">INDEX(Data_DBD!$E:$E,$A73)</f>
        <v>1</v>
      </c>
      <c r="C73" s="2" t="str" cm="1">
        <f t="array" aca="1" ref="C73" ca="1">INDEX(Data_DBD!$F:$F,$A73)</f>
        <v>Sedang</v>
      </c>
      <c r="H73" s="13">
        <v>38</v>
      </c>
      <c r="I73" s="13">
        <v>1</v>
      </c>
      <c r="J73" s="13" t="s">
        <v>20</v>
      </c>
    </row>
    <row r="74" spans="1:10">
      <c r="A74" s="2">
        <f t="shared" ca="1" si="1"/>
        <v>145</v>
      </c>
      <c r="B74" s="2" cm="1">
        <f t="array" aca="1" ref="B74" ca="1">INDEX(Data_DBD!$E:$E,$A74)</f>
        <v>1</v>
      </c>
      <c r="C74" s="2" t="str" cm="1">
        <f t="array" aca="1" ref="C74" ca="1">INDEX(Data_DBD!$F:$F,$A74)</f>
        <v>Tinggi</v>
      </c>
      <c r="H74" s="13">
        <v>90</v>
      </c>
      <c r="I74" s="13">
        <v>0</v>
      </c>
      <c r="J74" s="13" t="s">
        <v>97</v>
      </c>
    </row>
    <row r="75" spans="1:10">
      <c r="A75" s="2">
        <f t="shared" ca="1" si="1"/>
        <v>90</v>
      </c>
      <c r="B75" s="2" cm="1">
        <f t="array" aca="1" ref="B75" ca="1">INDEX(Data_DBD!$E:$E,$A75)</f>
        <v>0</v>
      </c>
      <c r="C75" s="2" t="str" cm="1">
        <f t="array" aca="1" ref="C75" ca="1">INDEX(Data_DBD!$F:$F,$A75)</f>
        <v>Tinggi</v>
      </c>
      <c r="H75" s="13">
        <v>109</v>
      </c>
      <c r="I75" s="13">
        <v>1</v>
      </c>
      <c r="J75" s="13" t="s">
        <v>97</v>
      </c>
    </row>
    <row r="76" spans="1:10">
      <c r="A76" s="2">
        <f t="shared" ca="1" si="1"/>
        <v>93</v>
      </c>
      <c r="B76" s="2" cm="1">
        <f t="array" aca="1" ref="B76" ca="1">INDEX(Data_DBD!$E:$E,$A76)</f>
        <v>0</v>
      </c>
      <c r="C76" s="2" t="str" cm="1">
        <f t="array" aca="1" ref="C76" ca="1">INDEX(Data_DBD!$F:$F,$A76)</f>
        <v>Tinggi</v>
      </c>
      <c r="H76" s="13">
        <v>122</v>
      </c>
      <c r="I76" s="13">
        <v>1</v>
      </c>
      <c r="J76" s="13" t="s">
        <v>97</v>
      </c>
    </row>
    <row r="77" spans="1:10">
      <c r="A77" s="2">
        <f t="shared" ca="1" si="1"/>
        <v>162</v>
      </c>
      <c r="B77" s="2" cm="1">
        <f t="array" aca="1" ref="B77" ca="1">INDEX(Data_DBD!$E:$E,$A77)</f>
        <v>1</v>
      </c>
      <c r="C77" s="2" t="str" cm="1">
        <f t="array" aca="1" ref="C77" ca="1">INDEX(Data_DBD!$F:$F,$A77)</f>
        <v>Rendah</v>
      </c>
      <c r="H77" s="13">
        <v>147</v>
      </c>
      <c r="I77" s="13">
        <v>1</v>
      </c>
      <c r="J77" s="13" t="s">
        <v>97</v>
      </c>
    </row>
    <row r="78" spans="1:10">
      <c r="A78" s="2">
        <f t="shared" ca="1" si="1"/>
        <v>5</v>
      </c>
      <c r="B78" s="2" cm="1">
        <f t="array" aca="1" ref="B78" ca="1">INDEX(Data_DBD!$E:$E,$A78)</f>
        <v>1</v>
      </c>
      <c r="C78" s="2" t="str" cm="1">
        <f t="array" aca="1" ref="C78" ca="1">INDEX(Data_DBD!$F:$F,$A78)</f>
        <v>Sedang</v>
      </c>
      <c r="H78" s="13">
        <v>33</v>
      </c>
      <c r="I78" s="13">
        <v>1</v>
      </c>
      <c r="J78" s="13" t="s">
        <v>7</v>
      </c>
    </row>
    <row r="79" spans="1:10">
      <c r="A79" s="2">
        <f t="shared" ca="1" si="1"/>
        <v>33</v>
      </c>
      <c r="B79" s="2" cm="1">
        <f t="array" aca="1" ref="B79" ca="1">INDEX(Data_DBD!$E:$E,$A79)</f>
        <v>1</v>
      </c>
      <c r="C79" s="2" t="str" cm="1">
        <f t="array" aca="1" ref="C79" ca="1">INDEX(Data_DBD!$F:$F,$A79)</f>
        <v>Sedang</v>
      </c>
      <c r="H79" s="13">
        <v>42</v>
      </c>
      <c r="I79" s="13">
        <v>1</v>
      </c>
      <c r="J79" s="13" t="s">
        <v>7</v>
      </c>
    </row>
    <row r="80" spans="1:10">
      <c r="A80" s="2">
        <f t="shared" ca="1" si="1"/>
        <v>90</v>
      </c>
      <c r="B80" s="2" cm="1">
        <f t="array" aca="1" ref="B80" ca="1">INDEX(Data_DBD!$E:$E,$A80)</f>
        <v>0</v>
      </c>
      <c r="C80" s="2" t="str" cm="1">
        <f t="array" aca="1" ref="C80" ca="1">INDEX(Data_DBD!$F:$F,$A80)</f>
        <v>Tinggi</v>
      </c>
      <c r="H80" s="13">
        <v>74</v>
      </c>
      <c r="I80" s="13">
        <v>0</v>
      </c>
      <c r="J80" s="13" t="s">
        <v>7</v>
      </c>
    </row>
    <row r="81" spans="1:10">
      <c r="A81" s="2">
        <f t="shared" ca="1" si="1"/>
        <v>158</v>
      </c>
      <c r="B81" s="2" cm="1">
        <f t="array" aca="1" ref="B81" ca="1">INDEX(Data_DBD!$E:$E,$A81)</f>
        <v>0</v>
      </c>
      <c r="C81" s="2" t="str" cm="1">
        <f t="array" aca="1" ref="C81" ca="1">INDEX(Data_DBD!$F:$F,$A81)</f>
        <v>Tinggi</v>
      </c>
      <c r="H81" s="13">
        <v>60</v>
      </c>
      <c r="I81" s="13">
        <v>0</v>
      </c>
      <c r="J81" s="13" t="s">
        <v>7</v>
      </c>
    </row>
    <row r="82" spans="1:10">
      <c r="A82" s="2">
        <f t="shared" ca="1" si="1"/>
        <v>156</v>
      </c>
      <c r="B82" s="2" cm="1">
        <f t="array" aca="1" ref="B82" ca="1">INDEX(Data_DBD!$E:$E,$A82)</f>
        <v>0</v>
      </c>
      <c r="C82" s="2" t="str" cm="1">
        <f t="array" aca="1" ref="C82" ca="1">INDEX(Data_DBD!$F:$F,$A82)</f>
        <v>Tinggi</v>
      </c>
      <c r="H82" s="13">
        <v>67</v>
      </c>
      <c r="I82" s="13">
        <v>1</v>
      </c>
      <c r="J82" s="13" t="s">
        <v>7</v>
      </c>
    </row>
    <row r="83" spans="1:10">
      <c r="A83" s="2">
        <f t="shared" ca="1" si="1"/>
        <v>147</v>
      </c>
      <c r="B83" s="2" cm="1">
        <f t="array" aca="1" ref="B83" ca="1">INDEX(Data_DBD!$E:$E,$A83)</f>
        <v>1</v>
      </c>
      <c r="C83" s="2" t="str" cm="1">
        <f t="array" aca="1" ref="C83" ca="1">INDEX(Data_DBD!$F:$F,$A83)</f>
        <v>Tinggi</v>
      </c>
      <c r="H83" s="13">
        <v>92</v>
      </c>
      <c r="I83" s="13">
        <v>0</v>
      </c>
      <c r="J83" s="13" t="s">
        <v>97</v>
      </c>
    </row>
    <row r="84" spans="1:10">
      <c r="A84" s="2">
        <f t="shared" ca="1" si="1"/>
        <v>87</v>
      </c>
      <c r="B84" s="2" cm="1">
        <f t="array" aca="1" ref="B84" ca="1">INDEX(Data_DBD!$E:$E,$A84)</f>
        <v>0</v>
      </c>
      <c r="C84" s="2" t="str" cm="1">
        <f t="array" aca="1" ref="C84" ca="1">INDEX(Data_DBD!$F:$F,$A84)</f>
        <v>Sedang</v>
      </c>
      <c r="H84" s="13">
        <v>90</v>
      </c>
      <c r="I84" s="13">
        <v>0</v>
      </c>
      <c r="J84" s="13" t="s">
        <v>97</v>
      </c>
    </row>
    <row r="85" spans="1:10">
      <c r="A85" s="2">
        <f t="shared" ca="1" si="1"/>
        <v>16</v>
      </c>
      <c r="B85" s="2" cm="1">
        <f t="array" aca="1" ref="B85" ca="1">INDEX(Data_DBD!$E:$E,$A85)</f>
        <v>1</v>
      </c>
      <c r="C85" s="2" t="str" cm="1">
        <f t="array" aca="1" ref="C85" ca="1">INDEX(Data_DBD!$F:$F,$A85)</f>
        <v>Rendah</v>
      </c>
      <c r="H85" s="13">
        <v>71</v>
      </c>
      <c r="I85" s="13">
        <v>0</v>
      </c>
      <c r="J85" s="13" t="s">
        <v>7</v>
      </c>
    </row>
    <row r="86" spans="1:10">
      <c r="A86" s="2">
        <f t="shared" ca="1" si="1"/>
        <v>128</v>
      </c>
      <c r="B86" s="2" cm="1">
        <f t="array" aca="1" ref="B86" ca="1">INDEX(Data_DBD!$E:$E,$A86)</f>
        <v>0</v>
      </c>
      <c r="C86" s="2" t="str" cm="1">
        <f t="array" aca="1" ref="C86" ca="1">INDEX(Data_DBD!$F:$F,$A86)</f>
        <v>Tinggi</v>
      </c>
      <c r="H86" s="13">
        <v>158</v>
      </c>
      <c r="I86" s="13">
        <v>0</v>
      </c>
      <c r="J86" s="13" t="s">
        <v>97</v>
      </c>
    </row>
    <row r="87" spans="1:10">
      <c r="A87" s="2">
        <f t="shared" ca="1" si="1"/>
        <v>11</v>
      </c>
      <c r="B87" s="2" cm="1">
        <f t="array" aca="1" ref="B87" ca="1">INDEX(Data_DBD!$E:$E,$A87)</f>
        <v>1</v>
      </c>
      <c r="C87" s="2" t="str" cm="1">
        <f t="array" aca="1" ref="C87" ca="1">INDEX(Data_DBD!$F:$F,$A87)</f>
        <v>Sedang</v>
      </c>
      <c r="H87" s="13">
        <v>76</v>
      </c>
      <c r="I87" s="13">
        <v>0</v>
      </c>
      <c r="J87" s="13" t="s">
        <v>7</v>
      </c>
    </row>
    <row r="88" spans="1:10">
      <c r="A88" s="2">
        <f t="shared" ca="1" si="1"/>
        <v>156</v>
      </c>
      <c r="B88" s="2" cm="1">
        <f t="array" aca="1" ref="B88" ca="1">INDEX(Data_DBD!$E:$E,$A88)</f>
        <v>0</v>
      </c>
      <c r="C88" s="2" t="str" cm="1">
        <f t="array" aca="1" ref="C88" ca="1">INDEX(Data_DBD!$F:$F,$A88)</f>
        <v>Tinggi</v>
      </c>
      <c r="H88" s="13">
        <v>130</v>
      </c>
      <c r="I88" s="13">
        <v>0</v>
      </c>
      <c r="J88" s="13" t="s">
        <v>97</v>
      </c>
    </row>
    <row r="89" spans="1:10">
      <c r="A89" s="2">
        <f t="shared" ca="1" si="1"/>
        <v>59</v>
      </c>
      <c r="B89" s="2" cm="1">
        <f t="array" aca="1" ref="B89" ca="1">INDEX(Data_DBD!$E:$E,$A89)</f>
        <v>0</v>
      </c>
      <c r="C89" s="2" t="str" cm="1">
        <f t="array" aca="1" ref="C89" ca="1">INDEX(Data_DBD!$F:$F,$A89)</f>
        <v>Sedang</v>
      </c>
      <c r="H89" s="13">
        <v>137</v>
      </c>
      <c r="I89" s="13">
        <v>1</v>
      </c>
      <c r="J89" s="13" t="s">
        <v>97</v>
      </c>
    </row>
    <row r="90" spans="1:10">
      <c r="A90" s="2">
        <f t="shared" ca="1" si="1"/>
        <v>131</v>
      </c>
      <c r="B90" s="2" cm="1">
        <f t="array" aca="1" ref="B90" ca="1">INDEX(Data_DBD!$E:$E,$A90)</f>
        <v>0</v>
      </c>
      <c r="C90" s="2" t="str" cm="1">
        <f t="array" aca="1" ref="C90" ca="1">INDEX(Data_DBD!$F:$F,$A90)</f>
        <v>Tinggi</v>
      </c>
      <c r="H90" s="13">
        <v>131</v>
      </c>
      <c r="I90" s="13">
        <v>0</v>
      </c>
      <c r="J90" s="13" t="s">
        <v>97</v>
      </c>
    </row>
    <row r="91" spans="1:10">
      <c r="A91" s="2">
        <f t="shared" ca="1" si="1"/>
        <v>151</v>
      </c>
      <c r="B91" s="2" cm="1">
        <f t="array" aca="1" ref="B91" ca="1">INDEX(Data_DBD!$E:$E,$A91)</f>
        <v>0</v>
      </c>
      <c r="C91" s="2" t="str" cm="1">
        <f t="array" aca="1" ref="C91" ca="1">INDEX(Data_DBD!$F:$F,$A91)</f>
        <v>Tinggi</v>
      </c>
      <c r="H91" s="13">
        <v>161</v>
      </c>
      <c r="I91" s="13">
        <v>1</v>
      </c>
      <c r="J91" s="13" t="s">
        <v>97</v>
      </c>
    </row>
    <row r="92" spans="1:10">
      <c r="A92" s="2">
        <f t="shared" ca="1" si="1"/>
        <v>156</v>
      </c>
      <c r="B92" s="2" cm="1">
        <f t="array" aca="1" ref="B92" ca="1">INDEX(Data_DBD!$E:$E,$A92)</f>
        <v>0</v>
      </c>
      <c r="C92" s="2" t="str" cm="1">
        <f t="array" aca="1" ref="C92" ca="1">INDEX(Data_DBD!$F:$F,$A92)</f>
        <v>Tinggi</v>
      </c>
      <c r="H92" s="13">
        <v>125</v>
      </c>
      <c r="I92" s="13">
        <v>0</v>
      </c>
      <c r="J92" s="13" t="s">
        <v>97</v>
      </c>
    </row>
    <row r="93" spans="1:10">
      <c r="A93" s="2">
        <f t="shared" ca="1" si="1"/>
        <v>102</v>
      </c>
      <c r="B93" s="2" cm="1">
        <f t="array" aca="1" ref="B93" ca="1">INDEX(Data_DBD!$E:$E,$A93)</f>
        <v>0</v>
      </c>
      <c r="C93" s="2" t="str" cm="1">
        <f t="array" aca="1" ref="C93" ca="1">INDEX(Data_DBD!$F:$F,$A93)</f>
        <v>Tinggi</v>
      </c>
      <c r="H93" s="13">
        <v>100</v>
      </c>
      <c r="I93" s="13">
        <v>0</v>
      </c>
      <c r="J93" s="13" t="s">
        <v>97</v>
      </c>
    </row>
    <row r="94" spans="1:10">
      <c r="A94" s="2">
        <f t="shared" ca="1" si="1"/>
        <v>133</v>
      </c>
      <c r="B94" s="2" cm="1">
        <f t="array" aca="1" ref="B94" ca="1">INDEX(Data_DBD!$E:$E,$A94)</f>
        <v>0</v>
      </c>
      <c r="C94" s="2" t="str" cm="1">
        <f t="array" aca="1" ref="C94" ca="1">INDEX(Data_DBD!$F:$F,$A94)</f>
        <v>Tinggi</v>
      </c>
      <c r="H94" s="13">
        <v>94</v>
      </c>
      <c r="I94" s="13">
        <v>0</v>
      </c>
      <c r="J94" s="13" t="s">
        <v>97</v>
      </c>
    </row>
    <row r="95" spans="1:10">
      <c r="A95" s="2">
        <f t="shared" ca="1" si="1"/>
        <v>141</v>
      </c>
      <c r="B95" s="2" cm="1">
        <f t="array" aca="1" ref="B95" ca="1">INDEX(Data_DBD!$E:$E,$A95)</f>
        <v>0</v>
      </c>
      <c r="C95" s="2" t="str" cm="1">
        <f t="array" aca="1" ref="C95" ca="1">INDEX(Data_DBD!$F:$F,$A95)</f>
        <v>Tinggi</v>
      </c>
      <c r="H95" s="13">
        <v>68</v>
      </c>
      <c r="I95" s="13">
        <v>0</v>
      </c>
      <c r="J95" s="13" t="s">
        <v>7</v>
      </c>
    </row>
    <row r="96" spans="1:10">
      <c r="A96" s="2">
        <f t="shared" ca="1" si="1"/>
        <v>124</v>
      </c>
      <c r="B96" s="2" cm="1">
        <f t="array" aca="1" ref="B96" ca="1">INDEX(Data_DBD!$E:$E,$A96)</f>
        <v>1</v>
      </c>
      <c r="C96" s="2" t="str" cm="1">
        <f t="array" aca="1" ref="C96" ca="1">INDEX(Data_DBD!$F:$F,$A96)</f>
        <v>Tinggi</v>
      </c>
      <c r="H96" s="13">
        <v>20</v>
      </c>
      <c r="I96" s="13">
        <v>0</v>
      </c>
      <c r="J96" s="13" t="s">
        <v>20</v>
      </c>
    </row>
    <row r="97" spans="1:10">
      <c r="A97" s="2">
        <f t="shared" ca="1" si="1"/>
        <v>9</v>
      </c>
      <c r="B97" s="2" cm="1">
        <f t="array" aca="1" ref="B97" ca="1">INDEX(Data_DBD!$E:$E,$A97)</f>
        <v>1</v>
      </c>
      <c r="C97" s="2" t="str" cm="1">
        <f t="array" aca="1" ref="C97" ca="1">INDEX(Data_DBD!$F:$F,$A97)</f>
        <v>Sedang</v>
      </c>
      <c r="H97" s="13">
        <v>6</v>
      </c>
      <c r="I97" s="13">
        <v>0</v>
      </c>
      <c r="J97" s="13" t="s">
        <v>7</v>
      </c>
    </row>
    <row r="98" spans="1:10">
      <c r="A98" s="2">
        <f t="shared" ca="1" si="1"/>
        <v>46</v>
      </c>
      <c r="B98" s="2" cm="1">
        <f t="array" aca="1" ref="B98" ca="1">INDEX(Data_DBD!$E:$E,$A98)</f>
        <v>0</v>
      </c>
      <c r="C98" s="2" t="str" cm="1">
        <f t="array" aca="1" ref="C98" ca="1">INDEX(Data_DBD!$F:$F,$A98)</f>
        <v>Sedang</v>
      </c>
      <c r="H98" s="13">
        <v>39</v>
      </c>
      <c r="I98" s="13">
        <v>1</v>
      </c>
      <c r="J98" s="13" t="s">
        <v>7</v>
      </c>
    </row>
    <row r="99" spans="1:10">
      <c r="A99" s="2">
        <f t="shared" ca="1" si="1"/>
        <v>163</v>
      </c>
      <c r="B99" s="2" cm="1">
        <f t="array" aca="1" ref="B99" ca="1">INDEX(Data_DBD!$E:$E,$A99)</f>
        <v>1</v>
      </c>
      <c r="C99" s="2" t="str" cm="1">
        <f t="array" aca="1" ref="C99" ca="1">INDEX(Data_DBD!$F:$F,$A99)</f>
        <v>Rendah</v>
      </c>
      <c r="H99" s="13">
        <v>42</v>
      </c>
      <c r="I99" s="13">
        <v>1</v>
      </c>
      <c r="J99" s="13" t="s">
        <v>7</v>
      </c>
    </row>
    <row r="100" spans="1:10">
      <c r="A100" s="2">
        <f t="shared" ca="1" si="1"/>
        <v>69</v>
      </c>
      <c r="B100" s="2" cm="1">
        <f t="array" aca="1" ref="B100" ca="1">INDEX(Data_DBD!$E:$E,$A100)</f>
        <v>1</v>
      </c>
      <c r="C100" s="2" t="str" cm="1">
        <f t="array" aca="1" ref="C100" ca="1">INDEX(Data_DBD!$F:$F,$A100)</f>
        <v>Sedang</v>
      </c>
      <c r="H100" s="13">
        <v>74</v>
      </c>
      <c r="I100" s="13">
        <v>0</v>
      </c>
      <c r="J100" s="13" t="s">
        <v>7</v>
      </c>
    </row>
    <row r="101" spans="1:10">
      <c r="A101" s="2">
        <f t="shared" ca="1" si="1"/>
        <v>100</v>
      </c>
      <c r="B101" s="2" cm="1">
        <f t="array" aca="1" ref="B101" ca="1">INDEX(Data_DBD!$E:$E,$A101)</f>
        <v>0</v>
      </c>
      <c r="C101" s="2" t="str" cm="1">
        <f t="array" aca="1" ref="C101" ca="1">INDEX(Data_DBD!$F:$F,$A101)</f>
        <v>Tinggi</v>
      </c>
      <c r="H101" s="13">
        <v>120</v>
      </c>
      <c r="I101" s="13">
        <v>1</v>
      </c>
      <c r="J101" s="13" t="s">
        <v>97</v>
      </c>
    </row>
    <row r="102" spans="1:10">
      <c r="A102" s="2">
        <f t="shared" ca="1" si="1"/>
        <v>162</v>
      </c>
      <c r="B102" s="2" cm="1">
        <f t="array" aca="1" ref="B102" ca="1">INDEX(Data_DBD!$E:$E,$A102)</f>
        <v>1</v>
      </c>
      <c r="C102" s="2" t="str" cm="1">
        <f t="array" aca="1" ref="C102" ca="1">INDEX(Data_DBD!$F:$F,$A102)</f>
        <v>Rendah</v>
      </c>
      <c r="H102" s="13">
        <v>66</v>
      </c>
      <c r="I102" s="13">
        <v>1</v>
      </c>
      <c r="J102" s="13" t="s">
        <v>7</v>
      </c>
    </row>
    <row r="103" spans="1:10">
      <c r="A103" s="2">
        <f t="shared" ca="1" si="1"/>
        <v>26</v>
      </c>
      <c r="B103" s="2" cm="1">
        <f t="array" aca="1" ref="B103" ca="1">INDEX(Data_DBD!$E:$E,$A103)</f>
        <v>1</v>
      </c>
      <c r="C103" s="2" t="str" cm="1">
        <f t="array" aca="1" ref="C103" ca="1">INDEX(Data_DBD!$F:$F,$A103)</f>
        <v>Sedang</v>
      </c>
      <c r="H103" s="13">
        <v>150</v>
      </c>
      <c r="I103" s="13">
        <v>1</v>
      </c>
      <c r="J103" s="13" t="s">
        <v>97</v>
      </c>
    </row>
    <row r="104" spans="1:10">
      <c r="A104" s="2">
        <f t="shared" ca="1" si="1"/>
        <v>137</v>
      </c>
      <c r="B104" s="2" cm="1">
        <f t="array" aca="1" ref="B104" ca="1">INDEX(Data_DBD!$E:$E,$A104)</f>
        <v>1</v>
      </c>
      <c r="C104" s="2" t="str" cm="1">
        <f t="array" aca="1" ref="C104" ca="1">INDEX(Data_DBD!$F:$F,$A104)</f>
        <v>Tinggi</v>
      </c>
      <c r="H104" s="13">
        <v>159</v>
      </c>
      <c r="I104" s="13">
        <v>0</v>
      </c>
      <c r="J104" s="13" t="s">
        <v>97</v>
      </c>
    </row>
    <row r="105" spans="1:10">
      <c r="A105" s="2">
        <f t="shared" ca="1" si="1"/>
        <v>14</v>
      </c>
      <c r="B105" s="2" cm="1">
        <f t="array" aca="1" ref="B105" ca="1">INDEX(Data_DBD!$E:$E,$A105)</f>
        <v>1</v>
      </c>
      <c r="C105" s="2" t="str" cm="1">
        <f t="array" aca="1" ref="C105" ca="1">INDEX(Data_DBD!$F:$F,$A105)</f>
        <v>Rendah</v>
      </c>
      <c r="H105" s="13">
        <v>25</v>
      </c>
      <c r="I105" s="13">
        <v>0</v>
      </c>
      <c r="J105" s="13" t="s">
        <v>7</v>
      </c>
    </row>
    <row r="106" spans="1:10">
      <c r="A106" s="2">
        <f t="shared" ca="1" si="1"/>
        <v>124</v>
      </c>
      <c r="B106" s="2" cm="1">
        <f t="array" aca="1" ref="B106" ca="1">INDEX(Data_DBD!$E:$E,$A106)</f>
        <v>1</v>
      </c>
      <c r="C106" s="2" t="str" cm="1">
        <f t="array" aca="1" ref="C106" ca="1">INDEX(Data_DBD!$F:$F,$A106)</f>
        <v>Tinggi</v>
      </c>
      <c r="H106" s="13">
        <v>53</v>
      </c>
      <c r="I106" s="13">
        <v>1</v>
      </c>
      <c r="J106" s="13" t="s">
        <v>7</v>
      </c>
    </row>
    <row r="107" spans="1:10">
      <c r="A107" s="2">
        <f t="shared" ca="1" si="1"/>
        <v>106</v>
      </c>
      <c r="B107" s="2" cm="1">
        <f t="array" aca="1" ref="B107" ca="1">INDEX(Data_DBD!$E:$E,$A107)</f>
        <v>1</v>
      </c>
      <c r="C107" s="2" t="str" cm="1">
        <f t="array" aca="1" ref="C107" ca="1">INDEX(Data_DBD!$F:$F,$A107)</f>
        <v>Tinggi</v>
      </c>
      <c r="H107" s="13">
        <v>92</v>
      </c>
      <c r="I107" s="13">
        <v>0</v>
      </c>
      <c r="J107" s="13" t="s">
        <v>97</v>
      </c>
    </row>
    <row r="108" spans="1:10">
      <c r="A108" s="2">
        <f t="shared" ca="1" si="1"/>
        <v>18</v>
      </c>
      <c r="B108" s="2" cm="1">
        <f t="array" aca="1" ref="B108" ca="1">INDEX(Data_DBD!$E:$E,$A108)</f>
        <v>1</v>
      </c>
      <c r="C108" s="2" t="str" cm="1">
        <f t="array" aca="1" ref="C108" ca="1">INDEX(Data_DBD!$F:$F,$A108)</f>
        <v>Rendah</v>
      </c>
      <c r="H108" s="13">
        <v>42</v>
      </c>
      <c r="I108" s="13">
        <v>1</v>
      </c>
      <c r="J108" s="13" t="s">
        <v>7</v>
      </c>
    </row>
    <row r="109" spans="1:10">
      <c r="A109" s="2">
        <f t="shared" ca="1" si="1"/>
        <v>81</v>
      </c>
      <c r="B109" s="2" cm="1">
        <f t="array" aca="1" ref="B109" ca="1">INDEX(Data_DBD!$E:$E,$A109)</f>
        <v>1</v>
      </c>
      <c r="C109" s="2" t="str" cm="1">
        <f t="array" aca="1" ref="C109" ca="1">INDEX(Data_DBD!$F:$F,$A109)</f>
        <v>Sedang</v>
      </c>
      <c r="H109" s="13">
        <v>48</v>
      </c>
      <c r="I109" s="13">
        <v>1</v>
      </c>
      <c r="J109" s="13" t="s">
        <v>7</v>
      </c>
    </row>
    <row r="110" spans="1:10">
      <c r="A110" s="2">
        <f t="shared" ca="1" si="1"/>
        <v>112</v>
      </c>
      <c r="B110" s="2" cm="1">
        <f t="array" aca="1" ref="B110" ca="1">INDEX(Data_DBD!$E:$E,$A110)</f>
        <v>1</v>
      </c>
      <c r="C110" s="2" t="str" cm="1">
        <f t="array" aca="1" ref="C110" ca="1">INDEX(Data_DBD!$F:$F,$A110)</f>
        <v>Tinggi</v>
      </c>
      <c r="H110" s="13">
        <v>148</v>
      </c>
      <c r="I110" s="13">
        <v>1</v>
      </c>
      <c r="J110" s="13" t="s">
        <v>97</v>
      </c>
    </row>
    <row r="111" spans="1:10">
      <c r="A111" s="2">
        <f t="shared" ca="1" si="1"/>
        <v>32</v>
      </c>
      <c r="B111" s="2" cm="1">
        <f t="array" aca="1" ref="B111" ca="1">INDEX(Data_DBD!$E:$E,$A111)</f>
        <v>0</v>
      </c>
      <c r="C111" s="2" t="str" cm="1">
        <f t="array" aca="1" ref="C111" ca="1">INDEX(Data_DBD!$F:$F,$A111)</f>
        <v>Sedang</v>
      </c>
      <c r="H111" s="13">
        <v>103</v>
      </c>
      <c r="I111" s="13">
        <v>0</v>
      </c>
      <c r="J111" s="13" t="s">
        <v>97</v>
      </c>
    </row>
    <row r="112" spans="1:10">
      <c r="A112" s="2">
        <f t="shared" ca="1" si="1"/>
        <v>115</v>
      </c>
      <c r="B112" s="2" cm="1">
        <f t="array" aca="1" ref="B112" ca="1">INDEX(Data_DBD!$E:$E,$A112)</f>
        <v>1</v>
      </c>
      <c r="C112" s="2" t="str" cm="1">
        <f t="array" aca="1" ref="C112" ca="1">INDEX(Data_DBD!$F:$F,$A112)</f>
        <v>Tinggi</v>
      </c>
      <c r="H112" s="13">
        <v>58</v>
      </c>
      <c r="I112" s="13">
        <v>0</v>
      </c>
      <c r="J112" s="13" t="s">
        <v>7</v>
      </c>
    </row>
    <row r="113" spans="1:10">
      <c r="A113" s="2">
        <f t="shared" ca="1" si="1"/>
        <v>120</v>
      </c>
      <c r="B113" s="2" cm="1">
        <f t="array" aca="1" ref="B113" ca="1">INDEX(Data_DBD!$E:$E,$A113)</f>
        <v>1</v>
      </c>
      <c r="C113" s="2" t="str" cm="1">
        <f t="array" aca="1" ref="C113" ca="1">INDEX(Data_DBD!$F:$F,$A113)</f>
        <v>Tinggi</v>
      </c>
      <c r="H113" s="13">
        <v>100</v>
      </c>
      <c r="I113" s="13">
        <v>0</v>
      </c>
      <c r="J113" s="13" t="s">
        <v>97</v>
      </c>
    </row>
    <row r="114" spans="1:10">
      <c r="A114" s="2">
        <f t="shared" ca="1" si="1"/>
        <v>97</v>
      </c>
      <c r="B114" s="2" cm="1">
        <f t="array" aca="1" ref="B114" ca="1">INDEX(Data_DBD!$E:$E,$A114)</f>
        <v>1</v>
      </c>
      <c r="C114" s="2" t="str" cm="1">
        <f t="array" aca="1" ref="C114" ca="1">INDEX(Data_DBD!$F:$F,$A114)</f>
        <v>Tinggi</v>
      </c>
      <c r="H114" s="13">
        <v>143</v>
      </c>
      <c r="I114" s="13">
        <v>1</v>
      </c>
      <c r="J114" s="13" t="s">
        <v>97</v>
      </c>
    </row>
    <row r="115" spans="1:10">
      <c r="A115" s="2">
        <f t="shared" ca="1" si="1"/>
        <v>67</v>
      </c>
      <c r="B115" s="2" cm="1">
        <f t="array" aca="1" ref="B115" ca="1">INDEX(Data_DBD!$E:$E,$A115)</f>
        <v>1</v>
      </c>
      <c r="C115" s="2" t="str" cm="1">
        <f t="array" aca="1" ref="C115" ca="1">INDEX(Data_DBD!$F:$F,$A115)</f>
        <v>Sedang</v>
      </c>
      <c r="H115" s="13">
        <v>48</v>
      </c>
      <c r="I115" s="13">
        <v>1</v>
      </c>
      <c r="J115" s="13" t="s">
        <v>7</v>
      </c>
    </row>
    <row r="116" spans="1:10">
      <c r="A116" s="2">
        <f t="shared" ca="1" si="1"/>
        <v>129</v>
      </c>
      <c r="B116" s="2" cm="1">
        <f t="array" aca="1" ref="B116" ca="1">INDEX(Data_DBD!$E:$E,$A116)</f>
        <v>0</v>
      </c>
      <c r="C116" s="2" t="str" cm="1">
        <f t="array" aca="1" ref="C116" ca="1">INDEX(Data_DBD!$F:$F,$A116)</f>
        <v>Tinggi</v>
      </c>
      <c r="H116" s="13">
        <v>76</v>
      </c>
      <c r="I116" s="13">
        <v>0</v>
      </c>
      <c r="J116" s="13" t="s">
        <v>7</v>
      </c>
    </row>
    <row r="117" spans="1:10">
      <c r="A117" s="2">
        <f t="shared" ca="1" si="1"/>
        <v>18</v>
      </c>
      <c r="B117" s="2" cm="1">
        <f t="array" aca="1" ref="B117" ca="1">INDEX(Data_DBD!$E:$E,$A117)</f>
        <v>1</v>
      </c>
      <c r="C117" s="2" t="str" cm="1">
        <f t="array" aca="1" ref="C117" ca="1">INDEX(Data_DBD!$F:$F,$A117)</f>
        <v>Rendah</v>
      </c>
      <c r="H117" s="13">
        <v>155</v>
      </c>
      <c r="I117" s="13">
        <v>1</v>
      </c>
      <c r="J117" s="13" t="s">
        <v>97</v>
      </c>
    </row>
    <row r="118" spans="1:10">
      <c r="A118" s="2">
        <f t="shared" ca="1" si="1"/>
        <v>38</v>
      </c>
      <c r="B118" s="2" cm="1">
        <f t="array" aca="1" ref="B118" ca="1">INDEX(Data_DBD!$E:$E,$A118)</f>
        <v>1</v>
      </c>
      <c r="C118" s="2" t="str" cm="1">
        <f t="array" aca="1" ref="C118" ca="1">INDEX(Data_DBD!$F:$F,$A118)</f>
        <v>Rendah</v>
      </c>
      <c r="H118" s="13">
        <v>130</v>
      </c>
      <c r="I118" s="13">
        <v>0</v>
      </c>
      <c r="J118" s="13" t="s">
        <v>97</v>
      </c>
    </row>
    <row r="119" spans="1:10">
      <c r="A119" s="2">
        <f t="shared" ca="1" si="1"/>
        <v>80</v>
      </c>
      <c r="B119" s="2" cm="1">
        <f t="array" aca="1" ref="B119" ca="1">INDEX(Data_DBD!$E:$E,$A119)</f>
        <v>1</v>
      </c>
      <c r="C119" s="2" t="str" cm="1">
        <f t="array" aca="1" ref="C119" ca="1">INDEX(Data_DBD!$F:$F,$A119)</f>
        <v>Sedang</v>
      </c>
      <c r="H119" s="13">
        <v>75</v>
      </c>
      <c r="I119" s="13">
        <v>1</v>
      </c>
      <c r="J119" s="13" t="s">
        <v>7</v>
      </c>
    </row>
    <row r="120" spans="1:10">
      <c r="A120" s="2">
        <f t="shared" ca="1" si="1"/>
        <v>54</v>
      </c>
      <c r="B120" s="2" cm="1">
        <f t="array" aca="1" ref="B120" ca="1">INDEX(Data_DBD!$E:$E,$A120)</f>
        <v>0</v>
      </c>
      <c r="C120" s="2" t="str" cm="1">
        <f t="array" aca="1" ref="C120" ca="1">INDEX(Data_DBD!$F:$F,$A120)</f>
        <v>Sedang</v>
      </c>
      <c r="H120" s="13">
        <v>121</v>
      </c>
      <c r="I120" s="13">
        <v>1</v>
      </c>
      <c r="J120" s="13" t="s">
        <v>97</v>
      </c>
    </row>
    <row r="121" spans="1:10">
      <c r="A121" s="2">
        <f t="shared" ca="1" si="1"/>
        <v>76</v>
      </c>
      <c r="B121" s="2" cm="1">
        <f t="array" aca="1" ref="B121" ca="1">INDEX(Data_DBD!$E:$E,$A121)</f>
        <v>0</v>
      </c>
      <c r="C121" s="2" t="str" cm="1">
        <f t="array" aca="1" ref="C121" ca="1">INDEX(Data_DBD!$F:$F,$A121)</f>
        <v>Sedang</v>
      </c>
      <c r="H121" s="13">
        <v>125</v>
      </c>
      <c r="I121" s="13">
        <v>0</v>
      </c>
      <c r="J121" s="13" t="s">
        <v>97</v>
      </c>
    </row>
    <row r="122" spans="1:10">
      <c r="A122" s="2">
        <f t="shared" ca="1" si="1"/>
        <v>151</v>
      </c>
      <c r="B122" s="2" cm="1">
        <f t="array" aca="1" ref="B122" ca="1">INDEX(Data_DBD!$E:$E,$A122)</f>
        <v>0</v>
      </c>
      <c r="C122" s="2" t="str" cm="1">
        <f t="array" aca="1" ref="C122" ca="1">INDEX(Data_DBD!$F:$F,$A122)</f>
        <v>Tinggi</v>
      </c>
      <c r="H122" s="13">
        <v>36</v>
      </c>
      <c r="I122" s="13">
        <v>1</v>
      </c>
      <c r="J122" s="13" t="s">
        <v>20</v>
      </c>
    </row>
    <row r="123" spans="1:10">
      <c r="A123" s="2">
        <f t="shared" ca="1" si="1"/>
        <v>75</v>
      </c>
      <c r="B123" s="2" cm="1">
        <f t="array" aca="1" ref="B123" ca="1">INDEX(Data_DBD!$E:$E,$A123)</f>
        <v>1</v>
      </c>
      <c r="C123" s="2" t="str" cm="1">
        <f t="array" aca="1" ref="C123" ca="1">INDEX(Data_DBD!$F:$F,$A123)</f>
        <v>Sedang</v>
      </c>
      <c r="H123" s="13">
        <v>55</v>
      </c>
      <c r="I123" s="13">
        <v>1</v>
      </c>
      <c r="J123" s="13" t="s">
        <v>7</v>
      </c>
    </row>
    <row r="124" spans="1:10">
      <c r="A124" s="2">
        <f t="shared" ca="1" si="1"/>
        <v>15</v>
      </c>
      <c r="B124" s="2" cm="1">
        <f t="array" aca="1" ref="B124" ca="1">INDEX(Data_DBD!$E:$E,$A124)</f>
        <v>0</v>
      </c>
      <c r="C124" s="2" t="str" cm="1">
        <f t="array" aca="1" ref="C124" ca="1">INDEX(Data_DBD!$F:$F,$A124)</f>
        <v>Rendah</v>
      </c>
      <c r="H124" s="13">
        <v>45</v>
      </c>
      <c r="I124" s="13">
        <v>1</v>
      </c>
      <c r="J124" s="13" t="s">
        <v>7</v>
      </c>
    </row>
    <row r="125" spans="1:10">
      <c r="A125" s="2">
        <f t="shared" ca="1" si="1"/>
        <v>126</v>
      </c>
      <c r="B125" s="2" cm="1">
        <f t="array" aca="1" ref="B125" ca="1">INDEX(Data_DBD!$E:$E,$A125)</f>
        <v>1</v>
      </c>
      <c r="C125" s="2" t="str" cm="1">
        <f t="array" aca="1" ref="C125" ca="1">INDEX(Data_DBD!$F:$F,$A125)</f>
        <v>Tinggi</v>
      </c>
      <c r="H125" s="13">
        <v>154</v>
      </c>
      <c r="I125" s="13">
        <v>1</v>
      </c>
      <c r="J125" s="13" t="s">
        <v>97</v>
      </c>
    </row>
    <row r="126" spans="1:10">
      <c r="A126" s="2">
        <f t="shared" ca="1" si="1"/>
        <v>24</v>
      </c>
      <c r="B126" s="2" cm="1">
        <f t="array" aca="1" ref="B126" ca="1">INDEX(Data_DBD!$E:$E,$A126)</f>
        <v>0</v>
      </c>
      <c r="C126" s="2" t="str" cm="1">
        <f t="array" aca="1" ref="C126" ca="1">INDEX(Data_DBD!$F:$F,$A126)</f>
        <v>Sedang</v>
      </c>
      <c r="H126" s="13">
        <v>163</v>
      </c>
      <c r="I126" s="13">
        <v>1</v>
      </c>
      <c r="J126" s="13" t="s">
        <v>20</v>
      </c>
    </row>
    <row r="127" spans="1:10">
      <c r="A127" s="2">
        <f t="shared" ca="1" si="1"/>
        <v>37</v>
      </c>
      <c r="B127" s="2" cm="1">
        <f t="array" aca="1" ref="B127" ca="1">INDEX(Data_DBD!$E:$E,$A127)</f>
        <v>1</v>
      </c>
      <c r="C127" s="2" t="str" cm="1">
        <f t="array" aca="1" ref="C127" ca="1">INDEX(Data_DBD!$F:$F,$A127)</f>
        <v>Rendah</v>
      </c>
      <c r="H127" s="13">
        <v>104</v>
      </c>
      <c r="I127" s="13">
        <v>1</v>
      </c>
      <c r="J127" s="13" t="s">
        <v>97</v>
      </c>
    </row>
    <row r="128" spans="1:10">
      <c r="A128" s="2">
        <f t="shared" ca="1" si="1"/>
        <v>43</v>
      </c>
      <c r="B128" s="2" cm="1">
        <f t="array" aca="1" ref="B128" ca="1">INDEX(Data_DBD!$E:$E,$A128)</f>
        <v>0</v>
      </c>
      <c r="C128" s="2" t="str" cm="1">
        <f t="array" aca="1" ref="C128" ca="1">INDEX(Data_DBD!$F:$F,$A128)</f>
        <v>Sedang</v>
      </c>
      <c r="H128" s="13">
        <v>98</v>
      </c>
      <c r="I128" s="13">
        <v>1</v>
      </c>
      <c r="J128" s="13" t="s">
        <v>97</v>
      </c>
    </row>
    <row r="129" spans="1:10">
      <c r="A129" s="2">
        <f t="shared" ca="1" si="1"/>
        <v>122</v>
      </c>
      <c r="B129" s="2" cm="1">
        <f t="array" aca="1" ref="B129" ca="1">INDEX(Data_DBD!$E:$E,$A129)</f>
        <v>1</v>
      </c>
      <c r="C129" s="2" t="str" cm="1">
        <f t="array" aca="1" ref="C129" ca="1">INDEX(Data_DBD!$F:$F,$A129)</f>
        <v>Tinggi</v>
      </c>
      <c r="H129" s="13">
        <v>153</v>
      </c>
      <c r="I129" s="13">
        <v>1</v>
      </c>
      <c r="J129" s="13" t="s">
        <v>97</v>
      </c>
    </row>
    <row r="130" spans="1:10">
      <c r="A130" s="2">
        <f t="shared" ca="1" si="1"/>
        <v>40</v>
      </c>
      <c r="B130" s="2" cm="1">
        <f t="array" aca="1" ref="B130" ca="1">INDEX(Data_DBD!$E:$E,$A130)</f>
        <v>1</v>
      </c>
      <c r="C130" s="2" t="str" cm="1">
        <f t="array" aca="1" ref="C130" ca="1">INDEX(Data_DBD!$F:$F,$A130)</f>
        <v>Sedang</v>
      </c>
      <c r="H130" s="13">
        <v>156</v>
      </c>
      <c r="I130" s="13">
        <v>0</v>
      </c>
      <c r="J130" s="13" t="s">
        <v>97</v>
      </c>
    </row>
    <row r="131" spans="1:10">
      <c r="A131" s="2">
        <f t="shared" ref="A131:A164" ca="1" si="2">RANDBETWEEN(2,164)</f>
        <v>160</v>
      </c>
      <c r="B131" s="2" cm="1">
        <f t="array" aca="1" ref="B131" ca="1">INDEX(Data_DBD!$E:$E,$A131)</f>
        <v>0</v>
      </c>
      <c r="C131" s="2" t="str" cm="1">
        <f t="array" aca="1" ref="C131" ca="1">INDEX(Data_DBD!$F:$F,$A131)</f>
        <v>Tinggi</v>
      </c>
      <c r="H131" s="13">
        <v>129</v>
      </c>
      <c r="I131" s="13">
        <v>0</v>
      </c>
      <c r="J131" s="13" t="s">
        <v>97</v>
      </c>
    </row>
    <row r="132" spans="1:10">
      <c r="A132" s="2">
        <f t="shared" ca="1" si="2"/>
        <v>13</v>
      </c>
      <c r="B132" s="2" cm="1">
        <f t="array" aca="1" ref="B132" ca="1">INDEX(Data_DBD!$E:$E,$A132)</f>
        <v>0</v>
      </c>
      <c r="C132" s="2" t="str" cm="1">
        <f t="array" aca="1" ref="C132" ca="1">INDEX(Data_DBD!$F:$F,$A132)</f>
        <v>Sedang</v>
      </c>
      <c r="H132" s="13">
        <v>115</v>
      </c>
      <c r="I132" s="13">
        <v>1</v>
      </c>
      <c r="J132" s="13" t="s">
        <v>97</v>
      </c>
    </row>
    <row r="133" spans="1:10">
      <c r="A133" s="2">
        <f t="shared" ca="1" si="2"/>
        <v>19</v>
      </c>
      <c r="B133" s="2" cm="1">
        <f t="array" aca="1" ref="B133" ca="1">INDEX(Data_DBD!$E:$E,$A133)</f>
        <v>0</v>
      </c>
      <c r="C133" s="2" t="str" cm="1">
        <f t="array" aca="1" ref="C133" ca="1">INDEX(Data_DBD!$F:$F,$A133)</f>
        <v>Rendah</v>
      </c>
      <c r="H133" s="13">
        <v>105</v>
      </c>
      <c r="I133" s="13">
        <v>1</v>
      </c>
      <c r="J133" s="13" t="s">
        <v>97</v>
      </c>
    </row>
    <row r="134" spans="1:10">
      <c r="A134" s="2">
        <f t="shared" ca="1" si="2"/>
        <v>15</v>
      </c>
      <c r="B134" s="2" cm="1">
        <f t="array" aca="1" ref="B134" ca="1">INDEX(Data_DBD!$E:$E,$A134)</f>
        <v>0</v>
      </c>
      <c r="C134" s="2" t="str" cm="1">
        <f t="array" aca="1" ref="C134" ca="1">INDEX(Data_DBD!$F:$F,$A134)</f>
        <v>Rendah</v>
      </c>
      <c r="H134" s="13">
        <v>96</v>
      </c>
      <c r="I134" s="13">
        <v>0</v>
      </c>
      <c r="J134" s="13" t="s">
        <v>97</v>
      </c>
    </row>
    <row r="135" spans="1:10">
      <c r="A135" s="2">
        <f t="shared" ca="1" si="2"/>
        <v>51</v>
      </c>
      <c r="B135" s="2" cm="1">
        <f t="array" aca="1" ref="B135" ca="1">INDEX(Data_DBD!$E:$E,$A135)</f>
        <v>0</v>
      </c>
      <c r="C135" s="2" t="str" cm="1">
        <f t="array" aca="1" ref="C135" ca="1">INDEX(Data_DBD!$F:$F,$A135)</f>
        <v>Sedang</v>
      </c>
      <c r="H135" s="13">
        <v>6</v>
      </c>
      <c r="I135" s="13">
        <v>0</v>
      </c>
      <c r="J135" s="13" t="s">
        <v>7</v>
      </c>
    </row>
    <row r="136" spans="1:10">
      <c r="A136" s="2">
        <f t="shared" ca="1" si="2"/>
        <v>17</v>
      </c>
      <c r="B136" s="2" cm="1">
        <f t="array" aca="1" ref="B136" ca="1">INDEX(Data_DBD!$E:$E,$A136)</f>
        <v>0</v>
      </c>
      <c r="C136" s="2" t="str" cm="1">
        <f t="array" aca="1" ref="C136" ca="1">INDEX(Data_DBD!$F:$F,$A136)</f>
        <v>Rendah</v>
      </c>
      <c r="H136" s="13">
        <v>135</v>
      </c>
      <c r="I136" s="13">
        <v>0</v>
      </c>
      <c r="J136" s="13" t="s">
        <v>97</v>
      </c>
    </row>
    <row r="137" spans="1:10">
      <c r="A137" s="2">
        <f t="shared" ca="1" si="2"/>
        <v>19</v>
      </c>
      <c r="B137" s="2" cm="1">
        <f t="array" aca="1" ref="B137" ca="1">INDEX(Data_DBD!$E:$E,$A137)</f>
        <v>0</v>
      </c>
      <c r="C137" s="2" t="str" cm="1">
        <f t="array" aca="1" ref="C137" ca="1">INDEX(Data_DBD!$F:$F,$A137)</f>
        <v>Rendah</v>
      </c>
      <c r="H137" s="13">
        <v>105</v>
      </c>
      <c r="I137" s="13">
        <v>1</v>
      </c>
      <c r="J137" s="13" t="s">
        <v>97</v>
      </c>
    </row>
    <row r="138" spans="1:10">
      <c r="A138" s="2">
        <f t="shared" ca="1" si="2"/>
        <v>95</v>
      </c>
      <c r="B138" s="2" cm="1">
        <f t="array" aca="1" ref="B138" ca="1">INDEX(Data_DBD!$E:$E,$A138)</f>
        <v>1</v>
      </c>
      <c r="C138" s="2" t="str" cm="1">
        <f t="array" aca="1" ref="C138" ca="1">INDEX(Data_DBD!$F:$F,$A138)</f>
        <v>Tinggi</v>
      </c>
      <c r="H138" s="13">
        <v>67</v>
      </c>
      <c r="I138" s="13">
        <v>1</v>
      </c>
      <c r="J138" s="13" t="s">
        <v>7</v>
      </c>
    </row>
    <row r="139" spans="1:10">
      <c r="A139" s="2">
        <f t="shared" ca="1" si="2"/>
        <v>48</v>
      </c>
      <c r="B139" s="2" cm="1">
        <f t="array" aca="1" ref="B139" ca="1">INDEX(Data_DBD!$E:$E,$A139)</f>
        <v>1</v>
      </c>
      <c r="C139" s="2" t="str" cm="1">
        <f t="array" aca="1" ref="C139" ca="1">INDEX(Data_DBD!$F:$F,$A139)</f>
        <v>Sedang</v>
      </c>
      <c r="H139" s="13">
        <v>135</v>
      </c>
      <c r="I139" s="13">
        <v>0</v>
      </c>
      <c r="J139" s="13" t="s">
        <v>97</v>
      </c>
    </row>
    <row r="140" spans="1:10">
      <c r="A140" s="2">
        <f t="shared" ca="1" si="2"/>
        <v>102</v>
      </c>
      <c r="B140" s="2" cm="1">
        <f t="array" aca="1" ref="B140" ca="1">INDEX(Data_DBD!$E:$E,$A140)</f>
        <v>0</v>
      </c>
      <c r="C140" s="2" t="str" cm="1">
        <f t="array" aca="1" ref="C140" ca="1">INDEX(Data_DBD!$F:$F,$A140)</f>
        <v>Tinggi</v>
      </c>
      <c r="H140" s="13">
        <v>93</v>
      </c>
      <c r="I140" s="13">
        <v>0</v>
      </c>
      <c r="J140" s="13" t="s">
        <v>97</v>
      </c>
    </row>
    <row r="141" spans="1:10">
      <c r="A141" s="2">
        <f t="shared" ca="1" si="2"/>
        <v>104</v>
      </c>
      <c r="B141" s="2" cm="1">
        <f t="array" aca="1" ref="B141" ca="1">INDEX(Data_DBD!$E:$E,$A141)</f>
        <v>1</v>
      </c>
      <c r="C141" s="2" t="str" cm="1">
        <f t="array" aca="1" ref="C141" ca="1">INDEX(Data_DBD!$F:$F,$A141)</f>
        <v>Tinggi</v>
      </c>
      <c r="H141" s="13">
        <v>101</v>
      </c>
      <c r="I141" s="13">
        <v>0</v>
      </c>
      <c r="J141" s="13" t="s">
        <v>97</v>
      </c>
    </row>
    <row r="142" spans="1:10">
      <c r="A142" s="2">
        <f t="shared" ca="1" si="2"/>
        <v>57</v>
      </c>
      <c r="B142" s="2" cm="1">
        <f t="array" aca="1" ref="B142" ca="1">INDEX(Data_DBD!$E:$E,$A142)</f>
        <v>1</v>
      </c>
      <c r="C142" s="2" t="str" cm="1">
        <f t="array" aca="1" ref="C142" ca="1">INDEX(Data_DBD!$F:$F,$A142)</f>
        <v>Sedang</v>
      </c>
      <c r="H142" s="13">
        <v>158</v>
      </c>
      <c r="I142" s="13">
        <v>0</v>
      </c>
      <c r="J142" s="13" t="s">
        <v>97</v>
      </c>
    </row>
    <row r="143" spans="1:10">
      <c r="A143" s="2">
        <f t="shared" ca="1" si="2"/>
        <v>64</v>
      </c>
      <c r="B143" s="2" cm="1">
        <f t="array" aca="1" ref="B143" ca="1">INDEX(Data_DBD!$E:$E,$A143)</f>
        <v>0</v>
      </c>
      <c r="C143" s="2" t="str" cm="1">
        <f t="array" aca="1" ref="C143" ca="1">INDEX(Data_DBD!$F:$F,$A143)</f>
        <v>Sedang</v>
      </c>
      <c r="H143" s="13">
        <v>78</v>
      </c>
      <c r="I143" s="13">
        <v>0</v>
      </c>
      <c r="J143" s="13" t="s">
        <v>7</v>
      </c>
    </row>
    <row r="144" spans="1:10">
      <c r="A144" s="2">
        <f t="shared" ca="1" si="2"/>
        <v>12</v>
      </c>
      <c r="B144" s="2" cm="1">
        <f t="array" aca="1" ref="B144" ca="1">INDEX(Data_DBD!$E:$E,$A144)</f>
        <v>0</v>
      </c>
      <c r="C144" s="2" t="str" cm="1">
        <f t="array" aca="1" ref="C144" ca="1">INDEX(Data_DBD!$F:$F,$A144)</f>
        <v>Sedang</v>
      </c>
      <c r="H144" s="13">
        <v>18</v>
      </c>
      <c r="I144" s="13">
        <v>1</v>
      </c>
      <c r="J144" s="13" t="s">
        <v>20</v>
      </c>
    </row>
    <row r="145" spans="1:10">
      <c r="A145" s="2">
        <f t="shared" ca="1" si="2"/>
        <v>38</v>
      </c>
      <c r="B145" s="2" cm="1">
        <f t="array" aca="1" ref="B145" ca="1">INDEX(Data_DBD!$E:$E,$A145)</f>
        <v>1</v>
      </c>
      <c r="C145" s="2" t="str" cm="1">
        <f t="array" aca="1" ref="C145" ca="1">INDEX(Data_DBD!$F:$F,$A145)</f>
        <v>Rendah</v>
      </c>
      <c r="H145" s="13">
        <v>24</v>
      </c>
      <c r="I145" s="13">
        <v>0</v>
      </c>
      <c r="J145" s="13" t="s">
        <v>7</v>
      </c>
    </row>
    <row r="146" spans="1:10">
      <c r="A146" s="2">
        <f t="shared" ca="1" si="2"/>
        <v>47</v>
      </c>
      <c r="B146" s="2" cm="1">
        <f t="array" aca="1" ref="B146" ca="1">INDEX(Data_DBD!$E:$E,$A146)</f>
        <v>0</v>
      </c>
      <c r="C146" s="2" t="str" cm="1">
        <f t="array" aca="1" ref="C146" ca="1">INDEX(Data_DBD!$F:$F,$A146)</f>
        <v>Sedang</v>
      </c>
      <c r="H146" s="13">
        <v>92</v>
      </c>
      <c r="I146" s="13">
        <v>0</v>
      </c>
      <c r="J146" s="13" t="s">
        <v>97</v>
      </c>
    </row>
    <row r="147" spans="1:10">
      <c r="A147" s="2">
        <f t="shared" ca="1" si="2"/>
        <v>112</v>
      </c>
      <c r="B147" s="2" cm="1">
        <f t="array" aca="1" ref="B147" ca="1">INDEX(Data_DBD!$E:$E,$A147)</f>
        <v>1</v>
      </c>
      <c r="C147" s="2" t="str" cm="1">
        <f t="array" aca="1" ref="C147" ca="1">INDEX(Data_DBD!$F:$F,$A147)</f>
        <v>Tinggi</v>
      </c>
      <c r="H147" s="13">
        <v>125</v>
      </c>
      <c r="I147" s="13">
        <v>0</v>
      </c>
      <c r="J147" s="13" t="s">
        <v>97</v>
      </c>
    </row>
    <row r="148" spans="1:10">
      <c r="A148" s="2">
        <f t="shared" ca="1" si="2"/>
        <v>109</v>
      </c>
      <c r="B148" s="2" cm="1">
        <f t="array" aca="1" ref="B148" ca="1">INDEX(Data_DBD!$E:$E,$A148)</f>
        <v>1</v>
      </c>
      <c r="C148" s="2" t="str" cm="1">
        <f t="array" aca="1" ref="C148" ca="1">INDEX(Data_DBD!$F:$F,$A148)</f>
        <v>Tinggi</v>
      </c>
      <c r="H148" s="13">
        <v>51</v>
      </c>
      <c r="I148" s="13">
        <v>0</v>
      </c>
      <c r="J148" s="13" t="s">
        <v>7</v>
      </c>
    </row>
    <row r="149" spans="1:10">
      <c r="A149" s="2">
        <f t="shared" ca="1" si="2"/>
        <v>3</v>
      </c>
      <c r="B149" s="2" cm="1">
        <f t="array" aca="1" ref="B149" ca="1">INDEX(Data_DBD!$E:$E,$A149)</f>
        <v>1</v>
      </c>
      <c r="C149" s="2" t="str" cm="1">
        <f t="array" aca="1" ref="C149" ca="1">INDEX(Data_DBD!$F:$F,$A149)</f>
        <v>Sedang</v>
      </c>
      <c r="H149" s="13">
        <v>65</v>
      </c>
      <c r="I149" s="13">
        <v>0</v>
      </c>
      <c r="J149" s="13" t="s">
        <v>7</v>
      </c>
    </row>
    <row r="150" spans="1:10">
      <c r="A150" s="2">
        <f t="shared" ca="1" si="2"/>
        <v>22</v>
      </c>
      <c r="B150" s="2" cm="1">
        <f t="array" aca="1" ref="B150" ca="1">INDEX(Data_DBD!$E:$E,$A150)</f>
        <v>0</v>
      </c>
      <c r="C150" s="2" t="str" cm="1">
        <f t="array" aca="1" ref="C150" ca="1">INDEX(Data_DBD!$F:$F,$A150)</f>
        <v>Sedang</v>
      </c>
      <c r="H150" s="13">
        <v>58</v>
      </c>
      <c r="I150" s="13">
        <v>0</v>
      </c>
      <c r="J150" s="13" t="s">
        <v>7</v>
      </c>
    </row>
    <row r="151" spans="1:10">
      <c r="A151" s="2">
        <f t="shared" ca="1" si="2"/>
        <v>71</v>
      </c>
      <c r="B151" s="2" cm="1">
        <f t="array" aca="1" ref="B151" ca="1">INDEX(Data_DBD!$E:$E,$A151)</f>
        <v>0</v>
      </c>
      <c r="C151" s="2" t="str" cm="1">
        <f t="array" aca="1" ref="C151" ca="1">INDEX(Data_DBD!$F:$F,$A151)</f>
        <v>Sedang</v>
      </c>
      <c r="H151" s="13">
        <v>79</v>
      </c>
      <c r="I151" s="13">
        <v>0</v>
      </c>
      <c r="J151" s="13" t="s">
        <v>7</v>
      </c>
    </row>
    <row r="152" spans="1:10">
      <c r="A152" s="2">
        <f t="shared" ca="1" si="2"/>
        <v>21</v>
      </c>
      <c r="B152" s="2" cm="1">
        <f t="array" aca="1" ref="B152" ca="1">INDEX(Data_DBD!$E:$E,$A152)</f>
        <v>1</v>
      </c>
      <c r="C152" s="2" t="str" cm="1">
        <f t="array" aca="1" ref="C152" ca="1">INDEX(Data_DBD!$F:$F,$A152)</f>
        <v>Sedang</v>
      </c>
      <c r="H152" s="13">
        <v>135</v>
      </c>
      <c r="I152" s="13">
        <v>0</v>
      </c>
      <c r="J152" s="13" t="s">
        <v>97</v>
      </c>
    </row>
    <row r="153" spans="1:10">
      <c r="A153" s="2">
        <f t="shared" ca="1" si="2"/>
        <v>59</v>
      </c>
      <c r="B153" s="2" cm="1">
        <f t="array" aca="1" ref="B153" ca="1">INDEX(Data_DBD!$E:$E,$A153)</f>
        <v>0</v>
      </c>
      <c r="C153" s="2" t="str" cm="1">
        <f t="array" aca="1" ref="C153" ca="1">INDEX(Data_DBD!$F:$F,$A153)</f>
        <v>Sedang</v>
      </c>
      <c r="H153" s="13">
        <v>141</v>
      </c>
      <c r="I153" s="13">
        <v>0</v>
      </c>
      <c r="J153" s="13" t="s">
        <v>97</v>
      </c>
    </row>
    <row r="154" spans="1:10">
      <c r="A154" s="2">
        <f t="shared" ca="1" si="2"/>
        <v>142</v>
      </c>
      <c r="B154" s="2" cm="1">
        <f t="array" aca="1" ref="B154" ca="1">INDEX(Data_DBD!$E:$E,$A154)</f>
        <v>1</v>
      </c>
      <c r="C154" s="2" t="str" cm="1">
        <f t="array" aca="1" ref="C154" ca="1">INDEX(Data_DBD!$F:$F,$A154)</f>
        <v>Tinggi</v>
      </c>
      <c r="H154" s="13">
        <v>137</v>
      </c>
      <c r="I154" s="13">
        <v>1</v>
      </c>
      <c r="J154" s="13" t="s">
        <v>97</v>
      </c>
    </row>
    <row r="155" spans="1:10">
      <c r="A155" s="2">
        <f t="shared" ca="1" si="2"/>
        <v>149</v>
      </c>
      <c r="B155" s="2" cm="1">
        <f t="array" aca="1" ref="B155" ca="1">INDEX(Data_DBD!$E:$E,$A155)</f>
        <v>0</v>
      </c>
      <c r="C155" s="2" t="str" cm="1">
        <f t="array" aca="1" ref="C155" ca="1">INDEX(Data_DBD!$F:$F,$A155)</f>
        <v>Tinggi</v>
      </c>
      <c r="H155" s="13">
        <v>36</v>
      </c>
      <c r="I155" s="13">
        <v>1</v>
      </c>
      <c r="J155" s="13" t="s">
        <v>20</v>
      </c>
    </row>
    <row r="156" spans="1:10">
      <c r="A156" s="2">
        <f t="shared" ca="1" si="2"/>
        <v>62</v>
      </c>
      <c r="B156" s="2" cm="1">
        <f t="array" aca="1" ref="B156" ca="1">INDEX(Data_DBD!$E:$E,$A156)</f>
        <v>1</v>
      </c>
      <c r="C156" s="2" t="str" cm="1">
        <f t="array" aca="1" ref="C156" ca="1">INDEX(Data_DBD!$F:$F,$A156)</f>
        <v>Sedang</v>
      </c>
      <c r="H156" s="13">
        <v>31</v>
      </c>
      <c r="I156" s="13">
        <v>1</v>
      </c>
      <c r="J156" s="13" t="s">
        <v>7</v>
      </c>
    </row>
    <row r="157" spans="1:10">
      <c r="A157" s="2">
        <f t="shared" ca="1" si="2"/>
        <v>102</v>
      </c>
      <c r="B157" s="2" cm="1">
        <f t="array" aca="1" ref="B157" ca="1">INDEX(Data_DBD!$E:$E,$A157)</f>
        <v>0</v>
      </c>
      <c r="C157" s="2" t="str" cm="1">
        <f t="array" aca="1" ref="C157" ca="1">INDEX(Data_DBD!$F:$F,$A157)</f>
        <v>Tinggi</v>
      </c>
      <c r="H157" s="13">
        <v>10</v>
      </c>
      <c r="I157" s="13">
        <v>0</v>
      </c>
      <c r="J157" s="13" t="s">
        <v>7</v>
      </c>
    </row>
    <row r="158" spans="1:10">
      <c r="A158" s="2">
        <f t="shared" ca="1" si="2"/>
        <v>95</v>
      </c>
      <c r="B158" s="2" cm="1">
        <f t="array" aca="1" ref="B158" ca="1">INDEX(Data_DBD!$E:$E,$A158)</f>
        <v>1</v>
      </c>
      <c r="C158" s="2" t="str" cm="1">
        <f t="array" aca="1" ref="C158" ca="1">INDEX(Data_DBD!$F:$F,$A158)</f>
        <v>Tinggi</v>
      </c>
      <c r="H158" s="13">
        <v>98</v>
      </c>
      <c r="I158" s="13">
        <v>1</v>
      </c>
      <c r="J158" s="13" t="s">
        <v>97</v>
      </c>
    </row>
    <row r="159" spans="1:10">
      <c r="A159" s="2">
        <f t="shared" ca="1" si="2"/>
        <v>30</v>
      </c>
      <c r="B159" s="2" cm="1">
        <f t="array" aca="1" ref="B159" ca="1">INDEX(Data_DBD!$E:$E,$A159)</f>
        <v>1</v>
      </c>
      <c r="C159" s="2" t="str" cm="1">
        <f t="array" aca="1" ref="C159" ca="1">INDEX(Data_DBD!$F:$F,$A159)</f>
        <v>Sedang</v>
      </c>
      <c r="H159" s="13">
        <v>129</v>
      </c>
      <c r="I159" s="13">
        <v>0</v>
      </c>
      <c r="J159" s="13" t="s">
        <v>97</v>
      </c>
    </row>
    <row r="160" spans="1:10">
      <c r="A160" s="2">
        <f t="shared" ca="1" si="2"/>
        <v>72</v>
      </c>
      <c r="B160" s="2" cm="1">
        <f t="array" aca="1" ref="B160" ca="1">INDEX(Data_DBD!$E:$E,$A160)</f>
        <v>1</v>
      </c>
      <c r="C160" s="2" t="str" cm="1">
        <f t="array" aca="1" ref="C160" ca="1">INDEX(Data_DBD!$F:$F,$A160)</f>
        <v>Sedang</v>
      </c>
      <c r="H160" s="13">
        <v>127</v>
      </c>
      <c r="I160" s="13">
        <v>0</v>
      </c>
      <c r="J160" s="13" t="s">
        <v>97</v>
      </c>
    </row>
    <row r="161" spans="1:10">
      <c r="A161" s="2">
        <f t="shared" ca="1" si="2"/>
        <v>104</v>
      </c>
      <c r="B161" s="2" cm="1">
        <f t="array" aca="1" ref="B161" ca="1">INDEX(Data_DBD!$E:$E,$A161)</f>
        <v>1</v>
      </c>
      <c r="C161" s="2" t="str" cm="1">
        <f t="array" aca="1" ref="C161" ca="1">INDEX(Data_DBD!$F:$F,$A161)</f>
        <v>Tinggi</v>
      </c>
      <c r="H161" s="13">
        <v>80</v>
      </c>
      <c r="I161" s="13">
        <v>1</v>
      </c>
      <c r="J161" s="13" t="s">
        <v>7</v>
      </c>
    </row>
    <row r="162" spans="1:10">
      <c r="A162" s="2">
        <f t="shared" ca="1" si="2"/>
        <v>100</v>
      </c>
      <c r="B162" s="2" cm="1">
        <f t="array" aca="1" ref="B162" ca="1">INDEX(Data_DBD!$E:$E,$A162)</f>
        <v>0</v>
      </c>
      <c r="C162" s="2" t="str" cm="1">
        <f t="array" aca="1" ref="C162" ca="1">INDEX(Data_DBD!$F:$F,$A162)</f>
        <v>Tinggi</v>
      </c>
      <c r="H162" s="13">
        <v>164</v>
      </c>
      <c r="I162" s="13">
        <v>0</v>
      </c>
      <c r="J162" s="13" t="s">
        <v>20</v>
      </c>
    </row>
    <row r="163" spans="1:10">
      <c r="A163" s="2">
        <f t="shared" ca="1" si="2"/>
        <v>149</v>
      </c>
      <c r="B163" s="2" cm="1">
        <f t="array" aca="1" ref="B163" ca="1">INDEX(Data_DBD!$E:$E,$A163)</f>
        <v>0</v>
      </c>
      <c r="C163" s="2" t="str" cm="1">
        <f t="array" aca="1" ref="C163" ca="1">INDEX(Data_DBD!$F:$F,$A163)</f>
        <v>Tinggi</v>
      </c>
      <c r="H163" s="13">
        <v>61</v>
      </c>
      <c r="I163" s="13">
        <v>1</v>
      </c>
      <c r="J163" s="13" t="s">
        <v>7</v>
      </c>
    </row>
    <row r="164" spans="1:10">
      <c r="A164" s="2">
        <f t="shared" ca="1" si="2"/>
        <v>10</v>
      </c>
      <c r="B164" s="2" cm="1">
        <f t="array" aca="1" ref="B164" ca="1">INDEX(Data_DBD!$E:$E,$A164)</f>
        <v>0</v>
      </c>
      <c r="C164" s="2" t="str" cm="1">
        <f t="array" aca="1" ref="C164" ca="1">INDEX(Data_DBD!$F:$F,$A164)</f>
        <v>Sedang</v>
      </c>
      <c r="H164" s="13">
        <v>56</v>
      </c>
      <c r="I164" s="13">
        <v>0</v>
      </c>
      <c r="J164" s="13" t="s">
        <v>7</v>
      </c>
    </row>
    <row r="165" spans="1:10">
      <c r="I165">
        <f>AVERAGE(I2:I164)</f>
        <v>0.49079754601226994</v>
      </c>
    </row>
    <row r="166" spans="1:10">
      <c r="B166">
        <v>10</v>
      </c>
    </row>
    <row r="168" spans="1:10">
      <c r="H168" s="5" t="s">
        <v>178</v>
      </c>
    </row>
    <row r="169" spans="1:10">
      <c r="H169" s="2" t="s">
        <v>181</v>
      </c>
      <c r="I169" s="2">
        <f>AVERAGEIF($I$2:$I$164,"&lt;="&amp;$I$165)</f>
        <v>0</v>
      </c>
      <c r="J169" s="2">
        <f>AVERAGEIF($I$2:$I$164,"&gt;"&amp;$I$165)</f>
        <v>1</v>
      </c>
    </row>
    <row r="170" spans="1:10">
      <c r="H170" s="2" t="str" cm="1">
        <f t="array" ref="H170:H332">IF($I$2:$I$164&lt;$I$169,"kiri",IF($I$2:$I$164&lt;$J$169,"tengah","kanan"))</f>
        <v>kanan</v>
      </c>
      <c r="I170" s="2" t="s">
        <v>185</v>
      </c>
      <c r="J170" s="2"/>
    </row>
    <row r="171" spans="1:10">
      <c r="H171" s="2" t="str">
        <v>kanan</v>
      </c>
      <c r="I171" s="2">
        <f>COUNTIFS($H$170:$H$332,"Kanan",$J$2:$J$164,"Tinggi")</f>
        <v>41</v>
      </c>
      <c r="J171" s="2">
        <f>I171/80</f>
        <v>0.51249999999999996</v>
      </c>
    </row>
    <row r="172" spans="1:10">
      <c r="H172" s="2" t="str">
        <v>kanan</v>
      </c>
      <c r="I172" s="2">
        <f>COUNTIFS($H$170:$H$332,"Kanan",$J$2:$J$164,"Sedang")</f>
        <v>33</v>
      </c>
      <c r="J172" s="2">
        <f>I172/80</f>
        <v>0.41249999999999998</v>
      </c>
    </row>
    <row r="173" spans="1:10">
      <c r="H173" s="2" t="str">
        <v>kanan</v>
      </c>
      <c r="I173" s="2">
        <f>COUNTIFS($H$170:$H$332,"Kanan",$J$2:$J$164,"Rendah")</f>
        <v>6</v>
      </c>
      <c r="J173" s="2">
        <f>I173/80</f>
        <v>7.4999999999999997E-2</v>
      </c>
    </row>
    <row r="174" spans="1:10">
      <c r="H174" s="2" t="str">
        <v>kanan</v>
      </c>
      <c r="I174" s="2" t="s">
        <v>186</v>
      </c>
      <c r="J174" s="2">
        <f>-(IFERROR(J171*LOG(J171,2),0)+IFERROR(J172*LOG(J172,2),0)+IFERROR(J173*LOG(J173,2),0))</f>
        <v>1.3014979307311458</v>
      </c>
    </row>
    <row r="175" spans="1:10">
      <c r="H175" s="2" t="str">
        <v>tengah</v>
      </c>
      <c r="I175" s="2"/>
      <c r="J175" s="2">
        <f>SUM(I171:I173)/163</f>
        <v>0.49079754601226994</v>
      </c>
    </row>
    <row r="176" spans="1:10">
      <c r="H176" s="2" t="str">
        <v>kanan</v>
      </c>
      <c r="I176" s="2"/>
      <c r="J176" s="6">
        <f>J174*J175</f>
        <v>0.63877199054289369</v>
      </c>
    </row>
    <row r="177" spans="8:10">
      <c r="H177" s="2" t="str">
        <v>kanan</v>
      </c>
      <c r="I177" s="2"/>
      <c r="J177" s="2"/>
    </row>
    <row r="178" spans="8:10">
      <c r="H178" s="2" t="str">
        <v>kanan</v>
      </c>
      <c r="I178" s="2"/>
      <c r="J178" s="2"/>
    </row>
    <row r="179" spans="8:10">
      <c r="H179" s="2" t="str">
        <v>kanan</v>
      </c>
      <c r="I179" s="2" t="s">
        <v>190</v>
      </c>
      <c r="J179" s="2"/>
    </row>
    <row r="180" spans="8:10">
      <c r="H180" s="2" t="str">
        <v>kanan</v>
      </c>
      <c r="I180" s="2">
        <f>COUNTIFS($H$170:$H$332,"Kiri",$J$2:$J$164,"Tinggi")</f>
        <v>0</v>
      </c>
      <c r="J180" s="2">
        <f>I180/57</f>
        <v>0</v>
      </c>
    </row>
    <row r="181" spans="8:10">
      <c r="H181" s="2" t="str">
        <v>tengah</v>
      </c>
      <c r="I181" s="2">
        <f>COUNTIFS($H$170:$H$332,"Kiri",$J$2:$J$164,"Sedang")</f>
        <v>0</v>
      </c>
      <c r="J181" s="2">
        <f>I181/57</f>
        <v>0</v>
      </c>
    </row>
    <row r="182" spans="8:10">
      <c r="H182" s="2" t="str">
        <v>tengah</v>
      </c>
      <c r="I182" s="2">
        <f>COUNTIFS($H$170:$H$332,"Kiri",$J$2:$J$164,"Rendah")</f>
        <v>0</v>
      </c>
      <c r="J182" s="2">
        <f>I182/57</f>
        <v>0</v>
      </c>
    </row>
    <row r="183" spans="8:10">
      <c r="H183" s="2" t="str">
        <v>kanan</v>
      </c>
      <c r="I183" s="2" t="s">
        <v>186</v>
      </c>
      <c r="J183" s="2">
        <f>-(IFERROR(J180*LOG(J180,2),0)+IFERROR(J181*LOG(J181,2),0)+IFERROR(J182*LOG(J182,2),0))</f>
        <v>0</v>
      </c>
    </row>
    <row r="184" spans="8:10">
      <c r="H184" s="2" t="str">
        <v>tengah</v>
      </c>
      <c r="I184" s="2"/>
      <c r="J184" s="2">
        <f>SUM(I180:I182)/163</f>
        <v>0</v>
      </c>
    </row>
    <row r="185" spans="8:10">
      <c r="H185" s="2" t="str">
        <v>kanan</v>
      </c>
      <c r="I185" s="2"/>
      <c r="J185" s="6">
        <f>J183*J184</f>
        <v>0</v>
      </c>
    </row>
    <row r="186" spans="8:10">
      <c r="H186" s="2" t="str">
        <v>tengah</v>
      </c>
      <c r="I186" s="2"/>
      <c r="J186" s="2"/>
    </row>
    <row r="187" spans="8:10">
      <c r="H187" s="2" t="str">
        <v>kanan</v>
      </c>
      <c r="I187" s="2"/>
      <c r="J187" s="2"/>
    </row>
    <row r="188" spans="8:10">
      <c r="H188" s="2" t="str">
        <v>tengah</v>
      </c>
      <c r="I188" s="2" t="s">
        <v>191</v>
      </c>
      <c r="J188" s="2"/>
    </row>
    <row r="189" spans="8:10">
      <c r="H189" s="2" t="str">
        <v>tengah</v>
      </c>
      <c r="I189" s="2">
        <f>COUNTIFS($H$170:$H$332,"Tengah",$J$2:$J$164,"Tinggi")</f>
        <v>42</v>
      </c>
      <c r="J189" s="2">
        <f>I189/86</f>
        <v>0.48837209302325579</v>
      </c>
    </row>
    <row r="190" spans="8:10">
      <c r="H190" s="2" t="str">
        <v>tengah</v>
      </c>
      <c r="I190" s="2">
        <f>COUNTIFS($H$170:$H$332,"Tengah",$J$2:$J$164,"Sedang")</f>
        <v>36</v>
      </c>
      <c r="J190" s="2">
        <f>I190/86</f>
        <v>0.41860465116279072</v>
      </c>
    </row>
    <row r="191" spans="8:10">
      <c r="H191" s="2" t="str">
        <v>tengah</v>
      </c>
      <c r="I191" s="2">
        <f>COUNTIFS($H$170:$H$332,"Tengah",$J$2:$J$164,"Rendah")</f>
        <v>5</v>
      </c>
      <c r="J191" s="2">
        <f>I191/86</f>
        <v>5.8139534883720929E-2</v>
      </c>
    </row>
    <row r="192" spans="8:10">
      <c r="H192" s="2" t="str">
        <v>kanan</v>
      </c>
      <c r="I192" s="2" t="s">
        <v>186</v>
      </c>
      <c r="J192" s="2">
        <f>-(IFERROR(J189*LOG(J189,2),0)+IFERROR(J190*LOG(J190,2),0)+IFERROR(J191*LOG(J191,2),0))</f>
        <v>1.2694849111303039</v>
      </c>
    </row>
    <row r="193" spans="8:10">
      <c r="H193" s="2" t="str">
        <v>tengah</v>
      </c>
      <c r="I193" s="2"/>
      <c r="J193" s="2">
        <f>SUM(I189:I191)/163</f>
        <v>0.50920245398773001</v>
      </c>
    </row>
    <row r="194" spans="8:10">
      <c r="H194" s="2" t="str">
        <v>tengah</v>
      </c>
      <c r="I194" s="2"/>
      <c r="J194" s="6">
        <f>J192*J193</f>
        <v>0.6464248320479461</v>
      </c>
    </row>
    <row r="195" spans="8:10">
      <c r="H195" s="2" t="str">
        <v>tengah</v>
      </c>
      <c r="I195" s="2"/>
      <c r="J195" s="2"/>
    </row>
    <row r="196" spans="8:10">
      <c r="H196" s="2" t="str">
        <v>kanan</v>
      </c>
      <c r="I196" s="2" t="s">
        <v>192</v>
      </c>
      <c r="J196" s="2"/>
    </row>
    <row r="197" spans="8:10">
      <c r="H197" s="2" t="str">
        <v>kanan</v>
      </c>
      <c r="I197" s="7">
        <f>P5-(J176+J185+J194)</f>
        <v>-1.930067896563914E-3</v>
      </c>
      <c r="J197" s="2"/>
    </row>
    <row r="198" spans="8:10">
      <c r="H198" s="2" t="str">
        <v>kanan</v>
      </c>
      <c r="I198" s="2"/>
      <c r="J198" s="2"/>
    </row>
    <row r="199" spans="8:10">
      <c r="H199" s="2" t="str">
        <v>kanan</v>
      </c>
      <c r="I199" s="2"/>
      <c r="J199" s="2"/>
    </row>
    <row r="200" spans="8:10">
      <c r="H200" s="2" t="str">
        <v>kanan</v>
      </c>
      <c r="I200" s="2"/>
      <c r="J200" s="2"/>
    </row>
    <row r="201" spans="8:10">
      <c r="H201" s="2" t="str">
        <v>kanan</v>
      </c>
      <c r="I201" s="2"/>
      <c r="J201" s="2"/>
    </row>
    <row r="202" spans="8:10">
      <c r="H202" s="2" t="str">
        <v>tengah</v>
      </c>
      <c r="I202" s="2"/>
      <c r="J202" s="2"/>
    </row>
    <row r="203" spans="8:10">
      <c r="H203" s="2" t="str">
        <v>tengah</v>
      </c>
      <c r="I203" s="2"/>
      <c r="J203" s="2"/>
    </row>
    <row r="204" spans="8:10">
      <c r="H204" s="2" t="str">
        <v>kanan</v>
      </c>
      <c r="I204" s="2"/>
      <c r="J204" s="2"/>
    </row>
    <row r="205" spans="8:10">
      <c r="H205" s="2" t="str">
        <v>kanan</v>
      </c>
      <c r="I205" s="2"/>
      <c r="J205" s="2"/>
    </row>
    <row r="206" spans="8:10">
      <c r="H206" s="2" t="str">
        <v>tengah</v>
      </c>
      <c r="I206" s="2"/>
      <c r="J206" s="2"/>
    </row>
    <row r="207" spans="8:10">
      <c r="H207" s="2" t="str">
        <v>tengah</v>
      </c>
      <c r="I207" s="2"/>
      <c r="J207" s="2"/>
    </row>
    <row r="208" spans="8:10">
      <c r="H208" s="2" t="str">
        <v>tengah</v>
      </c>
      <c r="I208" s="2"/>
      <c r="J208" s="2"/>
    </row>
    <row r="209" spans="8:10">
      <c r="H209" s="2" t="str">
        <v>kanan</v>
      </c>
      <c r="I209" s="2"/>
      <c r="J209" s="2"/>
    </row>
    <row r="210" spans="8:10">
      <c r="H210" s="2" t="str">
        <v>kanan</v>
      </c>
      <c r="I210" s="2"/>
      <c r="J210" s="2"/>
    </row>
    <row r="211" spans="8:10">
      <c r="H211" s="2" t="str">
        <v>tengah</v>
      </c>
      <c r="I211" s="2"/>
      <c r="J211" s="2"/>
    </row>
    <row r="212" spans="8:10">
      <c r="H212" s="2" t="str">
        <v>tengah</v>
      </c>
      <c r="I212" s="2"/>
      <c r="J212" s="2"/>
    </row>
    <row r="213" spans="8:10">
      <c r="H213" s="2" t="str">
        <v>tengah</v>
      </c>
      <c r="I213" s="2"/>
      <c r="J213" s="2"/>
    </row>
    <row r="214" spans="8:10">
      <c r="H214" s="2" t="str">
        <v>tengah</v>
      </c>
      <c r="I214" s="2"/>
      <c r="J214" s="2"/>
    </row>
    <row r="215" spans="8:10">
      <c r="H215" s="2" t="str">
        <v>tengah</v>
      </c>
      <c r="I215" s="2"/>
      <c r="J215" s="2"/>
    </row>
    <row r="216" spans="8:10">
      <c r="H216" s="2" t="str">
        <v>kanan</v>
      </c>
      <c r="I216" s="2"/>
      <c r="J216" s="2"/>
    </row>
    <row r="217" spans="8:10">
      <c r="H217" s="2" t="str">
        <v>kanan</v>
      </c>
      <c r="I217" s="2"/>
      <c r="J217" s="2"/>
    </row>
    <row r="218" spans="8:10">
      <c r="H218" s="2" t="str">
        <v>tengah</v>
      </c>
      <c r="I218" s="2"/>
      <c r="J218" s="2"/>
    </row>
    <row r="219" spans="8:10">
      <c r="H219" s="2" t="str">
        <v>tengah</v>
      </c>
      <c r="I219" s="2"/>
      <c r="J219" s="2"/>
    </row>
    <row r="220" spans="8:10">
      <c r="H220" s="2" t="str">
        <v>tengah</v>
      </c>
      <c r="I220" s="2"/>
      <c r="J220" s="2"/>
    </row>
    <row r="221" spans="8:10">
      <c r="H221" s="2" t="str">
        <v>tengah</v>
      </c>
      <c r="I221" s="2"/>
      <c r="J221" s="2"/>
    </row>
    <row r="222" spans="8:10">
      <c r="H222" s="2" t="str">
        <v>kanan</v>
      </c>
      <c r="I222" s="2"/>
      <c r="J222" s="2"/>
    </row>
    <row r="223" spans="8:10">
      <c r="H223" s="2" t="str">
        <v>kanan</v>
      </c>
      <c r="I223" s="2"/>
      <c r="J223" s="2"/>
    </row>
    <row r="224" spans="8:10">
      <c r="H224" s="2" t="str">
        <v>tengah</v>
      </c>
      <c r="I224" s="2"/>
      <c r="J224" s="2"/>
    </row>
    <row r="225" spans="8:10">
      <c r="H225" s="2" t="str">
        <v>kanan</v>
      </c>
      <c r="I225" s="2"/>
      <c r="J225" s="2"/>
    </row>
    <row r="226" spans="8:10">
      <c r="H226" s="2" t="str">
        <v>tengah</v>
      </c>
      <c r="I226" s="2"/>
      <c r="J226" s="2"/>
    </row>
    <row r="227" spans="8:10">
      <c r="H227" s="2" t="str">
        <v>tengah</v>
      </c>
      <c r="I227" s="2"/>
      <c r="J227" s="2"/>
    </row>
    <row r="228" spans="8:10">
      <c r="H228" s="2" t="str">
        <v>kanan</v>
      </c>
      <c r="I228" s="2"/>
      <c r="J228" s="2"/>
    </row>
    <row r="229" spans="8:10">
      <c r="H229" s="2" t="str">
        <v>kanan</v>
      </c>
      <c r="I229" s="2"/>
      <c r="J229" s="2"/>
    </row>
    <row r="230" spans="8:10">
      <c r="H230" s="2" t="str">
        <v>kanan</v>
      </c>
      <c r="I230" s="2"/>
      <c r="J230" s="2"/>
    </row>
    <row r="231" spans="8:10">
      <c r="H231" s="2" t="str">
        <v>tengah</v>
      </c>
      <c r="I231" s="2"/>
      <c r="J231" s="2"/>
    </row>
    <row r="232" spans="8:10">
      <c r="H232" s="2" t="str">
        <v>tengah</v>
      </c>
      <c r="I232" s="2"/>
      <c r="J232" s="2"/>
    </row>
    <row r="233" spans="8:10">
      <c r="H233" s="2" t="str">
        <v>kanan</v>
      </c>
      <c r="I233" s="2"/>
      <c r="J233" s="2"/>
    </row>
    <row r="234" spans="8:10">
      <c r="H234" s="2" t="str">
        <v>kanan</v>
      </c>
      <c r="I234" s="2"/>
      <c r="J234" s="2"/>
    </row>
    <row r="235" spans="8:10">
      <c r="H235" s="2" t="str">
        <v>tengah</v>
      </c>
      <c r="I235" s="2"/>
      <c r="J235" s="2"/>
    </row>
    <row r="236" spans="8:10">
      <c r="H236" s="2" t="str">
        <v>kanan</v>
      </c>
      <c r="I236" s="2"/>
      <c r="J236" s="2"/>
    </row>
    <row r="237" spans="8:10">
      <c r="H237" s="2" t="str">
        <v>kanan</v>
      </c>
      <c r="I237" s="2"/>
      <c r="J237" s="2"/>
    </row>
    <row r="238" spans="8:10">
      <c r="H238" s="2" t="str">
        <v>kanan</v>
      </c>
      <c r="I238" s="2"/>
      <c r="J238" s="2"/>
    </row>
    <row r="239" spans="8:10">
      <c r="H239" s="2" t="str">
        <v>kanan</v>
      </c>
      <c r="I239" s="2"/>
      <c r="J239" s="2"/>
    </row>
    <row r="240" spans="8:10">
      <c r="H240" s="2" t="str">
        <v>tengah</v>
      </c>
      <c r="I240" s="2"/>
      <c r="J240" s="2"/>
    </row>
    <row r="241" spans="8:10">
      <c r="H241" s="2" t="str">
        <v>kanan</v>
      </c>
      <c r="I241" s="2"/>
      <c r="J241" s="2"/>
    </row>
    <row r="242" spans="8:10">
      <c r="H242" s="2" t="str">
        <v>tengah</v>
      </c>
      <c r="I242" s="2"/>
      <c r="J242" s="2"/>
    </row>
    <row r="243" spans="8:10">
      <c r="H243" s="2" t="str">
        <v>kanan</v>
      </c>
      <c r="I243" s="2"/>
      <c r="J243" s="2"/>
    </row>
    <row r="244" spans="8:10">
      <c r="H244" s="2" t="str">
        <v>kanan</v>
      </c>
      <c r="I244" s="2"/>
      <c r="J244" s="2"/>
    </row>
    <row r="245" spans="8:10">
      <c r="H245" s="2" t="str">
        <v>kanan</v>
      </c>
      <c r="I245" s="2"/>
      <c r="J245" s="2"/>
    </row>
    <row r="246" spans="8:10">
      <c r="H246" s="2" t="str">
        <v>kanan</v>
      </c>
      <c r="I246" s="2"/>
      <c r="J246" s="2"/>
    </row>
    <row r="247" spans="8:10">
      <c r="H247" s="2" t="str">
        <v>kanan</v>
      </c>
      <c r="I247" s="2"/>
      <c r="J247" s="2"/>
    </row>
    <row r="248" spans="8:10">
      <c r="H248" s="2" t="str">
        <v>tengah</v>
      </c>
      <c r="I248" s="2"/>
      <c r="J248" s="2"/>
    </row>
    <row r="249" spans="8:10">
      <c r="H249" s="2" t="str">
        <v>tengah</v>
      </c>
      <c r="I249" s="2"/>
      <c r="J249" s="2"/>
    </row>
    <row r="250" spans="8:10">
      <c r="H250" s="2" t="str">
        <v>kanan</v>
      </c>
      <c r="I250" s="2"/>
      <c r="J250" s="2"/>
    </row>
    <row r="251" spans="8:10">
      <c r="H251" s="2" t="str">
        <v>tengah</v>
      </c>
      <c r="I251" s="2"/>
      <c r="J251" s="2"/>
    </row>
    <row r="252" spans="8:10">
      <c r="H252" s="2" t="str">
        <v>tengah</v>
      </c>
      <c r="I252" s="2"/>
      <c r="J252" s="2"/>
    </row>
    <row r="253" spans="8:10">
      <c r="H253" s="2" t="str">
        <v>tengah</v>
      </c>
      <c r="I253" s="2"/>
      <c r="J253" s="2"/>
    </row>
    <row r="254" spans="8:10">
      <c r="H254" s="2" t="str">
        <v>tengah</v>
      </c>
      <c r="I254" s="2"/>
      <c r="J254" s="2"/>
    </row>
    <row r="255" spans="8:10">
      <c r="H255" s="2" t="str">
        <v>tengah</v>
      </c>
      <c r="I255" s="2"/>
      <c r="J255" s="2"/>
    </row>
    <row r="256" spans="8:10">
      <c r="H256" s="2" t="str">
        <v>tengah</v>
      </c>
      <c r="I256" s="2"/>
      <c r="J256" s="2"/>
    </row>
    <row r="257" spans="8:10">
      <c r="H257" s="2" t="str">
        <v>kanan</v>
      </c>
      <c r="I257" s="2"/>
      <c r="J257" s="2"/>
    </row>
    <row r="258" spans="8:10">
      <c r="H258" s="2" t="str">
        <v>tengah</v>
      </c>
      <c r="I258" s="2"/>
      <c r="J258" s="2"/>
    </row>
    <row r="259" spans="8:10">
      <c r="H259" s="2" t="str">
        <v>kanan</v>
      </c>
      <c r="I259" s="2"/>
      <c r="J259" s="2"/>
    </row>
    <row r="260" spans="8:10">
      <c r="H260" s="2" t="str">
        <v>tengah</v>
      </c>
      <c r="I260" s="2"/>
      <c r="J260" s="2"/>
    </row>
    <row r="261" spans="8:10">
      <c r="H261" s="2" t="str">
        <v>tengah</v>
      </c>
      <c r="I261" s="2"/>
      <c r="J261" s="2"/>
    </row>
    <row r="262" spans="8:10">
      <c r="H262" s="2" t="str">
        <v>tengah</v>
      </c>
      <c r="I262" s="2"/>
      <c r="J262" s="2"/>
    </row>
    <row r="263" spans="8:10">
      <c r="H263" s="2" t="str">
        <v>tengah</v>
      </c>
      <c r="I263" s="2"/>
      <c r="J263" s="2"/>
    </row>
    <row r="264" spans="8:10">
      <c r="H264" s="2" t="str">
        <v>tengah</v>
      </c>
      <c r="I264" s="2"/>
      <c r="J264" s="2"/>
    </row>
    <row r="265" spans="8:10">
      <c r="H265" s="2" t="str">
        <v>tengah</v>
      </c>
      <c r="I265" s="2"/>
      <c r="J265" s="2"/>
    </row>
    <row r="266" spans="8:10">
      <c r="H266" s="2" t="str">
        <v>kanan</v>
      </c>
      <c r="I266" s="2"/>
      <c r="J266" s="2"/>
    </row>
    <row r="267" spans="8:10">
      <c r="H267" s="2" t="str">
        <v>kanan</v>
      </c>
      <c r="I267" s="2"/>
      <c r="J267" s="2"/>
    </row>
    <row r="268" spans="8:10">
      <c r="H268" s="2" t="str">
        <v>tengah</v>
      </c>
      <c r="I268" s="2"/>
      <c r="J268" s="2"/>
    </row>
    <row r="269" spans="8:10">
      <c r="H269" s="2" t="str">
        <v>kanan</v>
      </c>
      <c r="I269" s="2"/>
      <c r="J269" s="2"/>
    </row>
    <row r="270" spans="8:10">
      <c r="H270" s="2" t="str">
        <v>kanan</v>
      </c>
      <c r="I270" s="2"/>
      <c r="J270" s="2"/>
    </row>
    <row r="271" spans="8:10">
      <c r="H271" s="2" t="str">
        <v>kanan</v>
      </c>
      <c r="I271" s="2"/>
      <c r="J271" s="2"/>
    </row>
    <row r="272" spans="8:10">
      <c r="H272" s="2" t="str">
        <v>tengah</v>
      </c>
      <c r="I272" s="2"/>
      <c r="J272" s="2"/>
    </row>
    <row r="273" spans="8:10">
      <c r="H273" s="2" t="str">
        <v>tengah</v>
      </c>
      <c r="I273" s="2"/>
      <c r="J273" s="2"/>
    </row>
    <row r="274" spans="8:10">
      <c r="H274" s="2" t="str">
        <v>kanan</v>
      </c>
      <c r="I274" s="2"/>
      <c r="J274" s="2"/>
    </row>
    <row r="275" spans="8:10">
      <c r="H275" s="2" t="str">
        <v>tengah</v>
      </c>
      <c r="I275" s="2"/>
      <c r="J275" s="2"/>
    </row>
    <row r="276" spans="8:10">
      <c r="H276" s="2" t="str">
        <v>kanan</v>
      </c>
      <c r="I276" s="2"/>
      <c r="J276" s="2"/>
    </row>
    <row r="277" spans="8:10">
      <c r="H277" s="2" t="str">
        <v>kanan</v>
      </c>
      <c r="I277" s="2"/>
      <c r="J277" s="2"/>
    </row>
    <row r="278" spans="8:10">
      <c r="H278" s="2" t="str">
        <v>kanan</v>
      </c>
      <c r="I278" s="2"/>
      <c r="J278" s="2"/>
    </row>
    <row r="279" spans="8:10">
      <c r="H279" s="2" t="str">
        <v>tengah</v>
      </c>
      <c r="I279" s="2"/>
      <c r="J279" s="2"/>
    </row>
    <row r="280" spans="8:10">
      <c r="H280" s="2" t="str">
        <v>tengah</v>
      </c>
      <c r="I280" s="2"/>
      <c r="J280" s="2"/>
    </row>
    <row r="281" spans="8:10">
      <c r="H281" s="2" t="str">
        <v>tengah</v>
      </c>
      <c r="I281" s="2"/>
      <c r="J281" s="2"/>
    </row>
    <row r="282" spans="8:10">
      <c r="H282" s="2" t="str">
        <v>kanan</v>
      </c>
      <c r="I282" s="2"/>
      <c r="J282" s="2"/>
    </row>
    <row r="283" spans="8:10">
      <c r="H283" s="2" t="str">
        <v>kanan</v>
      </c>
      <c r="I283" s="2"/>
      <c r="J283" s="2"/>
    </row>
    <row r="284" spans="8:10">
      <c r="H284" s="2" t="str">
        <v>tengah</v>
      </c>
      <c r="I284" s="2"/>
      <c r="J284" s="2"/>
    </row>
    <row r="285" spans="8:10">
      <c r="H285" s="2" t="str">
        <v>kanan</v>
      </c>
      <c r="I285" s="2"/>
      <c r="J285" s="2"/>
    </row>
    <row r="286" spans="8:10">
      <c r="H286" s="2" t="str">
        <v>tengah</v>
      </c>
      <c r="I286" s="2"/>
      <c r="J286" s="2"/>
    </row>
    <row r="287" spans="8:10">
      <c r="H287" s="2" t="str">
        <v>kanan</v>
      </c>
      <c r="I287" s="2"/>
      <c r="J287" s="2"/>
    </row>
    <row r="288" spans="8:10">
      <c r="H288" s="2" t="str">
        <v>kanan</v>
      </c>
      <c r="I288" s="2"/>
      <c r="J288" s="2"/>
    </row>
    <row r="289" spans="8:10">
      <c r="H289" s="2" t="str">
        <v>tengah</v>
      </c>
      <c r="I289" s="2"/>
      <c r="J289" s="2"/>
    </row>
    <row r="290" spans="8:10">
      <c r="H290" s="2" t="str">
        <v>kanan</v>
      </c>
      <c r="I290" s="2"/>
      <c r="J290" s="2"/>
    </row>
    <row r="291" spans="8:10">
      <c r="H291" s="2" t="str">
        <v>kanan</v>
      </c>
      <c r="I291" s="2"/>
      <c r="J291" s="2"/>
    </row>
    <row r="292" spans="8:10">
      <c r="H292" s="2" t="str">
        <v>kanan</v>
      </c>
      <c r="I292" s="2"/>
      <c r="J292" s="2"/>
    </row>
    <row r="293" spans="8:10">
      <c r="H293" s="2" t="str">
        <v>kanan</v>
      </c>
      <c r="I293" s="2"/>
      <c r="J293" s="2"/>
    </row>
    <row r="294" spans="8:10">
      <c r="H294" s="2" t="str">
        <v>kanan</v>
      </c>
      <c r="I294" s="2"/>
      <c r="J294" s="2"/>
    </row>
    <row r="295" spans="8:10">
      <c r="H295" s="2" t="str">
        <v>kanan</v>
      </c>
      <c r="I295" s="2"/>
      <c r="J295" s="2"/>
    </row>
    <row r="296" spans="8:10">
      <c r="H296" s="2" t="str">
        <v>kanan</v>
      </c>
      <c r="I296" s="2"/>
      <c r="J296" s="2"/>
    </row>
    <row r="297" spans="8:10">
      <c r="H297" s="2" t="str">
        <v>kanan</v>
      </c>
      <c r="I297" s="2"/>
      <c r="J297" s="2"/>
    </row>
    <row r="298" spans="8:10">
      <c r="H298" s="2" t="str">
        <v>tengah</v>
      </c>
      <c r="I298" s="2"/>
      <c r="J298" s="2"/>
    </row>
    <row r="299" spans="8:10">
      <c r="H299" s="2" t="str">
        <v>tengah</v>
      </c>
      <c r="I299" s="2"/>
      <c r="J299" s="2"/>
    </row>
    <row r="300" spans="8:10">
      <c r="H300" s="2" t="str">
        <v>kanan</v>
      </c>
      <c r="I300" s="2"/>
      <c r="J300" s="2"/>
    </row>
    <row r="301" spans="8:10">
      <c r="H301" s="2" t="str">
        <v>kanan</v>
      </c>
      <c r="I301" s="2"/>
      <c r="J301" s="2"/>
    </row>
    <row r="302" spans="8:10">
      <c r="H302" s="2" t="str">
        <v>tengah</v>
      </c>
      <c r="I302" s="2"/>
      <c r="J302" s="2"/>
    </row>
    <row r="303" spans="8:10">
      <c r="H303" s="2" t="str">
        <v>tengah</v>
      </c>
      <c r="I303" s="2"/>
      <c r="J303" s="2"/>
    </row>
    <row r="304" spans="8:10">
      <c r="H304" s="2" t="str">
        <v>tengah</v>
      </c>
      <c r="I304" s="2"/>
      <c r="J304" s="2"/>
    </row>
    <row r="305" spans="8:10">
      <c r="H305" s="2" t="str">
        <v>kanan</v>
      </c>
      <c r="I305" s="2"/>
      <c r="J305" s="2"/>
    </row>
    <row r="306" spans="8:10">
      <c r="H306" s="2" t="str">
        <v>kanan</v>
      </c>
      <c r="I306" s="2"/>
      <c r="J306" s="2"/>
    </row>
    <row r="307" spans="8:10">
      <c r="H307" s="2" t="str">
        <v>tengah</v>
      </c>
      <c r="I307" s="2"/>
      <c r="J307" s="2"/>
    </row>
    <row r="308" spans="8:10">
      <c r="H308" s="2" t="str">
        <v>tengah</v>
      </c>
      <c r="I308" s="2"/>
      <c r="J308" s="2"/>
    </row>
    <row r="309" spans="8:10">
      <c r="H309" s="2" t="str">
        <v>tengah</v>
      </c>
      <c r="I309" s="2"/>
      <c r="J309" s="2"/>
    </row>
    <row r="310" spans="8:10">
      <c r="H310" s="2" t="str">
        <v>tengah</v>
      </c>
      <c r="I310" s="2"/>
      <c r="J310" s="2"/>
    </row>
    <row r="311" spans="8:10">
      <c r="H311" s="2" t="str">
        <v>tengah</v>
      </c>
      <c r="I311" s="2"/>
      <c r="J311" s="2"/>
    </row>
    <row r="312" spans="8:10">
      <c r="H312" s="2" t="str">
        <v>kanan</v>
      </c>
      <c r="I312" s="2"/>
      <c r="J312" s="2"/>
    </row>
    <row r="313" spans="8:10">
      <c r="H313" s="2" t="str">
        <v>tengah</v>
      </c>
      <c r="I313" s="2"/>
      <c r="J313" s="2"/>
    </row>
    <row r="314" spans="8:10">
      <c r="H314" s="2" t="str">
        <v>tengah</v>
      </c>
      <c r="I314" s="2"/>
      <c r="J314" s="2"/>
    </row>
    <row r="315" spans="8:10">
      <c r="H315" s="2" t="str">
        <v>tengah</v>
      </c>
      <c r="I315" s="2"/>
      <c r="J315" s="2"/>
    </row>
    <row r="316" spans="8:10">
      <c r="H316" s="2" t="str">
        <v>tengah</v>
      </c>
      <c r="I316" s="2"/>
      <c r="J316" s="2"/>
    </row>
    <row r="317" spans="8:10">
      <c r="H317" s="2" t="str">
        <v>tengah</v>
      </c>
      <c r="I317" s="2"/>
      <c r="J317" s="2"/>
    </row>
    <row r="318" spans="8:10">
      <c r="H318" s="2" t="str">
        <v>tengah</v>
      </c>
      <c r="I318" s="2"/>
      <c r="J318" s="2"/>
    </row>
    <row r="319" spans="8:10">
      <c r="H319" s="2" t="str">
        <v>tengah</v>
      </c>
      <c r="I319" s="2"/>
      <c r="J319" s="2"/>
    </row>
    <row r="320" spans="8:10">
      <c r="H320" s="2" t="str">
        <v>tengah</v>
      </c>
      <c r="I320" s="2"/>
      <c r="J320" s="2"/>
    </row>
    <row r="321" spans="8:10">
      <c r="H321" s="2" t="str">
        <v>tengah</v>
      </c>
      <c r="I321" s="2"/>
      <c r="J321" s="2"/>
    </row>
    <row r="322" spans="8:10">
      <c r="H322" s="2" t="str">
        <v>kanan</v>
      </c>
      <c r="I322" s="2"/>
      <c r="J322" s="2"/>
    </row>
    <row r="323" spans="8:10">
      <c r="H323" s="2" t="str">
        <v>kanan</v>
      </c>
      <c r="I323" s="2"/>
      <c r="J323" s="2"/>
    </row>
    <row r="324" spans="8:10">
      <c r="H324" s="2" t="str">
        <v>kanan</v>
      </c>
      <c r="I324" s="2"/>
      <c r="J324" s="2"/>
    </row>
    <row r="325" spans="8:10">
      <c r="H325" s="2" t="str">
        <v>tengah</v>
      </c>
      <c r="I325" s="2"/>
      <c r="J325" s="2"/>
    </row>
    <row r="326" spans="8:10">
      <c r="H326" s="2" t="str">
        <v>kanan</v>
      </c>
      <c r="I326" s="2"/>
      <c r="J326" s="2"/>
    </row>
    <row r="327" spans="8:10">
      <c r="H327" s="2" t="str">
        <v>tengah</v>
      </c>
      <c r="I327" s="2"/>
      <c r="J327" s="2"/>
    </row>
    <row r="328" spans="8:10">
      <c r="H328" s="2" t="str">
        <v>tengah</v>
      </c>
      <c r="I328" s="2"/>
      <c r="J328" s="2"/>
    </row>
    <row r="329" spans="8:10">
      <c r="H329" s="2" t="str">
        <v>kanan</v>
      </c>
      <c r="I329" s="2"/>
      <c r="J329" s="2"/>
    </row>
    <row r="330" spans="8:10">
      <c r="H330" s="2" t="str">
        <v>tengah</v>
      </c>
      <c r="I330" s="2"/>
      <c r="J330" s="2"/>
    </row>
    <row r="331" spans="8:10">
      <c r="H331" s="2" t="str">
        <v>kanan</v>
      </c>
      <c r="I331" s="2"/>
      <c r="J331" s="2"/>
    </row>
    <row r="332" spans="8:10">
      <c r="H332" s="2" t="str">
        <v>tengah</v>
      </c>
      <c r="I332" s="2"/>
      <c r="J332" s="2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744D9-6468-4A53-BFF6-A6FC4F5D8C82}">
  <dimension ref="A1:V332"/>
  <sheetViews>
    <sheetView tabSelected="1" topLeftCell="L1" zoomScale="91" zoomScaleNormal="91" workbookViewId="0">
      <selection activeCell="U22" sqref="U22"/>
    </sheetView>
  </sheetViews>
  <sheetFormatPr defaultRowHeight="15"/>
  <cols>
    <col min="3" max="3" width="15.85546875" bestFit="1" customWidth="1"/>
    <col min="6" max="6" width="13.85546875" bestFit="1" customWidth="1"/>
    <col min="10" max="10" width="15.85546875" bestFit="1" customWidth="1"/>
    <col min="11" max="11" width="22" bestFit="1" customWidth="1"/>
    <col min="12" max="12" width="13.28515625" bestFit="1" customWidth="1"/>
    <col min="13" max="13" width="13.85546875" bestFit="1" customWidth="1"/>
    <col min="15" max="15" width="24.85546875" bestFit="1" customWidth="1"/>
    <col min="16" max="16" width="12" bestFit="1" customWidth="1"/>
    <col min="17" max="17" width="12.7109375" bestFit="1" customWidth="1"/>
    <col min="20" max="20" width="14.28515625" bestFit="1" customWidth="1"/>
    <col min="21" max="22" width="12" bestFit="1" customWidth="1"/>
  </cols>
  <sheetData>
    <row r="1" spans="1:17">
      <c r="A1" s="1" t="s">
        <v>171</v>
      </c>
      <c r="B1" s="1" t="s">
        <v>1</v>
      </c>
      <c r="C1" s="1" t="s">
        <v>2</v>
      </c>
      <c r="D1" s="1" t="s">
        <v>172</v>
      </c>
      <c r="E1" s="1" t="s">
        <v>4</v>
      </c>
      <c r="F1" s="1" t="s">
        <v>5</v>
      </c>
      <c r="H1" s="2" t="s">
        <v>171</v>
      </c>
      <c r="I1" s="2" t="s">
        <v>1</v>
      </c>
      <c r="J1" s="2" t="s">
        <v>2</v>
      </c>
      <c r="K1" s="2" t="s">
        <v>172</v>
      </c>
      <c r="L1" s="2" t="s">
        <v>4</v>
      </c>
      <c r="M1" s="2" t="s">
        <v>5</v>
      </c>
      <c r="O1" s="1" t="s">
        <v>173</v>
      </c>
      <c r="P1" s="3"/>
      <c r="Q1" s="3"/>
    </row>
    <row r="2" spans="1:17">
      <c r="A2" s="2">
        <f ca="1">RANDBETWEEN(2,164)</f>
        <v>33</v>
      </c>
      <c r="B2" s="2" cm="1">
        <f t="array" aca="1" ref="B2" ca="1">INDEX(Data_DBD!$B:$B,$A2)</f>
        <v>19</v>
      </c>
      <c r="C2" s="2" cm="1">
        <f t="array" aca="1" ref="C2" ca="1">INDEX(Data_DBD!$C:$C,$A2)</f>
        <v>4</v>
      </c>
      <c r="D2" s="2" cm="1">
        <f t="array" aca="1" ref="D2" ca="1">INDEX(Data_DBD!$D:$D,$A2)</f>
        <v>14</v>
      </c>
      <c r="E2" s="2" cm="1">
        <f t="array" aca="1" ref="E2" ca="1">INDEX(Data_DBD!$E:$E,$A2)</f>
        <v>1</v>
      </c>
      <c r="F2" s="2" t="str" cm="1">
        <f t="array" aca="1" ref="F2" ca="1">INDEX(Data_DBD!$F:$F,$A2)</f>
        <v>Sedang</v>
      </c>
      <c r="H2" s="2">
        <v>14</v>
      </c>
      <c r="I2" s="2">
        <v>49</v>
      </c>
      <c r="J2" s="2">
        <v>4</v>
      </c>
      <c r="K2" s="2">
        <v>7</v>
      </c>
      <c r="L2" s="2">
        <v>1</v>
      </c>
      <c r="M2" s="2" t="s">
        <v>20</v>
      </c>
      <c r="O2" s="3" t="s">
        <v>97</v>
      </c>
      <c r="P2" s="3">
        <f>COUNTIF(M2:M164,"Tinggi")</f>
        <v>75</v>
      </c>
      <c r="Q2" s="3">
        <f>P2/163</f>
        <v>0.46012269938650308</v>
      </c>
    </row>
    <row r="3" spans="1:17">
      <c r="A3" s="2">
        <f t="shared" ref="A3:A66" ca="1" si="0">RANDBETWEEN(2,164)</f>
        <v>5</v>
      </c>
      <c r="B3" s="2" cm="1">
        <f t="array" aca="1" ref="B3" ca="1">INDEX(Data_DBD!$B:$B,$A3)</f>
        <v>18</v>
      </c>
      <c r="C3" s="2" cm="1">
        <f t="array" aca="1" ref="C3" ca="1">INDEX(Data_DBD!$C:$C,$A3)</f>
        <v>2</v>
      </c>
      <c r="D3" s="2" cm="1">
        <f t="array" aca="1" ref="D3" ca="1">INDEX(Data_DBD!$D:$D,$A3)</f>
        <v>12</v>
      </c>
      <c r="E3" s="2" cm="1">
        <f t="array" aca="1" ref="E3" ca="1">INDEX(Data_DBD!$E:$E,$A3)</f>
        <v>1</v>
      </c>
      <c r="F3" s="2" t="str" cm="1">
        <f t="array" aca="1" ref="F3" ca="1">INDEX(Data_DBD!$F:$F,$A3)</f>
        <v>Sedang</v>
      </c>
      <c r="H3" s="2">
        <v>127</v>
      </c>
      <c r="I3" s="2">
        <v>21</v>
      </c>
      <c r="J3" s="2">
        <v>2</v>
      </c>
      <c r="K3" s="2">
        <v>33</v>
      </c>
      <c r="L3" s="2">
        <v>0</v>
      </c>
      <c r="M3" s="2" t="s">
        <v>97</v>
      </c>
      <c r="O3" s="3" t="s">
        <v>7</v>
      </c>
      <c r="P3" s="3">
        <f>COUNTIF(M2:M164,"Sedang")</f>
        <v>70</v>
      </c>
      <c r="Q3" s="3">
        <f>P3/163</f>
        <v>0.42944785276073622</v>
      </c>
    </row>
    <row r="4" spans="1:17">
      <c r="A4" s="2">
        <f t="shared" ca="1" si="0"/>
        <v>5</v>
      </c>
      <c r="B4" s="2" cm="1">
        <f t="array" aca="1" ref="B4" ca="1">INDEX(Data_DBD!$B:$B,$A4)</f>
        <v>18</v>
      </c>
      <c r="C4" s="2" cm="1">
        <f t="array" aca="1" ref="C4" ca="1">INDEX(Data_DBD!$C:$C,$A4)</f>
        <v>2</v>
      </c>
      <c r="D4" s="2" cm="1">
        <f t="array" aca="1" ref="D4" ca="1">INDEX(Data_DBD!$D:$D,$A4)</f>
        <v>12</v>
      </c>
      <c r="E4" s="2" cm="1">
        <f t="array" aca="1" ref="E4" ca="1">INDEX(Data_DBD!$E:$E,$A4)</f>
        <v>1</v>
      </c>
      <c r="F4" s="2" t="str" cm="1">
        <f t="array" aca="1" ref="F4" ca="1">INDEX(Data_DBD!$F:$F,$A4)</f>
        <v>Sedang</v>
      </c>
      <c r="H4" s="2">
        <v>62</v>
      </c>
      <c r="I4" s="2">
        <v>43</v>
      </c>
      <c r="J4" s="2">
        <v>4</v>
      </c>
      <c r="K4" s="2">
        <v>15</v>
      </c>
      <c r="L4" s="2">
        <v>1</v>
      </c>
      <c r="M4" s="2" t="s">
        <v>7</v>
      </c>
      <c r="O4" s="3" t="s">
        <v>20</v>
      </c>
      <c r="P4" s="3">
        <f>COUNTIF(M2:M164,"Rendah")</f>
        <v>18</v>
      </c>
      <c r="Q4" s="3">
        <f>P4/163</f>
        <v>0.11042944785276074</v>
      </c>
    </row>
    <row r="5" spans="1:17">
      <c r="A5" s="2">
        <f t="shared" ca="1" si="0"/>
        <v>158</v>
      </c>
      <c r="B5" s="2" cm="1">
        <f t="array" aca="1" ref="B5" ca="1">INDEX(Data_DBD!$B:$B,$A5)</f>
        <v>5</v>
      </c>
      <c r="C5" s="2" cm="1">
        <f t="array" aca="1" ref="C5" ca="1">INDEX(Data_DBD!$C:$C,$A5)</f>
        <v>2</v>
      </c>
      <c r="D5" s="2" cm="1">
        <f t="array" aca="1" ref="D5" ca="1">INDEX(Data_DBD!$D:$D,$A5)</f>
        <v>21</v>
      </c>
      <c r="E5" s="2" cm="1">
        <f t="array" aca="1" ref="E5" ca="1">INDEX(Data_DBD!$E:$E,$A5)</f>
        <v>0</v>
      </c>
      <c r="F5" s="2" t="str" cm="1">
        <f t="array" aca="1" ref="F5" ca="1">INDEX(Data_DBD!$F:$F,$A5)</f>
        <v>Tinggi</v>
      </c>
      <c r="H5" s="2">
        <v>137</v>
      </c>
      <c r="I5" s="2">
        <v>3</v>
      </c>
      <c r="J5" s="2">
        <v>1</v>
      </c>
      <c r="K5" s="2">
        <v>33</v>
      </c>
      <c r="L5" s="2">
        <v>1</v>
      </c>
      <c r="M5" s="2" t="s">
        <v>97</v>
      </c>
      <c r="O5" s="4" t="s">
        <v>174</v>
      </c>
      <c r="P5">
        <f>-(IFERROR(Q2*LOG(Q2,2),0)+IFERROR(Q3*LOG(Q3,2),0)+IFERROR(Q4*LOG(Q4,2),0))</f>
        <v>1.3900173382844498</v>
      </c>
    </row>
    <row r="6" spans="1:17">
      <c r="A6" s="2">
        <f t="shared" ca="1" si="0"/>
        <v>17</v>
      </c>
      <c r="B6" s="2" cm="1">
        <f t="array" aca="1" ref="B6" ca="1">INDEX(Data_DBD!$B:$B,$A6)</f>
        <v>2</v>
      </c>
      <c r="C6" s="2" cm="1">
        <f t="array" aca="1" ref="C6" ca="1">INDEX(Data_DBD!$C:$C,$A6)</f>
        <v>3</v>
      </c>
      <c r="D6" s="2" cm="1">
        <f t="array" aca="1" ref="D6" ca="1">INDEX(Data_DBD!$D:$D,$A6)</f>
        <v>7</v>
      </c>
      <c r="E6" s="2" cm="1">
        <f t="array" aca="1" ref="E6" ca="1">INDEX(Data_DBD!$E:$E,$A6)</f>
        <v>0</v>
      </c>
      <c r="F6" s="2" t="str" cm="1">
        <f t="array" aca="1" ref="F6" ca="1">INDEX(Data_DBD!$F:$F,$A6)</f>
        <v>Rendah</v>
      </c>
      <c r="H6" s="2">
        <v>25</v>
      </c>
      <c r="I6" s="2">
        <v>81</v>
      </c>
      <c r="J6" s="2">
        <v>5</v>
      </c>
      <c r="K6" s="2">
        <v>14</v>
      </c>
      <c r="L6" s="2">
        <v>0</v>
      </c>
      <c r="M6" s="2" t="s">
        <v>7</v>
      </c>
    </row>
    <row r="7" spans="1:17">
      <c r="A7" s="2">
        <f t="shared" ca="1" si="0"/>
        <v>110</v>
      </c>
      <c r="B7" s="2" cm="1">
        <f t="array" aca="1" ref="B7" ca="1">INDEX(Data_DBD!$B:$B,$A7)</f>
        <v>42</v>
      </c>
      <c r="C7" s="2" cm="1">
        <f t="array" aca="1" ref="C7" ca="1">INDEX(Data_DBD!$C:$C,$A7)</f>
        <v>2</v>
      </c>
      <c r="D7" s="2" cm="1">
        <f t="array" aca="1" ref="D7" ca="1">INDEX(Data_DBD!$D:$D,$A7)</f>
        <v>33</v>
      </c>
      <c r="E7" s="2" cm="1">
        <f t="array" aca="1" ref="E7" ca="1">INDEX(Data_DBD!$E:$E,$A7)</f>
        <v>1</v>
      </c>
      <c r="F7" s="2" t="str" cm="1">
        <f t="array" aca="1" ref="F7" ca="1">INDEX(Data_DBD!$F:$F,$A7)</f>
        <v>Tinggi</v>
      </c>
      <c r="H7" s="2">
        <v>151</v>
      </c>
      <c r="I7" s="2">
        <v>24</v>
      </c>
      <c r="J7" s="2">
        <v>3</v>
      </c>
      <c r="K7" s="2">
        <v>21</v>
      </c>
      <c r="L7" s="2">
        <v>0</v>
      </c>
      <c r="M7" s="2" t="s">
        <v>97</v>
      </c>
    </row>
    <row r="8" spans="1:17">
      <c r="A8" s="2">
        <f t="shared" ca="1" si="0"/>
        <v>143</v>
      </c>
      <c r="B8" s="2" cm="1">
        <f t="array" aca="1" ref="B8" ca="1">INDEX(Data_DBD!$B:$B,$A8)</f>
        <v>20</v>
      </c>
      <c r="C8" s="2" cm="1">
        <f t="array" aca="1" ref="C8" ca="1">INDEX(Data_DBD!$C:$C,$A8)</f>
        <v>4</v>
      </c>
      <c r="D8" s="2" cm="1">
        <f t="array" aca="1" ref="D8" ca="1">INDEX(Data_DBD!$D:$D,$A8)</f>
        <v>21</v>
      </c>
      <c r="E8" s="2" cm="1">
        <f t="array" aca="1" ref="E8" ca="1">INDEX(Data_DBD!$E:$E,$A8)</f>
        <v>1</v>
      </c>
      <c r="F8" s="2" t="str" cm="1">
        <f t="array" aca="1" ref="F8" ca="1">INDEX(Data_DBD!$F:$F,$A8)</f>
        <v>Tinggi</v>
      </c>
      <c r="H8" s="2">
        <v>138</v>
      </c>
      <c r="I8" s="2">
        <v>13</v>
      </c>
      <c r="J8" s="2">
        <v>3</v>
      </c>
      <c r="K8" s="2">
        <v>33</v>
      </c>
      <c r="L8" s="2">
        <v>1</v>
      </c>
      <c r="M8" s="2" t="s">
        <v>97</v>
      </c>
    </row>
    <row r="9" spans="1:17">
      <c r="A9" s="2">
        <f t="shared" ca="1" si="0"/>
        <v>142</v>
      </c>
      <c r="B9" s="2" cm="1">
        <f t="array" aca="1" ref="B9" ca="1">INDEX(Data_DBD!$B:$B,$A9)</f>
        <v>39</v>
      </c>
      <c r="C9" s="2" cm="1">
        <f t="array" aca="1" ref="C9" ca="1">INDEX(Data_DBD!$C:$C,$A9)</f>
        <v>2</v>
      </c>
      <c r="D9" s="2" cm="1">
        <f t="array" aca="1" ref="D9" ca="1">INDEX(Data_DBD!$D:$D,$A9)</f>
        <v>21</v>
      </c>
      <c r="E9" s="2" cm="1">
        <f t="array" aca="1" ref="E9" ca="1">INDEX(Data_DBD!$E:$E,$A9)</f>
        <v>1</v>
      </c>
      <c r="F9" s="2" t="str" cm="1">
        <f t="array" aca="1" ref="F9" ca="1">INDEX(Data_DBD!$F:$F,$A9)</f>
        <v>Tinggi</v>
      </c>
      <c r="H9" s="2">
        <v>69</v>
      </c>
      <c r="I9" s="2">
        <v>24</v>
      </c>
      <c r="J9" s="2">
        <v>4</v>
      </c>
      <c r="K9" s="2">
        <v>10</v>
      </c>
      <c r="L9" s="2">
        <v>1</v>
      </c>
      <c r="M9" s="2" t="s">
        <v>7</v>
      </c>
    </row>
    <row r="10" spans="1:17">
      <c r="A10" s="2">
        <f t="shared" ca="1" si="0"/>
        <v>6</v>
      </c>
      <c r="B10" s="2" cm="1">
        <f t="array" aca="1" ref="B10" ca="1">INDEX(Data_DBD!$B:$B,$A10)</f>
        <v>14</v>
      </c>
      <c r="C10" s="2" cm="1">
        <f t="array" aca="1" ref="C10" ca="1">INDEX(Data_DBD!$C:$C,$A10)</f>
        <v>4</v>
      </c>
      <c r="D10" s="2" cm="1">
        <f t="array" aca="1" ref="D10" ca="1">INDEX(Data_DBD!$D:$D,$A10)</f>
        <v>12</v>
      </c>
      <c r="E10" s="2" cm="1">
        <f t="array" aca="1" ref="E10" ca="1">INDEX(Data_DBD!$E:$E,$A10)</f>
        <v>0</v>
      </c>
      <c r="F10" s="2" t="str" cm="1">
        <f t="array" aca="1" ref="F10" ca="1">INDEX(Data_DBD!$F:$F,$A10)</f>
        <v>Sedang</v>
      </c>
      <c r="H10" s="2">
        <v>23</v>
      </c>
      <c r="I10" s="2">
        <v>28</v>
      </c>
      <c r="J10" s="2">
        <v>4</v>
      </c>
      <c r="K10" s="2">
        <v>14</v>
      </c>
      <c r="L10" s="2">
        <v>1</v>
      </c>
      <c r="M10" s="2" t="s">
        <v>7</v>
      </c>
    </row>
    <row r="11" spans="1:17">
      <c r="A11" s="2">
        <f t="shared" ca="1" si="0"/>
        <v>100</v>
      </c>
      <c r="B11" s="2" cm="1">
        <f t="array" aca="1" ref="B11" ca="1">INDEX(Data_DBD!$B:$B,$A11)</f>
        <v>19</v>
      </c>
      <c r="C11" s="2" cm="1">
        <f t="array" aca="1" ref="C11" ca="1">INDEX(Data_DBD!$C:$C,$A11)</f>
        <v>6</v>
      </c>
      <c r="D11" s="2" cm="1">
        <f t="array" aca="1" ref="D11" ca="1">INDEX(Data_DBD!$D:$D,$A11)</f>
        <v>18</v>
      </c>
      <c r="E11" s="2" cm="1">
        <f t="array" aca="1" ref="E11" ca="1">INDEX(Data_DBD!$E:$E,$A11)</f>
        <v>0</v>
      </c>
      <c r="F11" s="2" t="str" cm="1">
        <f t="array" aca="1" ref="F11" ca="1">INDEX(Data_DBD!$F:$F,$A11)</f>
        <v>Tinggi</v>
      </c>
      <c r="H11" s="2">
        <v>87</v>
      </c>
      <c r="I11" s="2">
        <v>21</v>
      </c>
      <c r="J11" s="2">
        <v>3</v>
      </c>
      <c r="K11" s="2">
        <v>13</v>
      </c>
      <c r="L11" s="2">
        <v>0</v>
      </c>
      <c r="M11" s="2" t="s">
        <v>7</v>
      </c>
    </row>
    <row r="12" spans="1:17">
      <c r="A12" s="2">
        <f t="shared" ca="1" si="0"/>
        <v>19</v>
      </c>
      <c r="B12" s="2" cm="1">
        <f t="array" aca="1" ref="B12" ca="1">INDEX(Data_DBD!$B:$B,$A12)</f>
        <v>8</v>
      </c>
      <c r="C12" s="2" cm="1">
        <f t="array" aca="1" ref="C12" ca="1">INDEX(Data_DBD!$C:$C,$A12)</f>
        <v>4</v>
      </c>
      <c r="D12" s="2" cm="1">
        <f t="array" aca="1" ref="D12" ca="1">INDEX(Data_DBD!$D:$D,$A12)</f>
        <v>7</v>
      </c>
      <c r="E12" s="2" cm="1">
        <f t="array" aca="1" ref="E12" ca="1">INDEX(Data_DBD!$E:$E,$A12)</f>
        <v>0</v>
      </c>
      <c r="F12" s="2" t="str" cm="1">
        <f t="array" aca="1" ref="F12" ca="1">INDEX(Data_DBD!$F:$F,$A12)</f>
        <v>Rendah</v>
      </c>
      <c r="H12" s="2">
        <v>34</v>
      </c>
      <c r="I12" s="2">
        <v>55</v>
      </c>
      <c r="J12" s="2">
        <v>3</v>
      </c>
      <c r="K12" s="2">
        <v>14</v>
      </c>
      <c r="L12" s="2">
        <v>0</v>
      </c>
      <c r="M12" s="2" t="s">
        <v>7</v>
      </c>
    </row>
    <row r="13" spans="1:17">
      <c r="A13" s="2">
        <f t="shared" ca="1" si="0"/>
        <v>78</v>
      </c>
      <c r="B13" s="2" cm="1">
        <f t="array" aca="1" ref="B13" ca="1">INDEX(Data_DBD!$B:$B,$A13)</f>
        <v>6</v>
      </c>
      <c r="C13" s="2" cm="1">
        <f t="array" aca="1" ref="C13" ca="1">INDEX(Data_DBD!$C:$C,$A13)</f>
        <v>3</v>
      </c>
      <c r="D13" s="2" cm="1">
        <f t="array" aca="1" ref="D13" ca="1">INDEX(Data_DBD!$D:$D,$A13)</f>
        <v>13</v>
      </c>
      <c r="E13" s="2" cm="1">
        <f t="array" aca="1" ref="E13" ca="1">INDEX(Data_DBD!$E:$E,$A13)</f>
        <v>0</v>
      </c>
      <c r="F13" s="2" t="str" cm="1">
        <f t="array" aca="1" ref="F13" ca="1">INDEX(Data_DBD!$F:$F,$A13)</f>
        <v>Sedang</v>
      </c>
      <c r="H13" s="2">
        <v>29</v>
      </c>
      <c r="I13" s="2">
        <v>19</v>
      </c>
      <c r="J13" s="2">
        <v>2</v>
      </c>
      <c r="K13" s="2">
        <v>14</v>
      </c>
      <c r="L13" s="2">
        <v>1</v>
      </c>
      <c r="M13" s="2" t="s">
        <v>7</v>
      </c>
    </row>
    <row r="14" spans="1:17">
      <c r="A14" s="2">
        <f t="shared" ca="1" si="0"/>
        <v>142</v>
      </c>
      <c r="B14" s="2" cm="1">
        <f t="array" aca="1" ref="B14" ca="1">INDEX(Data_DBD!$B:$B,$A14)</f>
        <v>39</v>
      </c>
      <c r="C14" s="2" cm="1">
        <f t="array" aca="1" ref="C14" ca="1">INDEX(Data_DBD!$C:$C,$A14)</f>
        <v>2</v>
      </c>
      <c r="D14" s="2" cm="1">
        <f t="array" aca="1" ref="D14" ca="1">INDEX(Data_DBD!$D:$D,$A14)</f>
        <v>21</v>
      </c>
      <c r="E14" s="2" cm="1">
        <f t="array" aca="1" ref="E14" ca="1">INDEX(Data_DBD!$E:$E,$A14)</f>
        <v>1</v>
      </c>
      <c r="F14" s="2" t="str" cm="1">
        <f t="array" aca="1" ref="F14" ca="1">INDEX(Data_DBD!$F:$F,$A14)</f>
        <v>Tinggi</v>
      </c>
      <c r="H14" s="2">
        <v>154</v>
      </c>
      <c r="I14" s="2">
        <v>18</v>
      </c>
      <c r="J14" s="2">
        <v>5</v>
      </c>
      <c r="K14" s="2">
        <v>21</v>
      </c>
      <c r="L14" s="2">
        <v>1</v>
      </c>
      <c r="M14" s="2" t="s">
        <v>97</v>
      </c>
    </row>
    <row r="15" spans="1:17">
      <c r="A15" s="2">
        <f t="shared" ca="1" si="0"/>
        <v>140</v>
      </c>
      <c r="B15" s="2" cm="1">
        <f t="array" aca="1" ref="B15" ca="1">INDEX(Data_DBD!$B:$B,$A15)</f>
        <v>74</v>
      </c>
      <c r="C15" s="2" cm="1">
        <f t="array" aca="1" ref="C15" ca="1">INDEX(Data_DBD!$C:$C,$A15)</f>
        <v>5</v>
      </c>
      <c r="D15" s="2" cm="1">
        <f t="array" aca="1" ref="D15" ca="1">INDEX(Data_DBD!$D:$D,$A15)</f>
        <v>21</v>
      </c>
      <c r="E15" s="2" cm="1">
        <f t="array" aca="1" ref="E15" ca="1">INDEX(Data_DBD!$E:$E,$A15)</f>
        <v>1</v>
      </c>
      <c r="F15" s="2" t="str" cm="1">
        <f t="array" aca="1" ref="F15" ca="1">INDEX(Data_DBD!$F:$F,$A15)</f>
        <v>Tinggi</v>
      </c>
      <c r="H15" s="2">
        <v>136</v>
      </c>
      <c r="I15" s="2">
        <v>6</v>
      </c>
      <c r="J15" s="2">
        <v>2</v>
      </c>
      <c r="K15" s="2">
        <v>33</v>
      </c>
      <c r="L15" s="2">
        <v>0</v>
      </c>
      <c r="M15" s="2" t="s">
        <v>97</v>
      </c>
    </row>
    <row r="16" spans="1:17">
      <c r="A16" s="2">
        <f t="shared" ca="1" si="0"/>
        <v>111</v>
      </c>
      <c r="B16" s="2" cm="1">
        <f t="array" aca="1" ref="B16" ca="1">INDEX(Data_DBD!$B:$B,$A16)</f>
        <v>25</v>
      </c>
      <c r="C16" s="2" cm="1">
        <f t="array" aca="1" ref="C16" ca="1">INDEX(Data_DBD!$C:$C,$A16)</f>
        <v>4</v>
      </c>
      <c r="D16" s="2" cm="1">
        <f t="array" aca="1" ref="D16" ca="1">INDEX(Data_DBD!$D:$D,$A16)</f>
        <v>33</v>
      </c>
      <c r="E16" s="2" cm="1">
        <f t="array" aca="1" ref="E16" ca="1">INDEX(Data_DBD!$E:$E,$A16)</f>
        <v>0</v>
      </c>
      <c r="F16" s="2" t="str" cm="1">
        <f t="array" aca="1" ref="F16" ca="1">INDEX(Data_DBD!$F:$F,$A16)</f>
        <v>Tinggi</v>
      </c>
      <c r="H16" s="2">
        <v>111</v>
      </c>
      <c r="I16" s="2">
        <v>25</v>
      </c>
      <c r="J16" s="2">
        <v>4</v>
      </c>
      <c r="K16" s="2">
        <v>33</v>
      </c>
      <c r="L16" s="2">
        <v>0</v>
      </c>
      <c r="M16" s="2" t="s">
        <v>97</v>
      </c>
    </row>
    <row r="17" spans="1:13">
      <c r="A17" s="2">
        <f t="shared" ca="1" si="0"/>
        <v>97</v>
      </c>
      <c r="B17" s="2" cm="1">
        <f t="array" aca="1" ref="B17" ca="1">INDEX(Data_DBD!$B:$B,$A17)</f>
        <v>16</v>
      </c>
      <c r="C17" s="2" cm="1">
        <f t="array" aca="1" ref="C17" ca="1">INDEX(Data_DBD!$C:$C,$A17)</f>
        <v>2</v>
      </c>
      <c r="D17" s="2" cm="1">
        <f t="array" aca="1" ref="D17" ca="1">INDEX(Data_DBD!$D:$D,$A17)</f>
        <v>18</v>
      </c>
      <c r="E17" s="2" cm="1">
        <f t="array" aca="1" ref="E17" ca="1">INDEX(Data_DBD!$E:$E,$A17)</f>
        <v>1</v>
      </c>
      <c r="F17" s="2" t="str" cm="1">
        <f t="array" aca="1" ref="F17" ca="1">INDEX(Data_DBD!$F:$F,$A17)</f>
        <v>Tinggi</v>
      </c>
      <c r="H17" s="2">
        <v>163</v>
      </c>
      <c r="I17" s="2">
        <v>34</v>
      </c>
      <c r="J17" s="2">
        <v>4</v>
      </c>
      <c r="K17" s="2">
        <v>3</v>
      </c>
      <c r="L17" s="2">
        <v>1</v>
      </c>
      <c r="M17" s="2" t="s">
        <v>20</v>
      </c>
    </row>
    <row r="18" spans="1:13">
      <c r="A18" s="2">
        <f t="shared" ca="1" si="0"/>
        <v>27</v>
      </c>
      <c r="B18" s="2" cm="1">
        <f t="array" aca="1" ref="B18" ca="1">INDEX(Data_DBD!$B:$B,$A18)</f>
        <v>37</v>
      </c>
      <c r="C18" s="2" cm="1">
        <f t="array" aca="1" ref="C18" ca="1">INDEX(Data_DBD!$C:$C,$A18)</f>
        <v>4</v>
      </c>
      <c r="D18" s="2" cm="1">
        <f t="array" aca="1" ref="D18" ca="1">INDEX(Data_DBD!$D:$D,$A18)</f>
        <v>14</v>
      </c>
      <c r="E18" s="2" cm="1">
        <f t="array" aca="1" ref="E18" ca="1">INDEX(Data_DBD!$E:$E,$A18)</f>
        <v>1</v>
      </c>
      <c r="F18" s="2" t="str" cm="1">
        <f t="array" aca="1" ref="F18" ca="1">INDEX(Data_DBD!$F:$F,$A18)</f>
        <v>Sedang</v>
      </c>
      <c r="H18" s="2">
        <v>17</v>
      </c>
      <c r="I18" s="2">
        <v>2</v>
      </c>
      <c r="J18" s="2">
        <v>3</v>
      </c>
      <c r="K18" s="2">
        <v>7</v>
      </c>
      <c r="L18" s="2">
        <v>0</v>
      </c>
      <c r="M18" s="2" t="s">
        <v>20</v>
      </c>
    </row>
    <row r="19" spans="1:13">
      <c r="A19" s="2">
        <f t="shared" ca="1" si="0"/>
        <v>103</v>
      </c>
      <c r="B19" s="2" cm="1">
        <f t="array" aca="1" ref="B19" ca="1">INDEX(Data_DBD!$B:$B,$A19)</f>
        <v>22</v>
      </c>
      <c r="C19" s="2" cm="1">
        <f t="array" aca="1" ref="C19" ca="1">INDEX(Data_DBD!$C:$C,$A19)</f>
        <v>5</v>
      </c>
      <c r="D19" s="2" cm="1">
        <f t="array" aca="1" ref="D19" ca="1">INDEX(Data_DBD!$D:$D,$A19)</f>
        <v>18</v>
      </c>
      <c r="E19" s="2" cm="1">
        <f t="array" aca="1" ref="E19" ca="1">INDEX(Data_DBD!$E:$E,$A19)</f>
        <v>0</v>
      </c>
      <c r="F19" s="2" t="str" cm="1">
        <f t="array" aca="1" ref="F19" ca="1">INDEX(Data_DBD!$F:$F,$A19)</f>
        <v>Tinggi</v>
      </c>
      <c r="H19" s="2">
        <v>138</v>
      </c>
      <c r="I19" s="2">
        <v>13</v>
      </c>
      <c r="J19" s="2">
        <v>3</v>
      </c>
      <c r="K19" s="2">
        <v>33</v>
      </c>
      <c r="L19" s="2">
        <v>1</v>
      </c>
      <c r="M19" s="2" t="s">
        <v>97</v>
      </c>
    </row>
    <row r="20" spans="1:13">
      <c r="A20" s="2">
        <f t="shared" ca="1" si="0"/>
        <v>138</v>
      </c>
      <c r="B20" s="2" cm="1">
        <f t="array" aca="1" ref="B20" ca="1">INDEX(Data_DBD!$B:$B,$A20)</f>
        <v>13</v>
      </c>
      <c r="C20" s="2" cm="1">
        <f t="array" aca="1" ref="C20" ca="1">INDEX(Data_DBD!$C:$C,$A20)</f>
        <v>3</v>
      </c>
      <c r="D20" s="2" cm="1">
        <f t="array" aca="1" ref="D20" ca="1">INDEX(Data_DBD!$D:$D,$A20)</f>
        <v>33</v>
      </c>
      <c r="E20" s="2" cm="1">
        <f t="array" aca="1" ref="E20" ca="1">INDEX(Data_DBD!$E:$E,$A20)</f>
        <v>1</v>
      </c>
      <c r="F20" s="2" t="str" cm="1">
        <f t="array" aca="1" ref="F20" ca="1">INDEX(Data_DBD!$F:$F,$A20)</f>
        <v>Tinggi</v>
      </c>
      <c r="H20" s="2">
        <v>143</v>
      </c>
      <c r="I20" s="2">
        <v>20</v>
      </c>
      <c r="J20" s="2">
        <v>4</v>
      </c>
      <c r="K20" s="2">
        <v>21</v>
      </c>
      <c r="L20" s="2">
        <v>1</v>
      </c>
      <c r="M20" s="2" t="s">
        <v>97</v>
      </c>
    </row>
    <row r="21" spans="1:13">
      <c r="A21" s="2">
        <f t="shared" ca="1" si="0"/>
        <v>76</v>
      </c>
      <c r="B21" s="2" cm="1">
        <f t="array" aca="1" ref="B21" ca="1">INDEX(Data_DBD!$B:$B,$A21)</f>
        <v>70</v>
      </c>
      <c r="C21" s="2" cm="1">
        <f t="array" aca="1" ref="C21" ca="1">INDEX(Data_DBD!$C:$C,$A21)</f>
        <v>2</v>
      </c>
      <c r="D21" s="2" cm="1">
        <f t="array" aca="1" ref="D21" ca="1">INDEX(Data_DBD!$D:$D,$A21)</f>
        <v>10</v>
      </c>
      <c r="E21" s="2" cm="1">
        <f t="array" aca="1" ref="E21" ca="1">INDEX(Data_DBD!$E:$E,$A21)</f>
        <v>0</v>
      </c>
      <c r="F21" s="2" t="str" cm="1">
        <f t="array" aca="1" ref="F21" ca="1">INDEX(Data_DBD!$F:$F,$A21)</f>
        <v>Sedang</v>
      </c>
      <c r="H21" s="2">
        <v>15</v>
      </c>
      <c r="I21" s="2">
        <v>21</v>
      </c>
      <c r="J21" s="2">
        <v>2</v>
      </c>
      <c r="K21" s="2">
        <v>7</v>
      </c>
      <c r="L21" s="2">
        <v>0</v>
      </c>
      <c r="M21" s="2" t="s">
        <v>20</v>
      </c>
    </row>
    <row r="22" spans="1:13">
      <c r="A22" s="2">
        <f t="shared" ca="1" si="0"/>
        <v>117</v>
      </c>
      <c r="B22" s="2" cm="1">
        <f t="array" aca="1" ref="B22" ca="1">INDEX(Data_DBD!$B:$B,$A22)</f>
        <v>49</v>
      </c>
      <c r="C22" s="2" cm="1">
        <f t="array" aca="1" ref="C22" ca="1">INDEX(Data_DBD!$C:$C,$A22)</f>
        <v>4</v>
      </c>
      <c r="D22" s="2" cm="1">
        <f t="array" aca="1" ref="D22" ca="1">INDEX(Data_DBD!$D:$D,$A22)</f>
        <v>33</v>
      </c>
      <c r="E22" s="2" cm="1">
        <f t="array" aca="1" ref="E22" ca="1">INDEX(Data_DBD!$E:$E,$A22)</f>
        <v>1</v>
      </c>
      <c r="F22" s="2" t="str" cm="1">
        <f t="array" aca="1" ref="F22" ca="1">INDEX(Data_DBD!$F:$F,$A22)</f>
        <v>Tinggi</v>
      </c>
      <c r="H22" s="2">
        <v>101</v>
      </c>
      <c r="I22" s="2">
        <v>42</v>
      </c>
      <c r="J22" s="2">
        <v>5</v>
      </c>
      <c r="K22" s="2">
        <v>18</v>
      </c>
      <c r="L22" s="2">
        <v>0</v>
      </c>
      <c r="M22" s="2" t="s">
        <v>97</v>
      </c>
    </row>
    <row r="23" spans="1:13">
      <c r="A23" s="2">
        <f t="shared" ca="1" si="0"/>
        <v>66</v>
      </c>
      <c r="B23" s="2" cm="1">
        <f t="array" aca="1" ref="B23" ca="1">INDEX(Data_DBD!$B:$B,$A23)</f>
        <v>21</v>
      </c>
      <c r="C23" s="2" cm="1">
        <f t="array" aca="1" ref="C23" ca="1">INDEX(Data_DBD!$C:$C,$A23)</f>
        <v>5</v>
      </c>
      <c r="D23" s="2" cm="1">
        <f t="array" aca="1" ref="D23" ca="1">INDEX(Data_DBD!$D:$D,$A23)</f>
        <v>15</v>
      </c>
      <c r="E23" s="2" cm="1">
        <f t="array" aca="1" ref="E23" ca="1">INDEX(Data_DBD!$E:$E,$A23)</f>
        <v>1</v>
      </c>
      <c r="F23" s="2" t="str" cm="1">
        <f t="array" aca="1" ref="F23" ca="1">INDEX(Data_DBD!$F:$F,$A23)</f>
        <v>Sedang</v>
      </c>
      <c r="H23" s="2">
        <v>13</v>
      </c>
      <c r="I23" s="2">
        <v>47</v>
      </c>
      <c r="J23" s="2">
        <v>2</v>
      </c>
      <c r="K23" s="2">
        <v>12</v>
      </c>
      <c r="L23" s="2">
        <v>0</v>
      </c>
      <c r="M23" s="2" t="s">
        <v>7</v>
      </c>
    </row>
    <row r="24" spans="1:13">
      <c r="A24" s="2">
        <f t="shared" ca="1" si="0"/>
        <v>25</v>
      </c>
      <c r="B24" s="2" cm="1">
        <f t="array" aca="1" ref="B24" ca="1">INDEX(Data_DBD!$B:$B,$A24)</f>
        <v>81</v>
      </c>
      <c r="C24" s="2" cm="1">
        <f t="array" aca="1" ref="C24" ca="1">INDEX(Data_DBD!$C:$C,$A24)</f>
        <v>5</v>
      </c>
      <c r="D24" s="2" cm="1">
        <f t="array" aca="1" ref="D24" ca="1">INDEX(Data_DBD!$D:$D,$A24)</f>
        <v>14</v>
      </c>
      <c r="E24" s="2" cm="1">
        <f t="array" aca="1" ref="E24" ca="1">INDEX(Data_DBD!$E:$E,$A24)</f>
        <v>0</v>
      </c>
      <c r="F24" s="2" t="str" cm="1">
        <f t="array" aca="1" ref="F24" ca="1">INDEX(Data_DBD!$F:$F,$A24)</f>
        <v>Sedang</v>
      </c>
      <c r="H24" s="2">
        <v>99</v>
      </c>
      <c r="I24" s="2">
        <v>4</v>
      </c>
      <c r="J24" s="2">
        <v>2</v>
      </c>
      <c r="K24" s="2">
        <v>18</v>
      </c>
      <c r="L24" s="2">
        <v>1</v>
      </c>
      <c r="M24" s="2" t="s">
        <v>97</v>
      </c>
    </row>
    <row r="25" spans="1:13">
      <c r="A25" s="2">
        <f t="shared" ca="1" si="0"/>
        <v>143</v>
      </c>
      <c r="B25" s="2" cm="1">
        <f t="array" aca="1" ref="B25" ca="1">INDEX(Data_DBD!$B:$B,$A25)</f>
        <v>20</v>
      </c>
      <c r="C25" s="2" cm="1">
        <f t="array" aca="1" ref="C25" ca="1">INDEX(Data_DBD!$C:$C,$A25)</f>
        <v>4</v>
      </c>
      <c r="D25" s="2" cm="1">
        <f t="array" aca="1" ref="D25" ca="1">INDEX(Data_DBD!$D:$D,$A25)</f>
        <v>21</v>
      </c>
      <c r="E25" s="2" cm="1">
        <f t="array" aca="1" ref="E25" ca="1">INDEX(Data_DBD!$E:$E,$A25)</f>
        <v>1</v>
      </c>
      <c r="F25" s="2" t="str" cm="1">
        <f t="array" aca="1" ref="F25" ca="1">INDEX(Data_DBD!$F:$F,$A25)</f>
        <v>Tinggi</v>
      </c>
      <c r="H25" s="2">
        <v>56</v>
      </c>
      <c r="I25" s="2">
        <v>4</v>
      </c>
      <c r="J25" s="2">
        <v>3</v>
      </c>
      <c r="K25" s="2">
        <v>15</v>
      </c>
      <c r="L25" s="2">
        <v>0</v>
      </c>
      <c r="M25" s="2" t="s">
        <v>7</v>
      </c>
    </row>
    <row r="26" spans="1:13">
      <c r="A26" s="2">
        <f t="shared" ca="1" si="0"/>
        <v>40</v>
      </c>
      <c r="B26" s="2" cm="1">
        <f t="array" aca="1" ref="B26" ca="1">INDEX(Data_DBD!$B:$B,$A26)</f>
        <v>65</v>
      </c>
      <c r="C26" s="2" cm="1">
        <f t="array" aca="1" ref="C26" ca="1">INDEX(Data_DBD!$C:$C,$A26)</f>
        <v>3</v>
      </c>
      <c r="D26" s="2" cm="1">
        <f t="array" aca="1" ref="D26" ca="1">INDEX(Data_DBD!$D:$D,$A26)</f>
        <v>13</v>
      </c>
      <c r="E26" s="2" cm="1">
        <f t="array" aca="1" ref="E26" ca="1">INDEX(Data_DBD!$E:$E,$A26)</f>
        <v>1</v>
      </c>
      <c r="F26" s="2" t="str" cm="1">
        <f t="array" aca="1" ref="F26" ca="1">INDEX(Data_DBD!$F:$F,$A26)</f>
        <v>Sedang</v>
      </c>
      <c r="H26" s="2">
        <v>151</v>
      </c>
      <c r="I26" s="2">
        <v>24</v>
      </c>
      <c r="J26" s="2">
        <v>3</v>
      </c>
      <c r="K26" s="2">
        <v>21</v>
      </c>
      <c r="L26" s="2">
        <v>0</v>
      </c>
      <c r="M26" s="2" t="s">
        <v>97</v>
      </c>
    </row>
    <row r="27" spans="1:13">
      <c r="A27" s="2">
        <f t="shared" ca="1" si="0"/>
        <v>146</v>
      </c>
      <c r="B27" s="2" cm="1">
        <f t="array" aca="1" ref="B27" ca="1">INDEX(Data_DBD!$B:$B,$A27)</f>
        <v>34</v>
      </c>
      <c r="C27" s="2" cm="1">
        <f t="array" aca="1" ref="C27" ca="1">INDEX(Data_DBD!$C:$C,$A27)</f>
        <v>2</v>
      </c>
      <c r="D27" s="2" cm="1">
        <f t="array" aca="1" ref="D27" ca="1">INDEX(Data_DBD!$D:$D,$A27)</f>
        <v>21</v>
      </c>
      <c r="E27" s="2" cm="1">
        <f t="array" aca="1" ref="E27" ca="1">INDEX(Data_DBD!$E:$E,$A27)</f>
        <v>1</v>
      </c>
      <c r="F27" s="2" t="str" cm="1">
        <f t="array" aca="1" ref="F27" ca="1">INDEX(Data_DBD!$F:$F,$A27)</f>
        <v>Tinggi</v>
      </c>
      <c r="H27" s="2">
        <v>35</v>
      </c>
      <c r="I27" s="2">
        <v>40</v>
      </c>
      <c r="J27" s="2">
        <v>3</v>
      </c>
      <c r="K27" s="2">
        <v>4</v>
      </c>
      <c r="L27" s="2">
        <v>1</v>
      </c>
      <c r="M27" s="2" t="s">
        <v>20</v>
      </c>
    </row>
    <row r="28" spans="1:13">
      <c r="A28" s="2">
        <f t="shared" ca="1" si="0"/>
        <v>127</v>
      </c>
      <c r="B28" s="2" cm="1">
        <f t="array" aca="1" ref="B28" ca="1">INDEX(Data_DBD!$B:$B,$A28)</f>
        <v>21</v>
      </c>
      <c r="C28" s="2" cm="1">
        <f t="array" aca="1" ref="C28" ca="1">INDEX(Data_DBD!$C:$C,$A28)</f>
        <v>2</v>
      </c>
      <c r="D28" s="2" cm="1">
        <f t="array" aca="1" ref="D28" ca="1">INDEX(Data_DBD!$D:$D,$A28)</f>
        <v>33</v>
      </c>
      <c r="E28" s="2" cm="1">
        <f t="array" aca="1" ref="E28" ca="1">INDEX(Data_DBD!$E:$E,$A28)</f>
        <v>0</v>
      </c>
      <c r="F28" s="2" t="str" cm="1">
        <f t="array" aca="1" ref="F28" ca="1">INDEX(Data_DBD!$F:$F,$A28)</f>
        <v>Tinggi</v>
      </c>
      <c r="H28" s="2">
        <v>100</v>
      </c>
      <c r="I28" s="2">
        <v>19</v>
      </c>
      <c r="J28" s="2">
        <v>6</v>
      </c>
      <c r="K28" s="2">
        <v>18</v>
      </c>
      <c r="L28" s="2">
        <v>0</v>
      </c>
      <c r="M28" s="2" t="s">
        <v>97</v>
      </c>
    </row>
    <row r="29" spans="1:13">
      <c r="A29" s="2">
        <f t="shared" ca="1" si="0"/>
        <v>123</v>
      </c>
      <c r="B29" s="2" cm="1">
        <f t="array" aca="1" ref="B29" ca="1">INDEX(Data_DBD!$B:$B,$A29)</f>
        <v>22</v>
      </c>
      <c r="C29" s="2" cm="1">
        <f t="array" aca="1" ref="C29" ca="1">INDEX(Data_DBD!$C:$C,$A29)</f>
        <v>4</v>
      </c>
      <c r="D29" s="2" cm="1">
        <f t="array" aca="1" ref="D29" ca="1">INDEX(Data_DBD!$D:$D,$A29)</f>
        <v>33</v>
      </c>
      <c r="E29" s="2" cm="1">
        <f t="array" aca="1" ref="E29" ca="1">INDEX(Data_DBD!$E:$E,$A29)</f>
        <v>0</v>
      </c>
      <c r="F29" s="2" t="str" cm="1">
        <f t="array" aca="1" ref="F29" ca="1">INDEX(Data_DBD!$F:$F,$A29)</f>
        <v>Tinggi</v>
      </c>
      <c r="H29" s="2">
        <v>23</v>
      </c>
      <c r="I29" s="2">
        <v>28</v>
      </c>
      <c r="J29" s="2">
        <v>4</v>
      </c>
      <c r="K29" s="2">
        <v>14</v>
      </c>
      <c r="L29" s="2">
        <v>1</v>
      </c>
      <c r="M29" s="2" t="s">
        <v>7</v>
      </c>
    </row>
    <row r="30" spans="1:13">
      <c r="A30" s="2">
        <f t="shared" ca="1" si="0"/>
        <v>18</v>
      </c>
      <c r="B30" s="2" cm="1">
        <f t="array" aca="1" ref="B30" ca="1">INDEX(Data_DBD!$B:$B,$A30)</f>
        <v>49</v>
      </c>
      <c r="C30" s="2" cm="1">
        <f t="array" aca="1" ref="C30" ca="1">INDEX(Data_DBD!$C:$C,$A30)</f>
        <v>4</v>
      </c>
      <c r="D30" s="2" cm="1">
        <f t="array" aca="1" ref="D30" ca="1">INDEX(Data_DBD!$D:$D,$A30)</f>
        <v>7</v>
      </c>
      <c r="E30" s="2" cm="1">
        <f t="array" aca="1" ref="E30" ca="1">INDEX(Data_DBD!$E:$E,$A30)</f>
        <v>1</v>
      </c>
      <c r="F30" s="2" t="str" cm="1">
        <f t="array" aca="1" ref="F30" ca="1">INDEX(Data_DBD!$F:$F,$A30)</f>
        <v>Rendah</v>
      </c>
      <c r="H30" s="2">
        <v>59</v>
      </c>
      <c r="I30" s="2">
        <v>28</v>
      </c>
      <c r="J30" s="2">
        <v>4</v>
      </c>
      <c r="K30" s="2">
        <v>15</v>
      </c>
      <c r="L30" s="2">
        <v>0</v>
      </c>
      <c r="M30" s="2" t="s">
        <v>7</v>
      </c>
    </row>
    <row r="31" spans="1:13">
      <c r="A31" s="2">
        <f t="shared" ca="1" si="0"/>
        <v>10</v>
      </c>
      <c r="B31" s="2" cm="1">
        <f t="array" aca="1" ref="B31" ca="1">INDEX(Data_DBD!$B:$B,$A31)</f>
        <v>18</v>
      </c>
      <c r="C31" s="2" cm="1">
        <f t="array" aca="1" ref="C31" ca="1">INDEX(Data_DBD!$C:$C,$A31)</f>
        <v>5</v>
      </c>
      <c r="D31" s="2" cm="1">
        <f t="array" aca="1" ref="D31" ca="1">INDEX(Data_DBD!$D:$D,$A31)</f>
        <v>12</v>
      </c>
      <c r="E31" s="2" cm="1">
        <f t="array" aca="1" ref="E31" ca="1">INDEX(Data_DBD!$E:$E,$A31)</f>
        <v>0</v>
      </c>
      <c r="F31" s="2" t="str" cm="1">
        <f t="array" aca="1" ref="F31" ca="1">INDEX(Data_DBD!$F:$F,$A31)</f>
        <v>Sedang</v>
      </c>
      <c r="H31" s="2">
        <v>63</v>
      </c>
      <c r="I31" s="2">
        <v>25</v>
      </c>
      <c r="J31" s="2">
        <v>3</v>
      </c>
      <c r="K31" s="2">
        <v>15</v>
      </c>
      <c r="L31" s="2">
        <v>0</v>
      </c>
      <c r="M31" s="2" t="s">
        <v>7</v>
      </c>
    </row>
    <row r="32" spans="1:13">
      <c r="A32" s="2">
        <f t="shared" ca="1" si="0"/>
        <v>42</v>
      </c>
      <c r="B32" s="2" cm="1">
        <f t="array" aca="1" ref="B32" ca="1">INDEX(Data_DBD!$B:$B,$A32)</f>
        <v>21</v>
      </c>
      <c r="C32" s="2" cm="1">
        <f t="array" aca="1" ref="C32" ca="1">INDEX(Data_DBD!$C:$C,$A32)</f>
        <v>5</v>
      </c>
      <c r="D32" s="2" cm="1">
        <f t="array" aca="1" ref="D32" ca="1">INDEX(Data_DBD!$D:$D,$A32)</f>
        <v>13</v>
      </c>
      <c r="E32" s="2" cm="1">
        <f t="array" aca="1" ref="E32" ca="1">INDEX(Data_DBD!$E:$E,$A32)</f>
        <v>1</v>
      </c>
      <c r="F32" s="2" t="str" cm="1">
        <f t="array" aca="1" ref="F32" ca="1">INDEX(Data_DBD!$F:$F,$A32)</f>
        <v>Sedang</v>
      </c>
      <c r="H32" s="2">
        <v>113</v>
      </c>
      <c r="I32" s="2">
        <v>69</v>
      </c>
      <c r="J32" s="2">
        <v>1</v>
      </c>
      <c r="K32" s="2">
        <v>33</v>
      </c>
      <c r="L32" s="2">
        <v>1</v>
      </c>
      <c r="M32" s="2" t="s">
        <v>97</v>
      </c>
    </row>
    <row r="33" spans="1:13">
      <c r="A33" s="2">
        <f t="shared" ca="1" si="0"/>
        <v>102</v>
      </c>
      <c r="B33" s="2" cm="1">
        <f t="array" aca="1" ref="B33" ca="1">INDEX(Data_DBD!$B:$B,$A33)</f>
        <v>41</v>
      </c>
      <c r="C33" s="2" cm="1">
        <f t="array" aca="1" ref="C33" ca="1">INDEX(Data_DBD!$C:$C,$A33)</f>
        <v>4</v>
      </c>
      <c r="D33" s="2" cm="1">
        <f t="array" aca="1" ref="D33" ca="1">INDEX(Data_DBD!$D:$D,$A33)</f>
        <v>18</v>
      </c>
      <c r="E33" s="2" cm="1">
        <f t="array" aca="1" ref="E33" ca="1">INDEX(Data_DBD!$E:$E,$A33)</f>
        <v>0</v>
      </c>
      <c r="F33" s="2" t="str" cm="1">
        <f t="array" aca="1" ref="F33" ca="1">INDEX(Data_DBD!$F:$F,$A33)</f>
        <v>Tinggi</v>
      </c>
      <c r="H33" s="2">
        <v>106</v>
      </c>
      <c r="I33" s="2">
        <v>23</v>
      </c>
      <c r="J33" s="2">
        <v>3</v>
      </c>
      <c r="K33" s="2">
        <v>18</v>
      </c>
      <c r="L33" s="2">
        <v>1</v>
      </c>
      <c r="M33" s="2" t="s">
        <v>97</v>
      </c>
    </row>
    <row r="34" spans="1:13">
      <c r="A34" s="2">
        <f t="shared" ca="1" si="0"/>
        <v>90</v>
      </c>
      <c r="B34" s="2" cm="1">
        <f t="array" aca="1" ref="B34" ca="1">INDEX(Data_DBD!$B:$B,$A34)</f>
        <v>47</v>
      </c>
      <c r="C34" s="2" cm="1">
        <f t="array" aca="1" ref="C34" ca="1">INDEX(Data_DBD!$C:$C,$A34)</f>
        <v>3</v>
      </c>
      <c r="D34" s="2" cm="1">
        <f t="array" aca="1" ref="D34" ca="1">INDEX(Data_DBD!$D:$D,$A34)</f>
        <v>18</v>
      </c>
      <c r="E34" s="2" cm="1">
        <f t="array" aca="1" ref="E34" ca="1">INDEX(Data_DBD!$E:$E,$A34)</f>
        <v>0</v>
      </c>
      <c r="F34" s="2" t="str" cm="1">
        <f t="array" aca="1" ref="F34" ca="1">INDEX(Data_DBD!$F:$F,$A34)</f>
        <v>Tinggi</v>
      </c>
      <c r="H34" s="2">
        <v>77</v>
      </c>
      <c r="I34" s="2">
        <v>16</v>
      </c>
      <c r="J34" s="2">
        <v>4</v>
      </c>
      <c r="K34" s="2">
        <v>13</v>
      </c>
      <c r="L34" s="2">
        <v>1</v>
      </c>
      <c r="M34" s="2" t="s">
        <v>7</v>
      </c>
    </row>
    <row r="35" spans="1:13">
      <c r="A35" s="2">
        <f t="shared" ca="1" si="0"/>
        <v>70</v>
      </c>
      <c r="B35" s="2" cm="1">
        <f t="array" aca="1" ref="B35" ca="1">INDEX(Data_DBD!$B:$B,$A35)</f>
        <v>26</v>
      </c>
      <c r="C35" s="2" cm="1">
        <f t="array" aca="1" ref="C35" ca="1">INDEX(Data_DBD!$C:$C,$A35)</f>
        <v>3</v>
      </c>
      <c r="D35" s="2" cm="1">
        <f t="array" aca="1" ref="D35" ca="1">INDEX(Data_DBD!$D:$D,$A35)</f>
        <v>10</v>
      </c>
      <c r="E35" s="2" cm="1">
        <f t="array" aca="1" ref="E35" ca="1">INDEX(Data_DBD!$E:$E,$A35)</f>
        <v>1</v>
      </c>
      <c r="F35" s="2" t="str" cm="1">
        <f t="array" aca="1" ref="F35" ca="1">INDEX(Data_DBD!$F:$F,$A35)</f>
        <v>Sedang</v>
      </c>
      <c r="H35" s="2">
        <v>135</v>
      </c>
      <c r="I35" s="2">
        <v>10</v>
      </c>
      <c r="J35" s="2">
        <v>2</v>
      </c>
      <c r="K35" s="2">
        <v>33</v>
      </c>
      <c r="L35" s="2">
        <v>0</v>
      </c>
      <c r="M35" s="2" t="s">
        <v>97</v>
      </c>
    </row>
    <row r="36" spans="1:13">
      <c r="A36" s="2">
        <f t="shared" ca="1" si="0"/>
        <v>42</v>
      </c>
      <c r="B36" s="2" cm="1">
        <f t="array" aca="1" ref="B36" ca="1">INDEX(Data_DBD!$B:$B,$A36)</f>
        <v>21</v>
      </c>
      <c r="C36" s="2" cm="1">
        <f t="array" aca="1" ref="C36" ca="1">INDEX(Data_DBD!$C:$C,$A36)</f>
        <v>5</v>
      </c>
      <c r="D36" s="2" cm="1">
        <f t="array" aca="1" ref="D36" ca="1">INDEX(Data_DBD!$D:$D,$A36)</f>
        <v>13</v>
      </c>
      <c r="E36" s="2" cm="1">
        <f t="array" aca="1" ref="E36" ca="1">INDEX(Data_DBD!$E:$E,$A36)</f>
        <v>1</v>
      </c>
      <c r="F36" s="2" t="str" cm="1">
        <f t="array" aca="1" ref="F36" ca="1">INDEX(Data_DBD!$F:$F,$A36)</f>
        <v>Sedang</v>
      </c>
      <c r="H36" s="2">
        <v>29</v>
      </c>
      <c r="I36" s="2">
        <v>19</v>
      </c>
      <c r="J36" s="2">
        <v>2</v>
      </c>
      <c r="K36" s="2">
        <v>14</v>
      </c>
      <c r="L36" s="2">
        <v>1</v>
      </c>
      <c r="M36" s="2" t="s">
        <v>7</v>
      </c>
    </row>
    <row r="37" spans="1:13">
      <c r="A37" s="2">
        <f t="shared" ca="1" si="0"/>
        <v>49</v>
      </c>
      <c r="B37" s="2" cm="1">
        <f t="array" aca="1" ref="B37" ca="1">INDEX(Data_DBD!$B:$B,$A37)</f>
        <v>64</v>
      </c>
      <c r="C37" s="2" cm="1">
        <f t="array" aca="1" ref="C37" ca="1">INDEX(Data_DBD!$C:$C,$A37)</f>
        <v>5</v>
      </c>
      <c r="D37" s="2" cm="1">
        <f t="array" aca="1" ref="D37" ca="1">INDEX(Data_DBD!$D:$D,$A37)</f>
        <v>13</v>
      </c>
      <c r="E37" s="2" cm="1">
        <f t="array" aca="1" ref="E37" ca="1">INDEX(Data_DBD!$E:$E,$A37)</f>
        <v>0</v>
      </c>
      <c r="F37" s="2" t="str" cm="1">
        <f t="array" aca="1" ref="F37" ca="1">INDEX(Data_DBD!$F:$F,$A37)</f>
        <v>Sedang</v>
      </c>
      <c r="H37" s="2">
        <v>46</v>
      </c>
      <c r="I37" s="2">
        <v>62</v>
      </c>
      <c r="J37" s="2">
        <v>2</v>
      </c>
      <c r="K37" s="2">
        <v>13</v>
      </c>
      <c r="L37" s="2">
        <v>0</v>
      </c>
      <c r="M37" s="2" t="s">
        <v>7</v>
      </c>
    </row>
    <row r="38" spans="1:13">
      <c r="A38" s="2">
        <f t="shared" ca="1" si="0"/>
        <v>68</v>
      </c>
      <c r="B38" s="2" cm="1">
        <f t="array" aca="1" ref="B38" ca="1">INDEX(Data_DBD!$B:$B,$A38)</f>
        <v>44</v>
      </c>
      <c r="C38" s="2" cm="1">
        <f t="array" aca="1" ref="C38" ca="1">INDEX(Data_DBD!$C:$C,$A38)</f>
        <v>5</v>
      </c>
      <c r="D38" s="2" cm="1">
        <f t="array" aca="1" ref="D38" ca="1">INDEX(Data_DBD!$D:$D,$A38)</f>
        <v>10</v>
      </c>
      <c r="E38" s="2" cm="1">
        <f t="array" aca="1" ref="E38" ca="1">INDEX(Data_DBD!$E:$E,$A38)</f>
        <v>0</v>
      </c>
      <c r="F38" s="2" t="str" cm="1">
        <f t="array" aca="1" ref="F38" ca="1">INDEX(Data_DBD!$F:$F,$A38)</f>
        <v>Sedang</v>
      </c>
      <c r="H38" s="2">
        <v>46</v>
      </c>
      <c r="I38" s="2">
        <v>62</v>
      </c>
      <c r="J38" s="2">
        <v>2</v>
      </c>
      <c r="K38" s="2">
        <v>13</v>
      </c>
      <c r="L38" s="2">
        <v>0</v>
      </c>
      <c r="M38" s="2" t="s">
        <v>7</v>
      </c>
    </row>
    <row r="39" spans="1:13">
      <c r="A39" s="2">
        <f t="shared" ca="1" si="0"/>
        <v>137</v>
      </c>
      <c r="B39" s="2" cm="1">
        <f t="array" aca="1" ref="B39" ca="1">INDEX(Data_DBD!$B:$B,$A39)</f>
        <v>3</v>
      </c>
      <c r="C39" s="2" cm="1">
        <f t="array" aca="1" ref="C39" ca="1">INDEX(Data_DBD!$C:$C,$A39)</f>
        <v>1</v>
      </c>
      <c r="D39" s="2" cm="1">
        <f t="array" aca="1" ref="D39" ca="1">INDEX(Data_DBD!$D:$D,$A39)</f>
        <v>33</v>
      </c>
      <c r="E39" s="2" cm="1">
        <f t="array" aca="1" ref="E39" ca="1">INDEX(Data_DBD!$E:$E,$A39)</f>
        <v>1</v>
      </c>
      <c r="F39" s="2" t="str" cm="1">
        <f t="array" aca="1" ref="F39" ca="1">INDEX(Data_DBD!$F:$F,$A39)</f>
        <v>Tinggi</v>
      </c>
      <c r="H39" s="2">
        <v>21</v>
      </c>
      <c r="I39" s="2">
        <v>10</v>
      </c>
      <c r="J39" s="2">
        <v>5</v>
      </c>
      <c r="K39" s="2">
        <v>14</v>
      </c>
      <c r="L39" s="2">
        <v>1</v>
      </c>
      <c r="M39" s="2" t="s">
        <v>7</v>
      </c>
    </row>
    <row r="40" spans="1:13">
      <c r="A40" s="2">
        <f t="shared" ca="1" si="0"/>
        <v>43</v>
      </c>
      <c r="B40" s="2" cm="1">
        <f t="array" aca="1" ref="B40" ca="1">INDEX(Data_DBD!$B:$B,$A40)</f>
        <v>15</v>
      </c>
      <c r="C40" s="2" cm="1">
        <f t="array" aca="1" ref="C40" ca="1">INDEX(Data_DBD!$C:$C,$A40)</f>
        <v>4</v>
      </c>
      <c r="D40" s="2" cm="1">
        <f t="array" aca="1" ref="D40" ca="1">INDEX(Data_DBD!$D:$D,$A40)</f>
        <v>13</v>
      </c>
      <c r="E40" s="2" cm="1">
        <f t="array" aca="1" ref="E40" ca="1">INDEX(Data_DBD!$E:$E,$A40)</f>
        <v>0</v>
      </c>
      <c r="F40" s="2" t="str" cm="1">
        <f t="array" aca="1" ref="F40" ca="1">INDEX(Data_DBD!$F:$F,$A40)</f>
        <v>Sedang</v>
      </c>
      <c r="H40" s="2">
        <v>127</v>
      </c>
      <c r="I40" s="2">
        <v>21</v>
      </c>
      <c r="J40" s="2">
        <v>2</v>
      </c>
      <c r="K40" s="2">
        <v>33</v>
      </c>
      <c r="L40" s="2">
        <v>0</v>
      </c>
      <c r="M40" s="2" t="s">
        <v>97</v>
      </c>
    </row>
    <row r="41" spans="1:13">
      <c r="A41" s="2">
        <f t="shared" ca="1" si="0"/>
        <v>87</v>
      </c>
      <c r="B41" s="2" cm="1">
        <f t="array" aca="1" ref="B41" ca="1">INDEX(Data_DBD!$B:$B,$A41)</f>
        <v>21</v>
      </c>
      <c r="C41" s="2" cm="1">
        <f t="array" aca="1" ref="C41" ca="1">INDEX(Data_DBD!$C:$C,$A41)</f>
        <v>3</v>
      </c>
      <c r="D41" s="2" cm="1">
        <f t="array" aca="1" ref="D41" ca="1">INDEX(Data_DBD!$D:$D,$A41)</f>
        <v>13</v>
      </c>
      <c r="E41" s="2" cm="1">
        <f t="array" aca="1" ref="E41" ca="1">INDEX(Data_DBD!$E:$E,$A41)</f>
        <v>0</v>
      </c>
      <c r="F41" s="2" t="str" cm="1">
        <f t="array" aca="1" ref="F41" ca="1">INDEX(Data_DBD!$F:$F,$A41)</f>
        <v>Sedang</v>
      </c>
      <c r="H41" s="2">
        <v>156</v>
      </c>
      <c r="I41" s="2">
        <v>5</v>
      </c>
      <c r="J41" s="2">
        <v>2</v>
      </c>
      <c r="K41" s="2">
        <v>21</v>
      </c>
      <c r="L41" s="2">
        <v>0</v>
      </c>
      <c r="M41" s="2" t="s">
        <v>97</v>
      </c>
    </row>
    <row r="42" spans="1:13">
      <c r="A42" s="2">
        <f t="shared" ca="1" si="0"/>
        <v>6</v>
      </c>
      <c r="B42" s="2" cm="1">
        <f t="array" aca="1" ref="B42" ca="1">INDEX(Data_DBD!$B:$B,$A42)</f>
        <v>14</v>
      </c>
      <c r="C42" s="2" cm="1">
        <f t="array" aca="1" ref="C42" ca="1">INDEX(Data_DBD!$C:$C,$A42)</f>
        <v>4</v>
      </c>
      <c r="D42" s="2" cm="1">
        <f t="array" aca="1" ref="D42" ca="1">INDEX(Data_DBD!$D:$D,$A42)</f>
        <v>12</v>
      </c>
      <c r="E42" s="2" cm="1">
        <f t="array" aca="1" ref="E42" ca="1">INDEX(Data_DBD!$E:$E,$A42)</f>
        <v>0</v>
      </c>
      <c r="F42" s="2" t="str" cm="1">
        <f t="array" aca="1" ref="F42" ca="1">INDEX(Data_DBD!$F:$F,$A42)</f>
        <v>Sedang</v>
      </c>
      <c r="H42" s="2">
        <v>10</v>
      </c>
      <c r="I42" s="2">
        <v>18</v>
      </c>
      <c r="J42" s="2">
        <v>5</v>
      </c>
      <c r="K42" s="2">
        <v>12</v>
      </c>
      <c r="L42" s="2">
        <v>0</v>
      </c>
      <c r="M42" s="2" t="s">
        <v>7</v>
      </c>
    </row>
    <row r="43" spans="1:13">
      <c r="A43" s="2">
        <f t="shared" ca="1" si="0"/>
        <v>112</v>
      </c>
      <c r="B43" s="2" cm="1">
        <f t="array" aca="1" ref="B43" ca="1">INDEX(Data_DBD!$B:$B,$A43)</f>
        <v>61</v>
      </c>
      <c r="C43" s="2" cm="1">
        <f t="array" aca="1" ref="C43" ca="1">INDEX(Data_DBD!$C:$C,$A43)</f>
        <v>3</v>
      </c>
      <c r="D43" s="2" cm="1">
        <f t="array" aca="1" ref="D43" ca="1">INDEX(Data_DBD!$D:$D,$A43)</f>
        <v>33</v>
      </c>
      <c r="E43" s="2" cm="1">
        <f t="array" aca="1" ref="E43" ca="1">INDEX(Data_DBD!$E:$E,$A43)</f>
        <v>1</v>
      </c>
      <c r="F43" s="2" t="str" cm="1">
        <f t="array" aca="1" ref="F43" ca="1">INDEX(Data_DBD!$F:$F,$A43)</f>
        <v>Tinggi</v>
      </c>
      <c r="H43" s="2">
        <v>60</v>
      </c>
      <c r="I43" s="2">
        <v>68</v>
      </c>
      <c r="J43" s="2">
        <v>4</v>
      </c>
      <c r="K43" s="2">
        <v>15</v>
      </c>
      <c r="L43" s="2">
        <v>0</v>
      </c>
      <c r="M43" s="2" t="s">
        <v>7</v>
      </c>
    </row>
    <row r="44" spans="1:13">
      <c r="A44" s="2">
        <f t="shared" ca="1" si="0"/>
        <v>94</v>
      </c>
      <c r="B44" s="2" cm="1">
        <f t="array" aca="1" ref="B44" ca="1">INDEX(Data_DBD!$B:$B,$A44)</f>
        <v>12</v>
      </c>
      <c r="C44" s="2" cm="1">
        <f t="array" aca="1" ref="C44" ca="1">INDEX(Data_DBD!$C:$C,$A44)</f>
        <v>4</v>
      </c>
      <c r="D44" s="2" cm="1">
        <f t="array" aca="1" ref="D44" ca="1">INDEX(Data_DBD!$D:$D,$A44)</f>
        <v>18</v>
      </c>
      <c r="E44" s="2" cm="1">
        <f t="array" aca="1" ref="E44" ca="1">INDEX(Data_DBD!$E:$E,$A44)</f>
        <v>0</v>
      </c>
      <c r="F44" s="2" t="str" cm="1">
        <f t="array" aca="1" ref="F44" ca="1">INDEX(Data_DBD!$F:$F,$A44)</f>
        <v>Tinggi</v>
      </c>
      <c r="H44" s="2">
        <v>147</v>
      </c>
      <c r="I44" s="2">
        <v>66</v>
      </c>
      <c r="J44" s="2">
        <v>10</v>
      </c>
      <c r="K44" s="2">
        <v>21</v>
      </c>
      <c r="L44" s="2">
        <v>1</v>
      </c>
      <c r="M44" s="2" t="s">
        <v>97</v>
      </c>
    </row>
    <row r="45" spans="1:13">
      <c r="A45" s="2">
        <f t="shared" ca="1" si="0"/>
        <v>104</v>
      </c>
      <c r="B45" s="2" cm="1">
        <f t="array" aca="1" ref="B45" ca="1">INDEX(Data_DBD!$B:$B,$A45)</f>
        <v>37</v>
      </c>
      <c r="C45" s="2" cm="1">
        <f t="array" aca="1" ref="C45" ca="1">INDEX(Data_DBD!$C:$C,$A45)</f>
        <v>4</v>
      </c>
      <c r="D45" s="2" cm="1">
        <f t="array" aca="1" ref="D45" ca="1">INDEX(Data_DBD!$D:$D,$A45)</f>
        <v>18</v>
      </c>
      <c r="E45" s="2" cm="1">
        <f t="array" aca="1" ref="E45" ca="1">INDEX(Data_DBD!$E:$E,$A45)</f>
        <v>1</v>
      </c>
      <c r="F45" s="2" t="str" cm="1">
        <f t="array" aca="1" ref="F45" ca="1">INDEX(Data_DBD!$F:$F,$A45)</f>
        <v>Tinggi</v>
      </c>
      <c r="H45" s="2">
        <v>107</v>
      </c>
      <c r="I45" s="2">
        <v>48</v>
      </c>
      <c r="J45" s="2">
        <v>5</v>
      </c>
      <c r="K45" s="2">
        <v>18</v>
      </c>
      <c r="L45" s="2">
        <v>0</v>
      </c>
      <c r="M45" s="2" t="s">
        <v>97</v>
      </c>
    </row>
    <row r="46" spans="1:13">
      <c r="A46" s="2">
        <f t="shared" ca="1" si="0"/>
        <v>137</v>
      </c>
      <c r="B46" s="2" cm="1">
        <f t="array" aca="1" ref="B46" ca="1">INDEX(Data_DBD!$B:$B,$A46)</f>
        <v>3</v>
      </c>
      <c r="C46" s="2" cm="1">
        <f t="array" aca="1" ref="C46" ca="1">INDEX(Data_DBD!$C:$C,$A46)</f>
        <v>1</v>
      </c>
      <c r="D46" s="2" cm="1">
        <f t="array" aca="1" ref="D46" ca="1">INDEX(Data_DBD!$D:$D,$A46)</f>
        <v>33</v>
      </c>
      <c r="E46" s="2" cm="1">
        <f t="array" aca="1" ref="E46" ca="1">INDEX(Data_DBD!$E:$E,$A46)</f>
        <v>1</v>
      </c>
      <c r="F46" s="2" t="str" cm="1">
        <f t="array" aca="1" ref="F46" ca="1">INDEX(Data_DBD!$F:$F,$A46)</f>
        <v>Tinggi</v>
      </c>
      <c r="H46" s="2">
        <v>72</v>
      </c>
      <c r="I46" s="2">
        <v>3</v>
      </c>
      <c r="J46" s="2">
        <v>5</v>
      </c>
      <c r="K46" s="2">
        <v>10</v>
      </c>
      <c r="L46" s="2">
        <v>1</v>
      </c>
      <c r="M46" s="2" t="s">
        <v>7</v>
      </c>
    </row>
    <row r="47" spans="1:13">
      <c r="A47" s="2">
        <f t="shared" ca="1" si="0"/>
        <v>136</v>
      </c>
      <c r="B47" s="2" cm="1">
        <f t="array" aca="1" ref="B47" ca="1">INDEX(Data_DBD!$B:$B,$A47)</f>
        <v>6</v>
      </c>
      <c r="C47" s="2" cm="1">
        <f t="array" aca="1" ref="C47" ca="1">INDEX(Data_DBD!$C:$C,$A47)</f>
        <v>2</v>
      </c>
      <c r="D47" s="2" cm="1">
        <f t="array" aca="1" ref="D47" ca="1">INDEX(Data_DBD!$D:$D,$A47)</f>
        <v>33</v>
      </c>
      <c r="E47" s="2" cm="1">
        <f t="array" aca="1" ref="E47" ca="1">INDEX(Data_DBD!$E:$E,$A47)</f>
        <v>0</v>
      </c>
      <c r="F47" s="2" t="str" cm="1">
        <f t="array" aca="1" ref="F47" ca="1">INDEX(Data_DBD!$F:$F,$A47)</f>
        <v>Tinggi</v>
      </c>
      <c r="H47" s="2">
        <v>57</v>
      </c>
      <c r="I47" s="2">
        <v>2</v>
      </c>
      <c r="J47" s="2">
        <v>2</v>
      </c>
      <c r="K47" s="2">
        <v>15</v>
      </c>
      <c r="L47" s="2">
        <v>1</v>
      </c>
      <c r="M47" s="2" t="s">
        <v>7</v>
      </c>
    </row>
    <row r="48" spans="1:13">
      <c r="A48" s="2">
        <f t="shared" ca="1" si="0"/>
        <v>77</v>
      </c>
      <c r="B48" s="2" cm="1">
        <f t="array" aca="1" ref="B48" ca="1">INDEX(Data_DBD!$B:$B,$A48)</f>
        <v>16</v>
      </c>
      <c r="C48" s="2" cm="1">
        <f t="array" aca="1" ref="C48" ca="1">INDEX(Data_DBD!$C:$C,$A48)</f>
        <v>4</v>
      </c>
      <c r="D48" s="2" cm="1">
        <f t="array" aca="1" ref="D48" ca="1">INDEX(Data_DBD!$D:$D,$A48)</f>
        <v>13</v>
      </c>
      <c r="E48" s="2" cm="1">
        <f t="array" aca="1" ref="E48" ca="1">INDEX(Data_DBD!$E:$E,$A48)</f>
        <v>1</v>
      </c>
      <c r="F48" s="2" t="str" cm="1">
        <f t="array" aca="1" ref="F48" ca="1">INDEX(Data_DBD!$F:$F,$A48)</f>
        <v>Sedang</v>
      </c>
      <c r="H48" s="2">
        <v>37</v>
      </c>
      <c r="I48" s="2">
        <v>28</v>
      </c>
      <c r="J48" s="2">
        <v>4</v>
      </c>
      <c r="K48" s="2">
        <v>4</v>
      </c>
      <c r="L48" s="2">
        <v>1</v>
      </c>
      <c r="M48" s="2" t="s">
        <v>20</v>
      </c>
    </row>
    <row r="49" spans="1:13">
      <c r="A49" s="2">
        <f t="shared" ca="1" si="0"/>
        <v>110</v>
      </c>
      <c r="B49" s="2" cm="1">
        <f t="array" aca="1" ref="B49" ca="1">INDEX(Data_DBD!$B:$B,$A49)</f>
        <v>42</v>
      </c>
      <c r="C49" s="2" cm="1">
        <f t="array" aca="1" ref="C49" ca="1">INDEX(Data_DBD!$C:$C,$A49)</f>
        <v>2</v>
      </c>
      <c r="D49" s="2" cm="1">
        <f t="array" aca="1" ref="D49" ca="1">INDEX(Data_DBD!$D:$D,$A49)</f>
        <v>33</v>
      </c>
      <c r="E49" s="2" cm="1">
        <f t="array" aca="1" ref="E49" ca="1">INDEX(Data_DBD!$E:$E,$A49)</f>
        <v>1</v>
      </c>
      <c r="F49" s="2" t="str" cm="1">
        <f t="array" aca="1" ref="F49" ca="1">INDEX(Data_DBD!$F:$F,$A49)</f>
        <v>Tinggi</v>
      </c>
      <c r="H49" s="2">
        <v>96</v>
      </c>
      <c r="I49" s="2">
        <v>56</v>
      </c>
      <c r="J49" s="2">
        <v>4</v>
      </c>
      <c r="K49" s="2">
        <v>18</v>
      </c>
      <c r="L49" s="2">
        <v>0</v>
      </c>
      <c r="M49" s="2" t="s">
        <v>97</v>
      </c>
    </row>
    <row r="50" spans="1:13">
      <c r="A50" s="2">
        <f t="shared" ca="1" si="0"/>
        <v>10</v>
      </c>
      <c r="B50" s="2" cm="1">
        <f t="array" aca="1" ref="B50" ca="1">INDEX(Data_DBD!$B:$B,$A50)</f>
        <v>18</v>
      </c>
      <c r="C50" s="2" cm="1">
        <f t="array" aca="1" ref="C50" ca="1">INDEX(Data_DBD!$C:$C,$A50)</f>
        <v>5</v>
      </c>
      <c r="D50" s="2" cm="1">
        <f t="array" aca="1" ref="D50" ca="1">INDEX(Data_DBD!$D:$D,$A50)</f>
        <v>12</v>
      </c>
      <c r="E50" s="2" cm="1">
        <f t="array" aca="1" ref="E50" ca="1">INDEX(Data_DBD!$E:$E,$A50)</f>
        <v>0</v>
      </c>
      <c r="F50" s="2" t="str" cm="1">
        <f t="array" aca="1" ref="F50" ca="1">INDEX(Data_DBD!$F:$F,$A50)</f>
        <v>Sedang</v>
      </c>
      <c r="H50" s="2">
        <v>72</v>
      </c>
      <c r="I50" s="2">
        <v>3</v>
      </c>
      <c r="J50" s="2">
        <v>5</v>
      </c>
      <c r="K50" s="2">
        <v>10</v>
      </c>
      <c r="L50" s="2">
        <v>1</v>
      </c>
      <c r="M50" s="2" t="s">
        <v>7</v>
      </c>
    </row>
    <row r="51" spans="1:13">
      <c r="A51" s="2">
        <f t="shared" ca="1" si="0"/>
        <v>22</v>
      </c>
      <c r="B51" s="2" cm="1">
        <f t="array" aca="1" ref="B51" ca="1">INDEX(Data_DBD!$B:$B,$A51)</f>
        <v>6</v>
      </c>
      <c r="C51" s="2" cm="1">
        <f t="array" aca="1" ref="C51" ca="1">INDEX(Data_DBD!$C:$C,$A51)</f>
        <v>3</v>
      </c>
      <c r="D51" s="2" cm="1">
        <f t="array" aca="1" ref="D51" ca="1">INDEX(Data_DBD!$D:$D,$A51)</f>
        <v>14</v>
      </c>
      <c r="E51" s="2" cm="1">
        <f t="array" aca="1" ref="E51" ca="1">INDEX(Data_DBD!$E:$E,$A51)</f>
        <v>0</v>
      </c>
      <c r="F51" s="2" t="str" cm="1">
        <f t="array" aca="1" ref="F51" ca="1">INDEX(Data_DBD!$F:$F,$A51)</f>
        <v>Sedang</v>
      </c>
      <c r="H51" s="2">
        <v>120</v>
      </c>
      <c r="I51" s="2">
        <v>26</v>
      </c>
      <c r="J51" s="2">
        <v>4</v>
      </c>
      <c r="K51" s="2">
        <v>33</v>
      </c>
      <c r="L51" s="2">
        <v>1</v>
      </c>
      <c r="M51" s="2" t="s">
        <v>97</v>
      </c>
    </row>
    <row r="52" spans="1:13">
      <c r="A52" s="2">
        <f t="shared" ca="1" si="0"/>
        <v>136</v>
      </c>
      <c r="B52" s="2" cm="1">
        <f t="array" aca="1" ref="B52" ca="1">INDEX(Data_DBD!$B:$B,$A52)</f>
        <v>6</v>
      </c>
      <c r="C52" s="2" cm="1">
        <f t="array" aca="1" ref="C52" ca="1">INDEX(Data_DBD!$C:$C,$A52)</f>
        <v>2</v>
      </c>
      <c r="D52" s="2" cm="1">
        <f t="array" aca="1" ref="D52" ca="1">INDEX(Data_DBD!$D:$D,$A52)</f>
        <v>33</v>
      </c>
      <c r="E52" s="2" cm="1">
        <f t="array" aca="1" ref="E52" ca="1">INDEX(Data_DBD!$E:$E,$A52)</f>
        <v>0</v>
      </c>
      <c r="F52" s="2" t="str" cm="1">
        <f t="array" aca="1" ref="F52" ca="1">INDEX(Data_DBD!$F:$F,$A52)</f>
        <v>Tinggi</v>
      </c>
      <c r="H52" s="2">
        <v>35</v>
      </c>
      <c r="I52" s="2">
        <v>40</v>
      </c>
      <c r="J52" s="2">
        <v>3</v>
      </c>
      <c r="K52" s="2">
        <v>4</v>
      </c>
      <c r="L52" s="2">
        <v>1</v>
      </c>
      <c r="M52" s="2" t="s">
        <v>20</v>
      </c>
    </row>
    <row r="53" spans="1:13">
      <c r="A53" s="2">
        <f t="shared" ca="1" si="0"/>
        <v>3</v>
      </c>
      <c r="B53" s="2" cm="1">
        <f t="array" aca="1" ref="B53" ca="1">INDEX(Data_DBD!$B:$B,$A53)</f>
        <v>43</v>
      </c>
      <c r="C53" s="2" cm="1">
        <f t="array" aca="1" ref="C53" ca="1">INDEX(Data_DBD!$C:$C,$A53)</f>
        <v>3</v>
      </c>
      <c r="D53" s="2" cm="1">
        <f t="array" aca="1" ref="D53" ca="1">INDEX(Data_DBD!$D:$D,$A53)</f>
        <v>12</v>
      </c>
      <c r="E53" s="2" cm="1">
        <f t="array" aca="1" ref="E53" ca="1">INDEX(Data_DBD!$E:$E,$A53)</f>
        <v>1</v>
      </c>
      <c r="F53" s="2" t="str" cm="1">
        <f t="array" aca="1" ref="F53" ca="1">INDEX(Data_DBD!$F:$F,$A53)</f>
        <v>Sedang</v>
      </c>
      <c r="H53" s="2">
        <v>2</v>
      </c>
      <c r="I53" s="2">
        <v>34</v>
      </c>
      <c r="J53" s="2">
        <v>3</v>
      </c>
      <c r="K53" s="2">
        <v>12</v>
      </c>
      <c r="L53" s="2">
        <v>0</v>
      </c>
      <c r="M53" s="2" t="s">
        <v>7</v>
      </c>
    </row>
    <row r="54" spans="1:13">
      <c r="A54" s="2">
        <f t="shared" ca="1" si="0"/>
        <v>134</v>
      </c>
      <c r="B54" s="2" cm="1">
        <f t="array" aca="1" ref="B54" ca="1">INDEX(Data_DBD!$B:$B,$A54)</f>
        <v>4</v>
      </c>
      <c r="C54" s="2" cm="1">
        <f t="array" aca="1" ref="C54" ca="1">INDEX(Data_DBD!$C:$C,$A54)</f>
        <v>2</v>
      </c>
      <c r="D54" s="2" cm="1">
        <f t="array" aca="1" ref="D54" ca="1">INDEX(Data_DBD!$D:$D,$A54)</f>
        <v>33</v>
      </c>
      <c r="E54" s="2" cm="1">
        <f t="array" aca="1" ref="E54" ca="1">INDEX(Data_DBD!$E:$E,$A54)</f>
        <v>1</v>
      </c>
      <c r="F54" s="2" t="str" cm="1">
        <f t="array" aca="1" ref="F54" ca="1">INDEX(Data_DBD!$F:$F,$A54)</f>
        <v>Tinggi</v>
      </c>
      <c r="H54" s="2">
        <v>77</v>
      </c>
      <c r="I54" s="2">
        <v>16</v>
      </c>
      <c r="J54" s="2">
        <v>4</v>
      </c>
      <c r="K54" s="2">
        <v>13</v>
      </c>
      <c r="L54" s="2">
        <v>1</v>
      </c>
      <c r="M54" s="2" t="s">
        <v>7</v>
      </c>
    </row>
    <row r="55" spans="1:13">
      <c r="A55" s="2">
        <f t="shared" ca="1" si="0"/>
        <v>18</v>
      </c>
      <c r="B55" s="2" cm="1">
        <f t="array" aca="1" ref="B55" ca="1">INDEX(Data_DBD!$B:$B,$A55)</f>
        <v>49</v>
      </c>
      <c r="C55" s="2" cm="1">
        <f t="array" aca="1" ref="C55" ca="1">INDEX(Data_DBD!$C:$C,$A55)</f>
        <v>4</v>
      </c>
      <c r="D55" s="2" cm="1">
        <f t="array" aca="1" ref="D55" ca="1">INDEX(Data_DBD!$D:$D,$A55)</f>
        <v>7</v>
      </c>
      <c r="E55" s="2" cm="1">
        <f t="array" aca="1" ref="E55" ca="1">INDEX(Data_DBD!$E:$E,$A55)</f>
        <v>1</v>
      </c>
      <c r="F55" s="2" t="str" cm="1">
        <f t="array" aca="1" ref="F55" ca="1">INDEX(Data_DBD!$F:$F,$A55)</f>
        <v>Rendah</v>
      </c>
      <c r="H55" s="2">
        <v>164</v>
      </c>
      <c r="I55" s="2">
        <v>10</v>
      </c>
      <c r="J55" s="2">
        <v>6</v>
      </c>
      <c r="K55" s="2">
        <v>3</v>
      </c>
      <c r="L55" s="2">
        <v>0</v>
      </c>
      <c r="M55" s="2" t="s">
        <v>20</v>
      </c>
    </row>
    <row r="56" spans="1:13">
      <c r="A56" s="2">
        <f t="shared" ca="1" si="0"/>
        <v>157</v>
      </c>
      <c r="B56" s="2" cm="1">
        <f t="array" aca="1" ref="B56" ca="1">INDEX(Data_DBD!$B:$B,$A56)</f>
        <v>15</v>
      </c>
      <c r="C56" s="2" cm="1">
        <f t="array" aca="1" ref="C56" ca="1">INDEX(Data_DBD!$C:$C,$A56)</f>
        <v>4</v>
      </c>
      <c r="D56" s="2" cm="1">
        <f t="array" aca="1" ref="D56" ca="1">INDEX(Data_DBD!$D:$D,$A56)</f>
        <v>21</v>
      </c>
      <c r="E56" s="2" cm="1">
        <f t="array" aca="1" ref="E56" ca="1">INDEX(Data_DBD!$E:$E,$A56)</f>
        <v>1</v>
      </c>
      <c r="F56" s="2" t="str" cm="1">
        <f t="array" aca="1" ref="F56" ca="1">INDEX(Data_DBD!$F:$F,$A56)</f>
        <v>Tinggi</v>
      </c>
      <c r="H56" s="2">
        <v>21</v>
      </c>
      <c r="I56" s="2">
        <v>10</v>
      </c>
      <c r="J56" s="2">
        <v>5</v>
      </c>
      <c r="K56" s="2">
        <v>14</v>
      </c>
      <c r="L56" s="2">
        <v>1</v>
      </c>
      <c r="M56" s="2" t="s">
        <v>7</v>
      </c>
    </row>
    <row r="57" spans="1:13">
      <c r="A57" s="2">
        <f t="shared" ca="1" si="0"/>
        <v>32</v>
      </c>
      <c r="B57" s="2" cm="1">
        <f t="array" aca="1" ref="B57" ca="1">INDEX(Data_DBD!$B:$B,$A57)</f>
        <v>54</v>
      </c>
      <c r="C57" s="2" cm="1">
        <f t="array" aca="1" ref="C57" ca="1">INDEX(Data_DBD!$C:$C,$A57)</f>
        <v>4</v>
      </c>
      <c r="D57" s="2" cm="1">
        <f t="array" aca="1" ref="D57" ca="1">INDEX(Data_DBD!$D:$D,$A57)</f>
        <v>14</v>
      </c>
      <c r="E57" s="2" cm="1">
        <f t="array" aca="1" ref="E57" ca="1">INDEX(Data_DBD!$E:$E,$A57)</f>
        <v>0</v>
      </c>
      <c r="F57" s="2" t="str" cm="1">
        <f t="array" aca="1" ref="F57" ca="1">INDEX(Data_DBD!$F:$F,$A57)</f>
        <v>Sedang</v>
      </c>
      <c r="H57" s="2">
        <v>77</v>
      </c>
      <c r="I57" s="2">
        <v>16</v>
      </c>
      <c r="J57" s="2">
        <v>4</v>
      </c>
      <c r="K57" s="2">
        <v>13</v>
      </c>
      <c r="L57" s="2">
        <v>1</v>
      </c>
      <c r="M57" s="2" t="s">
        <v>7</v>
      </c>
    </row>
    <row r="58" spans="1:13">
      <c r="A58" s="2">
        <f t="shared" ca="1" si="0"/>
        <v>87</v>
      </c>
      <c r="B58" s="2" cm="1">
        <f t="array" aca="1" ref="B58" ca="1">INDEX(Data_DBD!$B:$B,$A58)</f>
        <v>21</v>
      </c>
      <c r="C58" s="2" cm="1">
        <f t="array" aca="1" ref="C58" ca="1">INDEX(Data_DBD!$C:$C,$A58)</f>
        <v>3</v>
      </c>
      <c r="D58" s="2" cm="1">
        <f t="array" aca="1" ref="D58" ca="1">INDEX(Data_DBD!$D:$D,$A58)</f>
        <v>13</v>
      </c>
      <c r="E58" s="2" cm="1">
        <f t="array" aca="1" ref="E58" ca="1">INDEX(Data_DBD!$E:$E,$A58)</f>
        <v>0</v>
      </c>
      <c r="F58" s="2" t="str" cm="1">
        <f t="array" aca="1" ref="F58" ca="1">INDEX(Data_DBD!$F:$F,$A58)</f>
        <v>Sedang</v>
      </c>
      <c r="H58" s="2">
        <v>105</v>
      </c>
      <c r="I58" s="2">
        <v>61</v>
      </c>
      <c r="J58" s="2">
        <v>3</v>
      </c>
      <c r="K58" s="2">
        <v>18</v>
      </c>
      <c r="L58" s="2">
        <v>1</v>
      </c>
      <c r="M58" s="2" t="s">
        <v>97</v>
      </c>
    </row>
    <row r="59" spans="1:13">
      <c r="A59" s="2">
        <f t="shared" ca="1" si="0"/>
        <v>96</v>
      </c>
      <c r="B59" s="2" cm="1">
        <f t="array" aca="1" ref="B59" ca="1">INDEX(Data_DBD!$B:$B,$A59)</f>
        <v>56</v>
      </c>
      <c r="C59" s="2" cm="1">
        <f t="array" aca="1" ref="C59" ca="1">INDEX(Data_DBD!$C:$C,$A59)</f>
        <v>4</v>
      </c>
      <c r="D59" s="2" cm="1">
        <f t="array" aca="1" ref="D59" ca="1">INDEX(Data_DBD!$D:$D,$A59)</f>
        <v>18</v>
      </c>
      <c r="E59" s="2" cm="1">
        <f t="array" aca="1" ref="E59" ca="1">INDEX(Data_DBD!$E:$E,$A59)</f>
        <v>0</v>
      </c>
      <c r="F59" s="2" t="str" cm="1">
        <f t="array" aca="1" ref="F59" ca="1">INDEX(Data_DBD!$F:$F,$A59)</f>
        <v>Tinggi</v>
      </c>
      <c r="H59" s="2">
        <v>119</v>
      </c>
      <c r="I59" s="2">
        <v>30</v>
      </c>
      <c r="J59" s="2">
        <v>7</v>
      </c>
      <c r="K59" s="2">
        <v>33</v>
      </c>
      <c r="L59" s="2">
        <v>0</v>
      </c>
      <c r="M59" s="2" t="s">
        <v>97</v>
      </c>
    </row>
    <row r="60" spans="1:13">
      <c r="A60" s="2">
        <f t="shared" ca="1" si="0"/>
        <v>28</v>
      </c>
      <c r="B60" s="2" cm="1">
        <f t="array" aca="1" ref="B60" ca="1">INDEX(Data_DBD!$B:$B,$A60)</f>
        <v>22</v>
      </c>
      <c r="C60" s="2" cm="1">
        <f t="array" aca="1" ref="C60" ca="1">INDEX(Data_DBD!$C:$C,$A60)</f>
        <v>2</v>
      </c>
      <c r="D60" s="2" cm="1">
        <f t="array" aca="1" ref="D60" ca="1">INDEX(Data_DBD!$D:$D,$A60)</f>
        <v>14</v>
      </c>
      <c r="E60" s="2" cm="1">
        <f t="array" aca="1" ref="E60" ca="1">INDEX(Data_DBD!$E:$E,$A60)</f>
        <v>1</v>
      </c>
      <c r="F60" s="2" t="str" cm="1">
        <f t="array" aca="1" ref="F60" ca="1">INDEX(Data_DBD!$F:$F,$A60)</f>
        <v>Sedang</v>
      </c>
      <c r="H60" s="2">
        <v>104</v>
      </c>
      <c r="I60" s="2">
        <v>37</v>
      </c>
      <c r="J60" s="2">
        <v>4</v>
      </c>
      <c r="K60" s="2">
        <v>18</v>
      </c>
      <c r="L60" s="2">
        <v>1</v>
      </c>
      <c r="M60" s="2" t="s">
        <v>97</v>
      </c>
    </row>
    <row r="61" spans="1:13">
      <c r="A61" s="2">
        <f t="shared" ca="1" si="0"/>
        <v>64</v>
      </c>
      <c r="B61" s="2" cm="1">
        <f t="array" aca="1" ref="B61" ca="1">INDEX(Data_DBD!$B:$B,$A61)</f>
        <v>35</v>
      </c>
      <c r="C61" s="2" cm="1">
        <f t="array" aca="1" ref="C61" ca="1">INDEX(Data_DBD!$C:$C,$A61)</f>
        <v>1</v>
      </c>
      <c r="D61" s="2" cm="1">
        <f t="array" aca="1" ref="D61" ca="1">INDEX(Data_DBD!$D:$D,$A61)</f>
        <v>15</v>
      </c>
      <c r="E61" s="2" cm="1">
        <f t="array" aca="1" ref="E61" ca="1">INDEX(Data_DBD!$E:$E,$A61)</f>
        <v>0</v>
      </c>
      <c r="F61" s="2" t="str" cm="1">
        <f t="array" aca="1" ref="F61" ca="1">INDEX(Data_DBD!$F:$F,$A61)</f>
        <v>Sedang</v>
      </c>
      <c r="H61" s="2">
        <v>45</v>
      </c>
      <c r="I61" s="2">
        <v>75</v>
      </c>
      <c r="J61" s="2">
        <v>3</v>
      </c>
      <c r="K61" s="2">
        <v>13</v>
      </c>
      <c r="L61" s="2">
        <v>1</v>
      </c>
      <c r="M61" s="2" t="s">
        <v>7</v>
      </c>
    </row>
    <row r="62" spans="1:13">
      <c r="A62" s="2">
        <f t="shared" ca="1" si="0"/>
        <v>56</v>
      </c>
      <c r="B62" s="2" cm="1">
        <f t="array" aca="1" ref="B62" ca="1">INDEX(Data_DBD!$B:$B,$A62)</f>
        <v>4</v>
      </c>
      <c r="C62" s="2" cm="1">
        <f t="array" aca="1" ref="C62" ca="1">INDEX(Data_DBD!$C:$C,$A62)</f>
        <v>3</v>
      </c>
      <c r="D62" s="2" cm="1">
        <f t="array" aca="1" ref="D62" ca="1">INDEX(Data_DBD!$D:$D,$A62)</f>
        <v>15</v>
      </c>
      <c r="E62" s="2" cm="1">
        <f t="array" aca="1" ref="E62" ca="1">INDEX(Data_DBD!$E:$E,$A62)</f>
        <v>0</v>
      </c>
      <c r="F62" s="2" t="str" cm="1">
        <f t="array" aca="1" ref="F62" ca="1">INDEX(Data_DBD!$F:$F,$A62)</f>
        <v>Sedang</v>
      </c>
      <c r="H62" s="2">
        <v>68</v>
      </c>
      <c r="I62" s="2">
        <v>44</v>
      </c>
      <c r="J62" s="2">
        <v>5</v>
      </c>
      <c r="K62" s="2">
        <v>10</v>
      </c>
      <c r="L62" s="2">
        <v>0</v>
      </c>
      <c r="M62" s="2" t="s">
        <v>7</v>
      </c>
    </row>
    <row r="63" spans="1:13">
      <c r="A63" s="2">
        <f t="shared" ca="1" si="0"/>
        <v>44</v>
      </c>
      <c r="B63" s="2" cm="1">
        <f t="array" aca="1" ref="B63" ca="1">INDEX(Data_DBD!$B:$B,$A63)</f>
        <v>28</v>
      </c>
      <c r="C63" s="2" cm="1">
        <f t="array" aca="1" ref="C63" ca="1">INDEX(Data_DBD!$C:$C,$A63)</f>
        <v>5</v>
      </c>
      <c r="D63" s="2" cm="1">
        <f t="array" aca="1" ref="D63" ca="1">INDEX(Data_DBD!$D:$D,$A63)</f>
        <v>13</v>
      </c>
      <c r="E63" s="2" cm="1">
        <f t="array" aca="1" ref="E63" ca="1">INDEX(Data_DBD!$E:$E,$A63)</f>
        <v>1</v>
      </c>
      <c r="F63" s="2" t="str" cm="1">
        <f t="array" aca="1" ref="F63" ca="1">INDEX(Data_DBD!$F:$F,$A63)</f>
        <v>Sedang</v>
      </c>
      <c r="H63" s="2">
        <v>6</v>
      </c>
      <c r="I63" s="2">
        <v>14</v>
      </c>
      <c r="J63" s="2">
        <v>4</v>
      </c>
      <c r="K63" s="2">
        <v>12</v>
      </c>
      <c r="L63" s="2">
        <v>0</v>
      </c>
      <c r="M63" s="2" t="s">
        <v>7</v>
      </c>
    </row>
    <row r="64" spans="1:13">
      <c r="A64" s="2">
        <f t="shared" ca="1" si="0"/>
        <v>102</v>
      </c>
      <c r="B64" s="2" cm="1">
        <f t="array" aca="1" ref="B64" ca="1">INDEX(Data_DBD!$B:$B,$A64)</f>
        <v>41</v>
      </c>
      <c r="C64" s="2" cm="1">
        <f t="array" aca="1" ref="C64" ca="1">INDEX(Data_DBD!$C:$C,$A64)</f>
        <v>4</v>
      </c>
      <c r="D64" s="2" cm="1">
        <f t="array" aca="1" ref="D64" ca="1">INDEX(Data_DBD!$D:$D,$A64)</f>
        <v>18</v>
      </c>
      <c r="E64" s="2" cm="1">
        <f t="array" aca="1" ref="E64" ca="1">INDEX(Data_DBD!$E:$E,$A64)</f>
        <v>0</v>
      </c>
      <c r="F64" s="2" t="str" cm="1">
        <f t="array" aca="1" ref="F64" ca="1">INDEX(Data_DBD!$F:$F,$A64)</f>
        <v>Tinggi</v>
      </c>
      <c r="H64" s="2">
        <v>113</v>
      </c>
      <c r="I64" s="2">
        <v>69</v>
      </c>
      <c r="J64" s="2">
        <v>1</v>
      </c>
      <c r="K64" s="2">
        <v>33</v>
      </c>
      <c r="L64" s="2">
        <v>1</v>
      </c>
      <c r="M64" s="2" t="s">
        <v>97</v>
      </c>
    </row>
    <row r="65" spans="1:13">
      <c r="A65" s="2">
        <f t="shared" ca="1" si="0"/>
        <v>121</v>
      </c>
      <c r="B65" s="2" cm="1">
        <f t="array" aca="1" ref="B65" ca="1">INDEX(Data_DBD!$B:$B,$A65)</f>
        <v>82</v>
      </c>
      <c r="C65" s="2" cm="1">
        <f t="array" aca="1" ref="C65" ca="1">INDEX(Data_DBD!$C:$C,$A65)</f>
        <v>5</v>
      </c>
      <c r="D65" s="2" cm="1">
        <f t="array" aca="1" ref="D65" ca="1">INDEX(Data_DBD!$D:$D,$A65)</f>
        <v>33</v>
      </c>
      <c r="E65" s="2" cm="1">
        <f t="array" aca="1" ref="E65" ca="1">INDEX(Data_DBD!$E:$E,$A65)</f>
        <v>1</v>
      </c>
      <c r="F65" s="2" t="str" cm="1">
        <f t="array" aca="1" ref="F65" ca="1">INDEX(Data_DBD!$F:$F,$A65)</f>
        <v>Tinggi</v>
      </c>
      <c r="H65" s="2">
        <v>34</v>
      </c>
      <c r="I65" s="2">
        <v>55</v>
      </c>
      <c r="J65" s="2">
        <v>3</v>
      </c>
      <c r="K65" s="2">
        <v>14</v>
      </c>
      <c r="L65" s="2">
        <v>0</v>
      </c>
      <c r="M65" s="2" t="s">
        <v>7</v>
      </c>
    </row>
    <row r="66" spans="1:13">
      <c r="A66" s="2">
        <f t="shared" ca="1" si="0"/>
        <v>95</v>
      </c>
      <c r="B66" s="2" cm="1">
        <f t="array" aca="1" ref="B66" ca="1">INDEX(Data_DBD!$B:$B,$A66)</f>
        <v>11</v>
      </c>
      <c r="C66" s="2" cm="1">
        <f t="array" aca="1" ref="C66" ca="1">INDEX(Data_DBD!$C:$C,$A66)</f>
        <v>3</v>
      </c>
      <c r="D66" s="2" cm="1">
        <f t="array" aca="1" ref="D66" ca="1">INDEX(Data_DBD!$D:$D,$A66)</f>
        <v>18</v>
      </c>
      <c r="E66" s="2" cm="1">
        <f t="array" aca="1" ref="E66" ca="1">INDEX(Data_DBD!$E:$E,$A66)</f>
        <v>1</v>
      </c>
      <c r="F66" s="2" t="str" cm="1">
        <f t="array" aca="1" ref="F66" ca="1">INDEX(Data_DBD!$F:$F,$A66)</f>
        <v>Tinggi</v>
      </c>
      <c r="H66" s="2">
        <v>42</v>
      </c>
      <c r="I66" s="2">
        <v>21</v>
      </c>
      <c r="J66" s="2">
        <v>5</v>
      </c>
      <c r="K66" s="2">
        <v>13</v>
      </c>
      <c r="L66" s="2">
        <v>1</v>
      </c>
      <c r="M66" s="2" t="s">
        <v>7</v>
      </c>
    </row>
    <row r="67" spans="1:13">
      <c r="A67" s="2">
        <f t="shared" ref="A67:A130" ca="1" si="1">RANDBETWEEN(2,164)</f>
        <v>73</v>
      </c>
      <c r="B67" s="2" cm="1">
        <f t="array" aca="1" ref="B67" ca="1">INDEX(Data_DBD!$B:$B,$A67)</f>
        <v>15</v>
      </c>
      <c r="C67" s="2" cm="1">
        <f t="array" aca="1" ref="C67" ca="1">INDEX(Data_DBD!$C:$C,$A67)</f>
        <v>3</v>
      </c>
      <c r="D67" s="2" cm="1">
        <f t="array" aca="1" ref="D67" ca="1">INDEX(Data_DBD!$D:$D,$A67)</f>
        <v>10</v>
      </c>
      <c r="E67" s="2" cm="1">
        <f t="array" aca="1" ref="E67" ca="1">INDEX(Data_DBD!$E:$E,$A67)</f>
        <v>1</v>
      </c>
      <c r="F67" s="2" t="str" cm="1">
        <f t="array" aca="1" ref="F67" ca="1">INDEX(Data_DBD!$F:$F,$A67)</f>
        <v>Sedang</v>
      </c>
      <c r="H67" s="2">
        <v>130</v>
      </c>
      <c r="I67" s="2">
        <v>12</v>
      </c>
      <c r="J67" s="2">
        <v>4</v>
      </c>
      <c r="K67" s="2">
        <v>33</v>
      </c>
      <c r="L67" s="2">
        <v>0</v>
      </c>
      <c r="M67" s="2" t="s">
        <v>97</v>
      </c>
    </row>
    <row r="68" spans="1:13">
      <c r="A68" s="2">
        <f t="shared" ca="1" si="1"/>
        <v>112</v>
      </c>
      <c r="B68" s="2" cm="1">
        <f t="array" aca="1" ref="B68" ca="1">INDEX(Data_DBD!$B:$B,$A68)</f>
        <v>61</v>
      </c>
      <c r="C68" s="2" cm="1">
        <f t="array" aca="1" ref="C68" ca="1">INDEX(Data_DBD!$C:$C,$A68)</f>
        <v>3</v>
      </c>
      <c r="D68" s="2" cm="1">
        <f t="array" aca="1" ref="D68" ca="1">INDEX(Data_DBD!$D:$D,$A68)</f>
        <v>33</v>
      </c>
      <c r="E68" s="2" cm="1">
        <f t="array" aca="1" ref="E68" ca="1">INDEX(Data_DBD!$E:$E,$A68)</f>
        <v>1</v>
      </c>
      <c r="F68" s="2" t="str" cm="1">
        <f t="array" aca="1" ref="F68" ca="1">INDEX(Data_DBD!$F:$F,$A68)</f>
        <v>Tinggi</v>
      </c>
      <c r="H68" s="2">
        <v>113</v>
      </c>
      <c r="I68" s="2">
        <v>69</v>
      </c>
      <c r="J68" s="2">
        <v>1</v>
      </c>
      <c r="K68" s="2">
        <v>33</v>
      </c>
      <c r="L68" s="2">
        <v>1</v>
      </c>
      <c r="M68" s="2" t="s">
        <v>97</v>
      </c>
    </row>
    <row r="69" spans="1:13">
      <c r="A69" s="2">
        <f t="shared" ca="1" si="1"/>
        <v>96</v>
      </c>
      <c r="B69" s="2" cm="1">
        <f t="array" aca="1" ref="B69" ca="1">INDEX(Data_DBD!$B:$B,$A69)</f>
        <v>56</v>
      </c>
      <c r="C69" s="2" cm="1">
        <f t="array" aca="1" ref="C69" ca="1">INDEX(Data_DBD!$C:$C,$A69)</f>
        <v>4</v>
      </c>
      <c r="D69" s="2" cm="1">
        <f t="array" aca="1" ref="D69" ca="1">INDEX(Data_DBD!$D:$D,$A69)</f>
        <v>18</v>
      </c>
      <c r="E69" s="2" cm="1">
        <f t="array" aca="1" ref="E69" ca="1">INDEX(Data_DBD!$E:$E,$A69)</f>
        <v>0</v>
      </c>
      <c r="F69" s="2" t="str" cm="1">
        <f t="array" aca="1" ref="F69" ca="1">INDEX(Data_DBD!$F:$F,$A69)</f>
        <v>Tinggi</v>
      </c>
      <c r="H69" s="2">
        <v>40</v>
      </c>
      <c r="I69" s="2">
        <v>65</v>
      </c>
      <c r="J69" s="2">
        <v>3</v>
      </c>
      <c r="K69" s="2">
        <v>13</v>
      </c>
      <c r="L69" s="2">
        <v>1</v>
      </c>
      <c r="M69" s="2" t="s">
        <v>7</v>
      </c>
    </row>
    <row r="70" spans="1:13">
      <c r="A70" s="2">
        <f t="shared" ca="1" si="1"/>
        <v>67</v>
      </c>
      <c r="B70" s="2" cm="1">
        <f t="array" aca="1" ref="B70" ca="1">INDEX(Data_DBD!$B:$B,$A70)</f>
        <v>21</v>
      </c>
      <c r="C70" s="2" cm="1">
        <f t="array" aca="1" ref="C70" ca="1">INDEX(Data_DBD!$C:$C,$A70)</f>
        <v>3</v>
      </c>
      <c r="D70" s="2" cm="1">
        <f t="array" aca="1" ref="D70" ca="1">INDEX(Data_DBD!$D:$D,$A70)</f>
        <v>10</v>
      </c>
      <c r="E70" s="2" cm="1">
        <f t="array" aca="1" ref="E70" ca="1">INDEX(Data_DBD!$E:$E,$A70)</f>
        <v>1</v>
      </c>
      <c r="F70" s="2" t="str" cm="1">
        <f t="array" aca="1" ref="F70" ca="1">INDEX(Data_DBD!$F:$F,$A70)</f>
        <v>Sedang</v>
      </c>
      <c r="H70" s="2">
        <v>151</v>
      </c>
      <c r="I70" s="2">
        <v>24</v>
      </c>
      <c r="J70" s="2">
        <v>3</v>
      </c>
      <c r="K70" s="2">
        <v>21</v>
      </c>
      <c r="L70" s="2">
        <v>0</v>
      </c>
      <c r="M70" s="2" t="s">
        <v>97</v>
      </c>
    </row>
    <row r="71" spans="1:13">
      <c r="A71" s="2">
        <f t="shared" ca="1" si="1"/>
        <v>6</v>
      </c>
      <c r="B71" s="2" cm="1">
        <f t="array" aca="1" ref="B71" ca="1">INDEX(Data_DBD!$B:$B,$A71)</f>
        <v>14</v>
      </c>
      <c r="C71" s="2" cm="1">
        <f t="array" aca="1" ref="C71" ca="1">INDEX(Data_DBD!$C:$C,$A71)</f>
        <v>4</v>
      </c>
      <c r="D71" s="2" cm="1">
        <f t="array" aca="1" ref="D71" ca="1">INDEX(Data_DBD!$D:$D,$A71)</f>
        <v>12</v>
      </c>
      <c r="E71" s="2" cm="1">
        <f t="array" aca="1" ref="E71" ca="1">INDEX(Data_DBD!$E:$E,$A71)</f>
        <v>0</v>
      </c>
      <c r="F71" s="2" t="str" cm="1">
        <f t="array" aca="1" ref="F71" ca="1">INDEX(Data_DBD!$F:$F,$A71)</f>
        <v>Sedang</v>
      </c>
      <c r="H71" s="2">
        <v>29</v>
      </c>
      <c r="I71" s="2">
        <v>19</v>
      </c>
      <c r="J71" s="2">
        <v>2</v>
      </c>
      <c r="K71" s="2">
        <v>14</v>
      </c>
      <c r="L71" s="2">
        <v>1</v>
      </c>
      <c r="M71" s="2" t="s">
        <v>7</v>
      </c>
    </row>
    <row r="72" spans="1:13">
      <c r="A72" s="2">
        <f t="shared" ca="1" si="1"/>
        <v>61</v>
      </c>
      <c r="B72" s="2" cm="1">
        <f t="array" aca="1" ref="B72" ca="1">INDEX(Data_DBD!$B:$B,$A72)</f>
        <v>29</v>
      </c>
      <c r="C72" s="2" cm="1">
        <f t="array" aca="1" ref="C72" ca="1">INDEX(Data_DBD!$C:$C,$A72)</f>
        <v>3</v>
      </c>
      <c r="D72" s="2" cm="1">
        <f t="array" aca="1" ref="D72" ca="1">INDEX(Data_DBD!$D:$D,$A72)</f>
        <v>15</v>
      </c>
      <c r="E72" s="2" cm="1">
        <f t="array" aca="1" ref="E72" ca="1">INDEX(Data_DBD!$E:$E,$A72)</f>
        <v>1</v>
      </c>
      <c r="F72" s="2" t="str" cm="1">
        <f t="array" aca="1" ref="F72" ca="1">INDEX(Data_DBD!$F:$F,$A72)</f>
        <v>Sedang</v>
      </c>
      <c r="H72" s="2">
        <v>152</v>
      </c>
      <c r="I72" s="2">
        <v>47</v>
      </c>
      <c r="J72" s="2">
        <v>3</v>
      </c>
      <c r="K72" s="2">
        <v>21</v>
      </c>
      <c r="L72" s="2">
        <v>1</v>
      </c>
      <c r="M72" s="2" t="s">
        <v>97</v>
      </c>
    </row>
    <row r="73" spans="1:13">
      <c r="A73" s="2">
        <f t="shared" ca="1" si="1"/>
        <v>3</v>
      </c>
      <c r="B73" s="2" cm="1">
        <f t="array" aca="1" ref="B73" ca="1">INDEX(Data_DBD!$B:$B,$A73)</f>
        <v>43</v>
      </c>
      <c r="C73" s="2" cm="1">
        <f t="array" aca="1" ref="C73" ca="1">INDEX(Data_DBD!$C:$C,$A73)</f>
        <v>3</v>
      </c>
      <c r="D73" s="2" cm="1">
        <f t="array" aca="1" ref="D73" ca="1">INDEX(Data_DBD!$D:$D,$A73)</f>
        <v>12</v>
      </c>
      <c r="E73" s="2" cm="1">
        <f t="array" aca="1" ref="E73" ca="1">INDEX(Data_DBD!$E:$E,$A73)</f>
        <v>1</v>
      </c>
      <c r="F73" s="2" t="str" cm="1">
        <f t="array" aca="1" ref="F73" ca="1">INDEX(Data_DBD!$F:$F,$A73)</f>
        <v>Sedang</v>
      </c>
      <c r="H73" s="2">
        <v>129</v>
      </c>
      <c r="I73" s="2">
        <v>4</v>
      </c>
      <c r="J73" s="2">
        <v>3</v>
      </c>
      <c r="K73" s="2">
        <v>33</v>
      </c>
      <c r="L73" s="2">
        <v>0</v>
      </c>
      <c r="M73" s="2" t="s">
        <v>97</v>
      </c>
    </row>
    <row r="74" spans="1:13">
      <c r="A74" s="2">
        <f t="shared" ca="1" si="1"/>
        <v>114</v>
      </c>
      <c r="B74" s="2" cm="1">
        <f t="array" aca="1" ref="B74" ca="1">INDEX(Data_DBD!$B:$B,$A74)</f>
        <v>14</v>
      </c>
      <c r="C74" s="2" cm="1">
        <f t="array" aca="1" ref="C74" ca="1">INDEX(Data_DBD!$C:$C,$A74)</f>
        <v>2</v>
      </c>
      <c r="D74" s="2" cm="1">
        <f t="array" aca="1" ref="D74" ca="1">INDEX(Data_DBD!$D:$D,$A74)</f>
        <v>33</v>
      </c>
      <c r="E74" s="2" cm="1">
        <f t="array" aca="1" ref="E74" ca="1">INDEX(Data_DBD!$E:$E,$A74)</f>
        <v>1</v>
      </c>
      <c r="F74" s="2" t="str" cm="1">
        <f t="array" aca="1" ref="F74" ca="1">INDEX(Data_DBD!$F:$F,$A74)</f>
        <v>Tinggi</v>
      </c>
      <c r="H74" s="2">
        <v>100</v>
      </c>
      <c r="I74" s="2">
        <v>19</v>
      </c>
      <c r="J74" s="2">
        <v>6</v>
      </c>
      <c r="K74" s="2">
        <v>18</v>
      </c>
      <c r="L74" s="2">
        <v>0</v>
      </c>
      <c r="M74" s="2" t="s">
        <v>97</v>
      </c>
    </row>
    <row r="75" spans="1:13">
      <c r="A75" s="2">
        <f t="shared" ca="1" si="1"/>
        <v>91</v>
      </c>
      <c r="B75" s="2" cm="1">
        <f t="array" aca="1" ref="B75" ca="1">INDEX(Data_DBD!$B:$B,$A75)</f>
        <v>35</v>
      </c>
      <c r="C75" s="2" cm="1">
        <f t="array" aca="1" ref="C75" ca="1">INDEX(Data_DBD!$C:$C,$A75)</f>
        <v>1</v>
      </c>
      <c r="D75" s="2" cm="1">
        <f t="array" aca="1" ref="D75" ca="1">INDEX(Data_DBD!$D:$D,$A75)</f>
        <v>18</v>
      </c>
      <c r="E75" s="2" cm="1">
        <f t="array" aca="1" ref="E75" ca="1">INDEX(Data_DBD!$E:$E,$A75)</f>
        <v>1</v>
      </c>
      <c r="F75" s="2" t="str" cm="1">
        <f t="array" aca="1" ref="F75" ca="1">INDEX(Data_DBD!$F:$F,$A75)</f>
        <v>Tinggi</v>
      </c>
      <c r="H75" s="2">
        <v>32</v>
      </c>
      <c r="I75" s="2">
        <v>54</v>
      </c>
      <c r="J75" s="2">
        <v>4</v>
      </c>
      <c r="K75" s="2">
        <v>14</v>
      </c>
      <c r="L75" s="2">
        <v>0</v>
      </c>
      <c r="M75" s="2" t="s">
        <v>7</v>
      </c>
    </row>
    <row r="76" spans="1:13">
      <c r="A76" s="2">
        <f t="shared" ca="1" si="1"/>
        <v>20</v>
      </c>
      <c r="B76" s="2" cm="1">
        <f t="array" aca="1" ref="B76" ca="1">INDEX(Data_DBD!$B:$B,$A76)</f>
        <v>15</v>
      </c>
      <c r="C76" s="2" cm="1">
        <f t="array" aca="1" ref="C76" ca="1">INDEX(Data_DBD!$C:$C,$A76)</f>
        <v>5</v>
      </c>
      <c r="D76" s="2" cm="1">
        <f t="array" aca="1" ref="D76" ca="1">INDEX(Data_DBD!$D:$D,$A76)</f>
        <v>7</v>
      </c>
      <c r="E76" s="2" cm="1">
        <f t="array" aca="1" ref="E76" ca="1">INDEX(Data_DBD!$E:$E,$A76)</f>
        <v>0</v>
      </c>
      <c r="F76" s="2" t="str" cm="1">
        <f t="array" aca="1" ref="F76" ca="1">INDEX(Data_DBD!$F:$F,$A76)</f>
        <v>Rendah</v>
      </c>
      <c r="H76" s="2">
        <v>24</v>
      </c>
      <c r="I76" s="2">
        <v>60</v>
      </c>
      <c r="J76" s="2">
        <v>4</v>
      </c>
      <c r="K76" s="2">
        <v>14</v>
      </c>
      <c r="L76" s="2">
        <v>0</v>
      </c>
      <c r="M76" s="2" t="s">
        <v>7</v>
      </c>
    </row>
    <row r="77" spans="1:13">
      <c r="A77" s="2">
        <f t="shared" ca="1" si="1"/>
        <v>130</v>
      </c>
      <c r="B77" s="2" cm="1">
        <f t="array" aca="1" ref="B77" ca="1">INDEX(Data_DBD!$B:$B,$A77)</f>
        <v>12</v>
      </c>
      <c r="C77" s="2" cm="1">
        <f t="array" aca="1" ref="C77" ca="1">INDEX(Data_DBD!$C:$C,$A77)</f>
        <v>4</v>
      </c>
      <c r="D77" s="2" cm="1">
        <f t="array" aca="1" ref="D77" ca="1">INDEX(Data_DBD!$D:$D,$A77)</f>
        <v>33</v>
      </c>
      <c r="E77" s="2" cm="1">
        <f t="array" aca="1" ref="E77" ca="1">INDEX(Data_DBD!$E:$E,$A77)</f>
        <v>0</v>
      </c>
      <c r="F77" s="2" t="str" cm="1">
        <f t="array" aca="1" ref="F77" ca="1">INDEX(Data_DBD!$F:$F,$A77)</f>
        <v>Tinggi</v>
      </c>
      <c r="H77" s="2">
        <v>89</v>
      </c>
      <c r="I77" s="2">
        <v>32</v>
      </c>
      <c r="J77" s="2">
        <v>4</v>
      </c>
      <c r="K77" s="2">
        <v>13</v>
      </c>
      <c r="L77" s="2">
        <v>0</v>
      </c>
      <c r="M77" s="2" t="s">
        <v>7</v>
      </c>
    </row>
    <row r="78" spans="1:13">
      <c r="A78" s="2">
        <f t="shared" ca="1" si="1"/>
        <v>147</v>
      </c>
      <c r="B78" s="2" cm="1">
        <f t="array" aca="1" ref="B78" ca="1">INDEX(Data_DBD!$B:$B,$A78)</f>
        <v>66</v>
      </c>
      <c r="C78" s="2" cm="1">
        <f t="array" aca="1" ref="C78" ca="1">INDEX(Data_DBD!$C:$C,$A78)</f>
        <v>10</v>
      </c>
      <c r="D78" s="2" cm="1">
        <f t="array" aca="1" ref="D78" ca="1">INDEX(Data_DBD!$D:$D,$A78)</f>
        <v>21</v>
      </c>
      <c r="E78" s="2" cm="1">
        <f t="array" aca="1" ref="E78" ca="1">INDEX(Data_DBD!$E:$E,$A78)</f>
        <v>1</v>
      </c>
      <c r="F78" s="2" t="str" cm="1">
        <f t="array" aca="1" ref="F78" ca="1">INDEX(Data_DBD!$F:$F,$A78)</f>
        <v>Tinggi</v>
      </c>
      <c r="H78" s="2">
        <v>132</v>
      </c>
      <c r="I78" s="2">
        <v>10</v>
      </c>
      <c r="J78" s="2">
        <v>3</v>
      </c>
      <c r="K78" s="2">
        <v>33</v>
      </c>
      <c r="L78" s="2">
        <v>1</v>
      </c>
      <c r="M78" s="2" t="s">
        <v>97</v>
      </c>
    </row>
    <row r="79" spans="1:13">
      <c r="A79" s="2">
        <f t="shared" ca="1" si="1"/>
        <v>159</v>
      </c>
      <c r="B79" s="2" cm="1">
        <f t="array" aca="1" ref="B79" ca="1">INDEX(Data_DBD!$B:$B,$A79)</f>
        <v>17</v>
      </c>
      <c r="C79" s="2" cm="1">
        <f t="array" aca="1" ref="C79" ca="1">INDEX(Data_DBD!$C:$C,$A79)</f>
        <v>2</v>
      </c>
      <c r="D79" s="2" cm="1">
        <f t="array" aca="1" ref="D79" ca="1">INDEX(Data_DBD!$D:$D,$A79)</f>
        <v>21</v>
      </c>
      <c r="E79" s="2" cm="1">
        <f t="array" aca="1" ref="E79" ca="1">INDEX(Data_DBD!$E:$E,$A79)</f>
        <v>0</v>
      </c>
      <c r="F79" s="2" t="str" cm="1">
        <f t="array" aca="1" ref="F79" ca="1">INDEX(Data_DBD!$F:$F,$A79)</f>
        <v>Tinggi</v>
      </c>
      <c r="H79" s="2">
        <v>142</v>
      </c>
      <c r="I79" s="2">
        <v>39</v>
      </c>
      <c r="J79" s="2">
        <v>2</v>
      </c>
      <c r="K79" s="2">
        <v>21</v>
      </c>
      <c r="L79" s="2">
        <v>1</v>
      </c>
      <c r="M79" s="2" t="s">
        <v>97</v>
      </c>
    </row>
    <row r="80" spans="1:13">
      <c r="A80" s="2">
        <f t="shared" ca="1" si="1"/>
        <v>88</v>
      </c>
      <c r="B80" s="2" cm="1">
        <f t="array" aca="1" ref="B80" ca="1">INDEX(Data_DBD!$B:$B,$A80)</f>
        <v>20</v>
      </c>
      <c r="C80" s="2" cm="1">
        <f t="array" aca="1" ref="C80" ca="1">INDEX(Data_DBD!$C:$C,$A80)</f>
        <v>4</v>
      </c>
      <c r="D80" s="2" cm="1">
        <f t="array" aca="1" ref="D80" ca="1">INDEX(Data_DBD!$D:$D,$A80)</f>
        <v>13</v>
      </c>
      <c r="E80" s="2" cm="1">
        <f t="array" aca="1" ref="E80" ca="1">INDEX(Data_DBD!$E:$E,$A80)</f>
        <v>1</v>
      </c>
      <c r="F80" s="2" t="str" cm="1">
        <f t="array" aca="1" ref="F80" ca="1">INDEX(Data_DBD!$F:$F,$A80)</f>
        <v>Sedang</v>
      </c>
      <c r="H80" s="2">
        <v>151</v>
      </c>
      <c r="I80" s="2">
        <v>24</v>
      </c>
      <c r="J80" s="2">
        <v>3</v>
      </c>
      <c r="K80" s="2">
        <v>21</v>
      </c>
      <c r="L80" s="2">
        <v>0</v>
      </c>
      <c r="M80" s="2" t="s">
        <v>97</v>
      </c>
    </row>
    <row r="81" spans="1:13">
      <c r="A81" s="2">
        <f t="shared" ca="1" si="1"/>
        <v>118</v>
      </c>
      <c r="B81" s="2" cm="1">
        <f t="array" aca="1" ref="B81" ca="1">INDEX(Data_DBD!$B:$B,$A81)</f>
        <v>67</v>
      </c>
      <c r="C81" s="2" cm="1">
        <f t="array" aca="1" ref="C81" ca="1">INDEX(Data_DBD!$C:$C,$A81)</f>
        <v>4</v>
      </c>
      <c r="D81" s="2" cm="1">
        <f t="array" aca="1" ref="D81" ca="1">INDEX(Data_DBD!$D:$D,$A81)</f>
        <v>33</v>
      </c>
      <c r="E81" s="2" cm="1">
        <f t="array" aca="1" ref="E81" ca="1">INDEX(Data_DBD!$E:$E,$A81)</f>
        <v>1</v>
      </c>
      <c r="F81" s="2" t="str" cm="1">
        <f t="array" aca="1" ref="F81" ca="1">INDEX(Data_DBD!$F:$F,$A81)</f>
        <v>Tinggi</v>
      </c>
      <c r="H81" s="2">
        <v>119</v>
      </c>
      <c r="I81" s="2">
        <v>30</v>
      </c>
      <c r="J81" s="2">
        <v>7</v>
      </c>
      <c r="K81" s="2">
        <v>33</v>
      </c>
      <c r="L81" s="2">
        <v>0</v>
      </c>
      <c r="M81" s="2" t="s">
        <v>97</v>
      </c>
    </row>
    <row r="82" spans="1:13">
      <c r="A82" s="2">
        <f t="shared" ca="1" si="1"/>
        <v>56</v>
      </c>
      <c r="B82" s="2" cm="1">
        <f t="array" aca="1" ref="B82" ca="1">INDEX(Data_DBD!$B:$B,$A82)</f>
        <v>4</v>
      </c>
      <c r="C82" s="2" cm="1">
        <f t="array" aca="1" ref="C82" ca="1">INDEX(Data_DBD!$C:$C,$A82)</f>
        <v>3</v>
      </c>
      <c r="D82" s="2" cm="1">
        <f t="array" aca="1" ref="D82" ca="1">INDEX(Data_DBD!$D:$D,$A82)</f>
        <v>15</v>
      </c>
      <c r="E82" s="2" cm="1">
        <f t="array" aca="1" ref="E82" ca="1">INDEX(Data_DBD!$E:$E,$A82)</f>
        <v>0</v>
      </c>
      <c r="F82" s="2" t="str" cm="1">
        <f t="array" aca="1" ref="F82" ca="1">INDEX(Data_DBD!$F:$F,$A82)</f>
        <v>Sedang</v>
      </c>
      <c r="H82" s="2">
        <v>105</v>
      </c>
      <c r="I82" s="2">
        <v>61</v>
      </c>
      <c r="J82" s="2">
        <v>3</v>
      </c>
      <c r="K82" s="2">
        <v>18</v>
      </c>
      <c r="L82" s="2">
        <v>1</v>
      </c>
      <c r="M82" s="2" t="s">
        <v>97</v>
      </c>
    </row>
    <row r="83" spans="1:13">
      <c r="A83" s="2">
        <f t="shared" ca="1" si="1"/>
        <v>58</v>
      </c>
      <c r="B83" s="2" cm="1">
        <f t="array" aca="1" ref="B83" ca="1">INDEX(Data_DBD!$B:$B,$A83)</f>
        <v>17</v>
      </c>
      <c r="C83" s="2" cm="1">
        <f t="array" aca="1" ref="C83" ca="1">INDEX(Data_DBD!$C:$C,$A83)</f>
        <v>3</v>
      </c>
      <c r="D83" s="2" cm="1">
        <f t="array" aca="1" ref="D83" ca="1">INDEX(Data_DBD!$D:$D,$A83)</f>
        <v>15</v>
      </c>
      <c r="E83" s="2" cm="1">
        <f t="array" aca="1" ref="E83" ca="1">INDEX(Data_DBD!$E:$E,$A83)</f>
        <v>0</v>
      </c>
      <c r="F83" s="2" t="str" cm="1">
        <f t="array" aca="1" ref="F83" ca="1">INDEX(Data_DBD!$F:$F,$A83)</f>
        <v>Sedang</v>
      </c>
      <c r="H83" s="2">
        <v>153</v>
      </c>
      <c r="I83" s="2">
        <v>73</v>
      </c>
      <c r="J83" s="2">
        <v>7</v>
      </c>
      <c r="K83" s="2">
        <v>21</v>
      </c>
      <c r="L83" s="2">
        <v>1</v>
      </c>
      <c r="M83" s="2" t="s">
        <v>97</v>
      </c>
    </row>
    <row r="84" spans="1:13">
      <c r="A84" s="2">
        <f t="shared" ca="1" si="1"/>
        <v>27</v>
      </c>
      <c r="B84" s="2" cm="1">
        <f t="array" aca="1" ref="B84" ca="1">INDEX(Data_DBD!$B:$B,$A84)</f>
        <v>37</v>
      </c>
      <c r="C84" s="2" cm="1">
        <f t="array" aca="1" ref="C84" ca="1">INDEX(Data_DBD!$C:$C,$A84)</f>
        <v>4</v>
      </c>
      <c r="D84" s="2" cm="1">
        <f t="array" aca="1" ref="D84" ca="1">INDEX(Data_DBD!$D:$D,$A84)</f>
        <v>14</v>
      </c>
      <c r="E84" s="2" cm="1">
        <f t="array" aca="1" ref="E84" ca="1">INDEX(Data_DBD!$E:$E,$A84)</f>
        <v>1</v>
      </c>
      <c r="F84" s="2" t="str" cm="1">
        <f t="array" aca="1" ref="F84" ca="1">INDEX(Data_DBD!$F:$F,$A84)</f>
        <v>Sedang</v>
      </c>
      <c r="H84" s="2">
        <v>106</v>
      </c>
      <c r="I84" s="2">
        <v>23</v>
      </c>
      <c r="J84" s="2">
        <v>3</v>
      </c>
      <c r="K84" s="2">
        <v>18</v>
      </c>
      <c r="L84" s="2">
        <v>1</v>
      </c>
      <c r="M84" s="2" t="s">
        <v>97</v>
      </c>
    </row>
    <row r="85" spans="1:13">
      <c r="A85" s="2">
        <f t="shared" ca="1" si="1"/>
        <v>23</v>
      </c>
      <c r="B85" s="2" cm="1">
        <f t="array" aca="1" ref="B85" ca="1">INDEX(Data_DBD!$B:$B,$A85)</f>
        <v>28</v>
      </c>
      <c r="C85" s="2" cm="1">
        <f t="array" aca="1" ref="C85" ca="1">INDEX(Data_DBD!$C:$C,$A85)</f>
        <v>4</v>
      </c>
      <c r="D85" s="2" cm="1">
        <f t="array" aca="1" ref="D85" ca="1">INDEX(Data_DBD!$D:$D,$A85)</f>
        <v>14</v>
      </c>
      <c r="E85" s="2" cm="1">
        <f t="array" aca="1" ref="E85" ca="1">INDEX(Data_DBD!$E:$E,$A85)</f>
        <v>1</v>
      </c>
      <c r="F85" s="2" t="str" cm="1">
        <f t="array" aca="1" ref="F85" ca="1">INDEX(Data_DBD!$F:$F,$A85)</f>
        <v>Sedang</v>
      </c>
      <c r="H85" s="2">
        <v>108</v>
      </c>
      <c r="I85" s="2">
        <v>69</v>
      </c>
      <c r="J85" s="2">
        <v>7</v>
      </c>
      <c r="K85" s="2">
        <v>33</v>
      </c>
      <c r="L85" s="2">
        <v>1</v>
      </c>
      <c r="M85" s="2" t="s">
        <v>97</v>
      </c>
    </row>
    <row r="86" spans="1:13">
      <c r="A86" s="2">
        <f t="shared" ca="1" si="1"/>
        <v>55</v>
      </c>
      <c r="B86" s="2" cm="1">
        <f t="array" aca="1" ref="B86" ca="1">INDEX(Data_DBD!$B:$B,$A86)</f>
        <v>7</v>
      </c>
      <c r="C86" s="2" cm="1">
        <f t="array" aca="1" ref="C86" ca="1">INDEX(Data_DBD!$C:$C,$A86)</f>
        <v>4</v>
      </c>
      <c r="D86" s="2" cm="1">
        <f t="array" aca="1" ref="D86" ca="1">INDEX(Data_DBD!$D:$D,$A86)</f>
        <v>15</v>
      </c>
      <c r="E86" s="2" cm="1">
        <f t="array" aca="1" ref="E86" ca="1">INDEX(Data_DBD!$E:$E,$A86)</f>
        <v>1</v>
      </c>
      <c r="F86" s="2" t="str" cm="1">
        <f t="array" aca="1" ref="F86" ca="1">INDEX(Data_DBD!$F:$F,$A86)</f>
        <v>Sedang</v>
      </c>
      <c r="H86" s="2">
        <v>39</v>
      </c>
      <c r="I86" s="2">
        <v>12</v>
      </c>
      <c r="J86" s="2">
        <v>5</v>
      </c>
      <c r="K86" s="2">
        <v>13</v>
      </c>
      <c r="L86" s="2">
        <v>1</v>
      </c>
      <c r="M86" s="2" t="s">
        <v>7</v>
      </c>
    </row>
    <row r="87" spans="1:13">
      <c r="A87" s="2">
        <f t="shared" ca="1" si="1"/>
        <v>119</v>
      </c>
      <c r="B87" s="2" cm="1">
        <f t="array" aca="1" ref="B87" ca="1">INDEX(Data_DBD!$B:$B,$A87)</f>
        <v>30</v>
      </c>
      <c r="C87" s="2" cm="1">
        <f t="array" aca="1" ref="C87" ca="1">INDEX(Data_DBD!$C:$C,$A87)</f>
        <v>7</v>
      </c>
      <c r="D87" s="2" cm="1">
        <f t="array" aca="1" ref="D87" ca="1">INDEX(Data_DBD!$D:$D,$A87)</f>
        <v>33</v>
      </c>
      <c r="E87" s="2" cm="1">
        <f t="array" aca="1" ref="E87" ca="1">INDEX(Data_DBD!$E:$E,$A87)</f>
        <v>0</v>
      </c>
      <c r="F87" s="2" t="str" cm="1">
        <f t="array" aca="1" ref="F87" ca="1">INDEX(Data_DBD!$F:$F,$A87)</f>
        <v>Tinggi</v>
      </c>
      <c r="H87" s="2">
        <v>164</v>
      </c>
      <c r="I87" s="2">
        <v>10</v>
      </c>
      <c r="J87" s="2">
        <v>6</v>
      </c>
      <c r="K87" s="2">
        <v>3</v>
      </c>
      <c r="L87" s="2">
        <v>0</v>
      </c>
      <c r="M87" s="2" t="s">
        <v>20</v>
      </c>
    </row>
    <row r="88" spans="1:13">
      <c r="A88" s="2">
        <f t="shared" ca="1" si="1"/>
        <v>147</v>
      </c>
      <c r="B88" s="2" cm="1">
        <f t="array" aca="1" ref="B88" ca="1">INDEX(Data_DBD!$B:$B,$A88)</f>
        <v>66</v>
      </c>
      <c r="C88" s="2" cm="1">
        <f t="array" aca="1" ref="C88" ca="1">INDEX(Data_DBD!$C:$C,$A88)</f>
        <v>10</v>
      </c>
      <c r="D88" s="2" cm="1">
        <f t="array" aca="1" ref="D88" ca="1">INDEX(Data_DBD!$D:$D,$A88)</f>
        <v>21</v>
      </c>
      <c r="E88" s="2" cm="1">
        <f t="array" aca="1" ref="E88" ca="1">INDEX(Data_DBD!$E:$E,$A88)</f>
        <v>1</v>
      </c>
      <c r="F88" s="2" t="str" cm="1">
        <f t="array" aca="1" ref="F88" ca="1">INDEX(Data_DBD!$F:$F,$A88)</f>
        <v>Tinggi</v>
      </c>
      <c r="H88" s="2">
        <v>77</v>
      </c>
      <c r="I88" s="2">
        <v>16</v>
      </c>
      <c r="J88" s="2">
        <v>4</v>
      </c>
      <c r="K88" s="2">
        <v>13</v>
      </c>
      <c r="L88" s="2">
        <v>1</v>
      </c>
      <c r="M88" s="2" t="s">
        <v>7</v>
      </c>
    </row>
    <row r="89" spans="1:13">
      <c r="A89" s="2">
        <f t="shared" ca="1" si="1"/>
        <v>45</v>
      </c>
      <c r="B89" s="2" cm="1">
        <f t="array" aca="1" ref="B89" ca="1">INDEX(Data_DBD!$B:$B,$A89)</f>
        <v>75</v>
      </c>
      <c r="C89" s="2" cm="1">
        <f t="array" aca="1" ref="C89" ca="1">INDEX(Data_DBD!$C:$C,$A89)</f>
        <v>3</v>
      </c>
      <c r="D89" s="2" cm="1">
        <f t="array" aca="1" ref="D89" ca="1">INDEX(Data_DBD!$D:$D,$A89)</f>
        <v>13</v>
      </c>
      <c r="E89" s="2" cm="1">
        <f t="array" aca="1" ref="E89" ca="1">INDEX(Data_DBD!$E:$E,$A89)</f>
        <v>1</v>
      </c>
      <c r="F89" s="2" t="str" cm="1">
        <f t="array" aca="1" ref="F89" ca="1">INDEX(Data_DBD!$F:$F,$A89)</f>
        <v>Sedang</v>
      </c>
      <c r="H89" s="2">
        <v>138</v>
      </c>
      <c r="I89" s="2">
        <v>13</v>
      </c>
      <c r="J89" s="2">
        <v>3</v>
      </c>
      <c r="K89" s="2">
        <v>33</v>
      </c>
      <c r="L89" s="2">
        <v>1</v>
      </c>
      <c r="M89" s="2" t="s">
        <v>97</v>
      </c>
    </row>
    <row r="90" spans="1:13">
      <c r="A90" s="2">
        <f t="shared" ca="1" si="1"/>
        <v>150</v>
      </c>
      <c r="B90" s="2" cm="1">
        <f t="array" aca="1" ref="B90" ca="1">INDEX(Data_DBD!$B:$B,$A90)</f>
        <v>61</v>
      </c>
      <c r="C90" s="2" cm="1">
        <f t="array" aca="1" ref="C90" ca="1">INDEX(Data_DBD!$C:$C,$A90)</f>
        <v>5</v>
      </c>
      <c r="D90" s="2" cm="1">
        <f t="array" aca="1" ref="D90" ca="1">INDEX(Data_DBD!$D:$D,$A90)</f>
        <v>21</v>
      </c>
      <c r="E90" s="2" cm="1">
        <f t="array" aca="1" ref="E90" ca="1">INDEX(Data_DBD!$E:$E,$A90)</f>
        <v>1</v>
      </c>
      <c r="F90" s="2" t="str" cm="1">
        <f t="array" aca="1" ref="F90" ca="1">INDEX(Data_DBD!$F:$F,$A90)</f>
        <v>Tinggi</v>
      </c>
      <c r="H90" s="2">
        <v>41</v>
      </c>
      <c r="I90" s="2">
        <v>8</v>
      </c>
      <c r="J90" s="2">
        <v>4</v>
      </c>
      <c r="K90" s="2">
        <v>13</v>
      </c>
      <c r="L90" s="2">
        <v>0</v>
      </c>
      <c r="M90" s="2" t="s">
        <v>7</v>
      </c>
    </row>
    <row r="91" spans="1:13">
      <c r="A91" s="2">
        <f t="shared" ca="1" si="1"/>
        <v>79</v>
      </c>
      <c r="B91" s="2" cm="1">
        <f t="array" aca="1" ref="B91" ca="1">INDEX(Data_DBD!$B:$B,$A91)</f>
        <v>29</v>
      </c>
      <c r="C91" s="2" cm="1">
        <f t="array" aca="1" ref="C91" ca="1">INDEX(Data_DBD!$C:$C,$A91)</f>
        <v>3</v>
      </c>
      <c r="D91" s="2" cm="1">
        <f t="array" aca="1" ref="D91" ca="1">INDEX(Data_DBD!$D:$D,$A91)</f>
        <v>13</v>
      </c>
      <c r="E91" s="2" cm="1">
        <f t="array" aca="1" ref="E91" ca="1">INDEX(Data_DBD!$E:$E,$A91)</f>
        <v>0</v>
      </c>
      <c r="F91" s="2" t="str" cm="1">
        <f t="array" aca="1" ref="F91" ca="1">INDEX(Data_DBD!$F:$F,$A91)</f>
        <v>Sedang</v>
      </c>
      <c r="H91" s="2">
        <v>17</v>
      </c>
      <c r="I91" s="2">
        <v>2</v>
      </c>
      <c r="J91" s="2">
        <v>3</v>
      </c>
      <c r="K91" s="2">
        <v>7</v>
      </c>
      <c r="L91" s="2">
        <v>0</v>
      </c>
      <c r="M91" s="2" t="s">
        <v>20</v>
      </c>
    </row>
    <row r="92" spans="1:13">
      <c r="A92" s="2">
        <f t="shared" ca="1" si="1"/>
        <v>142</v>
      </c>
      <c r="B92" s="2" cm="1">
        <f t="array" aca="1" ref="B92" ca="1">INDEX(Data_DBD!$B:$B,$A92)</f>
        <v>39</v>
      </c>
      <c r="C92" s="2" cm="1">
        <f t="array" aca="1" ref="C92" ca="1">INDEX(Data_DBD!$C:$C,$A92)</f>
        <v>2</v>
      </c>
      <c r="D92" s="2" cm="1">
        <f t="array" aca="1" ref="D92" ca="1">INDEX(Data_DBD!$D:$D,$A92)</f>
        <v>21</v>
      </c>
      <c r="E92" s="2" cm="1">
        <f t="array" aca="1" ref="E92" ca="1">INDEX(Data_DBD!$E:$E,$A92)</f>
        <v>1</v>
      </c>
      <c r="F92" s="2" t="str" cm="1">
        <f t="array" aca="1" ref="F92" ca="1">INDEX(Data_DBD!$F:$F,$A92)</f>
        <v>Tinggi</v>
      </c>
      <c r="H92" s="2">
        <v>95</v>
      </c>
      <c r="I92" s="2">
        <v>11</v>
      </c>
      <c r="J92" s="2">
        <v>3</v>
      </c>
      <c r="K92" s="2">
        <v>18</v>
      </c>
      <c r="L92" s="2">
        <v>1</v>
      </c>
      <c r="M92" s="2" t="s">
        <v>97</v>
      </c>
    </row>
    <row r="93" spans="1:13">
      <c r="A93" s="2">
        <f t="shared" ca="1" si="1"/>
        <v>33</v>
      </c>
      <c r="B93" s="2" cm="1">
        <f t="array" aca="1" ref="B93" ca="1">INDEX(Data_DBD!$B:$B,$A93)</f>
        <v>19</v>
      </c>
      <c r="C93" s="2" cm="1">
        <f t="array" aca="1" ref="C93" ca="1">INDEX(Data_DBD!$C:$C,$A93)</f>
        <v>4</v>
      </c>
      <c r="D93" s="2" cm="1">
        <f t="array" aca="1" ref="D93" ca="1">INDEX(Data_DBD!$D:$D,$A93)</f>
        <v>14</v>
      </c>
      <c r="E93" s="2" cm="1">
        <f t="array" aca="1" ref="E93" ca="1">INDEX(Data_DBD!$E:$E,$A93)</f>
        <v>1</v>
      </c>
      <c r="F93" s="2" t="str" cm="1">
        <f t="array" aca="1" ref="F93" ca="1">INDEX(Data_DBD!$F:$F,$A93)</f>
        <v>Sedang</v>
      </c>
      <c r="H93" s="2">
        <v>162</v>
      </c>
      <c r="I93" s="2">
        <v>22</v>
      </c>
      <c r="J93" s="2">
        <v>3</v>
      </c>
      <c r="K93" s="2">
        <v>3</v>
      </c>
      <c r="L93" s="2">
        <v>1</v>
      </c>
      <c r="M93" s="2" t="s">
        <v>20</v>
      </c>
    </row>
    <row r="94" spans="1:13">
      <c r="A94" s="2">
        <f t="shared" ca="1" si="1"/>
        <v>11</v>
      </c>
      <c r="B94" s="2" cm="1">
        <f t="array" aca="1" ref="B94" ca="1">INDEX(Data_DBD!$B:$B,$A94)</f>
        <v>24</v>
      </c>
      <c r="C94" s="2" cm="1">
        <f t="array" aca="1" ref="C94" ca="1">INDEX(Data_DBD!$C:$C,$A94)</f>
        <v>5</v>
      </c>
      <c r="D94" s="2" cm="1">
        <f t="array" aca="1" ref="D94" ca="1">INDEX(Data_DBD!$D:$D,$A94)</f>
        <v>12</v>
      </c>
      <c r="E94" s="2" cm="1">
        <f t="array" aca="1" ref="E94" ca="1">INDEX(Data_DBD!$E:$E,$A94)</f>
        <v>1</v>
      </c>
      <c r="F94" s="2" t="str" cm="1">
        <f t="array" aca="1" ref="F94" ca="1">INDEX(Data_DBD!$F:$F,$A94)</f>
        <v>Sedang</v>
      </c>
      <c r="H94" s="2">
        <v>68</v>
      </c>
      <c r="I94" s="2">
        <v>44</v>
      </c>
      <c r="J94" s="2">
        <v>5</v>
      </c>
      <c r="K94" s="2">
        <v>10</v>
      </c>
      <c r="L94" s="2">
        <v>0</v>
      </c>
      <c r="M94" s="2" t="s">
        <v>7</v>
      </c>
    </row>
    <row r="95" spans="1:13">
      <c r="A95" s="2">
        <f t="shared" ca="1" si="1"/>
        <v>119</v>
      </c>
      <c r="B95" s="2" cm="1">
        <f t="array" aca="1" ref="B95" ca="1">INDEX(Data_DBD!$B:$B,$A95)</f>
        <v>30</v>
      </c>
      <c r="C95" s="2" cm="1">
        <f t="array" aca="1" ref="C95" ca="1">INDEX(Data_DBD!$C:$C,$A95)</f>
        <v>7</v>
      </c>
      <c r="D95" s="2" cm="1">
        <f t="array" aca="1" ref="D95" ca="1">INDEX(Data_DBD!$D:$D,$A95)</f>
        <v>33</v>
      </c>
      <c r="E95" s="2" cm="1">
        <f t="array" aca="1" ref="E95" ca="1">INDEX(Data_DBD!$E:$E,$A95)</f>
        <v>0</v>
      </c>
      <c r="F95" s="2" t="str" cm="1">
        <f t="array" aca="1" ref="F95" ca="1">INDEX(Data_DBD!$F:$F,$A95)</f>
        <v>Tinggi</v>
      </c>
      <c r="H95" s="2">
        <v>23</v>
      </c>
      <c r="I95" s="2">
        <v>28</v>
      </c>
      <c r="J95" s="2">
        <v>4</v>
      </c>
      <c r="K95" s="2">
        <v>14</v>
      </c>
      <c r="L95" s="2">
        <v>1</v>
      </c>
      <c r="M95" s="2" t="s">
        <v>7</v>
      </c>
    </row>
    <row r="96" spans="1:13">
      <c r="A96" s="2">
        <f t="shared" ca="1" si="1"/>
        <v>49</v>
      </c>
      <c r="B96" s="2" cm="1">
        <f t="array" aca="1" ref="B96" ca="1">INDEX(Data_DBD!$B:$B,$A96)</f>
        <v>64</v>
      </c>
      <c r="C96" s="2" cm="1">
        <f t="array" aca="1" ref="C96" ca="1">INDEX(Data_DBD!$C:$C,$A96)</f>
        <v>5</v>
      </c>
      <c r="D96" s="2" cm="1">
        <f t="array" aca="1" ref="D96" ca="1">INDEX(Data_DBD!$D:$D,$A96)</f>
        <v>13</v>
      </c>
      <c r="E96" s="2" cm="1">
        <f t="array" aca="1" ref="E96" ca="1">INDEX(Data_DBD!$E:$E,$A96)</f>
        <v>0</v>
      </c>
      <c r="F96" s="2" t="str" cm="1">
        <f t="array" aca="1" ref="F96" ca="1">INDEX(Data_DBD!$F:$F,$A96)</f>
        <v>Sedang</v>
      </c>
      <c r="H96" s="2">
        <v>79</v>
      </c>
      <c r="I96" s="2">
        <v>29</v>
      </c>
      <c r="J96" s="2">
        <v>3</v>
      </c>
      <c r="K96" s="2">
        <v>13</v>
      </c>
      <c r="L96" s="2">
        <v>0</v>
      </c>
      <c r="M96" s="2" t="s">
        <v>7</v>
      </c>
    </row>
    <row r="97" spans="1:13">
      <c r="A97" s="2">
        <f t="shared" ca="1" si="1"/>
        <v>158</v>
      </c>
      <c r="B97" s="2" cm="1">
        <f t="array" aca="1" ref="B97" ca="1">INDEX(Data_DBD!$B:$B,$A97)</f>
        <v>5</v>
      </c>
      <c r="C97" s="2" cm="1">
        <f t="array" aca="1" ref="C97" ca="1">INDEX(Data_DBD!$C:$C,$A97)</f>
        <v>2</v>
      </c>
      <c r="D97" s="2" cm="1">
        <f t="array" aca="1" ref="D97" ca="1">INDEX(Data_DBD!$D:$D,$A97)</f>
        <v>21</v>
      </c>
      <c r="E97" s="2" cm="1">
        <f t="array" aca="1" ref="E97" ca="1">INDEX(Data_DBD!$E:$E,$A97)</f>
        <v>0</v>
      </c>
      <c r="F97" s="2" t="str" cm="1">
        <f t="array" aca="1" ref="F97" ca="1">INDEX(Data_DBD!$F:$F,$A97)</f>
        <v>Tinggi</v>
      </c>
      <c r="H97" s="2">
        <v>55</v>
      </c>
      <c r="I97" s="2">
        <v>7</v>
      </c>
      <c r="J97" s="2">
        <v>4</v>
      </c>
      <c r="K97" s="2">
        <v>15</v>
      </c>
      <c r="L97" s="2">
        <v>1</v>
      </c>
      <c r="M97" s="2" t="s">
        <v>7</v>
      </c>
    </row>
    <row r="98" spans="1:13">
      <c r="A98" s="2">
        <f t="shared" ca="1" si="1"/>
        <v>127</v>
      </c>
      <c r="B98" s="2" cm="1">
        <f t="array" aca="1" ref="B98" ca="1">INDEX(Data_DBD!$B:$B,$A98)</f>
        <v>21</v>
      </c>
      <c r="C98" s="2" cm="1">
        <f t="array" aca="1" ref="C98" ca="1">INDEX(Data_DBD!$C:$C,$A98)</f>
        <v>2</v>
      </c>
      <c r="D98" s="2" cm="1">
        <f t="array" aca="1" ref="D98" ca="1">INDEX(Data_DBD!$D:$D,$A98)</f>
        <v>33</v>
      </c>
      <c r="E98" s="2" cm="1">
        <f t="array" aca="1" ref="E98" ca="1">INDEX(Data_DBD!$E:$E,$A98)</f>
        <v>0</v>
      </c>
      <c r="F98" s="2" t="str" cm="1">
        <f t="array" aca="1" ref="F98" ca="1">INDEX(Data_DBD!$F:$F,$A98)</f>
        <v>Tinggi</v>
      </c>
      <c r="H98" s="2">
        <v>96</v>
      </c>
      <c r="I98" s="2">
        <v>56</v>
      </c>
      <c r="J98" s="2">
        <v>4</v>
      </c>
      <c r="K98" s="2">
        <v>18</v>
      </c>
      <c r="L98" s="2">
        <v>0</v>
      </c>
      <c r="M98" s="2" t="s">
        <v>97</v>
      </c>
    </row>
    <row r="99" spans="1:13">
      <c r="A99" s="2">
        <f t="shared" ca="1" si="1"/>
        <v>98</v>
      </c>
      <c r="B99" s="2" cm="1">
        <f t="array" aca="1" ref="B99" ca="1">INDEX(Data_DBD!$B:$B,$A99)</f>
        <v>16</v>
      </c>
      <c r="C99" s="2" cm="1">
        <f t="array" aca="1" ref="C99" ca="1">INDEX(Data_DBD!$C:$C,$A99)</f>
        <v>2</v>
      </c>
      <c r="D99" s="2" cm="1">
        <f t="array" aca="1" ref="D99" ca="1">INDEX(Data_DBD!$D:$D,$A99)</f>
        <v>18</v>
      </c>
      <c r="E99" s="2" cm="1">
        <f t="array" aca="1" ref="E99" ca="1">INDEX(Data_DBD!$E:$E,$A99)</f>
        <v>1</v>
      </c>
      <c r="F99" s="2" t="str" cm="1">
        <f t="array" aca="1" ref="F99" ca="1">INDEX(Data_DBD!$F:$F,$A99)</f>
        <v>Tinggi</v>
      </c>
      <c r="H99" s="2">
        <v>139</v>
      </c>
      <c r="I99" s="2">
        <v>52</v>
      </c>
      <c r="J99" s="2">
        <v>7</v>
      </c>
      <c r="K99" s="2">
        <v>21</v>
      </c>
      <c r="L99" s="2">
        <v>0</v>
      </c>
      <c r="M99" s="2" t="s">
        <v>97</v>
      </c>
    </row>
    <row r="100" spans="1:13">
      <c r="A100" s="2">
        <f t="shared" ca="1" si="1"/>
        <v>157</v>
      </c>
      <c r="B100" s="2" cm="1">
        <f t="array" aca="1" ref="B100" ca="1">INDEX(Data_DBD!$B:$B,$A100)</f>
        <v>15</v>
      </c>
      <c r="C100" s="2" cm="1">
        <f t="array" aca="1" ref="C100" ca="1">INDEX(Data_DBD!$C:$C,$A100)</f>
        <v>4</v>
      </c>
      <c r="D100" s="2" cm="1">
        <f t="array" aca="1" ref="D100" ca="1">INDEX(Data_DBD!$D:$D,$A100)</f>
        <v>21</v>
      </c>
      <c r="E100" s="2" cm="1">
        <f t="array" aca="1" ref="E100" ca="1">INDEX(Data_DBD!$E:$E,$A100)</f>
        <v>1</v>
      </c>
      <c r="F100" s="2" t="str" cm="1">
        <f t="array" aca="1" ref="F100" ca="1">INDEX(Data_DBD!$F:$F,$A100)</f>
        <v>Tinggi</v>
      </c>
      <c r="H100" s="2">
        <v>14</v>
      </c>
      <c r="I100" s="2">
        <v>49</v>
      </c>
      <c r="J100" s="2">
        <v>4</v>
      </c>
      <c r="K100" s="2">
        <v>7</v>
      </c>
      <c r="L100" s="2">
        <v>1</v>
      </c>
      <c r="M100" s="2" t="s">
        <v>20</v>
      </c>
    </row>
    <row r="101" spans="1:13">
      <c r="A101" s="2">
        <f t="shared" ca="1" si="1"/>
        <v>63</v>
      </c>
      <c r="B101" s="2" cm="1">
        <f t="array" aca="1" ref="B101" ca="1">INDEX(Data_DBD!$B:$B,$A101)</f>
        <v>25</v>
      </c>
      <c r="C101" s="2" cm="1">
        <f t="array" aca="1" ref="C101" ca="1">INDEX(Data_DBD!$C:$C,$A101)</f>
        <v>3</v>
      </c>
      <c r="D101" s="2" cm="1">
        <f t="array" aca="1" ref="D101" ca="1">INDEX(Data_DBD!$D:$D,$A101)</f>
        <v>15</v>
      </c>
      <c r="E101" s="2" cm="1">
        <f t="array" aca="1" ref="E101" ca="1">INDEX(Data_DBD!$E:$E,$A101)</f>
        <v>0</v>
      </c>
      <c r="F101" s="2" t="str" cm="1">
        <f t="array" aca="1" ref="F101" ca="1">INDEX(Data_DBD!$F:$F,$A101)</f>
        <v>Sedang</v>
      </c>
      <c r="H101" s="2">
        <v>30</v>
      </c>
      <c r="I101" s="2">
        <v>3</v>
      </c>
      <c r="J101" s="2">
        <v>2</v>
      </c>
      <c r="K101" s="2">
        <v>14</v>
      </c>
      <c r="L101" s="2">
        <v>1</v>
      </c>
      <c r="M101" s="2" t="s">
        <v>7</v>
      </c>
    </row>
    <row r="102" spans="1:13">
      <c r="A102" s="2">
        <f t="shared" ca="1" si="1"/>
        <v>2</v>
      </c>
      <c r="B102" s="2" cm="1">
        <f t="array" aca="1" ref="B102" ca="1">INDEX(Data_DBD!$B:$B,$A102)</f>
        <v>34</v>
      </c>
      <c r="C102" s="2" cm="1">
        <f t="array" aca="1" ref="C102" ca="1">INDEX(Data_DBD!$C:$C,$A102)</f>
        <v>3</v>
      </c>
      <c r="D102" s="2" cm="1">
        <f t="array" aca="1" ref="D102" ca="1">INDEX(Data_DBD!$D:$D,$A102)</f>
        <v>12</v>
      </c>
      <c r="E102" s="2" cm="1">
        <f t="array" aca="1" ref="E102" ca="1">INDEX(Data_DBD!$E:$E,$A102)</f>
        <v>0</v>
      </c>
      <c r="F102" s="2" t="str" cm="1">
        <f t="array" aca="1" ref="F102" ca="1">INDEX(Data_DBD!$F:$F,$A102)</f>
        <v>Sedang</v>
      </c>
      <c r="H102" s="2">
        <v>148</v>
      </c>
      <c r="I102" s="2">
        <v>55</v>
      </c>
      <c r="J102" s="2">
        <v>3</v>
      </c>
      <c r="K102" s="2">
        <v>21</v>
      </c>
      <c r="L102" s="2">
        <v>1</v>
      </c>
      <c r="M102" s="2" t="s">
        <v>97</v>
      </c>
    </row>
    <row r="103" spans="1:13">
      <c r="A103" s="2">
        <f t="shared" ca="1" si="1"/>
        <v>81</v>
      </c>
      <c r="B103" s="2" cm="1">
        <f t="array" aca="1" ref="B103" ca="1">INDEX(Data_DBD!$B:$B,$A103)</f>
        <v>23</v>
      </c>
      <c r="C103" s="2" cm="1">
        <f t="array" aca="1" ref="C103" ca="1">INDEX(Data_DBD!$C:$C,$A103)</f>
        <v>5</v>
      </c>
      <c r="D103" s="2" cm="1">
        <f t="array" aca="1" ref="D103" ca="1">INDEX(Data_DBD!$D:$D,$A103)</f>
        <v>13</v>
      </c>
      <c r="E103" s="2" cm="1">
        <f t="array" aca="1" ref="E103" ca="1">INDEX(Data_DBD!$E:$E,$A103)</f>
        <v>1</v>
      </c>
      <c r="F103" s="2" t="str" cm="1">
        <f t="array" aca="1" ref="F103" ca="1">INDEX(Data_DBD!$F:$F,$A103)</f>
        <v>Sedang</v>
      </c>
      <c r="H103" s="2">
        <v>60</v>
      </c>
      <c r="I103" s="2">
        <v>68</v>
      </c>
      <c r="J103" s="2">
        <v>4</v>
      </c>
      <c r="K103" s="2">
        <v>15</v>
      </c>
      <c r="L103" s="2">
        <v>0</v>
      </c>
      <c r="M103" s="2" t="s">
        <v>7</v>
      </c>
    </row>
    <row r="104" spans="1:13">
      <c r="A104" s="2">
        <f t="shared" ca="1" si="1"/>
        <v>156</v>
      </c>
      <c r="B104" s="2" cm="1">
        <f t="array" aca="1" ref="B104" ca="1">INDEX(Data_DBD!$B:$B,$A104)</f>
        <v>5</v>
      </c>
      <c r="C104" s="2" cm="1">
        <f t="array" aca="1" ref="C104" ca="1">INDEX(Data_DBD!$C:$C,$A104)</f>
        <v>2</v>
      </c>
      <c r="D104" s="2" cm="1">
        <f t="array" aca="1" ref="D104" ca="1">INDEX(Data_DBD!$D:$D,$A104)</f>
        <v>21</v>
      </c>
      <c r="E104" s="2" cm="1">
        <f t="array" aca="1" ref="E104" ca="1">INDEX(Data_DBD!$E:$E,$A104)</f>
        <v>0</v>
      </c>
      <c r="F104" s="2" t="str" cm="1">
        <f t="array" aca="1" ref="F104" ca="1">INDEX(Data_DBD!$F:$F,$A104)</f>
        <v>Tinggi</v>
      </c>
      <c r="H104" s="2">
        <v>137</v>
      </c>
      <c r="I104" s="2">
        <v>3</v>
      </c>
      <c r="J104" s="2">
        <v>1</v>
      </c>
      <c r="K104" s="2">
        <v>33</v>
      </c>
      <c r="L104" s="2">
        <v>1</v>
      </c>
      <c r="M104" s="2" t="s">
        <v>97</v>
      </c>
    </row>
    <row r="105" spans="1:13">
      <c r="A105" s="2">
        <f t="shared" ca="1" si="1"/>
        <v>61</v>
      </c>
      <c r="B105" s="2" cm="1">
        <f t="array" aca="1" ref="B105" ca="1">INDEX(Data_DBD!$B:$B,$A105)</f>
        <v>29</v>
      </c>
      <c r="C105" s="2" cm="1">
        <f t="array" aca="1" ref="C105" ca="1">INDEX(Data_DBD!$C:$C,$A105)</f>
        <v>3</v>
      </c>
      <c r="D105" s="2" cm="1">
        <f t="array" aca="1" ref="D105" ca="1">INDEX(Data_DBD!$D:$D,$A105)</f>
        <v>15</v>
      </c>
      <c r="E105" s="2" cm="1">
        <f t="array" aca="1" ref="E105" ca="1">INDEX(Data_DBD!$E:$E,$A105)</f>
        <v>1</v>
      </c>
      <c r="F105" s="2" t="str" cm="1">
        <f t="array" aca="1" ref="F105" ca="1">INDEX(Data_DBD!$F:$F,$A105)</f>
        <v>Sedang</v>
      </c>
      <c r="H105" s="2">
        <v>88</v>
      </c>
      <c r="I105" s="2">
        <v>20</v>
      </c>
      <c r="J105" s="2">
        <v>4</v>
      </c>
      <c r="K105" s="2">
        <v>13</v>
      </c>
      <c r="L105" s="2">
        <v>1</v>
      </c>
      <c r="M105" s="2" t="s">
        <v>7</v>
      </c>
    </row>
    <row r="106" spans="1:13">
      <c r="A106" s="2">
        <f t="shared" ca="1" si="1"/>
        <v>40</v>
      </c>
      <c r="B106" s="2" cm="1">
        <f t="array" aca="1" ref="B106" ca="1">INDEX(Data_DBD!$B:$B,$A106)</f>
        <v>65</v>
      </c>
      <c r="C106" s="2" cm="1">
        <f t="array" aca="1" ref="C106" ca="1">INDEX(Data_DBD!$C:$C,$A106)</f>
        <v>3</v>
      </c>
      <c r="D106" s="2" cm="1">
        <f t="array" aca="1" ref="D106" ca="1">INDEX(Data_DBD!$D:$D,$A106)</f>
        <v>13</v>
      </c>
      <c r="E106" s="2" cm="1">
        <f t="array" aca="1" ref="E106" ca="1">INDEX(Data_DBD!$E:$E,$A106)</f>
        <v>1</v>
      </c>
      <c r="F106" s="2" t="str" cm="1">
        <f t="array" aca="1" ref="F106" ca="1">INDEX(Data_DBD!$F:$F,$A106)</f>
        <v>Sedang</v>
      </c>
      <c r="H106" s="2">
        <v>7</v>
      </c>
      <c r="I106" s="2">
        <v>12</v>
      </c>
      <c r="J106" s="2">
        <v>1</v>
      </c>
      <c r="K106" s="2">
        <v>12</v>
      </c>
      <c r="L106" s="2">
        <v>1</v>
      </c>
      <c r="M106" s="2" t="s">
        <v>7</v>
      </c>
    </row>
    <row r="107" spans="1:13">
      <c r="A107" s="2">
        <f t="shared" ca="1" si="1"/>
        <v>77</v>
      </c>
      <c r="B107" s="2" cm="1">
        <f t="array" aca="1" ref="B107" ca="1">INDEX(Data_DBD!$B:$B,$A107)</f>
        <v>16</v>
      </c>
      <c r="C107" s="2" cm="1">
        <f t="array" aca="1" ref="C107" ca="1">INDEX(Data_DBD!$C:$C,$A107)</f>
        <v>4</v>
      </c>
      <c r="D107" s="2" cm="1">
        <f t="array" aca="1" ref="D107" ca="1">INDEX(Data_DBD!$D:$D,$A107)</f>
        <v>13</v>
      </c>
      <c r="E107" s="2" cm="1">
        <f t="array" aca="1" ref="E107" ca="1">INDEX(Data_DBD!$E:$E,$A107)</f>
        <v>1</v>
      </c>
      <c r="F107" s="2" t="str" cm="1">
        <f t="array" aca="1" ref="F107" ca="1">INDEX(Data_DBD!$F:$F,$A107)</f>
        <v>Sedang</v>
      </c>
      <c r="H107" s="2">
        <v>157</v>
      </c>
      <c r="I107" s="2">
        <v>15</v>
      </c>
      <c r="J107" s="2">
        <v>4</v>
      </c>
      <c r="K107" s="2">
        <v>21</v>
      </c>
      <c r="L107" s="2">
        <v>1</v>
      </c>
      <c r="M107" s="2" t="s">
        <v>97</v>
      </c>
    </row>
    <row r="108" spans="1:13">
      <c r="A108" s="2">
        <f t="shared" ca="1" si="1"/>
        <v>77</v>
      </c>
      <c r="B108" s="2" cm="1">
        <f t="array" aca="1" ref="B108" ca="1">INDEX(Data_DBD!$B:$B,$A108)</f>
        <v>16</v>
      </c>
      <c r="C108" s="2" cm="1">
        <f t="array" aca="1" ref="C108" ca="1">INDEX(Data_DBD!$C:$C,$A108)</f>
        <v>4</v>
      </c>
      <c r="D108" s="2" cm="1">
        <f t="array" aca="1" ref="D108" ca="1">INDEX(Data_DBD!$D:$D,$A108)</f>
        <v>13</v>
      </c>
      <c r="E108" s="2" cm="1">
        <f t="array" aca="1" ref="E108" ca="1">INDEX(Data_DBD!$E:$E,$A108)</f>
        <v>1</v>
      </c>
      <c r="F108" s="2" t="str" cm="1">
        <f t="array" aca="1" ref="F108" ca="1">INDEX(Data_DBD!$F:$F,$A108)</f>
        <v>Sedang</v>
      </c>
      <c r="H108" s="2">
        <v>19</v>
      </c>
      <c r="I108" s="2">
        <v>8</v>
      </c>
      <c r="J108" s="2">
        <v>4</v>
      </c>
      <c r="K108" s="2">
        <v>7</v>
      </c>
      <c r="L108" s="2">
        <v>0</v>
      </c>
      <c r="M108" s="2" t="s">
        <v>20</v>
      </c>
    </row>
    <row r="109" spans="1:13">
      <c r="A109" s="2">
        <f t="shared" ca="1" si="1"/>
        <v>21</v>
      </c>
      <c r="B109" s="2" cm="1">
        <f t="array" aca="1" ref="B109" ca="1">INDEX(Data_DBD!$B:$B,$A109)</f>
        <v>10</v>
      </c>
      <c r="C109" s="2" cm="1">
        <f t="array" aca="1" ref="C109" ca="1">INDEX(Data_DBD!$C:$C,$A109)</f>
        <v>5</v>
      </c>
      <c r="D109" s="2" cm="1">
        <f t="array" aca="1" ref="D109" ca="1">INDEX(Data_DBD!$D:$D,$A109)</f>
        <v>14</v>
      </c>
      <c r="E109" s="2" cm="1">
        <f t="array" aca="1" ref="E109" ca="1">INDEX(Data_DBD!$E:$E,$A109)</f>
        <v>1</v>
      </c>
      <c r="F109" s="2" t="str" cm="1">
        <f t="array" aca="1" ref="F109" ca="1">INDEX(Data_DBD!$F:$F,$A109)</f>
        <v>Sedang</v>
      </c>
      <c r="H109" s="2">
        <v>91</v>
      </c>
      <c r="I109" s="2">
        <v>35</v>
      </c>
      <c r="J109" s="2">
        <v>1</v>
      </c>
      <c r="K109" s="2">
        <v>18</v>
      </c>
      <c r="L109" s="2">
        <v>1</v>
      </c>
      <c r="M109" s="2" t="s">
        <v>97</v>
      </c>
    </row>
    <row r="110" spans="1:13">
      <c r="A110" s="2">
        <f t="shared" ca="1" si="1"/>
        <v>129</v>
      </c>
      <c r="B110" s="2" cm="1">
        <f t="array" aca="1" ref="B110" ca="1">INDEX(Data_DBD!$B:$B,$A110)</f>
        <v>4</v>
      </c>
      <c r="C110" s="2" cm="1">
        <f t="array" aca="1" ref="C110" ca="1">INDEX(Data_DBD!$C:$C,$A110)</f>
        <v>3</v>
      </c>
      <c r="D110" s="2" cm="1">
        <f t="array" aca="1" ref="D110" ca="1">INDEX(Data_DBD!$D:$D,$A110)</f>
        <v>33</v>
      </c>
      <c r="E110" s="2" cm="1">
        <f t="array" aca="1" ref="E110" ca="1">INDEX(Data_DBD!$E:$E,$A110)</f>
        <v>0</v>
      </c>
      <c r="F110" s="2" t="str" cm="1">
        <f t="array" aca="1" ref="F110" ca="1">INDEX(Data_DBD!$F:$F,$A110)</f>
        <v>Tinggi</v>
      </c>
      <c r="H110" s="2">
        <v>103</v>
      </c>
      <c r="I110" s="2">
        <v>22</v>
      </c>
      <c r="J110" s="2">
        <v>5</v>
      </c>
      <c r="K110" s="2">
        <v>18</v>
      </c>
      <c r="L110" s="2">
        <v>0</v>
      </c>
      <c r="M110" s="2" t="s">
        <v>97</v>
      </c>
    </row>
    <row r="111" spans="1:13">
      <c r="A111" s="2">
        <f t="shared" ca="1" si="1"/>
        <v>20</v>
      </c>
      <c r="B111" s="2" cm="1">
        <f t="array" aca="1" ref="B111" ca="1">INDEX(Data_DBD!$B:$B,$A111)</f>
        <v>15</v>
      </c>
      <c r="C111" s="2" cm="1">
        <f t="array" aca="1" ref="C111" ca="1">INDEX(Data_DBD!$C:$C,$A111)</f>
        <v>5</v>
      </c>
      <c r="D111" s="2" cm="1">
        <f t="array" aca="1" ref="D111" ca="1">INDEX(Data_DBD!$D:$D,$A111)</f>
        <v>7</v>
      </c>
      <c r="E111" s="2" cm="1">
        <f t="array" aca="1" ref="E111" ca="1">INDEX(Data_DBD!$E:$E,$A111)</f>
        <v>0</v>
      </c>
      <c r="F111" s="2" t="str" cm="1">
        <f t="array" aca="1" ref="F111" ca="1">INDEX(Data_DBD!$F:$F,$A111)</f>
        <v>Rendah</v>
      </c>
      <c r="H111" s="2">
        <v>136</v>
      </c>
      <c r="I111" s="2">
        <v>6</v>
      </c>
      <c r="J111" s="2">
        <v>2</v>
      </c>
      <c r="K111" s="2">
        <v>33</v>
      </c>
      <c r="L111" s="2">
        <v>0</v>
      </c>
      <c r="M111" s="2" t="s">
        <v>97</v>
      </c>
    </row>
    <row r="112" spans="1:13">
      <c r="A112" s="2">
        <f t="shared" ca="1" si="1"/>
        <v>28</v>
      </c>
      <c r="B112" s="2" cm="1">
        <f t="array" aca="1" ref="B112" ca="1">INDEX(Data_DBD!$B:$B,$A112)</f>
        <v>22</v>
      </c>
      <c r="C112" s="2" cm="1">
        <f t="array" aca="1" ref="C112" ca="1">INDEX(Data_DBD!$C:$C,$A112)</f>
        <v>2</v>
      </c>
      <c r="D112" s="2" cm="1">
        <f t="array" aca="1" ref="D112" ca="1">INDEX(Data_DBD!$D:$D,$A112)</f>
        <v>14</v>
      </c>
      <c r="E112" s="2" cm="1">
        <f t="array" aca="1" ref="E112" ca="1">INDEX(Data_DBD!$E:$E,$A112)</f>
        <v>1</v>
      </c>
      <c r="F112" s="2" t="str" cm="1">
        <f t="array" aca="1" ref="F112" ca="1">INDEX(Data_DBD!$F:$F,$A112)</f>
        <v>Sedang</v>
      </c>
      <c r="H112" s="2">
        <v>158</v>
      </c>
      <c r="I112" s="2">
        <v>5</v>
      </c>
      <c r="J112" s="2">
        <v>2</v>
      </c>
      <c r="K112" s="2">
        <v>21</v>
      </c>
      <c r="L112" s="2">
        <v>0</v>
      </c>
      <c r="M112" s="2" t="s">
        <v>97</v>
      </c>
    </row>
    <row r="113" spans="1:13">
      <c r="A113" s="2">
        <f t="shared" ca="1" si="1"/>
        <v>25</v>
      </c>
      <c r="B113" s="2" cm="1">
        <f t="array" aca="1" ref="B113" ca="1">INDEX(Data_DBD!$B:$B,$A113)</f>
        <v>81</v>
      </c>
      <c r="C113" s="2" cm="1">
        <f t="array" aca="1" ref="C113" ca="1">INDEX(Data_DBD!$C:$C,$A113)</f>
        <v>5</v>
      </c>
      <c r="D113" s="2" cm="1">
        <f t="array" aca="1" ref="D113" ca="1">INDEX(Data_DBD!$D:$D,$A113)</f>
        <v>14</v>
      </c>
      <c r="E113" s="2" cm="1">
        <f t="array" aca="1" ref="E113" ca="1">INDEX(Data_DBD!$E:$E,$A113)</f>
        <v>0</v>
      </c>
      <c r="F113" s="2" t="str" cm="1">
        <f t="array" aca="1" ref="F113" ca="1">INDEX(Data_DBD!$F:$F,$A113)</f>
        <v>Sedang</v>
      </c>
      <c r="H113" s="2">
        <v>163</v>
      </c>
      <c r="I113" s="2">
        <v>34</v>
      </c>
      <c r="J113" s="2">
        <v>4</v>
      </c>
      <c r="K113" s="2">
        <v>3</v>
      </c>
      <c r="L113" s="2">
        <v>1</v>
      </c>
      <c r="M113" s="2" t="s">
        <v>20</v>
      </c>
    </row>
    <row r="114" spans="1:13">
      <c r="A114" s="2">
        <f t="shared" ca="1" si="1"/>
        <v>133</v>
      </c>
      <c r="B114" s="2" cm="1">
        <f t="array" aca="1" ref="B114" ca="1">INDEX(Data_DBD!$B:$B,$A114)</f>
        <v>6</v>
      </c>
      <c r="C114" s="2" cm="1">
        <f t="array" aca="1" ref="C114" ca="1">INDEX(Data_DBD!$C:$C,$A114)</f>
        <v>4</v>
      </c>
      <c r="D114" s="2" cm="1">
        <f t="array" aca="1" ref="D114" ca="1">INDEX(Data_DBD!$D:$D,$A114)</f>
        <v>33</v>
      </c>
      <c r="E114" s="2" cm="1">
        <f t="array" aca="1" ref="E114" ca="1">INDEX(Data_DBD!$E:$E,$A114)</f>
        <v>0</v>
      </c>
      <c r="F114" s="2" t="str" cm="1">
        <f t="array" aca="1" ref="F114" ca="1">INDEX(Data_DBD!$F:$F,$A114)</f>
        <v>Tinggi</v>
      </c>
      <c r="H114" s="2">
        <v>104</v>
      </c>
      <c r="I114" s="2">
        <v>37</v>
      </c>
      <c r="J114" s="2">
        <v>4</v>
      </c>
      <c r="K114" s="2">
        <v>18</v>
      </c>
      <c r="L114" s="2">
        <v>1</v>
      </c>
      <c r="M114" s="2" t="s">
        <v>97</v>
      </c>
    </row>
    <row r="115" spans="1:13">
      <c r="A115" s="2">
        <f t="shared" ca="1" si="1"/>
        <v>81</v>
      </c>
      <c r="B115" s="2" cm="1">
        <f t="array" aca="1" ref="B115" ca="1">INDEX(Data_DBD!$B:$B,$A115)</f>
        <v>23</v>
      </c>
      <c r="C115" s="2" cm="1">
        <f t="array" aca="1" ref="C115" ca="1">INDEX(Data_DBD!$C:$C,$A115)</f>
        <v>5</v>
      </c>
      <c r="D115" s="2" cm="1">
        <f t="array" aca="1" ref="D115" ca="1">INDEX(Data_DBD!$D:$D,$A115)</f>
        <v>13</v>
      </c>
      <c r="E115" s="2" cm="1">
        <f t="array" aca="1" ref="E115" ca="1">INDEX(Data_DBD!$E:$E,$A115)</f>
        <v>1</v>
      </c>
      <c r="F115" s="2" t="str" cm="1">
        <f t="array" aca="1" ref="F115" ca="1">INDEX(Data_DBD!$F:$F,$A115)</f>
        <v>Sedang</v>
      </c>
      <c r="H115" s="2">
        <v>109</v>
      </c>
      <c r="I115" s="2">
        <v>40</v>
      </c>
      <c r="J115" s="2">
        <v>3</v>
      </c>
      <c r="K115" s="2">
        <v>33</v>
      </c>
      <c r="L115" s="2">
        <v>1</v>
      </c>
      <c r="M115" s="2" t="s">
        <v>97</v>
      </c>
    </row>
    <row r="116" spans="1:13">
      <c r="A116" s="2">
        <f t="shared" ca="1" si="1"/>
        <v>144</v>
      </c>
      <c r="B116" s="2" cm="1">
        <f t="array" aca="1" ref="B116" ca="1">INDEX(Data_DBD!$B:$B,$A116)</f>
        <v>61</v>
      </c>
      <c r="C116" s="2" cm="1">
        <f t="array" aca="1" ref="C116" ca="1">INDEX(Data_DBD!$C:$C,$A116)</f>
        <v>4</v>
      </c>
      <c r="D116" s="2" cm="1">
        <f t="array" aca="1" ref="D116" ca="1">INDEX(Data_DBD!$D:$D,$A116)</f>
        <v>21</v>
      </c>
      <c r="E116" s="2" cm="1">
        <f t="array" aca="1" ref="E116" ca="1">INDEX(Data_DBD!$E:$E,$A116)</f>
        <v>1</v>
      </c>
      <c r="F116" s="2" t="str" cm="1">
        <f t="array" aca="1" ref="F116" ca="1">INDEX(Data_DBD!$F:$F,$A116)</f>
        <v>Tinggi</v>
      </c>
      <c r="H116" s="2">
        <v>49</v>
      </c>
      <c r="I116" s="2">
        <v>64</v>
      </c>
      <c r="J116" s="2">
        <v>5</v>
      </c>
      <c r="K116" s="2">
        <v>13</v>
      </c>
      <c r="L116" s="2">
        <v>0</v>
      </c>
      <c r="M116" s="2" t="s">
        <v>7</v>
      </c>
    </row>
    <row r="117" spans="1:13">
      <c r="A117" s="2">
        <f t="shared" ca="1" si="1"/>
        <v>15</v>
      </c>
      <c r="B117" s="2" cm="1">
        <f t="array" aca="1" ref="B117" ca="1">INDEX(Data_DBD!$B:$B,$A117)</f>
        <v>21</v>
      </c>
      <c r="C117" s="2" cm="1">
        <f t="array" aca="1" ref="C117" ca="1">INDEX(Data_DBD!$C:$C,$A117)</f>
        <v>2</v>
      </c>
      <c r="D117" s="2" cm="1">
        <f t="array" aca="1" ref="D117" ca="1">INDEX(Data_DBD!$D:$D,$A117)</f>
        <v>7</v>
      </c>
      <c r="E117" s="2" cm="1">
        <f t="array" aca="1" ref="E117" ca="1">INDEX(Data_DBD!$E:$E,$A117)</f>
        <v>0</v>
      </c>
      <c r="F117" s="2" t="str" cm="1">
        <f t="array" aca="1" ref="F117" ca="1">INDEX(Data_DBD!$F:$F,$A117)</f>
        <v>Rendah</v>
      </c>
      <c r="H117" s="2">
        <v>108</v>
      </c>
      <c r="I117" s="2">
        <v>69</v>
      </c>
      <c r="J117" s="2">
        <v>7</v>
      </c>
      <c r="K117" s="2">
        <v>33</v>
      </c>
      <c r="L117" s="2">
        <v>1</v>
      </c>
      <c r="M117" s="2" t="s">
        <v>97</v>
      </c>
    </row>
    <row r="118" spans="1:13">
      <c r="A118" s="2">
        <f t="shared" ca="1" si="1"/>
        <v>59</v>
      </c>
      <c r="B118" s="2" cm="1">
        <f t="array" aca="1" ref="B118" ca="1">INDEX(Data_DBD!$B:$B,$A118)</f>
        <v>28</v>
      </c>
      <c r="C118" s="2" cm="1">
        <f t="array" aca="1" ref="C118" ca="1">INDEX(Data_DBD!$C:$C,$A118)</f>
        <v>4</v>
      </c>
      <c r="D118" s="2" cm="1">
        <f t="array" aca="1" ref="D118" ca="1">INDEX(Data_DBD!$D:$D,$A118)</f>
        <v>15</v>
      </c>
      <c r="E118" s="2" cm="1">
        <f t="array" aca="1" ref="E118" ca="1">INDEX(Data_DBD!$E:$E,$A118)</f>
        <v>0</v>
      </c>
      <c r="F118" s="2" t="str" cm="1">
        <f t="array" aca="1" ref="F118" ca="1">INDEX(Data_DBD!$F:$F,$A118)</f>
        <v>Sedang</v>
      </c>
      <c r="H118" s="2">
        <v>84</v>
      </c>
      <c r="I118" s="2">
        <v>42</v>
      </c>
      <c r="J118" s="2">
        <v>4</v>
      </c>
      <c r="K118" s="2">
        <v>13</v>
      </c>
      <c r="L118" s="2">
        <v>1</v>
      </c>
      <c r="M118" s="2" t="s">
        <v>7</v>
      </c>
    </row>
    <row r="119" spans="1:13">
      <c r="A119" s="2">
        <f t="shared" ca="1" si="1"/>
        <v>131</v>
      </c>
      <c r="B119" s="2" cm="1">
        <f t="array" aca="1" ref="B119" ca="1">INDEX(Data_DBD!$B:$B,$A119)</f>
        <v>10</v>
      </c>
      <c r="C119" s="2" cm="1">
        <f t="array" aca="1" ref="C119" ca="1">INDEX(Data_DBD!$C:$C,$A119)</f>
        <v>2</v>
      </c>
      <c r="D119" s="2" cm="1">
        <f t="array" aca="1" ref="D119" ca="1">INDEX(Data_DBD!$D:$D,$A119)</f>
        <v>33</v>
      </c>
      <c r="E119" s="2" cm="1">
        <f t="array" aca="1" ref="E119" ca="1">INDEX(Data_DBD!$E:$E,$A119)</f>
        <v>0</v>
      </c>
      <c r="F119" s="2" t="str" cm="1">
        <f t="array" aca="1" ref="F119" ca="1">INDEX(Data_DBD!$F:$F,$A119)</f>
        <v>Tinggi</v>
      </c>
      <c r="H119" s="2">
        <v>117</v>
      </c>
      <c r="I119" s="2">
        <v>49</v>
      </c>
      <c r="J119" s="2">
        <v>4</v>
      </c>
      <c r="K119" s="2">
        <v>33</v>
      </c>
      <c r="L119" s="2">
        <v>1</v>
      </c>
      <c r="M119" s="2" t="s">
        <v>97</v>
      </c>
    </row>
    <row r="120" spans="1:13">
      <c r="A120" s="2">
        <f t="shared" ca="1" si="1"/>
        <v>73</v>
      </c>
      <c r="B120" s="2" cm="1">
        <f t="array" aca="1" ref="B120" ca="1">INDEX(Data_DBD!$B:$B,$A120)</f>
        <v>15</v>
      </c>
      <c r="C120" s="2" cm="1">
        <f t="array" aca="1" ref="C120" ca="1">INDEX(Data_DBD!$C:$C,$A120)</f>
        <v>3</v>
      </c>
      <c r="D120" s="2" cm="1">
        <f t="array" aca="1" ref="D120" ca="1">INDEX(Data_DBD!$D:$D,$A120)</f>
        <v>10</v>
      </c>
      <c r="E120" s="2" cm="1">
        <f t="array" aca="1" ref="E120" ca="1">INDEX(Data_DBD!$E:$E,$A120)</f>
        <v>1</v>
      </c>
      <c r="F120" s="2" t="str" cm="1">
        <f t="array" aca="1" ref="F120" ca="1">INDEX(Data_DBD!$F:$F,$A120)</f>
        <v>Sedang</v>
      </c>
      <c r="H120" s="2">
        <v>21</v>
      </c>
      <c r="I120" s="2">
        <v>10</v>
      </c>
      <c r="J120" s="2">
        <v>5</v>
      </c>
      <c r="K120" s="2">
        <v>14</v>
      </c>
      <c r="L120" s="2">
        <v>1</v>
      </c>
      <c r="M120" s="2" t="s">
        <v>7</v>
      </c>
    </row>
    <row r="121" spans="1:13">
      <c r="A121" s="2">
        <f t="shared" ca="1" si="1"/>
        <v>46</v>
      </c>
      <c r="B121" s="2" cm="1">
        <f t="array" aca="1" ref="B121" ca="1">INDEX(Data_DBD!$B:$B,$A121)</f>
        <v>62</v>
      </c>
      <c r="C121" s="2" cm="1">
        <f t="array" aca="1" ref="C121" ca="1">INDEX(Data_DBD!$C:$C,$A121)</f>
        <v>2</v>
      </c>
      <c r="D121" s="2" cm="1">
        <f t="array" aca="1" ref="D121" ca="1">INDEX(Data_DBD!$D:$D,$A121)</f>
        <v>13</v>
      </c>
      <c r="E121" s="2" cm="1">
        <f t="array" aca="1" ref="E121" ca="1">INDEX(Data_DBD!$E:$E,$A121)</f>
        <v>0</v>
      </c>
      <c r="F121" s="2" t="str" cm="1">
        <f t="array" aca="1" ref="F121" ca="1">INDEX(Data_DBD!$F:$F,$A121)</f>
        <v>Sedang</v>
      </c>
      <c r="H121" s="2">
        <v>119</v>
      </c>
      <c r="I121" s="2">
        <v>30</v>
      </c>
      <c r="J121" s="2">
        <v>7</v>
      </c>
      <c r="K121" s="2">
        <v>33</v>
      </c>
      <c r="L121" s="2">
        <v>0</v>
      </c>
      <c r="M121" s="2" t="s">
        <v>97</v>
      </c>
    </row>
    <row r="122" spans="1:13">
      <c r="A122" s="2">
        <f t="shared" ca="1" si="1"/>
        <v>164</v>
      </c>
      <c r="B122" s="2" cm="1">
        <f t="array" aca="1" ref="B122" ca="1">INDEX(Data_DBD!$B:$B,$A122)</f>
        <v>10</v>
      </c>
      <c r="C122" s="2" cm="1">
        <f t="array" aca="1" ref="C122" ca="1">INDEX(Data_DBD!$C:$C,$A122)</f>
        <v>6</v>
      </c>
      <c r="D122" s="2" cm="1">
        <f t="array" aca="1" ref="D122" ca="1">INDEX(Data_DBD!$D:$D,$A122)</f>
        <v>3</v>
      </c>
      <c r="E122" s="2" cm="1">
        <f t="array" aca="1" ref="E122" ca="1">INDEX(Data_DBD!$E:$E,$A122)</f>
        <v>0</v>
      </c>
      <c r="F122" s="2" t="str" cm="1">
        <f t="array" aca="1" ref="F122" ca="1">INDEX(Data_DBD!$F:$F,$A122)</f>
        <v>Rendah</v>
      </c>
      <c r="H122" s="2">
        <v>126</v>
      </c>
      <c r="I122" s="2">
        <v>51</v>
      </c>
      <c r="J122" s="2">
        <v>3</v>
      </c>
      <c r="K122" s="2">
        <v>33</v>
      </c>
      <c r="L122" s="2">
        <v>1</v>
      </c>
      <c r="M122" s="2" t="s">
        <v>97</v>
      </c>
    </row>
    <row r="123" spans="1:13">
      <c r="A123" s="2">
        <f t="shared" ca="1" si="1"/>
        <v>17</v>
      </c>
      <c r="B123" s="2" cm="1">
        <f t="array" aca="1" ref="B123" ca="1">INDEX(Data_DBD!$B:$B,$A123)</f>
        <v>2</v>
      </c>
      <c r="C123" s="2" cm="1">
        <f t="array" aca="1" ref="C123" ca="1">INDEX(Data_DBD!$C:$C,$A123)</f>
        <v>3</v>
      </c>
      <c r="D123" s="2" cm="1">
        <f t="array" aca="1" ref="D123" ca="1">INDEX(Data_DBD!$D:$D,$A123)</f>
        <v>7</v>
      </c>
      <c r="E123" s="2" cm="1">
        <f t="array" aca="1" ref="E123" ca="1">INDEX(Data_DBD!$E:$E,$A123)</f>
        <v>0</v>
      </c>
      <c r="F123" s="2" t="str" cm="1">
        <f t="array" aca="1" ref="F123" ca="1">INDEX(Data_DBD!$F:$F,$A123)</f>
        <v>Rendah</v>
      </c>
      <c r="H123" s="2">
        <v>36</v>
      </c>
      <c r="I123" s="2">
        <v>27</v>
      </c>
      <c r="J123" s="2">
        <v>1</v>
      </c>
      <c r="K123" s="2">
        <v>4</v>
      </c>
      <c r="L123" s="2">
        <v>1</v>
      </c>
      <c r="M123" s="2" t="s">
        <v>20</v>
      </c>
    </row>
    <row r="124" spans="1:13">
      <c r="A124" s="2">
        <f t="shared" ca="1" si="1"/>
        <v>36</v>
      </c>
      <c r="B124" s="2" cm="1">
        <f t="array" aca="1" ref="B124" ca="1">INDEX(Data_DBD!$B:$B,$A124)</f>
        <v>27</v>
      </c>
      <c r="C124" s="2" cm="1">
        <f t="array" aca="1" ref="C124" ca="1">INDEX(Data_DBD!$C:$C,$A124)</f>
        <v>1</v>
      </c>
      <c r="D124" s="2" cm="1">
        <f t="array" aca="1" ref="D124" ca="1">INDEX(Data_DBD!$D:$D,$A124)</f>
        <v>4</v>
      </c>
      <c r="E124" s="2" cm="1">
        <f t="array" aca="1" ref="E124" ca="1">INDEX(Data_DBD!$E:$E,$A124)</f>
        <v>1</v>
      </c>
      <c r="F124" s="2" t="str" cm="1">
        <f t="array" aca="1" ref="F124" ca="1">INDEX(Data_DBD!$F:$F,$A124)</f>
        <v>Rendah</v>
      </c>
      <c r="H124" s="2">
        <v>93</v>
      </c>
      <c r="I124" s="2">
        <v>65</v>
      </c>
      <c r="J124" s="2">
        <v>4</v>
      </c>
      <c r="K124" s="2">
        <v>18</v>
      </c>
      <c r="L124" s="2">
        <v>0</v>
      </c>
      <c r="M124" s="2" t="s">
        <v>97</v>
      </c>
    </row>
    <row r="125" spans="1:13">
      <c r="A125" s="2">
        <f t="shared" ca="1" si="1"/>
        <v>163</v>
      </c>
      <c r="B125" s="2" cm="1">
        <f t="array" aca="1" ref="B125" ca="1">INDEX(Data_DBD!$B:$B,$A125)</f>
        <v>34</v>
      </c>
      <c r="C125" s="2" cm="1">
        <f t="array" aca="1" ref="C125" ca="1">INDEX(Data_DBD!$C:$C,$A125)</f>
        <v>4</v>
      </c>
      <c r="D125" s="2" cm="1">
        <f t="array" aca="1" ref="D125" ca="1">INDEX(Data_DBD!$D:$D,$A125)</f>
        <v>3</v>
      </c>
      <c r="E125" s="2" cm="1">
        <f t="array" aca="1" ref="E125" ca="1">INDEX(Data_DBD!$E:$E,$A125)</f>
        <v>1</v>
      </c>
      <c r="F125" s="2" t="str" cm="1">
        <f t="array" aca="1" ref="F125" ca="1">INDEX(Data_DBD!$F:$F,$A125)</f>
        <v>Rendah</v>
      </c>
      <c r="H125" s="2">
        <v>162</v>
      </c>
      <c r="I125" s="2">
        <v>22</v>
      </c>
      <c r="J125" s="2">
        <v>3</v>
      </c>
      <c r="K125" s="2">
        <v>3</v>
      </c>
      <c r="L125" s="2">
        <v>1</v>
      </c>
      <c r="M125" s="2" t="s">
        <v>20</v>
      </c>
    </row>
    <row r="126" spans="1:13">
      <c r="A126" s="2">
        <f t="shared" ca="1" si="1"/>
        <v>138</v>
      </c>
      <c r="B126" s="2" cm="1">
        <f t="array" aca="1" ref="B126" ca="1">INDEX(Data_DBD!$B:$B,$A126)</f>
        <v>13</v>
      </c>
      <c r="C126" s="2" cm="1">
        <f t="array" aca="1" ref="C126" ca="1">INDEX(Data_DBD!$C:$C,$A126)</f>
        <v>3</v>
      </c>
      <c r="D126" s="2" cm="1">
        <f t="array" aca="1" ref="D126" ca="1">INDEX(Data_DBD!$D:$D,$A126)</f>
        <v>33</v>
      </c>
      <c r="E126" s="2" cm="1">
        <f t="array" aca="1" ref="E126" ca="1">INDEX(Data_DBD!$E:$E,$A126)</f>
        <v>1</v>
      </c>
      <c r="F126" s="2" t="str" cm="1">
        <f t="array" aca="1" ref="F126" ca="1">INDEX(Data_DBD!$F:$F,$A126)</f>
        <v>Tinggi</v>
      </c>
      <c r="H126" s="2">
        <v>132</v>
      </c>
      <c r="I126" s="2">
        <v>10</v>
      </c>
      <c r="J126" s="2">
        <v>3</v>
      </c>
      <c r="K126" s="2">
        <v>33</v>
      </c>
      <c r="L126" s="2">
        <v>1</v>
      </c>
      <c r="M126" s="2" t="s">
        <v>97</v>
      </c>
    </row>
    <row r="127" spans="1:13">
      <c r="A127" s="2">
        <f t="shared" ca="1" si="1"/>
        <v>120</v>
      </c>
      <c r="B127" s="2" cm="1">
        <f t="array" aca="1" ref="B127" ca="1">INDEX(Data_DBD!$B:$B,$A127)</f>
        <v>26</v>
      </c>
      <c r="C127" s="2" cm="1">
        <f t="array" aca="1" ref="C127" ca="1">INDEX(Data_DBD!$C:$C,$A127)</f>
        <v>4</v>
      </c>
      <c r="D127" s="2" cm="1">
        <f t="array" aca="1" ref="D127" ca="1">INDEX(Data_DBD!$D:$D,$A127)</f>
        <v>33</v>
      </c>
      <c r="E127" s="2" cm="1">
        <f t="array" aca="1" ref="E127" ca="1">INDEX(Data_DBD!$E:$E,$A127)</f>
        <v>1</v>
      </c>
      <c r="F127" s="2" t="str" cm="1">
        <f t="array" aca="1" ref="F127" ca="1">INDEX(Data_DBD!$F:$F,$A127)</f>
        <v>Tinggi</v>
      </c>
      <c r="H127" s="2">
        <v>105</v>
      </c>
      <c r="I127" s="2">
        <v>61</v>
      </c>
      <c r="J127" s="2">
        <v>3</v>
      </c>
      <c r="K127" s="2">
        <v>18</v>
      </c>
      <c r="L127" s="2">
        <v>1</v>
      </c>
      <c r="M127" s="2" t="s">
        <v>97</v>
      </c>
    </row>
    <row r="128" spans="1:13">
      <c r="A128" s="2">
        <f t="shared" ca="1" si="1"/>
        <v>63</v>
      </c>
      <c r="B128" s="2" cm="1">
        <f t="array" aca="1" ref="B128" ca="1">INDEX(Data_DBD!$B:$B,$A128)</f>
        <v>25</v>
      </c>
      <c r="C128" s="2" cm="1">
        <f t="array" aca="1" ref="C128" ca="1">INDEX(Data_DBD!$C:$C,$A128)</f>
        <v>3</v>
      </c>
      <c r="D128" s="2" cm="1">
        <f t="array" aca="1" ref="D128" ca="1">INDEX(Data_DBD!$D:$D,$A128)</f>
        <v>15</v>
      </c>
      <c r="E128" s="2" cm="1">
        <f t="array" aca="1" ref="E128" ca="1">INDEX(Data_DBD!$E:$E,$A128)</f>
        <v>0</v>
      </c>
      <c r="F128" s="2" t="str" cm="1">
        <f t="array" aca="1" ref="F128" ca="1">INDEX(Data_DBD!$F:$F,$A128)</f>
        <v>Sedang</v>
      </c>
      <c r="H128" s="2">
        <v>59</v>
      </c>
      <c r="I128" s="2">
        <v>28</v>
      </c>
      <c r="J128" s="2">
        <v>4</v>
      </c>
      <c r="K128" s="2">
        <v>15</v>
      </c>
      <c r="L128" s="2">
        <v>0</v>
      </c>
      <c r="M128" s="2" t="s">
        <v>7</v>
      </c>
    </row>
    <row r="129" spans="1:13">
      <c r="A129" s="2">
        <f t="shared" ca="1" si="1"/>
        <v>135</v>
      </c>
      <c r="B129" s="2" cm="1">
        <f t="array" aca="1" ref="B129" ca="1">INDEX(Data_DBD!$B:$B,$A129)</f>
        <v>10</v>
      </c>
      <c r="C129" s="2" cm="1">
        <f t="array" aca="1" ref="C129" ca="1">INDEX(Data_DBD!$C:$C,$A129)</f>
        <v>2</v>
      </c>
      <c r="D129" s="2" cm="1">
        <f t="array" aca="1" ref="D129" ca="1">INDEX(Data_DBD!$D:$D,$A129)</f>
        <v>33</v>
      </c>
      <c r="E129" s="2" cm="1">
        <f t="array" aca="1" ref="E129" ca="1">INDEX(Data_DBD!$E:$E,$A129)</f>
        <v>0</v>
      </c>
      <c r="F129" s="2" t="str" cm="1">
        <f t="array" aca="1" ref="F129" ca="1">INDEX(Data_DBD!$F:$F,$A129)</f>
        <v>Tinggi</v>
      </c>
      <c r="H129" s="2">
        <v>32</v>
      </c>
      <c r="I129" s="2">
        <v>54</v>
      </c>
      <c r="J129" s="2">
        <v>4</v>
      </c>
      <c r="K129" s="2">
        <v>14</v>
      </c>
      <c r="L129" s="2">
        <v>0</v>
      </c>
      <c r="M129" s="2" t="s">
        <v>7</v>
      </c>
    </row>
    <row r="130" spans="1:13">
      <c r="A130" s="2">
        <f t="shared" ca="1" si="1"/>
        <v>31</v>
      </c>
      <c r="B130" s="2" cm="1">
        <f t="array" aca="1" ref="B130" ca="1">INDEX(Data_DBD!$B:$B,$A130)</f>
        <v>64</v>
      </c>
      <c r="C130" s="2" cm="1">
        <f t="array" aca="1" ref="C130" ca="1">INDEX(Data_DBD!$C:$C,$A130)</f>
        <v>4</v>
      </c>
      <c r="D130" s="2" cm="1">
        <f t="array" aca="1" ref="D130" ca="1">INDEX(Data_DBD!$D:$D,$A130)</f>
        <v>14</v>
      </c>
      <c r="E130" s="2" cm="1">
        <f t="array" aca="1" ref="E130" ca="1">INDEX(Data_DBD!$E:$E,$A130)</f>
        <v>1</v>
      </c>
      <c r="F130" s="2" t="str" cm="1">
        <f t="array" aca="1" ref="F130" ca="1">INDEX(Data_DBD!$F:$F,$A130)</f>
        <v>Sedang</v>
      </c>
      <c r="H130" s="2">
        <v>37</v>
      </c>
      <c r="I130" s="2">
        <v>28</v>
      </c>
      <c r="J130" s="2">
        <v>4</v>
      </c>
      <c r="K130" s="2">
        <v>4</v>
      </c>
      <c r="L130" s="2">
        <v>1</v>
      </c>
      <c r="M130" s="2" t="s">
        <v>20</v>
      </c>
    </row>
    <row r="131" spans="1:13">
      <c r="A131" s="2">
        <f t="shared" ref="A131:A164" ca="1" si="2">RANDBETWEEN(2,164)</f>
        <v>67</v>
      </c>
      <c r="B131" s="2" cm="1">
        <f t="array" aca="1" ref="B131" ca="1">INDEX(Data_DBD!$B:$B,$A131)</f>
        <v>21</v>
      </c>
      <c r="C131" s="2" cm="1">
        <f t="array" aca="1" ref="C131" ca="1">INDEX(Data_DBD!$C:$C,$A131)</f>
        <v>3</v>
      </c>
      <c r="D131" s="2" cm="1">
        <f t="array" aca="1" ref="D131" ca="1">INDEX(Data_DBD!$D:$D,$A131)</f>
        <v>10</v>
      </c>
      <c r="E131" s="2" cm="1">
        <f t="array" aca="1" ref="E131" ca="1">INDEX(Data_DBD!$E:$E,$A131)</f>
        <v>1</v>
      </c>
      <c r="F131" s="2" t="str" cm="1">
        <f t="array" aca="1" ref="F131" ca="1">INDEX(Data_DBD!$F:$F,$A131)</f>
        <v>Sedang</v>
      </c>
      <c r="H131" s="2">
        <v>112</v>
      </c>
      <c r="I131" s="2">
        <v>61</v>
      </c>
      <c r="J131" s="2">
        <v>3</v>
      </c>
      <c r="K131" s="2">
        <v>33</v>
      </c>
      <c r="L131" s="2">
        <v>1</v>
      </c>
      <c r="M131" s="2" t="s">
        <v>97</v>
      </c>
    </row>
    <row r="132" spans="1:13">
      <c r="A132" s="2">
        <f t="shared" ca="1" si="2"/>
        <v>16</v>
      </c>
      <c r="B132" s="2" cm="1">
        <f t="array" aca="1" ref="B132" ca="1">INDEX(Data_DBD!$B:$B,$A132)</f>
        <v>66</v>
      </c>
      <c r="C132" s="2" cm="1">
        <f t="array" aca="1" ref="C132" ca="1">INDEX(Data_DBD!$C:$C,$A132)</f>
        <v>5</v>
      </c>
      <c r="D132" s="2" cm="1">
        <f t="array" aca="1" ref="D132" ca="1">INDEX(Data_DBD!$D:$D,$A132)</f>
        <v>7</v>
      </c>
      <c r="E132" s="2" cm="1">
        <f t="array" aca="1" ref="E132" ca="1">INDEX(Data_DBD!$E:$E,$A132)</f>
        <v>1</v>
      </c>
      <c r="F132" s="2" t="str" cm="1">
        <f t="array" aca="1" ref="F132" ca="1">INDEX(Data_DBD!$F:$F,$A132)</f>
        <v>Rendah</v>
      </c>
      <c r="H132" s="2">
        <v>122</v>
      </c>
      <c r="I132" s="2">
        <v>28</v>
      </c>
      <c r="J132" s="2">
        <v>3</v>
      </c>
      <c r="K132" s="2">
        <v>33</v>
      </c>
      <c r="L132" s="2">
        <v>1</v>
      </c>
      <c r="M132" s="2" t="s">
        <v>97</v>
      </c>
    </row>
    <row r="133" spans="1:13">
      <c r="A133" s="2">
        <f t="shared" ca="1" si="2"/>
        <v>128</v>
      </c>
      <c r="B133" s="2" cm="1">
        <f t="array" aca="1" ref="B133" ca="1">INDEX(Data_DBD!$B:$B,$A133)</f>
        <v>38</v>
      </c>
      <c r="C133" s="2" cm="1">
        <f t="array" aca="1" ref="C133" ca="1">INDEX(Data_DBD!$C:$C,$A133)</f>
        <v>2</v>
      </c>
      <c r="D133" s="2" cm="1">
        <f t="array" aca="1" ref="D133" ca="1">INDEX(Data_DBD!$D:$D,$A133)</f>
        <v>33</v>
      </c>
      <c r="E133" s="2" cm="1">
        <f t="array" aca="1" ref="E133" ca="1">INDEX(Data_DBD!$E:$E,$A133)</f>
        <v>0</v>
      </c>
      <c r="F133" s="2" t="str" cm="1">
        <f t="array" aca="1" ref="F133" ca="1">INDEX(Data_DBD!$F:$F,$A133)</f>
        <v>Tinggi</v>
      </c>
      <c r="H133" s="2">
        <v>120</v>
      </c>
      <c r="I133" s="2">
        <v>26</v>
      </c>
      <c r="J133" s="2">
        <v>4</v>
      </c>
      <c r="K133" s="2">
        <v>33</v>
      </c>
      <c r="L133" s="2">
        <v>1</v>
      </c>
      <c r="M133" s="2" t="s">
        <v>97</v>
      </c>
    </row>
    <row r="134" spans="1:13">
      <c r="A134" s="2">
        <f t="shared" ca="1" si="2"/>
        <v>99</v>
      </c>
      <c r="B134" s="2" cm="1">
        <f t="array" aca="1" ref="B134" ca="1">INDEX(Data_DBD!$B:$B,$A134)</f>
        <v>4</v>
      </c>
      <c r="C134" s="2" cm="1">
        <f t="array" aca="1" ref="C134" ca="1">INDEX(Data_DBD!$C:$C,$A134)</f>
        <v>2</v>
      </c>
      <c r="D134" s="2" cm="1">
        <f t="array" aca="1" ref="D134" ca="1">INDEX(Data_DBD!$D:$D,$A134)</f>
        <v>18</v>
      </c>
      <c r="E134" s="2" cm="1">
        <f t="array" aca="1" ref="E134" ca="1">INDEX(Data_DBD!$E:$E,$A134)</f>
        <v>1</v>
      </c>
      <c r="F134" s="2" t="str" cm="1">
        <f t="array" aca="1" ref="F134" ca="1">INDEX(Data_DBD!$F:$F,$A134)</f>
        <v>Tinggi</v>
      </c>
      <c r="H134" s="2">
        <v>24</v>
      </c>
      <c r="I134" s="2">
        <v>60</v>
      </c>
      <c r="J134" s="2">
        <v>4</v>
      </c>
      <c r="K134" s="2">
        <v>14</v>
      </c>
      <c r="L134" s="2">
        <v>0</v>
      </c>
      <c r="M134" s="2" t="s">
        <v>7</v>
      </c>
    </row>
    <row r="135" spans="1:13">
      <c r="A135" s="2">
        <f t="shared" ca="1" si="2"/>
        <v>124</v>
      </c>
      <c r="B135" s="2" cm="1">
        <f t="array" aca="1" ref="B135" ca="1">INDEX(Data_DBD!$B:$B,$A135)</f>
        <v>24</v>
      </c>
      <c r="C135" s="2" cm="1">
        <f t="array" aca="1" ref="C135" ca="1">INDEX(Data_DBD!$C:$C,$A135)</f>
        <v>3</v>
      </c>
      <c r="D135" s="2" cm="1">
        <f t="array" aca="1" ref="D135" ca="1">INDEX(Data_DBD!$D:$D,$A135)</f>
        <v>33</v>
      </c>
      <c r="E135" s="2" cm="1">
        <f t="array" aca="1" ref="E135" ca="1">INDEX(Data_DBD!$E:$E,$A135)</f>
        <v>1</v>
      </c>
      <c r="F135" s="2" t="str" cm="1">
        <f t="array" aca="1" ref="F135" ca="1">INDEX(Data_DBD!$F:$F,$A135)</f>
        <v>Tinggi</v>
      </c>
      <c r="H135" s="2">
        <v>162</v>
      </c>
      <c r="I135" s="2">
        <v>22</v>
      </c>
      <c r="J135" s="2">
        <v>3</v>
      </c>
      <c r="K135" s="2">
        <v>3</v>
      </c>
      <c r="L135" s="2">
        <v>1</v>
      </c>
      <c r="M135" s="2" t="s">
        <v>20</v>
      </c>
    </row>
    <row r="136" spans="1:13">
      <c r="A136" s="2">
        <f t="shared" ca="1" si="2"/>
        <v>164</v>
      </c>
      <c r="B136" s="2" cm="1">
        <f t="array" aca="1" ref="B136" ca="1">INDEX(Data_DBD!$B:$B,$A136)</f>
        <v>10</v>
      </c>
      <c r="C136" s="2" cm="1">
        <f t="array" aca="1" ref="C136" ca="1">INDEX(Data_DBD!$C:$C,$A136)</f>
        <v>6</v>
      </c>
      <c r="D136" s="2" cm="1">
        <f t="array" aca="1" ref="D136" ca="1">INDEX(Data_DBD!$D:$D,$A136)</f>
        <v>3</v>
      </c>
      <c r="E136" s="2" cm="1">
        <f t="array" aca="1" ref="E136" ca="1">INDEX(Data_DBD!$E:$E,$A136)</f>
        <v>0</v>
      </c>
      <c r="F136" s="2" t="str" cm="1">
        <f t="array" aca="1" ref="F136" ca="1">INDEX(Data_DBD!$F:$F,$A136)</f>
        <v>Rendah</v>
      </c>
      <c r="H136" s="2">
        <v>144</v>
      </c>
      <c r="I136" s="2">
        <v>61</v>
      </c>
      <c r="J136" s="2">
        <v>4</v>
      </c>
      <c r="K136" s="2">
        <v>21</v>
      </c>
      <c r="L136" s="2">
        <v>1</v>
      </c>
      <c r="M136" s="2" t="s">
        <v>97</v>
      </c>
    </row>
    <row r="137" spans="1:13">
      <c r="A137" s="2">
        <f t="shared" ca="1" si="2"/>
        <v>37</v>
      </c>
      <c r="B137" s="2" cm="1">
        <f t="array" aca="1" ref="B137" ca="1">INDEX(Data_DBD!$B:$B,$A137)</f>
        <v>28</v>
      </c>
      <c r="C137" s="2" cm="1">
        <f t="array" aca="1" ref="C137" ca="1">INDEX(Data_DBD!$C:$C,$A137)</f>
        <v>4</v>
      </c>
      <c r="D137" s="2" cm="1">
        <f t="array" aca="1" ref="D137" ca="1">INDEX(Data_DBD!$D:$D,$A137)</f>
        <v>4</v>
      </c>
      <c r="E137" s="2" cm="1">
        <f t="array" aca="1" ref="E137" ca="1">INDEX(Data_DBD!$E:$E,$A137)</f>
        <v>1</v>
      </c>
      <c r="F137" s="2" t="str" cm="1">
        <f t="array" aca="1" ref="F137" ca="1">INDEX(Data_DBD!$F:$F,$A137)</f>
        <v>Rendah</v>
      </c>
      <c r="H137" s="2">
        <v>157</v>
      </c>
      <c r="I137" s="2">
        <v>15</v>
      </c>
      <c r="J137" s="2">
        <v>4</v>
      </c>
      <c r="K137" s="2">
        <v>21</v>
      </c>
      <c r="L137" s="2">
        <v>1</v>
      </c>
      <c r="M137" s="2" t="s">
        <v>97</v>
      </c>
    </row>
    <row r="138" spans="1:13">
      <c r="A138" s="2">
        <f t="shared" ca="1" si="2"/>
        <v>75</v>
      </c>
      <c r="B138" s="2" cm="1">
        <f t="array" aca="1" ref="B138" ca="1">INDEX(Data_DBD!$B:$B,$A138)</f>
        <v>2</v>
      </c>
      <c r="C138" s="2" cm="1">
        <f t="array" aca="1" ref="C138" ca="1">INDEX(Data_DBD!$C:$C,$A138)</f>
        <v>2</v>
      </c>
      <c r="D138" s="2" cm="1">
        <f t="array" aca="1" ref="D138" ca="1">INDEX(Data_DBD!$D:$D,$A138)</f>
        <v>10</v>
      </c>
      <c r="E138" s="2" cm="1">
        <f t="array" aca="1" ref="E138" ca="1">INDEX(Data_DBD!$E:$E,$A138)</f>
        <v>1</v>
      </c>
      <c r="F138" s="2" t="str" cm="1">
        <f t="array" aca="1" ref="F138" ca="1">INDEX(Data_DBD!$F:$F,$A138)</f>
        <v>Sedang</v>
      </c>
      <c r="H138" s="2">
        <v>61</v>
      </c>
      <c r="I138" s="2">
        <v>29</v>
      </c>
      <c r="J138" s="2">
        <v>3</v>
      </c>
      <c r="K138" s="2">
        <v>15</v>
      </c>
      <c r="L138" s="2">
        <v>1</v>
      </c>
      <c r="M138" s="2" t="s">
        <v>7</v>
      </c>
    </row>
    <row r="139" spans="1:13">
      <c r="A139" s="2">
        <f t="shared" ca="1" si="2"/>
        <v>97</v>
      </c>
      <c r="B139" s="2" cm="1">
        <f t="array" aca="1" ref="B139" ca="1">INDEX(Data_DBD!$B:$B,$A139)</f>
        <v>16</v>
      </c>
      <c r="C139" s="2" cm="1">
        <f t="array" aca="1" ref="C139" ca="1">INDEX(Data_DBD!$C:$C,$A139)</f>
        <v>2</v>
      </c>
      <c r="D139" s="2" cm="1">
        <f t="array" aca="1" ref="D139" ca="1">INDEX(Data_DBD!$D:$D,$A139)</f>
        <v>18</v>
      </c>
      <c r="E139" s="2" cm="1">
        <f t="array" aca="1" ref="E139" ca="1">INDEX(Data_DBD!$E:$E,$A139)</f>
        <v>1</v>
      </c>
      <c r="F139" s="2" t="str" cm="1">
        <f t="array" aca="1" ref="F139" ca="1">INDEX(Data_DBD!$F:$F,$A139)</f>
        <v>Tinggi</v>
      </c>
      <c r="H139" s="2">
        <v>113</v>
      </c>
      <c r="I139" s="2">
        <v>69</v>
      </c>
      <c r="J139" s="2">
        <v>1</v>
      </c>
      <c r="K139" s="2">
        <v>33</v>
      </c>
      <c r="L139" s="2">
        <v>1</v>
      </c>
      <c r="M139" s="2" t="s">
        <v>97</v>
      </c>
    </row>
    <row r="140" spans="1:13">
      <c r="A140" s="2">
        <f t="shared" ca="1" si="2"/>
        <v>27</v>
      </c>
      <c r="B140" s="2" cm="1">
        <f t="array" aca="1" ref="B140" ca="1">INDEX(Data_DBD!$B:$B,$A140)</f>
        <v>37</v>
      </c>
      <c r="C140" s="2" cm="1">
        <f t="array" aca="1" ref="C140" ca="1">INDEX(Data_DBD!$C:$C,$A140)</f>
        <v>4</v>
      </c>
      <c r="D140" s="2" cm="1">
        <f t="array" aca="1" ref="D140" ca="1">INDEX(Data_DBD!$D:$D,$A140)</f>
        <v>14</v>
      </c>
      <c r="E140" s="2" cm="1">
        <f t="array" aca="1" ref="E140" ca="1">INDEX(Data_DBD!$E:$E,$A140)</f>
        <v>1</v>
      </c>
      <c r="F140" s="2" t="str" cm="1">
        <f t="array" aca="1" ref="F140" ca="1">INDEX(Data_DBD!$F:$F,$A140)</f>
        <v>Sedang</v>
      </c>
      <c r="H140" s="2">
        <v>116</v>
      </c>
      <c r="I140" s="2">
        <v>32</v>
      </c>
      <c r="J140" s="2">
        <v>4</v>
      </c>
      <c r="K140" s="2">
        <v>33</v>
      </c>
      <c r="L140" s="2">
        <v>1</v>
      </c>
      <c r="M140" s="2" t="s">
        <v>97</v>
      </c>
    </row>
    <row r="141" spans="1:13">
      <c r="A141" s="2">
        <f t="shared" ca="1" si="2"/>
        <v>138</v>
      </c>
      <c r="B141" s="2" cm="1">
        <f t="array" aca="1" ref="B141" ca="1">INDEX(Data_DBD!$B:$B,$A141)</f>
        <v>13</v>
      </c>
      <c r="C141" s="2" cm="1">
        <f t="array" aca="1" ref="C141" ca="1">INDEX(Data_DBD!$C:$C,$A141)</f>
        <v>3</v>
      </c>
      <c r="D141" s="2" cm="1">
        <f t="array" aca="1" ref="D141" ca="1">INDEX(Data_DBD!$D:$D,$A141)</f>
        <v>33</v>
      </c>
      <c r="E141" s="2" cm="1">
        <f t="array" aca="1" ref="E141" ca="1">INDEX(Data_DBD!$E:$E,$A141)</f>
        <v>1</v>
      </c>
      <c r="F141" s="2" t="str" cm="1">
        <f t="array" aca="1" ref="F141" ca="1">INDEX(Data_DBD!$F:$F,$A141)</f>
        <v>Tinggi</v>
      </c>
      <c r="H141" s="2">
        <v>115</v>
      </c>
      <c r="I141" s="2">
        <v>52</v>
      </c>
      <c r="J141" s="2">
        <v>3</v>
      </c>
      <c r="K141" s="2">
        <v>33</v>
      </c>
      <c r="L141" s="2">
        <v>1</v>
      </c>
      <c r="M141" s="2" t="s">
        <v>97</v>
      </c>
    </row>
    <row r="142" spans="1:13">
      <c r="A142" s="2">
        <f t="shared" ca="1" si="2"/>
        <v>9</v>
      </c>
      <c r="B142" s="2" cm="1">
        <f t="array" aca="1" ref="B142" ca="1">INDEX(Data_DBD!$B:$B,$A142)</f>
        <v>16</v>
      </c>
      <c r="C142" s="2" cm="1">
        <f t="array" aca="1" ref="C142" ca="1">INDEX(Data_DBD!$C:$C,$A142)</f>
        <v>6</v>
      </c>
      <c r="D142" s="2" cm="1">
        <f t="array" aca="1" ref="D142" ca="1">INDEX(Data_DBD!$D:$D,$A142)</f>
        <v>12</v>
      </c>
      <c r="E142" s="2" cm="1">
        <f t="array" aca="1" ref="E142" ca="1">INDEX(Data_DBD!$E:$E,$A142)</f>
        <v>1</v>
      </c>
      <c r="F142" s="2" t="str" cm="1">
        <f t="array" aca="1" ref="F142" ca="1">INDEX(Data_DBD!$F:$F,$A142)</f>
        <v>Sedang</v>
      </c>
      <c r="H142" s="2">
        <v>4</v>
      </c>
      <c r="I142" s="2">
        <v>23</v>
      </c>
      <c r="J142" s="2">
        <v>5</v>
      </c>
      <c r="K142" s="2">
        <v>12</v>
      </c>
      <c r="L142" s="2">
        <v>0</v>
      </c>
      <c r="M142" s="2" t="s">
        <v>7</v>
      </c>
    </row>
    <row r="143" spans="1:13">
      <c r="A143" s="2">
        <f t="shared" ca="1" si="2"/>
        <v>88</v>
      </c>
      <c r="B143" s="2" cm="1">
        <f t="array" aca="1" ref="B143" ca="1">INDEX(Data_DBD!$B:$B,$A143)</f>
        <v>20</v>
      </c>
      <c r="C143" s="2" cm="1">
        <f t="array" aca="1" ref="C143" ca="1">INDEX(Data_DBD!$C:$C,$A143)</f>
        <v>4</v>
      </c>
      <c r="D143" s="2" cm="1">
        <f t="array" aca="1" ref="D143" ca="1">INDEX(Data_DBD!$D:$D,$A143)</f>
        <v>13</v>
      </c>
      <c r="E143" s="2" cm="1">
        <f t="array" aca="1" ref="E143" ca="1">INDEX(Data_DBD!$E:$E,$A143)</f>
        <v>1</v>
      </c>
      <c r="F143" s="2" t="str" cm="1">
        <f t="array" aca="1" ref="F143" ca="1">INDEX(Data_DBD!$F:$F,$A143)</f>
        <v>Sedang</v>
      </c>
      <c r="H143" s="2">
        <v>78</v>
      </c>
      <c r="I143" s="2">
        <v>6</v>
      </c>
      <c r="J143" s="2">
        <v>3</v>
      </c>
      <c r="K143" s="2">
        <v>13</v>
      </c>
      <c r="L143" s="2">
        <v>0</v>
      </c>
      <c r="M143" s="2" t="s">
        <v>7</v>
      </c>
    </row>
    <row r="144" spans="1:13">
      <c r="A144" s="2">
        <f t="shared" ca="1" si="2"/>
        <v>121</v>
      </c>
      <c r="B144" s="2" cm="1">
        <f t="array" aca="1" ref="B144" ca="1">INDEX(Data_DBD!$B:$B,$A144)</f>
        <v>82</v>
      </c>
      <c r="C144" s="2" cm="1">
        <f t="array" aca="1" ref="C144" ca="1">INDEX(Data_DBD!$C:$C,$A144)</f>
        <v>5</v>
      </c>
      <c r="D144" s="2" cm="1">
        <f t="array" aca="1" ref="D144" ca="1">INDEX(Data_DBD!$D:$D,$A144)</f>
        <v>33</v>
      </c>
      <c r="E144" s="2" cm="1">
        <f t="array" aca="1" ref="E144" ca="1">INDEX(Data_DBD!$E:$E,$A144)</f>
        <v>1</v>
      </c>
      <c r="F144" s="2" t="str" cm="1">
        <f t="array" aca="1" ref="F144" ca="1">INDEX(Data_DBD!$F:$F,$A144)</f>
        <v>Tinggi</v>
      </c>
      <c r="H144" s="2">
        <v>112</v>
      </c>
      <c r="I144" s="2">
        <v>61</v>
      </c>
      <c r="J144" s="2">
        <v>3</v>
      </c>
      <c r="K144" s="2">
        <v>33</v>
      </c>
      <c r="L144" s="2">
        <v>1</v>
      </c>
      <c r="M144" s="2" t="s">
        <v>97</v>
      </c>
    </row>
    <row r="145" spans="1:13">
      <c r="A145" s="2">
        <f t="shared" ca="1" si="2"/>
        <v>129</v>
      </c>
      <c r="B145" s="2" cm="1">
        <f t="array" aca="1" ref="B145" ca="1">INDEX(Data_DBD!$B:$B,$A145)</f>
        <v>4</v>
      </c>
      <c r="C145" s="2" cm="1">
        <f t="array" aca="1" ref="C145" ca="1">INDEX(Data_DBD!$C:$C,$A145)</f>
        <v>3</v>
      </c>
      <c r="D145" s="2" cm="1">
        <f t="array" aca="1" ref="D145" ca="1">INDEX(Data_DBD!$D:$D,$A145)</f>
        <v>33</v>
      </c>
      <c r="E145" s="2" cm="1">
        <f t="array" aca="1" ref="E145" ca="1">INDEX(Data_DBD!$E:$E,$A145)</f>
        <v>0</v>
      </c>
      <c r="F145" s="2" t="str" cm="1">
        <f t="array" aca="1" ref="F145" ca="1">INDEX(Data_DBD!$F:$F,$A145)</f>
        <v>Tinggi</v>
      </c>
      <c r="H145" s="2">
        <v>136</v>
      </c>
      <c r="I145" s="2">
        <v>6</v>
      </c>
      <c r="J145" s="2">
        <v>2</v>
      </c>
      <c r="K145" s="2">
        <v>33</v>
      </c>
      <c r="L145" s="2">
        <v>0</v>
      </c>
      <c r="M145" s="2" t="s">
        <v>97</v>
      </c>
    </row>
    <row r="146" spans="1:13">
      <c r="A146" s="2">
        <f t="shared" ca="1" si="2"/>
        <v>117</v>
      </c>
      <c r="B146" s="2" cm="1">
        <f t="array" aca="1" ref="B146" ca="1">INDEX(Data_DBD!$B:$B,$A146)</f>
        <v>49</v>
      </c>
      <c r="C146" s="2" cm="1">
        <f t="array" aca="1" ref="C146" ca="1">INDEX(Data_DBD!$C:$C,$A146)</f>
        <v>4</v>
      </c>
      <c r="D146" s="2" cm="1">
        <f t="array" aca="1" ref="D146" ca="1">INDEX(Data_DBD!$D:$D,$A146)</f>
        <v>33</v>
      </c>
      <c r="E146" s="2" cm="1">
        <f t="array" aca="1" ref="E146" ca="1">INDEX(Data_DBD!$E:$E,$A146)</f>
        <v>1</v>
      </c>
      <c r="F146" s="2" t="str" cm="1">
        <f t="array" aca="1" ref="F146" ca="1">INDEX(Data_DBD!$F:$F,$A146)</f>
        <v>Tinggi</v>
      </c>
      <c r="H146" s="2">
        <v>84</v>
      </c>
      <c r="I146" s="2">
        <v>42</v>
      </c>
      <c r="J146" s="2">
        <v>4</v>
      </c>
      <c r="K146" s="2">
        <v>13</v>
      </c>
      <c r="L146" s="2">
        <v>1</v>
      </c>
      <c r="M146" s="2" t="s">
        <v>7</v>
      </c>
    </row>
    <row r="147" spans="1:13">
      <c r="A147" s="2">
        <f t="shared" ca="1" si="2"/>
        <v>138</v>
      </c>
      <c r="B147" s="2" cm="1">
        <f t="array" aca="1" ref="B147" ca="1">INDEX(Data_DBD!$B:$B,$A147)</f>
        <v>13</v>
      </c>
      <c r="C147" s="2" cm="1">
        <f t="array" aca="1" ref="C147" ca="1">INDEX(Data_DBD!$C:$C,$A147)</f>
        <v>3</v>
      </c>
      <c r="D147" s="2" cm="1">
        <f t="array" aca="1" ref="D147" ca="1">INDEX(Data_DBD!$D:$D,$A147)</f>
        <v>33</v>
      </c>
      <c r="E147" s="2" cm="1">
        <f t="array" aca="1" ref="E147" ca="1">INDEX(Data_DBD!$E:$E,$A147)</f>
        <v>1</v>
      </c>
      <c r="F147" s="2" t="str" cm="1">
        <f t="array" aca="1" ref="F147" ca="1">INDEX(Data_DBD!$F:$F,$A147)</f>
        <v>Tinggi</v>
      </c>
      <c r="H147" s="2">
        <v>72</v>
      </c>
      <c r="I147" s="2">
        <v>3</v>
      </c>
      <c r="J147" s="2">
        <v>5</v>
      </c>
      <c r="K147" s="2">
        <v>10</v>
      </c>
      <c r="L147" s="2">
        <v>1</v>
      </c>
      <c r="M147" s="2" t="s">
        <v>7</v>
      </c>
    </row>
    <row r="148" spans="1:13">
      <c r="A148" s="2">
        <f t="shared" ca="1" si="2"/>
        <v>60</v>
      </c>
      <c r="B148" s="2" cm="1">
        <f t="array" aca="1" ref="B148" ca="1">INDEX(Data_DBD!$B:$B,$A148)</f>
        <v>68</v>
      </c>
      <c r="C148" s="2" cm="1">
        <f t="array" aca="1" ref="C148" ca="1">INDEX(Data_DBD!$C:$C,$A148)</f>
        <v>4</v>
      </c>
      <c r="D148" s="2" cm="1">
        <f t="array" aca="1" ref="D148" ca="1">INDEX(Data_DBD!$D:$D,$A148)</f>
        <v>15</v>
      </c>
      <c r="E148" s="2" cm="1">
        <f t="array" aca="1" ref="E148" ca="1">INDEX(Data_DBD!$E:$E,$A148)</f>
        <v>0</v>
      </c>
      <c r="F148" s="2" t="str" cm="1">
        <f t="array" aca="1" ref="F148" ca="1">INDEX(Data_DBD!$F:$F,$A148)</f>
        <v>Sedang</v>
      </c>
      <c r="H148" s="2">
        <v>85</v>
      </c>
      <c r="I148" s="2">
        <v>27</v>
      </c>
      <c r="J148" s="2">
        <v>9</v>
      </c>
      <c r="K148" s="2">
        <v>13</v>
      </c>
      <c r="L148" s="2">
        <v>0</v>
      </c>
      <c r="M148" s="2" t="s">
        <v>7</v>
      </c>
    </row>
    <row r="149" spans="1:13">
      <c r="A149" s="2">
        <f t="shared" ca="1" si="2"/>
        <v>110</v>
      </c>
      <c r="B149" s="2" cm="1">
        <f t="array" aca="1" ref="B149" ca="1">INDEX(Data_DBD!$B:$B,$A149)</f>
        <v>42</v>
      </c>
      <c r="C149" s="2" cm="1">
        <f t="array" aca="1" ref="C149" ca="1">INDEX(Data_DBD!$C:$C,$A149)</f>
        <v>2</v>
      </c>
      <c r="D149" s="2" cm="1">
        <f t="array" aca="1" ref="D149" ca="1">INDEX(Data_DBD!$D:$D,$A149)</f>
        <v>33</v>
      </c>
      <c r="E149" s="2" cm="1">
        <f t="array" aca="1" ref="E149" ca="1">INDEX(Data_DBD!$E:$E,$A149)</f>
        <v>1</v>
      </c>
      <c r="F149" s="2" t="str" cm="1">
        <f t="array" aca="1" ref="F149" ca="1">INDEX(Data_DBD!$F:$F,$A149)</f>
        <v>Tinggi</v>
      </c>
      <c r="H149" s="2">
        <v>5</v>
      </c>
      <c r="I149" s="2">
        <v>18</v>
      </c>
      <c r="J149" s="2">
        <v>2</v>
      </c>
      <c r="K149" s="2">
        <v>12</v>
      </c>
      <c r="L149" s="2">
        <v>1</v>
      </c>
      <c r="M149" s="2" t="s">
        <v>7</v>
      </c>
    </row>
    <row r="150" spans="1:13">
      <c r="A150" s="2">
        <f t="shared" ca="1" si="2"/>
        <v>154</v>
      </c>
      <c r="B150" s="2" cm="1">
        <f t="array" aca="1" ref="B150" ca="1">INDEX(Data_DBD!$B:$B,$A150)</f>
        <v>18</v>
      </c>
      <c r="C150" s="2" cm="1">
        <f t="array" aca="1" ref="C150" ca="1">INDEX(Data_DBD!$C:$C,$A150)</f>
        <v>5</v>
      </c>
      <c r="D150" s="2" cm="1">
        <f t="array" aca="1" ref="D150" ca="1">INDEX(Data_DBD!$D:$D,$A150)</f>
        <v>21</v>
      </c>
      <c r="E150" s="2" cm="1">
        <f t="array" aca="1" ref="E150" ca="1">INDEX(Data_DBD!$E:$E,$A150)</f>
        <v>1</v>
      </c>
      <c r="F150" s="2" t="str" cm="1">
        <f t="array" aca="1" ref="F150" ca="1">INDEX(Data_DBD!$F:$F,$A150)</f>
        <v>Tinggi</v>
      </c>
      <c r="H150" s="2">
        <v>88</v>
      </c>
      <c r="I150" s="2">
        <v>20</v>
      </c>
      <c r="J150" s="2">
        <v>4</v>
      </c>
      <c r="K150" s="2">
        <v>13</v>
      </c>
      <c r="L150" s="2">
        <v>1</v>
      </c>
      <c r="M150" s="2" t="s">
        <v>7</v>
      </c>
    </row>
    <row r="151" spans="1:13">
      <c r="A151" s="2">
        <f t="shared" ca="1" si="2"/>
        <v>98</v>
      </c>
      <c r="B151" s="2" cm="1">
        <f t="array" aca="1" ref="B151" ca="1">INDEX(Data_DBD!$B:$B,$A151)</f>
        <v>16</v>
      </c>
      <c r="C151" s="2" cm="1">
        <f t="array" aca="1" ref="C151" ca="1">INDEX(Data_DBD!$C:$C,$A151)</f>
        <v>2</v>
      </c>
      <c r="D151" s="2" cm="1">
        <f t="array" aca="1" ref="D151" ca="1">INDEX(Data_DBD!$D:$D,$A151)</f>
        <v>18</v>
      </c>
      <c r="E151" s="2" cm="1">
        <f t="array" aca="1" ref="E151" ca="1">INDEX(Data_DBD!$E:$E,$A151)</f>
        <v>1</v>
      </c>
      <c r="F151" s="2" t="str" cm="1">
        <f t="array" aca="1" ref="F151" ca="1">INDEX(Data_DBD!$F:$F,$A151)</f>
        <v>Tinggi</v>
      </c>
      <c r="H151" s="2">
        <v>88</v>
      </c>
      <c r="I151" s="2">
        <v>20</v>
      </c>
      <c r="J151" s="2">
        <v>4</v>
      </c>
      <c r="K151" s="2">
        <v>13</v>
      </c>
      <c r="L151" s="2">
        <v>1</v>
      </c>
      <c r="M151" s="2" t="s">
        <v>7</v>
      </c>
    </row>
    <row r="152" spans="1:13">
      <c r="A152" s="2">
        <f t="shared" ca="1" si="2"/>
        <v>139</v>
      </c>
      <c r="B152" s="2" cm="1">
        <f t="array" aca="1" ref="B152" ca="1">INDEX(Data_DBD!$B:$B,$A152)</f>
        <v>52</v>
      </c>
      <c r="C152" s="2" cm="1">
        <f t="array" aca="1" ref="C152" ca="1">INDEX(Data_DBD!$C:$C,$A152)</f>
        <v>7</v>
      </c>
      <c r="D152" s="2" cm="1">
        <f t="array" aca="1" ref="D152" ca="1">INDEX(Data_DBD!$D:$D,$A152)</f>
        <v>21</v>
      </c>
      <c r="E152" s="2" cm="1">
        <f t="array" aca="1" ref="E152" ca="1">INDEX(Data_DBD!$E:$E,$A152)</f>
        <v>0</v>
      </c>
      <c r="F152" s="2" t="str" cm="1">
        <f t="array" aca="1" ref="F152" ca="1">INDEX(Data_DBD!$F:$F,$A152)</f>
        <v>Tinggi</v>
      </c>
      <c r="H152" s="2">
        <v>126</v>
      </c>
      <c r="I152" s="2">
        <v>51</v>
      </c>
      <c r="J152" s="2">
        <v>3</v>
      </c>
      <c r="K152" s="2">
        <v>33</v>
      </c>
      <c r="L152" s="2">
        <v>1</v>
      </c>
      <c r="M152" s="2" t="s">
        <v>97</v>
      </c>
    </row>
    <row r="153" spans="1:13">
      <c r="A153" s="2">
        <f t="shared" ca="1" si="2"/>
        <v>120</v>
      </c>
      <c r="B153" s="2" cm="1">
        <f t="array" aca="1" ref="B153" ca="1">INDEX(Data_DBD!$B:$B,$A153)</f>
        <v>26</v>
      </c>
      <c r="C153" s="2" cm="1">
        <f t="array" aca="1" ref="C153" ca="1">INDEX(Data_DBD!$C:$C,$A153)</f>
        <v>4</v>
      </c>
      <c r="D153" s="2" cm="1">
        <f t="array" aca="1" ref="D153" ca="1">INDEX(Data_DBD!$D:$D,$A153)</f>
        <v>33</v>
      </c>
      <c r="E153" s="2" cm="1">
        <f t="array" aca="1" ref="E153" ca="1">INDEX(Data_DBD!$E:$E,$A153)</f>
        <v>1</v>
      </c>
      <c r="F153" s="2" t="str" cm="1">
        <f t="array" aca="1" ref="F153" ca="1">INDEX(Data_DBD!$F:$F,$A153)</f>
        <v>Tinggi</v>
      </c>
      <c r="H153" s="2">
        <v>44</v>
      </c>
      <c r="I153" s="2">
        <v>28</v>
      </c>
      <c r="J153" s="2">
        <v>5</v>
      </c>
      <c r="K153" s="2">
        <v>13</v>
      </c>
      <c r="L153" s="2">
        <v>1</v>
      </c>
      <c r="M153" s="2" t="s">
        <v>7</v>
      </c>
    </row>
    <row r="154" spans="1:13">
      <c r="A154" s="2">
        <f t="shared" ca="1" si="2"/>
        <v>76</v>
      </c>
      <c r="B154" s="2" cm="1">
        <f t="array" aca="1" ref="B154" ca="1">INDEX(Data_DBD!$B:$B,$A154)</f>
        <v>70</v>
      </c>
      <c r="C154" s="2" cm="1">
        <f t="array" aca="1" ref="C154" ca="1">INDEX(Data_DBD!$C:$C,$A154)</f>
        <v>2</v>
      </c>
      <c r="D154" s="2" cm="1">
        <f t="array" aca="1" ref="D154" ca="1">INDEX(Data_DBD!$D:$D,$A154)</f>
        <v>10</v>
      </c>
      <c r="E154" s="2" cm="1">
        <f t="array" aca="1" ref="E154" ca="1">INDEX(Data_DBD!$E:$E,$A154)</f>
        <v>0</v>
      </c>
      <c r="F154" s="2" t="str" cm="1">
        <f t="array" aca="1" ref="F154" ca="1">INDEX(Data_DBD!$F:$F,$A154)</f>
        <v>Sedang</v>
      </c>
      <c r="H154" s="2">
        <v>126</v>
      </c>
      <c r="I154" s="2">
        <v>51</v>
      </c>
      <c r="J154" s="2">
        <v>3</v>
      </c>
      <c r="K154" s="2">
        <v>33</v>
      </c>
      <c r="L154" s="2">
        <v>1</v>
      </c>
      <c r="M154" s="2" t="s">
        <v>97</v>
      </c>
    </row>
    <row r="155" spans="1:13">
      <c r="A155" s="2">
        <f t="shared" ca="1" si="2"/>
        <v>48</v>
      </c>
      <c r="B155" s="2" cm="1">
        <f t="array" aca="1" ref="B155" ca="1">INDEX(Data_DBD!$B:$B,$A155)</f>
        <v>50</v>
      </c>
      <c r="C155" s="2" cm="1">
        <f t="array" aca="1" ref="C155" ca="1">INDEX(Data_DBD!$C:$C,$A155)</f>
        <v>5</v>
      </c>
      <c r="D155" s="2" cm="1">
        <f t="array" aca="1" ref="D155" ca="1">INDEX(Data_DBD!$D:$D,$A155)</f>
        <v>13</v>
      </c>
      <c r="E155" s="2" cm="1">
        <f t="array" aca="1" ref="E155" ca="1">INDEX(Data_DBD!$E:$E,$A155)</f>
        <v>1</v>
      </c>
      <c r="F155" s="2" t="str" cm="1">
        <f t="array" aca="1" ref="F155" ca="1">INDEX(Data_DBD!$F:$F,$A155)</f>
        <v>Sedang</v>
      </c>
      <c r="H155" s="2">
        <v>84</v>
      </c>
      <c r="I155" s="2">
        <v>42</v>
      </c>
      <c r="J155" s="2">
        <v>4</v>
      </c>
      <c r="K155" s="2">
        <v>13</v>
      </c>
      <c r="L155" s="2">
        <v>1</v>
      </c>
      <c r="M155" s="2" t="s">
        <v>7</v>
      </c>
    </row>
    <row r="156" spans="1:13">
      <c r="A156" s="2">
        <f t="shared" ca="1" si="2"/>
        <v>52</v>
      </c>
      <c r="B156" s="2" cm="1">
        <f t="array" aca="1" ref="B156" ca="1">INDEX(Data_DBD!$B:$B,$A156)</f>
        <v>59</v>
      </c>
      <c r="C156" s="2" cm="1">
        <f t="array" aca="1" ref="C156" ca="1">INDEX(Data_DBD!$C:$C,$A156)</f>
        <v>4</v>
      </c>
      <c r="D156" s="2" cm="1">
        <f t="array" aca="1" ref="D156" ca="1">INDEX(Data_DBD!$D:$D,$A156)</f>
        <v>15</v>
      </c>
      <c r="E156" s="2" cm="1">
        <f t="array" aca="1" ref="E156" ca="1">INDEX(Data_DBD!$E:$E,$A156)</f>
        <v>1</v>
      </c>
      <c r="F156" s="2" t="str" cm="1">
        <f t="array" aca="1" ref="F156" ca="1">INDEX(Data_DBD!$F:$F,$A156)</f>
        <v>Sedang</v>
      </c>
      <c r="H156" s="2">
        <v>60</v>
      </c>
      <c r="I156" s="2">
        <v>68</v>
      </c>
      <c r="J156" s="2">
        <v>4</v>
      </c>
      <c r="K156" s="2">
        <v>15</v>
      </c>
      <c r="L156" s="2">
        <v>0</v>
      </c>
      <c r="M156" s="2" t="s">
        <v>7</v>
      </c>
    </row>
    <row r="157" spans="1:13">
      <c r="A157" s="2">
        <f t="shared" ca="1" si="2"/>
        <v>76</v>
      </c>
      <c r="B157" s="2" cm="1">
        <f t="array" aca="1" ref="B157" ca="1">INDEX(Data_DBD!$B:$B,$A157)</f>
        <v>70</v>
      </c>
      <c r="C157" s="2" cm="1">
        <f t="array" aca="1" ref="C157" ca="1">INDEX(Data_DBD!$C:$C,$A157)</f>
        <v>2</v>
      </c>
      <c r="D157" s="2" cm="1">
        <f t="array" aca="1" ref="D157" ca="1">INDEX(Data_DBD!$D:$D,$A157)</f>
        <v>10</v>
      </c>
      <c r="E157" s="2" cm="1">
        <f t="array" aca="1" ref="E157" ca="1">INDEX(Data_DBD!$E:$E,$A157)</f>
        <v>0</v>
      </c>
      <c r="F157" s="2" t="str" cm="1">
        <f t="array" aca="1" ref="F157" ca="1">INDEX(Data_DBD!$F:$F,$A157)</f>
        <v>Sedang</v>
      </c>
      <c r="H157" s="2">
        <v>89</v>
      </c>
      <c r="I157" s="2">
        <v>32</v>
      </c>
      <c r="J157" s="2">
        <v>4</v>
      </c>
      <c r="K157" s="2">
        <v>13</v>
      </c>
      <c r="L157" s="2">
        <v>0</v>
      </c>
      <c r="M157" s="2" t="s">
        <v>7</v>
      </c>
    </row>
    <row r="158" spans="1:13">
      <c r="A158" s="2">
        <f t="shared" ca="1" si="2"/>
        <v>104</v>
      </c>
      <c r="B158" s="2" cm="1">
        <f t="array" aca="1" ref="B158" ca="1">INDEX(Data_DBD!$B:$B,$A158)</f>
        <v>37</v>
      </c>
      <c r="C158" s="2" cm="1">
        <f t="array" aca="1" ref="C158" ca="1">INDEX(Data_DBD!$C:$C,$A158)</f>
        <v>4</v>
      </c>
      <c r="D158" s="2" cm="1">
        <f t="array" aca="1" ref="D158" ca="1">INDEX(Data_DBD!$D:$D,$A158)</f>
        <v>18</v>
      </c>
      <c r="E158" s="2" cm="1">
        <f t="array" aca="1" ref="E158" ca="1">INDEX(Data_DBD!$E:$E,$A158)</f>
        <v>1</v>
      </c>
      <c r="F158" s="2" t="str" cm="1">
        <f t="array" aca="1" ref="F158" ca="1">INDEX(Data_DBD!$F:$F,$A158)</f>
        <v>Tinggi</v>
      </c>
      <c r="H158" s="2">
        <v>60</v>
      </c>
      <c r="I158" s="2">
        <v>68</v>
      </c>
      <c r="J158" s="2">
        <v>4</v>
      </c>
      <c r="K158" s="2">
        <v>15</v>
      </c>
      <c r="L158" s="2">
        <v>0</v>
      </c>
      <c r="M158" s="2" t="s">
        <v>7</v>
      </c>
    </row>
    <row r="159" spans="1:13">
      <c r="A159" s="2">
        <f t="shared" ca="1" si="2"/>
        <v>42</v>
      </c>
      <c r="B159" s="2" cm="1">
        <f t="array" aca="1" ref="B159" ca="1">INDEX(Data_DBD!$B:$B,$A159)</f>
        <v>21</v>
      </c>
      <c r="C159" s="2" cm="1">
        <f t="array" aca="1" ref="C159" ca="1">INDEX(Data_DBD!$C:$C,$A159)</f>
        <v>5</v>
      </c>
      <c r="D159" s="2" cm="1">
        <f t="array" aca="1" ref="D159" ca="1">INDEX(Data_DBD!$D:$D,$A159)</f>
        <v>13</v>
      </c>
      <c r="E159" s="2" cm="1">
        <f t="array" aca="1" ref="E159" ca="1">INDEX(Data_DBD!$E:$E,$A159)</f>
        <v>1</v>
      </c>
      <c r="F159" s="2" t="str" cm="1">
        <f t="array" aca="1" ref="F159" ca="1">INDEX(Data_DBD!$F:$F,$A159)</f>
        <v>Sedang</v>
      </c>
      <c r="H159" s="2">
        <v>153</v>
      </c>
      <c r="I159" s="2">
        <v>73</v>
      </c>
      <c r="J159" s="2">
        <v>7</v>
      </c>
      <c r="K159" s="2">
        <v>21</v>
      </c>
      <c r="L159" s="2">
        <v>1</v>
      </c>
      <c r="M159" s="2" t="s">
        <v>97</v>
      </c>
    </row>
    <row r="160" spans="1:13">
      <c r="A160" s="2">
        <f t="shared" ca="1" si="2"/>
        <v>164</v>
      </c>
      <c r="B160" s="2" cm="1">
        <f t="array" aca="1" ref="B160" ca="1">INDEX(Data_DBD!$B:$B,$A160)</f>
        <v>10</v>
      </c>
      <c r="C160" s="2" cm="1">
        <f t="array" aca="1" ref="C160" ca="1">INDEX(Data_DBD!$C:$C,$A160)</f>
        <v>6</v>
      </c>
      <c r="D160" s="2" cm="1">
        <f t="array" aca="1" ref="D160" ca="1">INDEX(Data_DBD!$D:$D,$A160)</f>
        <v>3</v>
      </c>
      <c r="E160" s="2" cm="1">
        <f t="array" aca="1" ref="E160" ca="1">INDEX(Data_DBD!$E:$E,$A160)</f>
        <v>0</v>
      </c>
      <c r="F160" s="2" t="str" cm="1">
        <f t="array" aca="1" ref="F160" ca="1">INDEX(Data_DBD!$F:$F,$A160)</f>
        <v>Rendah</v>
      </c>
      <c r="H160" s="2">
        <v>122</v>
      </c>
      <c r="I160" s="2">
        <v>28</v>
      </c>
      <c r="J160" s="2">
        <v>3</v>
      </c>
      <c r="K160" s="2">
        <v>33</v>
      </c>
      <c r="L160" s="2">
        <v>1</v>
      </c>
      <c r="M160" s="2" t="s">
        <v>97</v>
      </c>
    </row>
    <row r="161" spans="1:22">
      <c r="A161" s="2">
        <f t="shared" ca="1" si="2"/>
        <v>100</v>
      </c>
      <c r="B161" s="2" cm="1">
        <f t="array" aca="1" ref="B161" ca="1">INDEX(Data_DBD!$B:$B,$A161)</f>
        <v>19</v>
      </c>
      <c r="C161" s="2" cm="1">
        <f t="array" aca="1" ref="C161" ca="1">INDEX(Data_DBD!$C:$C,$A161)</f>
        <v>6</v>
      </c>
      <c r="D161" s="2" cm="1">
        <f t="array" aca="1" ref="D161" ca="1">INDEX(Data_DBD!$D:$D,$A161)</f>
        <v>18</v>
      </c>
      <c r="E161" s="2" cm="1">
        <f t="array" aca="1" ref="E161" ca="1">INDEX(Data_DBD!$E:$E,$A161)</f>
        <v>0</v>
      </c>
      <c r="F161" s="2" t="str" cm="1">
        <f t="array" aca="1" ref="F161" ca="1">INDEX(Data_DBD!$F:$F,$A161)</f>
        <v>Tinggi</v>
      </c>
      <c r="H161" s="2">
        <v>34</v>
      </c>
      <c r="I161" s="2">
        <v>55</v>
      </c>
      <c r="J161" s="2">
        <v>3</v>
      </c>
      <c r="K161" s="2">
        <v>14</v>
      </c>
      <c r="L161" s="2">
        <v>0</v>
      </c>
      <c r="M161" s="2" t="s">
        <v>7</v>
      </c>
    </row>
    <row r="162" spans="1:22">
      <c r="A162" s="2">
        <f t="shared" ca="1" si="2"/>
        <v>140</v>
      </c>
      <c r="B162" s="2" cm="1">
        <f t="array" aca="1" ref="B162" ca="1">INDEX(Data_DBD!$B:$B,$A162)</f>
        <v>74</v>
      </c>
      <c r="C162" s="2" cm="1">
        <f t="array" aca="1" ref="C162" ca="1">INDEX(Data_DBD!$C:$C,$A162)</f>
        <v>5</v>
      </c>
      <c r="D162" s="2" cm="1">
        <f t="array" aca="1" ref="D162" ca="1">INDEX(Data_DBD!$D:$D,$A162)</f>
        <v>21</v>
      </c>
      <c r="E162" s="2" cm="1">
        <f t="array" aca="1" ref="E162" ca="1">INDEX(Data_DBD!$E:$E,$A162)</f>
        <v>1</v>
      </c>
      <c r="F162" s="2" t="str" cm="1">
        <f t="array" aca="1" ref="F162" ca="1">INDEX(Data_DBD!$F:$F,$A162)</f>
        <v>Tinggi</v>
      </c>
      <c r="H162" s="2">
        <v>127</v>
      </c>
      <c r="I162" s="2">
        <v>21</v>
      </c>
      <c r="J162" s="2">
        <v>2</v>
      </c>
      <c r="K162" s="2">
        <v>33</v>
      </c>
      <c r="L162" s="2">
        <v>0</v>
      </c>
      <c r="M162" s="2" t="s">
        <v>97</v>
      </c>
    </row>
    <row r="163" spans="1:22">
      <c r="A163" s="2">
        <f t="shared" ca="1" si="2"/>
        <v>143</v>
      </c>
      <c r="B163" s="2" cm="1">
        <f t="array" aca="1" ref="B163" ca="1">INDEX(Data_DBD!$B:$B,$A163)</f>
        <v>20</v>
      </c>
      <c r="C163" s="2" cm="1">
        <f t="array" aca="1" ref="C163" ca="1">INDEX(Data_DBD!$C:$C,$A163)</f>
        <v>4</v>
      </c>
      <c r="D163" s="2" cm="1">
        <f t="array" aca="1" ref="D163" ca="1">INDEX(Data_DBD!$D:$D,$A163)</f>
        <v>21</v>
      </c>
      <c r="E163" s="2" cm="1">
        <f t="array" aca="1" ref="E163" ca="1">INDEX(Data_DBD!$E:$E,$A163)</f>
        <v>1</v>
      </c>
      <c r="F163" s="2" t="str" cm="1">
        <f t="array" aca="1" ref="F163" ca="1">INDEX(Data_DBD!$F:$F,$A163)</f>
        <v>Tinggi</v>
      </c>
      <c r="H163" s="2">
        <v>51</v>
      </c>
      <c r="I163" s="2">
        <v>48</v>
      </c>
      <c r="J163" s="2">
        <v>4</v>
      </c>
      <c r="K163" s="2">
        <v>13</v>
      </c>
      <c r="L163" s="2">
        <v>0</v>
      </c>
      <c r="M163" s="2" t="s">
        <v>7</v>
      </c>
    </row>
    <row r="164" spans="1:22">
      <c r="A164" s="2">
        <f t="shared" ca="1" si="2"/>
        <v>73</v>
      </c>
      <c r="B164" s="2" cm="1">
        <f t="array" aca="1" ref="B164" ca="1">INDEX(Data_DBD!$B:$B,$A164)</f>
        <v>15</v>
      </c>
      <c r="C164" s="2" cm="1">
        <f t="array" aca="1" ref="C164" ca="1">INDEX(Data_DBD!$C:$C,$A164)</f>
        <v>3</v>
      </c>
      <c r="D164" s="2" cm="1">
        <f t="array" aca="1" ref="D164" ca="1">INDEX(Data_DBD!$D:$D,$A164)</f>
        <v>10</v>
      </c>
      <c r="E164" s="2" cm="1">
        <f t="array" aca="1" ref="E164" ca="1">INDEX(Data_DBD!$E:$E,$A164)</f>
        <v>1</v>
      </c>
      <c r="F164" s="2" t="str" cm="1">
        <f t="array" aca="1" ref="F164" ca="1">INDEX(Data_DBD!$F:$F,$A164)</f>
        <v>Sedang</v>
      </c>
      <c r="H164" s="2">
        <v>57</v>
      </c>
      <c r="I164" s="2">
        <v>2</v>
      </c>
      <c r="J164" s="2">
        <v>2</v>
      </c>
      <c r="K164" s="2">
        <v>15</v>
      </c>
      <c r="L164" s="2">
        <v>1</v>
      </c>
      <c r="M164" s="2" t="s">
        <v>7</v>
      </c>
    </row>
    <row r="165" spans="1:22">
      <c r="I165">
        <f>AVERAGE(I2:I164)</f>
        <v>32.159509202453989</v>
      </c>
      <c r="J165">
        <f>AVERAGE(J2:J164)</f>
        <v>3.6625766871165646</v>
      </c>
      <c r="K165">
        <f>AVERAGE(K2:K164)</f>
        <v>18.411042944785276</v>
      </c>
      <c r="L165">
        <f>AVERAGE(L2:L164)</f>
        <v>0.58282208588957052</v>
      </c>
    </row>
    <row r="167" spans="1:22">
      <c r="B167">
        <v>18</v>
      </c>
    </row>
    <row r="168" spans="1:22">
      <c r="E168" s="5" t="s">
        <v>175</v>
      </c>
      <c r="J168" s="5" t="s">
        <v>176</v>
      </c>
      <c r="O168" s="5" t="s">
        <v>177</v>
      </c>
      <c r="T168" s="5" t="s">
        <v>178</v>
      </c>
    </row>
    <row r="169" spans="1:22">
      <c r="E169" s="2" t="s">
        <v>1</v>
      </c>
      <c r="F169" s="2">
        <f>AVERAGEIF($I$2:$I$164,"&lt;="&amp;$I$165)</f>
        <v>17.153061224489797</v>
      </c>
      <c r="G169" s="2">
        <f>AVERAGEIF($I$2:$I$164,"&gt;"&amp;$I$165)</f>
        <v>54.784615384615385</v>
      </c>
      <c r="J169" s="2" t="s">
        <v>179</v>
      </c>
      <c r="K169" s="2">
        <f>AVERAGEIF($J$2:$J$164,"&lt;="&amp;$J$165)</f>
        <v>2.4805194805194803</v>
      </c>
      <c r="L169" s="2">
        <f>AVERAGEIF($J$2:$J$164,"&gt;"&amp;$J$165)</f>
        <v>4.7209302325581399</v>
      </c>
      <c r="O169" s="2" t="s">
        <v>180</v>
      </c>
      <c r="P169" s="2">
        <f>AVERAGEIF($K$2:$K$164,"&lt;="&amp;$K$165)</f>
        <v>12.60377358490566</v>
      </c>
      <c r="Q169" s="2">
        <f>AVERAGEIF($K$2:$K$164,"&gt;"&amp;$K$165)</f>
        <v>29.210526315789473</v>
      </c>
      <c r="T169" s="2" t="s">
        <v>181</v>
      </c>
      <c r="U169" s="2">
        <f>AVERAGEIF($L$2:$L$164,"&lt;="&amp;$L$165)</f>
        <v>0</v>
      </c>
      <c r="V169" s="2">
        <f>AVERAGEIF($L$2:$L$164,"&gt;"&amp;$L$165)</f>
        <v>1</v>
      </c>
    </row>
    <row r="170" spans="1:22">
      <c r="E170" s="2" t="str" cm="1">
        <f t="array" ref="E170:E332">IF($I$2:$I$164&lt;$F$169,"kiri",IF($I$2:$I$164&lt;$G$169,"tengah","kanan"))</f>
        <v>tengah</v>
      </c>
      <c r="F170" s="2" t="s">
        <v>199</v>
      </c>
      <c r="G170" s="2"/>
      <c r="J170" s="2" t="str" cm="1">
        <f t="array" ref="J170:J332">IF($J$2:$J$164&lt;$K$169,"kiri",IF($J$2:$J$164&lt;$L$169,"tengah","kanan"))</f>
        <v>tengah</v>
      </c>
      <c r="K170" s="2" t="s">
        <v>201</v>
      </c>
      <c r="L170" s="2"/>
      <c r="O170" s="2" t="str" cm="1">
        <f t="array" ref="O170:O332">IF($K$2:$K$164&lt;$P$169,"kiri",IF($K$2:$K$164&lt;$Q$169,"tengah","kanan"))</f>
        <v>kiri</v>
      </c>
      <c r="P170" s="2" t="s">
        <v>203</v>
      </c>
      <c r="Q170" s="2"/>
      <c r="T170" s="2" t="str" cm="1">
        <f t="array" ref="T170:T332">IF($L$2:$L$164&lt;$U$169,"kiri",IF($L$2:$L$164&lt;$V$169,"tengah","kanan"))</f>
        <v>kanan</v>
      </c>
      <c r="U170" s="2" t="s">
        <v>185</v>
      </c>
      <c r="V170" s="2"/>
    </row>
    <row r="171" spans="1:22">
      <c r="E171" s="2" t="str">
        <v>tengah</v>
      </c>
      <c r="F171" s="2">
        <f>COUNTIFS($E$170:$E$332,"Kanan",$M$2:$M$164,"Tinggi")</f>
        <v>19</v>
      </c>
      <c r="G171" s="2">
        <f>F171/34</f>
        <v>0.55882352941176472</v>
      </c>
      <c r="J171" s="2" t="str">
        <v>kiri</v>
      </c>
      <c r="K171" s="2">
        <f>COUNTIFS($J$170:$J$332,"Kanan",$M$2:$M$164,"Tinggi")</f>
        <v>15</v>
      </c>
      <c r="L171" s="2">
        <f>K171/33</f>
        <v>0.45454545454545453</v>
      </c>
      <c r="O171" s="2" t="str">
        <v>kanan</v>
      </c>
      <c r="P171" s="2">
        <f>COUNTIFS($O$170:$O$332,"Kanan",$M$2:$M$164,"Tinggi")</f>
        <v>39</v>
      </c>
      <c r="Q171" s="2">
        <f>P171/39</f>
        <v>1</v>
      </c>
      <c r="T171" s="2" t="str">
        <v>tengah</v>
      </c>
      <c r="U171" s="2">
        <f>COUNTIFS($T$170:$T$332,"Kanan",$M$2:$M$164,"Tinggi")</f>
        <v>47</v>
      </c>
      <c r="V171" s="2">
        <f>U171/95</f>
        <v>0.49473684210526314</v>
      </c>
    </row>
    <row r="172" spans="1:22">
      <c r="E172" s="2" t="str">
        <v>tengah</v>
      </c>
      <c r="F172" s="2">
        <f>COUNTIFS($E$170:$E$332,"Kanan",$M$2:$M$164,"Sedang")</f>
        <v>15</v>
      </c>
      <c r="G172" s="2">
        <f>F172/34</f>
        <v>0.44117647058823528</v>
      </c>
      <c r="J172" s="2" t="str">
        <v>tengah</v>
      </c>
      <c r="K172" s="2">
        <f>COUNTIFS($J$170:$J$332,"Kanan",$M$2:$M$164,"Sedang")</f>
        <v>16</v>
      </c>
      <c r="L172" s="2">
        <f>K172/33</f>
        <v>0.48484848484848486</v>
      </c>
      <c r="O172" s="2" t="str">
        <v>tengah</v>
      </c>
      <c r="P172" s="2">
        <f>COUNTIFS($O$170:$O$332,"Kanan",$M$2:$M$164,"Sedang")</f>
        <v>0</v>
      </c>
      <c r="Q172" s="2">
        <f>P172/39</f>
        <v>0</v>
      </c>
      <c r="T172" s="2" t="str">
        <v>kanan</v>
      </c>
      <c r="U172" s="2">
        <f>COUNTIFS($T$170:$T$332,"Kanan",$M$2:$M$164,"Sedang")</f>
        <v>36</v>
      </c>
      <c r="V172" s="2">
        <f>U172/95</f>
        <v>0.37894736842105264</v>
      </c>
    </row>
    <row r="173" spans="1:22">
      <c r="E173" s="2" t="str">
        <v>kiri</v>
      </c>
      <c r="F173" s="2">
        <f>COUNTIFS($E$170:$E$332,"Kanan",$M$2:$M$164,"Rendah")</f>
        <v>0</v>
      </c>
      <c r="G173" s="2">
        <f>F173/34</f>
        <v>0</v>
      </c>
      <c r="J173" s="2" t="str">
        <v>kiri</v>
      </c>
      <c r="K173" s="2">
        <f>COUNTIFS($J$170:$J$332,"Kanan",$M$2:$M$164,"Rendah")</f>
        <v>2</v>
      </c>
      <c r="L173" s="2">
        <f>K173/33</f>
        <v>6.0606060606060608E-2</v>
      </c>
      <c r="O173" s="2" t="str">
        <v>kanan</v>
      </c>
      <c r="P173" s="2">
        <f>COUNTIFS($O$170:$O$332,"Kanan",$M$2:$M$164,"Rendah")</f>
        <v>0</v>
      </c>
      <c r="Q173" s="2">
        <f>P173/29</f>
        <v>0</v>
      </c>
      <c r="T173" s="2" t="str">
        <v>kanan</v>
      </c>
      <c r="U173" s="2">
        <f>COUNTIFS($T$170:$T$332,"Kanan",$M$2:$M$164,"Rendah")</f>
        <v>12</v>
      </c>
      <c r="V173" s="2">
        <f>U173/95</f>
        <v>0.12631578947368421</v>
      </c>
    </row>
    <row r="174" spans="1:22">
      <c r="E174" s="2" t="str">
        <v>kanan</v>
      </c>
      <c r="F174" s="2" t="s">
        <v>186</v>
      </c>
      <c r="G174" s="2">
        <f>-(IFERROR(G171*LOG(G171,2),0)+IFERROR(G172*LOG(G172,2),0)+IFERROR(G173*LOG(G173,2),0))</f>
        <v>0.98999279155751885</v>
      </c>
      <c r="J174" s="2" t="str">
        <v>kanan</v>
      </c>
      <c r="K174" s="2" t="s">
        <v>186</v>
      </c>
      <c r="L174" s="2">
        <f>-(IFERROR(L171*LOG(L171,2),0)+IFERROR(L172*LOG(L172,2),0)+IFERROR(L173*LOG(L173,2),0))</f>
        <v>1.2685347577182178</v>
      </c>
      <c r="O174" s="2" t="str">
        <v>tengah</v>
      </c>
      <c r="P174" s="2" t="s">
        <v>186</v>
      </c>
      <c r="Q174" s="2">
        <f>-(IFERROR(Q171*LOG(Q171,2),0)+IFERROR(Q172*LOG(Q172,2),0)+IFERROR(Q173*LOG(Q173,2),0))</f>
        <v>0</v>
      </c>
      <c r="T174" s="2" t="str">
        <v>tengah</v>
      </c>
      <c r="U174" s="2" t="s">
        <v>186</v>
      </c>
      <c r="V174" s="2">
        <f>-(IFERROR(V171*LOG(V171,2),0)+IFERROR(V172*LOG(V172,2),0)+IFERROR(V173*LOG(V173,2),0))</f>
        <v>1.4098290179159367</v>
      </c>
    </row>
    <row r="175" spans="1:22">
      <c r="E175" s="2" t="str">
        <v>tengah</v>
      </c>
      <c r="F175" s="2"/>
      <c r="G175" s="2">
        <f>SUM(F171:F173)/163</f>
        <v>0.20858895705521471</v>
      </c>
      <c r="J175" s="2" t="str">
        <v>tengah</v>
      </c>
      <c r="K175" s="2"/>
      <c r="L175" s="2">
        <f>SUM(K171:K173)/163</f>
        <v>0.20245398773006135</v>
      </c>
      <c r="O175" s="2" t="str">
        <v>tengah</v>
      </c>
      <c r="P175" s="2"/>
      <c r="Q175" s="2">
        <f>SUM(P171:P173)/163</f>
        <v>0.2392638036809816</v>
      </c>
      <c r="T175" s="2" t="str">
        <v>tengah</v>
      </c>
      <c r="U175" s="2"/>
      <c r="V175" s="2">
        <f>SUM(U171:U173)/163</f>
        <v>0.58282208588957052</v>
      </c>
    </row>
    <row r="176" spans="1:22">
      <c r="E176" s="2" t="str">
        <v>kiri</v>
      </c>
      <c r="F176" s="2"/>
      <c r="G176" s="6">
        <f>G174*G175</f>
        <v>0.20650156388316343</v>
      </c>
      <c r="J176" s="2" t="str">
        <v>tengah</v>
      </c>
      <c r="K176" s="2"/>
      <c r="L176" s="6">
        <f>L174*L175</f>
        <v>0.25681992027424039</v>
      </c>
      <c r="O176" s="2" t="str">
        <v>kanan</v>
      </c>
      <c r="P176" s="2"/>
      <c r="Q176" s="6">
        <f>Q174*Q175</f>
        <v>0</v>
      </c>
      <c r="T176" s="2" t="str">
        <v>kanan</v>
      </c>
      <c r="U176" s="2"/>
      <c r="V176" s="6">
        <f>V174*V175</f>
        <v>0.8216794889694109</v>
      </c>
    </row>
    <row r="177" spans="5:22">
      <c r="E177" s="2" t="str">
        <v>tengah</v>
      </c>
      <c r="F177" s="2"/>
      <c r="G177" s="2"/>
      <c r="J177" s="2" t="str">
        <v>tengah</v>
      </c>
      <c r="K177" s="2"/>
      <c r="L177" s="2"/>
      <c r="O177" s="2" t="str">
        <v>kiri</v>
      </c>
      <c r="P177" s="2"/>
      <c r="Q177" s="2"/>
      <c r="T177" s="2" t="str">
        <v>kanan</v>
      </c>
      <c r="U177" s="2"/>
      <c r="V177" s="2"/>
    </row>
    <row r="178" spans="5:22">
      <c r="E178" s="2" t="str">
        <v>tengah</v>
      </c>
      <c r="F178" s="2"/>
      <c r="G178" s="2"/>
      <c r="J178" s="2" t="str">
        <v>tengah</v>
      </c>
      <c r="K178" s="2"/>
      <c r="L178" s="2"/>
      <c r="O178" s="2" t="str">
        <v>tengah</v>
      </c>
      <c r="P178" s="2"/>
      <c r="Q178" s="2"/>
      <c r="T178" s="2" t="str">
        <v>kanan</v>
      </c>
      <c r="U178" s="2"/>
      <c r="V178" s="2"/>
    </row>
    <row r="179" spans="5:22">
      <c r="E179" s="2" t="str">
        <v>tengah</v>
      </c>
      <c r="F179" s="2" t="s">
        <v>200</v>
      </c>
      <c r="G179" s="2"/>
      <c r="J179" s="2" t="str">
        <v>tengah</v>
      </c>
      <c r="K179" s="2" t="s">
        <v>202</v>
      </c>
      <c r="L179" s="2"/>
      <c r="O179" s="2" t="str">
        <v>tengah</v>
      </c>
      <c r="P179" s="2" t="s">
        <v>204</v>
      </c>
      <c r="Q179" s="2"/>
      <c r="T179" s="2" t="str">
        <v>tengah</v>
      </c>
      <c r="U179" s="2" t="s">
        <v>190</v>
      </c>
      <c r="V179" s="2"/>
    </row>
    <row r="180" spans="5:22">
      <c r="E180" s="2" t="str">
        <v>kanan</v>
      </c>
      <c r="F180" s="2">
        <f>COUNTIFS($E$170:$E$332,"Kiri",$M$2:$M$164,"Tinggi")</f>
        <v>19</v>
      </c>
      <c r="G180" s="2">
        <f>F180/44</f>
        <v>0.43181818181818182</v>
      </c>
      <c r="J180" s="2" t="str">
        <v>tengah</v>
      </c>
      <c r="K180" s="2">
        <f>COUNTIFS($J$170:$J$332,"Kiri",$M$2:$M$164,"Tinggi")</f>
        <v>18</v>
      </c>
      <c r="L180" s="2">
        <f>K180/31</f>
        <v>0.58064516129032262</v>
      </c>
      <c r="O180" s="2" t="str">
        <v>tengah</v>
      </c>
      <c r="P180" s="2">
        <f>COUNTIFS($O$170:$O$332,"Kiri",$M$2:$M$164,"Tinggi")</f>
        <v>0</v>
      </c>
      <c r="Q180" s="2">
        <f>P180/57</f>
        <v>0</v>
      </c>
      <c r="T180" s="2" t="str">
        <v>tengah</v>
      </c>
      <c r="U180" s="2">
        <f>COUNTIFS($T$170:$T$332,"Kiri",$M$2:$M$164,"Tinggi")</f>
        <v>0</v>
      </c>
      <c r="V180" s="2">
        <f>U180/95</f>
        <v>0</v>
      </c>
    </row>
    <row r="181" spans="5:22">
      <c r="E181" s="2" t="str">
        <v>tengah</v>
      </c>
      <c r="F181" s="2">
        <f>COUNTIFS($E$170:$E$332,"Kiri",$M$2:$M$164,"Sedang")</f>
        <v>20</v>
      </c>
      <c r="G181" s="2">
        <f>F181/44</f>
        <v>0.45454545454545453</v>
      </c>
      <c r="J181" s="2" t="str">
        <v>kiri</v>
      </c>
      <c r="K181" s="2">
        <f>COUNTIFS($J$170:$J$332,"Kiri",$M$2:$M$164,"Sedang")</f>
        <v>11</v>
      </c>
      <c r="L181" s="2">
        <f>K181/31</f>
        <v>0.35483870967741937</v>
      </c>
      <c r="O181" s="2" t="str">
        <v>tengah</v>
      </c>
      <c r="P181" s="2">
        <f>COUNTIFS($O$170:$O$332,"Kiri",$M$2:$M$164,"Sedang")</f>
        <v>13</v>
      </c>
      <c r="Q181" s="2">
        <f>P181/31</f>
        <v>0.41935483870967744</v>
      </c>
      <c r="T181" s="2" t="str">
        <v>kanan</v>
      </c>
      <c r="U181" s="2">
        <f>COUNTIFS($T$170:$T$332,"Kiri",$M$2:$M$164,"Sedang")</f>
        <v>0</v>
      </c>
      <c r="V181" s="2">
        <f>U181/95</f>
        <v>0</v>
      </c>
    </row>
    <row r="182" spans="5:22">
      <c r="E182" s="2" t="str">
        <v>tengah</v>
      </c>
      <c r="F182" s="2">
        <f>COUNTIFS($E$170:$E$332,"Kiri",$M$2:$M$164,"Rendah")</f>
        <v>5</v>
      </c>
      <c r="G182" s="2">
        <f>F182/44</f>
        <v>0.11363636363636363</v>
      </c>
      <c r="J182" s="2" t="str">
        <v>kanan</v>
      </c>
      <c r="K182" s="2">
        <f>COUNTIFS($J$170:$J$332,"Kiri",$M$2:$M$164,"Rendah")</f>
        <v>2</v>
      </c>
      <c r="L182" s="2">
        <f>K182/31</f>
        <v>6.4516129032258063E-2</v>
      </c>
      <c r="O182" s="2" t="str">
        <v>tengah</v>
      </c>
      <c r="P182" s="2">
        <f>COUNTIFS($O$170:$O$332,"Kiri",$M$2:$M$164,"Rendah")</f>
        <v>18</v>
      </c>
      <c r="Q182" s="2">
        <f>P182/31</f>
        <v>0.58064516129032262</v>
      </c>
      <c r="T182" s="2" t="str">
        <v>kanan</v>
      </c>
      <c r="U182" s="2">
        <f>COUNTIFS($T$170:$T$332,"Kiri",$M$2:$M$164,"Rendah")</f>
        <v>0</v>
      </c>
      <c r="V182" s="2">
        <f>U182/95</f>
        <v>0</v>
      </c>
    </row>
    <row r="183" spans="5:22">
      <c r="E183" s="2" t="str">
        <v>kiri</v>
      </c>
      <c r="F183" s="2" t="s">
        <v>186</v>
      </c>
      <c r="G183" s="2">
        <f>-(IFERROR(G180*LOG(G180,2),0)+IFERROR(G181*LOG(G181,2),0)+IFERROR(G182*LOG(G182,2),0))</f>
        <v>1.3967310475552022</v>
      </c>
      <c r="J183" s="2" t="str">
        <v>kiri</v>
      </c>
      <c r="K183" s="2" t="s">
        <v>186</v>
      </c>
      <c r="L183" s="2">
        <f>-(IFERROR(L180*LOG(L180,2),0)+IFERROR(L181*LOG(L181,2),0)+IFERROR(L182*LOG(L182,2),0))</f>
        <v>1.2408931545490722</v>
      </c>
      <c r="O183" s="2" t="str">
        <v>kanan</v>
      </c>
      <c r="P183" s="2" t="s">
        <v>186</v>
      </c>
      <c r="Q183" s="2">
        <f>-(IFERROR(Q180*LOG(Q180,2),0)+IFERROR(Q181*LOG(Q181,2),0)+IFERROR(Q182*LOG(Q182,2),0))</f>
        <v>0.98115223419991326</v>
      </c>
      <c r="T183" s="2" t="str">
        <v>tengah</v>
      </c>
      <c r="U183" s="2" t="s">
        <v>186</v>
      </c>
      <c r="V183" s="2">
        <f>-(IFERROR(V180*LOG(V180,2),0)+IFERROR(V181*LOG(V181,2),0)+IFERROR(V182*LOG(V182,2),0))</f>
        <v>0</v>
      </c>
    </row>
    <row r="184" spans="5:22">
      <c r="E184" s="2" t="str">
        <v>tengah</v>
      </c>
      <c r="F184" s="2"/>
      <c r="G184" s="2">
        <f>SUM(F180:F182)/163</f>
        <v>0.26993865030674846</v>
      </c>
      <c r="J184" s="2" t="str">
        <v>tengah</v>
      </c>
      <c r="K184" s="2"/>
      <c r="L184" s="2">
        <f>SUM(K180:K182)/163</f>
        <v>0.19018404907975461</v>
      </c>
      <c r="O184" s="2" t="str">
        <v>kanan</v>
      </c>
      <c r="P184" s="2"/>
      <c r="Q184" s="2">
        <f>SUM(P180:P182)/163</f>
        <v>0.19018404907975461</v>
      </c>
      <c r="T184" s="2" t="str">
        <v>tengah</v>
      </c>
      <c r="U184" s="2"/>
      <c r="V184" s="2">
        <f>SUM(U180:U182)/163</f>
        <v>0</v>
      </c>
    </row>
    <row r="185" spans="5:22">
      <c r="E185" s="2" t="str">
        <v>tengah</v>
      </c>
      <c r="F185" s="2"/>
      <c r="G185" s="6">
        <f>G183*G184</f>
        <v>0.37703169381858215</v>
      </c>
      <c r="J185" s="2" t="str">
        <v>tengah</v>
      </c>
      <c r="K185" s="2"/>
      <c r="L185" s="6">
        <f>L183*L184</f>
        <v>0.23599808460749228</v>
      </c>
      <c r="O185" s="2" t="str">
        <v>kiri</v>
      </c>
      <c r="P185" s="2"/>
      <c r="Q185" s="6">
        <f>Q183*Q184</f>
        <v>0.18659950466378719</v>
      </c>
      <c r="T185" s="2" t="str">
        <v>kanan</v>
      </c>
      <c r="U185" s="2"/>
      <c r="V185" s="6">
        <f>V183*V184</f>
        <v>0</v>
      </c>
    </row>
    <row r="186" spans="5:22">
      <c r="E186" s="2" t="str">
        <v>kiri</v>
      </c>
      <c r="F186" s="2"/>
      <c r="G186" s="2"/>
      <c r="J186" s="2" t="str">
        <v>tengah</v>
      </c>
      <c r="K186" s="2"/>
      <c r="L186" s="2"/>
      <c r="O186" s="2" t="str">
        <v>kiri</v>
      </c>
      <c r="P186" s="2"/>
      <c r="Q186" s="2"/>
      <c r="T186" s="2" t="str">
        <v>tengah</v>
      </c>
      <c r="U186" s="2"/>
      <c r="V186" s="2"/>
    </row>
    <row r="187" spans="5:22">
      <c r="E187" s="2" t="str">
        <v>kiri</v>
      </c>
      <c r="F187" s="2"/>
      <c r="G187" s="2"/>
      <c r="J187" s="2" t="str">
        <v>tengah</v>
      </c>
      <c r="K187" s="2"/>
      <c r="L187" s="2"/>
      <c r="O187" s="2" t="str">
        <v>kanan</v>
      </c>
      <c r="P187" s="2"/>
      <c r="Q187" s="2"/>
      <c r="T187" s="2" t="str">
        <v>kanan</v>
      </c>
      <c r="U187" s="2"/>
      <c r="V187" s="2"/>
    </row>
    <row r="188" spans="5:22">
      <c r="E188" s="2" t="str">
        <v>tengah</v>
      </c>
      <c r="F188" s="2" t="s">
        <v>191</v>
      </c>
      <c r="G188" s="2"/>
      <c r="J188" s="2" t="str">
        <v>tengah</v>
      </c>
      <c r="K188" s="2" t="s">
        <v>191</v>
      </c>
      <c r="L188" s="2"/>
      <c r="O188" s="2" t="str">
        <v>tengah</v>
      </c>
      <c r="P188" s="2" t="s">
        <v>191</v>
      </c>
      <c r="Q188" s="2"/>
      <c r="T188" s="2" t="str">
        <v>kanan</v>
      </c>
      <c r="U188" s="2" t="s">
        <v>191</v>
      </c>
      <c r="V188" s="2"/>
    </row>
    <row r="189" spans="5:22">
      <c r="E189" s="2" t="str">
        <v>tengah</v>
      </c>
      <c r="F189" s="2">
        <f>COUNTIFS($E$170:$E$332,"Tengah",$M$2:$M$164,"Tinggi")</f>
        <v>37</v>
      </c>
      <c r="G189" s="2">
        <f>F189/85</f>
        <v>0.43529411764705883</v>
      </c>
      <c r="J189" s="2" t="str">
        <v>kiri</v>
      </c>
      <c r="K189" s="2">
        <f>COUNTIFS($J$170:$J$332,"Tengah",$M$2:$M$164,"Tinggi")</f>
        <v>42</v>
      </c>
      <c r="L189" s="2">
        <f>K189/99</f>
        <v>0.42424242424242425</v>
      </c>
      <c r="O189" s="2" t="str">
        <v>kiri</v>
      </c>
      <c r="P189" s="2">
        <f>COUNTIFS($O$170:$O$332,"Tengah",$M$2:$M$164,"Tinggi")</f>
        <v>36</v>
      </c>
      <c r="Q189" s="2">
        <f>P189/93</f>
        <v>0.38709677419354838</v>
      </c>
      <c r="T189" s="2" t="str">
        <v>tengah</v>
      </c>
      <c r="U189" s="2">
        <f>COUNTIFS($T$170:$T$332,"Tengah",$M$2:$M$164,"Tinggi")</f>
        <v>28</v>
      </c>
      <c r="V189" s="2">
        <f>U189/68</f>
        <v>0.41176470588235292</v>
      </c>
    </row>
    <row r="190" spans="5:22">
      <c r="E190" s="2" t="str">
        <v>tengah</v>
      </c>
      <c r="F190" s="2">
        <f>COUNTIFS($E$170:$E$332,"Tengah",$M$2:$M$164,"Sedang")</f>
        <v>35</v>
      </c>
      <c r="G190" s="2">
        <f>F190/85</f>
        <v>0.41176470588235292</v>
      </c>
      <c r="J190" s="2" t="str">
        <v>kanan</v>
      </c>
      <c r="K190" s="2">
        <f>COUNTIFS($J$170:$J$332,"Tengah",$M$2:$M$164,"Sedang")</f>
        <v>43</v>
      </c>
      <c r="L190" s="2">
        <f>K190/99</f>
        <v>0.43434343434343436</v>
      </c>
      <c r="O190" s="2" t="str">
        <v>tengah</v>
      </c>
      <c r="P190" s="2">
        <f>COUNTIFS($O$170:$O$332,"Tengah",$M$2:$M$164,"Sedang")</f>
        <v>57</v>
      </c>
      <c r="Q190" s="2">
        <f>P190/93</f>
        <v>0.61290322580645162</v>
      </c>
      <c r="T190" s="2" t="str">
        <v>tengah</v>
      </c>
      <c r="U190" s="2">
        <f>COUNTIFS($T$170:$T$332,"Tengah",$M$2:$M$164,"Sedang")</f>
        <v>34</v>
      </c>
      <c r="V190" s="2">
        <f>U190/68</f>
        <v>0.5</v>
      </c>
    </row>
    <row r="191" spans="5:22">
      <c r="E191" s="2" t="str">
        <v>tengah</v>
      </c>
      <c r="F191" s="2">
        <f>COUNTIFS($E$170:$E$332,"Tengah",$M$2:$M$164,"Rendah")</f>
        <v>13</v>
      </c>
      <c r="G191" s="2">
        <f>F191/85</f>
        <v>0.15294117647058825</v>
      </c>
      <c r="J191" s="2" t="str">
        <v>kiri</v>
      </c>
      <c r="K191" s="2">
        <f>COUNTIFS($J$170:$J$332,"Tengah",$M$2:$M$164,"Rendah")</f>
        <v>14</v>
      </c>
      <c r="L191" s="2">
        <f>K191/99</f>
        <v>0.14141414141414141</v>
      </c>
      <c r="O191" s="2" t="str">
        <v>kiri</v>
      </c>
      <c r="P191" s="2">
        <f>COUNTIFS($O$170:$O$332,"Tengah",$M$2:$M$164,"Rendah")</f>
        <v>0</v>
      </c>
      <c r="Q191" s="2">
        <f>P191/93</f>
        <v>0</v>
      </c>
      <c r="T191" s="2" t="str">
        <v>tengah</v>
      </c>
      <c r="U191" s="2">
        <f>COUNTIFS($T$170:$T$332,"Tengah",$M$2:$M$164,"Rendah")</f>
        <v>6</v>
      </c>
      <c r="V191" s="2">
        <f>U191/68</f>
        <v>8.8235294117647065E-2</v>
      </c>
    </row>
    <row r="192" spans="5:22">
      <c r="E192" s="2" t="str">
        <v>kiri</v>
      </c>
      <c r="F192" s="2" t="s">
        <v>186</v>
      </c>
      <c r="G192" s="2">
        <f>-(IFERROR(G189*LOG(G189,2),0)+IFERROR(G190*LOG(G190,2),0)+IFERROR(G191*LOG(G191,2),0))</f>
        <v>1.4637392131120643</v>
      </c>
      <c r="J192" s="2" t="str">
        <v>kiri</v>
      </c>
      <c r="K192" s="2" t="s">
        <v>186</v>
      </c>
      <c r="L192" s="2">
        <f>-(IFERROR(L189*LOG(L189,2),0)+IFERROR(L190*LOG(L190,2),0)+IFERROR(L191*LOG(L191,2),0))</f>
        <v>1.4464305077795632</v>
      </c>
      <c r="O192" s="2" t="str">
        <v>tengah</v>
      </c>
      <c r="P192" s="2" t="s">
        <v>186</v>
      </c>
      <c r="Q192" s="2">
        <f>-(IFERROR(Q189*LOG(Q189,2),0)+IFERROR(Q190*LOG(Q190,2),0)+IFERROR(Q191*LOG(Q191,2),0))</f>
        <v>0.96290041477132693</v>
      </c>
      <c r="T192" s="2" t="str">
        <v>kanan</v>
      </c>
      <c r="U192" s="2" t="s">
        <v>186</v>
      </c>
      <c r="V192" s="2">
        <f>-(IFERROR(V189*LOG(V189,2),0)+IFERROR(V190*LOG(V190,2),0)+IFERROR(V191*LOG(V191,2),0))</f>
        <v>1.3361474085378191</v>
      </c>
    </row>
    <row r="193" spans="5:22">
      <c r="E193" s="2" t="str">
        <v>kiri</v>
      </c>
      <c r="F193" s="2"/>
      <c r="G193" s="2">
        <f>SUM(F189:F191)/163</f>
        <v>0.5214723926380368</v>
      </c>
      <c r="J193" s="2" t="str">
        <v>tengah</v>
      </c>
      <c r="K193" s="2"/>
      <c r="L193" s="2">
        <f>SUM(K189:K191)/163</f>
        <v>0.6073619631901841</v>
      </c>
      <c r="O193" s="2" t="str">
        <v>tengah</v>
      </c>
      <c r="P193" s="2"/>
      <c r="Q193" s="2">
        <f>SUM(P189:P191)/163</f>
        <v>0.57055214723926384</v>
      </c>
      <c r="T193" s="2" t="str">
        <v>tengah</v>
      </c>
      <c r="U193" s="2"/>
      <c r="V193" s="2">
        <f>SUM(U189:U191)/163</f>
        <v>0.41717791411042943</v>
      </c>
    </row>
    <row r="194" spans="5:22">
      <c r="E194" s="2" t="str">
        <v>tengah</v>
      </c>
      <c r="F194" s="2"/>
      <c r="G194" s="6">
        <f>G192*G193</f>
        <v>0.76329958965966549</v>
      </c>
      <c r="J194" s="2" t="str">
        <v>tengah</v>
      </c>
      <c r="K194" s="2"/>
      <c r="L194" s="6">
        <f>L192*L193</f>
        <v>0.8785068728231703</v>
      </c>
      <c r="O194" s="2" t="str">
        <v>tengah</v>
      </c>
      <c r="P194" s="2"/>
      <c r="Q194" s="6">
        <f>Q192*Q193</f>
        <v>0.54938489922535838</v>
      </c>
      <c r="T194" s="2" t="str">
        <v>tengah</v>
      </c>
      <c r="U194" s="2"/>
      <c r="V194" s="6">
        <f>V192*V193</f>
        <v>0.55741118883786311</v>
      </c>
    </row>
    <row r="195" spans="5:22">
      <c r="E195" s="2" t="str">
        <v>tengah</v>
      </c>
      <c r="F195" s="2"/>
      <c r="G195" s="2"/>
      <c r="J195" s="2" t="str">
        <v>tengah</v>
      </c>
      <c r="K195" s="2"/>
      <c r="L195" s="2"/>
      <c r="O195" s="2" t="str">
        <v>kiri</v>
      </c>
      <c r="P195" s="2"/>
      <c r="Q195" s="2"/>
      <c r="T195" s="2" t="str">
        <v>kanan</v>
      </c>
      <c r="U195" s="2"/>
      <c r="V195" s="2"/>
    </row>
    <row r="196" spans="5:22">
      <c r="E196" s="2" t="str">
        <v>tengah</v>
      </c>
      <c r="F196" s="2" t="s">
        <v>192</v>
      </c>
      <c r="G196" s="2"/>
      <c r="J196" s="2" t="str">
        <v>kanan</v>
      </c>
      <c r="K196" s="2" t="s">
        <v>192</v>
      </c>
      <c r="L196" s="2"/>
      <c r="O196" s="2" t="str">
        <v>tengah</v>
      </c>
      <c r="P196" s="2" t="s">
        <v>192</v>
      </c>
      <c r="Q196" s="2"/>
      <c r="T196" s="2" t="str">
        <v>tengah</v>
      </c>
      <c r="U196" s="2" t="s">
        <v>192</v>
      </c>
      <c r="V196" s="2"/>
    </row>
    <row r="197" spans="5:22">
      <c r="E197" s="2" t="str">
        <v>tengah</v>
      </c>
      <c r="F197" s="7">
        <f>P5-(G176+G185+G194)</f>
        <v>4.3184490923038776E-2</v>
      </c>
      <c r="G197" s="2"/>
      <c r="J197" s="2" t="str">
        <v>tengah</v>
      </c>
      <c r="K197" s="7">
        <f>P5-(L176+L185+L194)</f>
        <v>1.8692460579546877E-2</v>
      </c>
      <c r="L197" s="2"/>
      <c r="O197" s="2" t="str">
        <v>tengah</v>
      </c>
      <c r="P197" s="7">
        <f>P5-(Q176+Q185+Q194)</f>
        <v>0.6540329343953043</v>
      </c>
      <c r="Q197" s="2"/>
      <c r="T197" s="2" t="str">
        <v>kanan</v>
      </c>
      <c r="U197" s="7">
        <f>P5-(V176+V185+V194)</f>
        <v>1.0926660477175831E-2</v>
      </c>
      <c r="V197" s="2"/>
    </row>
    <row r="198" spans="5:22">
      <c r="E198" s="2" t="str">
        <v>tengah</v>
      </c>
      <c r="F198" s="2"/>
      <c r="G198" s="2"/>
      <c r="J198" s="2" t="str">
        <v>tengah</v>
      </c>
      <c r="K198" s="2"/>
      <c r="L198" s="2"/>
      <c r="O198" s="2" t="str">
        <v>tengah</v>
      </c>
      <c r="P198" s="2"/>
      <c r="Q198" s="2"/>
      <c r="T198" s="2" t="str">
        <v>tengah</v>
      </c>
      <c r="U198" s="2"/>
      <c r="V198" s="2"/>
    </row>
    <row r="199" spans="5:22">
      <c r="E199" s="2" t="str">
        <v>tengah</v>
      </c>
      <c r="F199" s="2"/>
      <c r="G199" s="2"/>
      <c r="J199" s="2" t="str">
        <v>tengah</v>
      </c>
      <c r="K199" s="2"/>
      <c r="L199" s="2"/>
      <c r="O199" s="2" t="str">
        <v>tengah</v>
      </c>
      <c r="P199" s="2"/>
      <c r="Q199" s="2"/>
      <c r="T199" s="2" t="str">
        <v>tengah</v>
      </c>
      <c r="U199" s="2"/>
      <c r="V199" s="2"/>
    </row>
    <row r="200" spans="5:22">
      <c r="E200" s="2" t="str">
        <v>kanan</v>
      </c>
      <c r="F200" s="2"/>
      <c r="G200" s="2"/>
      <c r="J200" s="2" t="str">
        <v>kiri</v>
      </c>
      <c r="K200" s="2"/>
      <c r="L200" s="2"/>
      <c r="O200" s="2" t="str">
        <v>kanan</v>
      </c>
      <c r="P200" s="2"/>
      <c r="Q200" s="2"/>
      <c r="T200" s="2" t="str">
        <v>kanan</v>
      </c>
      <c r="U200" s="2"/>
      <c r="V200" s="2"/>
    </row>
    <row r="201" spans="5:22">
      <c r="E201" s="2" t="str">
        <v>tengah</v>
      </c>
      <c r="F201" s="2"/>
      <c r="G201" s="2"/>
      <c r="J201" s="2" t="str">
        <v>tengah</v>
      </c>
      <c r="K201" s="2"/>
      <c r="L201" s="2"/>
      <c r="O201" s="2" t="str">
        <v>tengah</v>
      </c>
      <c r="P201" s="2"/>
      <c r="Q201" s="2"/>
      <c r="T201" s="2" t="str">
        <v>kanan</v>
      </c>
      <c r="U201" s="2"/>
      <c r="V201" s="2"/>
    </row>
    <row r="202" spans="5:22">
      <c r="E202" s="2" t="str">
        <v>kiri</v>
      </c>
      <c r="F202" s="2"/>
      <c r="G202" s="2"/>
      <c r="J202" s="2" t="str">
        <v>tengah</v>
      </c>
      <c r="K202" s="2"/>
      <c r="L202" s="2"/>
      <c r="O202" s="2" t="str">
        <v>tengah</v>
      </c>
      <c r="P202" s="2"/>
      <c r="Q202" s="2"/>
      <c r="T202" s="2" t="str">
        <v>kanan</v>
      </c>
      <c r="U202" s="2"/>
      <c r="V202" s="2"/>
    </row>
    <row r="203" spans="5:22">
      <c r="E203" s="2" t="str">
        <v>kiri</v>
      </c>
      <c r="F203" s="2"/>
      <c r="G203" s="2"/>
      <c r="J203" s="2" t="str">
        <v>kiri</v>
      </c>
      <c r="K203" s="2"/>
      <c r="L203" s="2"/>
      <c r="O203" s="2" t="str">
        <v>kanan</v>
      </c>
      <c r="P203" s="2"/>
      <c r="Q203" s="2"/>
      <c r="T203" s="2" t="str">
        <v>tengah</v>
      </c>
      <c r="U203" s="2"/>
      <c r="V203" s="2"/>
    </row>
    <row r="204" spans="5:22">
      <c r="E204" s="2" t="str">
        <v>tengah</v>
      </c>
      <c r="F204" s="2"/>
      <c r="G204" s="2"/>
      <c r="J204" s="2" t="str">
        <v>kiri</v>
      </c>
      <c r="K204" s="2"/>
      <c r="L204" s="2"/>
      <c r="O204" s="2" t="str">
        <v>tengah</v>
      </c>
      <c r="P204" s="2"/>
      <c r="Q204" s="2"/>
      <c r="T204" s="2" t="str">
        <v>kanan</v>
      </c>
      <c r="U204" s="2"/>
      <c r="V204" s="2"/>
    </row>
    <row r="205" spans="5:22">
      <c r="E205" s="2" t="str">
        <v>kanan</v>
      </c>
      <c r="F205" s="2"/>
      <c r="G205" s="2"/>
      <c r="J205" s="2" t="str">
        <v>kiri</v>
      </c>
      <c r="K205" s="2"/>
      <c r="L205" s="2"/>
      <c r="O205" s="2" t="str">
        <v>tengah</v>
      </c>
      <c r="P205" s="2"/>
      <c r="Q205" s="2"/>
      <c r="T205" s="2" t="str">
        <v>tengah</v>
      </c>
      <c r="U205" s="2"/>
      <c r="V205" s="2"/>
    </row>
    <row r="206" spans="5:22">
      <c r="E206" s="2" t="str">
        <v>kanan</v>
      </c>
      <c r="F206" s="2"/>
      <c r="G206" s="2"/>
      <c r="J206" s="2" t="str">
        <v>kiri</v>
      </c>
      <c r="K206" s="2"/>
      <c r="L206" s="2"/>
      <c r="O206" s="2" t="str">
        <v>tengah</v>
      </c>
      <c r="P206" s="2"/>
      <c r="Q206" s="2"/>
      <c r="T206" s="2" t="str">
        <v>tengah</v>
      </c>
      <c r="U206" s="2"/>
      <c r="V206" s="2"/>
    </row>
    <row r="207" spans="5:22">
      <c r="E207" s="2" t="str">
        <v>kiri</v>
      </c>
      <c r="F207" s="2"/>
      <c r="G207" s="2"/>
      <c r="J207" s="2" t="str">
        <v>kanan</v>
      </c>
      <c r="K207" s="2"/>
      <c r="L207" s="2"/>
      <c r="O207" s="2" t="str">
        <v>tengah</v>
      </c>
      <c r="P207" s="2"/>
      <c r="Q207" s="2"/>
      <c r="T207" s="2" t="str">
        <v>kanan</v>
      </c>
      <c r="U207" s="2"/>
      <c r="V207" s="2"/>
    </row>
    <row r="208" spans="5:22">
      <c r="E208" s="2" t="str">
        <v>tengah</v>
      </c>
      <c r="F208" s="2"/>
      <c r="G208" s="2"/>
      <c r="J208" s="2" t="str">
        <v>kiri</v>
      </c>
      <c r="K208" s="2"/>
      <c r="L208" s="2"/>
      <c r="O208" s="2" t="str">
        <v>kanan</v>
      </c>
      <c r="P208" s="2"/>
      <c r="Q208" s="2"/>
      <c r="T208" s="2" t="str">
        <v>tengah</v>
      </c>
      <c r="U208" s="2"/>
      <c r="V208" s="2"/>
    </row>
    <row r="209" spans="5:22">
      <c r="E209" s="2" t="str">
        <v>kiri</v>
      </c>
      <c r="F209" s="2"/>
      <c r="G209" s="2"/>
      <c r="J209" s="2" t="str">
        <v>kiri</v>
      </c>
      <c r="K209" s="2"/>
      <c r="L209" s="2"/>
      <c r="O209" s="2" t="str">
        <v>tengah</v>
      </c>
      <c r="P209" s="2"/>
      <c r="Q209" s="2"/>
      <c r="T209" s="2" t="str">
        <v>tengah</v>
      </c>
      <c r="U209" s="2"/>
      <c r="V209" s="2"/>
    </row>
    <row r="210" spans="5:22">
      <c r="E210" s="2" t="str">
        <v>tengah</v>
      </c>
      <c r="F210" s="2"/>
      <c r="G210" s="2"/>
      <c r="J210" s="2" t="str">
        <v>kanan</v>
      </c>
      <c r="K210" s="2"/>
      <c r="L210" s="2"/>
      <c r="O210" s="2" t="str">
        <v>kiri</v>
      </c>
      <c r="P210" s="2"/>
      <c r="Q210" s="2"/>
      <c r="T210" s="2" t="str">
        <v>tengah</v>
      </c>
      <c r="U210" s="2"/>
      <c r="V210" s="2"/>
    </row>
    <row r="211" spans="5:22">
      <c r="E211" s="2" t="str">
        <v>kanan</v>
      </c>
      <c r="F211" s="2"/>
      <c r="G211" s="2"/>
      <c r="J211" s="2" t="str">
        <v>tengah</v>
      </c>
      <c r="K211" s="2"/>
      <c r="L211" s="2"/>
      <c r="O211" s="2" t="str">
        <v>tengah</v>
      </c>
      <c r="P211" s="2"/>
      <c r="Q211" s="2"/>
      <c r="T211" s="2" t="str">
        <v>tengah</v>
      </c>
      <c r="U211" s="2"/>
      <c r="V211" s="2"/>
    </row>
    <row r="212" spans="5:22">
      <c r="E212" s="2" t="str">
        <v>kanan</v>
      </c>
      <c r="F212" s="2"/>
      <c r="G212" s="2"/>
      <c r="J212" s="2" t="str">
        <v>kanan</v>
      </c>
      <c r="K212" s="2"/>
      <c r="L212" s="2"/>
      <c r="O212" s="2" t="str">
        <v>tengah</v>
      </c>
      <c r="P212" s="2"/>
      <c r="Q212" s="2"/>
      <c r="T212" s="2" t="str">
        <v>kanan</v>
      </c>
      <c r="U212" s="2"/>
      <c r="V212" s="2"/>
    </row>
    <row r="213" spans="5:22">
      <c r="E213" s="2" t="str">
        <v>tengah</v>
      </c>
      <c r="F213" s="2"/>
      <c r="G213" s="2"/>
      <c r="J213" s="2" t="str">
        <v>kanan</v>
      </c>
      <c r="K213" s="2"/>
      <c r="L213" s="2"/>
      <c r="O213" s="2" t="str">
        <v>tengah</v>
      </c>
      <c r="P213" s="2"/>
      <c r="Q213" s="2"/>
      <c r="T213" s="2" t="str">
        <v>tengah</v>
      </c>
      <c r="U213" s="2"/>
      <c r="V213" s="2"/>
    </row>
    <row r="214" spans="5:22">
      <c r="E214" s="2" t="str">
        <v>kiri</v>
      </c>
      <c r="F214" s="2"/>
      <c r="G214" s="2"/>
      <c r="J214" s="2" t="str">
        <v>kanan</v>
      </c>
      <c r="K214" s="2"/>
      <c r="L214" s="2"/>
      <c r="O214" s="2" t="str">
        <v>kiri</v>
      </c>
      <c r="P214" s="2"/>
      <c r="Q214" s="2"/>
      <c r="T214" s="2" t="str">
        <v>kanan</v>
      </c>
      <c r="U214" s="2"/>
      <c r="V214" s="2"/>
    </row>
    <row r="215" spans="5:22">
      <c r="E215" s="2" t="str">
        <v>kiri</v>
      </c>
      <c r="F215" s="2"/>
      <c r="G215" s="2"/>
      <c r="J215" s="2" t="str">
        <v>kiri</v>
      </c>
      <c r="K215" s="2"/>
      <c r="L215" s="2"/>
      <c r="O215" s="2" t="str">
        <v>tengah</v>
      </c>
      <c r="P215" s="2"/>
      <c r="Q215" s="2"/>
      <c r="T215" s="2" t="str">
        <v>kanan</v>
      </c>
      <c r="U215" s="2"/>
      <c r="V215" s="2"/>
    </row>
    <row r="216" spans="5:22">
      <c r="E216" s="2" t="str">
        <v>tengah</v>
      </c>
      <c r="F216" s="2"/>
      <c r="G216" s="2"/>
      <c r="J216" s="2" t="str">
        <v>tengah</v>
      </c>
      <c r="K216" s="2"/>
      <c r="L216" s="2"/>
      <c r="O216" s="2" t="str">
        <v>kiri</v>
      </c>
      <c r="P216" s="2"/>
      <c r="Q216" s="2"/>
      <c r="T216" s="2" t="str">
        <v>kanan</v>
      </c>
      <c r="U216" s="2"/>
      <c r="V216" s="2"/>
    </row>
    <row r="217" spans="5:22">
      <c r="E217" s="2" t="str">
        <v>kanan</v>
      </c>
      <c r="F217" s="2"/>
      <c r="G217" s="2"/>
      <c r="J217" s="2" t="str">
        <v>tengah</v>
      </c>
      <c r="K217" s="2"/>
      <c r="L217" s="2"/>
      <c r="O217" s="2" t="str">
        <v>tengah</v>
      </c>
      <c r="P217" s="2"/>
      <c r="Q217" s="2"/>
      <c r="T217" s="2" t="str">
        <v>tengah</v>
      </c>
      <c r="U217" s="2"/>
      <c r="V217" s="2"/>
    </row>
    <row r="218" spans="5:22">
      <c r="E218" s="2" t="str">
        <v>kiri</v>
      </c>
      <c r="F218" s="2"/>
      <c r="G218" s="2"/>
      <c r="J218" s="2" t="str">
        <v>kanan</v>
      </c>
      <c r="K218" s="2"/>
      <c r="L218" s="2"/>
      <c r="O218" s="2" t="str">
        <v>kiri</v>
      </c>
      <c r="P218" s="2"/>
      <c r="Q218" s="2"/>
      <c r="T218" s="2" t="str">
        <v>kanan</v>
      </c>
      <c r="U218" s="2"/>
      <c r="V218" s="2"/>
    </row>
    <row r="219" spans="5:22">
      <c r="E219" s="2" t="str">
        <v>tengah</v>
      </c>
      <c r="F219" s="2"/>
      <c r="G219" s="2"/>
      <c r="J219" s="2" t="str">
        <v>tengah</v>
      </c>
      <c r="K219" s="2"/>
      <c r="L219" s="2"/>
      <c r="O219" s="2" t="str">
        <v>kanan</v>
      </c>
      <c r="P219" s="2"/>
      <c r="Q219" s="2"/>
      <c r="T219" s="2" t="str">
        <v>kanan</v>
      </c>
      <c r="U219" s="2"/>
      <c r="V219" s="2"/>
    </row>
    <row r="220" spans="5:22">
      <c r="E220" s="2" t="str">
        <v>tengah</v>
      </c>
      <c r="F220" s="2"/>
      <c r="G220" s="2"/>
      <c r="J220" s="2" t="str">
        <v>tengah</v>
      </c>
      <c r="K220" s="2"/>
      <c r="L220" s="2"/>
      <c r="O220" s="2" t="str">
        <v>kiri</v>
      </c>
      <c r="P220" s="2"/>
      <c r="Q220" s="2"/>
      <c r="T220" s="2" t="str">
        <v>kanan</v>
      </c>
      <c r="U220" s="2"/>
      <c r="V220" s="2"/>
    </row>
    <row r="221" spans="5:22">
      <c r="E221" s="2" t="str">
        <v>tengah</v>
      </c>
      <c r="F221" s="2"/>
      <c r="G221" s="2"/>
      <c r="J221" s="2" t="str">
        <v>tengah</v>
      </c>
      <c r="K221" s="2"/>
      <c r="L221" s="2"/>
      <c r="O221" s="2" t="str">
        <v>kiri</v>
      </c>
      <c r="P221" s="2"/>
      <c r="Q221" s="2"/>
      <c r="T221" s="2" t="str">
        <v>tengah</v>
      </c>
      <c r="U221" s="2"/>
      <c r="V221" s="2"/>
    </row>
    <row r="222" spans="5:22">
      <c r="E222" s="2" t="str">
        <v>kiri</v>
      </c>
      <c r="F222" s="2"/>
      <c r="G222" s="2"/>
      <c r="J222" s="2" t="str">
        <v>tengah</v>
      </c>
      <c r="K222" s="2"/>
      <c r="L222" s="2"/>
      <c r="O222" s="2" t="str">
        <v>tengah</v>
      </c>
      <c r="P222" s="2"/>
      <c r="Q222" s="2"/>
      <c r="T222" s="2" t="str">
        <v>kanan</v>
      </c>
      <c r="U222" s="2"/>
      <c r="V222" s="2"/>
    </row>
    <row r="223" spans="5:22">
      <c r="E223" s="2" t="str">
        <v>kiri</v>
      </c>
      <c r="F223" s="2"/>
      <c r="G223" s="2"/>
      <c r="J223" s="2" t="str">
        <v>kanan</v>
      </c>
      <c r="K223" s="2"/>
      <c r="L223" s="2"/>
      <c r="O223" s="2" t="str">
        <v>kiri</v>
      </c>
      <c r="P223" s="2"/>
      <c r="Q223" s="2"/>
      <c r="T223" s="2" t="str">
        <v>tengah</v>
      </c>
      <c r="U223" s="2"/>
      <c r="V223" s="2"/>
    </row>
    <row r="224" spans="5:22">
      <c r="E224" s="2" t="str">
        <v>kiri</v>
      </c>
      <c r="F224" s="2"/>
      <c r="G224" s="2"/>
      <c r="J224" s="2" t="str">
        <v>kanan</v>
      </c>
      <c r="K224" s="2"/>
      <c r="L224" s="2"/>
      <c r="O224" s="2" t="str">
        <v>tengah</v>
      </c>
      <c r="P224" s="2"/>
      <c r="Q224" s="2"/>
      <c r="T224" s="2" t="str">
        <v>kanan</v>
      </c>
      <c r="U224" s="2"/>
      <c r="V224" s="2"/>
    </row>
    <row r="225" spans="5:22">
      <c r="E225" s="2" t="str">
        <v>kiri</v>
      </c>
      <c r="F225" s="2"/>
      <c r="G225" s="2"/>
      <c r="J225" s="2" t="str">
        <v>tengah</v>
      </c>
      <c r="K225" s="2"/>
      <c r="L225" s="2"/>
      <c r="O225" s="2" t="str">
        <v>tengah</v>
      </c>
      <c r="P225" s="2"/>
      <c r="Q225" s="2"/>
      <c r="T225" s="2" t="str">
        <v>kanan</v>
      </c>
      <c r="U225" s="2"/>
      <c r="V225" s="2"/>
    </row>
    <row r="226" spans="5:22">
      <c r="E226" s="2" t="str">
        <v>kanan</v>
      </c>
      <c r="F226" s="2"/>
      <c r="G226" s="2"/>
      <c r="J226" s="2" t="str">
        <v>tengah</v>
      </c>
      <c r="K226" s="2"/>
      <c r="L226" s="2"/>
      <c r="O226" s="2" t="str">
        <v>tengah</v>
      </c>
      <c r="P226" s="2"/>
      <c r="Q226" s="2"/>
      <c r="T226" s="2" t="str">
        <v>kanan</v>
      </c>
      <c r="U226" s="2"/>
      <c r="V226" s="2"/>
    </row>
    <row r="227" spans="5:22">
      <c r="E227" s="2" t="str">
        <v>tengah</v>
      </c>
      <c r="F227" s="2"/>
      <c r="G227" s="2"/>
      <c r="J227" s="2" t="str">
        <v>kanan</v>
      </c>
      <c r="K227" s="2"/>
      <c r="L227" s="2"/>
      <c r="O227" s="2" t="str">
        <v>kanan</v>
      </c>
      <c r="P227" s="2"/>
      <c r="Q227" s="2"/>
      <c r="T227" s="2" t="str">
        <v>tengah</v>
      </c>
      <c r="U227" s="2"/>
      <c r="V227" s="2"/>
    </row>
    <row r="228" spans="5:22">
      <c r="E228" s="2" t="str">
        <v>tengah</v>
      </c>
      <c r="F228" s="2"/>
      <c r="G228" s="2"/>
      <c r="J228" s="2" t="str">
        <v>tengah</v>
      </c>
      <c r="K228" s="2"/>
      <c r="L228" s="2"/>
      <c r="O228" s="2" t="str">
        <v>tengah</v>
      </c>
      <c r="P228" s="2"/>
      <c r="Q228" s="2"/>
      <c r="T228" s="2" t="str">
        <v>kanan</v>
      </c>
      <c r="U228" s="2"/>
      <c r="V228" s="2"/>
    </row>
    <row r="229" spans="5:22">
      <c r="E229" s="2" t="str">
        <v>kanan</v>
      </c>
      <c r="F229" s="2"/>
      <c r="G229" s="2"/>
      <c r="J229" s="2" t="str">
        <v>tengah</v>
      </c>
      <c r="K229" s="2"/>
      <c r="L229" s="2"/>
      <c r="O229" s="2" t="str">
        <v>tengah</v>
      </c>
      <c r="P229" s="2"/>
      <c r="Q229" s="2"/>
      <c r="T229" s="2" t="str">
        <v>kanan</v>
      </c>
      <c r="U229" s="2"/>
      <c r="V229" s="2"/>
    </row>
    <row r="230" spans="5:22">
      <c r="E230" s="2" t="str">
        <v>tengah</v>
      </c>
      <c r="F230" s="2"/>
      <c r="G230" s="2"/>
      <c r="J230" s="2" t="str">
        <v>kanan</v>
      </c>
      <c r="K230" s="2"/>
      <c r="L230" s="2"/>
      <c r="O230" s="2" t="str">
        <v>kiri</v>
      </c>
      <c r="P230" s="2"/>
      <c r="Q230" s="2"/>
      <c r="T230" s="2" t="str">
        <v>tengah</v>
      </c>
      <c r="U230" s="2"/>
      <c r="V230" s="2"/>
    </row>
    <row r="231" spans="5:22">
      <c r="E231" s="2" t="str">
        <v>kiri</v>
      </c>
      <c r="F231" s="2"/>
      <c r="G231" s="2"/>
      <c r="J231" s="2" t="str">
        <v>tengah</v>
      </c>
      <c r="K231" s="2"/>
      <c r="L231" s="2"/>
      <c r="O231" s="2" t="str">
        <v>kiri</v>
      </c>
      <c r="P231" s="2"/>
      <c r="Q231" s="2"/>
      <c r="T231" s="2" t="str">
        <v>tengah</v>
      </c>
      <c r="U231" s="2"/>
      <c r="V231" s="2"/>
    </row>
    <row r="232" spans="5:22">
      <c r="E232" s="2" t="str">
        <v>kanan</v>
      </c>
      <c r="F232" s="2"/>
      <c r="G232" s="2"/>
      <c r="J232" s="2" t="str">
        <v>kiri</v>
      </c>
      <c r="K232" s="2"/>
      <c r="L232" s="2"/>
      <c r="O232" s="2" t="str">
        <v>kanan</v>
      </c>
      <c r="P232" s="2"/>
      <c r="Q232" s="2"/>
      <c r="T232" s="2" t="str">
        <v>kanan</v>
      </c>
      <c r="U232" s="2"/>
      <c r="V232" s="2"/>
    </row>
    <row r="233" spans="5:22">
      <c r="E233" s="2" t="str">
        <v>kanan</v>
      </c>
      <c r="F233" s="2"/>
      <c r="G233" s="2"/>
      <c r="J233" s="2" t="str">
        <v>tengah</v>
      </c>
      <c r="K233" s="2"/>
      <c r="L233" s="2"/>
      <c r="O233" s="2" t="str">
        <v>tengah</v>
      </c>
      <c r="P233" s="2"/>
      <c r="Q233" s="2"/>
      <c r="T233" s="2" t="str">
        <v>tengah</v>
      </c>
      <c r="U233" s="2"/>
      <c r="V233" s="2"/>
    </row>
    <row r="234" spans="5:22">
      <c r="E234" s="2" t="str">
        <v>tengah</v>
      </c>
      <c r="F234" s="2"/>
      <c r="G234" s="2"/>
      <c r="J234" s="2" t="str">
        <v>kanan</v>
      </c>
      <c r="K234" s="2"/>
      <c r="L234" s="2"/>
      <c r="O234" s="2" t="str">
        <v>tengah</v>
      </c>
      <c r="P234" s="2"/>
      <c r="Q234" s="2"/>
      <c r="T234" s="2" t="str">
        <v>kanan</v>
      </c>
      <c r="U234" s="2"/>
      <c r="V234" s="2"/>
    </row>
    <row r="235" spans="5:22">
      <c r="E235" s="2" t="str">
        <v>kiri</v>
      </c>
      <c r="F235" s="2"/>
      <c r="G235" s="2"/>
      <c r="J235" s="2" t="str">
        <v>tengah</v>
      </c>
      <c r="K235" s="2"/>
      <c r="L235" s="2"/>
      <c r="O235" s="2" t="str">
        <v>kanan</v>
      </c>
      <c r="P235" s="2"/>
      <c r="Q235" s="2"/>
      <c r="T235" s="2" t="str">
        <v>tengah</v>
      </c>
      <c r="U235" s="2"/>
      <c r="V235" s="2"/>
    </row>
    <row r="236" spans="5:22">
      <c r="E236" s="2" t="str">
        <v>kanan</v>
      </c>
      <c r="F236" s="2"/>
      <c r="G236" s="2"/>
      <c r="J236" s="2" t="str">
        <v>kiri</v>
      </c>
      <c r="K236" s="2"/>
      <c r="L236" s="2"/>
      <c r="O236" s="2" t="str">
        <v>kanan</v>
      </c>
      <c r="P236" s="2"/>
      <c r="Q236" s="2"/>
      <c r="T236" s="2" t="str">
        <v>kanan</v>
      </c>
      <c r="U236" s="2"/>
      <c r="V236" s="2"/>
    </row>
    <row r="237" spans="5:22">
      <c r="E237" s="2" t="str">
        <v>kanan</v>
      </c>
      <c r="F237" s="2"/>
      <c r="G237" s="2"/>
      <c r="J237" s="2" t="str">
        <v>tengah</v>
      </c>
      <c r="K237" s="2"/>
      <c r="L237" s="2"/>
      <c r="O237" s="2" t="str">
        <v>tengah</v>
      </c>
      <c r="P237" s="2"/>
      <c r="Q237" s="2"/>
      <c r="T237" s="2" t="str">
        <v>kanan</v>
      </c>
      <c r="U237" s="2"/>
      <c r="V237" s="2"/>
    </row>
    <row r="238" spans="5:22">
      <c r="E238" s="2" t="str">
        <v>tengah</v>
      </c>
      <c r="F238" s="2"/>
      <c r="G238" s="2"/>
      <c r="J238" s="2" t="str">
        <v>tengah</v>
      </c>
      <c r="K238" s="2"/>
      <c r="L238" s="2"/>
      <c r="O238" s="2" t="str">
        <v>tengah</v>
      </c>
      <c r="P238" s="2"/>
      <c r="Q238" s="2"/>
      <c r="T238" s="2" t="str">
        <v>tengah</v>
      </c>
      <c r="U238" s="2"/>
      <c r="V238" s="2"/>
    </row>
    <row r="239" spans="5:22">
      <c r="E239" s="2" t="str">
        <v>tengah</v>
      </c>
      <c r="F239" s="2"/>
      <c r="G239" s="2"/>
      <c r="J239" s="2" t="str">
        <v>kiri</v>
      </c>
      <c r="K239" s="2"/>
      <c r="L239" s="2"/>
      <c r="O239" s="2" t="str">
        <v>tengah</v>
      </c>
      <c r="P239" s="2"/>
      <c r="Q239" s="2"/>
      <c r="T239" s="2" t="str">
        <v>kanan</v>
      </c>
      <c r="U239" s="2"/>
      <c r="V239" s="2"/>
    </row>
    <row r="240" spans="5:22">
      <c r="E240" s="2" t="str">
        <v>tengah</v>
      </c>
      <c r="F240" s="2"/>
      <c r="G240" s="2"/>
      <c r="J240" s="2" t="str">
        <v>tengah</v>
      </c>
      <c r="K240" s="2"/>
      <c r="L240" s="2"/>
      <c r="O240" s="2" t="str">
        <v>tengah</v>
      </c>
      <c r="P240" s="2"/>
      <c r="Q240" s="2"/>
      <c r="T240" s="2" t="str">
        <v>kanan</v>
      </c>
      <c r="U240" s="2"/>
      <c r="V240" s="2"/>
    </row>
    <row r="241" spans="5:22">
      <c r="E241" s="2" t="str">
        <v>kiri</v>
      </c>
      <c r="F241" s="2"/>
      <c r="G241" s="2"/>
      <c r="J241" s="2" t="str">
        <v>tengah</v>
      </c>
      <c r="K241" s="2"/>
      <c r="L241" s="2"/>
      <c r="O241" s="2" t="str">
        <v>kanan</v>
      </c>
      <c r="P241" s="2"/>
      <c r="Q241" s="2"/>
      <c r="T241" s="2" t="str">
        <v>tengah</v>
      </c>
      <c r="U241" s="2"/>
      <c r="V241" s="2"/>
    </row>
    <row r="242" spans="5:22">
      <c r="E242" s="2" t="str">
        <v>tengah</v>
      </c>
      <c r="F242" s="2"/>
      <c r="G242" s="2"/>
      <c r="J242" s="2" t="str">
        <v>kanan</v>
      </c>
      <c r="K242" s="2"/>
      <c r="L242" s="2"/>
      <c r="O242" s="2" t="str">
        <v>tengah</v>
      </c>
      <c r="P242" s="2"/>
      <c r="Q242" s="2"/>
      <c r="T242" s="2" t="str">
        <v>tengah</v>
      </c>
      <c r="U242" s="2"/>
      <c r="V242" s="2"/>
    </row>
    <row r="243" spans="5:22">
      <c r="E243" s="2" t="str">
        <v>tengah</v>
      </c>
      <c r="F243" s="2"/>
      <c r="G243" s="2"/>
      <c r="J243" s="2" t="str">
        <v>tengah</v>
      </c>
      <c r="K243" s="2"/>
      <c r="L243" s="2"/>
      <c r="O243" s="2" t="str">
        <v>tengah</v>
      </c>
      <c r="P243" s="2"/>
      <c r="Q243" s="2"/>
      <c r="T243" s="2" t="str">
        <v>tengah</v>
      </c>
      <c r="U243" s="2"/>
      <c r="V243" s="2"/>
    </row>
    <row r="244" spans="5:22">
      <c r="E244" s="2" t="str">
        <v>kanan</v>
      </c>
      <c r="F244" s="2"/>
      <c r="G244" s="2"/>
      <c r="J244" s="2" t="str">
        <v>tengah</v>
      </c>
      <c r="K244" s="2"/>
      <c r="L244" s="2"/>
      <c r="O244" s="2" t="str">
        <v>tengah</v>
      </c>
      <c r="P244" s="2"/>
      <c r="Q244" s="2"/>
      <c r="T244" s="2" t="str">
        <v>tengah</v>
      </c>
      <c r="U244" s="2"/>
      <c r="V244" s="2"/>
    </row>
    <row r="245" spans="5:22">
      <c r="E245" s="2" t="str">
        <v>tengah</v>
      </c>
      <c r="F245" s="2"/>
      <c r="G245" s="2"/>
      <c r="J245" s="2" t="str">
        <v>tengah</v>
      </c>
      <c r="K245" s="2"/>
      <c r="L245" s="2"/>
      <c r="O245" s="2" t="str">
        <v>tengah</v>
      </c>
      <c r="P245" s="2"/>
      <c r="Q245" s="2"/>
      <c r="T245" s="2" t="str">
        <v>tengah</v>
      </c>
      <c r="U245" s="2"/>
      <c r="V245" s="2"/>
    </row>
    <row r="246" spans="5:22">
      <c r="E246" s="2" t="str">
        <v>kiri</v>
      </c>
      <c r="F246" s="2"/>
      <c r="G246" s="2"/>
      <c r="J246" s="2" t="str">
        <v>tengah</v>
      </c>
      <c r="K246" s="2"/>
      <c r="L246" s="2"/>
      <c r="O246" s="2" t="str">
        <v>kanan</v>
      </c>
      <c r="P246" s="2"/>
      <c r="Q246" s="2"/>
      <c r="T246" s="2" t="str">
        <v>kanan</v>
      </c>
      <c r="U246" s="2"/>
      <c r="V246" s="2"/>
    </row>
    <row r="247" spans="5:22">
      <c r="E247" s="2" t="str">
        <v>tengah</v>
      </c>
      <c r="F247" s="2"/>
      <c r="G247" s="2"/>
      <c r="J247" s="2" t="str">
        <v>kiri</v>
      </c>
      <c r="K247" s="2"/>
      <c r="L247" s="2"/>
      <c r="O247" s="2" t="str">
        <v>tengah</v>
      </c>
      <c r="P247" s="2"/>
      <c r="Q247" s="2"/>
      <c r="T247" s="2" t="str">
        <v>kanan</v>
      </c>
      <c r="U247" s="2"/>
      <c r="V247" s="2"/>
    </row>
    <row r="248" spans="5:22">
      <c r="E248" s="2" t="str">
        <v>tengah</v>
      </c>
      <c r="F248" s="2"/>
      <c r="G248" s="2"/>
      <c r="J248" s="2" t="str">
        <v>tengah</v>
      </c>
      <c r="K248" s="2"/>
      <c r="L248" s="2"/>
      <c r="O248" s="2" t="str">
        <v>tengah</v>
      </c>
      <c r="P248" s="2"/>
      <c r="Q248" s="2"/>
      <c r="T248" s="2" t="str">
        <v>tengah</v>
      </c>
      <c r="U248" s="2"/>
      <c r="V248" s="2"/>
    </row>
    <row r="249" spans="5:22">
      <c r="E249" s="2" t="str">
        <v>tengah</v>
      </c>
      <c r="F249" s="2"/>
      <c r="G249" s="2"/>
      <c r="J249" s="2" t="str">
        <v>kanan</v>
      </c>
      <c r="K249" s="2"/>
      <c r="L249" s="2"/>
      <c r="O249" s="2" t="str">
        <v>kanan</v>
      </c>
      <c r="P249" s="2"/>
      <c r="Q249" s="2"/>
      <c r="T249" s="2" t="str">
        <v>tengah</v>
      </c>
      <c r="U249" s="2"/>
      <c r="V249" s="2"/>
    </row>
    <row r="250" spans="5:22">
      <c r="E250" s="2" t="str">
        <v>kanan</v>
      </c>
      <c r="F250" s="2"/>
      <c r="G250" s="2"/>
      <c r="J250" s="2" t="str">
        <v>tengah</v>
      </c>
      <c r="K250" s="2"/>
      <c r="L250" s="2"/>
      <c r="O250" s="2" t="str">
        <v>tengah</v>
      </c>
      <c r="P250" s="2"/>
      <c r="Q250" s="2"/>
      <c r="T250" s="2" t="str">
        <v>kanan</v>
      </c>
      <c r="U250" s="2"/>
      <c r="V250" s="2"/>
    </row>
    <row r="251" spans="5:22">
      <c r="E251" s="2" t="str">
        <v>kanan</v>
      </c>
      <c r="F251" s="2"/>
      <c r="G251" s="2"/>
      <c r="J251" s="2" t="str">
        <v>kanan</v>
      </c>
      <c r="K251" s="2"/>
      <c r="L251" s="2"/>
      <c r="O251" s="2" t="str">
        <v>tengah</v>
      </c>
      <c r="P251" s="2"/>
      <c r="Q251" s="2"/>
      <c r="T251" s="2" t="str">
        <v>kanan</v>
      </c>
      <c r="U251" s="2"/>
      <c r="V251" s="2"/>
    </row>
    <row r="252" spans="5:22">
      <c r="E252" s="2" t="str">
        <v>tengah</v>
      </c>
      <c r="F252" s="2"/>
      <c r="G252" s="2"/>
      <c r="J252" s="2" t="str">
        <v>tengah</v>
      </c>
      <c r="K252" s="2"/>
      <c r="L252" s="2"/>
      <c r="O252" s="2" t="str">
        <v>tengah</v>
      </c>
      <c r="P252" s="2"/>
      <c r="Q252" s="2"/>
      <c r="T252" s="2" t="str">
        <v>kanan</v>
      </c>
      <c r="U252" s="2"/>
      <c r="V252" s="2"/>
    </row>
    <row r="253" spans="5:22">
      <c r="E253" s="2" t="str">
        <v>kanan</v>
      </c>
      <c r="F253" s="2"/>
      <c r="G253" s="2"/>
      <c r="J253" s="2" t="str">
        <v>kanan</v>
      </c>
      <c r="K253" s="2"/>
      <c r="L253" s="2"/>
      <c r="O253" s="2" t="str">
        <v>kanan</v>
      </c>
      <c r="P253" s="2"/>
      <c r="Q253" s="2"/>
      <c r="T253" s="2" t="str">
        <v>kanan</v>
      </c>
      <c r="U253" s="2"/>
      <c r="V253" s="2"/>
    </row>
    <row r="254" spans="5:22">
      <c r="E254" s="2" t="str">
        <v>kiri</v>
      </c>
      <c r="F254" s="2"/>
      <c r="G254" s="2"/>
      <c r="J254" s="2" t="str">
        <v>kanan</v>
      </c>
      <c r="K254" s="2"/>
      <c r="L254" s="2"/>
      <c r="O254" s="2" t="str">
        <v>tengah</v>
      </c>
      <c r="P254" s="2"/>
      <c r="Q254" s="2"/>
      <c r="T254" s="2" t="str">
        <v>kanan</v>
      </c>
      <c r="U254" s="2"/>
      <c r="V254" s="2"/>
    </row>
    <row r="255" spans="5:22">
      <c r="E255" s="2" t="str">
        <v>kiri</v>
      </c>
      <c r="F255" s="2"/>
      <c r="G255" s="2"/>
      <c r="J255" s="2" t="str">
        <v>kanan</v>
      </c>
      <c r="K255" s="2"/>
      <c r="L255" s="2"/>
      <c r="O255" s="2" t="str">
        <v>kiri</v>
      </c>
      <c r="P255" s="2"/>
      <c r="Q255" s="2"/>
      <c r="T255" s="2" t="str">
        <v>tengah</v>
      </c>
      <c r="U255" s="2"/>
      <c r="V255" s="2"/>
    </row>
    <row r="256" spans="5:22">
      <c r="E256" s="2" t="str">
        <v>kiri</v>
      </c>
      <c r="F256" s="2"/>
      <c r="G256" s="2"/>
      <c r="J256" s="2" t="str">
        <v>tengah</v>
      </c>
      <c r="K256" s="2"/>
      <c r="L256" s="2"/>
      <c r="O256" s="2" t="str">
        <v>tengah</v>
      </c>
      <c r="P256" s="2"/>
      <c r="Q256" s="2"/>
      <c r="T256" s="2" t="str">
        <v>kanan</v>
      </c>
      <c r="U256" s="2"/>
      <c r="V256" s="2"/>
    </row>
    <row r="257" spans="5:22">
      <c r="E257" s="2" t="str">
        <v>kiri</v>
      </c>
      <c r="F257" s="2"/>
      <c r="G257" s="2"/>
      <c r="J257" s="2" t="str">
        <v>tengah</v>
      </c>
      <c r="K257" s="2"/>
      <c r="L257" s="2"/>
      <c r="O257" s="2" t="str">
        <v>kanan</v>
      </c>
      <c r="P257" s="2"/>
      <c r="Q257" s="2"/>
      <c r="T257" s="2" t="str">
        <v>kanan</v>
      </c>
      <c r="U257" s="2"/>
      <c r="V257" s="2"/>
    </row>
    <row r="258" spans="5:22">
      <c r="E258" s="2" t="str">
        <v>kiri</v>
      </c>
      <c r="F258" s="2"/>
      <c r="G258" s="2"/>
      <c r="J258" s="2" t="str">
        <v>tengah</v>
      </c>
      <c r="K258" s="2"/>
      <c r="L258" s="2"/>
      <c r="O258" s="2" t="str">
        <v>tengah</v>
      </c>
      <c r="P258" s="2"/>
      <c r="Q258" s="2"/>
      <c r="T258" s="2" t="str">
        <v>tengah</v>
      </c>
      <c r="U258" s="2"/>
      <c r="V258" s="2"/>
    </row>
    <row r="259" spans="5:22">
      <c r="E259" s="2" t="str">
        <v>kiri</v>
      </c>
      <c r="F259" s="2"/>
      <c r="G259" s="2"/>
      <c r="J259" s="2" t="str">
        <v>tengah</v>
      </c>
      <c r="K259" s="2"/>
      <c r="L259" s="2"/>
      <c r="O259" s="2" t="str">
        <v>kiri</v>
      </c>
      <c r="P259" s="2"/>
      <c r="Q259" s="2"/>
      <c r="T259" s="2" t="str">
        <v>tengah</v>
      </c>
      <c r="U259" s="2"/>
      <c r="V259" s="2"/>
    </row>
    <row r="260" spans="5:22">
      <c r="E260" s="2" t="str">
        <v>kiri</v>
      </c>
      <c r="F260" s="2"/>
      <c r="G260" s="2"/>
      <c r="J260" s="2" t="str">
        <v>tengah</v>
      </c>
      <c r="K260" s="2"/>
      <c r="L260" s="2"/>
      <c r="O260" s="2" t="str">
        <v>tengah</v>
      </c>
      <c r="P260" s="2"/>
      <c r="Q260" s="2"/>
      <c r="T260" s="2" t="str">
        <v>kanan</v>
      </c>
      <c r="U260" s="2"/>
      <c r="V260" s="2"/>
    </row>
    <row r="261" spans="5:22">
      <c r="E261" s="2" t="str">
        <v>tengah</v>
      </c>
      <c r="F261" s="2"/>
      <c r="G261" s="2"/>
      <c r="J261" s="2" t="str">
        <v>tengah</v>
      </c>
      <c r="K261" s="2"/>
      <c r="L261" s="2"/>
      <c r="O261" s="2" t="str">
        <v>kiri</v>
      </c>
      <c r="P261" s="2"/>
      <c r="Q261" s="2"/>
      <c r="T261" s="2" t="str">
        <v>kanan</v>
      </c>
      <c r="U261" s="2"/>
      <c r="V261" s="2"/>
    </row>
    <row r="262" spans="5:22">
      <c r="E262" s="2" t="str">
        <v>tengah</v>
      </c>
      <c r="F262" s="2"/>
      <c r="G262" s="2"/>
      <c r="J262" s="2" t="str">
        <v>kanan</v>
      </c>
      <c r="K262" s="2"/>
      <c r="L262" s="2"/>
      <c r="O262" s="2" t="str">
        <v>kiri</v>
      </c>
      <c r="P262" s="2"/>
      <c r="Q262" s="2"/>
      <c r="T262" s="2" t="str">
        <v>tengah</v>
      </c>
      <c r="U262" s="2"/>
      <c r="V262" s="2"/>
    </row>
    <row r="263" spans="5:22">
      <c r="E263" s="2" t="str">
        <v>tengah</v>
      </c>
      <c r="F263" s="2"/>
      <c r="G263" s="2"/>
      <c r="J263" s="2" t="str">
        <v>tengah</v>
      </c>
      <c r="K263" s="2"/>
      <c r="L263" s="2"/>
      <c r="O263" s="2" t="str">
        <v>tengah</v>
      </c>
      <c r="P263" s="2"/>
      <c r="Q263" s="2"/>
      <c r="T263" s="2" t="str">
        <v>kanan</v>
      </c>
      <c r="U263" s="2"/>
      <c r="V263" s="2"/>
    </row>
    <row r="264" spans="5:22">
      <c r="E264" s="2" t="str">
        <v>tengah</v>
      </c>
      <c r="F264" s="2"/>
      <c r="G264" s="2"/>
      <c r="J264" s="2" t="str">
        <v>tengah</v>
      </c>
      <c r="K264" s="2"/>
      <c r="L264" s="2"/>
      <c r="O264" s="2" t="str">
        <v>tengah</v>
      </c>
      <c r="P264" s="2"/>
      <c r="Q264" s="2"/>
      <c r="T264" s="2" t="str">
        <v>tengah</v>
      </c>
      <c r="U264" s="2"/>
      <c r="V264" s="2"/>
    </row>
    <row r="265" spans="5:22">
      <c r="E265" s="2" t="str">
        <v>kiri</v>
      </c>
      <c r="F265" s="2"/>
      <c r="G265" s="2"/>
      <c r="J265" s="2" t="str">
        <v>tengah</v>
      </c>
      <c r="K265" s="2"/>
      <c r="L265" s="2"/>
      <c r="O265" s="2" t="str">
        <v>tengah</v>
      </c>
      <c r="P265" s="2"/>
      <c r="Q265" s="2"/>
      <c r="T265" s="2" t="str">
        <v>kanan</v>
      </c>
      <c r="U265" s="2"/>
      <c r="V265" s="2"/>
    </row>
    <row r="266" spans="5:22">
      <c r="E266" s="2" t="str">
        <v>kanan</v>
      </c>
      <c r="F266" s="2"/>
      <c r="G266" s="2"/>
      <c r="J266" s="2" t="str">
        <v>tengah</v>
      </c>
      <c r="K266" s="2"/>
      <c r="L266" s="2"/>
      <c r="O266" s="2" t="str">
        <v>tengah</v>
      </c>
      <c r="P266" s="2"/>
      <c r="Q266" s="2"/>
      <c r="T266" s="2" t="str">
        <v>tengah</v>
      </c>
      <c r="U266" s="2"/>
      <c r="V266" s="2"/>
    </row>
    <row r="267" spans="5:22">
      <c r="E267" s="2" t="str">
        <v>tengah</v>
      </c>
      <c r="F267" s="2"/>
      <c r="G267" s="2"/>
      <c r="J267" s="2" t="str">
        <v>kanan</v>
      </c>
      <c r="K267" s="2"/>
      <c r="L267" s="2"/>
      <c r="O267" s="2" t="str">
        <v>tengah</v>
      </c>
      <c r="P267" s="2"/>
      <c r="Q267" s="2"/>
      <c r="T267" s="2" t="str">
        <v>tengah</v>
      </c>
      <c r="U267" s="2"/>
      <c r="V267" s="2"/>
    </row>
    <row r="268" spans="5:22">
      <c r="E268" s="2" t="str">
        <v>tengah</v>
      </c>
      <c r="F268" s="2"/>
      <c r="G268" s="2"/>
      <c r="J268" s="2" t="str">
        <v>tengah</v>
      </c>
      <c r="K268" s="2"/>
      <c r="L268" s="2"/>
      <c r="O268" s="2" t="str">
        <v>kiri</v>
      </c>
      <c r="P268" s="2"/>
      <c r="Q268" s="2"/>
      <c r="T268" s="2" t="str">
        <v>kanan</v>
      </c>
      <c r="U268" s="2"/>
      <c r="V268" s="2"/>
    </row>
    <row r="269" spans="5:22">
      <c r="E269" s="2" t="str">
        <v>kiri</v>
      </c>
      <c r="F269" s="2"/>
      <c r="G269" s="2"/>
      <c r="J269" s="2" t="str">
        <v>kiri</v>
      </c>
      <c r="K269" s="2"/>
      <c r="L269" s="2"/>
      <c r="O269" s="2" t="str">
        <v>tengah</v>
      </c>
      <c r="P269" s="2"/>
      <c r="Q269" s="2"/>
      <c r="T269" s="2" t="str">
        <v>kanan</v>
      </c>
      <c r="U269" s="2"/>
      <c r="V269" s="2"/>
    </row>
    <row r="270" spans="5:22">
      <c r="E270" s="2" t="str">
        <v>kanan</v>
      </c>
      <c r="F270" s="2"/>
      <c r="G270" s="2"/>
      <c r="J270" s="2" t="str">
        <v>tengah</v>
      </c>
      <c r="K270" s="2"/>
      <c r="L270" s="2"/>
      <c r="O270" s="2" t="str">
        <v>tengah</v>
      </c>
      <c r="P270" s="2"/>
      <c r="Q270" s="2"/>
      <c r="T270" s="2" t="str">
        <v>kanan</v>
      </c>
      <c r="U270" s="2"/>
      <c r="V270" s="2"/>
    </row>
    <row r="271" spans="5:22">
      <c r="E271" s="2" t="str">
        <v>kanan</v>
      </c>
      <c r="F271" s="2"/>
      <c r="G271" s="2"/>
      <c r="J271" s="2" t="str">
        <v>tengah</v>
      </c>
      <c r="K271" s="2"/>
      <c r="L271" s="2"/>
      <c r="O271" s="2" t="str">
        <v>tengah</v>
      </c>
      <c r="P271" s="2"/>
      <c r="Q271" s="2"/>
      <c r="T271" s="2" t="str">
        <v>tengah</v>
      </c>
      <c r="U271" s="2"/>
      <c r="V271" s="2"/>
    </row>
    <row r="272" spans="5:22">
      <c r="E272" s="2" t="str">
        <v>kiri</v>
      </c>
      <c r="F272" s="2"/>
      <c r="G272" s="2"/>
      <c r="J272" s="2" t="str">
        <v>kiri</v>
      </c>
      <c r="K272" s="2"/>
      <c r="L272" s="2"/>
      <c r="O272" s="2" t="str">
        <v>kanan</v>
      </c>
      <c r="P272" s="2"/>
      <c r="Q272" s="2"/>
      <c r="T272" s="2" t="str">
        <v>kanan</v>
      </c>
      <c r="U272" s="2"/>
      <c r="V272" s="2"/>
    </row>
    <row r="273" spans="5:22">
      <c r="E273" s="2" t="str">
        <v>tengah</v>
      </c>
      <c r="F273" s="2"/>
      <c r="G273" s="2"/>
      <c r="J273" s="2" t="str">
        <v>tengah</v>
      </c>
      <c r="K273" s="2"/>
      <c r="L273" s="2"/>
      <c r="O273" s="2" t="str">
        <v>tengah</v>
      </c>
      <c r="P273" s="2"/>
      <c r="Q273" s="2"/>
      <c r="T273" s="2" t="str">
        <v>kanan</v>
      </c>
      <c r="U273" s="2"/>
      <c r="V273" s="2"/>
    </row>
    <row r="274" spans="5:22">
      <c r="E274" s="2" t="str">
        <v>kiri</v>
      </c>
      <c r="F274" s="2"/>
      <c r="G274" s="2"/>
      <c r="J274" s="2" t="str">
        <v>kiri</v>
      </c>
      <c r="K274" s="2"/>
      <c r="L274" s="2"/>
      <c r="O274" s="2" t="str">
        <v>kiri</v>
      </c>
      <c r="P274" s="2"/>
      <c r="Q274" s="2"/>
      <c r="T274" s="2" t="str">
        <v>kanan</v>
      </c>
      <c r="U274" s="2"/>
      <c r="V274" s="2"/>
    </row>
    <row r="275" spans="5:22">
      <c r="E275" s="2" t="str">
        <v>kiri</v>
      </c>
      <c r="F275" s="2"/>
      <c r="G275" s="2"/>
      <c r="J275" s="2" t="str">
        <v>tengah</v>
      </c>
      <c r="K275" s="2"/>
      <c r="L275" s="2"/>
      <c r="O275" s="2" t="str">
        <v>tengah</v>
      </c>
      <c r="P275" s="2"/>
      <c r="Q275" s="2"/>
      <c r="T275" s="2" t="str">
        <v>kanan</v>
      </c>
      <c r="U275" s="2"/>
      <c r="V275" s="2"/>
    </row>
    <row r="276" spans="5:22">
      <c r="E276" s="2" t="str">
        <v>kiri</v>
      </c>
      <c r="F276" s="2"/>
      <c r="G276" s="2"/>
      <c r="J276" s="2" t="str">
        <v>tengah</v>
      </c>
      <c r="K276" s="2"/>
      <c r="L276" s="2"/>
      <c r="O276" s="2" t="str">
        <v>kiri</v>
      </c>
      <c r="P276" s="2"/>
      <c r="Q276" s="2"/>
      <c r="T276" s="2" t="str">
        <v>tengah</v>
      </c>
      <c r="U276" s="2"/>
      <c r="V276" s="2"/>
    </row>
    <row r="277" spans="5:22">
      <c r="E277" s="2" t="str">
        <v>tengah</v>
      </c>
      <c r="F277" s="2"/>
      <c r="G277" s="2"/>
      <c r="J277" s="2" t="str">
        <v>kiri</v>
      </c>
      <c r="K277" s="2"/>
      <c r="L277" s="2"/>
      <c r="O277" s="2" t="str">
        <v>tengah</v>
      </c>
      <c r="P277" s="2"/>
      <c r="Q277" s="2"/>
      <c r="T277" s="2" t="str">
        <v>kanan</v>
      </c>
      <c r="U277" s="2"/>
      <c r="V277" s="2"/>
    </row>
    <row r="278" spans="5:22">
      <c r="E278" s="2" t="str">
        <v>tengah</v>
      </c>
      <c r="F278" s="2"/>
      <c r="G278" s="2"/>
      <c r="J278" s="2" t="str">
        <v>kanan</v>
      </c>
      <c r="K278" s="2"/>
      <c r="L278" s="2"/>
      <c r="O278" s="2" t="str">
        <v>tengah</v>
      </c>
      <c r="P278" s="2"/>
      <c r="Q278" s="2"/>
      <c r="T278" s="2" t="str">
        <v>tengah</v>
      </c>
      <c r="U278" s="2"/>
      <c r="V278" s="2"/>
    </row>
    <row r="279" spans="5:22">
      <c r="E279" s="2" t="str">
        <v>kiri</v>
      </c>
      <c r="F279" s="2"/>
      <c r="G279" s="2"/>
      <c r="J279" s="2" t="str">
        <v>kiri</v>
      </c>
      <c r="K279" s="2"/>
      <c r="L279" s="2"/>
      <c r="O279" s="2" t="str">
        <v>kanan</v>
      </c>
      <c r="P279" s="2"/>
      <c r="Q279" s="2"/>
      <c r="T279" s="2" t="str">
        <v>tengah</v>
      </c>
      <c r="U279" s="2"/>
      <c r="V279" s="2"/>
    </row>
    <row r="280" spans="5:22">
      <c r="E280" s="2" t="str">
        <v>kiri</v>
      </c>
      <c r="F280" s="2"/>
      <c r="G280" s="2"/>
      <c r="J280" s="2" t="str">
        <v>kiri</v>
      </c>
      <c r="K280" s="2"/>
      <c r="L280" s="2"/>
      <c r="O280" s="2" t="str">
        <v>tengah</v>
      </c>
      <c r="P280" s="2"/>
      <c r="Q280" s="2"/>
      <c r="T280" s="2" t="str">
        <v>tengah</v>
      </c>
      <c r="U280" s="2"/>
      <c r="V280" s="2"/>
    </row>
    <row r="281" spans="5:22">
      <c r="E281" s="2" t="str">
        <v>tengah</v>
      </c>
      <c r="F281" s="2"/>
      <c r="G281" s="2"/>
      <c r="J281" s="2" t="str">
        <v>tengah</v>
      </c>
      <c r="K281" s="2"/>
      <c r="L281" s="2"/>
      <c r="O281" s="2" t="str">
        <v>kiri</v>
      </c>
      <c r="P281" s="2"/>
      <c r="Q281" s="2"/>
      <c r="T281" s="2" t="str">
        <v>kanan</v>
      </c>
      <c r="U281" s="2"/>
      <c r="V281" s="2"/>
    </row>
    <row r="282" spans="5:22">
      <c r="E282" s="2" t="str">
        <v>tengah</v>
      </c>
      <c r="F282" s="2"/>
      <c r="G282" s="2"/>
      <c r="J282" s="2" t="str">
        <v>tengah</v>
      </c>
      <c r="K282" s="2"/>
      <c r="L282" s="2"/>
      <c r="O282" s="2" t="str">
        <v>tengah</v>
      </c>
      <c r="P282" s="2"/>
      <c r="Q282" s="2"/>
      <c r="T282" s="2" t="str">
        <v>kanan</v>
      </c>
      <c r="U282" s="2"/>
      <c r="V282" s="2"/>
    </row>
    <row r="283" spans="5:22">
      <c r="E283" s="2" t="str">
        <v>tengah</v>
      </c>
      <c r="F283" s="2"/>
      <c r="G283" s="2"/>
      <c r="J283" s="2" t="str">
        <v>tengah</v>
      </c>
      <c r="K283" s="2"/>
      <c r="L283" s="2"/>
      <c r="O283" s="2" t="str">
        <v>kanan</v>
      </c>
      <c r="P283" s="2"/>
      <c r="Q283" s="2"/>
      <c r="T283" s="2" t="str">
        <v>kanan</v>
      </c>
      <c r="U283" s="2"/>
      <c r="V283" s="2"/>
    </row>
    <row r="284" spans="5:22">
      <c r="E284" s="2" t="str">
        <v>kanan</v>
      </c>
      <c r="F284" s="2"/>
      <c r="G284" s="2"/>
      <c r="J284" s="2" t="str">
        <v>kanan</v>
      </c>
      <c r="K284" s="2"/>
      <c r="L284" s="2"/>
      <c r="O284" s="2" t="str">
        <v>tengah</v>
      </c>
      <c r="P284" s="2"/>
      <c r="Q284" s="2"/>
      <c r="T284" s="2" t="str">
        <v>tengah</v>
      </c>
      <c r="U284" s="2"/>
      <c r="V284" s="2"/>
    </row>
    <row r="285" spans="5:22">
      <c r="E285" s="2" t="str">
        <v>kanan</v>
      </c>
      <c r="F285" s="2"/>
      <c r="G285" s="2"/>
      <c r="J285" s="2" t="str">
        <v>kanan</v>
      </c>
      <c r="K285" s="2"/>
      <c r="L285" s="2"/>
      <c r="O285" s="2" t="str">
        <v>kanan</v>
      </c>
      <c r="P285" s="2"/>
      <c r="Q285" s="2"/>
      <c r="T285" s="2" t="str">
        <v>kanan</v>
      </c>
      <c r="U285" s="2"/>
      <c r="V285" s="2"/>
    </row>
    <row r="286" spans="5:22">
      <c r="E286" s="2" t="str">
        <v>tengah</v>
      </c>
      <c r="F286" s="2"/>
      <c r="G286" s="2"/>
      <c r="J286" s="2" t="str">
        <v>tengah</v>
      </c>
      <c r="K286" s="2"/>
      <c r="L286" s="2"/>
      <c r="O286" s="2" t="str">
        <v>tengah</v>
      </c>
      <c r="P286" s="2"/>
      <c r="Q286" s="2"/>
      <c r="T286" s="2" t="str">
        <v>kanan</v>
      </c>
      <c r="U286" s="2"/>
      <c r="V286" s="2"/>
    </row>
    <row r="287" spans="5:22">
      <c r="E287" s="2" t="str">
        <v>tengah</v>
      </c>
      <c r="F287" s="2"/>
      <c r="G287" s="2"/>
      <c r="J287" s="2" t="str">
        <v>tengah</v>
      </c>
      <c r="K287" s="2"/>
      <c r="L287" s="2"/>
      <c r="O287" s="2" t="str">
        <v>kanan</v>
      </c>
      <c r="P287" s="2"/>
      <c r="Q287" s="2"/>
      <c r="T287" s="2" t="str">
        <v>kanan</v>
      </c>
      <c r="U287" s="2"/>
      <c r="V287" s="2"/>
    </row>
    <row r="288" spans="5:22">
      <c r="E288" s="2" t="str">
        <v>kiri</v>
      </c>
      <c r="F288" s="2"/>
      <c r="G288" s="2"/>
      <c r="J288" s="2" t="str">
        <v>kanan</v>
      </c>
      <c r="K288" s="2"/>
      <c r="L288" s="2"/>
      <c r="O288" s="2" t="str">
        <v>tengah</v>
      </c>
      <c r="P288" s="2"/>
      <c r="Q288" s="2"/>
      <c r="T288" s="2" t="str">
        <v>kanan</v>
      </c>
      <c r="U288" s="2"/>
      <c r="V288" s="2"/>
    </row>
    <row r="289" spans="5:22">
      <c r="E289" s="2" t="str">
        <v>tengah</v>
      </c>
      <c r="F289" s="2"/>
      <c r="G289" s="2"/>
      <c r="J289" s="2" t="str">
        <v>kanan</v>
      </c>
      <c r="K289" s="2"/>
      <c r="L289" s="2"/>
      <c r="O289" s="2" t="str">
        <v>kanan</v>
      </c>
      <c r="P289" s="2"/>
      <c r="Q289" s="2"/>
      <c r="T289" s="2" t="str">
        <v>tengah</v>
      </c>
      <c r="U289" s="2"/>
      <c r="V289" s="2"/>
    </row>
    <row r="290" spans="5:22">
      <c r="E290" s="2" t="str">
        <v>tengah</v>
      </c>
      <c r="F290" s="2"/>
      <c r="G290" s="2"/>
      <c r="J290" s="2" t="str">
        <v>tengah</v>
      </c>
      <c r="K290" s="2"/>
      <c r="L290" s="2"/>
      <c r="O290" s="2" t="str">
        <v>kanan</v>
      </c>
      <c r="P290" s="2"/>
      <c r="Q290" s="2"/>
      <c r="T290" s="2" t="str">
        <v>kanan</v>
      </c>
      <c r="U290" s="2"/>
      <c r="V290" s="2"/>
    </row>
    <row r="291" spans="5:22">
      <c r="E291" s="2" t="str">
        <v>tengah</v>
      </c>
      <c r="F291" s="2"/>
      <c r="G291" s="2"/>
      <c r="J291" s="2" t="str">
        <v>kiri</v>
      </c>
      <c r="K291" s="2"/>
      <c r="L291" s="2"/>
      <c r="O291" s="2" t="str">
        <v>kiri</v>
      </c>
      <c r="P291" s="2"/>
      <c r="Q291" s="2"/>
      <c r="T291" s="2" t="str">
        <v>kanan</v>
      </c>
      <c r="U291" s="2"/>
      <c r="V291" s="2"/>
    </row>
    <row r="292" spans="5:22">
      <c r="E292" s="2" t="str">
        <v>kanan</v>
      </c>
      <c r="F292" s="2"/>
      <c r="G292" s="2"/>
      <c r="J292" s="2" t="str">
        <v>tengah</v>
      </c>
      <c r="K292" s="2"/>
      <c r="L292" s="2"/>
      <c r="O292" s="2" t="str">
        <v>tengah</v>
      </c>
      <c r="P292" s="2"/>
      <c r="Q292" s="2"/>
      <c r="T292" s="2" t="str">
        <v>tengah</v>
      </c>
      <c r="U292" s="2"/>
      <c r="V292" s="2"/>
    </row>
    <row r="293" spans="5:22">
      <c r="E293" s="2" t="str">
        <v>tengah</v>
      </c>
      <c r="F293" s="2"/>
      <c r="G293" s="2"/>
      <c r="J293" s="2" t="str">
        <v>tengah</v>
      </c>
      <c r="K293" s="2"/>
      <c r="L293" s="2"/>
      <c r="O293" s="2" t="str">
        <v>kiri</v>
      </c>
      <c r="P293" s="2"/>
      <c r="Q293" s="2"/>
      <c r="T293" s="2" t="str">
        <v>kanan</v>
      </c>
      <c r="U293" s="2"/>
      <c r="V293" s="2"/>
    </row>
    <row r="294" spans="5:22">
      <c r="E294" s="2" t="str">
        <v>kiri</v>
      </c>
      <c r="F294" s="2"/>
      <c r="G294" s="2"/>
      <c r="J294" s="2" t="str">
        <v>tengah</v>
      </c>
      <c r="K294" s="2"/>
      <c r="L294" s="2"/>
      <c r="O294" s="2" t="str">
        <v>kanan</v>
      </c>
      <c r="P294" s="2"/>
      <c r="Q294" s="2"/>
      <c r="T294" s="2" t="str">
        <v>kanan</v>
      </c>
      <c r="U294" s="2"/>
      <c r="V294" s="2"/>
    </row>
    <row r="295" spans="5:22">
      <c r="E295" s="2" t="str">
        <v>kanan</v>
      </c>
      <c r="F295" s="2"/>
      <c r="G295" s="2"/>
      <c r="J295" s="2" t="str">
        <v>tengah</v>
      </c>
      <c r="K295" s="2"/>
      <c r="L295" s="2"/>
      <c r="O295" s="2" t="str">
        <v>tengah</v>
      </c>
      <c r="P295" s="2"/>
      <c r="Q295" s="2"/>
      <c r="T295" s="2" t="str">
        <v>kanan</v>
      </c>
      <c r="U295" s="2"/>
      <c r="V295" s="2"/>
    </row>
    <row r="296" spans="5:22">
      <c r="E296" s="2" t="str">
        <v>tengah</v>
      </c>
      <c r="F296" s="2"/>
      <c r="G296" s="2"/>
      <c r="J296" s="2" t="str">
        <v>tengah</v>
      </c>
      <c r="K296" s="2"/>
      <c r="L296" s="2"/>
      <c r="O296" s="2" t="str">
        <v>tengah</v>
      </c>
      <c r="P296" s="2"/>
      <c r="Q296" s="2"/>
      <c r="T296" s="2" t="str">
        <v>tengah</v>
      </c>
      <c r="U296" s="2"/>
      <c r="V296" s="2"/>
    </row>
    <row r="297" spans="5:22">
      <c r="E297" s="2" t="str">
        <v>tengah</v>
      </c>
      <c r="F297" s="2"/>
      <c r="G297" s="2"/>
      <c r="J297" s="2" t="str">
        <v>tengah</v>
      </c>
      <c r="K297" s="2"/>
      <c r="L297" s="2"/>
      <c r="O297" s="2" t="str">
        <v>tengah</v>
      </c>
      <c r="P297" s="2"/>
      <c r="Q297" s="2"/>
      <c r="T297" s="2" t="str">
        <v>tengah</v>
      </c>
      <c r="U297" s="2"/>
      <c r="V297" s="2"/>
    </row>
    <row r="298" spans="5:22">
      <c r="E298" s="2" t="str">
        <v>tengah</v>
      </c>
      <c r="F298" s="2"/>
      <c r="G298" s="2"/>
      <c r="J298" s="2" t="str">
        <v>tengah</v>
      </c>
      <c r="K298" s="2"/>
      <c r="L298" s="2"/>
      <c r="O298" s="2" t="str">
        <v>kiri</v>
      </c>
      <c r="P298" s="2"/>
      <c r="Q298" s="2"/>
      <c r="T298" s="2" t="str">
        <v>kanan</v>
      </c>
      <c r="U298" s="2"/>
      <c r="V298" s="2"/>
    </row>
    <row r="299" spans="5:22">
      <c r="E299" s="2" t="str">
        <v>kanan</v>
      </c>
      <c r="F299" s="2"/>
      <c r="G299" s="2"/>
      <c r="J299" s="2" t="str">
        <v>tengah</v>
      </c>
      <c r="K299" s="2"/>
      <c r="L299" s="2"/>
      <c r="O299" s="2" t="str">
        <v>kanan</v>
      </c>
      <c r="P299" s="2"/>
      <c r="Q299" s="2"/>
      <c r="T299" s="2" t="str">
        <v>kanan</v>
      </c>
      <c r="U299" s="2"/>
      <c r="V299" s="2"/>
    </row>
    <row r="300" spans="5:22">
      <c r="E300" s="2" t="str">
        <v>tengah</v>
      </c>
      <c r="F300" s="2"/>
      <c r="G300" s="2"/>
      <c r="J300" s="2" t="str">
        <v>tengah</v>
      </c>
      <c r="K300" s="2"/>
      <c r="L300" s="2"/>
      <c r="O300" s="2" t="str">
        <v>kanan</v>
      </c>
      <c r="P300" s="2"/>
      <c r="Q300" s="2"/>
      <c r="T300" s="2" t="str">
        <v>kanan</v>
      </c>
      <c r="U300" s="2"/>
      <c r="V300" s="2"/>
    </row>
    <row r="301" spans="5:22">
      <c r="E301" s="2" t="str">
        <v>tengah</v>
      </c>
      <c r="F301" s="2"/>
      <c r="G301" s="2"/>
      <c r="J301" s="2" t="str">
        <v>tengah</v>
      </c>
      <c r="K301" s="2"/>
      <c r="L301" s="2"/>
      <c r="O301" s="2" t="str">
        <v>kanan</v>
      </c>
      <c r="P301" s="2"/>
      <c r="Q301" s="2"/>
      <c r="T301" s="2" t="str">
        <v>kanan</v>
      </c>
      <c r="U301" s="2"/>
      <c r="V301" s="2"/>
    </row>
    <row r="302" spans="5:22">
      <c r="E302" s="2" t="str">
        <v>kanan</v>
      </c>
      <c r="F302" s="2"/>
      <c r="G302" s="2"/>
      <c r="J302" s="2" t="str">
        <v>tengah</v>
      </c>
      <c r="K302" s="2"/>
      <c r="L302" s="2"/>
      <c r="O302" s="2" t="str">
        <v>tengah</v>
      </c>
      <c r="P302" s="2"/>
      <c r="Q302" s="2"/>
      <c r="T302" s="2" t="str">
        <v>tengah</v>
      </c>
      <c r="U302" s="2"/>
      <c r="V302" s="2"/>
    </row>
    <row r="303" spans="5:22">
      <c r="E303" s="2" t="str">
        <v>tengah</v>
      </c>
      <c r="F303" s="2"/>
      <c r="G303" s="2"/>
      <c r="J303" s="2" t="str">
        <v>tengah</v>
      </c>
      <c r="K303" s="2"/>
      <c r="L303" s="2"/>
      <c r="O303" s="2" t="str">
        <v>kiri</v>
      </c>
      <c r="P303" s="2"/>
      <c r="Q303" s="2"/>
      <c r="T303" s="2" t="str">
        <v>kanan</v>
      </c>
      <c r="U303" s="2"/>
      <c r="V303" s="2"/>
    </row>
    <row r="304" spans="5:22">
      <c r="E304" s="2" t="str">
        <v>kanan</v>
      </c>
      <c r="F304" s="2"/>
      <c r="G304" s="2"/>
      <c r="J304" s="2" t="str">
        <v>tengah</v>
      </c>
      <c r="K304" s="2"/>
      <c r="L304" s="2"/>
      <c r="O304" s="2" t="str">
        <v>tengah</v>
      </c>
      <c r="P304" s="2"/>
      <c r="Q304" s="2"/>
      <c r="T304" s="2" t="str">
        <v>kanan</v>
      </c>
      <c r="U304" s="2"/>
      <c r="V304" s="2"/>
    </row>
    <row r="305" spans="5:22">
      <c r="E305" s="2" t="str">
        <v>kiri</v>
      </c>
      <c r="F305" s="2"/>
      <c r="G305" s="2"/>
      <c r="J305" s="2" t="str">
        <v>tengah</v>
      </c>
      <c r="K305" s="2"/>
      <c r="L305" s="2"/>
      <c r="O305" s="2" t="str">
        <v>tengah</v>
      </c>
      <c r="P305" s="2"/>
      <c r="Q305" s="2"/>
      <c r="T305" s="2" t="str">
        <v>kanan</v>
      </c>
      <c r="U305" s="2"/>
      <c r="V305" s="2"/>
    </row>
    <row r="306" spans="5:22">
      <c r="E306" s="2" t="str">
        <v>tengah</v>
      </c>
      <c r="F306" s="2"/>
      <c r="G306" s="2"/>
      <c r="J306" s="2" t="str">
        <v>tengah</v>
      </c>
      <c r="K306" s="2"/>
      <c r="L306" s="2"/>
      <c r="O306" s="2" t="str">
        <v>tengah</v>
      </c>
      <c r="P306" s="2"/>
      <c r="Q306" s="2"/>
      <c r="T306" s="2" t="str">
        <v>kanan</v>
      </c>
      <c r="U306" s="2"/>
      <c r="V306" s="2"/>
    </row>
    <row r="307" spans="5:22">
      <c r="E307" s="2" t="str">
        <v>kanan</v>
      </c>
      <c r="F307" s="2"/>
      <c r="G307" s="2"/>
      <c r="J307" s="2" t="str">
        <v>kiri</v>
      </c>
      <c r="K307" s="2"/>
      <c r="L307" s="2"/>
      <c r="O307" s="2" t="str">
        <v>kanan</v>
      </c>
      <c r="P307" s="2"/>
      <c r="Q307" s="2"/>
      <c r="T307" s="2" t="str">
        <v>kanan</v>
      </c>
      <c r="U307" s="2"/>
      <c r="V307" s="2"/>
    </row>
    <row r="308" spans="5:22">
      <c r="E308" s="2" t="str">
        <v>tengah</v>
      </c>
      <c r="F308" s="2"/>
      <c r="G308" s="2"/>
      <c r="J308" s="2" t="str">
        <v>tengah</v>
      </c>
      <c r="K308" s="2"/>
      <c r="L308" s="2"/>
      <c r="O308" s="2" t="str">
        <v>kanan</v>
      </c>
      <c r="P308" s="2"/>
      <c r="Q308" s="2"/>
      <c r="T308" s="2" t="str">
        <v>kanan</v>
      </c>
      <c r="U308" s="2"/>
      <c r="V308" s="2"/>
    </row>
    <row r="309" spans="5:22">
      <c r="E309" s="2" t="str">
        <v>tengah</v>
      </c>
      <c r="F309" s="2"/>
      <c r="G309" s="2"/>
      <c r="J309" s="2" t="str">
        <v>tengah</v>
      </c>
      <c r="K309" s="2"/>
      <c r="L309" s="2"/>
      <c r="O309" s="2" t="str">
        <v>kanan</v>
      </c>
      <c r="P309" s="2"/>
      <c r="Q309" s="2"/>
      <c r="T309" s="2" t="str">
        <v>kanan</v>
      </c>
      <c r="U309" s="2"/>
      <c r="V309" s="2"/>
    </row>
    <row r="310" spans="5:22">
      <c r="E310" s="2" t="str">
        <v>tengah</v>
      </c>
      <c r="F310" s="2"/>
      <c r="G310" s="2"/>
      <c r="J310" s="2" t="str">
        <v>kanan</v>
      </c>
      <c r="K310" s="2"/>
      <c r="L310" s="2"/>
      <c r="O310" s="2" t="str">
        <v>kiri</v>
      </c>
      <c r="P310" s="2"/>
      <c r="Q310" s="2"/>
      <c r="T310" s="2" t="str">
        <v>tengah</v>
      </c>
      <c r="U310" s="2"/>
      <c r="V310" s="2"/>
    </row>
    <row r="311" spans="5:22">
      <c r="E311" s="2" t="str">
        <v>kiri</v>
      </c>
      <c r="F311" s="2"/>
      <c r="G311" s="2"/>
      <c r="J311" s="2" t="str">
        <v>tengah</v>
      </c>
      <c r="K311" s="2"/>
      <c r="L311" s="2"/>
      <c r="O311" s="2" t="str">
        <v>tengah</v>
      </c>
      <c r="P311" s="2"/>
      <c r="Q311" s="2"/>
      <c r="T311" s="2" t="str">
        <v>tengah</v>
      </c>
      <c r="U311" s="2"/>
      <c r="V311" s="2"/>
    </row>
    <row r="312" spans="5:22">
      <c r="E312" s="2" t="str">
        <v>kanan</v>
      </c>
      <c r="F312" s="2"/>
      <c r="G312" s="2"/>
      <c r="J312" s="2" t="str">
        <v>tengah</v>
      </c>
      <c r="K312" s="2"/>
      <c r="L312" s="2"/>
      <c r="O312" s="2" t="str">
        <v>kanan</v>
      </c>
      <c r="P312" s="2"/>
      <c r="Q312" s="2"/>
      <c r="T312" s="2" t="str">
        <v>kanan</v>
      </c>
      <c r="U312" s="2"/>
      <c r="V312" s="2"/>
    </row>
    <row r="313" spans="5:22">
      <c r="E313" s="2" t="str">
        <v>kiri</v>
      </c>
      <c r="F313" s="2"/>
      <c r="G313" s="2"/>
      <c r="J313" s="2" t="str">
        <v>kiri</v>
      </c>
      <c r="K313" s="2"/>
      <c r="L313" s="2"/>
      <c r="O313" s="2" t="str">
        <v>kanan</v>
      </c>
      <c r="P313" s="2"/>
      <c r="Q313" s="2"/>
      <c r="T313" s="2" t="str">
        <v>tengah</v>
      </c>
      <c r="U313" s="2"/>
      <c r="V313" s="2"/>
    </row>
    <row r="314" spans="5:22">
      <c r="E314" s="2" t="str">
        <v>tengah</v>
      </c>
      <c r="F314" s="2"/>
      <c r="G314" s="2"/>
      <c r="J314" s="2" t="str">
        <v>tengah</v>
      </c>
      <c r="K314" s="2"/>
      <c r="L314" s="2"/>
      <c r="O314" s="2" t="str">
        <v>tengah</v>
      </c>
      <c r="P314" s="2"/>
      <c r="Q314" s="2"/>
      <c r="T314" s="2" t="str">
        <v>kanan</v>
      </c>
      <c r="U314" s="2"/>
      <c r="V314" s="2"/>
    </row>
    <row r="315" spans="5:22">
      <c r="E315" s="2" t="str">
        <v>kiri</v>
      </c>
      <c r="F315" s="2"/>
      <c r="G315" s="2"/>
      <c r="J315" s="2" t="str">
        <v>kanan</v>
      </c>
      <c r="K315" s="2"/>
      <c r="L315" s="2"/>
      <c r="O315" s="2" t="str">
        <v>kiri</v>
      </c>
      <c r="P315" s="2"/>
      <c r="Q315" s="2"/>
      <c r="T315" s="2" t="str">
        <v>kanan</v>
      </c>
      <c r="U315" s="2"/>
      <c r="V315" s="2"/>
    </row>
    <row r="316" spans="5:22">
      <c r="E316" s="2" t="str">
        <v>tengah</v>
      </c>
      <c r="F316" s="2"/>
      <c r="G316" s="2"/>
      <c r="J316" s="2" t="str">
        <v>kanan</v>
      </c>
      <c r="K316" s="2"/>
      <c r="L316" s="2"/>
      <c r="O316" s="2" t="str">
        <v>tengah</v>
      </c>
      <c r="P316" s="2"/>
      <c r="Q316" s="2"/>
      <c r="T316" s="2" t="str">
        <v>tengah</v>
      </c>
      <c r="U316" s="2"/>
      <c r="V316" s="2"/>
    </row>
    <row r="317" spans="5:22">
      <c r="E317" s="2" t="str">
        <v>tengah</v>
      </c>
      <c r="F317" s="2"/>
      <c r="G317" s="2"/>
      <c r="J317" s="2" t="str">
        <v>kiri</v>
      </c>
      <c r="K317" s="2"/>
      <c r="L317" s="2"/>
      <c r="O317" s="2" t="str">
        <v>kiri</v>
      </c>
      <c r="P317" s="2"/>
      <c r="Q317" s="2"/>
      <c r="T317" s="2" t="str">
        <v>kanan</v>
      </c>
      <c r="U317" s="2"/>
      <c r="V317" s="2"/>
    </row>
    <row r="318" spans="5:22">
      <c r="E318" s="2" t="str">
        <v>tengah</v>
      </c>
      <c r="F318" s="2"/>
      <c r="G318" s="2"/>
      <c r="J318" s="2" t="str">
        <v>tengah</v>
      </c>
      <c r="K318" s="2"/>
      <c r="L318" s="2"/>
      <c r="O318" s="2" t="str">
        <v>tengah</v>
      </c>
      <c r="P318" s="2"/>
      <c r="Q318" s="2"/>
      <c r="T318" s="2" t="str">
        <v>kanan</v>
      </c>
      <c r="U318" s="2"/>
      <c r="V318" s="2"/>
    </row>
    <row r="319" spans="5:22">
      <c r="E319" s="2" t="str">
        <v>tengah</v>
      </c>
      <c r="F319" s="2"/>
      <c r="G319" s="2"/>
      <c r="J319" s="2" t="str">
        <v>tengah</v>
      </c>
      <c r="K319" s="2"/>
      <c r="L319" s="2"/>
      <c r="O319" s="2" t="str">
        <v>tengah</v>
      </c>
      <c r="P319" s="2"/>
      <c r="Q319" s="2"/>
      <c r="T319" s="2" t="str">
        <v>kanan</v>
      </c>
      <c r="U319" s="2"/>
      <c r="V319" s="2"/>
    </row>
    <row r="320" spans="5:22">
      <c r="E320" s="2" t="str">
        <v>tengah</v>
      </c>
      <c r="F320" s="2"/>
      <c r="G320" s="2"/>
      <c r="J320" s="2" t="str">
        <v>tengah</v>
      </c>
      <c r="K320" s="2"/>
      <c r="L320" s="2"/>
      <c r="O320" s="2" t="str">
        <v>kanan</v>
      </c>
      <c r="P320" s="2"/>
      <c r="Q320" s="2"/>
      <c r="T320" s="2" t="str">
        <v>kanan</v>
      </c>
      <c r="U320" s="2"/>
      <c r="V320" s="2"/>
    </row>
    <row r="321" spans="5:22">
      <c r="E321" s="2" t="str">
        <v>tengah</v>
      </c>
      <c r="F321" s="2"/>
      <c r="G321" s="2"/>
      <c r="J321" s="2" t="str">
        <v>kanan</v>
      </c>
      <c r="K321" s="2"/>
      <c r="L321" s="2"/>
      <c r="O321" s="2" t="str">
        <v>tengah</v>
      </c>
      <c r="P321" s="2"/>
      <c r="Q321" s="2"/>
      <c r="T321" s="2" t="str">
        <v>kanan</v>
      </c>
      <c r="U321" s="2"/>
      <c r="V321" s="2"/>
    </row>
    <row r="322" spans="5:22">
      <c r="E322" s="2" t="str">
        <v>tengah</v>
      </c>
      <c r="F322" s="2"/>
      <c r="G322" s="2"/>
      <c r="J322" s="2" t="str">
        <v>tengah</v>
      </c>
      <c r="K322" s="2"/>
      <c r="L322" s="2"/>
      <c r="O322" s="2" t="str">
        <v>kanan</v>
      </c>
      <c r="P322" s="2"/>
      <c r="Q322" s="2"/>
      <c r="T322" s="2" t="str">
        <v>kanan</v>
      </c>
      <c r="U322" s="2"/>
      <c r="V322" s="2"/>
    </row>
    <row r="323" spans="5:22">
      <c r="E323" s="2" t="str">
        <v>tengah</v>
      </c>
      <c r="F323" s="2"/>
      <c r="G323" s="2"/>
      <c r="J323" s="2" t="str">
        <v>tengah</v>
      </c>
      <c r="K323" s="2"/>
      <c r="L323" s="2"/>
      <c r="O323" s="2" t="str">
        <v>tengah</v>
      </c>
      <c r="P323" s="2"/>
      <c r="Q323" s="2"/>
      <c r="T323" s="2" t="str">
        <v>kanan</v>
      </c>
      <c r="U323" s="2"/>
      <c r="V323" s="2"/>
    </row>
    <row r="324" spans="5:22">
      <c r="E324" s="2" t="str">
        <v>kanan</v>
      </c>
      <c r="F324" s="2"/>
      <c r="G324" s="2"/>
      <c r="J324" s="2" t="str">
        <v>tengah</v>
      </c>
      <c r="K324" s="2"/>
      <c r="L324" s="2"/>
      <c r="O324" s="2" t="str">
        <v>tengah</v>
      </c>
      <c r="P324" s="2"/>
      <c r="Q324" s="2"/>
      <c r="T324" s="2" t="str">
        <v>tengah</v>
      </c>
      <c r="U324" s="2"/>
      <c r="V324" s="2"/>
    </row>
    <row r="325" spans="5:22">
      <c r="E325" s="2" t="str">
        <v>tengah</v>
      </c>
      <c r="F325" s="2"/>
      <c r="G325" s="2"/>
      <c r="J325" s="2" t="str">
        <v>tengah</v>
      </c>
      <c r="K325" s="2"/>
      <c r="L325" s="2"/>
      <c r="O325" s="2" t="str">
        <v>tengah</v>
      </c>
      <c r="P325" s="2"/>
      <c r="Q325" s="2"/>
      <c r="T325" s="2" t="str">
        <v>tengah</v>
      </c>
      <c r="U325" s="2"/>
      <c r="V325" s="2"/>
    </row>
    <row r="326" spans="5:22">
      <c r="E326" s="2" t="str">
        <v>kanan</v>
      </c>
      <c r="F326" s="2"/>
      <c r="G326" s="2"/>
      <c r="J326" s="2" t="str">
        <v>tengah</v>
      </c>
      <c r="K326" s="2"/>
      <c r="L326" s="2"/>
      <c r="O326" s="2" t="str">
        <v>tengah</v>
      </c>
      <c r="P326" s="2"/>
      <c r="Q326" s="2"/>
      <c r="T326" s="2" t="str">
        <v>tengah</v>
      </c>
      <c r="U326" s="2"/>
      <c r="V326" s="2"/>
    </row>
    <row r="327" spans="5:22">
      <c r="E327" s="2" t="str">
        <v>kanan</v>
      </c>
      <c r="F327" s="2"/>
      <c r="G327" s="2"/>
      <c r="J327" s="2" t="str">
        <v>kanan</v>
      </c>
      <c r="K327" s="2"/>
      <c r="L327" s="2"/>
      <c r="O327" s="2" t="str">
        <v>tengah</v>
      </c>
      <c r="P327" s="2"/>
      <c r="Q327" s="2"/>
      <c r="T327" s="2" t="str">
        <v>kanan</v>
      </c>
      <c r="U327" s="2"/>
      <c r="V327" s="2"/>
    </row>
    <row r="328" spans="5:22">
      <c r="E328" s="2" t="str">
        <v>tengah</v>
      </c>
      <c r="F328" s="2"/>
      <c r="G328" s="2"/>
      <c r="J328" s="2" t="str">
        <v>tengah</v>
      </c>
      <c r="K328" s="2"/>
      <c r="L328" s="2"/>
      <c r="O328" s="2" t="str">
        <v>kanan</v>
      </c>
      <c r="P328" s="2"/>
      <c r="Q328" s="2"/>
      <c r="T328" s="2" t="str">
        <v>kanan</v>
      </c>
      <c r="U328" s="2"/>
      <c r="V328" s="2"/>
    </row>
    <row r="329" spans="5:22">
      <c r="E329" s="2" t="str">
        <v>kanan</v>
      </c>
      <c r="F329" s="2"/>
      <c r="G329" s="2"/>
      <c r="J329" s="2" t="str">
        <v>tengah</v>
      </c>
      <c r="K329" s="2"/>
      <c r="L329" s="2"/>
      <c r="O329" s="2" t="str">
        <v>tengah</v>
      </c>
      <c r="P329" s="2"/>
      <c r="Q329" s="2"/>
      <c r="T329" s="2" t="str">
        <v>tengah</v>
      </c>
      <c r="U329" s="2"/>
      <c r="V329" s="2"/>
    </row>
    <row r="330" spans="5:22">
      <c r="E330" s="2" t="str">
        <v>tengah</v>
      </c>
      <c r="F330" s="2"/>
      <c r="G330" s="2"/>
      <c r="J330" s="2" t="str">
        <v>kiri</v>
      </c>
      <c r="K330" s="2"/>
      <c r="L330" s="2"/>
      <c r="O330" s="2" t="str">
        <v>kanan</v>
      </c>
      <c r="P330" s="2"/>
      <c r="Q330" s="2"/>
      <c r="T330" s="2" t="str">
        <v>tengah</v>
      </c>
      <c r="U330" s="2"/>
      <c r="V330" s="2"/>
    </row>
    <row r="331" spans="5:22">
      <c r="E331" s="2" t="str">
        <v>tengah</v>
      </c>
      <c r="F331" s="2"/>
      <c r="G331" s="2"/>
      <c r="J331" s="2" t="str">
        <v>tengah</v>
      </c>
      <c r="K331" s="2"/>
      <c r="L331" s="2"/>
      <c r="O331" s="2" t="str">
        <v>tengah</v>
      </c>
      <c r="P331" s="2"/>
      <c r="Q331" s="2"/>
      <c r="T331" s="2" t="str">
        <v>tengah</v>
      </c>
      <c r="U331" s="2"/>
      <c r="V331" s="2"/>
    </row>
    <row r="332" spans="5:22">
      <c r="E332" s="2" t="str">
        <v>kiri</v>
      </c>
      <c r="F332" s="2"/>
      <c r="G332" s="2"/>
      <c r="J332" s="2" t="str">
        <v>kiri</v>
      </c>
      <c r="K332" s="2"/>
      <c r="L332" s="2"/>
      <c r="O332" s="2" t="str">
        <v>tengah</v>
      </c>
      <c r="P332" s="2"/>
      <c r="Q332" s="2"/>
      <c r="T332" s="2" t="str">
        <v>kanan</v>
      </c>
      <c r="U332" s="2"/>
      <c r="V332" s="2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D9846-708A-4054-BBF0-65F7F60C1AB7}">
  <dimension ref="A1:V332"/>
  <sheetViews>
    <sheetView topLeftCell="G40" zoomScale="112" zoomScaleNormal="112" workbookViewId="0">
      <selection activeCell="S151" sqref="S151"/>
    </sheetView>
  </sheetViews>
  <sheetFormatPr defaultRowHeight="15"/>
  <cols>
    <col min="1" max="2" width="9.140625" style="18"/>
    <col min="3" max="3" width="15.85546875" style="18" bestFit="1" customWidth="1"/>
    <col min="4" max="4" width="13.28515625" style="18" bestFit="1" customWidth="1"/>
    <col min="5" max="5" width="15.5703125" style="18" customWidth="1"/>
    <col min="6" max="6" width="13.140625" style="18" customWidth="1"/>
    <col min="7" max="9" width="9.140625" style="18"/>
    <col min="10" max="10" width="17" style="18" customWidth="1"/>
    <col min="11" max="11" width="13.28515625" style="18" bestFit="1" customWidth="1"/>
    <col min="12" max="12" width="13.85546875" style="18" bestFit="1" customWidth="1"/>
    <col min="13" max="14" width="9.140625" style="18"/>
    <col min="15" max="15" width="16.140625" style="18" bestFit="1" customWidth="1"/>
    <col min="16" max="18" width="9.140625" style="18"/>
    <col min="19" max="19" width="6.42578125" style="18" customWidth="1"/>
    <col min="20" max="20" width="14.28515625" style="18" bestFit="1" customWidth="1"/>
    <col min="21" max="16384" width="9.140625" style="18"/>
  </cols>
  <sheetData>
    <row r="1" spans="1:17">
      <c r="A1" s="26" t="s">
        <v>171</v>
      </c>
      <c r="B1" s="26" t="s">
        <v>1</v>
      </c>
      <c r="C1" s="26" t="s">
        <v>2</v>
      </c>
      <c r="D1" s="26" t="s">
        <v>4</v>
      </c>
      <c r="E1" s="26" t="s">
        <v>5</v>
      </c>
      <c r="H1" s="27" t="s">
        <v>171</v>
      </c>
      <c r="I1" s="27" t="s">
        <v>1</v>
      </c>
      <c r="J1" s="27" t="s">
        <v>2</v>
      </c>
      <c r="K1" s="27" t="s">
        <v>4</v>
      </c>
      <c r="L1" s="27" t="s">
        <v>5</v>
      </c>
      <c r="O1" s="26" t="s">
        <v>173</v>
      </c>
      <c r="P1" s="25"/>
      <c r="Q1" s="25"/>
    </row>
    <row r="2" spans="1:17">
      <c r="A2" s="19">
        <f t="shared" ref="A2:A33" ca="1" si="0">RANDBETWEEN(2,164)</f>
        <v>126</v>
      </c>
      <c r="B2" s="19" cm="1">
        <f t="array" aca="1" ref="B2" ca="1">INDEX([1]Data_DBD!$B:$B,$A2)</f>
        <v>51</v>
      </c>
      <c r="C2" s="19" cm="1">
        <f t="array" aca="1" ref="C2" ca="1">INDEX([1]Data_DBD!$C:$C,$A2)</f>
        <v>3</v>
      </c>
      <c r="D2" s="19" cm="1">
        <f t="array" aca="1" ref="D2" ca="1">INDEX([1]Data_DBD!$E:$E,$A2)</f>
        <v>1</v>
      </c>
      <c r="E2" s="19" t="str" cm="1">
        <f t="array" aca="1" ref="E2" ca="1">INDEX([1]Data_DBD!$F:$F,$A2)</f>
        <v>Tinggi</v>
      </c>
      <c r="H2" s="23">
        <v>42</v>
      </c>
      <c r="I2" s="23">
        <v>21</v>
      </c>
      <c r="J2" s="23">
        <v>5</v>
      </c>
      <c r="K2" s="23">
        <v>1</v>
      </c>
      <c r="L2" s="23" t="s">
        <v>7</v>
      </c>
      <c r="O2" s="25" t="s">
        <v>97</v>
      </c>
      <c r="P2" s="25">
        <f>COUNTIF(L2:L164,"Tinggi")</f>
        <v>74</v>
      </c>
      <c r="Q2" s="25">
        <f>P2/163</f>
        <v>0.45398773006134968</v>
      </c>
    </row>
    <row r="3" spans="1:17">
      <c r="A3" s="19">
        <f t="shared" ca="1" si="0"/>
        <v>122</v>
      </c>
      <c r="B3" s="19" cm="1">
        <f t="array" aca="1" ref="B3" ca="1">INDEX([1]Data_DBD!$B:$B,$A3)</f>
        <v>28</v>
      </c>
      <c r="C3" s="19" cm="1">
        <f t="array" aca="1" ref="C3" ca="1">INDEX([1]Data_DBD!$C:$C,$A3)</f>
        <v>3</v>
      </c>
      <c r="D3" s="19" cm="1">
        <f t="array" aca="1" ref="D3" ca="1">INDEX([1]Data_DBD!$E:$E,$A3)</f>
        <v>1</v>
      </c>
      <c r="E3" s="19" t="str" cm="1">
        <f t="array" aca="1" ref="E3" ca="1">INDEX([1]Data_DBD!$F:$F,$A3)</f>
        <v>Tinggi</v>
      </c>
      <c r="H3" s="23">
        <v>30</v>
      </c>
      <c r="I3" s="23">
        <v>3</v>
      </c>
      <c r="J3" s="23">
        <v>2</v>
      </c>
      <c r="K3" s="23">
        <v>1</v>
      </c>
      <c r="L3" s="23" t="s">
        <v>7</v>
      </c>
      <c r="O3" s="25" t="s">
        <v>7</v>
      </c>
      <c r="P3" s="25">
        <f>COUNTIF(L2:L164,"Sedang")</f>
        <v>74</v>
      </c>
      <c r="Q3" s="25">
        <f>P3/163</f>
        <v>0.45398773006134968</v>
      </c>
    </row>
    <row r="4" spans="1:17">
      <c r="A4" s="19">
        <f t="shared" ca="1" si="0"/>
        <v>111</v>
      </c>
      <c r="B4" s="19" cm="1">
        <f t="array" aca="1" ref="B4" ca="1">INDEX([1]Data_DBD!$B:$B,$A4)</f>
        <v>25</v>
      </c>
      <c r="C4" s="19" cm="1">
        <f t="array" aca="1" ref="C4" ca="1">INDEX([1]Data_DBD!$C:$C,$A4)</f>
        <v>4</v>
      </c>
      <c r="D4" s="19" cm="1">
        <f t="array" aca="1" ref="D4" ca="1">INDEX([1]Data_DBD!$E:$E,$A4)</f>
        <v>0</v>
      </c>
      <c r="E4" s="19" t="str" cm="1">
        <f t="array" aca="1" ref="E4" ca="1">INDEX([1]Data_DBD!$F:$F,$A4)</f>
        <v>Tinggi</v>
      </c>
      <c r="H4" s="23">
        <v>139</v>
      </c>
      <c r="I4" s="23">
        <v>52</v>
      </c>
      <c r="J4" s="23">
        <v>7</v>
      </c>
      <c r="K4" s="23">
        <v>0</v>
      </c>
      <c r="L4" s="23" t="s">
        <v>97</v>
      </c>
      <c r="O4" s="25" t="s">
        <v>20</v>
      </c>
      <c r="P4" s="25">
        <f>COUNTIF(L2:L164,"Rendah")</f>
        <v>15</v>
      </c>
      <c r="Q4" s="25">
        <f>P4/163</f>
        <v>9.202453987730061E-2</v>
      </c>
    </row>
    <row r="5" spans="1:17">
      <c r="A5" s="19">
        <f t="shared" ca="1" si="0"/>
        <v>128</v>
      </c>
      <c r="B5" s="19" cm="1">
        <f t="array" aca="1" ref="B5" ca="1">INDEX([1]Data_DBD!$B:$B,$A5)</f>
        <v>38</v>
      </c>
      <c r="C5" s="19" cm="1">
        <f t="array" aca="1" ref="C5" ca="1">INDEX([1]Data_DBD!$C:$C,$A5)</f>
        <v>2</v>
      </c>
      <c r="D5" s="19" cm="1">
        <f t="array" aca="1" ref="D5" ca="1">INDEX([1]Data_DBD!$E:$E,$A5)</f>
        <v>0</v>
      </c>
      <c r="E5" s="19" t="str" cm="1">
        <f t="array" aca="1" ref="E5" ca="1">INDEX([1]Data_DBD!$F:$F,$A5)</f>
        <v>Tinggi</v>
      </c>
      <c r="H5" s="23">
        <v>60</v>
      </c>
      <c r="I5" s="23">
        <v>68</v>
      </c>
      <c r="J5" s="23">
        <v>4</v>
      </c>
      <c r="K5" s="23">
        <v>0</v>
      </c>
      <c r="L5" s="23" t="s">
        <v>7</v>
      </c>
      <c r="O5" s="24" t="s">
        <v>174</v>
      </c>
      <c r="P5" s="18">
        <f>-(IFERROR(Q2*LOG(Q2,2),0)+IFERROR(Q3*LOG(Q3,2),0)+IFERROR(Q4*LOG(Q4,2),0))</f>
        <v>1.3511670680518606</v>
      </c>
    </row>
    <row r="6" spans="1:17">
      <c r="A6" s="19">
        <f t="shared" ca="1" si="0"/>
        <v>7</v>
      </c>
      <c r="B6" s="19" cm="1">
        <f t="array" aca="1" ref="B6" ca="1">INDEX([1]Data_DBD!$B:$B,$A6)</f>
        <v>12</v>
      </c>
      <c r="C6" s="19" cm="1">
        <f t="array" aca="1" ref="C6" ca="1">INDEX([1]Data_DBD!$C:$C,$A6)</f>
        <v>1</v>
      </c>
      <c r="D6" s="19" cm="1">
        <f t="array" aca="1" ref="D6" ca="1">INDEX([1]Data_DBD!$E:$E,$A6)</f>
        <v>1</v>
      </c>
      <c r="E6" s="19" t="str" cm="1">
        <f t="array" aca="1" ref="E6" ca="1">INDEX([1]Data_DBD!$F:$F,$A6)</f>
        <v>Sedang</v>
      </c>
      <c r="H6" s="23">
        <v>76</v>
      </c>
      <c r="I6" s="23">
        <v>70</v>
      </c>
      <c r="J6" s="23">
        <v>2</v>
      </c>
      <c r="K6" s="23">
        <v>0</v>
      </c>
      <c r="L6" s="23" t="s">
        <v>7</v>
      </c>
    </row>
    <row r="7" spans="1:17">
      <c r="A7" s="19">
        <f t="shared" ca="1" si="0"/>
        <v>81</v>
      </c>
      <c r="B7" s="19" cm="1">
        <f t="array" aca="1" ref="B7" ca="1">INDEX([1]Data_DBD!$B:$B,$A7)</f>
        <v>23</v>
      </c>
      <c r="C7" s="19" cm="1">
        <f t="array" aca="1" ref="C7" ca="1">INDEX([1]Data_DBD!$C:$C,$A7)</f>
        <v>5</v>
      </c>
      <c r="D7" s="19" cm="1">
        <f t="array" aca="1" ref="D7" ca="1">INDEX([1]Data_DBD!$E:$E,$A7)</f>
        <v>1</v>
      </c>
      <c r="E7" s="19" t="str" cm="1">
        <f t="array" aca="1" ref="E7" ca="1">INDEX([1]Data_DBD!$F:$F,$A7)</f>
        <v>Sedang</v>
      </c>
      <c r="H7" s="23">
        <v>157</v>
      </c>
      <c r="I7" s="23">
        <v>15</v>
      </c>
      <c r="J7" s="23">
        <v>4</v>
      </c>
      <c r="K7" s="23">
        <v>1</v>
      </c>
      <c r="L7" s="23" t="s">
        <v>97</v>
      </c>
    </row>
    <row r="8" spans="1:17">
      <c r="A8" s="19">
        <f t="shared" ca="1" si="0"/>
        <v>53</v>
      </c>
      <c r="B8" s="19" cm="1">
        <f t="array" aca="1" ref="B8" ca="1">INDEX([1]Data_DBD!$B:$B,$A8)</f>
        <v>35</v>
      </c>
      <c r="C8" s="19" cm="1">
        <f t="array" aca="1" ref="C8" ca="1">INDEX([1]Data_DBD!$C:$C,$A8)</f>
        <v>4</v>
      </c>
      <c r="D8" s="19" cm="1">
        <f t="array" aca="1" ref="D8" ca="1">INDEX([1]Data_DBD!$E:$E,$A8)</f>
        <v>1</v>
      </c>
      <c r="E8" s="19" t="str" cm="1">
        <f t="array" aca="1" ref="E8" ca="1">INDEX([1]Data_DBD!$F:$F,$A8)</f>
        <v>Sedang</v>
      </c>
      <c r="H8" s="23">
        <v>48</v>
      </c>
      <c r="I8" s="23">
        <v>50</v>
      </c>
      <c r="J8" s="23">
        <v>5</v>
      </c>
      <c r="K8" s="23">
        <v>1</v>
      </c>
      <c r="L8" s="23" t="s">
        <v>7</v>
      </c>
    </row>
    <row r="9" spans="1:17">
      <c r="A9" s="19">
        <f t="shared" ca="1" si="0"/>
        <v>31</v>
      </c>
      <c r="B9" s="19" cm="1">
        <f t="array" aca="1" ref="B9" ca="1">INDEX([1]Data_DBD!$B:$B,$A9)</f>
        <v>64</v>
      </c>
      <c r="C9" s="19" cm="1">
        <f t="array" aca="1" ref="C9" ca="1">INDEX([1]Data_DBD!$C:$C,$A9)</f>
        <v>4</v>
      </c>
      <c r="D9" s="19" cm="1">
        <f t="array" aca="1" ref="D9" ca="1">INDEX([1]Data_DBD!$E:$E,$A9)</f>
        <v>1</v>
      </c>
      <c r="E9" s="19" t="str" cm="1">
        <f t="array" aca="1" ref="E9" ca="1">INDEX([1]Data_DBD!$F:$F,$A9)</f>
        <v>Sedang</v>
      </c>
      <c r="H9" s="23">
        <v>60</v>
      </c>
      <c r="I9" s="23">
        <v>68</v>
      </c>
      <c r="J9" s="23">
        <v>4</v>
      </c>
      <c r="K9" s="23">
        <v>0</v>
      </c>
      <c r="L9" s="23" t="s">
        <v>7</v>
      </c>
    </row>
    <row r="10" spans="1:17">
      <c r="A10" s="19">
        <f t="shared" ca="1" si="0"/>
        <v>70</v>
      </c>
      <c r="B10" s="19" cm="1">
        <f t="array" aca="1" ref="B10" ca="1">INDEX([1]Data_DBD!$B:$B,$A10)</f>
        <v>26</v>
      </c>
      <c r="C10" s="19" cm="1">
        <f t="array" aca="1" ref="C10" ca="1">INDEX([1]Data_DBD!$C:$C,$A10)</f>
        <v>3</v>
      </c>
      <c r="D10" s="19" cm="1">
        <f t="array" aca="1" ref="D10" ca="1">INDEX([1]Data_DBD!$E:$E,$A10)</f>
        <v>1</v>
      </c>
      <c r="E10" s="19" t="str" cm="1">
        <f t="array" aca="1" ref="E10" ca="1">INDEX([1]Data_DBD!$F:$F,$A10)</f>
        <v>Sedang</v>
      </c>
      <c r="H10" s="23">
        <v>8</v>
      </c>
      <c r="I10" s="23">
        <v>4</v>
      </c>
      <c r="J10" s="23">
        <v>2</v>
      </c>
      <c r="K10" s="23">
        <v>0</v>
      </c>
      <c r="L10" s="23" t="s">
        <v>7</v>
      </c>
    </row>
    <row r="11" spans="1:17">
      <c r="A11" s="19">
        <f t="shared" ca="1" si="0"/>
        <v>16</v>
      </c>
      <c r="B11" s="19" cm="1">
        <f t="array" aca="1" ref="B11" ca="1">INDEX([1]Data_DBD!$B:$B,$A11)</f>
        <v>66</v>
      </c>
      <c r="C11" s="19" cm="1">
        <f t="array" aca="1" ref="C11" ca="1">INDEX([1]Data_DBD!$C:$C,$A11)</f>
        <v>5</v>
      </c>
      <c r="D11" s="19" cm="1">
        <f t="array" aca="1" ref="D11" ca="1">INDEX([1]Data_DBD!$E:$E,$A11)</f>
        <v>1</v>
      </c>
      <c r="E11" s="19" t="str" cm="1">
        <f t="array" aca="1" ref="E11" ca="1">INDEX([1]Data_DBD!$F:$F,$A11)</f>
        <v>Rendah</v>
      </c>
      <c r="H11" s="23">
        <v>149</v>
      </c>
      <c r="I11" s="23">
        <v>19</v>
      </c>
      <c r="J11" s="23">
        <v>5</v>
      </c>
      <c r="K11" s="23">
        <v>0</v>
      </c>
      <c r="L11" s="23" t="s">
        <v>97</v>
      </c>
    </row>
    <row r="12" spans="1:17">
      <c r="A12" s="19">
        <f t="shared" ca="1" si="0"/>
        <v>105</v>
      </c>
      <c r="B12" s="19" cm="1">
        <f t="array" aca="1" ref="B12" ca="1">INDEX([1]Data_DBD!$B:$B,$A12)</f>
        <v>61</v>
      </c>
      <c r="C12" s="19" cm="1">
        <f t="array" aca="1" ref="C12" ca="1">INDEX([1]Data_DBD!$C:$C,$A12)</f>
        <v>3</v>
      </c>
      <c r="D12" s="19" cm="1">
        <f t="array" aca="1" ref="D12" ca="1">INDEX([1]Data_DBD!$E:$E,$A12)</f>
        <v>1</v>
      </c>
      <c r="E12" s="19" t="str" cm="1">
        <f t="array" aca="1" ref="E12" ca="1">INDEX([1]Data_DBD!$F:$F,$A12)</f>
        <v>Tinggi</v>
      </c>
      <c r="H12" s="23">
        <v>141</v>
      </c>
      <c r="I12" s="23">
        <v>36</v>
      </c>
      <c r="J12" s="23">
        <v>2</v>
      </c>
      <c r="K12" s="23">
        <v>0</v>
      </c>
      <c r="L12" s="23" t="s">
        <v>97</v>
      </c>
    </row>
    <row r="13" spans="1:17">
      <c r="A13" s="19">
        <f t="shared" ca="1" si="0"/>
        <v>140</v>
      </c>
      <c r="B13" s="19" cm="1">
        <f t="array" aca="1" ref="B13" ca="1">INDEX([1]Data_DBD!$B:$B,$A13)</f>
        <v>74</v>
      </c>
      <c r="C13" s="19" cm="1">
        <f t="array" aca="1" ref="C13" ca="1">INDEX([1]Data_DBD!$C:$C,$A13)</f>
        <v>5</v>
      </c>
      <c r="D13" s="19" cm="1">
        <f t="array" aca="1" ref="D13" ca="1">INDEX([1]Data_DBD!$E:$E,$A13)</f>
        <v>1</v>
      </c>
      <c r="E13" s="19" t="str" cm="1">
        <f t="array" aca="1" ref="E13" ca="1">INDEX([1]Data_DBD!$F:$F,$A13)</f>
        <v>Tinggi</v>
      </c>
      <c r="H13" s="23">
        <v>6</v>
      </c>
      <c r="I13" s="23">
        <v>14</v>
      </c>
      <c r="J13" s="23">
        <v>4</v>
      </c>
      <c r="K13" s="23">
        <v>0</v>
      </c>
      <c r="L13" s="23" t="s">
        <v>7</v>
      </c>
    </row>
    <row r="14" spans="1:17">
      <c r="A14" s="19">
        <f t="shared" ca="1" si="0"/>
        <v>123</v>
      </c>
      <c r="B14" s="19" cm="1">
        <f t="array" aca="1" ref="B14" ca="1">INDEX([1]Data_DBD!$B:$B,$A14)</f>
        <v>22</v>
      </c>
      <c r="C14" s="19" cm="1">
        <f t="array" aca="1" ref="C14" ca="1">INDEX([1]Data_DBD!$C:$C,$A14)</f>
        <v>4</v>
      </c>
      <c r="D14" s="19" cm="1">
        <f t="array" aca="1" ref="D14" ca="1">INDEX([1]Data_DBD!$E:$E,$A14)</f>
        <v>0</v>
      </c>
      <c r="E14" s="19" t="str" cm="1">
        <f t="array" aca="1" ref="E14" ca="1">INDEX([1]Data_DBD!$F:$F,$A14)</f>
        <v>Tinggi</v>
      </c>
      <c r="H14" s="23">
        <v>39</v>
      </c>
      <c r="I14" s="23">
        <v>12</v>
      </c>
      <c r="J14" s="23">
        <v>5</v>
      </c>
      <c r="K14" s="23">
        <v>1</v>
      </c>
      <c r="L14" s="23" t="s">
        <v>7</v>
      </c>
    </row>
    <row r="15" spans="1:17">
      <c r="A15" s="19">
        <f t="shared" ca="1" si="0"/>
        <v>7</v>
      </c>
      <c r="B15" s="19" cm="1">
        <f t="array" aca="1" ref="B15" ca="1">INDEX([1]Data_DBD!$B:$B,$A15)</f>
        <v>12</v>
      </c>
      <c r="C15" s="19" cm="1">
        <f t="array" aca="1" ref="C15" ca="1">INDEX([1]Data_DBD!$C:$C,$A15)</f>
        <v>1</v>
      </c>
      <c r="D15" s="19" cm="1">
        <f t="array" aca="1" ref="D15" ca="1">INDEX([1]Data_DBD!$E:$E,$A15)</f>
        <v>1</v>
      </c>
      <c r="E15" s="19" t="str" cm="1">
        <f t="array" aca="1" ref="E15" ca="1">INDEX([1]Data_DBD!$F:$F,$A15)</f>
        <v>Sedang</v>
      </c>
      <c r="H15" s="23">
        <v>54</v>
      </c>
      <c r="I15" s="23">
        <v>7</v>
      </c>
      <c r="J15" s="23">
        <v>3</v>
      </c>
      <c r="K15" s="23">
        <v>0</v>
      </c>
      <c r="L15" s="23" t="s">
        <v>7</v>
      </c>
    </row>
    <row r="16" spans="1:17">
      <c r="A16" s="19">
        <f t="shared" ca="1" si="0"/>
        <v>73</v>
      </c>
      <c r="B16" s="19" cm="1">
        <f t="array" aca="1" ref="B16" ca="1">INDEX([1]Data_DBD!$B:$B,$A16)</f>
        <v>15</v>
      </c>
      <c r="C16" s="19" cm="1">
        <f t="array" aca="1" ref="C16" ca="1">INDEX([1]Data_DBD!$C:$C,$A16)</f>
        <v>3</v>
      </c>
      <c r="D16" s="19" cm="1">
        <f t="array" aca="1" ref="D16" ca="1">INDEX([1]Data_DBD!$E:$E,$A16)</f>
        <v>1</v>
      </c>
      <c r="E16" s="19" t="str" cm="1">
        <f t="array" aca="1" ref="E16" ca="1">INDEX([1]Data_DBD!$F:$F,$A16)</f>
        <v>Sedang</v>
      </c>
      <c r="H16" s="23">
        <v>8</v>
      </c>
      <c r="I16" s="23">
        <v>4</v>
      </c>
      <c r="J16" s="23">
        <v>2</v>
      </c>
      <c r="K16" s="23">
        <v>0</v>
      </c>
      <c r="L16" s="23" t="s">
        <v>7</v>
      </c>
    </row>
    <row r="17" spans="1:12">
      <c r="A17" s="19">
        <f t="shared" ca="1" si="0"/>
        <v>21</v>
      </c>
      <c r="B17" s="19" cm="1">
        <f t="array" aca="1" ref="B17" ca="1">INDEX([1]Data_DBD!$B:$B,$A17)</f>
        <v>10</v>
      </c>
      <c r="C17" s="19" cm="1">
        <f t="array" aca="1" ref="C17" ca="1">INDEX([1]Data_DBD!$C:$C,$A17)</f>
        <v>5</v>
      </c>
      <c r="D17" s="19" cm="1">
        <f t="array" aca="1" ref="D17" ca="1">INDEX([1]Data_DBD!$E:$E,$A17)</f>
        <v>1</v>
      </c>
      <c r="E17" s="19" t="str" cm="1">
        <f t="array" aca="1" ref="E17" ca="1">INDEX([1]Data_DBD!$F:$F,$A17)</f>
        <v>Sedang</v>
      </c>
      <c r="H17" s="23">
        <v>44</v>
      </c>
      <c r="I17" s="23">
        <v>28</v>
      </c>
      <c r="J17" s="23">
        <v>5</v>
      </c>
      <c r="K17" s="23">
        <v>1</v>
      </c>
      <c r="L17" s="23" t="s">
        <v>7</v>
      </c>
    </row>
    <row r="18" spans="1:12">
      <c r="A18" s="19">
        <f t="shared" ca="1" si="0"/>
        <v>120</v>
      </c>
      <c r="B18" s="19" cm="1">
        <f t="array" aca="1" ref="B18" ca="1">INDEX([1]Data_DBD!$B:$B,$A18)</f>
        <v>26</v>
      </c>
      <c r="C18" s="19" cm="1">
        <f t="array" aca="1" ref="C18" ca="1">INDEX([1]Data_DBD!$C:$C,$A18)</f>
        <v>4</v>
      </c>
      <c r="D18" s="19" cm="1">
        <f t="array" aca="1" ref="D18" ca="1">INDEX([1]Data_DBD!$E:$E,$A18)</f>
        <v>1</v>
      </c>
      <c r="E18" s="19" t="str" cm="1">
        <f t="array" aca="1" ref="E18" ca="1">INDEX([1]Data_DBD!$F:$F,$A18)</f>
        <v>Tinggi</v>
      </c>
      <c r="H18" s="23">
        <v>40</v>
      </c>
      <c r="I18" s="23">
        <v>65</v>
      </c>
      <c r="J18" s="23">
        <v>3</v>
      </c>
      <c r="K18" s="23">
        <v>1</v>
      </c>
      <c r="L18" s="23" t="s">
        <v>7</v>
      </c>
    </row>
    <row r="19" spans="1:12">
      <c r="A19" s="19">
        <f t="shared" ca="1" si="0"/>
        <v>88</v>
      </c>
      <c r="B19" s="19" cm="1">
        <f t="array" aca="1" ref="B19" ca="1">INDEX([1]Data_DBD!$B:$B,$A19)</f>
        <v>20</v>
      </c>
      <c r="C19" s="19" cm="1">
        <f t="array" aca="1" ref="C19" ca="1">INDEX([1]Data_DBD!$C:$C,$A19)</f>
        <v>4</v>
      </c>
      <c r="D19" s="19" cm="1">
        <f t="array" aca="1" ref="D19" ca="1">INDEX([1]Data_DBD!$E:$E,$A19)</f>
        <v>1</v>
      </c>
      <c r="E19" s="19" t="str" cm="1">
        <f t="array" aca="1" ref="E19" ca="1">INDEX([1]Data_DBD!$F:$F,$A19)</f>
        <v>Sedang</v>
      </c>
      <c r="H19" s="23">
        <v>93</v>
      </c>
      <c r="I19" s="23">
        <v>65</v>
      </c>
      <c r="J19" s="23">
        <v>4</v>
      </c>
      <c r="K19" s="23">
        <v>0</v>
      </c>
      <c r="L19" s="23" t="s">
        <v>97</v>
      </c>
    </row>
    <row r="20" spans="1:12">
      <c r="A20" s="19">
        <f t="shared" ca="1" si="0"/>
        <v>60</v>
      </c>
      <c r="B20" s="19" cm="1">
        <f t="array" aca="1" ref="B20" ca="1">INDEX([1]Data_DBD!$B:$B,$A20)</f>
        <v>68</v>
      </c>
      <c r="C20" s="19" cm="1">
        <f t="array" aca="1" ref="C20" ca="1">INDEX([1]Data_DBD!$C:$C,$A20)</f>
        <v>4</v>
      </c>
      <c r="D20" s="19" cm="1">
        <f t="array" aca="1" ref="D20" ca="1">INDEX([1]Data_DBD!$E:$E,$A20)</f>
        <v>0</v>
      </c>
      <c r="E20" s="19" t="str" cm="1">
        <f t="array" aca="1" ref="E20" ca="1">INDEX([1]Data_DBD!$F:$F,$A20)</f>
        <v>Sedang</v>
      </c>
      <c r="H20" s="23">
        <v>129</v>
      </c>
      <c r="I20" s="23">
        <v>4</v>
      </c>
      <c r="J20" s="23">
        <v>3</v>
      </c>
      <c r="K20" s="23">
        <v>0</v>
      </c>
      <c r="L20" s="23" t="s">
        <v>97</v>
      </c>
    </row>
    <row r="21" spans="1:12">
      <c r="A21" s="19">
        <f t="shared" ca="1" si="0"/>
        <v>101</v>
      </c>
      <c r="B21" s="19" cm="1">
        <f t="array" aca="1" ref="B21" ca="1">INDEX([1]Data_DBD!$B:$B,$A21)</f>
        <v>42</v>
      </c>
      <c r="C21" s="19" cm="1">
        <f t="array" aca="1" ref="C21" ca="1">INDEX([1]Data_DBD!$C:$C,$A21)</f>
        <v>5</v>
      </c>
      <c r="D21" s="19" cm="1">
        <f t="array" aca="1" ref="D21" ca="1">INDEX([1]Data_DBD!$E:$E,$A21)</f>
        <v>0</v>
      </c>
      <c r="E21" s="19" t="str" cm="1">
        <f t="array" aca="1" ref="E21" ca="1">INDEX([1]Data_DBD!$F:$F,$A21)</f>
        <v>Tinggi</v>
      </c>
      <c r="H21" s="23">
        <v>162</v>
      </c>
      <c r="I21" s="23">
        <v>22</v>
      </c>
      <c r="J21" s="23">
        <v>3</v>
      </c>
      <c r="K21" s="23">
        <v>1</v>
      </c>
      <c r="L21" s="23" t="s">
        <v>20</v>
      </c>
    </row>
    <row r="22" spans="1:12">
      <c r="A22" s="19">
        <f t="shared" ca="1" si="0"/>
        <v>21</v>
      </c>
      <c r="B22" s="19" cm="1">
        <f t="array" aca="1" ref="B22" ca="1">INDEX([1]Data_DBD!$B:$B,$A22)</f>
        <v>10</v>
      </c>
      <c r="C22" s="19" cm="1">
        <f t="array" aca="1" ref="C22" ca="1">INDEX([1]Data_DBD!$C:$C,$A22)</f>
        <v>5</v>
      </c>
      <c r="D22" s="19" cm="1">
        <f t="array" aca="1" ref="D22" ca="1">INDEX([1]Data_DBD!$E:$E,$A22)</f>
        <v>1</v>
      </c>
      <c r="E22" s="19" t="str" cm="1">
        <f t="array" aca="1" ref="E22" ca="1">INDEX([1]Data_DBD!$F:$F,$A22)</f>
        <v>Sedang</v>
      </c>
      <c r="H22" s="23">
        <v>58</v>
      </c>
      <c r="I22" s="23">
        <v>17</v>
      </c>
      <c r="J22" s="23">
        <v>3</v>
      </c>
      <c r="K22" s="23">
        <v>0</v>
      </c>
      <c r="L22" s="23" t="s">
        <v>7</v>
      </c>
    </row>
    <row r="23" spans="1:12">
      <c r="A23" s="19">
        <f t="shared" ca="1" si="0"/>
        <v>129</v>
      </c>
      <c r="B23" s="19" cm="1">
        <f t="array" aca="1" ref="B23" ca="1">INDEX([1]Data_DBD!$B:$B,$A23)</f>
        <v>4</v>
      </c>
      <c r="C23" s="19" cm="1">
        <f t="array" aca="1" ref="C23" ca="1">INDEX([1]Data_DBD!$C:$C,$A23)</f>
        <v>3</v>
      </c>
      <c r="D23" s="19" cm="1">
        <f t="array" aca="1" ref="D23" ca="1">INDEX([1]Data_DBD!$E:$E,$A23)</f>
        <v>0</v>
      </c>
      <c r="E23" s="19" t="str" cm="1">
        <f t="array" aca="1" ref="E23" ca="1">INDEX([1]Data_DBD!$F:$F,$A23)</f>
        <v>Tinggi</v>
      </c>
      <c r="H23" s="23">
        <v>39</v>
      </c>
      <c r="I23" s="23">
        <v>12</v>
      </c>
      <c r="J23" s="23">
        <v>5</v>
      </c>
      <c r="K23" s="23">
        <v>1</v>
      </c>
      <c r="L23" s="23" t="s">
        <v>7</v>
      </c>
    </row>
    <row r="24" spans="1:12">
      <c r="A24" s="19">
        <f t="shared" ca="1" si="0"/>
        <v>89</v>
      </c>
      <c r="B24" s="19" cm="1">
        <f t="array" aca="1" ref="B24" ca="1">INDEX([1]Data_DBD!$B:$B,$A24)</f>
        <v>32</v>
      </c>
      <c r="C24" s="19" cm="1">
        <f t="array" aca="1" ref="C24" ca="1">INDEX([1]Data_DBD!$C:$C,$A24)</f>
        <v>4</v>
      </c>
      <c r="D24" s="19" cm="1">
        <f t="array" aca="1" ref="D24" ca="1">INDEX([1]Data_DBD!$E:$E,$A24)</f>
        <v>0</v>
      </c>
      <c r="E24" s="19" t="str" cm="1">
        <f t="array" aca="1" ref="E24" ca="1">INDEX([1]Data_DBD!$F:$F,$A24)</f>
        <v>Sedang</v>
      </c>
      <c r="H24" s="23">
        <v>6</v>
      </c>
      <c r="I24" s="23">
        <v>14</v>
      </c>
      <c r="J24" s="23">
        <v>4</v>
      </c>
      <c r="K24" s="23">
        <v>0</v>
      </c>
      <c r="L24" s="23" t="s">
        <v>7</v>
      </c>
    </row>
    <row r="25" spans="1:12">
      <c r="A25" s="19">
        <f t="shared" ca="1" si="0"/>
        <v>110</v>
      </c>
      <c r="B25" s="19" cm="1">
        <f t="array" aca="1" ref="B25" ca="1">INDEX([1]Data_DBD!$B:$B,$A25)</f>
        <v>42</v>
      </c>
      <c r="C25" s="19" cm="1">
        <f t="array" aca="1" ref="C25" ca="1">INDEX([1]Data_DBD!$C:$C,$A25)</f>
        <v>2</v>
      </c>
      <c r="D25" s="19" cm="1">
        <f t="array" aca="1" ref="D25" ca="1">INDEX([1]Data_DBD!$E:$E,$A25)</f>
        <v>1</v>
      </c>
      <c r="E25" s="19" t="str" cm="1">
        <f t="array" aca="1" ref="E25" ca="1">INDEX([1]Data_DBD!$F:$F,$A25)</f>
        <v>Tinggi</v>
      </c>
      <c r="H25" s="23">
        <v>153</v>
      </c>
      <c r="I25" s="23">
        <v>73</v>
      </c>
      <c r="J25" s="23">
        <v>7</v>
      </c>
      <c r="K25" s="23">
        <v>1</v>
      </c>
      <c r="L25" s="23" t="s">
        <v>97</v>
      </c>
    </row>
    <row r="26" spans="1:12">
      <c r="A26" s="19">
        <f t="shared" ca="1" si="0"/>
        <v>51</v>
      </c>
      <c r="B26" s="19" cm="1">
        <f t="array" aca="1" ref="B26" ca="1">INDEX([1]Data_DBD!$B:$B,$A26)</f>
        <v>48</v>
      </c>
      <c r="C26" s="19" cm="1">
        <f t="array" aca="1" ref="C26" ca="1">INDEX([1]Data_DBD!$C:$C,$A26)</f>
        <v>4</v>
      </c>
      <c r="D26" s="19" cm="1">
        <f t="array" aca="1" ref="D26" ca="1">INDEX([1]Data_DBD!$E:$E,$A26)</f>
        <v>0</v>
      </c>
      <c r="E26" s="19" t="str" cm="1">
        <f t="array" aca="1" ref="E26" ca="1">INDEX([1]Data_DBD!$F:$F,$A26)</f>
        <v>Sedang</v>
      </c>
      <c r="H26" s="23">
        <v>37</v>
      </c>
      <c r="I26" s="23">
        <v>28</v>
      </c>
      <c r="J26" s="23">
        <v>4</v>
      </c>
      <c r="K26" s="23">
        <v>1</v>
      </c>
      <c r="L26" s="23" t="s">
        <v>20</v>
      </c>
    </row>
    <row r="27" spans="1:12">
      <c r="A27" s="19">
        <f t="shared" ca="1" si="0"/>
        <v>85</v>
      </c>
      <c r="B27" s="19" cm="1">
        <f t="array" aca="1" ref="B27" ca="1">INDEX([1]Data_DBD!$B:$B,$A27)</f>
        <v>27</v>
      </c>
      <c r="C27" s="19" cm="1">
        <f t="array" aca="1" ref="C27" ca="1">INDEX([1]Data_DBD!$C:$C,$A27)</f>
        <v>9</v>
      </c>
      <c r="D27" s="19" cm="1">
        <f t="array" aca="1" ref="D27" ca="1">INDEX([1]Data_DBD!$E:$E,$A27)</f>
        <v>0</v>
      </c>
      <c r="E27" s="19" t="str" cm="1">
        <f t="array" aca="1" ref="E27" ca="1">INDEX([1]Data_DBD!$F:$F,$A27)</f>
        <v>Sedang</v>
      </c>
      <c r="H27" s="23">
        <v>118</v>
      </c>
      <c r="I27" s="23">
        <v>67</v>
      </c>
      <c r="J27" s="23">
        <v>4</v>
      </c>
      <c r="K27" s="23">
        <v>1</v>
      </c>
      <c r="L27" s="23" t="s">
        <v>97</v>
      </c>
    </row>
    <row r="28" spans="1:12">
      <c r="A28" s="19">
        <f t="shared" ca="1" si="0"/>
        <v>22</v>
      </c>
      <c r="B28" s="19" cm="1">
        <f t="array" aca="1" ref="B28" ca="1">INDEX([1]Data_DBD!$B:$B,$A28)</f>
        <v>6</v>
      </c>
      <c r="C28" s="19" cm="1">
        <f t="array" aca="1" ref="C28" ca="1">INDEX([1]Data_DBD!$C:$C,$A28)</f>
        <v>3</v>
      </c>
      <c r="D28" s="19" cm="1">
        <f t="array" aca="1" ref="D28" ca="1">INDEX([1]Data_DBD!$E:$E,$A28)</f>
        <v>0</v>
      </c>
      <c r="E28" s="19" t="str" cm="1">
        <f t="array" aca="1" ref="E28" ca="1">INDEX([1]Data_DBD!$F:$F,$A28)</f>
        <v>Sedang</v>
      </c>
      <c r="H28" s="23">
        <v>16</v>
      </c>
      <c r="I28" s="23">
        <v>66</v>
      </c>
      <c r="J28" s="23">
        <v>5</v>
      </c>
      <c r="K28" s="23">
        <v>1</v>
      </c>
      <c r="L28" s="23" t="s">
        <v>20</v>
      </c>
    </row>
    <row r="29" spans="1:12">
      <c r="A29" s="19">
        <f t="shared" ca="1" si="0"/>
        <v>37</v>
      </c>
      <c r="B29" s="19" cm="1">
        <f t="array" aca="1" ref="B29" ca="1">INDEX([1]Data_DBD!$B:$B,$A29)</f>
        <v>28</v>
      </c>
      <c r="C29" s="19" cm="1">
        <f t="array" aca="1" ref="C29" ca="1">INDEX([1]Data_DBD!$C:$C,$A29)</f>
        <v>4</v>
      </c>
      <c r="D29" s="19" cm="1">
        <f t="array" aca="1" ref="D29" ca="1">INDEX([1]Data_DBD!$E:$E,$A29)</f>
        <v>1</v>
      </c>
      <c r="E29" s="19" t="str" cm="1">
        <f t="array" aca="1" ref="E29" ca="1">INDEX([1]Data_DBD!$F:$F,$A29)</f>
        <v>Rendah</v>
      </c>
      <c r="H29" s="23">
        <v>103</v>
      </c>
      <c r="I29" s="23">
        <v>22</v>
      </c>
      <c r="J29" s="23">
        <v>5</v>
      </c>
      <c r="K29" s="23">
        <v>0</v>
      </c>
      <c r="L29" s="23" t="s">
        <v>97</v>
      </c>
    </row>
    <row r="30" spans="1:12">
      <c r="A30" s="19">
        <f t="shared" ca="1" si="0"/>
        <v>98</v>
      </c>
      <c r="B30" s="19" cm="1">
        <f t="array" aca="1" ref="B30" ca="1">INDEX([1]Data_DBD!$B:$B,$A30)</f>
        <v>16</v>
      </c>
      <c r="C30" s="19" cm="1">
        <f t="array" aca="1" ref="C30" ca="1">INDEX([1]Data_DBD!$C:$C,$A30)</f>
        <v>2</v>
      </c>
      <c r="D30" s="19" cm="1">
        <f t="array" aca="1" ref="D30" ca="1">INDEX([1]Data_DBD!$E:$E,$A30)</f>
        <v>1</v>
      </c>
      <c r="E30" s="19" t="str" cm="1">
        <f t="array" aca="1" ref="E30" ca="1">INDEX([1]Data_DBD!$F:$F,$A30)</f>
        <v>Tinggi</v>
      </c>
      <c r="H30" s="23">
        <v>101</v>
      </c>
      <c r="I30" s="23">
        <v>42</v>
      </c>
      <c r="J30" s="23">
        <v>5</v>
      </c>
      <c r="K30" s="23">
        <v>0</v>
      </c>
      <c r="L30" s="23" t="s">
        <v>97</v>
      </c>
    </row>
    <row r="31" spans="1:12">
      <c r="A31" s="19">
        <f t="shared" ca="1" si="0"/>
        <v>107</v>
      </c>
      <c r="B31" s="19" cm="1">
        <f t="array" aca="1" ref="B31" ca="1">INDEX([1]Data_DBD!$B:$B,$A31)</f>
        <v>48</v>
      </c>
      <c r="C31" s="19" cm="1">
        <f t="array" aca="1" ref="C31" ca="1">INDEX([1]Data_DBD!$C:$C,$A31)</f>
        <v>5</v>
      </c>
      <c r="D31" s="19" cm="1">
        <f t="array" aca="1" ref="D31" ca="1">INDEX([1]Data_DBD!$E:$E,$A31)</f>
        <v>0</v>
      </c>
      <c r="E31" s="19" t="str" cm="1">
        <f t="array" aca="1" ref="E31" ca="1">INDEX([1]Data_DBD!$F:$F,$A31)</f>
        <v>Tinggi</v>
      </c>
      <c r="H31" s="23">
        <v>132</v>
      </c>
      <c r="I31" s="23">
        <v>10</v>
      </c>
      <c r="J31" s="23">
        <v>3</v>
      </c>
      <c r="K31" s="23">
        <v>1</v>
      </c>
      <c r="L31" s="23" t="s">
        <v>97</v>
      </c>
    </row>
    <row r="32" spans="1:12">
      <c r="A32" s="19">
        <f t="shared" ca="1" si="0"/>
        <v>105</v>
      </c>
      <c r="B32" s="19" cm="1">
        <f t="array" aca="1" ref="B32" ca="1">INDEX([1]Data_DBD!$B:$B,$A32)</f>
        <v>61</v>
      </c>
      <c r="C32" s="19" cm="1">
        <f t="array" aca="1" ref="C32" ca="1">INDEX([1]Data_DBD!$C:$C,$A32)</f>
        <v>3</v>
      </c>
      <c r="D32" s="19" cm="1">
        <f t="array" aca="1" ref="D32" ca="1">INDEX([1]Data_DBD!$E:$E,$A32)</f>
        <v>1</v>
      </c>
      <c r="E32" s="19" t="str" cm="1">
        <f t="array" aca="1" ref="E32" ca="1">INDEX([1]Data_DBD!$F:$F,$A32)</f>
        <v>Tinggi</v>
      </c>
      <c r="H32" s="23">
        <v>58</v>
      </c>
      <c r="I32" s="23">
        <v>17</v>
      </c>
      <c r="J32" s="23">
        <v>3</v>
      </c>
      <c r="K32" s="23">
        <v>0</v>
      </c>
      <c r="L32" s="23" t="s">
        <v>7</v>
      </c>
    </row>
    <row r="33" spans="1:12">
      <c r="A33" s="19">
        <f t="shared" ca="1" si="0"/>
        <v>79</v>
      </c>
      <c r="B33" s="19" cm="1">
        <f t="array" aca="1" ref="B33" ca="1">INDEX([1]Data_DBD!$B:$B,$A33)</f>
        <v>29</v>
      </c>
      <c r="C33" s="19" cm="1">
        <f t="array" aca="1" ref="C33" ca="1">INDEX([1]Data_DBD!$C:$C,$A33)</f>
        <v>3</v>
      </c>
      <c r="D33" s="19" cm="1">
        <f t="array" aca="1" ref="D33" ca="1">INDEX([1]Data_DBD!$E:$E,$A33)</f>
        <v>0</v>
      </c>
      <c r="E33" s="19" t="str" cm="1">
        <f t="array" aca="1" ref="E33" ca="1">INDEX([1]Data_DBD!$F:$F,$A33)</f>
        <v>Sedang</v>
      </c>
      <c r="H33" s="23">
        <v>99</v>
      </c>
      <c r="I33" s="23">
        <v>4</v>
      </c>
      <c r="J33" s="23">
        <v>2</v>
      </c>
      <c r="K33" s="23">
        <v>1</v>
      </c>
      <c r="L33" s="23" t="s">
        <v>97</v>
      </c>
    </row>
    <row r="34" spans="1:12">
      <c r="A34" s="19">
        <f t="shared" ref="A34:A65" ca="1" si="1">RANDBETWEEN(2,164)</f>
        <v>3</v>
      </c>
      <c r="B34" s="19" cm="1">
        <f t="array" aca="1" ref="B34" ca="1">INDEX([1]Data_DBD!$B:$B,$A34)</f>
        <v>43</v>
      </c>
      <c r="C34" s="19" cm="1">
        <f t="array" aca="1" ref="C34" ca="1">INDEX([1]Data_DBD!$C:$C,$A34)</f>
        <v>3</v>
      </c>
      <c r="D34" s="19" cm="1">
        <f t="array" aca="1" ref="D34" ca="1">INDEX([1]Data_DBD!$E:$E,$A34)</f>
        <v>1</v>
      </c>
      <c r="E34" s="19" t="str" cm="1">
        <f t="array" aca="1" ref="E34" ca="1">INDEX([1]Data_DBD!$F:$F,$A34)</f>
        <v>Sedang</v>
      </c>
      <c r="H34" s="23">
        <v>69</v>
      </c>
      <c r="I34" s="23">
        <v>24</v>
      </c>
      <c r="J34" s="23">
        <v>4</v>
      </c>
      <c r="K34" s="23">
        <v>1</v>
      </c>
      <c r="L34" s="23" t="s">
        <v>7</v>
      </c>
    </row>
    <row r="35" spans="1:12">
      <c r="A35" s="19">
        <f t="shared" ca="1" si="1"/>
        <v>29</v>
      </c>
      <c r="B35" s="19" cm="1">
        <f t="array" aca="1" ref="B35" ca="1">INDEX([1]Data_DBD!$B:$B,$A35)</f>
        <v>19</v>
      </c>
      <c r="C35" s="19" cm="1">
        <f t="array" aca="1" ref="C35" ca="1">INDEX([1]Data_DBD!$C:$C,$A35)</f>
        <v>2</v>
      </c>
      <c r="D35" s="19" cm="1">
        <f t="array" aca="1" ref="D35" ca="1">INDEX([1]Data_DBD!$E:$E,$A35)</f>
        <v>1</v>
      </c>
      <c r="E35" s="19" t="str" cm="1">
        <f t="array" aca="1" ref="E35" ca="1">INDEX([1]Data_DBD!$F:$F,$A35)</f>
        <v>Sedang</v>
      </c>
      <c r="H35" s="23">
        <v>18</v>
      </c>
      <c r="I35" s="23">
        <v>49</v>
      </c>
      <c r="J35" s="23">
        <v>4</v>
      </c>
      <c r="K35" s="23">
        <v>1</v>
      </c>
      <c r="L35" s="23" t="s">
        <v>20</v>
      </c>
    </row>
    <row r="36" spans="1:12">
      <c r="A36" s="19">
        <f t="shared" ca="1" si="1"/>
        <v>70</v>
      </c>
      <c r="B36" s="19" cm="1">
        <f t="array" aca="1" ref="B36" ca="1">INDEX([1]Data_DBD!$B:$B,$A36)</f>
        <v>26</v>
      </c>
      <c r="C36" s="19" cm="1">
        <f t="array" aca="1" ref="C36" ca="1">INDEX([1]Data_DBD!$C:$C,$A36)</f>
        <v>3</v>
      </c>
      <c r="D36" s="19" cm="1">
        <f t="array" aca="1" ref="D36" ca="1">INDEX([1]Data_DBD!$E:$E,$A36)</f>
        <v>1</v>
      </c>
      <c r="E36" s="19" t="str" cm="1">
        <f t="array" aca="1" ref="E36" ca="1">INDEX([1]Data_DBD!$F:$F,$A36)</f>
        <v>Sedang</v>
      </c>
      <c r="H36" s="23">
        <v>160</v>
      </c>
      <c r="I36" s="23">
        <v>16</v>
      </c>
      <c r="J36" s="23">
        <v>3</v>
      </c>
      <c r="K36" s="23">
        <v>0</v>
      </c>
      <c r="L36" s="23" t="s">
        <v>97</v>
      </c>
    </row>
    <row r="37" spans="1:12">
      <c r="A37" s="19">
        <f t="shared" ca="1" si="1"/>
        <v>66</v>
      </c>
      <c r="B37" s="19" cm="1">
        <f t="array" aca="1" ref="B37" ca="1">INDEX([1]Data_DBD!$B:$B,$A37)</f>
        <v>21</v>
      </c>
      <c r="C37" s="19" cm="1">
        <f t="array" aca="1" ref="C37" ca="1">INDEX([1]Data_DBD!$C:$C,$A37)</f>
        <v>5</v>
      </c>
      <c r="D37" s="19" cm="1">
        <f t="array" aca="1" ref="D37" ca="1">INDEX([1]Data_DBD!$E:$E,$A37)</f>
        <v>1</v>
      </c>
      <c r="E37" s="19" t="str" cm="1">
        <f t="array" aca="1" ref="E37" ca="1">INDEX([1]Data_DBD!$F:$F,$A37)</f>
        <v>Sedang</v>
      </c>
      <c r="H37" s="23">
        <v>114</v>
      </c>
      <c r="I37" s="23">
        <v>14</v>
      </c>
      <c r="J37" s="23">
        <v>2</v>
      </c>
      <c r="K37" s="23">
        <v>1</v>
      </c>
      <c r="L37" s="23" t="s">
        <v>97</v>
      </c>
    </row>
    <row r="38" spans="1:12">
      <c r="A38" s="19">
        <f t="shared" ca="1" si="1"/>
        <v>121</v>
      </c>
      <c r="B38" s="19" cm="1">
        <f t="array" aca="1" ref="B38" ca="1">INDEX([1]Data_DBD!$B:$B,$A38)</f>
        <v>82</v>
      </c>
      <c r="C38" s="19" cm="1">
        <f t="array" aca="1" ref="C38" ca="1">INDEX([1]Data_DBD!$C:$C,$A38)</f>
        <v>5</v>
      </c>
      <c r="D38" s="19" cm="1">
        <f t="array" aca="1" ref="D38" ca="1">INDEX([1]Data_DBD!$E:$E,$A38)</f>
        <v>1</v>
      </c>
      <c r="E38" s="19" t="str" cm="1">
        <f t="array" aca="1" ref="E38" ca="1">INDEX([1]Data_DBD!$F:$F,$A38)</f>
        <v>Tinggi</v>
      </c>
      <c r="H38" s="23">
        <v>94</v>
      </c>
      <c r="I38" s="23">
        <v>12</v>
      </c>
      <c r="J38" s="23">
        <v>4</v>
      </c>
      <c r="K38" s="23">
        <v>0</v>
      </c>
      <c r="L38" s="23" t="s">
        <v>97</v>
      </c>
    </row>
    <row r="39" spans="1:12">
      <c r="A39" s="19">
        <f t="shared" ca="1" si="1"/>
        <v>88</v>
      </c>
      <c r="B39" s="19" cm="1">
        <f t="array" aca="1" ref="B39" ca="1">INDEX([1]Data_DBD!$B:$B,$A39)</f>
        <v>20</v>
      </c>
      <c r="C39" s="19" cm="1">
        <f t="array" aca="1" ref="C39" ca="1">INDEX([1]Data_DBD!$C:$C,$A39)</f>
        <v>4</v>
      </c>
      <c r="D39" s="19" cm="1">
        <f t="array" aca="1" ref="D39" ca="1">INDEX([1]Data_DBD!$E:$E,$A39)</f>
        <v>1</v>
      </c>
      <c r="E39" s="19" t="str" cm="1">
        <f t="array" aca="1" ref="E39" ca="1">INDEX([1]Data_DBD!$F:$F,$A39)</f>
        <v>Sedang</v>
      </c>
      <c r="H39" s="23">
        <v>113</v>
      </c>
      <c r="I39" s="23">
        <v>69</v>
      </c>
      <c r="J39" s="23">
        <v>1</v>
      </c>
      <c r="K39" s="23">
        <v>1</v>
      </c>
      <c r="L39" s="23" t="s">
        <v>97</v>
      </c>
    </row>
    <row r="40" spans="1:12">
      <c r="A40" s="19">
        <f t="shared" ca="1" si="1"/>
        <v>147</v>
      </c>
      <c r="B40" s="19" cm="1">
        <f t="array" aca="1" ref="B40" ca="1">INDEX([1]Data_DBD!$B:$B,$A40)</f>
        <v>66</v>
      </c>
      <c r="C40" s="19" cm="1">
        <f t="array" aca="1" ref="C40" ca="1">INDEX([1]Data_DBD!$C:$C,$A40)</f>
        <v>10</v>
      </c>
      <c r="D40" s="19" cm="1">
        <f t="array" aca="1" ref="D40" ca="1">INDEX([1]Data_DBD!$E:$E,$A40)</f>
        <v>1</v>
      </c>
      <c r="E40" s="19" t="str" cm="1">
        <f t="array" aca="1" ref="E40" ca="1">INDEX([1]Data_DBD!$F:$F,$A40)</f>
        <v>Tinggi</v>
      </c>
      <c r="H40" s="23">
        <v>116</v>
      </c>
      <c r="I40" s="23">
        <v>32</v>
      </c>
      <c r="J40" s="23">
        <v>4</v>
      </c>
      <c r="K40" s="23">
        <v>1</v>
      </c>
      <c r="L40" s="23" t="s">
        <v>97</v>
      </c>
    </row>
    <row r="41" spans="1:12">
      <c r="A41" s="19">
        <f t="shared" ca="1" si="1"/>
        <v>67</v>
      </c>
      <c r="B41" s="19" cm="1">
        <f t="array" aca="1" ref="B41" ca="1">INDEX([1]Data_DBD!$B:$B,$A41)</f>
        <v>21</v>
      </c>
      <c r="C41" s="19" cm="1">
        <f t="array" aca="1" ref="C41" ca="1">INDEX([1]Data_DBD!$C:$C,$A41)</f>
        <v>3</v>
      </c>
      <c r="D41" s="19" cm="1">
        <f t="array" aca="1" ref="D41" ca="1">INDEX([1]Data_DBD!$E:$E,$A41)</f>
        <v>1</v>
      </c>
      <c r="E41" s="19" t="str" cm="1">
        <f t="array" aca="1" ref="E41" ca="1">INDEX([1]Data_DBD!$F:$F,$A41)</f>
        <v>Sedang</v>
      </c>
      <c r="H41" s="23">
        <v>123</v>
      </c>
      <c r="I41" s="23">
        <v>22</v>
      </c>
      <c r="J41" s="23">
        <v>4</v>
      </c>
      <c r="K41" s="23">
        <v>0</v>
      </c>
      <c r="L41" s="23" t="s">
        <v>97</v>
      </c>
    </row>
    <row r="42" spans="1:12">
      <c r="A42" s="19">
        <f t="shared" ca="1" si="1"/>
        <v>86</v>
      </c>
      <c r="B42" s="19" cm="1">
        <f t="array" aca="1" ref="B42" ca="1">INDEX([1]Data_DBD!$B:$B,$A42)</f>
        <v>23</v>
      </c>
      <c r="C42" s="19" cm="1">
        <f t="array" aca="1" ref="C42" ca="1">INDEX([1]Data_DBD!$C:$C,$A42)</f>
        <v>3</v>
      </c>
      <c r="D42" s="19" cm="1">
        <f t="array" aca="1" ref="D42" ca="1">INDEX([1]Data_DBD!$E:$E,$A42)</f>
        <v>0</v>
      </c>
      <c r="E42" s="19" t="str" cm="1">
        <f t="array" aca="1" ref="E42" ca="1">INDEX([1]Data_DBD!$F:$F,$A42)</f>
        <v>Sedang</v>
      </c>
      <c r="H42" s="23">
        <v>122</v>
      </c>
      <c r="I42" s="23">
        <v>28</v>
      </c>
      <c r="J42" s="23">
        <v>3</v>
      </c>
      <c r="K42" s="23">
        <v>1</v>
      </c>
      <c r="L42" s="23" t="s">
        <v>97</v>
      </c>
    </row>
    <row r="43" spans="1:12">
      <c r="A43" s="19">
        <f t="shared" ca="1" si="1"/>
        <v>124</v>
      </c>
      <c r="B43" s="19" cm="1">
        <f t="array" aca="1" ref="B43" ca="1">INDEX([1]Data_DBD!$B:$B,$A43)</f>
        <v>24</v>
      </c>
      <c r="C43" s="19" cm="1">
        <f t="array" aca="1" ref="C43" ca="1">INDEX([1]Data_DBD!$C:$C,$A43)</f>
        <v>3</v>
      </c>
      <c r="D43" s="19" cm="1">
        <f t="array" aca="1" ref="D43" ca="1">INDEX([1]Data_DBD!$E:$E,$A43)</f>
        <v>1</v>
      </c>
      <c r="E43" s="19" t="str" cm="1">
        <f t="array" aca="1" ref="E43" ca="1">INDEX([1]Data_DBD!$F:$F,$A43)</f>
        <v>Tinggi</v>
      </c>
      <c r="H43" s="23">
        <v>137</v>
      </c>
      <c r="I43" s="23">
        <v>3</v>
      </c>
      <c r="J43" s="23">
        <v>1</v>
      </c>
      <c r="K43" s="23">
        <v>1</v>
      </c>
      <c r="L43" s="23" t="s">
        <v>97</v>
      </c>
    </row>
    <row r="44" spans="1:12">
      <c r="A44" s="19">
        <f t="shared" ca="1" si="1"/>
        <v>5</v>
      </c>
      <c r="B44" s="19" cm="1">
        <f t="array" aca="1" ref="B44" ca="1">INDEX([1]Data_DBD!$B:$B,$A44)</f>
        <v>18</v>
      </c>
      <c r="C44" s="19" cm="1">
        <f t="array" aca="1" ref="C44" ca="1">INDEX([1]Data_DBD!$C:$C,$A44)</f>
        <v>2</v>
      </c>
      <c r="D44" s="19" cm="1">
        <f t="array" aca="1" ref="D44" ca="1">INDEX([1]Data_DBD!$E:$E,$A44)</f>
        <v>1</v>
      </c>
      <c r="E44" s="19" t="str" cm="1">
        <f t="array" aca="1" ref="E44" ca="1">INDEX([1]Data_DBD!$F:$F,$A44)</f>
        <v>Sedang</v>
      </c>
      <c r="H44" s="23">
        <v>136</v>
      </c>
      <c r="I44" s="23">
        <v>6</v>
      </c>
      <c r="J44" s="23">
        <v>2</v>
      </c>
      <c r="K44" s="23">
        <v>0</v>
      </c>
      <c r="L44" s="23" t="s">
        <v>97</v>
      </c>
    </row>
    <row r="45" spans="1:12">
      <c r="A45" s="19">
        <f t="shared" ca="1" si="1"/>
        <v>147</v>
      </c>
      <c r="B45" s="19" cm="1">
        <f t="array" aca="1" ref="B45" ca="1">INDEX([1]Data_DBD!$B:$B,$A45)</f>
        <v>66</v>
      </c>
      <c r="C45" s="19" cm="1">
        <f t="array" aca="1" ref="C45" ca="1">INDEX([1]Data_DBD!$C:$C,$A45)</f>
        <v>10</v>
      </c>
      <c r="D45" s="19" cm="1">
        <f t="array" aca="1" ref="D45" ca="1">INDEX([1]Data_DBD!$E:$E,$A45)</f>
        <v>1</v>
      </c>
      <c r="E45" s="19" t="str" cm="1">
        <f t="array" aca="1" ref="E45" ca="1">INDEX([1]Data_DBD!$F:$F,$A45)</f>
        <v>Tinggi</v>
      </c>
      <c r="H45" s="23">
        <v>37</v>
      </c>
      <c r="I45" s="23">
        <v>28</v>
      </c>
      <c r="J45" s="23">
        <v>4</v>
      </c>
      <c r="K45" s="23">
        <v>1</v>
      </c>
      <c r="L45" s="23" t="s">
        <v>20</v>
      </c>
    </row>
    <row r="46" spans="1:12">
      <c r="A46" s="19">
        <f t="shared" ca="1" si="1"/>
        <v>49</v>
      </c>
      <c r="B46" s="19" cm="1">
        <f t="array" aca="1" ref="B46" ca="1">INDEX([1]Data_DBD!$B:$B,$A46)</f>
        <v>64</v>
      </c>
      <c r="C46" s="19" cm="1">
        <f t="array" aca="1" ref="C46" ca="1">INDEX([1]Data_DBD!$C:$C,$A46)</f>
        <v>5</v>
      </c>
      <c r="D46" s="19" cm="1">
        <f t="array" aca="1" ref="D46" ca="1">INDEX([1]Data_DBD!$E:$E,$A46)</f>
        <v>0</v>
      </c>
      <c r="E46" s="19" t="str" cm="1">
        <f t="array" aca="1" ref="E46" ca="1">INDEX([1]Data_DBD!$F:$F,$A46)</f>
        <v>Sedang</v>
      </c>
      <c r="H46" s="23">
        <v>16</v>
      </c>
      <c r="I46" s="23">
        <v>66</v>
      </c>
      <c r="J46" s="23">
        <v>5</v>
      </c>
      <c r="K46" s="23">
        <v>1</v>
      </c>
      <c r="L46" s="23" t="s">
        <v>20</v>
      </c>
    </row>
    <row r="47" spans="1:12">
      <c r="A47" s="19">
        <f t="shared" ca="1" si="1"/>
        <v>61</v>
      </c>
      <c r="B47" s="19" cm="1">
        <f t="array" aca="1" ref="B47" ca="1">INDEX([1]Data_DBD!$B:$B,$A47)</f>
        <v>29</v>
      </c>
      <c r="C47" s="19" cm="1">
        <f t="array" aca="1" ref="C47" ca="1">INDEX([1]Data_DBD!$C:$C,$A47)</f>
        <v>3</v>
      </c>
      <c r="D47" s="19" cm="1">
        <f t="array" aca="1" ref="D47" ca="1">INDEX([1]Data_DBD!$E:$E,$A47)</f>
        <v>1</v>
      </c>
      <c r="E47" s="19" t="str" cm="1">
        <f t="array" aca="1" ref="E47" ca="1">INDEX([1]Data_DBD!$F:$F,$A47)</f>
        <v>Sedang</v>
      </c>
      <c r="H47" s="23">
        <v>13</v>
      </c>
      <c r="I47" s="23">
        <v>47</v>
      </c>
      <c r="J47" s="23">
        <v>2</v>
      </c>
      <c r="K47" s="23">
        <v>0</v>
      </c>
      <c r="L47" s="23" t="s">
        <v>7</v>
      </c>
    </row>
    <row r="48" spans="1:12">
      <c r="A48" s="19">
        <f t="shared" ca="1" si="1"/>
        <v>32</v>
      </c>
      <c r="B48" s="19" cm="1">
        <f t="array" aca="1" ref="B48" ca="1">INDEX([1]Data_DBD!$B:$B,$A48)</f>
        <v>54</v>
      </c>
      <c r="C48" s="19" cm="1">
        <f t="array" aca="1" ref="C48" ca="1">INDEX([1]Data_DBD!$C:$C,$A48)</f>
        <v>4</v>
      </c>
      <c r="D48" s="19" cm="1">
        <f t="array" aca="1" ref="D48" ca="1">INDEX([1]Data_DBD!$E:$E,$A48)</f>
        <v>0</v>
      </c>
      <c r="E48" s="19" t="str" cm="1">
        <f t="array" aca="1" ref="E48" ca="1">INDEX([1]Data_DBD!$F:$F,$A48)</f>
        <v>Sedang</v>
      </c>
      <c r="H48" s="23">
        <v>157</v>
      </c>
      <c r="I48" s="23">
        <v>15</v>
      </c>
      <c r="J48" s="23">
        <v>4</v>
      </c>
      <c r="K48" s="23">
        <v>1</v>
      </c>
      <c r="L48" s="23" t="s">
        <v>97</v>
      </c>
    </row>
    <row r="49" spans="1:12">
      <c r="A49" s="19">
        <f t="shared" ca="1" si="1"/>
        <v>96</v>
      </c>
      <c r="B49" s="19" cm="1">
        <f t="array" aca="1" ref="B49" ca="1">INDEX([1]Data_DBD!$B:$B,$A49)</f>
        <v>56</v>
      </c>
      <c r="C49" s="19" cm="1">
        <f t="array" aca="1" ref="C49" ca="1">INDEX([1]Data_DBD!$C:$C,$A49)</f>
        <v>4</v>
      </c>
      <c r="D49" s="19" cm="1">
        <f t="array" aca="1" ref="D49" ca="1">INDEX([1]Data_DBD!$E:$E,$A49)</f>
        <v>0</v>
      </c>
      <c r="E49" s="19" t="str" cm="1">
        <f t="array" aca="1" ref="E49" ca="1">INDEX([1]Data_DBD!$F:$F,$A49)</f>
        <v>Tinggi</v>
      </c>
      <c r="H49" s="23">
        <v>43</v>
      </c>
      <c r="I49" s="23">
        <v>15</v>
      </c>
      <c r="J49" s="23">
        <v>4</v>
      </c>
      <c r="K49" s="23">
        <v>0</v>
      </c>
      <c r="L49" s="23" t="s">
        <v>7</v>
      </c>
    </row>
    <row r="50" spans="1:12">
      <c r="A50" s="19">
        <f t="shared" ca="1" si="1"/>
        <v>14</v>
      </c>
      <c r="B50" s="19" cm="1">
        <f t="array" aca="1" ref="B50" ca="1">INDEX([1]Data_DBD!$B:$B,$A50)</f>
        <v>49</v>
      </c>
      <c r="C50" s="19" cm="1">
        <f t="array" aca="1" ref="C50" ca="1">INDEX([1]Data_DBD!$C:$C,$A50)</f>
        <v>4</v>
      </c>
      <c r="D50" s="19" cm="1">
        <f t="array" aca="1" ref="D50" ca="1">INDEX([1]Data_DBD!$E:$E,$A50)</f>
        <v>1</v>
      </c>
      <c r="E50" s="19" t="str" cm="1">
        <f t="array" aca="1" ref="E50" ca="1">INDEX([1]Data_DBD!$F:$F,$A50)</f>
        <v>Rendah</v>
      </c>
      <c r="H50" s="23">
        <v>126</v>
      </c>
      <c r="I50" s="23">
        <v>51</v>
      </c>
      <c r="J50" s="23">
        <v>3</v>
      </c>
      <c r="K50" s="23">
        <v>1</v>
      </c>
      <c r="L50" s="23" t="s">
        <v>97</v>
      </c>
    </row>
    <row r="51" spans="1:12">
      <c r="A51" s="19">
        <f t="shared" ca="1" si="1"/>
        <v>148</v>
      </c>
      <c r="B51" s="19" cm="1">
        <f t="array" aca="1" ref="B51" ca="1">INDEX([1]Data_DBD!$B:$B,$A51)</f>
        <v>55</v>
      </c>
      <c r="C51" s="19" cm="1">
        <f t="array" aca="1" ref="C51" ca="1">INDEX([1]Data_DBD!$C:$C,$A51)</f>
        <v>3</v>
      </c>
      <c r="D51" s="19" cm="1">
        <f t="array" aca="1" ref="D51" ca="1">INDEX([1]Data_DBD!$E:$E,$A51)</f>
        <v>1</v>
      </c>
      <c r="E51" s="19" t="str" cm="1">
        <f t="array" aca="1" ref="E51" ca="1">INDEX([1]Data_DBD!$F:$F,$A51)</f>
        <v>Tinggi</v>
      </c>
      <c r="H51" s="23">
        <v>70</v>
      </c>
      <c r="I51" s="23">
        <v>26</v>
      </c>
      <c r="J51" s="23">
        <v>3</v>
      </c>
      <c r="K51" s="23">
        <v>1</v>
      </c>
      <c r="L51" s="23" t="s">
        <v>7</v>
      </c>
    </row>
    <row r="52" spans="1:12">
      <c r="A52" s="19">
        <f t="shared" ca="1" si="1"/>
        <v>45</v>
      </c>
      <c r="B52" s="19" cm="1">
        <f t="array" aca="1" ref="B52" ca="1">INDEX([1]Data_DBD!$B:$B,$A52)</f>
        <v>75</v>
      </c>
      <c r="C52" s="19" cm="1">
        <f t="array" aca="1" ref="C52" ca="1">INDEX([1]Data_DBD!$C:$C,$A52)</f>
        <v>3</v>
      </c>
      <c r="D52" s="19" cm="1">
        <f t="array" aca="1" ref="D52" ca="1">INDEX([1]Data_DBD!$E:$E,$A52)</f>
        <v>1</v>
      </c>
      <c r="E52" s="19" t="str" cm="1">
        <f t="array" aca="1" ref="E52" ca="1">INDEX([1]Data_DBD!$F:$F,$A52)</f>
        <v>Sedang</v>
      </c>
      <c r="H52" s="23">
        <v>26</v>
      </c>
      <c r="I52" s="23">
        <v>75</v>
      </c>
      <c r="J52" s="23">
        <v>4</v>
      </c>
      <c r="K52" s="23">
        <v>1</v>
      </c>
      <c r="L52" s="23" t="s">
        <v>7</v>
      </c>
    </row>
    <row r="53" spans="1:12">
      <c r="A53" s="19">
        <f t="shared" ca="1" si="1"/>
        <v>129</v>
      </c>
      <c r="B53" s="19" cm="1">
        <f t="array" aca="1" ref="B53" ca="1">INDEX([1]Data_DBD!$B:$B,$A53)</f>
        <v>4</v>
      </c>
      <c r="C53" s="19" cm="1">
        <f t="array" aca="1" ref="C53" ca="1">INDEX([1]Data_DBD!$C:$C,$A53)</f>
        <v>3</v>
      </c>
      <c r="D53" s="19" cm="1">
        <f t="array" aca="1" ref="D53" ca="1">INDEX([1]Data_DBD!$E:$E,$A53)</f>
        <v>0</v>
      </c>
      <c r="E53" s="19" t="str" cm="1">
        <f t="array" aca="1" ref="E53" ca="1">INDEX([1]Data_DBD!$F:$F,$A53)</f>
        <v>Tinggi</v>
      </c>
      <c r="H53" s="23">
        <v>46</v>
      </c>
      <c r="I53" s="23">
        <v>62</v>
      </c>
      <c r="J53" s="23">
        <v>2</v>
      </c>
      <c r="K53" s="23">
        <v>0</v>
      </c>
      <c r="L53" s="23" t="s">
        <v>7</v>
      </c>
    </row>
    <row r="54" spans="1:12">
      <c r="A54" s="19">
        <f t="shared" ca="1" si="1"/>
        <v>32</v>
      </c>
      <c r="B54" s="19" cm="1">
        <f t="array" aca="1" ref="B54" ca="1">INDEX([1]Data_DBD!$B:$B,$A54)</f>
        <v>54</v>
      </c>
      <c r="C54" s="19" cm="1">
        <f t="array" aca="1" ref="C54" ca="1">INDEX([1]Data_DBD!$C:$C,$A54)</f>
        <v>4</v>
      </c>
      <c r="D54" s="19" cm="1">
        <f t="array" aca="1" ref="D54" ca="1">INDEX([1]Data_DBD!$E:$E,$A54)</f>
        <v>0</v>
      </c>
      <c r="E54" s="19" t="str" cm="1">
        <f t="array" aca="1" ref="E54" ca="1">INDEX([1]Data_DBD!$F:$F,$A54)</f>
        <v>Sedang</v>
      </c>
      <c r="H54" s="23">
        <v>82</v>
      </c>
      <c r="I54" s="23">
        <v>28</v>
      </c>
      <c r="J54" s="23">
        <v>3</v>
      </c>
      <c r="K54" s="23">
        <v>1</v>
      </c>
      <c r="L54" s="23" t="s">
        <v>7</v>
      </c>
    </row>
    <row r="55" spans="1:12">
      <c r="A55" s="19">
        <f t="shared" ca="1" si="1"/>
        <v>125</v>
      </c>
      <c r="B55" s="19" cm="1">
        <f t="array" aca="1" ref="B55" ca="1">INDEX([1]Data_DBD!$B:$B,$A55)</f>
        <v>39</v>
      </c>
      <c r="C55" s="19" cm="1">
        <f t="array" aca="1" ref="C55" ca="1">INDEX([1]Data_DBD!$C:$C,$A55)</f>
        <v>4</v>
      </c>
      <c r="D55" s="19" cm="1">
        <f t="array" aca="1" ref="D55" ca="1">INDEX([1]Data_DBD!$E:$E,$A55)</f>
        <v>0</v>
      </c>
      <c r="E55" s="19" t="str" cm="1">
        <f t="array" aca="1" ref="E55" ca="1">INDEX([1]Data_DBD!$F:$F,$A55)</f>
        <v>Tinggi</v>
      </c>
      <c r="H55" s="23">
        <v>96</v>
      </c>
      <c r="I55" s="23">
        <v>56</v>
      </c>
      <c r="J55" s="23">
        <v>4</v>
      </c>
      <c r="K55" s="23">
        <v>0</v>
      </c>
      <c r="L55" s="23" t="s">
        <v>97</v>
      </c>
    </row>
    <row r="56" spans="1:12">
      <c r="A56" s="19">
        <f t="shared" ca="1" si="1"/>
        <v>35</v>
      </c>
      <c r="B56" s="19" cm="1">
        <f t="array" aca="1" ref="B56" ca="1">INDEX([1]Data_DBD!$B:$B,$A56)</f>
        <v>40</v>
      </c>
      <c r="C56" s="19" cm="1">
        <f t="array" aca="1" ref="C56" ca="1">INDEX([1]Data_DBD!$C:$C,$A56)</f>
        <v>3</v>
      </c>
      <c r="D56" s="19" cm="1">
        <f t="array" aca="1" ref="D56" ca="1">INDEX([1]Data_DBD!$E:$E,$A56)</f>
        <v>1</v>
      </c>
      <c r="E56" s="19" t="str" cm="1">
        <f t="array" aca="1" ref="E56" ca="1">INDEX([1]Data_DBD!$F:$F,$A56)</f>
        <v>Rendah</v>
      </c>
      <c r="H56" s="23">
        <v>72</v>
      </c>
      <c r="I56" s="23">
        <v>3</v>
      </c>
      <c r="J56" s="23">
        <v>5</v>
      </c>
      <c r="K56" s="23">
        <v>1</v>
      </c>
      <c r="L56" s="23" t="s">
        <v>7</v>
      </c>
    </row>
    <row r="57" spans="1:12">
      <c r="A57" s="19">
        <f t="shared" ca="1" si="1"/>
        <v>140</v>
      </c>
      <c r="B57" s="19" cm="1">
        <f t="array" aca="1" ref="B57" ca="1">INDEX([1]Data_DBD!$B:$B,$A57)</f>
        <v>74</v>
      </c>
      <c r="C57" s="19" cm="1">
        <f t="array" aca="1" ref="C57" ca="1">INDEX([1]Data_DBD!$C:$C,$A57)</f>
        <v>5</v>
      </c>
      <c r="D57" s="19" cm="1">
        <f t="array" aca="1" ref="D57" ca="1">INDEX([1]Data_DBD!$E:$E,$A57)</f>
        <v>1</v>
      </c>
      <c r="E57" s="19" t="str" cm="1">
        <f t="array" aca="1" ref="E57" ca="1">INDEX([1]Data_DBD!$F:$F,$A57)</f>
        <v>Tinggi</v>
      </c>
      <c r="H57" s="23">
        <v>8</v>
      </c>
      <c r="I57" s="23">
        <v>4</v>
      </c>
      <c r="J57" s="23">
        <v>2</v>
      </c>
      <c r="K57" s="23">
        <v>0</v>
      </c>
      <c r="L57" s="23" t="s">
        <v>7</v>
      </c>
    </row>
    <row r="58" spans="1:12">
      <c r="A58" s="19">
        <f t="shared" ca="1" si="1"/>
        <v>4</v>
      </c>
      <c r="B58" s="19" cm="1">
        <f t="array" aca="1" ref="B58" ca="1">INDEX([1]Data_DBD!$B:$B,$A58)</f>
        <v>23</v>
      </c>
      <c r="C58" s="19" cm="1">
        <f t="array" aca="1" ref="C58" ca="1">INDEX([1]Data_DBD!$C:$C,$A58)</f>
        <v>5</v>
      </c>
      <c r="D58" s="19" cm="1">
        <f t="array" aca="1" ref="D58" ca="1">INDEX([1]Data_DBD!$E:$E,$A58)</f>
        <v>0</v>
      </c>
      <c r="E58" s="19" t="str" cm="1">
        <f t="array" aca="1" ref="E58" ca="1">INDEX([1]Data_DBD!$F:$F,$A58)</f>
        <v>Sedang</v>
      </c>
      <c r="H58" s="23">
        <v>83</v>
      </c>
      <c r="I58" s="23">
        <v>50</v>
      </c>
      <c r="J58" s="23">
        <v>3</v>
      </c>
      <c r="K58" s="23">
        <v>0</v>
      </c>
      <c r="L58" s="23" t="s">
        <v>7</v>
      </c>
    </row>
    <row r="59" spans="1:12">
      <c r="A59" s="19">
        <f t="shared" ca="1" si="1"/>
        <v>2</v>
      </c>
      <c r="B59" s="19" cm="1">
        <f t="array" aca="1" ref="B59" ca="1">INDEX([1]Data_DBD!$B:$B,$A59)</f>
        <v>34</v>
      </c>
      <c r="C59" s="19" cm="1">
        <f t="array" aca="1" ref="C59" ca="1">INDEX([1]Data_DBD!$C:$C,$A59)</f>
        <v>3</v>
      </c>
      <c r="D59" s="19" cm="1">
        <f t="array" aca="1" ref="D59" ca="1">INDEX([1]Data_DBD!$E:$E,$A59)</f>
        <v>0</v>
      </c>
      <c r="E59" s="19" t="str" cm="1">
        <f t="array" aca="1" ref="E59" ca="1">INDEX([1]Data_DBD!$F:$F,$A59)</f>
        <v>Sedang</v>
      </c>
      <c r="H59" s="23">
        <v>147</v>
      </c>
      <c r="I59" s="23">
        <v>66</v>
      </c>
      <c r="J59" s="23">
        <v>10</v>
      </c>
      <c r="K59" s="23">
        <v>1</v>
      </c>
      <c r="L59" s="23" t="s">
        <v>97</v>
      </c>
    </row>
    <row r="60" spans="1:12">
      <c r="A60" s="19">
        <f t="shared" ca="1" si="1"/>
        <v>71</v>
      </c>
      <c r="B60" s="19" cm="1">
        <f t="array" aca="1" ref="B60" ca="1">INDEX([1]Data_DBD!$B:$B,$A60)</f>
        <v>84</v>
      </c>
      <c r="C60" s="19" cm="1">
        <f t="array" aca="1" ref="C60" ca="1">INDEX([1]Data_DBD!$C:$C,$A60)</f>
        <v>3</v>
      </c>
      <c r="D60" s="19" cm="1">
        <f t="array" aca="1" ref="D60" ca="1">INDEX([1]Data_DBD!$E:$E,$A60)</f>
        <v>0</v>
      </c>
      <c r="E60" s="19" t="str" cm="1">
        <f t="array" aca="1" ref="E60" ca="1">INDEX([1]Data_DBD!$F:$F,$A60)</f>
        <v>Sedang</v>
      </c>
      <c r="H60" s="23">
        <v>125</v>
      </c>
      <c r="I60" s="23">
        <v>39</v>
      </c>
      <c r="J60" s="23">
        <v>4</v>
      </c>
      <c r="K60" s="23">
        <v>0</v>
      </c>
      <c r="L60" s="23" t="s">
        <v>97</v>
      </c>
    </row>
    <row r="61" spans="1:12">
      <c r="A61" s="19">
        <f t="shared" ca="1" si="1"/>
        <v>163</v>
      </c>
      <c r="B61" s="19" cm="1">
        <f t="array" aca="1" ref="B61" ca="1">INDEX([1]Data_DBD!$B:$B,$A61)</f>
        <v>34</v>
      </c>
      <c r="C61" s="19" cm="1">
        <f t="array" aca="1" ref="C61" ca="1">INDEX([1]Data_DBD!$C:$C,$A61)</f>
        <v>4</v>
      </c>
      <c r="D61" s="19" cm="1">
        <f t="array" aca="1" ref="D61" ca="1">INDEX([1]Data_DBD!$E:$E,$A61)</f>
        <v>1</v>
      </c>
      <c r="E61" s="19" t="str" cm="1">
        <f t="array" aca="1" ref="E61" ca="1">INDEX([1]Data_DBD!$F:$F,$A61)</f>
        <v>Rendah</v>
      </c>
      <c r="H61" s="23">
        <v>108</v>
      </c>
      <c r="I61" s="23">
        <v>69</v>
      </c>
      <c r="J61" s="23">
        <v>7</v>
      </c>
      <c r="K61" s="23">
        <v>1</v>
      </c>
      <c r="L61" s="23" t="s">
        <v>97</v>
      </c>
    </row>
    <row r="62" spans="1:12">
      <c r="A62" s="19">
        <f t="shared" ca="1" si="1"/>
        <v>159</v>
      </c>
      <c r="B62" s="19" cm="1">
        <f t="array" aca="1" ref="B62" ca="1">INDEX([1]Data_DBD!$B:$B,$A62)</f>
        <v>17</v>
      </c>
      <c r="C62" s="19" cm="1">
        <f t="array" aca="1" ref="C62" ca="1">INDEX([1]Data_DBD!$C:$C,$A62)</f>
        <v>2</v>
      </c>
      <c r="D62" s="19" cm="1">
        <f t="array" aca="1" ref="D62" ca="1">INDEX([1]Data_DBD!$E:$E,$A62)</f>
        <v>0</v>
      </c>
      <c r="E62" s="19" t="str" cm="1">
        <f t="array" aca="1" ref="E62" ca="1">INDEX([1]Data_DBD!$F:$F,$A62)</f>
        <v>Tinggi</v>
      </c>
      <c r="H62" s="23">
        <v>115</v>
      </c>
      <c r="I62" s="23">
        <v>52</v>
      </c>
      <c r="J62" s="23">
        <v>3</v>
      </c>
      <c r="K62" s="23">
        <v>1</v>
      </c>
      <c r="L62" s="23" t="s">
        <v>97</v>
      </c>
    </row>
    <row r="63" spans="1:12">
      <c r="A63" s="19">
        <f t="shared" ca="1" si="1"/>
        <v>95</v>
      </c>
      <c r="B63" s="19" cm="1">
        <f t="array" aca="1" ref="B63" ca="1">INDEX([1]Data_DBD!$B:$B,$A63)</f>
        <v>11</v>
      </c>
      <c r="C63" s="19" cm="1">
        <f t="array" aca="1" ref="C63" ca="1">INDEX([1]Data_DBD!$C:$C,$A63)</f>
        <v>3</v>
      </c>
      <c r="D63" s="19" cm="1">
        <f t="array" aca="1" ref="D63" ca="1">INDEX([1]Data_DBD!$E:$E,$A63)</f>
        <v>1</v>
      </c>
      <c r="E63" s="19" t="str" cm="1">
        <f t="array" aca="1" ref="E63" ca="1">INDEX([1]Data_DBD!$F:$F,$A63)</f>
        <v>Tinggi</v>
      </c>
      <c r="H63" s="23">
        <v>7</v>
      </c>
      <c r="I63" s="23">
        <v>12</v>
      </c>
      <c r="J63" s="23">
        <v>1</v>
      </c>
      <c r="K63" s="23">
        <v>1</v>
      </c>
      <c r="L63" s="23" t="s">
        <v>7</v>
      </c>
    </row>
    <row r="64" spans="1:12">
      <c r="A64" s="19">
        <f t="shared" ca="1" si="1"/>
        <v>107</v>
      </c>
      <c r="B64" s="19" cm="1">
        <f t="array" aca="1" ref="B64" ca="1">INDEX([1]Data_DBD!$B:$B,$A64)</f>
        <v>48</v>
      </c>
      <c r="C64" s="19" cm="1">
        <f t="array" aca="1" ref="C64" ca="1">INDEX([1]Data_DBD!$C:$C,$A64)</f>
        <v>5</v>
      </c>
      <c r="D64" s="19" cm="1">
        <f t="array" aca="1" ref="D64" ca="1">INDEX([1]Data_DBD!$E:$E,$A64)</f>
        <v>0</v>
      </c>
      <c r="E64" s="19" t="str" cm="1">
        <f t="array" aca="1" ref="E64" ca="1">INDEX([1]Data_DBD!$F:$F,$A64)</f>
        <v>Tinggi</v>
      </c>
      <c r="H64" s="23">
        <v>115</v>
      </c>
      <c r="I64" s="23">
        <v>52</v>
      </c>
      <c r="J64" s="23">
        <v>3</v>
      </c>
      <c r="K64" s="23">
        <v>1</v>
      </c>
      <c r="L64" s="23" t="s">
        <v>97</v>
      </c>
    </row>
    <row r="65" spans="1:12">
      <c r="A65" s="19">
        <f t="shared" ca="1" si="1"/>
        <v>38</v>
      </c>
      <c r="B65" s="19" cm="1">
        <f t="array" aca="1" ref="B65" ca="1">INDEX([1]Data_DBD!$B:$B,$A65)</f>
        <v>52</v>
      </c>
      <c r="C65" s="19" cm="1">
        <f t="array" aca="1" ref="C65" ca="1">INDEX([1]Data_DBD!$C:$C,$A65)</f>
        <v>3</v>
      </c>
      <c r="D65" s="19" cm="1">
        <f t="array" aca="1" ref="D65" ca="1">INDEX([1]Data_DBD!$E:$E,$A65)</f>
        <v>1</v>
      </c>
      <c r="E65" s="19" t="str" cm="1">
        <f t="array" aca="1" ref="E65" ca="1">INDEX([1]Data_DBD!$F:$F,$A65)</f>
        <v>Rendah</v>
      </c>
      <c r="H65" s="23">
        <v>141</v>
      </c>
      <c r="I65" s="23">
        <v>36</v>
      </c>
      <c r="J65" s="23">
        <v>2</v>
      </c>
      <c r="K65" s="23">
        <v>0</v>
      </c>
      <c r="L65" s="23" t="s">
        <v>97</v>
      </c>
    </row>
    <row r="66" spans="1:12">
      <c r="A66" s="19">
        <f t="shared" ref="A66:A97" ca="1" si="2">RANDBETWEEN(2,164)</f>
        <v>123</v>
      </c>
      <c r="B66" s="19" cm="1">
        <f t="array" aca="1" ref="B66" ca="1">INDEX([1]Data_DBD!$B:$B,$A66)</f>
        <v>22</v>
      </c>
      <c r="C66" s="19" cm="1">
        <f t="array" aca="1" ref="C66" ca="1">INDEX([1]Data_DBD!$C:$C,$A66)</f>
        <v>4</v>
      </c>
      <c r="D66" s="19" cm="1">
        <f t="array" aca="1" ref="D66" ca="1">INDEX([1]Data_DBD!$E:$E,$A66)</f>
        <v>0</v>
      </c>
      <c r="E66" s="19" t="str" cm="1">
        <f t="array" aca="1" ref="E66" ca="1">INDEX([1]Data_DBD!$F:$F,$A66)</f>
        <v>Tinggi</v>
      </c>
      <c r="H66" s="23">
        <v>90</v>
      </c>
      <c r="I66" s="23">
        <v>47</v>
      </c>
      <c r="J66" s="23">
        <v>3</v>
      </c>
      <c r="K66" s="23">
        <v>0</v>
      </c>
      <c r="L66" s="23" t="s">
        <v>97</v>
      </c>
    </row>
    <row r="67" spans="1:12">
      <c r="A67" s="19">
        <f t="shared" ca="1" si="2"/>
        <v>133</v>
      </c>
      <c r="B67" s="19" cm="1">
        <f t="array" aca="1" ref="B67" ca="1">INDEX([1]Data_DBD!$B:$B,$A67)</f>
        <v>6</v>
      </c>
      <c r="C67" s="19" cm="1">
        <f t="array" aca="1" ref="C67" ca="1">INDEX([1]Data_DBD!$C:$C,$A67)</f>
        <v>4</v>
      </c>
      <c r="D67" s="19" cm="1">
        <f t="array" aca="1" ref="D67" ca="1">INDEX([1]Data_DBD!$E:$E,$A67)</f>
        <v>0</v>
      </c>
      <c r="E67" s="19" t="str" cm="1">
        <f t="array" aca="1" ref="E67" ca="1">INDEX([1]Data_DBD!$F:$F,$A67)</f>
        <v>Tinggi</v>
      </c>
      <c r="H67" s="23">
        <v>130</v>
      </c>
      <c r="I67" s="23">
        <v>12</v>
      </c>
      <c r="J67" s="23">
        <v>4</v>
      </c>
      <c r="K67" s="23">
        <v>0</v>
      </c>
      <c r="L67" s="23" t="s">
        <v>97</v>
      </c>
    </row>
    <row r="68" spans="1:12">
      <c r="A68" s="19">
        <f t="shared" ca="1" si="2"/>
        <v>52</v>
      </c>
      <c r="B68" s="19" cm="1">
        <f t="array" aca="1" ref="B68" ca="1">INDEX([1]Data_DBD!$B:$B,$A68)</f>
        <v>59</v>
      </c>
      <c r="C68" s="19" cm="1">
        <f t="array" aca="1" ref="C68" ca="1">INDEX([1]Data_DBD!$C:$C,$A68)</f>
        <v>4</v>
      </c>
      <c r="D68" s="19" cm="1">
        <f t="array" aca="1" ref="D68" ca="1">INDEX([1]Data_DBD!$E:$E,$A68)</f>
        <v>1</v>
      </c>
      <c r="E68" s="19" t="str" cm="1">
        <f t="array" aca="1" ref="E68" ca="1">INDEX([1]Data_DBD!$F:$F,$A68)</f>
        <v>Sedang</v>
      </c>
      <c r="H68" s="23">
        <v>23</v>
      </c>
      <c r="I68" s="23">
        <v>28</v>
      </c>
      <c r="J68" s="23">
        <v>4</v>
      </c>
      <c r="K68" s="23">
        <v>1</v>
      </c>
      <c r="L68" s="23" t="s">
        <v>7</v>
      </c>
    </row>
    <row r="69" spans="1:12">
      <c r="A69" s="19">
        <f t="shared" ca="1" si="2"/>
        <v>39</v>
      </c>
      <c r="B69" s="19" cm="1">
        <f t="array" aca="1" ref="B69" ca="1">INDEX([1]Data_DBD!$B:$B,$A69)</f>
        <v>12</v>
      </c>
      <c r="C69" s="19" cm="1">
        <f t="array" aca="1" ref="C69" ca="1">INDEX([1]Data_DBD!$C:$C,$A69)</f>
        <v>5</v>
      </c>
      <c r="D69" s="19" cm="1">
        <f t="array" aca="1" ref="D69" ca="1">INDEX([1]Data_DBD!$E:$E,$A69)</f>
        <v>1</v>
      </c>
      <c r="E69" s="19" t="str" cm="1">
        <f t="array" aca="1" ref="E69" ca="1">INDEX([1]Data_DBD!$F:$F,$A69)</f>
        <v>Sedang</v>
      </c>
      <c r="H69" s="23">
        <v>66</v>
      </c>
      <c r="I69" s="23">
        <v>21</v>
      </c>
      <c r="J69" s="23">
        <v>5</v>
      </c>
      <c r="K69" s="23">
        <v>1</v>
      </c>
      <c r="L69" s="23" t="s">
        <v>7</v>
      </c>
    </row>
    <row r="70" spans="1:12">
      <c r="A70" s="19">
        <f t="shared" ca="1" si="2"/>
        <v>66</v>
      </c>
      <c r="B70" s="19" cm="1">
        <f t="array" aca="1" ref="B70" ca="1">INDEX([1]Data_DBD!$B:$B,$A70)</f>
        <v>21</v>
      </c>
      <c r="C70" s="19" cm="1">
        <f t="array" aca="1" ref="C70" ca="1">INDEX([1]Data_DBD!$C:$C,$A70)</f>
        <v>5</v>
      </c>
      <c r="D70" s="19" cm="1">
        <f t="array" aca="1" ref="D70" ca="1">INDEX([1]Data_DBD!$E:$E,$A70)</f>
        <v>1</v>
      </c>
      <c r="E70" s="19" t="str" cm="1">
        <f t="array" aca="1" ref="E70" ca="1">INDEX([1]Data_DBD!$F:$F,$A70)</f>
        <v>Sedang</v>
      </c>
      <c r="H70" s="23">
        <v>140</v>
      </c>
      <c r="I70" s="23">
        <v>74</v>
      </c>
      <c r="J70" s="23">
        <v>5</v>
      </c>
      <c r="K70" s="23">
        <v>1</v>
      </c>
      <c r="L70" s="23" t="s">
        <v>97</v>
      </c>
    </row>
    <row r="71" spans="1:12">
      <c r="A71" s="19">
        <f t="shared" ca="1" si="2"/>
        <v>77</v>
      </c>
      <c r="B71" s="19" cm="1">
        <f t="array" aca="1" ref="B71" ca="1">INDEX([1]Data_DBD!$B:$B,$A71)</f>
        <v>16</v>
      </c>
      <c r="C71" s="19" cm="1">
        <f t="array" aca="1" ref="C71" ca="1">INDEX([1]Data_DBD!$C:$C,$A71)</f>
        <v>4</v>
      </c>
      <c r="D71" s="19" cm="1">
        <f t="array" aca="1" ref="D71" ca="1">INDEX([1]Data_DBD!$E:$E,$A71)</f>
        <v>1</v>
      </c>
      <c r="E71" s="19" t="str" cm="1">
        <f t="array" aca="1" ref="E71" ca="1">INDEX([1]Data_DBD!$F:$F,$A71)</f>
        <v>Sedang</v>
      </c>
      <c r="H71" s="23">
        <v>94</v>
      </c>
      <c r="I71" s="23">
        <v>12</v>
      </c>
      <c r="J71" s="23">
        <v>4</v>
      </c>
      <c r="K71" s="23">
        <v>0</v>
      </c>
      <c r="L71" s="23" t="s">
        <v>97</v>
      </c>
    </row>
    <row r="72" spans="1:12">
      <c r="A72" s="19">
        <f t="shared" ca="1" si="2"/>
        <v>80</v>
      </c>
      <c r="B72" s="19" cm="1">
        <f t="array" aca="1" ref="B72" ca="1">INDEX([1]Data_DBD!$B:$B,$A72)</f>
        <v>27</v>
      </c>
      <c r="C72" s="19" cm="1">
        <f t="array" aca="1" ref="C72" ca="1">INDEX([1]Data_DBD!$C:$C,$A72)</f>
        <v>3</v>
      </c>
      <c r="D72" s="19" cm="1">
        <f t="array" aca="1" ref="D72" ca="1">INDEX([1]Data_DBD!$E:$E,$A72)</f>
        <v>1</v>
      </c>
      <c r="E72" s="19" t="str" cm="1">
        <f t="array" aca="1" ref="E72" ca="1">INDEX([1]Data_DBD!$F:$F,$A72)</f>
        <v>Sedang</v>
      </c>
      <c r="H72" s="23">
        <v>164</v>
      </c>
      <c r="I72" s="23">
        <v>10</v>
      </c>
      <c r="J72" s="23">
        <v>6</v>
      </c>
      <c r="K72" s="23">
        <v>0</v>
      </c>
      <c r="L72" s="23" t="s">
        <v>20</v>
      </c>
    </row>
    <row r="73" spans="1:12">
      <c r="A73" s="19">
        <f t="shared" ca="1" si="2"/>
        <v>78</v>
      </c>
      <c r="B73" s="19" cm="1">
        <f t="array" aca="1" ref="B73" ca="1">INDEX([1]Data_DBD!$B:$B,$A73)</f>
        <v>6</v>
      </c>
      <c r="C73" s="19" cm="1">
        <f t="array" aca="1" ref="C73" ca="1">INDEX([1]Data_DBD!$C:$C,$A73)</f>
        <v>3</v>
      </c>
      <c r="D73" s="19" cm="1">
        <f t="array" aca="1" ref="D73" ca="1">INDEX([1]Data_DBD!$E:$E,$A73)</f>
        <v>0</v>
      </c>
      <c r="E73" s="19" t="str" cm="1">
        <f t="array" aca="1" ref="E73" ca="1">INDEX([1]Data_DBD!$F:$F,$A73)</f>
        <v>Sedang</v>
      </c>
      <c r="H73" s="23">
        <v>27</v>
      </c>
      <c r="I73" s="23">
        <v>37</v>
      </c>
      <c r="J73" s="23">
        <v>4</v>
      </c>
      <c r="K73" s="23">
        <v>1</v>
      </c>
      <c r="L73" s="23" t="s">
        <v>7</v>
      </c>
    </row>
    <row r="74" spans="1:12">
      <c r="A74" s="19">
        <f t="shared" ca="1" si="2"/>
        <v>54</v>
      </c>
      <c r="B74" s="19" cm="1">
        <f t="array" aca="1" ref="B74" ca="1">INDEX([1]Data_DBD!$B:$B,$A74)</f>
        <v>7</v>
      </c>
      <c r="C74" s="19" cm="1">
        <f t="array" aca="1" ref="C74" ca="1">INDEX([1]Data_DBD!$C:$C,$A74)</f>
        <v>3</v>
      </c>
      <c r="D74" s="19" cm="1">
        <f t="array" aca="1" ref="D74" ca="1">INDEX([1]Data_DBD!$E:$E,$A74)</f>
        <v>0</v>
      </c>
      <c r="E74" s="19" t="str" cm="1">
        <f t="array" aca="1" ref="E74" ca="1">INDEX([1]Data_DBD!$F:$F,$A74)</f>
        <v>Sedang</v>
      </c>
      <c r="H74" s="23">
        <v>130</v>
      </c>
      <c r="I74" s="23">
        <v>12</v>
      </c>
      <c r="J74" s="23">
        <v>4</v>
      </c>
      <c r="K74" s="23">
        <v>0</v>
      </c>
      <c r="L74" s="23" t="s">
        <v>97</v>
      </c>
    </row>
    <row r="75" spans="1:12">
      <c r="A75" s="19">
        <f t="shared" ca="1" si="2"/>
        <v>54</v>
      </c>
      <c r="B75" s="19" cm="1">
        <f t="array" aca="1" ref="B75" ca="1">INDEX([1]Data_DBD!$B:$B,$A75)</f>
        <v>7</v>
      </c>
      <c r="C75" s="19" cm="1">
        <f t="array" aca="1" ref="C75" ca="1">INDEX([1]Data_DBD!$C:$C,$A75)</f>
        <v>3</v>
      </c>
      <c r="D75" s="19" cm="1">
        <f t="array" aca="1" ref="D75" ca="1">INDEX([1]Data_DBD!$E:$E,$A75)</f>
        <v>0</v>
      </c>
      <c r="E75" s="19" t="str" cm="1">
        <f t="array" aca="1" ref="E75" ca="1">INDEX([1]Data_DBD!$F:$F,$A75)</f>
        <v>Sedang</v>
      </c>
      <c r="H75" s="23">
        <v>72</v>
      </c>
      <c r="I75" s="23">
        <v>3</v>
      </c>
      <c r="J75" s="23">
        <v>5</v>
      </c>
      <c r="K75" s="23">
        <v>1</v>
      </c>
      <c r="L75" s="23" t="s">
        <v>7</v>
      </c>
    </row>
    <row r="76" spans="1:12">
      <c r="A76" s="19">
        <f t="shared" ca="1" si="2"/>
        <v>30</v>
      </c>
      <c r="B76" s="19" cm="1">
        <f t="array" aca="1" ref="B76" ca="1">INDEX([1]Data_DBD!$B:$B,$A76)</f>
        <v>3</v>
      </c>
      <c r="C76" s="19" cm="1">
        <f t="array" aca="1" ref="C76" ca="1">INDEX([1]Data_DBD!$C:$C,$A76)</f>
        <v>2</v>
      </c>
      <c r="D76" s="19" cm="1">
        <f t="array" aca="1" ref="D76" ca="1">INDEX([1]Data_DBD!$E:$E,$A76)</f>
        <v>1</v>
      </c>
      <c r="E76" s="19" t="str" cm="1">
        <f t="array" aca="1" ref="E76" ca="1">INDEX([1]Data_DBD!$F:$F,$A76)</f>
        <v>Sedang</v>
      </c>
      <c r="H76" s="23">
        <v>103</v>
      </c>
      <c r="I76" s="23">
        <v>22</v>
      </c>
      <c r="J76" s="23">
        <v>5</v>
      </c>
      <c r="K76" s="23">
        <v>0</v>
      </c>
      <c r="L76" s="23" t="s">
        <v>97</v>
      </c>
    </row>
    <row r="77" spans="1:12">
      <c r="A77" s="19">
        <f t="shared" ca="1" si="2"/>
        <v>89</v>
      </c>
      <c r="B77" s="19" cm="1">
        <f t="array" aca="1" ref="B77" ca="1">INDEX([1]Data_DBD!$B:$B,$A77)</f>
        <v>32</v>
      </c>
      <c r="C77" s="19" cm="1">
        <f t="array" aca="1" ref="C77" ca="1">INDEX([1]Data_DBD!$C:$C,$A77)</f>
        <v>4</v>
      </c>
      <c r="D77" s="19" cm="1">
        <f t="array" aca="1" ref="D77" ca="1">INDEX([1]Data_DBD!$E:$E,$A77)</f>
        <v>0</v>
      </c>
      <c r="E77" s="19" t="str" cm="1">
        <f t="array" aca="1" ref="E77" ca="1">INDEX([1]Data_DBD!$F:$F,$A77)</f>
        <v>Sedang</v>
      </c>
      <c r="H77" s="23">
        <v>84</v>
      </c>
      <c r="I77" s="23">
        <v>42</v>
      </c>
      <c r="J77" s="23">
        <v>4</v>
      </c>
      <c r="K77" s="23">
        <v>1</v>
      </c>
      <c r="L77" s="23" t="s">
        <v>7</v>
      </c>
    </row>
    <row r="78" spans="1:12">
      <c r="A78" s="19">
        <f t="shared" ca="1" si="2"/>
        <v>86</v>
      </c>
      <c r="B78" s="19" cm="1">
        <f t="array" aca="1" ref="B78" ca="1">INDEX([1]Data_DBD!$B:$B,$A78)</f>
        <v>23</v>
      </c>
      <c r="C78" s="19" cm="1">
        <f t="array" aca="1" ref="C78" ca="1">INDEX([1]Data_DBD!$C:$C,$A78)</f>
        <v>3</v>
      </c>
      <c r="D78" s="19" cm="1">
        <f t="array" aca="1" ref="D78" ca="1">INDEX([1]Data_DBD!$E:$E,$A78)</f>
        <v>0</v>
      </c>
      <c r="E78" s="19" t="str" cm="1">
        <f t="array" aca="1" ref="E78" ca="1">INDEX([1]Data_DBD!$F:$F,$A78)</f>
        <v>Sedang</v>
      </c>
      <c r="H78" s="23">
        <v>17</v>
      </c>
      <c r="I78" s="23">
        <v>2</v>
      </c>
      <c r="J78" s="23">
        <v>3</v>
      </c>
      <c r="K78" s="23">
        <v>0</v>
      </c>
      <c r="L78" s="23" t="s">
        <v>20</v>
      </c>
    </row>
    <row r="79" spans="1:12">
      <c r="A79" s="19">
        <f t="shared" ca="1" si="2"/>
        <v>67</v>
      </c>
      <c r="B79" s="19" cm="1">
        <f t="array" aca="1" ref="B79" ca="1">INDEX([1]Data_DBD!$B:$B,$A79)</f>
        <v>21</v>
      </c>
      <c r="C79" s="19" cm="1">
        <f t="array" aca="1" ref="C79" ca="1">INDEX([1]Data_DBD!$C:$C,$A79)</f>
        <v>3</v>
      </c>
      <c r="D79" s="19" cm="1">
        <f t="array" aca="1" ref="D79" ca="1">INDEX([1]Data_DBD!$E:$E,$A79)</f>
        <v>1</v>
      </c>
      <c r="E79" s="19" t="str" cm="1">
        <f t="array" aca="1" ref="E79" ca="1">INDEX([1]Data_DBD!$F:$F,$A79)</f>
        <v>Sedang</v>
      </c>
      <c r="H79" s="23">
        <v>12</v>
      </c>
      <c r="I79" s="23">
        <v>23</v>
      </c>
      <c r="J79" s="23">
        <v>3</v>
      </c>
      <c r="K79" s="23">
        <v>0</v>
      </c>
      <c r="L79" s="23" t="s">
        <v>7</v>
      </c>
    </row>
    <row r="80" spans="1:12">
      <c r="A80" s="19">
        <f t="shared" ca="1" si="2"/>
        <v>17</v>
      </c>
      <c r="B80" s="19" cm="1">
        <f t="array" aca="1" ref="B80" ca="1">INDEX([1]Data_DBD!$B:$B,$A80)</f>
        <v>2</v>
      </c>
      <c r="C80" s="19" cm="1">
        <f t="array" aca="1" ref="C80" ca="1">INDEX([1]Data_DBD!$C:$C,$A80)</f>
        <v>3</v>
      </c>
      <c r="D80" s="19" cm="1">
        <f t="array" aca="1" ref="D80" ca="1">INDEX([1]Data_DBD!$E:$E,$A80)</f>
        <v>0</v>
      </c>
      <c r="E80" s="19" t="str" cm="1">
        <f t="array" aca="1" ref="E80" ca="1">INDEX([1]Data_DBD!$F:$F,$A80)</f>
        <v>Rendah</v>
      </c>
      <c r="H80" s="23">
        <v>85</v>
      </c>
      <c r="I80" s="23">
        <v>27</v>
      </c>
      <c r="J80" s="23">
        <v>9</v>
      </c>
      <c r="K80" s="23">
        <v>0</v>
      </c>
      <c r="L80" s="23" t="s">
        <v>7</v>
      </c>
    </row>
    <row r="81" spans="1:12">
      <c r="A81" s="19">
        <f t="shared" ca="1" si="2"/>
        <v>24</v>
      </c>
      <c r="B81" s="19" cm="1">
        <f t="array" aca="1" ref="B81" ca="1">INDEX([1]Data_DBD!$B:$B,$A81)</f>
        <v>60</v>
      </c>
      <c r="C81" s="19" cm="1">
        <f t="array" aca="1" ref="C81" ca="1">INDEX([1]Data_DBD!$C:$C,$A81)</f>
        <v>4</v>
      </c>
      <c r="D81" s="19" cm="1">
        <f t="array" aca="1" ref="D81" ca="1">INDEX([1]Data_DBD!$E:$E,$A81)</f>
        <v>0</v>
      </c>
      <c r="E81" s="19" t="str" cm="1">
        <f t="array" aca="1" ref="E81" ca="1">INDEX([1]Data_DBD!$F:$F,$A81)</f>
        <v>Sedang</v>
      </c>
      <c r="H81" s="23">
        <v>70</v>
      </c>
      <c r="I81" s="23">
        <v>26</v>
      </c>
      <c r="J81" s="23">
        <v>3</v>
      </c>
      <c r="K81" s="23">
        <v>1</v>
      </c>
      <c r="L81" s="23" t="s">
        <v>7</v>
      </c>
    </row>
    <row r="82" spans="1:12">
      <c r="A82" s="19">
        <f t="shared" ca="1" si="2"/>
        <v>114</v>
      </c>
      <c r="B82" s="19" cm="1">
        <f t="array" aca="1" ref="B82" ca="1">INDEX([1]Data_DBD!$B:$B,$A82)</f>
        <v>14</v>
      </c>
      <c r="C82" s="19" cm="1">
        <f t="array" aca="1" ref="C82" ca="1">INDEX([1]Data_DBD!$C:$C,$A82)</f>
        <v>2</v>
      </c>
      <c r="D82" s="19" cm="1">
        <f t="array" aca="1" ref="D82" ca="1">INDEX([1]Data_DBD!$E:$E,$A82)</f>
        <v>1</v>
      </c>
      <c r="E82" s="19" t="str" cm="1">
        <f t="array" aca="1" ref="E82" ca="1">INDEX([1]Data_DBD!$F:$F,$A82)</f>
        <v>Tinggi</v>
      </c>
      <c r="H82" s="23">
        <v>163</v>
      </c>
      <c r="I82" s="23">
        <v>34</v>
      </c>
      <c r="J82" s="23">
        <v>4</v>
      </c>
      <c r="K82" s="23">
        <v>1</v>
      </c>
      <c r="L82" s="23" t="s">
        <v>20</v>
      </c>
    </row>
    <row r="83" spans="1:12">
      <c r="A83" s="19">
        <f t="shared" ca="1" si="2"/>
        <v>122</v>
      </c>
      <c r="B83" s="19" cm="1">
        <f t="array" aca="1" ref="B83" ca="1">INDEX([1]Data_DBD!$B:$B,$A83)</f>
        <v>28</v>
      </c>
      <c r="C83" s="19" cm="1">
        <f t="array" aca="1" ref="C83" ca="1">INDEX([1]Data_DBD!$C:$C,$A83)</f>
        <v>3</v>
      </c>
      <c r="D83" s="19" cm="1">
        <f t="array" aca="1" ref="D83" ca="1">INDEX([1]Data_DBD!$E:$E,$A83)</f>
        <v>1</v>
      </c>
      <c r="E83" s="19" t="str" cm="1">
        <f t="array" aca="1" ref="E83" ca="1">INDEX([1]Data_DBD!$F:$F,$A83)</f>
        <v>Tinggi</v>
      </c>
      <c r="H83" s="23">
        <v>114</v>
      </c>
      <c r="I83" s="23">
        <v>14</v>
      </c>
      <c r="J83" s="23">
        <v>2</v>
      </c>
      <c r="K83" s="23">
        <v>1</v>
      </c>
      <c r="L83" s="23" t="s">
        <v>97</v>
      </c>
    </row>
    <row r="84" spans="1:12">
      <c r="A84" s="19">
        <f t="shared" ca="1" si="2"/>
        <v>89</v>
      </c>
      <c r="B84" s="19" cm="1">
        <f t="array" aca="1" ref="B84" ca="1">INDEX([1]Data_DBD!$B:$B,$A84)</f>
        <v>32</v>
      </c>
      <c r="C84" s="19" cm="1">
        <f t="array" aca="1" ref="C84" ca="1">INDEX([1]Data_DBD!$C:$C,$A84)</f>
        <v>4</v>
      </c>
      <c r="D84" s="19" cm="1">
        <f t="array" aca="1" ref="D84" ca="1">INDEX([1]Data_DBD!$E:$E,$A84)</f>
        <v>0</v>
      </c>
      <c r="E84" s="19" t="str" cm="1">
        <f t="array" aca="1" ref="E84" ca="1">INDEX([1]Data_DBD!$F:$F,$A84)</f>
        <v>Sedang</v>
      </c>
      <c r="H84" s="23">
        <v>133</v>
      </c>
      <c r="I84" s="23">
        <v>6</v>
      </c>
      <c r="J84" s="23">
        <v>4</v>
      </c>
      <c r="K84" s="23">
        <v>0</v>
      </c>
      <c r="L84" s="23" t="s">
        <v>97</v>
      </c>
    </row>
    <row r="85" spans="1:12">
      <c r="A85" s="19">
        <f t="shared" ca="1" si="2"/>
        <v>79</v>
      </c>
      <c r="B85" s="19" cm="1">
        <f t="array" aca="1" ref="B85" ca="1">INDEX([1]Data_DBD!$B:$B,$A85)</f>
        <v>29</v>
      </c>
      <c r="C85" s="19" cm="1">
        <f t="array" aca="1" ref="C85" ca="1">INDEX([1]Data_DBD!$C:$C,$A85)</f>
        <v>3</v>
      </c>
      <c r="D85" s="19" cm="1">
        <f t="array" aca="1" ref="D85" ca="1">INDEX([1]Data_DBD!$E:$E,$A85)</f>
        <v>0</v>
      </c>
      <c r="E85" s="19" t="str" cm="1">
        <f t="array" aca="1" ref="E85" ca="1">INDEX([1]Data_DBD!$F:$F,$A85)</f>
        <v>Sedang</v>
      </c>
      <c r="H85" s="23">
        <v>40</v>
      </c>
      <c r="I85" s="23">
        <v>65</v>
      </c>
      <c r="J85" s="23">
        <v>3</v>
      </c>
      <c r="K85" s="23">
        <v>1</v>
      </c>
      <c r="L85" s="23" t="s">
        <v>7</v>
      </c>
    </row>
    <row r="86" spans="1:12">
      <c r="A86" s="19">
        <f t="shared" ca="1" si="2"/>
        <v>65</v>
      </c>
      <c r="B86" s="19" cm="1">
        <f t="array" aca="1" ref="B86" ca="1">INDEX([1]Data_DBD!$B:$B,$A86)</f>
        <v>49</v>
      </c>
      <c r="C86" s="19" cm="1">
        <f t="array" aca="1" ref="C86" ca="1">INDEX([1]Data_DBD!$C:$C,$A86)</f>
        <v>3</v>
      </c>
      <c r="D86" s="19" cm="1">
        <f t="array" aca="1" ref="D86" ca="1">INDEX([1]Data_DBD!$E:$E,$A86)</f>
        <v>0</v>
      </c>
      <c r="E86" s="19" t="str" cm="1">
        <f t="array" aca="1" ref="E86" ca="1">INDEX([1]Data_DBD!$F:$F,$A86)</f>
        <v>Sedang</v>
      </c>
      <c r="H86" s="23">
        <v>123</v>
      </c>
      <c r="I86" s="23">
        <v>22</v>
      </c>
      <c r="J86" s="23">
        <v>4</v>
      </c>
      <c r="K86" s="23">
        <v>0</v>
      </c>
      <c r="L86" s="23" t="s">
        <v>97</v>
      </c>
    </row>
    <row r="87" spans="1:12">
      <c r="A87" s="19">
        <f t="shared" ca="1" si="2"/>
        <v>130</v>
      </c>
      <c r="B87" s="19" cm="1">
        <f t="array" aca="1" ref="B87" ca="1">INDEX([1]Data_DBD!$B:$B,$A87)</f>
        <v>12</v>
      </c>
      <c r="C87" s="19" cm="1">
        <f t="array" aca="1" ref="C87" ca="1">INDEX([1]Data_DBD!$C:$C,$A87)</f>
        <v>4</v>
      </c>
      <c r="D87" s="19" cm="1">
        <f t="array" aca="1" ref="D87" ca="1">INDEX([1]Data_DBD!$E:$E,$A87)</f>
        <v>0</v>
      </c>
      <c r="E87" s="19" t="str" cm="1">
        <f t="array" aca="1" ref="E87" ca="1">INDEX([1]Data_DBD!$F:$F,$A87)</f>
        <v>Tinggi</v>
      </c>
      <c r="H87" s="23">
        <v>156</v>
      </c>
      <c r="I87" s="23">
        <v>5</v>
      </c>
      <c r="J87" s="23">
        <v>2</v>
      </c>
      <c r="K87" s="23">
        <v>0</v>
      </c>
      <c r="L87" s="23" t="s">
        <v>97</v>
      </c>
    </row>
    <row r="88" spans="1:12">
      <c r="A88" s="19">
        <f t="shared" ca="1" si="2"/>
        <v>70</v>
      </c>
      <c r="B88" s="19" cm="1">
        <f t="array" aca="1" ref="B88" ca="1">INDEX([1]Data_DBD!$B:$B,$A88)</f>
        <v>26</v>
      </c>
      <c r="C88" s="19" cm="1">
        <f t="array" aca="1" ref="C88" ca="1">INDEX([1]Data_DBD!$C:$C,$A88)</f>
        <v>3</v>
      </c>
      <c r="D88" s="19" cm="1">
        <f t="array" aca="1" ref="D88" ca="1">INDEX([1]Data_DBD!$E:$E,$A88)</f>
        <v>1</v>
      </c>
      <c r="E88" s="19" t="str" cm="1">
        <f t="array" aca="1" ref="E88" ca="1">INDEX([1]Data_DBD!$F:$F,$A88)</f>
        <v>Sedang</v>
      </c>
      <c r="H88" s="23">
        <v>112</v>
      </c>
      <c r="I88" s="23">
        <v>61</v>
      </c>
      <c r="J88" s="23">
        <v>3</v>
      </c>
      <c r="K88" s="23">
        <v>1</v>
      </c>
      <c r="L88" s="23" t="s">
        <v>97</v>
      </c>
    </row>
    <row r="89" spans="1:12">
      <c r="A89" s="19">
        <f t="shared" ca="1" si="2"/>
        <v>52</v>
      </c>
      <c r="B89" s="19" cm="1">
        <f t="array" aca="1" ref="B89" ca="1">INDEX([1]Data_DBD!$B:$B,$A89)</f>
        <v>59</v>
      </c>
      <c r="C89" s="19" cm="1">
        <f t="array" aca="1" ref="C89" ca="1">INDEX([1]Data_DBD!$C:$C,$A89)</f>
        <v>4</v>
      </c>
      <c r="D89" s="19" cm="1">
        <f t="array" aca="1" ref="D89" ca="1">INDEX([1]Data_DBD!$E:$E,$A89)</f>
        <v>1</v>
      </c>
      <c r="E89" s="19" t="str" cm="1">
        <f t="array" aca="1" ref="E89" ca="1">INDEX([1]Data_DBD!$F:$F,$A89)</f>
        <v>Sedang</v>
      </c>
      <c r="H89" s="23">
        <v>98</v>
      </c>
      <c r="I89" s="23">
        <v>16</v>
      </c>
      <c r="J89" s="23">
        <v>2</v>
      </c>
      <c r="K89" s="23">
        <v>1</v>
      </c>
      <c r="L89" s="23" t="s">
        <v>97</v>
      </c>
    </row>
    <row r="90" spans="1:12">
      <c r="A90" s="19">
        <f t="shared" ca="1" si="2"/>
        <v>141</v>
      </c>
      <c r="B90" s="19" cm="1">
        <f t="array" aca="1" ref="B90" ca="1">INDEX([1]Data_DBD!$B:$B,$A90)</f>
        <v>36</v>
      </c>
      <c r="C90" s="19" cm="1">
        <f t="array" aca="1" ref="C90" ca="1">INDEX([1]Data_DBD!$C:$C,$A90)</f>
        <v>2</v>
      </c>
      <c r="D90" s="19" cm="1">
        <f t="array" aca="1" ref="D90" ca="1">INDEX([1]Data_DBD!$E:$E,$A90)</f>
        <v>0</v>
      </c>
      <c r="E90" s="19" t="str" cm="1">
        <f t="array" aca="1" ref="E90" ca="1">INDEX([1]Data_DBD!$F:$F,$A90)</f>
        <v>Tinggi</v>
      </c>
      <c r="H90" s="23">
        <v>13</v>
      </c>
      <c r="I90" s="23">
        <v>47</v>
      </c>
      <c r="J90" s="23">
        <v>2</v>
      </c>
      <c r="K90" s="23">
        <v>0</v>
      </c>
      <c r="L90" s="23" t="s">
        <v>7</v>
      </c>
    </row>
    <row r="91" spans="1:12">
      <c r="A91" s="19">
        <f t="shared" ca="1" si="2"/>
        <v>112</v>
      </c>
      <c r="B91" s="19" cm="1">
        <f t="array" aca="1" ref="B91" ca="1">INDEX([1]Data_DBD!$B:$B,$A91)</f>
        <v>61</v>
      </c>
      <c r="C91" s="19" cm="1">
        <f t="array" aca="1" ref="C91" ca="1">INDEX([1]Data_DBD!$C:$C,$A91)</f>
        <v>3</v>
      </c>
      <c r="D91" s="19" cm="1">
        <f t="array" aca="1" ref="D91" ca="1">INDEX([1]Data_DBD!$E:$E,$A91)</f>
        <v>1</v>
      </c>
      <c r="E91" s="19" t="str" cm="1">
        <f t="array" aca="1" ref="E91" ca="1">INDEX([1]Data_DBD!$F:$F,$A91)</f>
        <v>Tinggi</v>
      </c>
      <c r="H91" s="23">
        <v>106</v>
      </c>
      <c r="I91" s="23">
        <v>23</v>
      </c>
      <c r="J91" s="23">
        <v>3</v>
      </c>
      <c r="K91" s="23">
        <v>1</v>
      </c>
      <c r="L91" s="23" t="s">
        <v>97</v>
      </c>
    </row>
    <row r="92" spans="1:12">
      <c r="A92" s="19">
        <f t="shared" ca="1" si="2"/>
        <v>37</v>
      </c>
      <c r="B92" s="19" cm="1">
        <f t="array" aca="1" ref="B92" ca="1">INDEX([1]Data_DBD!$B:$B,$A92)</f>
        <v>28</v>
      </c>
      <c r="C92" s="19" cm="1">
        <f t="array" aca="1" ref="C92" ca="1">INDEX([1]Data_DBD!$C:$C,$A92)</f>
        <v>4</v>
      </c>
      <c r="D92" s="19" cm="1">
        <f t="array" aca="1" ref="D92" ca="1">INDEX([1]Data_DBD!$E:$E,$A92)</f>
        <v>1</v>
      </c>
      <c r="E92" s="19" t="str" cm="1">
        <f t="array" aca="1" ref="E92" ca="1">INDEX([1]Data_DBD!$F:$F,$A92)</f>
        <v>Rendah</v>
      </c>
      <c r="H92" s="23">
        <v>90</v>
      </c>
      <c r="I92" s="23">
        <v>47</v>
      </c>
      <c r="J92" s="23">
        <v>3</v>
      </c>
      <c r="K92" s="23">
        <v>0</v>
      </c>
      <c r="L92" s="23" t="s">
        <v>97</v>
      </c>
    </row>
    <row r="93" spans="1:12">
      <c r="A93" s="19">
        <f t="shared" ca="1" si="2"/>
        <v>66</v>
      </c>
      <c r="B93" s="19" cm="1">
        <f t="array" aca="1" ref="B93" ca="1">INDEX([1]Data_DBD!$B:$B,$A93)</f>
        <v>21</v>
      </c>
      <c r="C93" s="19" cm="1">
        <f t="array" aca="1" ref="C93" ca="1">INDEX([1]Data_DBD!$C:$C,$A93)</f>
        <v>5</v>
      </c>
      <c r="D93" s="19" cm="1">
        <f t="array" aca="1" ref="D93" ca="1">INDEX([1]Data_DBD!$E:$E,$A93)</f>
        <v>1</v>
      </c>
      <c r="E93" s="19" t="str" cm="1">
        <f t="array" aca="1" ref="E93" ca="1">INDEX([1]Data_DBD!$F:$F,$A93)</f>
        <v>Sedang</v>
      </c>
      <c r="H93" s="23">
        <v>108</v>
      </c>
      <c r="I93" s="23">
        <v>69</v>
      </c>
      <c r="J93" s="23">
        <v>7</v>
      </c>
      <c r="K93" s="23">
        <v>1</v>
      </c>
      <c r="L93" s="23" t="s">
        <v>97</v>
      </c>
    </row>
    <row r="94" spans="1:12">
      <c r="A94" s="19">
        <f t="shared" ca="1" si="2"/>
        <v>70</v>
      </c>
      <c r="B94" s="19" cm="1">
        <f t="array" aca="1" ref="B94" ca="1">INDEX([1]Data_DBD!$B:$B,$A94)</f>
        <v>26</v>
      </c>
      <c r="C94" s="19" cm="1">
        <f t="array" aca="1" ref="C94" ca="1">INDEX([1]Data_DBD!$C:$C,$A94)</f>
        <v>3</v>
      </c>
      <c r="D94" s="19" cm="1">
        <f t="array" aca="1" ref="D94" ca="1">INDEX([1]Data_DBD!$E:$E,$A94)</f>
        <v>1</v>
      </c>
      <c r="E94" s="19" t="str" cm="1">
        <f t="array" aca="1" ref="E94" ca="1">INDEX([1]Data_DBD!$F:$F,$A94)</f>
        <v>Sedang</v>
      </c>
      <c r="H94" s="23">
        <v>90</v>
      </c>
      <c r="I94" s="23">
        <v>47</v>
      </c>
      <c r="J94" s="23">
        <v>3</v>
      </c>
      <c r="K94" s="23">
        <v>0</v>
      </c>
      <c r="L94" s="23" t="s">
        <v>97</v>
      </c>
    </row>
    <row r="95" spans="1:12">
      <c r="A95" s="19">
        <f t="shared" ca="1" si="2"/>
        <v>24</v>
      </c>
      <c r="B95" s="19" cm="1">
        <f t="array" aca="1" ref="B95" ca="1">INDEX([1]Data_DBD!$B:$B,$A95)</f>
        <v>60</v>
      </c>
      <c r="C95" s="19" cm="1">
        <f t="array" aca="1" ref="C95" ca="1">INDEX([1]Data_DBD!$C:$C,$A95)</f>
        <v>4</v>
      </c>
      <c r="D95" s="19" cm="1">
        <f t="array" aca="1" ref="D95" ca="1">INDEX([1]Data_DBD!$E:$E,$A95)</f>
        <v>0</v>
      </c>
      <c r="E95" s="19" t="str" cm="1">
        <f t="array" aca="1" ref="E95" ca="1">INDEX([1]Data_DBD!$F:$F,$A95)</f>
        <v>Sedang</v>
      </c>
      <c r="H95" s="23">
        <v>37</v>
      </c>
      <c r="I95" s="23">
        <v>28</v>
      </c>
      <c r="J95" s="23">
        <v>4</v>
      </c>
      <c r="K95" s="23">
        <v>1</v>
      </c>
      <c r="L95" s="23" t="s">
        <v>20</v>
      </c>
    </row>
    <row r="96" spans="1:12">
      <c r="A96" s="19">
        <f t="shared" ca="1" si="2"/>
        <v>103</v>
      </c>
      <c r="B96" s="19" cm="1">
        <f t="array" aca="1" ref="B96" ca="1">INDEX([1]Data_DBD!$B:$B,$A96)</f>
        <v>22</v>
      </c>
      <c r="C96" s="19" cm="1">
        <f t="array" aca="1" ref="C96" ca="1">INDEX([1]Data_DBD!$C:$C,$A96)</f>
        <v>5</v>
      </c>
      <c r="D96" s="19" cm="1">
        <f t="array" aca="1" ref="D96" ca="1">INDEX([1]Data_DBD!$E:$E,$A96)</f>
        <v>0</v>
      </c>
      <c r="E96" s="19" t="str" cm="1">
        <f t="array" aca="1" ref="E96" ca="1">INDEX([1]Data_DBD!$F:$F,$A96)</f>
        <v>Tinggi</v>
      </c>
      <c r="H96" s="23">
        <v>64</v>
      </c>
      <c r="I96" s="23">
        <v>35</v>
      </c>
      <c r="J96" s="23">
        <v>1</v>
      </c>
      <c r="K96" s="23">
        <v>0</v>
      </c>
      <c r="L96" s="23" t="s">
        <v>7</v>
      </c>
    </row>
    <row r="97" spans="1:12">
      <c r="A97" s="19">
        <f t="shared" ca="1" si="2"/>
        <v>125</v>
      </c>
      <c r="B97" s="19" cm="1">
        <f t="array" aca="1" ref="B97" ca="1">INDEX([1]Data_DBD!$B:$B,$A97)</f>
        <v>39</v>
      </c>
      <c r="C97" s="19" cm="1">
        <f t="array" aca="1" ref="C97" ca="1">INDEX([1]Data_DBD!$C:$C,$A97)</f>
        <v>4</v>
      </c>
      <c r="D97" s="19" cm="1">
        <f t="array" aca="1" ref="D97" ca="1">INDEX([1]Data_DBD!$E:$E,$A97)</f>
        <v>0</v>
      </c>
      <c r="E97" s="19" t="str" cm="1">
        <f t="array" aca="1" ref="E97" ca="1">INDEX([1]Data_DBD!$F:$F,$A97)</f>
        <v>Tinggi</v>
      </c>
      <c r="H97" s="23">
        <v>9</v>
      </c>
      <c r="I97" s="23">
        <v>16</v>
      </c>
      <c r="J97" s="23">
        <v>6</v>
      </c>
      <c r="K97" s="23">
        <v>1</v>
      </c>
      <c r="L97" s="23" t="s">
        <v>7</v>
      </c>
    </row>
    <row r="98" spans="1:12">
      <c r="A98" s="19">
        <f t="shared" ref="A98:A129" ca="1" si="3">RANDBETWEEN(2,164)</f>
        <v>83</v>
      </c>
      <c r="B98" s="19" cm="1">
        <f t="array" aca="1" ref="B98" ca="1">INDEX([1]Data_DBD!$B:$B,$A98)</f>
        <v>50</v>
      </c>
      <c r="C98" s="19" cm="1">
        <f t="array" aca="1" ref="C98" ca="1">INDEX([1]Data_DBD!$C:$C,$A98)</f>
        <v>3</v>
      </c>
      <c r="D98" s="19" cm="1">
        <f t="array" aca="1" ref="D98" ca="1">INDEX([1]Data_DBD!$E:$E,$A98)</f>
        <v>0</v>
      </c>
      <c r="E98" s="19" t="str" cm="1">
        <f t="array" aca="1" ref="E98" ca="1">INDEX([1]Data_DBD!$F:$F,$A98)</f>
        <v>Sedang</v>
      </c>
      <c r="H98" s="23">
        <v>80</v>
      </c>
      <c r="I98" s="23">
        <v>27</v>
      </c>
      <c r="J98" s="23">
        <v>3</v>
      </c>
      <c r="K98" s="23">
        <v>1</v>
      </c>
      <c r="L98" s="23" t="s">
        <v>7</v>
      </c>
    </row>
    <row r="99" spans="1:12">
      <c r="A99" s="19">
        <f t="shared" ca="1" si="3"/>
        <v>102</v>
      </c>
      <c r="B99" s="19" cm="1">
        <f t="array" aca="1" ref="B99" ca="1">INDEX([1]Data_DBD!$B:$B,$A99)</f>
        <v>41</v>
      </c>
      <c r="C99" s="19" cm="1">
        <f t="array" aca="1" ref="C99" ca="1">INDEX([1]Data_DBD!$C:$C,$A99)</f>
        <v>4</v>
      </c>
      <c r="D99" s="19" cm="1">
        <f t="array" aca="1" ref="D99" ca="1">INDEX([1]Data_DBD!$E:$E,$A99)</f>
        <v>0</v>
      </c>
      <c r="E99" s="19" t="str" cm="1">
        <f t="array" aca="1" ref="E99" ca="1">INDEX([1]Data_DBD!$F:$F,$A99)</f>
        <v>Tinggi</v>
      </c>
      <c r="H99" s="23">
        <v>101</v>
      </c>
      <c r="I99" s="23">
        <v>42</v>
      </c>
      <c r="J99" s="23">
        <v>5</v>
      </c>
      <c r="K99" s="23">
        <v>0</v>
      </c>
      <c r="L99" s="23" t="s">
        <v>97</v>
      </c>
    </row>
    <row r="100" spans="1:12">
      <c r="A100" s="19">
        <f t="shared" ca="1" si="3"/>
        <v>148</v>
      </c>
      <c r="B100" s="19" cm="1">
        <f t="array" aca="1" ref="B100" ca="1">INDEX([1]Data_DBD!$B:$B,$A100)</f>
        <v>55</v>
      </c>
      <c r="C100" s="19" cm="1">
        <f t="array" aca="1" ref="C100" ca="1">INDEX([1]Data_DBD!$C:$C,$A100)</f>
        <v>3</v>
      </c>
      <c r="D100" s="19" cm="1">
        <f t="array" aca="1" ref="D100" ca="1">INDEX([1]Data_DBD!$E:$E,$A100)</f>
        <v>1</v>
      </c>
      <c r="E100" s="19" t="str" cm="1">
        <f t="array" aca="1" ref="E100" ca="1">INDEX([1]Data_DBD!$F:$F,$A100)</f>
        <v>Tinggi</v>
      </c>
      <c r="H100" s="23">
        <v>33</v>
      </c>
      <c r="I100" s="23">
        <v>19</v>
      </c>
      <c r="J100" s="23">
        <v>4</v>
      </c>
      <c r="K100" s="23">
        <v>1</v>
      </c>
      <c r="L100" s="23" t="s">
        <v>7</v>
      </c>
    </row>
    <row r="101" spans="1:12">
      <c r="A101" s="19">
        <f t="shared" ca="1" si="3"/>
        <v>73</v>
      </c>
      <c r="B101" s="19" cm="1">
        <f t="array" aca="1" ref="B101" ca="1">INDEX([1]Data_DBD!$B:$B,$A101)</f>
        <v>15</v>
      </c>
      <c r="C101" s="19" cm="1">
        <f t="array" aca="1" ref="C101" ca="1">INDEX([1]Data_DBD!$C:$C,$A101)</f>
        <v>3</v>
      </c>
      <c r="D101" s="19" cm="1">
        <f t="array" aca="1" ref="D101" ca="1">INDEX([1]Data_DBD!$E:$E,$A101)</f>
        <v>1</v>
      </c>
      <c r="E101" s="19" t="str" cm="1">
        <f t="array" aca="1" ref="E101" ca="1">INDEX([1]Data_DBD!$F:$F,$A101)</f>
        <v>Sedang</v>
      </c>
      <c r="H101" s="23">
        <v>88</v>
      </c>
      <c r="I101" s="23">
        <v>20</v>
      </c>
      <c r="J101" s="23">
        <v>4</v>
      </c>
      <c r="K101" s="23">
        <v>1</v>
      </c>
      <c r="L101" s="23" t="s">
        <v>7</v>
      </c>
    </row>
    <row r="102" spans="1:12">
      <c r="A102" s="19">
        <f t="shared" ca="1" si="3"/>
        <v>85</v>
      </c>
      <c r="B102" s="19" cm="1">
        <f t="array" aca="1" ref="B102" ca="1">INDEX([1]Data_DBD!$B:$B,$A102)</f>
        <v>27</v>
      </c>
      <c r="C102" s="19" cm="1">
        <f t="array" aca="1" ref="C102" ca="1">INDEX([1]Data_DBD!$C:$C,$A102)</f>
        <v>9</v>
      </c>
      <c r="D102" s="19" cm="1">
        <f t="array" aca="1" ref="D102" ca="1">INDEX([1]Data_DBD!$E:$E,$A102)</f>
        <v>0</v>
      </c>
      <c r="E102" s="19" t="str" cm="1">
        <f t="array" aca="1" ref="E102" ca="1">INDEX([1]Data_DBD!$F:$F,$A102)</f>
        <v>Sedang</v>
      </c>
      <c r="H102" s="23">
        <v>25</v>
      </c>
      <c r="I102" s="23">
        <v>81</v>
      </c>
      <c r="J102" s="23">
        <v>5</v>
      </c>
      <c r="K102" s="23">
        <v>0</v>
      </c>
      <c r="L102" s="23" t="s">
        <v>7</v>
      </c>
    </row>
    <row r="103" spans="1:12">
      <c r="A103" s="19">
        <f t="shared" ca="1" si="3"/>
        <v>54</v>
      </c>
      <c r="B103" s="19" cm="1">
        <f t="array" aca="1" ref="B103" ca="1">INDEX([1]Data_DBD!$B:$B,$A103)</f>
        <v>7</v>
      </c>
      <c r="C103" s="19" cm="1">
        <f t="array" aca="1" ref="C103" ca="1">INDEX([1]Data_DBD!$C:$C,$A103)</f>
        <v>3</v>
      </c>
      <c r="D103" s="19" cm="1">
        <f t="array" aca="1" ref="D103" ca="1">INDEX([1]Data_DBD!$E:$E,$A103)</f>
        <v>0</v>
      </c>
      <c r="E103" s="19" t="str" cm="1">
        <f t="array" aca="1" ref="E103" ca="1">INDEX([1]Data_DBD!$F:$F,$A103)</f>
        <v>Sedang</v>
      </c>
      <c r="H103" s="23">
        <v>107</v>
      </c>
      <c r="I103" s="23">
        <v>48</v>
      </c>
      <c r="J103" s="23">
        <v>5</v>
      </c>
      <c r="K103" s="23">
        <v>0</v>
      </c>
      <c r="L103" s="23" t="s">
        <v>97</v>
      </c>
    </row>
    <row r="104" spans="1:12">
      <c r="A104" s="19">
        <f t="shared" ca="1" si="3"/>
        <v>69</v>
      </c>
      <c r="B104" s="19" cm="1">
        <f t="array" aca="1" ref="B104" ca="1">INDEX([1]Data_DBD!$B:$B,$A104)</f>
        <v>24</v>
      </c>
      <c r="C104" s="19" cm="1">
        <f t="array" aca="1" ref="C104" ca="1">INDEX([1]Data_DBD!$C:$C,$A104)</f>
        <v>4</v>
      </c>
      <c r="D104" s="19" cm="1">
        <f t="array" aca="1" ref="D104" ca="1">INDEX([1]Data_DBD!$E:$E,$A104)</f>
        <v>1</v>
      </c>
      <c r="E104" s="19" t="str" cm="1">
        <f t="array" aca="1" ref="E104" ca="1">INDEX([1]Data_DBD!$F:$F,$A104)</f>
        <v>Sedang</v>
      </c>
      <c r="H104" s="23">
        <v>71</v>
      </c>
      <c r="I104" s="23">
        <v>84</v>
      </c>
      <c r="J104" s="23">
        <v>3</v>
      </c>
      <c r="K104" s="23">
        <v>0</v>
      </c>
      <c r="L104" s="23" t="s">
        <v>7</v>
      </c>
    </row>
    <row r="105" spans="1:12">
      <c r="A105" s="19">
        <f t="shared" ca="1" si="3"/>
        <v>21</v>
      </c>
      <c r="B105" s="19" cm="1">
        <f t="array" aca="1" ref="B105" ca="1">INDEX([1]Data_DBD!$B:$B,$A105)</f>
        <v>10</v>
      </c>
      <c r="C105" s="19" cm="1">
        <f t="array" aca="1" ref="C105" ca="1">INDEX([1]Data_DBD!$C:$C,$A105)</f>
        <v>5</v>
      </c>
      <c r="D105" s="19" cm="1">
        <f t="array" aca="1" ref="D105" ca="1">INDEX([1]Data_DBD!$E:$E,$A105)</f>
        <v>1</v>
      </c>
      <c r="E105" s="19" t="str" cm="1">
        <f t="array" aca="1" ref="E105" ca="1">INDEX([1]Data_DBD!$F:$F,$A105)</f>
        <v>Sedang</v>
      </c>
      <c r="H105" s="23">
        <v>90</v>
      </c>
      <c r="I105" s="23">
        <v>47</v>
      </c>
      <c r="J105" s="23">
        <v>3</v>
      </c>
      <c r="K105" s="23">
        <v>0</v>
      </c>
      <c r="L105" s="23" t="s">
        <v>97</v>
      </c>
    </row>
    <row r="106" spans="1:12">
      <c r="A106" s="19">
        <f t="shared" ca="1" si="3"/>
        <v>95</v>
      </c>
      <c r="B106" s="19" cm="1">
        <f t="array" aca="1" ref="B106" ca="1">INDEX([1]Data_DBD!$B:$B,$A106)</f>
        <v>11</v>
      </c>
      <c r="C106" s="19" cm="1">
        <f t="array" aca="1" ref="C106" ca="1">INDEX([1]Data_DBD!$C:$C,$A106)</f>
        <v>3</v>
      </c>
      <c r="D106" s="19" cm="1">
        <f t="array" aca="1" ref="D106" ca="1">INDEX([1]Data_DBD!$E:$E,$A106)</f>
        <v>1</v>
      </c>
      <c r="E106" s="19" t="str" cm="1">
        <f t="array" aca="1" ref="E106" ca="1">INDEX([1]Data_DBD!$F:$F,$A106)</f>
        <v>Tinggi</v>
      </c>
      <c r="H106" s="23">
        <v>11</v>
      </c>
      <c r="I106" s="23">
        <v>24</v>
      </c>
      <c r="J106" s="23">
        <v>5</v>
      </c>
      <c r="K106" s="23">
        <v>1</v>
      </c>
      <c r="L106" s="23" t="s">
        <v>7</v>
      </c>
    </row>
    <row r="107" spans="1:12">
      <c r="A107" s="19">
        <f t="shared" ca="1" si="3"/>
        <v>151</v>
      </c>
      <c r="B107" s="19" cm="1">
        <f t="array" aca="1" ref="B107" ca="1">INDEX([1]Data_DBD!$B:$B,$A107)</f>
        <v>24</v>
      </c>
      <c r="C107" s="19" cm="1">
        <f t="array" aca="1" ref="C107" ca="1">INDEX([1]Data_DBD!$C:$C,$A107)</f>
        <v>3</v>
      </c>
      <c r="D107" s="19" cm="1">
        <f t="array" aca="1" ref="D107" ca="1">INDEX([1]Data_DBD!$E:$E,$A107)</f>
        <v>0</v>
      </c>
      <c r="E107" s="19" t="str" cm="1">
        <f t="array" aca="1" ref="E107" ca="1">INDEX([1]Data_DBD!$F:$F,$A107)</f>
        <v>Tinggi</v>
      </c>
      <c r="H107" s="23">
        <v>26</v>
      </c>
      <c r="I107" s="23">
        <v>75</v>
      </c>
      <c r="J107" s="23">
        <v>4</v>
      </c>
      <c r="K107" s="23">
        <v>1</v>
      </c>
      <c r="L107" s="23" t="s">
        <v>7</v>
      </c>
    </row>
    <row r="108" spans="1:12">
      <c r="A108" s="19">
        <f t="shared" ca="1" si="3"/>
        <v>160</v>
      </c>
      <c r="B108" s="19" cm="1">
        <f t="array" aca="1" ref="B108" ca="1">INDEX([1]Data_DBD!$B:$B,$A108)</f>
        <v>16</v>
      </c>
      <c r="C108" s="19" cm="1">
        <f t="array" aca="1" ref="C108" ca="1">INDEX([1]Data_DBD!$C:$C,$A108)</f>
        <v>3</v>
      </c>
      <c r="D108" s="19" cm="1">
        <f t="array" aca="1" ref="D108" ca="1">INDEX([1]Data_DBD!$E:$E,$A108)</f>
        <v>0</v>
      </c>
      <c r="E108" s="19" t="str" cm="1">
        <f t="array" aca="1" ref="E108" ca="1">INDEX([1]Data_DBD!$F:$F,$A108)</f>
        <v>Tinggi</v>
      </c>
      <c r="H108" s="23">
        <v>133</v>
      </c>
      <c r="I108" s="23">
        <v>6</v>
      </c>
      <c r="J108" s="23">
        <v>4</v>
      </c>
      <c r="K108" s="23">
        <v>0</v>
      </c>
      <c r="L108" s="23" t="s">
        <v>97</v>
      </c>
    </row>
    <row r="109" spans="1:12">
      <c r="A109" s="19">
        <f t="shared" ca="1" si="3"/>
        <v>107</v>
      </c>
      <c r="B109" s="19" cm="1">
        <f t="array" aca="1" ref="B109" ca="1">INDEX([1]Data_DBD!$B:$B,$A109)</f>
        <v>48</v>
      </c>
      <c r="C109" s="19" cm="1">
        <f t="array" aca="1" ref="C109" ca="1">INDEX([1]Data_DBD!$C:$C,$A109)</f>
        <v>5</v>
      </c>
      <c r="D109" s="19" cm="1">
        <f t="array" aca="1" ref="D109" ca="1">INDEX([1]Data_DBD!$E:$E,$A109)</f>
        <v>0</v>
      </c>
      <c r="E109" s="19" t="str" cm="1">
        <f t="array" aca="1" ref="E109" ca="1">INDEX([1]Data_DBD!$F:$F,$A109)</f>
        <v>Tinggi</v>
      </c>
      <c r="H109" s="23">
        <v>26</v>
      </c>
      <c r="I109" s="23">
        <v>75</v>
      </c>
      <c r="J109" s="23">
        <v>4</v>
      </c>
      <c r="K109" s="23">
        <v>1</v>
      </c>
      <c r="L109" s="23" t="s">
        <v>7</v>
      </c>
    </row>
    <row r="110" spans="1:12">
      <c r="A110" s="19">
        <f t="shared" ca="1" si="3"/>
        <v>87</v>
      </c>
      <c r="B110" s="19" cm="1">
        <f t="array" aca="1" ref="B110" ca="1">INDEX([1]Data_DBD!$B:$B,$A110)</f>
        <v>21</v>
      </c>
      <c r="C110" s="19" cm="1">
        <f t="array" aca="1" ref="C110" ca="1">INDEX([1]Data_DBD!$C:$C,$A110)</f>
        <v>3</v>
      </c>
      <c r="D110" s="19" cm="1">
        <f t="array" aca="1" ref="D110" ca="1">INDEX([1]Data_DBD!$E:$E,$A110)</f>
        <v>0</v>
      </c>
      <c r="E110" s="19" t="str" cm="1">
        <f t="array" aca="1" ref="E110" ca="1">INDEX([1]Data_DBD!$F:$F,$A110)</f>
        <v>Sedang</v>
      </c>
      <c r="H110" s="23">
        <v>116</v>
      </c>
      <c r="I110" s="23">
        <v>32</v>
      </c>
      <c r="J110" s="23">
        <v>4</v>
      </c>
      <c r="K110" s="23">
        <v>1</v>
      </c>
      <c r="L110" s="23" t="s">
        <v>97</v>
      </c>
    </row>
    <row r="111" spans="1:12">
      <c r="A111" s="19">
        <f t="shared" ca="1" si="3"/>
        <v>36</v>
      </c>
      <c r="B111" s="19" cm="1">
        <f t="array" aca="1" ref="B111" ca="1">INDEX([1]Data_DBD!$B:$B,$A111)</f>
        <v>27</v>
      </c>
      <c r="C111" s="19" cm="1">
        <f t="array" aca="1" ref="C111" ca="1">INDEX([1]Data_DBD!$C:$C,$A111)</f>
        <v>1</v>
      </c>
      <c r="D111" s="19" cm="1">
        <f t="array" aca="1" ref="D111" ca="1">INDEX([1]Data_DBD!$E:$E,$A111)</f>
        <v>1</v>
      </c>
      <c r="E111" s="19" t="str" cm="1">
        <f t="array" aca="1" ref="E111" ca="1">INDEX([1]Data_DBD!$F:$F,$A111)</f>
        <v>Rendah</v>
      </c>
      <c r="H111" s="23">
        <v>162</v>
      </c>
      <c r="I111" s="23">
        <v>22</v>
      </c>
      <c r="J111" s="23">
        <v>3</v>
      </c>
      <c r="K111" s="23">
        <v>1</v>
      </c>
      <c r="L111" s="23" t="s">
        <v>20</v>
      </c>
    </row>
    <row r="112" spans="1:12">
      <c r="A112" s="19">
        <f t="shared" ca="1" si="3"/>
        <v>63</v>
      </c>
      <c r="B112" s="19" cm="1">
        <f t="array" aca="1" ref="B112" ca="1">INDEX([1]Data_DBD!$B:$B,$A112)</f>
        <v>25</v>
      </c>
      <c r="C112" s="19" cm="1">
        <f t="array" aca="1" ref="C112" ca="1">INDEX([1]Data_DBD!$C:$C,$A112)</f>
        <v>3</v>
      </c>
      <c r="D112" s="19" cm="1">
        <f t="array" aca="1" ref="D112" ca="1">INDEX([1]Data_DBD!$E:$E,$A112)</f>
        <v>0</v>
      </c>
      <c r="E112" s="19" t="str" cm="1">
        <f t="array" aca="1" ref="E112" ca="1">INDEX([1]Data_DBD!$F:$F,$A112)</f>
        <v>Sedang</v>
      </c>
      <c r="H112" s="23">
        <v>154</v>
      </c>
      <c r="I112" s="23">
        <v>18</v>
      </c>
      <c r="J112" s="23">
        <v>5</v>
      </c>
      <c r="K112" s="23">
        <v>1</v>
      </c>
      <c r="L112" s="23" t="s">
        <v>97</v>
      </c>
    </row>
    <row r="113" spans="1:12">
      <c r="A113" s="19">
        <f t="shared" ca="1" si="3"/>
        <v>114</v>
      </c>
      <c r="B113" s="19" cm="1">
        <f t="array" aca="1" ref="B113" ca="1">INDEX([1]Data_DBD!$B:$B,$A113)</f>
        <v>14</v>
      </c>
      <c r="C113" s="19" cm="1">
        <f t="array" aca="1" ref="C113" ca="1">INDEX([1]Data_DBD!$C:$C,$A113)</f>
        <v>2</v>
      </c>
      <c r="D113" s="19" cm="1">
        <f t="array" aca="1" ref="D113" ca="1">INDEX([1]Data_DBD!$E:$E,$A113)</f>
        <v>1</v>
      </c>
      <c r="E113" s="19" t="str" cm="1">
        <f t="array" aca="1" ref="E113" ca="1">INDEX([1]Data_DBD!$F:$F,$A113)</f>
        <v>Tinggi</v>
      </c>
      <c r="H113" s="23">
        <v>114</v>
      </c>
      <c r="I113" s="23">
        <v>14</v>
      </c>
      <c r="J113" s="23">
        <v>2</v>
      </c>
      <c r="K113" s="23">
        <v>1</v>
      </c>
      <c r="L113" s="23" t="s">
        <v>97</v>
      </c>
    </row>
    <row r="114" spans="1:12">
      <c r="A114" s="19">
        <f t="shared" ca="1" si="3"/>
        <v>5</v>
      </c>
      <c r="B114" s="19" cm="1">
        <f t="array" aca="1" ref="B114" ca="1">INDEX([1]Data_DBD!$B:$B,$A114)</f>
        <v>18</v>
      </c>
      <c r="C114" s="19" cm="1">
        <f t="array" aca="1" ref="C114" ca="1">INDEX([1]Data_DBD!$C:$C,$A114)</f>
        <v>2</v>
      </c>
      <c r="D114" s="19" cm="1">
        <f t="array" aca="1" ref="D114" ca="1">INDEX([1]Data_DBD!$E:$E,$A114)</f>
        <v>1</v>
      </c>
      <c r="E114" s="19" t="str" cm="1">
        <f t="array" aca="1" ref="E114" ca="1">INDEX([1]Data_DBD!$F:$F,$A114)</f>
        <v>Sedang</v>
      </c>
      <c r="H114" s="23">
        <v>104</v>
      </c>
      <c r="I114" s="23">
        <v>37</v>
      </c>
      <c r="J114" s="23">
        <v>4</v>
      </c>
      <c r="K114" s="23">
        <v>1</v>
      </c>
      <c r="L114" s="23" t="s">
        <v>97</v>
      </c>
    </row>
    <row r="115" spans="1:12">
      <c r="A115" s="19">
        <f t="shared" ca="1" si="3"/>
        <v>129</v>
      </c>
      <c r="B115" s="19" cm="1">
        <f t="array" aca="1" ref="B115" ca="1">INDEX([1]Data_DBD!$B:$B,$A115)</f>
        <v>4</v>
      </c>
      <c r="C115" s="19" cm="1">
        <f t="array" aca="1" ref="C115" ca="1">INDEX([1]Data_DBD!$C:$C,$A115)</f>
        <v>3</v>
      </c>
      <c r="D115" s="19" cm="1">
        <f t="array" aca="1" ref="D115" ca="1">INDEX([1]Data_DBD!$E:$E,$A115)</f>
        <v>0</v>
      </c>
      <c r="E115" s="19" t="str" cm="1">
        <f t="array" aca="1" ref="E115" ca="1">INDEX([1]Data_DBD!$F:$F,$A115)</f>
        <v>Tinggi</v>
      </c>
      <c r="H115" s="23">
        <v>24</v>
      </c>
      <c r="I115" s="23">
        <v>60</v>
      </c>
      <c r="J115" s="23">
        <v>4</v>
      </c>
      <c r="K115" s="23">
        <v>0</v>
      </c>
      <c r="L115" s="23" t="s">
        <v>7</v>
      </c>
    </row>
    <row r="116" spans="1:12">
      <c r="A116" s="19">
        <f t="shared" ca="1" si="3"/>
        <v>83</v>
      </c>
      <c r="B116" s="19" cm="1">
        <f t="array" aca="1" ref="B116" ca="1">INDEX([1]Data_DBD!$B:$B,$A116)</f>
        <v>50</v>
      </c>
      <c r="C116" s="19" cm="1">
        <f t="array" aca="1" ref="C116" ca="1">INDEX([1]Data_DBD!$C:$C,$A116)</f>
        <v>3</v>
      </c>
      <c r="D116" s="19" cm="1">
        <f t="array" aca="1" ref="D116" ca="1">INDEX([1]Data_DBD!$E:$E,$A116)</f>
        <v>0</v>
      </c>
      <c r="E116" s="19" t="str" cm="1">
        <f t="array" aca="1" ref="E116" ca="1">INDEX([1]Data_DBD!$F:$F,$A116)</f>
        <v>Sedang</v>
      </c>
      <c r="H116" s="23">
        <v>116</v>
      </c>
      <c r="I116" s="23">
        <v>32</v>
      </c>
      <c r="J116" s="23">
        <v>4</v>
      </c>
      <c r="K116" s="23">
        <v>1</v>
      </c>
      <c r="L116" s="23" t="s">
        <v>97</v>
      </c>
    </row>
    <row r="117" spans="1:12">
      <c r="A117" s="19">
        <f t="shared" ca="1" si="3"/>
        <v>69</v>
      </c>
      <c r="B117" s="19" cm="1">
        <f t="array" aca="1" ref="B117" ca="1">INDEX([1]Data_DBD!$B:$B,$A117)</f>
        <v>24</v>
      </c>
      <c r="C117" s="19" cm="1">
        <f t="array" aca="1" ref="C117" ca="1">INDEX([1]Data_DBD!$C:$C,$A117)</f>
        <v>4</v>
      </c>
      <c r="D117" s="19" cm="1">
        <f t="array" aca="1" ref="D117" ca="1">INDEX([1]Data_DBD!$E:$E,$A117)</f>
        <v>1</v>
      </c>
      <c r="E117" s="19" t="str" cm="1">
        <f t="array" aca="1" ref="E117" ca="1">INDEX([1]Data_DBD!$F:$F,$A117)</f>
        <v>Sedang</v>
      </c>
      <c r="H117" s="23">
        <v>99</v>
      </c>
      <c r="I117" s="23">
        <v>4</v>
      </c>
      <c r="J117" s="23">
        <v>2</v>
      </c>
      <c r="K117" s="23">
        <v>1</v>
      </c>
      <c r="L117" s="23" t="s">
        <v>97</v>
      </c>
    </row>
    <row r="118" spans="1:12">
      <c r="A118" s="19">
        <f t="shared" ca="1" si="3"/>
        <v>19</v>
      </c>
      <c r="B118" s="19" cm="1">
        <f t="array" aca="1" ref="B118" ca="1">INDEX([1]Data_DBD!$B:$B,$A118)</f>
        <v>8</v>
      </c>
      <c r="C118" s="19" cm="1">
        <f t="array" aca="1" ref="C118" ca="1">INDEX([1]Data_DBD!$C:$C,$A118)</f>
        <v>4</v>
      </c>
      <c r="D118" s="19" cm="1">
        <f t="array" aca="1" ref="D118" ca="1">INDEX([1]Data_DBD!$E:$E,$A118)</f>
        <v>0</v>
      </c>
      <c r="E118" s="19" t="str" cm="1">
        <f t="array" aca="1" ref="E118" ca="1">INDEX([1]Data_DBD!$F:$F,$A118)</f>
        <v>Rendah</v>
      </c>
      <c r="H118" s="23">
        <v>128</v>
      </c>
      <c r="I118" s="23">
        <v>38</v>
      </c>
      <c r="J118" s="23">
        <v>2</v>
      </c>
      <c r="K118" s="23">
        <v>0</v>
      </c>
      <c r="L118" s="23" t="s">
        <v>97</v>
      </c>
    </row>
    <row r="119" spans="1:12">
      <c r="A119" s="19">
        <f t="shared" ca="1" si="3"/>
        <v>152</v>
      </c>
      <c r="B119" s="19" cm="1">
        <f t="array" aca="1" ref="B119" ca="1">INDEX([1]Data_DBD!$B:$B,$A119)</f>
        <v>47</v>
      </c>
      <c r="C119" s="19" cm="1">
        <f t="array" aca="1" ref="C119" ca="1">INDEX([1]Data_DBD!$C:$C,$A119)</f>
        <v>3</v>
      </c>
      <c r="D119" s="19" cm="1">
        <f t="array" aca="1" ref="D119" ca="1">INDEX([1]Data_DBD!$E:$E,$A119)</f>
        <v>1</v>
      </c>
      <c r="E119" s="19" t="str" cm="1">
        <f t="array" aca="1" ref="E119" ca="1">INDEX([1]Data_DBD!$F:$F,$A119)</f>
        <v>Tinggi</v>
      </c>
      <c r="H119" s="23">
        <v>8</v>
      </c>
      <c r="I119" s="23">
        <v>4</v>
      </c>
      <c r="J119" s="23">
        <v>2</v>
      </c>
      <c r="K119" s="23">
        <v>0</v>
      </c>
      <c r="L119" s="23" t="s">
        <v>7</v>
      </c>
    </row>
    <row r="120" spans="1:12">
      <c r="A120" s="19">
        <f t="shared" ca="1" si="3"/>
        <v>118</v>
      </c>
      <c r="B120" s="19" cm="1">
        <f t="array" aca="1" ref="B120" ca="1">INDEX([1]Data_DBD!$B:$B,$A120)</f>
        <v>67</v>
      </c>
      <c r="C120" s="19" cm="1">
        <f t="array" aca="1" ref="C120" ca="1">INDEX([1]Data_DBD!$C:$C,$A120)</f>
        <v>4</v>
      </c>
      <c r="D120" s="19" cm="1">
        <f t="array" aca="1" ref="D120" ca="1">INDEX([1]Data_DBD!$E:$E,$A120)</f>
        <v>1</v>
      </c>
      <c r="E120" s="19" t="str" cm="1">
        <f t="array" aca="1" ref="E120" ca="1">INDEX([1]Data_DBD!$F:$F,$A120)</f>
        <v>Tinggi</v>
      </c>
      <c r="H120" s="23">
        <v>103</v>
      </c>
      <c r="I120" s="23">
        <v>22</v>
      </c>
      <c r="J120" s="23">
        <v>5</v>
      </c>
      <c r="K120" s="23">
        <v>0</v>
      </c>
      <c r="L120" s="23" t="s">
        <v>97</v>
      </c>
    </row>
    <row r="121" spans="1:12">
      <c r="A121" s="19">
        <f t="shared" ca="1" si="3"/>
        <v>75</v>
      </c>
      <c r="B121" s="19" cm="1">
        <f t="array" aca="1" ref="B121" ca="1">INDEX([1]Data_DBD!$B:$B,$A121)</f>
        <v>2</v>
      </c>
      <c r="C121" s="19" cm="1">
        <f t="array" aca="1" ref="C121" ca="1">INDEX([1]Data_DBD!$C:$C,$A121)</f>
        <v>2</v>
      </c>
      <c r="D121" s="19" cm="1">
        <f t="array" aca="1" ref="D121" ca="1">INDEX([1]Data_DBD!$E:$E,$A121)</f>
        <v>1</v>
      </c>
      <c r="E121" s="19" t="str" cm="1">
        <f t="array" aca="1" ref="E121" ca="1">INDEX([1]Data_DBD!$F:$F,$A121)</f>
        <v>Sedang</v>
      </c>
      <c r="H121" s="23">
        <v>126</v>
      </c>
      <c r="I121" s="23">
        <v>51</v>
      </c>
      <c r="J121" s="23">
        <v>3</v>
      </c>
      <c r="K121" s="23">
        <v>1</v>
      </c>
      <c r="L121" s="23" t="s">
        <v>97</v>
      </c>
    </row>
    <row r="122" spans="1:12">
      <c r="A122" s="19">
        <f t="shared" ca="1" si="3"/>
        <v>31</v>
      </c>
      <c r="B122" s="19" cm="1">
        <f t="array" aca="1" ref="B122" ca="1">INDEX([1]Data_DBD!$B:$B,$A122)</f>
        <v>64</v>
      </c>
      <c r="C122" s="19" cm="1">
        <f t="array" aca="1" ref="C122" ca="1">INDEX([1]Data_DBD!$C:$C,$A122)</f>
        <v>4</v>
      </c>
      <c r="D122" s="19" cm="1">
        <f t="array" aca="1" ref="D122" ca="1">INDEX([1]Data_DBD!$E:$E,$A122)</f>
        <v>1</v>
      </c>
      <c r="E122" s="19" t="str" cm="1">
        <f t="array" aca="1" ref="E122" ca="1">INDEX([1]Data_DBD!$F:$F,$A122)</f>
        <v>Sedang</v>
      </c>
      <c r="H122" s="23">
        <v>48</v>
      </c>
      <c r="I122" s="23">
        <v>50</v>
      </c>
      <c r="J122" s="23">
        <v>5</v>
      </c>
      <c r="K122" s="23">
        <v>1</v>
      </c>
      <c r="L122" s="23" t="s">
        <v>7</v>
      </c>
    </row>
    <row r="123" spans="1:12">
      <c r="A123" s="19">
        <f t="shared" ca="1" si="3"/>
        <v>5</v>
      </c>
      <c r="B123" s="19" cm="1">
        <f t="array" aca="1" ref="B123" ca="1">INDEX([1]Data_DBD!$B:$B,$A123)</f>
        <v>18</v>
      </c>
      <c r="C123" s="19" cm="1">
        <f t="array" aca="1" ref="C123" ca="1">INDEX([1]Data_DBD!$C:$C,$A123)</f>
        <v>2</v>
      </c>
      <c r="D123" s="19" cm="1">
        <f t="array" aca="1" ref="D123" ca="1">INDEX([1]Data_DBD!$E:$E,$A123)</f>
        <v>1</v>
      </c>
      <c r="E123" s="19" t="str" cm="1">
        <f t="array" aca="1" ref="E123" ca="1">INDEX([1]Data_DBD!$F:$F,$A123)</f>
        <v>Sedang</v>
      </c>
      <c r="H123" s="23">
        <v>35</v>
      </c>
      <c r="I123" s="23">
        <v>40</v>
      </c>
      <c r="J123" s="23">
        <v>3</v>
      </c>
      <c r="K123" s="23">
        <v>1</v>
      </c>
      <c r="L123" s="23" t="s">
        <v>20</v>
      </c>
    </row>
    <row r="124" spans="1:12">
      <c r="A124" s="19">
        <f t="shared" ca="1" si="3"/>
        <v>46</v>
      </c>
      <c r="B124" s="19" cm="1">
        <f t="array" aca="1" ref="B124" ca="1">INDEX([1]Data_DBD!$B:$B,$A124)</f>
        <v>62</v>
      </c>
      <c r="C124" s="19" cm="1">
        <f t="array" aca="1" ref="C124" ca="1">INDEX([1]Data_DBD!$C:$C,$A124)</f>
        <v>2</v>
      </c>
      <c r="D124" s="19" cm="1">
        <f t="array" aca="1" ref="D124" ca="1">INDEX([1]Data_DBD!$E:$E,$A124)</f>
        <v>0</v>
      </c>
      <c r="E124" s="19" t="str" cm="1">
        <f t="array" aca="1" ref="E124" ca="1">INDEX([1]Data_DBD!$F:$F,$A124)</f>
        <v>Sedang</v>
      </c>
      <c r="H124" s="23">
        <v>20</v>
      </c>
      <c r="I124" s="23">
        <v>15</v>
      </c>
      <c r="J124" s="23">
        <v>5</v>
      </c>
      <c r="K124" s="23">
        <v>0</v>
      </c>
      <c r="L124" s="23" t="s">
        <v>20</v>
      </c>
    </row>
    <row r="125" spans="1:12">
      <c r="A125" s="19">
        <f t="shared" ca="1" si="3"/>
        <v>21</v>
      </c>
      <c r="B125" s="19" cm="1">
        <f t="array" aca="1" ref="B125" ca="1">INDEX([1]Data_DBD!$B:$B,$A125)</f>
        <v>10</v>
      </c>
      <c r="C125" s="19" cm="1">
        <f t="array" aca="1" ref="C125" ca="1">INDEX([1]Data_DBD!$C:$C,$A125)</f>
        <v>5</v>
      </c>
      <c r="D125" s="19" cm="1">
        <f t="array" aca="1" ref="D125" ca="1">INDEX([1]Data_DBD!$E:$E,$A125)</f>
        <v>1</v>
      </c>
      <c r="E125" s="19" t="str" cm="1">
        <f t="array" aca="1" ref="E125" ca="1">INDEX([1]Data_DBD!$F:$F,$A125)</f>
        <v>Sedang</v>
      </c>
      <c r="H125" s="23">
        <v>25</v>
      </c>
      <c r="I125" s="23">
        <v>81</v>
      </c>
      <c r="J125" s="23">
        <v>5</v>
      </c>
      <c r="K125" s="23">
        <v>0</v>
      </c>
      <c r="L125" s="23" t="s">
        <v>7</v>
      </c>
    </row>
    <row r="126" spans="1:12">
      <c r="A126" s="19">
        <f t="shared" ca="1" si="3"/>
        <v>85</v>
      </c>
      <c r="B126" s="19" cm="1">
        <f t="array" aca="1" ref="B126" ca="1">INDEX([1]Data_DBD!$B:$B,$A126)</f>
        <v>27</v>
      </c>
      <c r="C126" s="19" cm="1">
        <f t="array" aca="1" ref="C126" ca="1">INDEX([1]Data_DBD!$C:$C,$A126)</f>
        <v>9</v>
      </c>
      <c r="D126" s="19" cm="1">
        <f t="array" aca="1" ref="D126" ca="1">INDEX([1]Data_DBD!$E:$E,$A126)</f>
        <v>0</v>
      </c>
      <c r="E126" s="19" t="str" cm="1">
        <f t="array" aca="1" ref="E126" ca="1">INDEX([1]Data_DBD!$F:$F,$A126)</f>
        <v>Sedang</v>
      </c>
      <c r="H126" s="23">
        <v>109</v>
      </c>
      <c r="I126" s="23">
        <v>40</v>
      </c>
      <c r="J126" s="23">
        <v>3</v>
      </c>
      <c r="K126" s="23">
        <v>1</v>
      </c>
      <c r="L126" s="23" t="s">
        <v>97</v>
      </c>
    </row>
    <row r="127" spans="1:12">
      <c r="A127" s="19">
        <f t="shared" ca="1" si="3"/>
        <v>58</v>
      </c>
      <c r="B127" s="19" cm="1">
        <f t="array" aca="1" ref="B127" ca="1">INDEX([1]Data_DBD!$B:$B,$A127)</f>
        <v>17</v>
      </c>
      <c r="C127" s="19" cm="1">
        <f t="array" aca="1" ref="C127" ca="1">INDEX([1]Data_DBD!$C:$C,$A127)</f>
        <v>3</v>
      </c>
      <c r="D127" s="19" cm="1">
        <f t="array" aca="1" ref="D127" ca="1">INDEX([1]Data_DBD!$E:$E,$A127)</f>
        <v>0</v>
      </c>
      <c r="E127" s="19" t="str" cm="1">
        <f t="array" aca="1" ref="E127" ca="1">INDEX([1]Data_DBD!$F:$F,$A127)</f>
        <v>Sedang</v>
      </c>
      <c r="H127" s="23">
        <v>63</v>
      </c>
      <c r="I127" s="23">
        <v>25</v>
      </c>
      <c r="J127" s="23">
        <v>3</v>
      </c>
      <c r="K127" s="23">
        <v>0</v>
      </c>
      <c r="L127" s="23" t="s">
        <v>7</v>
      </c>
    </row>
    <row r="128" spans="1:12">
      <c r="A128" s="19">
        <f t="shared" ca="1" si="3"/>
        <v>102</v>
      </c>
      <c r="B128" s="19" cm="1">
        <f t="array" aca="1" ref="B128" ca="1">INDEX([1]Data_DBD!$B:$B,$A128)</f>
        <v>41</v>
      </c>
      <c r="C128" s="19" cm="1">
        <f t="array" aca="1" ref="C128" ca="1">INDEX([1]Data_DBD!$C:$C,$A128)</f>
        <v>4</v>
      </c>
      <c r="D128" s="19" cm="1">
        <f t="array" aca="1" ref="D128" ca="1">INDEX([1]Data_DBD!$E:$E,$A128)</f>
        <v>0</v>
      </c>
      <c r="E128" s="19" t="str" cm="1">
        <f t="array" aca="1" ref="E128" ca="1">INDEX([1]Data_DBD!$F:$F,$A128)</f>
        <v>Tinggi</v>
      </c>
      <c r="H128" s="23">
        <v>74</v>
      </c>
      <c r="I128" s="23">
        <v>9</v>
      </c>
      <c r="J128" s="23">
        <v>4</v>
      </c>
      <c r="K128" s="23">
        <v>0</v>
      </c>
      <c r="L128" s="23" t="s">
        <v>7</v>
      </c>
    </row>
    <row r="129" spans="1:12">
      <c r="A129" s="19">
        <f t="shared" ca="1" si="3"/>
        <v>14</v>
      </c>
      <c r="B129" s="19" cm="1">
        <f t="array" aca="1" ref="B129" ca="1">INDEX([1]Data_DBD!$B:$B,$A129)</f>
        <v>49</v>
      </c>
      <c r="C129" s="19" cm="1">
        <f t="array" aca="1" ref="C129" ca="1">INDEX([1]Data_DBD!$C:$C,$A129)</f>
        <v>4</v>
      </c>
      <c r="D129" s="19" cm="1">
        <f t="array" aca="1" ref="D129" ca="1">INDEX([1]Data_DBD!$E:$E,$A129)</f>
        <v>1</v>
      </c>
      <c r="E129" s="19" t="str" cm="1">
        <f t="array" aca="1" ref="E129" ca="1">INDEX([1]Data_DBD!$F:$F,$A129)</f>
        <v>Rendah</v>
      </c>
      <c r="H129" s="23">
        <v>132</v>
      </c>
      <c r="I129" s="23">
        <v>10</v>
      </c>
      <c r="J129" s="23">
        <v>3</v>
      </c>
      <c r="K129" s="23">
        <v>1</v>
      </c>
      <c r="L129" s="23" t="s">
        <v>97</v>
      </c>
    </row>
    <row r="130" spans="1:12">
      <c r="A130" s="19">
        <f t="shared" ref="A130:A164" ca="1" si="4">RANDBETWEEN(2,164)</f>
        <v>113</v>
      </c>
      <c r="B130" s="19" cm="1">
        <f t="array" aca="1" ref="B130" ca="1">INDEX([1]Data_DBD!$B:$B,$A130)</f>
        <v>69</v>
      </c>
      <c r="C130" s="19" cm="1">
        <f t="array" aca="1" ref="C130" ca="1">INDEX([1]Data_DBD!$C:$C,$A130)</f>
        <v>1</v>
      </c>
      <c r="D130" s="19" cm="1">
        <f t="array" aca="1" ref="D130" ca="1">INDEX([1]Data_DBD!$E:$E,$A130)</f>
        <v>1</v>
      </c>
      <c r="E130" s="19" t="str" cm="1">
        <f t="array" aca="1" ref="E130" ca="1">INDEX([1]Data_DBD!$F:$F,$A130)</f>
        <v>Tinggi</v>
      </c>
      <c r="H130" s="23">
        <v>14</v>
      </c>
      <c r="I130" s="23">
        <v>49</v>
      </c>
      <c r="J130" s="23">
        <v>4</v>
      </c>
      <c r="K130" s="23">
        <v>1</v>
      </c>
      <c r="L130" s="23" t="s">
        <v>20</v>
      </c>
    </row>
    <row r="131" spans="1:12">
      <c r="A131" s="19">
        <f t="shared" ca="1" si="4"/>
        <v>35</v>
      </c>
      <c r="B131" s="19" cm="1">
        <f t="array" aca="1" ref="B131" ca="1">INDEX([1]Data_DBD!$B:$B,$A131)</f>
        <v>40</v>
      </c>
      <c r="C131" s="19" cm="1">
        <f t="array" aca="1" ref="C131" ca="1">INDEX([1]Data_DBD!$C:$C,$A131)</f>
        <v>3</v>
      </c>
      <c r="D131" s="19" cm="1">
        <f t="array" aca="1" ref="D131" ca="1">INDEX([1]Data_DBD!$E:$E,$A131)</f>
        <v>1</v>
      </c>
      <c r="E131" s="19" t="str" cm="1">
        <f t="array" aca="1" ref="E131" ca="1">INDEX([1]Data_DBD!$F:$F,$A131)</f>
        <v>Rendah</v>
      </c>
      <c r="H131" s="23">
        <v>60</v>
      </c>
      <c r="I131" s="23">
        <v>68</v>
      </c>
      <c r="J131" s="23">
        <v>4</v>
      </c>
      <c r="K131" s="23">
        <v>0</v>
      </c>
      <c r="L131" s="23" t="s">
        <v>7</v>
      </c>
    </row>
    <row r="132" spans="1:12">
      <c r="A132" s="19">
        <f t="shared" ca="1" si="4"/>
        <v>64</v>
      </c>
      <c r="B132" s="19" cm="1">
        <f t="array" aca="1" ref="B132" ca="1">INDEX([1]Data_DBD!$B:$B,$A132)</f>
        <v>35</v>
      </c>
      <c r="C132" s="19" cm="1">
        <f t="array" aca="1" ref="C132" ca="1">INDEX([1]Data_DBD!$C:$C,$A132)</f>
        <v>1</v>
      </c>
      <c r="D132" s="19" cm="1">
        <f t="array" aca="1" ref="D132" ca="1">INDEX([1]Data_DBD!$E:$E,$A132)</f>
        <v>0</v>
      </c>
      <c r="E132" s="19" t="str" cm="1">
        <f t="array" aca="1" ref="E132" ca="1">INDEX([1]Data_DBD!$F:$F,$A132)</f>
        <v>Sedang</v>
      </c>
      <c r="H132" s="23">
        <v>82</v>
      </c>
      <c r="I132" s="23">
        <v>28</v>
      </c>
      <c r="J132" s="23">
        <v>3</v>
      </c>
      <c r="K132" s="23">
        <v>1</v>
      </c>
      <c r="L132" s="23" t="s">
        <v>7</v>
      </c>
    </row>
    <row r="133" spans="1:12">
      <c r="A133" s="19">
        <f t="shared" ca="1" si="4"/>
        <v>132</v>
      </c>
      <c r="B133" s="19" cm="1">
        <f t="array" aca="1" ref="B133" ca="1">INDEX([1]Data_DBD!$B:$B,$A133)</f>
        <v>10</v>
      </c>
      <c r="C133" s="19" cm="1">
        <f t="array" aca="1" ref="C133" ca="1">INDEX([1]Data_DBD!$C:$C,$A133)</f>
        <v>3</v>
      </c>
      <c r="D133" s="19" cm="1">
        <f t="array" aca="1" ref="D133" ca="1">INDEX([1]Data_DBD!$E:$E,$A133)</f>
        <v>1</v>
      </c>
      <c r="E133" s="19" t="str" cm="1">
        <f t="array" aca="1" ref="E133" ca="1">INDEX([1]Data_DBD!$F:$F,$A133)</f>
        <v>Tinggi</v>
      </c>
      <c r="H133" s="23">
        <v>107</v>
      </c>
      <c r="I133" s="23">
        <v>48</v>
      </c>
      <c r="J133" s="23">
        <v>5</v>
      </c>
      <c r="K133" s="23">
        <v>0</v>
      </c>
      <c r="L133" s="23" t="s">
        <v>97</v>
      </c>
    </row>
    <row r="134" spans="1:12">
      <c r="A134" s="19">
        <f t="shared" ca="1" si="4"/>
        <v>29</v>
      </c>
      <c r="B134" s="19" cm="1">
        <f t="array" aca="1" ref="B134" ca="1">INDEX([1]Data_DBD!$B:$B,$A134)</f>
        <v>19</v>
      </c>
      <c r="C134" s="19" cm="1">
        <f t="array" aca="1" ref="C134" ca="1">INDEX([1]Data_DBD!$C:$C,$A134)</f>
        <v>2</v>
      </c>
      <c r="D134" s="19" cm="1">
        <f t="array" aca="1" ref="D134" ca="1">INDEX([1]Data_DBD!$E:$E,$A134)</f>
        <v>1</v>
      </c>
      <c r="E134" s="19" t="str" cm="1">
        <f t="array" aca="1" ref="E134" ca="1">INDEX([1]Data_DBD!$F:$F,$A134)</f>
        <v>Sedang</v>
      </c>
      <c r="H134" s="23">
        <v>154</v>
      </c>
      <c r="I134" s="23">
        <v>18</v>
      </c>
      <c r="J134" s="23">
        <v>5</v>
      </c>
      <c r="K134" s="23">
        <v>1</v>
      </c>
      <c r="L134" s="23" t="s">
        <v>97</v>
      </c>
    </row>
    <row r="135" spans="1:12">
      <c r="A135" s="19">
        <f t="shared" ca="1" si="4"/>
        <v>75</v>
      </c>
      <c r="B135" s="19" cm="1">
        <f t="array" aca="1" ref="B135" ca="1">INDEX([1]Data_DBD!$B:$B,$A135)</f>
        <v>2</v>
      </c>
      <c r="C135" s="19" cm="1">
        <f t="array" aca="1" ref="C135" ca="1">INDEX([1]Data_DBD!$C:$C,$A135)</f>
        <v>2</v>
      </c>
      <c r="D135" s="19" cm="1">
        <f t="array" aca="1" ref="D135" ca="1">INDEX([1]Data_DBD!$E:$E,$A135)</f>
        <v>1</v>
      </c>
      <c r="E135" s="19" t="str" cm="1">
        <f t="array" aca="1" ref="E135" ca="1">INDEX([1]Data_DBD!$F:$F,$A135)</f>
        <v>Sedang</v>
      </c>
      <c r="H135" s="23">
        <v>103</v>
      </c>
      <c r="I135" s="23">
        <v>22</v>
      </c>
      <c r="J135" s="23">
        <v>5</v>
      </c>
      <c r="K135" s="23">
        <v>0</v>
      </c>
      <c r="L135" s="23" t="s">
        <v>97</v>
      </c>
    </row>
    <row r="136" spans="1:12">
      <c r="A136" s="19">
        <f t="shared" ca="1" si="4"/>
        <v>48</v>
      </c>
      <c r="B136" s="19" cm="1">
        <f t="array" aca="1" ref="B136" ca="1">INDEX([1]Data_DBD!$B:$B,$A136)</f>
        <v>50</v>
      </c>
      <c r="C136" s="19" cm="1">
        <f t="array" aca="1" ref="C136" ca="1">INDEX([1]Data_DBD!$C:$C,$A136)</f>
        <v>5</v>
      </c>
      <c r="D136" s="19" cm="1">
        <f t="array" aca="1" ref="D136" ca="1">INDEX([1]Data_DBD!$E:$E,$A136)</f>
        <v>1</v>
      </c>
      <c r="E136" s="19" t="str" cm="1">
        <f t="array" aca="1" ref="E136" ca="1">INDEX([1]Data_DBD!$F:$F,$A136)</f>
        <v>Sedang</v>
      </c>
      <c r="H136" s="23">
        <v>143</v>
      </c>
      <c r="I136" s="23">
        <v>20</v>
      </c>
      <c r="J136" s="23">
        <v>4</v>
      </c>
      <c r="K136" s="23">
        <v>1</v>
      </c>
      <c r="L136" s="23" t="s">
        <v>97</v>
      </c>
    </row>
    <row r="137" spans="1:12">
      <c r="A137" s="19">
        <f t="shared" ca="1" si="4"/>
        <v>91</v>
      </c>
      <c r="B137" s="19" cm="1">
        <f t="array" aca="1" ref="B137" ca="1">INDEX([1]Data_DBD!$B:$B,$A137)</f>
        <v>35</v>
      </c>
      <c r="C137" s="19" cm="1">
        <f t="array" aca="1" ref="C137" ca="1">INDEX([1]Data_DBD!$C:$C,$A137)</f>
        <v>1</v>
      </c>
      <c r="D137" s="19" cm="1">
        <f t="array" aca="1" ref="D137" ca="1">INDEX([1]Data_DBD!$E:$E,$A137)</f>
        <v>1</v>
      </c>
      <c r="E137" s="19" t="str" cm="1">
        <f t="array" aca="1" ref="E137" ca="1">INDEX([1]Data_DBD!$F:$F,$A137)</f>
        <v>Tinggi</v>
      </c>
      <c r="H137" s="23">
        <v>40</v>
      </c>
      <c r="I137" s="23">
        <v>65</v>
      </c>
      <c r="J137" s="23">
        <v>3</v>
      </c>
      <c r="K137" s="23">
        <v>1</v>
      </c>
      <c r="L137" s="23" t="s">
        <v>7</v>
      </c>
    </row>
    <row r="138" spans="1:12">
      <c r="A138" s="19">
        <f t="shared" ca="1" si="4"/>
        <v>82</v>
      </c>
      <c r="B138" s="19" cm="1">
        <f t="array" aca="1" ref="B138" ca="1">INDEX([1]Data_DBD!$B:$B,$A138)</f>
        <v>28</v>
      </c>
      <c r="C138" s="19" cm="1">
        <f t="array" aca="1" ref="C138" ca="1">INDEX([1]Data_DBD!$C:$C,$A138)</f>
        <v>3</v>
      </c>
      <c r="D138" s="19" cm="1">
        <f t="array" aca="1" ref="D138" ca="1">INDEX([1]Data_DBD!$E:$E,$A138)</f>
        <v>1</v>
      </c>
      <c r="E138" s="19" t="str" cm="1">
        <f t="array" aca="1" ref="E138" ca="1">INDEX([1]Data_DBD!$F:$F,$A138)</f>
        <v>Sedang</v>
      </c>
      <c r="H138" s="23">
        <v>21</v>
      </c>
      <c r="I138" s="23">
        <v>10</v>
      </c>
      <c r="J138" s="23">
        <v>5</v>
      </c>
      <c r="K138" s="23">
        <v>1</v>
      </c>
      <c r="L138" s="23" t="s">
        <v>7</v>
      </c>
    </row>
    <row r="139" spans="1:12">
      <c r="A139" s="19">
        <f t="shared" ca="1" si="4"/>
        <v>65</v>
      </c>
      <c r="B139" s="19" cm="1">
        <f t="array" aca="1" ref="B139" ca="1">INDEX([1]Data_DBD!$B:$B,$A139)</f>
        <v>49</v>
      </c>
      <c r="C139" s="19" cm="1">
        <f t="array" aca="1" ref="C139" ca="1">INDEX([1]Data_DBD!$C:$C,$A139)</f>
        <v>3</v>
      </c>
      <c r="D139" s="19" cm="1">
        <f t="array" aca="1" ref="D139" ca="1">INDEX([1]Data_DBD!$E:$E,$A139)</f>
        <v>0</v>
      </c>
      <c r="E139" s="19" t="str" cm="1">
        <f t="array" aca="1" ref="E139" ca="1">INDEX([1]Data_DBD!$F:$F,$A139)</f>
        <v>Sedang</v>
      </c>
      <c r="H139" s="23">
        <v>95</v>
      </c>
      <c r="I139" s="23">
        <v>11</v>
      </c>
      <c r="J139" s="23">
        <v>3</v>
      </c>
      <c r="K139" s="23">
        <v>1</v>
      </c>
      <c r="L139" s="23" t="s">
        <v>97</v>
      </c>
    </row>
    <row r="140" spans="1:12">
      <c r="A140" s="19">
        <f t="shared" ca="1" si="4"/>
        <v>79</v>
      </c>
      <c r="B140" s="19" cm="1">
        <f t="array" aca="1" ref="B140" ca="1">INDEX([1]Data_DBD!$B:$B,$A140)</f>
        <v>29</v>
      </c>
      <c r="C140" s="19" cm="1">
        <f t="array" aca="1" ref="C140" ca="1">INDEX([1]Data_DBD!$C:$C,$A140)</f>
        <v>3</v>
      </c>
      <c r="D140" s="19" cm="1">
        <f t="array" aca="1" ref="D140" ca="1">INDEX([1]Data_DBD!$E:$E,$A140)</f>
        <v>0</v>
      </c>
      <c r="E140" s="19" t="str" cm="1">
        <f t="array" aca="1" ref="E140" ca="1">INDEX([1]Data_DBD!$F:$F,$A140)</f>
        <v>Sedang</v>
      </c>
      <c r="H140" s="23">
        <v>68</v>
      </c>
      <c r="I140" s="23">
        <v>44</v>
      </c>
      <c r="J140" s="23">
        <v>5</v>
      </c>
      <c r="K140" s="23">
        <v>0</v>
      </c>
      <c r="L140" s="23" t="s">
        <v>7</v>
      </c>
    </row>
    <row r="141" spans="1:12">
      <c r="A141" s="19">
        <f t="shared" ca="1" si="4"/>
        <v>31</v>
      </c>
      <c r="B141" s="19" cm="1">
        <f t="array" aca="1" ref="B141" ca="1">INDEX([1]Data_DBD!$B:$B,$A141)</f>
        <v>64</v>
      </c>
      <c r="C141" s="19" cm="1">
        <f t="array" aca="1" ref="C141" ca="1">INDEX([1]Data_DBD!$C:$C,$A141)</f>
        <v>4</v>
      </c>
      <c r="D141" s="19" cm="1">
        <f t="array" aca="1" ref="D141" ca="1">INDEX([1]Data_DBD!$E:$E,$A141)</f>
        <v>1</v>
      </c>
      <c r="E141" s="19" t="str" cm="1">
        <f t="array" aca="1" ref="E141" ca="1">INDEX([1]Data_DBD!$F:$F,$A141)</f>
        <v>Sedang</v>
      </c>
      <c r="H141" s="23">
        <v>14</v>
      </c>
      <c r="I141" s="23">
        <v>49</v>
      </c>
      <c r="J141" s="23">
        <v>4</v>
      </c>
      <c r="K141" s="23">
        <v>1</v>
      </c>
      <c r="L141" s="23" t="s">
        <v>20</v>
      </c>
    </row>
    <row r="142" spans="1:12">
      <c r="A142" s="19">
        <f t="shared" ca="1" si="4"/>
        <v>19</v>
      </c>
      <c r="B142" s="19" cm="1">
        <f t="array" aca="1" ref="B142" ca="1">INDEX([1]Data_DBD!$B:$B,$A142)</f>
        <v>8</v>
      </c>
      <c r="C142" s="19" cm="1">
        <f t="array" aca="1" ref="C142" ca="1">INDEX([1]Data_DBD!$C:$C,$A142)</f>
        <v>4</v>
      </c>
      <c r="D142" s="19" cm="1">
        <f t="array" aca="1" ref="D142" ca="1">INDEX([1]Data_DBD!$E:$E,$A142)</f>
        <v>0</v>
      </c>
      <c r="E142" s="19" t="str" cm="1">
        <f t="array" aca="1" ref="E142" ca="1">INDEX([1]Data_DBD!$F:$F,$A142)</f>
        <v>Rendah</v>
      </c>
      <c r="H142" s="23">
        <v>102</v>
      </c>
      <c r="I142" s="23">
        <v>41</v>
      </c>
      <c r="J142" s="23">
        <v>4</v>
      </c>
      <c r="K142" s="23">
        <v>0</v>
      </c>
      <c r="L142" s="23" t="s">
        <v>97</v>
      </c>
    </row>
    <row r="143" spans="1:12">
      <c r="A143" s="19">
        <f t="shared" ca="1" si="4"/>
        <v>158</v>
      </c>
      <c r="B143" s="19" cm="1">
        <f t="array" aca="1" ref="B143" ca="1">INDEX([1]Data_DBD!$B:$B,$A143)</f>
        <v>5</v>
      </c>
      <c r="C143" s="19" cm="1">
        <f t="array" aca="1" ref="C143" ca="1">INDEX([1]Data_DBD!$C:$C,$A143)</f>
        <v>2</v>
      </c>
      <c r="D143" s="19" cm="1">
        <f t="array" aca="1" ref="D143" ca="1">INDEX([1]Data_DBD!$E:$E,$A143)</f>
        <v>0</v>
      </c>
      <c r="E143" s="19" t="str" cm="1">
        <f t="array" aca="1" ref="E143" ca="1">INDEX([1]Data_DBD!$F:$F,$A143)</f>
        <v>Tinggi</v>
      </c>
      <c r="H143" s="23">
        <v>30</v>
      </c>
      <c r="I143" s="23">
        <v>3</v>
      </c>
      <c r="J143" s="23">
        <v>2</v>
      </c>
      <c r="K143" s="23">
        <v>1</v>
      </c>
      <c r="L143" s="23" t="s">
        <v>7</v>
      </c>
    </row>
    <row r="144" spans="1:12">
      <c r="A144" s="19">
        <f t="shared" ca="1" si="4"/>
        <v>98</v>
      </c>
      <c r="B144" s="19" cm="1">
        <f t="array" aca="1" ref="B144" ca="1">INDEX([1]Data_DBD!$B:$B,$A144)</f>
        <v>16</v>
      </c>
      <c r="C144" s="19" cm="1">
        <f t="array" aca="1" ref="C144" ca="1">INDEX([1]Data_DBD!$C:$C,$A144)</f>
        <v>2</v>
      </c>
      <c r="D144" s="19" cm="1">
        <f t="array" aca="1" ref="D144" ca="1">INDEX([1]Data_DBD!$E:$E,$A144)</f>
        <v>1</v>
      </c>
      <c r="E144" s="19" t="str" cm="1">
        <f t="array" aca="1" ref="E144" ca="1">INDEX([1]Data_DBD!$F:$F,$A144)</f>
        <v>Tinggi</v>
      </c>
      <c r="H144" s="23">
        <v>51</v>
      </c>
      <c r="I144" s="23">
        <v>48</v>
      </c>
      <c r="J144" s="23">
        <v>4</v>
      </c>
      <c r="K144" s="23">
        <v>0</v>
      </c>
      <c r="L144" s="23" t="s">
        <v>7</v>
      </c>
    </row>
    <row r="145" spans="1:12">
      <c r="A145" s="19">
        <f t="shared" ca="1" si="4"/>
        <v>94</v>
      </c>
      <c r="B145" s="19" cm="1">
        <f t="array" aca="1" ref="B145" ca="1">INDEX([1]Data_DBD!$B:$B,$A145)</f>
        <v>12</v>
      </c>
      <c r="C145" s="19" cm="1">
        <f t="array" aca="1" ref="C145" ca="1">INDEX([1]Data_DBD!$C:$C,$A145)</f>
        <v>4</v>
      </c>
      <c r="D145" s="19" cm="1">
        <f t="array" aca="1" ref="D145" ca="1">INDEX([1]Data_DBD!$E:$E,$A145)</f>
        <v>0</v>
      </c>
      <c r="E145" s="19" t="str" cm="1">
        <f t="array" aca="1" ref="E145" ca="1">INDEX([1]Data_DBD!$F:$F,$A145)</f>
        <v>Tinggi</v>
      </c>
      <c r="H145" s="23">
        <v>74</v>
      </c>
      <c r="I145" s="23">
        <v>9</v>
      </c>
      <c r="J145" s="23">
        <v>4</v>
      </c>
      <c r="K145" s="23">
        <v>0</v>
      </c>
      <c r="L145" s="23" t="s">
        <v>7</v>
      </c>
    </row>
    <row r="146" spans="1:12">
      <c r="A146" s="19">
        <f t="shared" ca="1" si="4"/>
        <v>108</v>
      </c>
      <c r="B146" s="19" cm="1">
        <f t="array" aca="1" ref="B146" ca="1">INDEX([1]Data_DBD!$B:$B,$A146)</f>
        <v>69</v>
      </c>
      <c r="C146" s="19" cm="1">
        <f t="array" aca="1" ref="C146" ca="1">INDEX([1]Data_DBD!$C:$C,$A146)</f>
        <v>7</v>
      </c>
      <c r="D146" s="19" cm="1">
        <f t="array" aca="1" ref="D146" ca="1">INDEX([1]Data_DBD!$E:$E,$A146)</f>
        <v>1</v>
      </c>
      <c r="E146" s="19" t="str" cm="1">
        <f t="array" aca="1" ref="E146" ca="1">INDEX([1]Data_DBD!$F:$F,$A146)</f>
        <v>Tinggi</v>
      </c>
      <c r="H146" s="23">
        <v>26</v>
      </c>
      <c r="I146" s="23">
        <v>75</v>
      </c>
      <c r="J146" s="23">
        <v>4</v>
      </c>
      <c r="K146" s="23">
        <v>1</v>
      </c>
      <c r="L146" s="23" t="s">
        <v>7</v>
      </c>
    </row>
    <row r="147" spans="1:12">
      <c r="A147" s="19">
        <f t="shared" ca="1" si="4"/>
        <v>130</v>
      </c>
      <c r="B147" s="19" cm="1">
        <f t="array" aca="1" ref="B147" ca="1">INDEX([1]Data_DBD!$B:$B,$A147)</f>
        <v>12</v>
      </c>
      <c r="C147" s="19" cm="1">
        <f t="array" aca="1" ref="C147" ca="1">INDEX([1]Data_DBD!$C:$C,$A147)</f>
        <v>4</v>
      </c>
      <c r="D147" s="19" cm="1">
        <f t="array" aca="1" ref="D147" ca="1">INDEX([1]Data_DBD!$E:$E,$A147)</f>
        <v>0</v>
      </c>
      <c r="E147" s="19" t="str" cm="1">
        <f t="array" aca="1" ref="E147" ca="1">INDEX([1]Data_DBD!$F:$F,$A147)</f>
        <v>Tinggi</v>
      </c>
      <c r="H147" s="23">
        <v>23</v>
      </c>
      <c r="I147" s="23">
        <v>28</v>
      </c>
      <c r="J147" s="23">
        <v>4</v>
      </c>
      <c r="K147" s="23">
        <v>1</v>
      </c>
      <c r="L147" s="23" t="s">
        <v>7</v>
      </c>
    </row>
    <row r="148" spans="1:12">
      <c r="A148" s="19">
        <f t="shared" ca="1" si="4"/>
        <v>2</v>
      </c>
      <c r="B148" s="19" cm="1">
        <f t="array" aca="1" ref="B148" ca="1">INDEX([1]Data_DBD!$B:$B,$A148)</f>
        <v>34</v>
      </c>
      <c r="C148" s="19" cm="1">
        <f t="array" aca="1" ref="C148" ca="1">INDEX([1]Data_DBD!$C:$C,$A148)</f>
        <v>3</v>
      </c>
      <c r="D148" s="19" cm="1">
        <f t="array" aca="1" ref="D148" ca="1">INDEX([1]Data_DBD!$E:$E,$A148)</f>
        <v>0</v>
      </c>
      <c r="E148" s="19" t="str" cm="1">
        <f t="array" aca="1" ref="E148" ca="1">INDEX([1]Data_DBD!$F:$F,$A148)</f>
        <v>Sedang</v>
      </c>
      <c r="H148" s="23">
        <v>125</v>
      </c>
      <c r="I148" s="23">
        <v>39</v>
      </c>
      <c r="J148" s="23">
        <v>4</v>
      </c>
      <c r="K148" s="23">
        <v>0</v>
      </c>
      <c r="L148" s="23" t="s">
        <v>97</v>
      </c>
    </row>
    <row r="149" spans="1:12">
      <c r="A149" s="19">
        <f t="shared" ca="1" si="4"/>
        <v>137</v>
      </c>
      <c r="B149" s="19" cm="1">
        <f t="array" aca="1" ref="B149" ca="1">INDEX([1]Data_DBD!$B:$B,$A149)</f>
        <v>3</v>
      </c>
      <c r="C149" s="19" cm="1">
        <f t="array" aca="1" ref="C149" ca="1">INDEX([1]Data_DBD!$C:$C,$A149)</f>
        <v>1</v>
      </c>
      <c r="D149" s="19" cm="1">
        <f t="array" aca="1" ref="D149" ca="1">INDEX([1]Data_DBD!$E:$E,$A149)</f>
        <v>1</v>
      </c>
      <c r="E149" s="19" t="str" cm="1">
        <f t="array" aca="1" ref="E149" ca="1">INDEX([1]Data_DBD!$F:$F,$A149)</f>
        <v>Tinggi</v>
      </c>
      <c r="H149" s="23">
        <v>74</v>
      </c>
      <c r="I149" s="23">
        <v>9</v>
      </c>
      <c r="J149" s="23">
        <v>4</v>
      </c>
      <c r="K149" s="23">
        <v>0</v>
      </c>
      <c r="L149" s="23" t="s">
        <v>7</v>
      </c>
    </row>
    <row r="150" spans="1:12">
      <c r="A150" s="19">
        <f t="shared" ca="1" si="4"/>
        <v>76</v>
      </c>
      <c r="B150" s="19" cm="1">
        <f t="array" aca="1" ref="B150" ca="1">INDEX([1]Data_DBD!$B:$B,$A150)</f>
        <v>70</v>
      </c>
      <c r="C150" s="19" cm="1">
        <f t="array" aca="1" ref="C150" ca="1">INDEX([1]Data_DBD!$C:$C,$A150)</f>
        <v>2</v>
      </c>
      <c r="D150" s="19" cm="1">
        <f t="array" aca="1" ref="D150" ca="1">INDEX([1]Data_DBD!$E:$E,$A150)</f>
        <v>0</v>
      </c>
      <c r="E150" s="19" t="str" cm="1">
        <f t="array" aca="1" ref="E150" ca="1">INDEX([1]Data_DBD!$F:$F,$A150)</f>
        <v>Sedang</v>
      </c>
      <c r="H150" s="23">
        <v>22</v>
      </c>
      <c r="I150" s="23">
        <v>6</v>
      </c>
      <c r="J150" s="23">
        <v>3</v>
      </c>
      <c r="K150" s="23">
        <v>0</v>
      </c>
      <c r="L150" s="23" t="s">
        <v>7</v>
      </c>
    </row>
    <row r="151" spans="1:12">
      <c r="A151" s="19">
        <f t="shared" ca="1" si="4"/>
        <v>66</v>
      </c>
      <c r="B151" s="19" cm="1">
        <f t="array" aca="1" ref="B151" ca="1">INDEX([1]Data_DBD!$B:$B,$A151)</f>
        <v>21</v>
      </c>
      <c r="C151" s="19" cm="1">
        <f t="array" aca="1" ref="C151" ca="1">INDEX([1]Data_DBD!$C:$C,$A151)</f>
        <v>5</v>
      </c>
      <c r="D151" s="19" cm="1">
        <f t="array" aca="1" ref="D151" ca="1">INDEX([1]Data_DBD!$E:$E,$A151)</f>
        <v>1</v>
      </c>
      <c r="E151" s="19" t="str" cm="1">
        <f t="array" aca="1" ref="E151" ca="1">INDEX([1]Data_DBD!$F:$F,$A151)</f>
        <v>Sedang</v>
      </c>
      <c r="H151" s="23">
        <v>69</v>
      </c>
      <c r="I151" s="23">
        <v>24</v>
      </c>
      <c r="J151" s="23">
        <v>4</v>
      </c>
      <c r="K151" s="23">
        <v>1</v>
      </c>
      <c r="L151" s="23" t="s">
        <v>7</v>
      </c>
    </row>
    <row r="152" spans="1:12">
      <c r="A152" s="19">
        <f t="shared" ca="1" si="4"/>
        <v>38</v>
      </c>
      <c r="B152" s="19" cm="1">
        <f t="array" aca="1" ref="B152" ca="1">INDEX([1]Data_DBD!$B:$B,$A152)</f>
        <v>52</v>
      </c>
      <c r="C152" s="19" cm="1">
        <f t="array" aca="1" ref="C152" ca="1">INDEX([1]Data_DBD!$C:$C,$A152)</f>
        <v>3</v>
      </c>
      <c r="D152" s="19" cm="1">
        <f t="array" aca="1" ref="D152" ca="1">INDEX([1]Data_DBD!$E:$E,$A152)</f>
        <v>1</v>
      </c>
      <c r="E152" s="19" t="str" cm="1">
        <f t="array" aca="1" ref="E152" ca="1">INDEX([1]Data_DBD!$F:$F,$A152)</f>
        <v>Rendah</v>
      </c>
      <c r="H152" s="23">
        <v>11</v>
      </c>
      <c r="I152" s="23">
        <v>24</v>
      </c>
      <c r="J152" s="23">
        <v>5</v>
      </c>
      <c r="K152" s="23">
        <v>1</v>
      </c>
      <c r="L152" s="23" t="s">
        <v>7</v>
      </c>
    </row>
    <row r="153" spans="1:12">
      <c r="A153" s="19">
        <f t="shared" ca="1" si="4"/>
        <v>72</v>
      </c>
      <c r="B153" s="19" cm="1">
        <f t="array" aca="1" ref="B153" ca="1">INDEX([1]Data_DBD!$B:$B,$A153)</f>
        <v>3</v>
      </c>
      <c r="C153" s="19" cm="1">
        <f t="array" aca="1" ref="C153" ca="1">INDEX([1]Data_DBD!$C:$C,$A153)</f>
        <v>5</v>
      </c>
      <c r="D153" s="19" cm="1">
        <f t="array" aca="1" ref="D153" ca="1">INDEX([1]Data_DBD!$E:$E,$A153)</f>
        <v>1</v>
      </c>
      <c r="E153" s="19" t="str" cm="1">
        <f t="array" aca="1" ref="E153" ca="1">INDEX([1]Data_DBD!$F:$F,$A153)</f>
        <v>Sedang</v>
      </c>
      <c r="H153" s="23">
        <v>94</v>
      </c>
      <c r="I153" s="23">
        <v>12</v>
      </c>
      <c r="J153" s="23">
        <v>4</v>
      </c>
      <c r="K153" s="23">
        <v>0</v>
      </c>
      <c r="L153" s="23" t="s">
        <v>97</v>
      </c>
    </row>
    <row r="154" spans="1:12">
      <c r="A154" s="19">
        <f t="shared" ca="1" si="4"/>
        <v>69</v>
      </c>
      <c r="B154" s="19" cm="1">
        <f t="array" aca="1" ref="B154" ca="1">INDEX([1]Data_DBD!$B:$B,$A154)</f>
        <v>24</v>
      </c>
      <c r="C154" s="19" cm="1">
        <f t="array" aca="1" ref="C154" ca="1">INDEX([1]Data_DBD!$C:$C,$A154)</f>
        <v>4</v>
      </c>
      <c r="D154" s="19" cm="1">
        <f t="array" aca="1" ref="D154" ca="1">INDEX([1]Data_DBD!$E:$E,$A154)</f>
        <v>1</v>
      </c>
      <c r="E154" s="19" t="str" cm="1">
        <f t="array" aca="1" ref="E154" ca="1">INDEX([1]Data_DBD!$F:$F,$A154)</f>
        <v>Sedang</v>
      </c>
      <c r="H154" s="23">
        <v>100</v>
      </c>
      <c r="I154" s="23">
        <v>19</v>
      </c>
      <c r="J154" s="23">
        <v>6</v>
      </c>
      <c r="K154" s="23">
        <v>0</v>
      </c>
      <c r="L154" s="23" t="s">
        <v>97</v>
      </c>
    </row>
    <row r="155" spans="1:12">
      <c r="A155" s="19">
        <f t="shared" ca="1" si="4"/>
        <v>149</v>
      </c>
      <c r="B155" s="19" cm="1">
        <f t="array" aca="1" ref="B155" ca="1">INDEX([1]Data_DBD!$B:$B,$A155)</f>
        <v>19</v>
      </c>
      <c r="C155" s="19" cm="1">
        <f t="array" aca="1" ref="C155" ca="1">INDEX([1]Data_DBD!$C:$C,$A155)</f>
        <v>5</v>
      </c>
      <c r="D155" s="19" cm="1">
        <f t="array" aca="1" ref="D155" ca="1">INDEX([1]Data_DBD!$E:$E,$A155)</f>
        <v>0</v>
      </c>
      <c r="E155" s="19" t="str" cm="1">
        <f t="array" aca="1" ref="E155" ca="1">INDEX([1]Data_DBD!$F:$F,$A155)</f>
        <v>Tinggi</v>
      </c>
      <c r="H155" s="23">
        <v>144</v>
      </c>
      <c r="I155" s="23">
        <v>61</v>
      </c>
      <c r="J155" s="23">
        <v>4</v>
      </c>
      <c r="K155" s="23">
        <v>1</v>
      </c>
      <c r="L155" s="23" t="s">
        <v>97</v>
      </c>
    </row>
    <row r="156" spans="1:12">
      <c r="A156" s="19">
        <f t="shared" ca="1" si="4"/>
        <v>79</v>
      </c>
      <c r="B156" s="19" cm="1">
        <f t="array" aca="1" ref="B156" ca="1">INDEX([1]Data_DBD!$B:$B,$A156)</f>
        <v>29</v>
      </c>
      <c r="C156" s="19" cm="1">
        <f t="array" aca="1" ref="C156" ca="1">INDEX([1]Data_DBD!$C:$C,$A156)</f>
        <v>3</v>
      </c>
      <c r="D156" s="19" cm="1">
        <f t="array" aca="1" ref="D156" ca="1">INDEX([1]Data_DBD!$E:$E,$A156)</f>
        <v>0</v>
      </c>
      <c r="E156" s="19" t="str" cm="1">
        <f t="array" aca="1" ref="E156" ca="1">INDEX([1]Data_DBD!$F:$F,$A156)</f>
        <v>Sedang</v>
      </c>
      <c r="H156" s="23">
        <v>6</v>
      </c>
      <c r="I156" s="23">
        <v>14</v>
      </c>
      <c r="J156" s="23">
        <v>4</v>
      </c>
      <c r="K156" s="23">
        <v>0</v>
      </c>
      <c r="L156" s="23" t="s">
        <v>7</v>
      </c>
    </row>
    <row r="157" spans="1:12">
      <c r="A157" s="19">
        <f t="shared" ca="1" si="4"/>
        <v>30</v>
      </c>
      <c r="B157" s="19" cm="1">
        <f t="array" aca="1" ref="B157" ca="1">INDEX([1]Data_DBD!$B:$B,$A157)</f>
        <v>3</v>
      </c>
      <c r="C157" s="19" cm="1">
        <f t="array" aca="1" ref="C157" ca="1">INDEX([1]Data_DBD!$C:$C,$A157)</f>
        <v>2</v>
      </c>
      <c r="D157" s="19" cm="1">
        <f t="array" aca="1" ref="D157" ca="1">INDEX([1]Data_DBD!$E:$E,$A157)</f>
        <v>1</v>
      </c>
      <c r="E157" s="19" t="str" cm="1">
        <f t="array" aca="1" ref="E157" ca="1">INDEX([1]Data_DBD!$F:$F,$A157)</f>
        <v>Sedang</v>
      </c>
      <c r="H157" s="23">
        <v>57</v>
      </c>
      <c r="I157" s="23">
        <v>2</v>
      </c>
      <c r="J157" s="23">
        <v>2</v>
      </c>
      <c r="K157" s="23">
        <v>1</v>
      </c>
      <c r="L157" s="23" t="s">
        <v>7</v>
      </c>
    </row>
    <row r="158" spans="1:12">
      <c r="A158" s="19">
        <f t="shared" ca="1" si="4"/>
        <v>137</v>
      </c>
      <c r="B158" s="19" cm="1">
        <f t="array" aca="1" ref="B158" ca="1">INDEX([1]Data_DBD!$B:$B,$A158)</f>
        <v>3</v>
      </c>
      <c r="C158" s="19" cm="1">
        <f t="array" aca="1" ref="C158" ca="1">INDEX([1]Data_DBD!$C:$C,$A158)</f>
        <v>1</v>
      </c>
      <c r="D158" s="19" cm="1">
        <f t="array" aca="1" ref="D158" ca="1">INDEX([1]Data_DBD!$E:$E,$A158)</f>
        <v>1</v>
      </c>
      <c r="E158" s="19" t="str" cm="1">
        <f t="array" aca="1" ref="E158" ca="1">INDEX([1]Data_DBD!$F:$F,$A158)</f>
        <v>Tinggi</v>
      </c>
      <c r="H158" s="23">
        <v>7</v>
      </c>
      <c r="I158" s="23">
        <v>12</v>
      </c>
      <c r="J158" s="23">
        <v>1</v>
      </c>
      <c r="K158" s="23">
        <v>1</v>
      </c>
      <c r="L158" s="23" t="s">
        <v>7</v>
      </c>
    </row>
    <row r="159" spans="1:12">
      <c r="A159" s="19">
        <f t="shared" ca="1" si="4"/>
        <v>164</v>
      </c>
      <c r="B159" s="19" cm="1">
        <f t="array" aca="1" ref="B159" ca="1">INDEX([1]Data_DBD!$B:$B,$A159)</f>
        <v>10</v>
      </c>
      <c r="C159" s="19" cm="1">
        <f t="array" aca="1" ref="C159" ca="1">INDEX([1]Data_DBD!$C:$C,$A159)</f>
        <v>6</v>
      </c>
      <c r="D159" s="19" cm="1">
        <f t="array" aca="1" ref="D159" ca="1">INDEX([1]Data_DBD!$E:$E,$A159)</f>
        <v>0</v>
      </c>
      <c r="E159" s="19" t="str" cm="1">
        <f t="array" aca="1" ref="E159" ca="1">INDEX([1]Data_DBD!$F:$F,$A159)</f>
        <v>Rendah</v>
      </c>
      <c r="H159" s="23">
        <v>125</v>
      </c>
      <c r="I159" s="23">
        <v>39</v>
      </c>
      <c r="J159" s="23">
        <v>4</v>
      </c>
      <c r="K159" s="23">
        <v>0</v>
      </c>
      <c r="L159" s="23" t="s">
        <v>97</v>
      </c>
    </row>
    <row r="160" spans="1:12">
      <c r="A160" s="19">
        <f t="shared" ca="1" si="4"/>
        <v>101</v>
      </c>
      <c r="B160" s="19" cm="1">
        <f t="array" aca="1" ref="B160" ca="1">INDEX([1]Data_DBD!$B:$B,$A160)</f>
        <v>42</v>
      </c>
      <c r="C160" s="19" cm="1">
        <f t="array" aca="1" ref="C160" ca="1">INDEX([1]Data_DBD!$C:$C,$A160)</f>
        <v>5</v>
      </c>
      <c r="D160" s="19" cm="1">
        <f t="array" aca="1" ref="D160" ca="1">INDEX([1]Data_DBD!$E:$E,$A160)</f>
        <v>0</v>
      </c>
      <c r="E160" s="19" t="str" cm="1">
        <f t="array" aca="1" ref="E160" ca="1">INDEX([1]Data_DBD!$F:$F,$A160)</f>
        <v>Tinggi</v>
      </c>
      <c r="H160" s="23">
        <v>46</v>
      </c>
      <c r="I160" s="23">
        <v>62</v>
      </c>
      <c r="J160" s="23">
        <v>2</v>
      </c>
      <c r="K160" s="23">
        <v>0</v>
      </c>
      <c r="L160" s="23" t="s">
        <v>7</v>
      </c>
    </row>
    <row r="161" spans="1:22">
      <c r="A161" s="19">
        <f t="shared" ca="1" si="4"/>
        <v>26</v>
      </c>
      <c r="B161" s="19" cm="1">
        <f t="array" aca="1" ref="B161" ca="1">INDEX([1]Data_DBD!$B:$B,$A161)</f>
        <v>75</v>
      </c>
      <c r="C161" s="19" cm="1">
        <f t="array" aca="1" ref="C161" ca="1">INDEX([1]Data_DBD!$C:$C,$A161)</f>
        <v>4</v>
      </c>
      <c r="D161" s="19" cm="1">
        <f t="array" aca="1" ref="D161" ca="1">INDEX([1]Data_DBD!$E:$E,$A161)</f>
        <v>1</v>
      </c>
      <c r="E161" s="19" t="str" cm="1">
        <f t="array" aca="1" ref="E161" ca="1">INDEX([1]Data_DBD!$F:$F,$A161)</f>
        <v>Sedang</v>
      </c>
      <c r="H161" s="23">
        <v>153</v>
      </c>
      <c r="I161" s="23">
        <v>73</v>
      </c>
      <c r="J161" s="23">
        <v>7</v>
      </c>
      <c r="K161" s="23">
        <v>1</v>
      </c>
      <c r="L161" s="23" t="s">
        <v>97</v>
      </c>
    </row>
    <row r="162" spans="1:22">
      <c r="A162" s="19">
        <f t="shared" ca="1" si="4"/>
        <v>120</v>
      </c>
      <c r="B162" s="19" cm="1">
        <f t="array" aca="1" ref="B162" ca="1">INDEX([1]Data_DBD!$B:$B,$A162)</f>
        <v>26</v>
      </c>
      <c r="C162" s="19" cm="1">
        <f t="array" aca="1" ref="C162" ca="1">INDEX([1]Data_DBD!$C:$C,$A162)</f>
        <v>4</v>
      </c>
      <c r="D162" s="19" cm="1">
        <f t="array" aca="1" ref="D162" ca="1">INDEX([1]Data_DBD!$E:$E,$A162)</f>
        <v>1</v>
      </c>
      <c r="E162" s="19" t="str" cm="1">
        <f t="array" aca="1" ref="E162" ca="1">INDEX([1]Data_DBD!$F:$F,$A162)</f>
        <v>Tinggi</v>
      </c>
      <c r="H162" s="23">
        <v>58</v>
      </c>
      <c r="I162" s="23">
        <v>17</v>
      </c>
      <c r="J162" s="23">
        <v>3</v>
      </c>
      <c r="K162" s="23">
        <v>0</v>
      </c>
      <c r="L162" s="23" t="s">
        <v>7</v>
      </c>
    </row>
    <row r="163" spans="1:22">
      <c r="A163" s="19">
        <f t="shared" ca="1" si="4"/>
        <v>123</v>
      </c>
      <c r="B163" s="19" cm="1">
        <f t="array" aca="1" ref="B163" ca="1">INDEX([1]Data_DBD!$B:$B,$A163)</f>
        <v>22</v>
      </c>
      <c r="C163" s="19" cm="1">
        <f t="array" aca="1" ref="C163" ca="1">INDEX([1]Data_DBD!$C:$C,$A163)</f>
        <v>4</v>
      </c>
      <c r="D163" s="19" cm="1">
        <f t="array" aca="1" ref="D163" ca="1">INDEX([1]Data_DBD!$E:$E,$A163)</f>
        <v>0</v>
      </c>
      <c r="E163" s="19" t="str" cm="1">
        <f t="array" aca="1" ref="E163" ca="1">INDEX([1]Data_DBD!$F:$F,$A163)</f>
        <v>Tinggi</v>
      </c>
      <c r="H163" s="23">
        <v>23</v>
      </c>
      <c r="I163" s="23">
        <v>28</v>
      </c>
      <c r="J163" s="23">
        <v>4</v>
      </c>
      <c r="K163" s="23">
        <v>1</v>
      </c>
      <c r="L163" s="23" t="s">
        <v>7</v>
      </c>
    </row>
    <row r="164" spans="1:22">
      <c r="A164" s="19">
        <f t="shared" ca="1" si="4"/>
        <v>59</v>
      </c>
      <c r="B164" s="19" cm="1">
        <f t="array" aca="1" ref="B164" ca="1">INDEX([1]Data_DBD!$B:$B,$A164)</f>
        <v>28</v>
      </c>
      <c r="C164" s="19" cm="1">
        <f t="array" aca="1" ref="C164" ca="1">INDEX([1]Data_DBD!$C:$C,$A164)</f>
        <v>4</v>
      </c>
      <c r="D164" s="19" cm="1">
        <f t="array" aca="1" ref="D164" ca="1">INDEX([1]Data_DBD!$E:$E,$A164)</f>
        <v>0</v>
      </c>
      <c r="E164" s="19" t="str" cm="1">
        <f t="array" aca="1" ref="E164" ca="1">INDEX([1]Data_DBD!$F:$F,$A164)</f>
        <v>Sedang</v>
      </c>
      <c r="H164" s="23">
        <v>139</v>
      </c>
      <c r="I164" s="23">
        <v>52</v>
      </c>
      <c r="J164" s="23">
        <v>7</v>
      </c>
      <c r="K164" s="23">
        <v>0</v>
      </c>
      <c r="L164" s="23" t="s">
        <v>97</v>
      </c>
    </row>
    <row r="165" spans="1:22">
      <c r="I165" s="18">
        <f>AVERAGE(I2:I164)</f>
        <v>32.760736196319016</v>
      </c>
      <c r="J165" s="18">
        <f>AVERAGE(J2:J164)</f>
        <v>3.7914110429447851</v>
      </c>
      <c r="K165" s="18">
        <f>AVERAGE(K2:K164)</f>
        <v>0.53374233128834359</v>
      </c>
    </row>
    <row r="166" spans="1:22">
      <c r="B166" s="18">
        <v>60</v>
      </c>
    </row>
    <row r="168" spans="1:22">
      <c r="E168" s="22" t="s">
        <v>175</v>
      </c>
      <c r="J168" s="22" t="s">
        <v>176</v>
      </c>
      <c r="T168" s="22" t="s">
        <v>178</v>
      </c>
    </row>
    <row r="169" spans="1:22">
      <c r="E169" s="19" t="s">
        <v>1</v>
      </c>
      <c r="F169" s="19">
        <f>AVERAGEIF($I$2:$I$164,"&lt;="&amp;$I$165)</f>
        <v>16.085106382978722</v>
      </c>
      <c r="G169" s="19">
        <f>AVERAGEIF($I$2:$I$164,"&gt;"&amp;$I$165)</f>
        <v>55.478260869565219</v>
      </c>
      <c r="J169" s="19" t="s">
        <v>179</v>
      </c>
      <c r="K169" s="19">
        <f>AVERAGEIF($J$2:$J$164,"&lt;="&amp;$J$165)</f>
        <v>2.5</v>
      </c>
      <c r="L169" s="19">
        <f>AVERAGEIF($J$2:$J$164,"&gt;"&amp;$J$165)</f>
        <v>4.6701030927835054</v>
      </c>
      <c r="T169" s="19" t="s">
        <v>181</v>
      </c>
      <c r="U169" s="19">
        <f>AVERAGEIF($K$2:$K$164,"&lt;="&amp;$K$165)</f>
        <v>0</v>
      </c>
      <c r="V169" s="19">
        <f>AVERAGEIF($K$2:$K$164,"&gt;"&amp;$K$165)</f>
        <v>1</v>
      </c>
    </row>
    <row r="170" spans="1:22">
      <c r="E170" s="19" t="str" cm="1">
        <f t="array" ref="E170:E332">IF($I$2:$I$164&lt;$F$169,"kiri",IF($I$2:$I$164&lt;$G$169,"tengah","kanan"))</f>
        <v>tengah</v>
      </c>
      <c r="F170" s="19" t="s">
        <v>229</v>
      </c>
      <c r="G170" s="19"/>
      <c r="J170" s="19" t="str" cm="1">
        <f t="array" ref="J170:J332">IF($J$2:$J$164&lt;$K$169,"kiri",IF($J$2:$J$164&lt;$L$169,"tengah","kanan"))</f>
        <v>kanan</v>
      </c>
      <c r="K170" s="19" t="s">
        <v>228</v>
      </c>
      <c r="L170" s="19"/>
      <c r="T170" s="19" t="str" cm="1">
        <f t="array" ref="T170:T332">IF($K$2:$K$164&lt;$U$169,"kiri",IF($K$2:$K$164&lt;$V$169,"tengah","kanan"))</f>
        <v>kanan</v>
      </c>
      <c r="U170" s="19" t="s">
        <v>185</v>
      </c>
      <c r="V170" s="19"/>
    </row>
    <row r="171" spans="1:22">
      <c r="E171" s="19" t="str">
        <v>kiri</v>
      </c>
      <c r="F171" s="19">
        <f>COUNTIFS($E$170:$E$332,"Kanan",$L$2:$L$164,"Tinggi")</f>
        <v>12</v>
      </c>
      <c r="G171" s="19">
        <f>F171/31</f>
        <v>0.38709677419354838</v>
      </c>
      <c r="J171" s="19" t="str">
        <v>kiri</v>
      </c>
      <c r="K171" s="19">
        <f>COUNTIFS($J$170:$J$332,"Kanan",$L$2:$L$164,"Tinggi")</f>
        <v>20</v>
      </c>
      <c r="L171" s="19">
        <f>K171/41</f>
        <v>0.48780487804878048</v>
      </c>
      <c r="T171" s="19" t="str">
        <v>kanan</v>
      </c>
      <c r="U171" s="19">
        <f>COUNTIFS($T$170:$T$332,"Kanan",$L$2:$L$164,"Tinggi")</f>
        <v>36</v>
      </c>
      <c r="V171" s="19">
        <f>U171/87</f>
        <v>0.41379310344827586</v>
      </c>
    </row>
    <row r="172" spans="1:22">
      <c r="E172" s="19" t="str">
        <v>tengah</v>
      </c>
      <c r="F172" s="19">
        <f>COUNTIFS($E$170:$E$332,"Kanan",$L$2:$L$164,"Sedang")</f>
        <v>17</v>
      </c>
      <c r="G172" s="19">
        <f>F172/31</f>
        <v>0.54838709677419351</v>
      </c>
      <c r="J172" s="19" t="str">
        <v>kanan</v>
      </c>
      <c r="K172" s="19">
        <f>COUNTIFS($J$170:$J$332,"Kanan",$L$2:$L$164,"Sedang")</f>
        <v>17</v>
      </c>
      <c r="L172" s="19">
        <f>K172/41</f>
        <v>0.41463414634146339</v>
      </c>
      <c r="T172" s="19" t="str">
        <v>tengah</v>
      </c>
      <c r="U172" s="19">
        <f>COUNTIFS($T$170:$T$332,"Kanan",$L$2:$L$164,"Sedang")</f>
        <v>39</v>
      </c>
      <c r="V172" s="19">
        <f>U172/87</f>
        <v>0.44827586206896552</v>
      </c>
    </row>
    <row r="173" spans="1:22">
      <c r="E173" s="19" t="str">
        <v>kanan</v>
      </c>
      <c r="F173" s="19">
        <f>COUNTIFS($E$170:$E$332,"Kanan",$L$2:$L$164,"Rendah")</f>
        <v>2</v>
      </c>
      <c r="G173" s="19">
        <f>F173/31</f>
        <v>6.4516129032258063E-2</v>
      </c>
      <c r="J173" s="19" t="str">
        <v>tengah</v>
      </c>
      <c r="K173" s="19">
        <f>COUNTIFS($J$170:$J$332,"Kanan",$L$2:$L$164,"Rendah")</f>
        <v>4</v>
      </c>
      <c r="L173" s="19">
        <f>K173/41</f>
        <v>9.7560975609756101E-2</v>
      </c>
      <c r="T173" s="19" t="str">
        <v>tengah</v>
      </c>
      <c r="U173" s="19">
        <f>COUNTIFS($T$170:$T$332,"Kanan",$L$2:$L$164,"Rendah")</f>
        <v>12</v>
      </c>
      <c r="V173" s="19">
        <f>U173/87</f>
        <v>0.13793103448275862</v>
      </c>
    </row>
    <row r="174" spans="1:22">
      <c r="E174" s="19" t="str">
        <v>kanan</v>
      </c>
      <c r="F174" s="19" t="s">
        <v>186</v>
      </c>
      <c r="G174" s="19">
        <f>-(IFERROR(G171*LOG(G171,2),0)+IFERROR(G172*LOG(G172,2),0)+IFERROR(G173*LOG(G173,2),0))</f>
        <v>1.2604408810349512</v>
      </c>
      <c r="J174" s="19" t="str">
        <v>kiri</v>
      </c>
      <c r="K174" s="19" t="s">
        <v>186</v>
      </c>
      <c r="L174" s="19">
        <f>-(IFERROR(L171*LOG(L171,2),0)+IFERROR(L172*LOG(L172,2),0)+IFERROR(L173*LOG(L173,2),0))</f>
        <v>1.3593707802521566</v>
      </c>
      <c r="T174" s="19" t="str">
        <v>tengah</v>
      </c>
      <c r="U174" s="19" t="s">
        <v>186</v>
      </c>
      <c r="V174" s="19">
        <f>-(IFERROR(V171*LOG(V171,2),0)+IFERROR(V172*LOG(V172,2),0)+IFERROR(V173*LOG(V173,2),0))</f>
        <v>1.4398683625590178</v>
      </c>
    </row>
    <row r="175" spans="1:22">
      <c r="E175" s="19" t="str">
        <v>kiri</v>
      </c>
      <c r="F175" s="19"/>
      <c r="G175" s="19">
        <f>SUM(F171:F173)/163</f>
        <v>0.19018404907975461</v>
      </c>
      <c r="J175" s="19" t="str">
        <v>tengah</v>
      </c>
      <c r="K175" s="19"/>
      <c r="L175" s="19">
        <f>SUM(K171:K173)/163</f>
        <v>0.25153374233128833</v>
      </c>
      <c r="T175" s="19" t="str">
        <v>kanan</v>
      </c>
      <c r="U175" s="19"/>
      <c r="V175" s="19">
        <f>SUM(U171:U173)/163</f>
        <v>0.53374233128834359</v>
      </c>
    </row>
    <row r="176" spans="1:22">
      <c r="E176" s="19" t="str">
        <v>tengah</v>
      </c>
      <c r="F176" s="19"/>
      <c r="G176" s="21">
        <f>G174*G175</f>
        <v>0.2397157503808803</v>
      </c>
      <c r="J176" s="19" t="str">
        <v>kanan</v>
      </c>
      <c r="K176" s="19"/>
      <c r="L176" s="21">
        <f>L174*L175</f>
        <v>0.34192761957262835</v>
      </c>
      <c r="T176" s="19" t="str">
        <v>kanan</v>
      </c>
      <c r="U176" s="19"/>
      <c r="V176" s="21">
        <f>V174*V175</f>
        <v>0.76851869658058014</v>
      </c>
    </row>
    <row r="177" spans="5:22">
      <c r="E177" s="19" t="str">
        <v>kanan</v>
      </c>
      <c r="F177" s="19"/>
      <c r="G177" s="19"/>
      <c r="J177" s="19" t="str">
        <v>tengah</v>
      </c>
      <c r="K177" s="19"/>
      <c r="L177" s="19"/>
      <c r="T177" s="19" t="str">
        <v>tengah</v>
      </c>
      <c r="U177" s="19"/>
      <c r="V177" s="19"/>
    </row>
    <row r="178" spans="5:22">
      <c r="E178" s="19" t="str">
        <v>kiri</v>
      </c>
      <c r="F178" s="19"/>
      <c r="G178" s="19"/>
      <c r="J178" s="19" t="str">
        <v>kiri</v>
      </c>
      <c r="K178" s="19"/>
      <c r="L178" s="19"/>
      <c r="T178" s="19" t="str">
        <v>tengah</v>
      </c>
      <c r="U178" s="19"/>
      <c r="V178" s="19"/>
    </row>
    <row r="179" spans="5:22">
      <c r="E179" s="19" t="str">
        <v>tengah</v>
      </c>
      <c r="F179" s="19" t="s">
        <v>227</v>
      </c>
      <c r="G179" s="19"/>
      <c r="J179" s="19" t="str">
        <v>kanan</v>
      </c>
      <c r="K179" s="19" t="s">
        <v>226</v>
      </c>
      <c r="L179" s="19"/>
      <c r="T179" s="19" t="str">
        <v>tengah</v>
      </c>
      <c r="U179" s="19" t="s">
        <v>190</v>
      </c>
      <c r="V179" s="19"/>
    </row>
    <row r="180" spans="5:22">
      <c r="E180" s="19" t="str">
        <v>tengah</v>
      </c>
      <c r="F180" s="19">
        <f>COUNTIFS($E$170:$E$332,"Kiri",$L$2:$L$164,"Tinggi")</f>
        <v>23</v>
      </c>
      <c r="G180" s="19">
        <f>F180/50</f>
        <v>0.46</v>
      </c>
      <c r="J180" s="19" t="str">
        <v>kiri</v>
      </c>
      <c r="K180" s="19">
        <f>COUNTIFS($J$170:$J$332,"Kiri",$L$2:$L$164,"Tinggi")</f>
        <v>13</v>
      </c>
      <c r="L180" s="19">
        <f>K180/28</f>
        <v>0.4642857142857143</v>
      </c>
      <c r="T180" s="19" t="str">
        <v>tengah</v>
      </c>
      <c r="U180" s="19">
        <f>COUNTIFS($T$170:$T$332,"Kiri",$L$2:$L$164,"Tinggi")</f>
        <v>0</v>
      </c>
      <c r="V180" s="19">
        <f>U180/87</f>
        <v>0</v>
      </c>
    </row>
    <row r="181" spans="5:22">
      <c r="E181" s="19" t="str">
        <v>kiri</v>
      </c>
      <c r="F181" s="19">
        <f>COUNTIFS($E$170:$E$332,"Kiri",$L$2:$L$164,"Sedang")</f>
        <v>24</v>
      </c>
      <c r="G181" s="19">
        <f>F181/50</f>
        <v>0.48</v>
      </c>
      <c r="J181" s="19" t="str">
        <v>tengah</v>
      </c>
      <c r="K181" s="19">
        <f>COUNTIFS($J$170:$J$332,"Kiri",$L$2:$L$164,"Sedang")</f>
        <v>15</v>
      </c>
      <c r="L181" s="19">
        <f>K181/28</f>
        <v>0.5357142857142857</v>
      </c>
      <c r="T181" s="19" t="str">
        <v>tengah</v>
      </c>
      <c r="U181" s="19">
        <f>COUNTIFS($T$170:$T$332,"Kiri",$L$2:$L$164,"Sedang")</f>
        <v>0</v>
      </c>
      <c r="V181" s="19">
        <f>U181/87</f>
        <v>0</v>
      </c>
    </row>
    <row r="182" spans="5:22">
      <c r="E182" s="19" t="str">
        <v>kiri</v>
      </c>
      <c r="F182" s="19">
        <f>COUNTIFS($E$170:$E$332,"Kiri",$L$2:$L$164,"Rendah")</f>
        <v>3</v>
      </c>
      <c r="G182" s="19">
        <f>F182/50</f>
        <v>0.06</v>
      </c>
      <c r="J182" s="19" t="str">
        <v>kanan</v>
      </c>
      <c r="K182" s="19">
        <f>COUNTIFS($J$170:$J$332,"Kiri",$L$2:$L$164,"Rendah")</f>
        <v>0</v>
      </c>
      <c r="L182" s="19">
        <f>K182/28</f>
        <v>0</v>
      </c>
      <c r="T182" s="19" t="str">
        <v>kanan</v>
      </c>
      <c r="U182" s="19">
        <f>COUNTIFS($T$170:$T$332,"Kiri",$L$2:$L$164,"Rendah")</f>
        <v>0</v>
      </c>
      <c r="V182" s="19">
        <f>U182/87</f>
        <v>0</v>
      </c>
    </row>
    <row r="183" spans="5:22">
      <c r="E183" s="19" t="str">
        <v>kiri</v>
      </c>
      <c r="F183" s="19" t="s">
        <v>186</v>
      </c>
      <c r="G183" s="19">
        <f>-(IFERROR(G180*LOG(G180,2),0)+IFERROR(G181*LOG(G181,2),0)+IFERROR(G182*LOG(G182,2),0))</f>
        <v>1.2671379395990745</v>
      </c>
      <c r="J183" s="19" t="str">
        <v>tengah</v>
      </c>
      <c r="K183" s="19" t="s">
        <v>186</v>
      </c>
      <c r="L183" s="19">
        <f>-(IFERROR(L180*LOG(L180,2),0)+IFERROR(L181*LOG(L181,2),0)+IFERROR(L182*LOG(L182,2),0))</f>
        <v>0.99631651955896205</v>
      </c>
      <c r="T183" s="19" t="str">
        <v>tengah</v>
      </c>
      <c r="U183" s="19" t="s">
        <v>186</v>
      </c>
      <c r="V183" s="19">
        <f>-(IFERROR(V180*LOG(V180,2),0)+IFERROR(V181*LOG(V181,2),0)+IFERROR(V182*LOG(V182,2),0))</f>
        <v>0</v>
      </c>
    </row>
    <row r="184" spans="5:22">
      <c r="E184" s="19" t="str">
        <v>kiri</v>
      </c>
      <c r="F184" s="19"/>
      <c r="G184" s="19">
        <f>SUM(F180:F182)/163</f>
        <v>0.30674846625766872</v>
      </c>
      <c r="J184" s="19" t="str">
        <v>kiri</v>
      </c>
      <c r="K184" s="19"/>
      <c r="L184" s="19">
        <f>SUM(K180:K182)/163</f>
        <v>0.17177914110429449</v>
      </c>
      <c r="T184" s="19" t="str">
        <v>tengah</v>
      </c>
      <c r="U184" s="19"/>
      <c r="V184" s="19">
        <f>SUM(U180:U182)/163</f>
        <v>0</v>
      </c>
    </row>
    <row r="185" spans="5:22">
      <c r="E185" s="19" t="str">
        <v>tengah</v>
      </c>
      <c r="F185" s="19"/>
      <c r="G185" s="21">
        <f>G183*G184</f>
        <v>0.38869261950891859</v>
      </c>
      <c r="J185" s="19" t="str">
        <v>kanan</v>
      </c>
      <c r="K185" s="19"/>
      <c r="L185" s="21">
        <f>L183*L184</f>
        <v>0.17114639599785852</v>
      </c>
      <c r="T185" s="19" t="str">
        <v>kanan</v>
      </c>
      <c r="U185" s="19"/>
      <c r="V185" s="21">
        <f>V183*V184</f>
        <v>0</v>
      </c>
    </row>
    <row r="186" spans="5:22">
      <c r="E186" s="19" t="str">
        <v>kanan</v>
      </c>
      <c r="F186" s="19"/>
      <c r="G186" s="19"/>
      <c r="J186" s="19" t="str">
        <v>tengah</v>
      </c>
      <c r="K186" s="19"/>
      <c r="L186" s="19"/>
      <c r="T186" s="19" t="str">
        <v>kanan</v>
      </c>
      <c r="U186" s="19"/>
      <c r="V186" s="19"/>
    </row>
    <row r="187" spans="5:22">
      <c r="E187" s="19" t="str">
        <v>kanan</v>
      </c>
      <c r="F187" s="19"/>
      <c r="G187" s="19"/>
      <c r="J187" s="19" t="str">
        <v>tengah</v>
      </c>
      <c r="K187" s="19"/>
      <c r="L187" s="19"/>
      <c r="T187" s="19" t="str">
        <v>tengah</v>
      </c>
      <c r="U187" s="19"/>
      <c r="V187" s="19"/>
    </row>
    <row r="188" spans="5:22">
      <c r="E188" s="19" t="str">
        <v>kiri</v>
      </c>
      <c r="F188" s="19" t="s">
        <v>191</v>
      </c>
      <c r="G188" s="19"/>
      <c r="J188" s="19" t="str">
        <v>tengah</v>
      </c>
      <c r="K188" s="19" t="s">
        <v>191</v>
      </c>
      <c r="L188" s="19"/>
      <c r="T188" s="19" t="str">
        <v>tengah</v>
      </c>
      <c r="U188" s="19" t="s">
        <v>191</v>
      </c>
      <c r="V188" s="19"/>
    </row>
    <row r="189" spans="5:22">
      <c r="E189" s="19" t="str">
        <v>tengah</v>
      </c>
      <c r="F189" s="19">
        <f>COUNTIFS($E$170:$E$332,"Tengah",$L$2:$L$164,"Tinggi")</f>
        <v>39</v>
      </c>
      <c r="G189" s="19">
        <f>F189/82</f>
        <v>0.47560975609756095</v>
      </c>
      <c r="J189" s="19" t="str">
        <v>tengah</v>
      </c>
      <c r="K189" s="19">
        <f>COUNTIFS($J$170:$J$332,"Tengah",$L$2:$L$164,"Tinggi")</f>
        <v>41</v>
      </c>
      <c r="L189" s="19">
        <f>K189/109</f>
        <v>0.37614678899082571</v>
      </c>
      <c r="T189" s="19" t="str">
        <v>kanan</v>
      </c>
      <c r="U189" s="19">
        <f>COUNTIFS($T$170:$T$332,"Tengah",$L$2:$L$164,"Tinggi")</f>
        <v>38</v>
      </c>
      <c r="V189" s="19">
        <f>U189/76</f>
        <v>0.5</v>
      </c>
    </row>
    <row r="190" spans="5:22">
      <c r="E190" s="19" t="str">
        <v>tengah</v>
      </c>
      <c r="F190" s="19">
        <f>COUNTIFS($E$170:$E$332,"Tengah",$L$2:$L$164,"Sedang")</f>
        <v>33</v>
      </c>
      <c r="G190" s="19">
        <f>F190/82</f>
        <v>0.40243902439024393</v>
      </c>
      <c r="J190" s="19" t="str">
        <v>tengah</v>
      </c>
      <c r="K190" s="19">
        <f>COUNTIFS($J$170:$J$332,"Tengah",$L$2:$L$164,"Sedang")</f>
        <v>42</v>
      </c>
      <c r="L190" s="19">
        <f>K190/109</f>
        <v>0.38532110091743121</v>
      </c>
      <c r="T190" s="19" t="str">
        <v>tengah</v>
      </c>
      <c r="U190" s="19">
        <f>COUNTIFS($T$170:$T$332,"Tengah",$L$2:$L$164,"Sedang")</f>
        <v>35</v>
      </c>
      <c r="V190" s="19">
        <f>U190/76</f>
        <v>0.46052631578947367</v>
      </c>
    </row>
    <row r="191" spans="5:22">
      <c r="E191" s="19" t="str">
        <v>kiri</v>
      </c>
      <c r="F191" s="19">
        <f>COUNTIFS($E$170:$E$332,"Tengah",$L$2:$L$164,"Rendah")</f>
        <v>10</v>
      </c>
      <c r="G191" s="19">
        <f>F191/82</f>
        <v>0.12195121951219512</v>
      </c>
      <c r="J191" s="19" t="str">
        <v>kanan</v>
      </c>
      <c r="K191" s="19">
        <f>COUNTIFS($J$170:$J$332,"Tengah",$L$2:$L$164,"Rendah")</f>
        <v>11</v>
      </c>
      <c r="L191" s="19">
        <f>K191/109</f>
        <v>0.10091743119266056</v>
      </c>
      <c r="T191" s="19" t="str">
        <v>kanan</v>
      </c>
      <c r="U191" s="19">
        <f>COUNTIFS($T$170:$T$332,"Tengah",$L$2:$L$164,"Rendah")</f>
        <v>3</v>
      </c>
      <c r="V191" s="19">
        <f>U191/76</f>
        <v>3.9473684210526314E-2</v>
      </c>
    </row>
    <row r="192" spans="5:22">
      <c r="E192" s="19" t="str">
        <v>kiri</v>
      </c>
      <c r="F192" s="19" t="s">
        <v>186</v>
      </c>
      <c r="G192" s="19">
        <f>-(IFERROR(G189*LOG(G189,2),0)+IFERROR(G190*LOG(G190,2),0)+IFERROR(G191*LOG(G191,2),0))</f>
        <v>1.4085889140896657</v>
      </c>
      <c r="J192" s="19" t="str">
        <v>tengah</v>
      </c>
      <c r="K192" s="19" t="s">
        <v>186</v>
      </c>
      <c r="L192" s="19">
        <f>-(IFERROR(L189*LOG(L189,2),0)+IFERROR(L190*LOG(L190,2),0)+IFERROR(L191*LOG(L191,2),0))</f>
        <v>1.3946661906235913</v>
      </c>
      <c r="T192" s="19" t="str">
        <v>tengah</v>
      </c>
      <c r="U192" s="19" t="s">
        <v>186</v>
      </c>
      <c r="V192" s="19">
        <f>-(IFERROR(V189*LOG(V189,2),0)+IFERROR(V190*LOG(V190,2),0)+IFERROR(V191*LOG(V191,2),0))</f>
        <v>1.1992296370476179</v>
      </c>
    </row>
    <row r="193" spans="5:22">
      <c r="E193" s="19" t="str">
        <v>kanan</v>
      </c>
      <c r="F193" s="19"/>
      <c r="G193" s="19">
        <f>SUM(F189:F191)/163</f>
        <v>0.50306748466257667</v>
      </c>
      <c r="J193" s="19" t="str">
        <v>kanan</v>
      </c>
      <c r="K193" s="19"/>
      <c r="L193" s="19">
        <f>SUM(K189:K191)/163</f>
        <v>0.57668711656441718</v>
      </c>
      <c r="T193" s="19" t="str">
        <v>kanan</v>
      </c>
      <c r="U193" s="19"/>
      <c r="V193" s="19">
        <f>SUM(U189:U191)/163</f>
        <v>0.46625766871165641</v>
      </c>
    </row>
    <row r="194" spans="5:22">
      <c r="E194" s="19" t="str">
        <v>tengah</v>
      </c>
      <c r="F194" s="19"/>
      <c r="G194" s="21">
        <f>G192*G193</f>
        <v>0.70861528193467838</v>
      </c>
      <c r="J194" s="19" t="str">
        <v>tengah</v>
      </c>
      <c r="K194" s="19"/>
      <c r="L194" s="21">
        <f>L192*L193</f>
        <v>0.80428602404059868</v>
      </c>
      <c r="T194" s="19" t="str">
        <v>kanan</v>
      </c>
      <c r="U194" s="19"/>
      <c r="V194" s="21">
        <f>V192*V193</f>
        <v>0.55915001481974813</v>
      </c>
    </row>
    <row r="195" spans="5:22">
      <c r="E195" s="19" t="str">
        <v>kanan</v>
      </c>
      <c r="F195" s="19"/>
      <c r="G195" s="19"/>
      <c r="J195" s="19" t="str">
        <v>tengah</v>
      </c>
      <c r="K195" s="19"/>
      <c r="L195" s="19"/>
      <c r="T195" s="19" t="str">
        <v>kanan</v>
      </c>
      <c r="U195" s="19"/>
      <c r="V195" s="19"/>
    </row>
    <row r="196" spans="5:22">
      <c r="E196" s="19" t="str">
        <v>kanan</v>
      </c>
      <c r="F196" s="19" t="s">
        <v>192</v>
      </c>
      <c r="G196" s="19"/>
      <c r="J196" s="19" t="str">
        <v>kanan</v>
      </c>
      <c r="K196" s="19" t="s">
        <v>192</v>
      </c>
      <c r="L196" s="19"/>
      <c r="T196" s="19" t="str">
        <v>kanan</v>
      </c>
      <c r="U196" s="19" t="s">
        <v>192</v>
      </c>
      <c r="V196" s="19"/>
    </row>
    <row r="197" spans="5:22">
      <c r="E197" s="19" t="str">
        <v>tengah</v>
      </c>
      <c r="F197" s="20">
        <f>P5-(G176+G185+G194)</f>
        <v>1.4143416227383243E-2</v>
      </c>
      <c r="G197" s="19"/>
      <c r="J197" s="19" t="str">
        <v>kanan</v>
      </c>
      <c r="K197" s="20">
        <f>P5-(L176+L185+L194)</f>
        <v>3.3807028440774989E-2</v>
      </c>
      <c r="L197" s="19"/>
      <c r="T197" s="19" t="str">
        <v>tengah</v>
      </c>
      <c r="U197" s="20">
        <f>P5-(V176+V185+V194)</f>
        <v>2.3498356651532326E-2</v>
      </c>
      <c r="V197" s="19"/>
    </row>
    <row r="198" spans="5:22">
      <c r="E198" s="19" t="str">
        <v>tengah</v>
      </c>
      <c r="F198" s="19"/>
      <c r="G198" s="19"/>
      <c r="J198" s="19" t="str">
        <v>kanan</v>
      </c>
      <c r="K198" s="19"/>
      <c r="L198" s="19"/>
      <c r="T198" s="19" t="str">
        <v>tengah</v>
      </c>
      <c r="U198" s="19"/>
      <c r="V198" s="19"/>
    </row>
    <row r="199" spans="5:22">
      <c r="E199" s="19" t="str">
        <v>kiri</v>
      </c>
      <c r="F199" s="19"/>
      <c r="G199" s="19"/>
      <c r="J199" s="19" t="str">
        <v>tengah</v>
      </c>
      <c r="K199" s="19"/>
      <c r="L199" s="19"/>
      <c r="T199" s="19" t="str">
        <v>kanan</v>
      </c>
      <c r="U199" s="19"/>
      <c r="V199" s="19"/>
    </row>
    <row r="200" spans="5:22">
      <c r="E200" s="19" t="str">
        <v>tengah</v>
      </c>
      <c r="F200" s="19"/>
      <c r="G200" s="19"/>
      <c r="J200" s="19" t="str">
        <v>tengah</v>
      </c>
      <c r="K200" s="19"/>
      <c r="L200" s="19"/>
      <c r="T200" s="19" t="str">
        <v>tengah</v>
      </c>
      <c r="U200" s="19"/>
      <c r="V200" s="19"/>
    </row>
    <row r="201" spans="5:22">
      <c r="E201" s="19" t="str">
        <v>kiri</v>
      </c>
      <c r="F201" s="19"/>
      <c r="G201" s="19"/>
      <c r="J201" s="19" t="str">
        <v>kiri</v>
      </c>
      <c r="K201" s="19"/>
      <c r="L201" s="19"/>
      <c r="T201" s="19" t="str">
        <v>kanan</v>
      </c>
      <c r="U201" s="19"/>
      <c r="V201" s="19"/>
    </row>
    <row r="202" spans="5:22">
      <c r="E202" s="19" t="str">
        <v>tengah</v>
      </c>
      <c r="F202" s="19"/>
      <c r="G202" s="19"/>
      <c r="J202" s="19" t="str">
        <v>tengah</v>
      </c>
      <c r="K202" s="19"/>
      <c r="L202" s="19"/>
      <c r="T202" s="19" t="str">
        <v>kanan</v>
      </c>
      <c r="U202" s="19"/>
      <c r="V202" s="19"/>
    </row>
    <row r="203" spans="5:22">
      <c r="E203" s="19" t="str">
        <v>tengah</v>
      </c>
      <c r="F203" s="19"/>
      <c r="G203" s="19"/>
      <c r="J203" s="19" t="str">
        <v>tengah</v>
      </c>
      <c r="K203" s="19"/>
      <c r="L203" s="19"/>
      <c r="T203" s="19" t="str">
        <v>kanan</v>
      </c>
      <c r="U203" s="19"/>
      <c r="V203" s="19"/>
    </row>
    <row r="204" spans="5:22">
      <c r="E204" s="19" t="str">
        <v>kiri</v>
      </c>
      <c r="F204" s="19"/>
      <c r="G204" s="19"/>
      <c r="J204" s="19" t="str">
        <v>tengah</v>
      </c>
      <c r="K204" s="19"/>
      <c r="L204" s="19"/>
      <c r="T204" s="19" t="str">
        <v>tengah</v>
      </c>
      <c r="U204" s="19"/>
      <c r="V204" s="19"/>
    </row>
    <row r="205" spans="5:22">
      <c r="E205" s="19" t="str">
        <v>kiri</v>
      </c>
      <c r="F205" s="19"/>
      <c r="G205" s="19"/>
      <c r="J205" s="19" t="str">
        <v>kiri</v>
      </c>
      <c r="K205" s="19"/>
      <c r="L205" s="19"/>
      <c r="T205" s="19" t="str">
        <v>kanan</v>
      </c>
      <c r="U205" s="19"/>
      <c r="V205" s="19"/>
    </row>
    <row r="206" spans="5:22">
      <c r="E206" s="19" t="str">
        <v>kiri</v>
      </c>
      <c r="F206" s="19"/>
      <c r="G206" s="19"/>
      <c r="J206" s="19" t="str">
        <v>tengah</v>
      </c>
      <c r="K206" s="19"/>
      <c r="L206" s="19"/>
      <c r="T206" s="19" t="str">
        <v>tengah</v>
      </c>
      <c r="U206" s="19"/>
      <c r="V206" s="19"/>
    </row>
    <row r="207" spans="5:22">
      <c r="E207" s="19" t="str">
        <v>kanan</v>
      </c>
      <c r="F207" s="19"/>
      <c r="G207" s="19"/>
      <c r="J207" s="19" t="str">
        <v>kiri</v>
      </c>
      <c r="K207" s="19"/>
      <c r="L207" s="19"/>
      <c r="T207" s="19" t="str">
        <v>kanan</v>
      </c>
      <c r="U207" s="19"/>
      <c r="V207" s="19"/>
    </row>
    <row r="208" spans="5:22">
      <c r="E208" s="19" t="str">
        <v>tengah</v>
      </c>
      <c r="F208" s="19"/>
      <c r="G208" s="19"/>
      <c r="J208" s="19" t="str">
        <v>tengah</v>
      </c>
      <c r="K208" s="19"/>
      <c r="L208" s="19"/>
      <c r="T208" s="19" t="str">
        <v>kanan</v>
      </c>
      <c r="U208" s="19"/>
      <c r="V208" s="19"/>
    </row>
    <row r="209" spans="5:22">
      <c r="E209" s="19" t="str">
        <v>tengah</v>
      </c>
      <c r="F209" s="19"/>
      <c r="G209" s="19"/>
      <c r="J209" s="19" t="str">
        <v>tengah</v>
      </c>
      <c r="K209" s="19"/>
      <c r="L209" s="19"/>
      <c r="T209" s="19" t="str">
        <v>tengah</v>
      </c>
      <c r="U209" s="19"/>
      <c r="V209" s="19"/>
    </row>
    <row r="210" spans="5:22">
      <c r="E210" s="19" t="str">
        <v>tengah</v>
      </c>
      <c r="F210" s="19"/>
      <c r="G210" s="19"/>
      <c r="J210" s="19" t="str">
        <v>tengah</v>
      </c>
      <c r="K210" s="19"/>
      <c r="L210" s="19"/>
      <c r="T210" s="19" t="str">
        <v>kanan</v>
      </c>
      <c r="U210" s="19"/>
      <c r="V210" s="19"/>
    </row>
    <row r="211" spans="5:22">
      <c r="E211" s="19" t="str">
        <v>kiri</v>
      </c>
      <c r="F211" s="19"/>
      <c r="G211" s="19"/>
      <c r="J211" s="19" t="str">
        <v>kiri</v>
      </c>
      <c r="K211" s="19"/>
      <c r="L211" s="19"/>
      <c r="T211" s="19" t="str">
        <v>kanan</v>
      </c>
      <c r="U211" s="19"/>
      <c r="V211" s="19"/>
    </row>
    <row r="212" spans="5:22">
      <c r="E212" s="19" t="str">
        <v>kiri</v>
      </c>
      <c r="F212" s="19"/>
      <c r="G212" s="19"/>
      <c r="J212" s="19" t="str">
        <v>kiri</v>
      </c>
      <c r="K212" s="19"/>
      <c r="L212" s="19"/>
      <c r="T212" s="19" t="str">
        <v>tengah</v>
      </c>
      <c r="U212" s="19"/>
      <c r="V212" s="19"/>
    </row>
    <row r="213" spans="5:22">
      <c r="E213" s="19" t="str">
        <v>tengah</v>
      </c>
      <c r="F213" s="19"/>
      <c r="G213" s="19"/>
      <c r="J213" s="19" t="str">
        <v>tengah</v>
      </c>
      <c r="K213" s="19"/>
      <c r="L213" s="19"/>
      <c r="T213" s="19" t="str">
        <v>kanan</v>
      </c>
      <c r="U213" s="19"/>
      <c r="V213" s="19"/>
    </row>
    <row r="214" spans="5:22">
      <c r="E214" s="19" t="str">
        <v>kanan</v>
      </c>
      <c r="F214" s="19"/>
      <c r="G214" s="19"/>
      <c r="J214" s="19" t="str">
        <v>kanan</v>
      </c>
      <c r="K214" s="19"/>
      <c r="L214" s="19"/>
      <c r="T214" s="19" t="str">
        <v>kanan</v>
      </c>
      <c r="U214" s="19"/>
      <c r="V214" s="19"/>
    </row>
    <row r="215" spans="5:22">
      <c r="E215" s="19" t="str">
        <v>tengah</v>
      </c>
      <c r="F215" s="19"/>
      <c r="G215" s="19"/>
      <c r="J215" s="19" t="str">
        <v>kiri</v>
      </c>
      <c r="K215" s="19"/>
      <c r="L215" s="19"/>
      <c r="T215" s="19" t="str">
        <v>tengah</v>
      </c>
      <c r="U215" s="19"/>
      <c r="V215" s="19"/>
    </row>
    <row r="216" spans="5:22">
      <c r="E216" s="19" t="str">
        <v>kiri</v>
      </c>
      <c r="F216" s="19"/>
      <c r="G216" s="19"/>
      <c r="J216" s="19" t="str">
        <v>tengah</v>
      </c>
      <c r="K216" s="19"/>
      <c r="L216" s="19"/>
      <c r="T216" s="19" t="str">
        <v>kanan</v>
      </c>
      <c r="U216" s="19"/>
      <c r="V216" s="19"/>
    </row>
    <row r="217" spans="5:22">
      <c r="E217" s="19" t="str">
        <v>kiri</v>
      </c>
      <c r="F217" s="19"/>
      <c r="G217" s="19"/>
      <c r="J217" s="19" t="str">
        <v>tengah</v>
      </c>
      <c r="K217" s="19"/>
      <c r="L217" s="19"/>
      <c r="T217" s="19" t="str">
        <v>tengah</v>
      </c>
      <c r="U217" s="19"/>
      <c r="V217" s="19"/>
    </row>
    <row r="218" spans="5:22">
      <c r="E218" s="19" t="str">
        <v>tengah</v>
      </c>
      <c r="F218" s="19"/>
      <c r="G218" s="19"/>
      <c r="J218" s="19" t="str">
        <v>tengah</v>
      </c>
      <c r="K218" s="19"/>
      <c r="L218" s="19"/>
      <c r="T218" s="19" t="str">
        <v>kanan</v>
      </c>
      <c r="U218" s="19"/>
      <c r="V218" s="19"/>
    </row>
    <row r="219" spans="5:22">
      <c r="E219" s="19" t="str">
        <v>tengah</v>
      </c>
      <c r="F219" s="19"/>
      <c r="G219" s="19"/>
      <c r="J219" s="19" t="str">
        <v>tengah</v>
      </c>
      <c r="K219" s="19"/>
      <c r="L219" s="19"/>
      <c r="T219" s="19" t="str">
        <v>kanan</v>
      </c>
      <c r="U219" s="19"/>
      <c r="V219" s="19"/>
    </row>
    <row r="220" spans="5:22">
      <c r="E220" s="19" t="str">
        <v>kanan</v>
      </c>
      <c r="F220" s="19"/>
      <c r="G220" s="19"/>
      <c r="J220" s="19" t="str">
        <v>tengah</v>
      </c>
      <c r="K220" s="19"/>
      <c r="L220" s="19"/>
      <c r="T220" s="19" t="str">
        <v>kanan</v>
      </c>
      <c r="U220" s="19"/>
      <c r="V220" s="19"/>
    </row>
    <row r="221" spans="5:22">
      <c r="E221" s="19" t="str">
        <v>kanan</v>
      </c>
      <c r="F221" s="19"/>
      <c r="G221" s="19"/>
      <c r="J221" s="19" t="str">
        <v>kiri</v>
      </c>
      <c r="K221" s="19"/>
      <c r="L221" s="19"/>
      <c r="T221" s="19" t="str">
        <v>tengah</v>
      </c>
      <c r="U221" s="19"/>
      <c r="V221" s="19"/>
    </row>
    <row r="222" spans="5:22">
      <c r="E222" s="19" t="str">
        <v>tengah</v>
      </c>
      <c r="F222" s="19"/>
      <c r="G222" s="19"/>
      <c r="J222" s="19" t="str">
        <v>tengah</v>
      </c>
      <c r="K222" s="19"/>
      <c r="L222" s="19"/>
      <c r="T222" s="19" t="str">
        <v>kanan</v>
      </c>
      <c r="U222" s="19"/>
      <c r="V222" s="19"/>
    </row>
    <row r="223" spans="5:22">
      <c r="E223" s="19" t="str">
        <v>kanan</v>
      </c>
      <c r="F223" s="19"/>
      <c r="G223" s="19"/>
      <c r="J223" s="19" t="str">
        <v>tengah</v>
      </c>
      <c r="K223" s="19"/>
      <c r="L223" s="19"/>
      <c r="T223" s="19" t="str">
        <v>tengah</v>
      </c>
      <c r="U223" s="19"/>
      <c r="V223" s="19"/>
    </row>
    <row r="224" spans="5:22">
      <c r="E224" s="19" t="str">
        <v>kiri</v>
      </c>
      <c r="F224" s="19"/>
      <c r="G224" s="19"/>
      <c r="J224" s="19" t="str">
        <v>kanan</v>
      </c>
      <c r="K224" s="19"/>
      <c r="L224" s="19"/>
      <c r="T224" s="19" t="str">
        <v>kanan</v>
      </c>
      <c r="U224" s="19"/>
      <c r="V224" s="19"/>
    </row>
    <row r="225" spans="5:22">
      <c r="E225" s="19" t="str">
        <v>kiri</v>
      </c>
      <c r="F225" s="19"/>
      <c r="G225" s="19"/>
      <c r="J225" s="19" t="str">
        <v>kiri</v>
      </c>
      <c r="K225" s="19"/>
      <c r="L225" s="19"/>
      <c r="T225" s="19" t="str">
        <v>tengah</v>
      </c>
      <c r="U225" s="19"/>
      <c r="V225" s="19"/>
    </row>
    <row r="226" spans="5:22">
      <c r="E226" s="19" t="str">
        <v>tengah</v>
      </c>
      <c r="F226" s="19"/>
      <c r="G226" s="19"/>
      <c r="J226" s="19" t="str">
        <v>tengah</v>
      </c>
      <c r="K226" s="19"/>
      <c r="L226" s="19"/>
      <c r="T226" s="19" t="str">
        <v>tengah</v>
      </c>
      <c r="U226" s="19"/>
      <c r="V226" s="19"/>
    </row>
    <row r="227" spans="5:22">
      <c r="E227" s="19" t="str">
        <v>kanan</v>
      </c>
      <c r="F227" s="19"/>
      <c r="G227" s="19"/>
      <c r="J227" s="19" t="str">
        <v>kanan</v>
      </c>
      <c r="K227" s="19"/>
      <c r="L227" s="19"/>
      <c r="T227" s="19" t="str">
        <v>kanan</v>
      </c>
      <c r="U227" s="19"/>
      <c r="V227" s="19"/>
    </row>
    <row r="228" spans="5:22">
      <c r="E228" s="19" t="str">
        <v>tengah</v>
      </c>
      <c r="F228" s="19"/>
      <c r="G228" s="19"/>
      <c r="J228" s="19" t="str">
        <v>tengah</v>
      </c>
      <c r="K228" s="19"/>
      <c r="L228" s="19"/>
      <c r="T228" s="19" t="str">
        <v>tengah</v>
      </c>
      <c r="U228" s="19"/>
      <c r="V228" s="19"/>
    </row>
    <row r="229" spans="5:22">
      <c r="E229" s="19" t="str">
        <v>kanan</v>
      </c>
      <c r="F229" s="19"/>
      <c r="G229" s="19"/>
      <c r="J229" s="19" t="str">
        <v>kanan</v>
      </c>
      <c r="K229" s="19"/>
      <c r="L229" s="19"/>
      <c r="T229" s="19" t="str">
        <v>kanan</v>
      </c>
      <c r="U229" s="19"/>
      <c r="V229" s="19"/>
    </row>
    <row r="230" spans="5:22">
      <c r="E230" s="19" t="str">
        <v>tengah</v>
      </c>
      <c r="F230" s="19"/>
      <c r="G230" s="19"/>
      <c r="J230" s="19" t="str">
        <v>tengah</v>
      </c>
      <c r="K230" s="19"/>
      <c r="L230" s="19"/>
      <c r="T230" s="19" t="str">
        <v>kanan</v>
      </c>
      <c r="U230" s="19"/>
      <c r="V230" s="19"/>
    </row>
    <row r="231" spans="5:22">
      <c r="E231" s="19" t="str">
        <v>kiri</v>
      </c>
      <c r="F231" s="19"/>
      <c r="G231" s="19"/>
      <c r="J231" s="19" t="str">
        <v>kiri</v>
      </c>
      <c r="K231" s="19"/>
      <c r="L231" s="19"/>
      <c r="T231" s="19" t="str">
        <v>kanan</v>
      </c>
      <c r="U231" s="19"/>
      <c r="V231" s="19"/>
    </row>
    <row r="232" spans="5:22">
      <c r="E232" s="19" t="str">
        <v>tengah</v>
      </c>
      <c r="F232" s="19"/>
      <c r="G232" s="19"/>
      <c r="J232" s="19" t="str">
        <v>tengah</v>
      </c>
      <c r="K232" s="19"/>
      <c r="L232" s="19"/>
      <c r="T232" s="19" t="str">
        <v>kanan</v>
      </c>
      <c r="U232" s="19"/>
      <c r="V232" s="19"/>
    </row>
    <row r="233" spans="5:22">
      <c r="E233" s="19" t="str">
        <v>tengah</v>
      </c>
      <c r="F233" s="19"/>
      <c r="G233" s="19"/>
      <c r="J233" s="19" t="str">
        <v>kiri</v>
      </c>
      <c r="K233" s="19"/>
      <c r="L233" s="19"/>
      <c r="T233" s="19" t="str">
        <v>tengah</v>
      </c>
      <c r="U233" s="19"/>
      <c r="V233" s="19"/>
    </row>
    <row r="234" spans="5:22">
      <c r="E234" s="19" t="str">
        <v>tengah</v>
      </c>
      <c r="F234" s="19"/>
      <c r="G234" s="19"/>
      <c r="J234" s="19" t="str">
        <v>tengah</v>
      </c>
      <c r="K234" s="19"/>
      <c r="L234" s="19"/>
      <c r="T234" s="19" t="str">
        <v>tengah</v>
      </c>
      <c r="U234" s="19"/>
      <c r="V234" s="19"/>
    </row>
    <row r="235" spans="5:22">
      <c r="E235" s="19" t="str">
        <v>kiri</v>
      </c>
      <c r="F235" s="19"/>
      <c r="G235" s="19"/>
      <c r="J235" s="19" t="str">
        <v>tengah</v>
      </c>
      <c r="K235" s="19"/>
      <c r="L235" s="19"/>
      <c r="T235" s="19" t="str">
        <v>tengah</v>
      </c>
      <c r="U235" s="19"/>
      <c r="V235" s="19"/>
    </row>
    <row r="236" spans="5:22">
      <c r="E236" s="19" t="str">
        <v>tengah</v>
      </c>
      <c r="F236" s="19"/>
      <c r="G236" s="19"/>
      <c r="J236" s="19" t="str">
        <v>tengah</v>
      </c>
      <c r="K236" s="19"/>
      <c r="L236" s="19"/>
      <c r="T236" s="19" t="str">
        <v>kanan</v>
      </c>
      <c r="U236" s="19"/>
      <c r="V236" s="19"/>
    </row>
    <row r="237" spans="5:22">
      <c r="E237" s="19" t="str">
        <v>tengah</v>
      </c>
      <c r="F237" s="19"/>
      <c r="G237" s="19"/>
      <c r="J237" s="19" t="str">
        <v>kanan</v>
      </c>
      <c r="K237" s="19"/>
      <c r="L237" s="19"/>
      <c r="T237" s="19" t="str">
        <v>kanan</v>
      </c>
      <c r="U237" s="19"/>
      <c r="V237" s="19"/>
    </row>
    <row r="238" spans="5:22">
      <c r="E238" s="19" t="str">
        <v>kanan</v>
      </c>
      <c r="F238" s="19"/>
      <c r="G238" s="19"/>
      <c r="J238" s="19" t="str">
        <v>kanan</v>
      </c>
      <c r="K238" s="19"/>
      <c r="L238" s="19"/>
      <c r="T238" s="19" t="str">
        <v>kanan</v>
      </c>
      <c r="U238" s="19"/>
      <c r="V238" s="19"/>
    </row>
    <row r="239" spans="5:22">
      <c r="E239" s="19" t="str">
        <v>kiri</v>
      </c>
      <c r="F239" s="19"/>
      <c r="G239" s="19"/>
      <c r="J239" s="19" t="str">
        <v>tengah</v>
      </c>
      <c r="K239" s="19"/>
      <c r="L239" s="19"/>
      <c r="T239" s="19" t="str">
        <v>tengah</v>
      </c>
      <c r="U239" s="19"/>
      <c r="V239" s="19"/>
    </row>
    <row r="240" spans="5:22">
      <c r="E240" s="19" t="str">
        <v>kiri</v>
      </c>
      <c r="F240" s="19"/>
      <c r="G240" s="19"/>
      <c r="J240" s="19" t="str">
        <v>kanan</v>
      </c>
      <c r="K240" s="19"/>
      <c r="L240" s="19"/>
      <c r="T240" s="19" t="str">
        <v>tengah</v>
      </c>
      <c r="U240" s="19"/>
      <c r="V240" s="19"/>
    </row>
    <row r="241" spans="5:22">
      <c r="E241" s="19" t="str">
        <v>tengah</v>
      </c>
      <c r="F241" s="19"/>
      <c r="G241" s="19"/>
      <c r="J241" s="19" t="str">
        <v>tengah</v>
      </c>
      <c r="K241" s="19"/>
      <c r="L241" s="19"/>
      <c r="T241" s="19" t="str">
        <v>kanan</v>
      </c>
      <c r="U241" s="19"/>
      <c r="V241" s="19"/>
    </row>
    <row r="242" spans="5:22">
      <c r="E242" s="19" t="str">
        <v>kiri</v>
      </c>
      <c r="F242" s="19"/>
      <c r="G242" s="19"/>
      <c r="J242" s="19" t="str">
        <v>tengah</v>
      </c>
      <c r="K242" s="19"/>
      <c r="L242" s="19"/>
      <c r="T242" s="19" t="str">
        <v>tengah</v>
      </c>
      <c r="U242" s="19"/>
      <c r="V242" s="19"/>
    </row>
    <row r="243" spans="5:22">
      <c r="E243" s="19" t="str">
        <v>kiri</v>
      </c>
      <c r="F243" s="19"/>
      <c r="G243" s="19"/>
      <c r="J243" s="19" t="str">
        <v>kanan</v>
      </c>
      <c r="K243" s="19"/>
      <c r="L243" s="19"/>
      <c r="T243" s="19" t="str">
        <v>kanan</v>
      </c>
      <c r="U243" s="19"/>
      <c r="V243" s="19"/>
    </row>
    <row r="244" spans="5:22">
      <c r="E244" s="19" t="str">
        <v>tengah</v>
      </c>
      <c r="F244" s="19"/>
      <c r="G244" s="19"/>
      <c r="J244" s="19" t="str">
        <v>kanan</v>
      </c>
      <c r="K244" s="19"/>
      <c r="L244" s="19"/>
      <c r="T244" s="19" t="str">
        <v>tengah</v>
      </c>
      <c r="U244" s="19"/>
      <c r="V244" s="19"/>
    </row>
    <row r="245" spans="5:22">
      <c r="E245" s="19" t="str">
        <v>tengah</v>
      </c>
      <c r="F245" s="19"/>
      <c r="G245" s="19"/>
      <c r="J245" s="19" t="str">
        <v>tengah</v>
      </c>
      <c r="K245" s="19"/>
      <c r="L245" s="19"/>
      <c r="T245" s="19" t="str">
        <v>kanan</v>
      </c>
      <c r="U245" s="19"/>
      <c r="V245" s="19"/>
    </row>
    <row r="246" spans="5:22">
      <c r="E246" s="19" t="str">
        <v>kiri</v>
      </c>
      <c r="F246" s="19"/>
      <c r="G246" s="19"/>
      <c r="J246" s="19" t="str">
        <v>tengah</v>
      </c>
      <c r="K246" s="19"/>
      <c r="L246" s="19"/>
      <c r="T246" s="19" t="str">
        <v>tengah</v>
      </c>
      <c r="U246" s="19"/>
      <c r="V246" s="19"/>
    </row>
    <row r="247" spans="5:22">
      <c r="E247" s="19" t="str">
        <v>tengah</v>
      </c>
      <c r="F247" s="19"/>
      <c r="G247" s="19"/>
      <c r="J247" s="19" t="str">
        <v>tengah</v>
      </c>
      <c r="K247" s="19"/>
      <c r="L247" s="19"/>
      <c r="T247" s="19" t="str">
        <v>tengah</v>
      </c>
      <c r="U247" s="19"/>
      <c r="V247" s="19"/>
    </row>
    <row r="248" spans="5:22">
      <c r="E248" s="19" t="str">
        <v>tengah</v>
      </c>
      <c r="F248" s="19"/>
      <c r="G248" s="19"/>
      <c r="J248" s="19" t="str">
        <v>kanan</v>
      </c>
      <c r="K248" s="19"/>
      <c r="L248" s="19"/>
      <c r="T248" s="19" t="str">
        <v>tengah</v>
      </c>
      <c r="U248" s="19"/>
      <c r="V248" s="19"/>
    </row>
    <row r="249" spans="5:22">
      <c r="E249" s="19" t="str">
        <v>tengah</v>
      </c>
      <c r="F249" s="19"/>
      <c r="G249" s="19"/>
      <c r="J249" s="19" t="str">
        <v>tengah</v>
      </c>
      <c r="K249" s="19"/>
      <c r="L249" s="19"/>
      <c r="T249" s="19" t="str">
        <v>kanan</v>
      </c>
      <c r="U249" s="19"/>
      <c r="V249" s="19"/>
    </row>
    <row r="250" spans="5:22">
      <c r="E250" s="19" t="str">
        <v>tengah</v>
      </c>
      <c r="F250" s="19"/>
      <c r="G250" s="19"/>
      <c r="J250" s="19" t="str">
        <v>tengah</v>
      </c>
      <c r="K250" s="19"/>
      <c r="L250" s="19"/>
      <c r="T250" s="19" t="str">
        <v>kanan</v>
      </c>
      <c r="U250" s="19"/>
      <c r="V250" s="19"/>
    </row>
    <row r="251" spans="5:22">
      <c r="E251" s="19" t="str">
        <v>kiri</v>
      </c>
      <c r="F251" s="19"/>
      <c r="G251" s="19"/>
      <c r="J251" s="19" t="str">
        <v>kiri</v>
      </c>
      <c r="K251" s="19"/>
      <c r="L251" s="19"/>
      <c r="T251" s="19" t="str">
        <v>kanan</v>
      </c>
      <c r="U251" s="19"/>
      <c r="V251" s="19"/>
    </row>
    <row r="252" spans="5:22">
      <c r="E252" s="19" t="str">
        <v>kiri</v>
      </c>
      <c r="F252" s="19"/>
      <c r="G252" s="19"/>
      <c r="J252" s="19" t="str">
        <v>tengah</v>
      </c>
      <c r="K252" s="19"/>
      <c r="L252" s="19"/>
      <c r="T252" s="19" t="str">
        <v>tengah</v>
      </c>
      <c r="U252" s="19"/>
      <c r="V252" s="19"/>
    </row>
    <row r="253" spans="5:22">
      <c r="E253" s="19" t="str">
        <v>kanan</v>
      </c>
      <c r="F253" s="19"/>
      <c r="G253" s="19"/>
      <c r="J253" s="19" t="str">
        <v>tengah</v>
      </c>
      <c r="K253" s="19"/>
      <c r="L253" s="19"/>
      <c r="T253" s="19" t="str">
        <v>kanan</v>
      </c>
      <c r="U253" s="19"/>
      <c r="V253" s="19"/>
    </row>
    <row r="254" spans="5:22">
      <c r="E254" s="19" t="str">
        <v>tengah</v>
      </c>
      <c r="F254" s="19"/>
      <c r="G254" s="19"/>
      <c r="J254" s="19" t="str">
        <v>tengah</v>
      </c>
      <c r="K254" s="19"/>
      <c r="L254" s="19"/>
      <c r="T254" s="19" t="str">
        <v>tengah</v>
      </c>
      <c r="U254" s="19"/>
      <c r="V254" s="19"/>
    </row>
    <row r="255" spans="5:22">
      <c r="E255" s="19" t="str">
        <v>kiri</v>
      </c>
      <c r="F255" s="19"/>
      <c r="G255" s="19"/>
      <c r="J255" s="19" t="str">
        <v>kiri</v>
      </c>
      <c r="K255" s="19"/>
      <c r="L255" s="19"/>
      <c r="T255" s="19" t="str">
        <v>tengah</v>
      </c>
      <c r="U255" s="19"/>
      <c r="V255" s="19"/>
    </row>
    <row r="256" spans="5:22">
      <c r="E256" s="19" t="str">
        <v>kanan</v>
      </c>
      <c r="F256" s="19"/>
      <c r="G256" s="19"/>
      <c r="J256" s="19" t="str">
        <v>tengah</v>
      </c>
      <c r="K256" s="19"/>
      <c r="L256" s="19"/>
      <c r="T256" s="19" t="str">
        <v>kanan</v>
      </c>
      <c r="U256" s="19"/>
      <c r="V256" s="19"/>
    </row>
    <row r="257" spans="5:22">
      <c r="E257" s="19" t="str">
        <v>kiri</v>
      </c>
      <c r="F257" s="19"/>
      <c r="G257" s="19"/>
      <c r="J257" s="19" t="str">
        <v>kiri</v>
      </c>
      <c r="K257" s="19"/>
      <c r="L257" s="19"/>
      <c r="T257" s="19" t="str">
        <v>kanan</v>
      </c>
      <c r="U257" s="19"/>
      <c r="V257" s="19"/>
    </row>
    <row r="258" spans="5:22">
      <c r="E258" s="19" t="str">
        <v>tengah</v>
      </c>
      <c r="F258" s="19"/>
      <c r="G258" s="19"/>
      <c r="J258" s="19" t="str">
        <v>kiri</v>
      </c>
      <c r="K258" s="19"/>
      <c r="L258" s="19"/>
      <c r="T258" s="19" t="str">
        <v>tengah</v>
      </c>
      <c r="U258" s="19"/>
      <c r="V258" s="19"/>
    </row>
    <row r="259" spans="5:22">
      <c r="E259" s="19" t="str">
        <v>tengah</v>
      </c>
      <c r="F259" s="19"/>
      <c r="G259" s="19"/>
      <c r="J259" s="19" t="str">
        <v>tengah</v>
      </c>
      <c r="K259" s="19"/>
      <c r="L259" s="19"/>
      <c r="T259" s="19" t="str">
        <v>kanan</v>
      </c>
      <c r="U259" s="19"/>
      <c r="V259" s="19"/>
    </row>
    <row r="260" spans="5:22">
      <c r="E260" s="19" t="str">
        <v>tengah</v>
      </c>
      <c r="F260" s="19"/>
      <c r="G260" s="19"/>
      <c r="J260" s="19" t="str">
        <v>tengah</v>
      </c>
      <c r="K260" s="19"/>
      <c r="L260" s="19"/>
      <c r="T260" s="19" t="str">
        <v>tengah</v>
      </c>
      <c r="U260" s="19"/>
      <c r="V260" s="19"/>
    </row>
    <row r="261" spans="5:22">
      <c r="E261" s="19" t="str">
        <v>kanan</v>
      </c>
      <c r="F261" s="19"/>
      <c r="G261" s="19"/>
      <c r="J261" s="19" t="str">
        <v>kanan</v>
      </c>
      <c r="K261" s="19"/>
      <c r="L261" s="19"/>
      <c r="T261" s="19" t="str">
        <v>kanan</v>
      </c>
      <c r="U261" s="19"/>
      <c r="V261" s="19"/>
    </row>
    <row r="262" spans="5:22">
      <c r="E262" s="19" t="str">
        <v>tengah</v>
      </c>
      <c r="F262" s="19"/>
      <c r="G262" s="19"/>
      <c r="J262" s="19" t="str">
        <v>tengah</v>
      </c>
      <c r="K262" s="19"/>
      <c r="L262" s="19"/>
      <c r="T262" s="19" t="str">
        <v>tengah</v>
      </c>
      <c r="U262" s="19"/>
      <c r="V262" s="19"/>
    </row>
    <row r="263" spans="5:22">
      <c r="E263" s="19" t="str">
        <v>tengah</v>
      </c>
      <c r="F263" s="19"/>
      <c r="G263" s="19"/>
      <c r="J263" s="19" t="str">
        <v>tengah</v>
      </c>
      <c r="K263" s="19"/>
      <c r="L263" s="19"/>
      <c r="T263" s="19" t="str">
        <v>kanan</v>
      </c>
      <c r="U263" s="19"/>
      <c r="V263" s="19"/>
    </row>
    <row r="264" spans="5:22">
      <c r="E264" s="19" t="str">
        <v>tengah</v>
      </c>
      <c r="F264" s="19"/>
      <c r="G264" s="19"/>
      <c r="J264" s="19" t="str">
        <v>kiri</v>
      </c>
      <c r="K264" s="19"/>
      <c r="L264" s="19"/>
      <c r="T264" s="19" t="str">
        <v>tengah</v>
      </c>
      <c r="U264" s="19"/>
      <c r="V264" s="19"/>
    </row>
    <row r="265" spans="5:22">
      <c r="E265" s="19" t="str">
        <v>kiri</v>
      </c>
      <c r="F265" s="19"/>
      <c r="G265" s="19"/>
      <c r="J265" s="19" t="str">
        <v>kanan</v>
      </c>
      <c r="K265" s="19"/>
      <c r="L265" s="19"/>
      <c r="T265" s="19" t="str">
        <v>kanan</v>
      </c>
      <c r="U265" s="19"/>
      <c r="V265" s="19"/>
    </row>
    <row r="266" spans="5:22">
      <c r="E266" s="19" t="str">
        <v>tengah</v>
      </c>
      <c r="F266" s="19"/>
      <c r="G266" s="19"/>
      <c r="J266" s="19" t="str">
        <v>tengah</v>
      </c>
      <c r="K266" s="19"/>
      <c r="L266" s="19"/>
      <c r="T266" s="19" t="str">
        <v>kanan</v>
      </c>
      <c r="U266" s="19"/>
      <c r="V266" s="19"/>
    </row>
    <row r="267" spans="5:22">
      <c r="E267" s="19" t="str">
        <v>tengah</v>
      </c>
      <c r="F267" s="19"/>
      <c r="G267" s="19"/>
      <c r="J267" s="19" t="str">
        <v>kanan</v>
      </c>
      <c r="K267" s="19"/>
      <c r="L267" s="19"/>
      <c r="T267" s="19" t="str">
        <v>tengah</v>
      </c>
      <c r="U267" s="19"/>
      <c r="V267" s="19"/>
    </row>
    <row r="268" spans="5:22">
      <c r="E268" s="19" t="str">
        <v>tengah</v>
      </c>
      <c r="F268" s="19"/>
      <c r="G268" s="19"/>
      <c r="J268" s="19" t="str">
        <v>tengah</v>
      </c>
      <c r="K268" s="19"/>
      <c r="L268" s="19"/>
      <c r="T268" s="19" t="str">
        <v>kanan</v>
      </c>
      <c r="U268" s="19"/>
      <c r="V268" s="19"/>
    </row>
    <row r="269" spans="5:22">
      <c r="E269" s="19" t="str">
        <v>tengah</v>
      </c>
      <c r="F269" s="19"/>
      <c r="G269" s="19"/>
      <c r="J269" s="19" t="str">
        <v>tengah</v>
      </c>
      <c r="K269" s="19"/>
      <c r="L269" s="19"/>
      <c r="T269" s="19" t="str">
        <v>kanan</v>
      </c>
      <c r="U269" s="19"/>
      <c r="V269" s="19"/>
    </row>
    <row r="270" spans="5:22">
      <c r="E270" s="19" t="str">
        <v>kanan</v>
      </c>
      <c r="F270" s="19"/>
      <c r="G270" s="19"/>
      <c r="J270" s="19" t="str">
        <v>kanan</v>
      </c>
      <c r="K270" s="19"/>
      <c r="L270" s="19"/>
      <c r="T270" s="19" t="str">
        <v>tengah</v>
      </c>
      <c r="U270" s="19"/>
      <c r="V270" s="19"/>
    </row>
    <row r="271" spans="5:22">
      <c r="E271" s="19" t="str">
        <v>tengah</v>
      </c>
      <c r="F271" s="19"/>
      <c r="G271" s="19"/>
      <c r="J271" s="19" t="str">
        <v>kanan</v>
      </c>
      <c r="K271" s="19"/>
      <c r="L271" s="19"/>
      <c r="T271" s="19" t="str">
        <v>tengah</v>
      </c>
      <c r="U271" s="19"/>
      <c r="V271" s="19"/>
    </row>
    <row r="272" spans="5:22">
      <c r="E272" s="19" t="str">
        <v>kanan</v>
      </c>
      <c r="F272" s="19"/>
      <c r="G272" s="19"/>
      <c r="J272" s="19" t="str">
        <v>tengah</v>
      </c>
      <c r="K272" s="19"/>
      <c r="L272" s="19"/>
      <c r="T272" s="19" t="str">
        <v>tengah</v>
      </c>
      <c r="U272" s="19"/>
      <c r="V272" s="19"/>
    </row>
    <row r="273" spans="5:22">
      <c r="E273" s="19" t="str">
        <v>tengah</v>
      </c>
      <c r="F273" s="19"/>
      <c r="G273" s="19"/>
      <c r="J273" s="19" t="str">
        <v>tengah</v>
      </c>
      <c r="K273" s="19"/>
      <c r="L273" s="19"/>
      <c r="T273" s="19" t="str">
        <v>tengah</v>
      </c>
      <c r="U273" s="19"/>
      <c r="V273" s="19"/>
    </row>
    <row r="274" spans="5:22">
      <c r="E274" s="19" t="str">
        <v>tengah</v>
      </c>
      <c r="F274" s="19"/>
      <c r="G274" s="19"/>
      <c r="J274" s="19" t="str">
        <v>kanan</v>
      </c>
      <c r="K274" s="19"/>
      <c r="L274" s="19"/>
      <c r="T274" s="19" t="str">
        <v>kanan</v>
      </c>
      <c r="U274" s="19"/>
      <c r="V274" s="19"/>
    </row>
    <row r="275" spans="5:22">
      <c r="E275" s="19" t="str">
        <v>kanan</v>
      </c>
      <c r="F275" s="19"/>
      <c r="G275" s="19"/>
      <c r="J275" s="19" t="str">
        <v>tengah</v>
      </c>
      <c r="K275" s="19"/>
      <c r="L275" s="19"/>
      <c r="T275" s="19" t="str">
        <v>kanan</v>
      </c>
      <c r="U275" s="19"/>
      <c r="V275" s="19"/>
    </row>
    <row r="276" spans="5:22">
      <c r="E276" s="19" t="str">
        <v>kiri</v>
      </c>
      <c r="F276" s="19"/>
      <c r="G276" s="19"/>
      <c r="J276" s="19" t="str">
        <v>tengah</v>
      </c>
      <c r="K276" s="19"/>
      <c r="L276" s="19"/>
      <c r="T276" s="19" t="str">
        <v>tengah</v>
      </c>
      <c r="U276" s="19"/>
      <c r="V276" s="19"/>
    </row>
    <row r="277" spans="5:22">
      <c r="E277" s="19" t="str">
        <v>kanan</v>
      </c>
      <c r="F277" s="19"/>
      <c r="G277" s="19"/>
      <c r="J277" s="19" t="str">
        <v>tengah</v>
      </c>
      <c r="K277" s="19"/>
      <c r="L277" s="19"/>
      <c r="T277" s="19" t="str">
        <v>kanan</v>
      </c>
      <c r="U277" s="19"/>
      <c r="V277" s="19"/>
    </row>
    <row r="278" spans="5:22">
      <c r="E278" s="19" t="str">
        <v>tengah</v>
      </c>
      <c r="F278" s="19"/>
      <c r="G278" s="19"/>
      <c r="J278" s="19" t="str">
        <v>tengah</v>
      </c>
      <c r="K278" s="19"/>
      <c r="L278" s="19"/>
      <c r="T278" s="19" t="str">
        <v>kanan</v>
      </c>
      <c r="U278" s="19"/>
      <c r="V278" s="19"/>
    </row>
    <row r="279" spans="5:22">
      <c r="E279" s="19" t="str">
        <v>tengah</v>
      </c>
      <c r="F279" s="19"/>
      <c r="G279" s="19"/>
      <c r="J279" s="19" t="str">
        <v>tengah</v>
      </c>
      <c r="K279" s="19"/>
      <c r="L279" s="19"/>
      <c r="T279" s="19" t="str">
        <v>kanan</v>
      </c>
      <c r="U279" s="19"/>
      <c r="V279" s="19"/>
    </row>
    <row r="280" spans="5:22">
      <c r="E280" s="19" t="str">
        <v>tengah</v>
      </c>
      <c r="F280" s="19"/>
      <c r="G280" s="19"/>
      <c r="J280" s="19" t="str">
        <v>kanan</v>
      </c>
      <c r="K280" s="19"/>
      <c r="L280" s="19"/>
      <c r="T280" s="19" t="str">
        <v>kanan</v>
      </c>
      <c r="U280" s="19"/>
      <c r="V280" s="19"/>
    </row>
    <row r="281" spans="5:22">
      <c r="E281" s="19" t="str">
        <v>kiri</v>
      </c>
      <c r="F281" s="19"/>
      <c r="G281" s="19"/>
      <c r="J281" s="19" t="str">
        <v>kiri</v>
      </c>
      <c r="K281" s="19"/>
      <c r="L281" s="19"/>
      <c r="T281" s="19" t="str">
        <v>kanan</v>
      </c>
      <c r="U281" s="19"/>
      <c r="V281" s="19"/>
    </row>
    <row r="282" spans="5:22">
      <c r="E282" s="19" t="str">
        <v>tengah</v>
      </c>
      <c r="F282" s="19"/>
      <c r="G282" s="19"/>
      <c r="J282" s="19" t="str">
        <v>tengah</v>
      </c>
      <c r="K282" s="19"/>
      <c r="L282" s="19"/>
      <c r="T282" s="19" t="str">
        <v>kanan</v>
      </c>
      <c r="U282" s="19"/>
      <c r="V282" s="19"/>
    </row>
    <row r="283" spans="5:22">
      <c r="E283" s="19" t="str">
        <v>kanan</v>
      </c>
      <c r="F283" s="19"/>
      <c r="G283" s="19"/>
      <c r="J283" s="19" t="str">
        <v>tengah</v>
      </c>
      <c r="K283" s="19"/>
      <c r="L283" s="19"/>
      <c r="T283" s="19" t="str">
        <v>tengah</v>
      </c>
      <c r="U283" s="19"/>
      <c r="V283" s="19"/>
    </row>
    <row r="284" spans="5:22">
      <c r="E284" s="19" t="str">
        <v>tengah</v>
      </c>
      <c r="F284" s="19"/>
      <c r="G284" s="19"/>
      <c r="J284" s="19" t="str">
        <v>tengah</v>
      </c>
      <c r="K284" s="19"/>
      <c r="L284" s="19"/>
      <c r="T284" s="19" t="str">
        <v>kanan</v>
      </c>
      <c r="U284" s="19"/>
      <c r="V284" s="19"/>
    </row>
    <row r="285" spans="5:22">
      <c r="E285" s="19" t="str">
        <v>kiri</v>
      </c>
      <c r="F285" s="19"/>
      <c r="G285" s="19"/>
      <c r="J285" s="19" t="str">
        <v>kiri</v>
      </c>
      <c r="K285" s="19"/>
      <c r="L285" s="19"/>
      <c r="T285" s="19" t="str">
        <v>kanan</v>
      </c>
      <c r="U285" s="19"/>
      <c r="V285" s="19"/>
    </row>
    <row r="286" spans="5:22">
      <c r="E286" s="19" t="str">
        <v>tengah</v>
      </c>
      <c r="F286" s="19"/>
      <c r="G286" s="19"/>
      <c r="J286" s="19" t="str">
        <v>kiri</v>
      </c>
      <c r="K286" s="19"/>
      <c r="L286" s="19"/>
      <c r="T286" s="19" t="str">
        <v>tengah</v>
      </c>
      <c r="U286" s="19"/>
      <c r="V286" s="19"/>
    </row>
    <row r="287" spans="5:22">
      <c r="E287" s="19" t="str">
        <v>kiri</v>
      </c>
      <c r="F287" s="19"/>
      <c r="G287" s="19"/>
      <c r="J287" s="19" t="str">
        <v>kiri</v>
      </c>
      <c r="K287" s="19"/>
      <c r="L287" s="19"/>
      <c r="T287" s="19" t="str">
        <v>tengah</v>
      </c>
      <c r="U287" s="19"/>
      <c r="V287" s="19"/>
    </row>
    <row r="288" spans="5:22">
      <c r="E288" s="19" t="str">
        <v>tengah</v>
      </c>
      <c r="F288" s="19"/>
      <c r="G288" s="19"/>
      <c r="J288" s="19" t="str">
        <v>kanan</v>
      </c>
      <c r="K288" s="19"/>
      <c r="L288" s="19"/>
      <c r="T288" s="19" t="str">
        <v>tengah</v>
      </c>
      <c r="U288" s="19"/>
      <c r="V288" s="19"/>
    </row>
    <row r="289" spans="5:22">
      <c r="E289" s="19" t="str">
        <v>tengah</v>
      </c>
      <c r="F289" s="19"/>
      <c r="G289" s="19"/>
      <c r="J289" s="19" t="str">
        <v>tengah</v>
      </c>
      <c r="K289" s="19"/>
      <c r="L289" s="19"/>
      <c r="T289" s="19" t="str">
        <v>kanan</v>
      </c>
      <c r="U289" s="19"/>
      <c r="V289" s="19"/>
    </row>
    <row r="290" spans="5:22">
      <c r="E290" s="19" t="str">
        <v>tengah</v>
      </c>
      <c r="F290" s="19"/>
      <c r="G290" s="19"/>
      <c r="J290" s="19" t="str">
        <v>kanan</v>
      </c>
      <c r="K290" s="19"/>
      <c r="L290" s="19"/>
      <c r="T290" s="19" t="str">
        <v>kanan</v>
      </c>
      <c r="U290" s="19"/>
      <c r="V290" s="19"/>
    </row>
    <row r="291" spans="5:22">
      <c r="E291" s="19" t="str">
        <v>tengah</v>
      </c>
      <c r="F291" s="19"/>
      <c r="G291" s="19"/>
      <c r="J291" s="19" t="str">
        <v>tengah</v>
      </c>
      <c r="K291" s="19"/>
      <c r="L291" s="19"/>
      <c r="T291" s="19" t="str">
        <v>kanan</v>
      </c>
      <c r="U291" s="19"/>
      <c r="V291" s="19"/>
    </row>
    <row r="292" spans="5:22">
      <c r="E292" s="19" t="str">
        <v>kiri</v>
      </c>
      <c r="F292" s="19"/>
      <c r="G292" s="19"/>
      <c r="J292" s="19" t="str">
        <v>kanan</v>
      </c>
      <c r="K292" s="19"/>
      <c r="L292" s="19"/>
      <c r="T292" s="19" t="str">
        <v>tengah</v>
      </c>
      <c r="U292" s="19"/>
      <c r="V292" s="19"/>
    </row>
    <row r="293" spans="5:22">
      <c r="E293" s="19" t="str">
        <v>kanan</v>
      </c>
      <c r="F293" s="19"/>
      <c r="G293" s="19"/>
      <c r="J293" s="19" t="str">
        <v>kanan</v>
      </c>
      <c r="K293" s="19"/>
      <c r="L293" s="19"/>
      <c r="T293" s="19" t="str">
        <v>tengah</v>
      </c>
      <c r="U293" s="19"/>
      <c r="V293" s="19"/>
    </row>
    <row r="294" spans="5:22">
      <c r="E294" s="19" t="str">
        <v>tengah</v>
      </c>
      <c r="F294" s="19"/>
      <c r="G294" s="19"/>
      <c r="J294" s="19" t="str">
        <v>tengah</v>
      </c>
      <c r="K294" s="19"/>
      <c r="L294" s="19"/>
      <c r="T294" s="19" t="str">
        <v>kanan</v>
      </c>
      <c r="U294" s="19"/>
      <c r="V294" s="19"/>
    </row>
    <row r="295" spans="5:22">
      <c r="E295" s="19" t="str">
        <v>tengah</v>
      </c>
      <c r="F295" s="19"/>
      <c r="G295" s="19"/>
      <c r="J295" s="19" t="str">
        <v>tengah</v>
      </c>
      <c r="K295" s="19"/>
      <c r="L295" s="19"/>
      <c r="T295" s="19" t="str">
        <v>tengah</v>
      </c>
      <c r="U295" s="19"/>
      <c r="V295" s="19"/>
    </row>
    <row r="296" spans="5:22">
      <c r="E296" s="19" t="str">
        <v>kiri</v>
      </c>
      <c r="F296" s="19"/>
      <c r="G296" s="19"/>
      <c r="J296" s="19" t="str">
        <v>tengah</v>
      </c>
      <c r="K296" s="19"/>
      <c r="L296" s="19"/>
      <c r="T296" s="19" t="str">
        <v>tengah</v>
      </c>
      <c r="U296" s="19"/>
      <c r="V296" s="19"/>
    </row>
    <row r="297" spans="5:22">
      <c r="E297" s="19" t="str">
        <v>kiri</v>
      </c>
      <c r="F297" s="19"/>
      <c r="G297" s="19"/>
      <c r="J297" s="19" t="str">
        <v>tengah</v>
      </c>
      <c r="K297" s="19"/>
      <c r="L297" s="19"/>
      <c r="T297" s="19" t="str">
        <v>kanan</v>
      </c>
      <c r="U297" s="19"/>
      <c r="V297" s="19"/>
    </row>
    <row r="298" spans="5:22">
      <c r="E298" s="19" t="str">
        <v>tengah</v>
      </c>
      <c r="F298" s="19"/>
      <c r="G298" s="19"/>
      <c r="J298" s="19" t="str">
        <v>tengah</v>
      </c>
      <c r="K298" s="19"/>
      <c r="L298" s="19"/>
      <c r="T298" s="19" t="str">
        <v>kanan</v>
      </c>
      <c r="U298" s="19"/>
      <c r="V298" s="19"/>
    </row>
    <row r="299" spans="5:22">
      <c r="E299" s="19" t="str">
        <v>kanan</v>
      </c>
      <c r="F299" s="19"/>
      <c r="G299" s="19"/>
      <c r="J299" s="19" t="str">
        <v>tengah</v>
      </c>
      <c r="K299" s="19"/>
      <c r="L299" s="19"/>
      <c r="T299" s="19" t="str">
        <v>tengah</v>
      </c>
      <c r="U299" s="19"/>
      <c r="V299" s="19"/>
    </row>
    <row r="300" spans="5:22">
      <c r="E300" s="19" t="str">
        <v>tengah</v>
      </c>
      <c r="F300" s="19"/>
      <c r="G300" s="19"/>
      <c r="J300" s="19" t="str">
        <v>tengah</v>
      </c>
      <c r="K300" s="19"/>
      <c r="L300" s="19"/>
      <c r="T300" s="19" t="str">
        <v>kanan</v>
      </c>
      <c r="U300" s="19"/>
      <c r="V300" s="19"/>
    </row>
    <row r="301" spans="5:22">
      <c r="E301" s="19" t="str">
        <v>tengah</v>
      </c>
      <c r="F301" s="19"/>
      <c r="G301" s="19"/>
      <c r="J301" s="19" t="str">
        <v>kanan</v>
      </c>
      <c r="K301" s="19"/>
      <c r="L301" s="19"/>
      <c r="T301" s="19" t="str">
        <v>tengah</v>
      </c>
      <c r="U301" s="19"/>
      <c r="V301" s="19"/>
    </row>
    <row r="302" spans="5:22">
      <c r="E302" s="19" t="str">
        <v>tengah</v>
      </c>
      <c r="F302" s="19"/>
      <c r="G302" s="19"/>
      <c r="J302" s="19" t="str">
        <v>kanan</v>
      </c>
      <c r="K302" s="19"/>
      <c r="L302" s="19"/>
      <c r="T302" s="19" t="str">
        <v>kanan</v>
      </c>
      <c r="U302" s="19"/>
      <c r="V302" s="19"/>
    </row>
    <row r="303" spans="5:22">
      <c r="E303" s="19" t="str">
        <v>tengah</v>
      </c>
      <c r="F303" s="19"/>
      <c r="G303" s="19"/>
      <c r="J303" s="19" t="str">
        <v>kanan</v>
      </c>
      <c r="K303" s="19"/>
      <c r="L303" s="19"/>
      <c r="T303" s="19" t="str">
        <v>tengah</v>
      </c>
      <c r="U303" s="19"/>
      <c r="V303" s="19"/>
    </row>
    <row r="304" spans="5:22">
      <c r="E304" s="19" t="str">
        <v>tengah</v>
      </c>
      <c r="F304" s="19"/>
      <c r="G304" s="19"/>
      <c r="J304" s="19" t="str">
        <v>tengah</v>
      </c>
      <c r="K304" s="19"/>
      <c r="L304" s="19"/>
      <c r="T304" s="19" t="str">
        <v>kanan</v>
      </c>
      <c r="U304" s="19"/>
      <c r="V304" s="19"/>
    </row>
    <row r="305" spans="5:22">
      <c r="E305" s="19" t="str">
        <v>kanan</v>
      </c>
      <c r="F305" s="19"/>
      <c r="G305" s="19"/>
      <c r="J305" s="19" t="str">
        <v>tengah</v>
      </c>
      <c r="K305" s="19"/>
      <c r="L305" s="19"/>
      <c r="T305" s="19" t="str">
        <v>kanan</v>
      </c>
      <c r="U305" s="19"/>
      <c r="V305" s="19"/>
    </row>
    <row r="306" spans="5:22">
      <c r="E306" s="19" t="str">
        <v>kiri</v>
      </c>
      <c r="F306" s="19"/>
      <c r="G306" s="19"/>
      <c r="J306" s="19" t="str">
        <v>kanan</v>
      </c>
      <c r="K306" s="19"/>
      <c r="L306" s="19"/>
      <c r="T306" s="19" t="str">
        <v>kanan</v>
      </c>
      <c r="U306" s="19"/>
      <c r="V306" s="19"/>
    </row>
    <row r="307" spans="5:22">
      <c r="E307" s="19" t="str">
        <v>kiri</v>
      </c>
      <c r="F307" s="19"/>
      <c r="G307" s="19"/>
      <c r="J307" s="19" t="str">
        <v>tengah</v>
      </c>
      <c r="K307" s="19"/>
      <c r="L307" s="19"/>
      <c r="T307" s="19" t="str">
        <v>kanan</v>
      </c>
      <c r="U307" s="19"/>
      <c r="V307" s="19"/>
    </row>
    <row r="308" spans="5:22">
      <c r="E308" s="19" t="str">
        <v>tengah</v>
      </c>
      <c r="F308" s="19"/>
      <c r="G308" s="19"/>
      <c r="J308" s="19" t="str">
        <v>kanan</v>
      </c>
      <c r="K308" s="19"/>
      <c r="L308" s="19"/>
      <c r="T308" s="19" t="str">
        <v>tengah</v>
      </c>
      <c r="U308" s="19"/>
      <c r="V308" s="19"/>
    </row>
    <row r="309" spans="5:22">
      <c r="E309" s="19" t="str">
        <v>tengah</v>
      </c>
      <c r="F309" s="19"/>
      <c r="G309" s="19"/>
      <c r="J309" s="19" t="str">
        <v>tengah</v>
      </c>
      <c r="K309" s="19"/>
      <c r="L309" s="19"/>
      <c r="T309" s="19" t="str">
        <v>kanan</v>
      </c>
      <c r="U309" s="19"/>
      <c r="V309" s="19"/>
    </row>
    <row r="310" spans="5:22">
      <c r="E310" s="19" t="str">
        <v>tengah</v>
      </c>
      <c r="F310" s="19"/>
      <c r="G310" s="19"/>
      <c r="J310" s="19" t="str">
        <v>tengah</v>
      </c>
      <c r="K310" s="19"/>
      <c r="L310" s="19"/>
      <c r="T310" s="19" t="str">
        <v>tengah</v>
      </c>
      <c r="U310" s="19"/>
      <c r="V310" s="19"/>
    </row>
    <row r="311" spans="5:22">
      <c r="E311" s="19" t="str">
        <v>kiri</v>
      </c>
      <c r="F311" s="19"/>
      <c r="G311" s="19"/>
      <c r="J311" s="19" t="str">
        <v>kiri</v>
      </c>
      <c r="K311" s="19"/>
      <c r="L311" s="19"/>
      <c r="T311" s="19" t="str">
        <v>kanan</v>
      </c>
      <c r="U311" s="19"/>
      <c r="V311" s="19"/>
    </row>
    <row r="312" spans="5:22">
      <c r="E312" s="19" t="str">
        <v>tengah</v>
      </c>
      <c r="F312" s="19"/>
      <c r="G312" s="19"/>
      <c r="J312" s="19" t="str">
        <v>tengah</v>
      </c>
      <c r="K312" s="19"/>
      <c r="L312" s="19"/>
      <c r="T312" s="19" t="str">
        <v>tengah</v>
      </c>
      <c r="U312" s="19"/>
      <c r="V312" s="19"/>
    </row>
    <row r="313" spans="5:22">
      <c r="E313" s="19" t="str">
        <v>kiri</v>
      </c>
      <c r="F313" s="19"/>
      <c r="G313" s="19"/>
      <c r="J313" s="19" t="str">
        <v>tengah</v>
      </c>
      <c r="K313" s="19"/>
      <c r="L313" s="19"/>
      <c r="T313" s="19" t="str">
        <v>tengah</v>
      </c>
      <c r="U313" s="19"/>
      <c r="V313" s="19"/>
    </row>
    <row r="314" spans="5:22">
      <c r="E314" s="19" t="str">
        <v>kanan</v>
      </c>
      <c r="F314" s="19"/>
      <c r="G314" s="19"/>
      <c r="J314" s="19" t="str">
        <v>tengah</v>
      </c>
      <c r="K314" s="19"/>
      <c r="L314" s="19"/>
      <c r="T314" s="19" t="str">
        <v>kanan</v>
      </c>
      <c r="U314" s="19"/>
      <c r="V314" s="19"/>
    </row>
    <row r="315" spans="5:22">
      <c r="E315" s="19" t="str">
        <v>tengah</v>
      </c>
      <c r="F315" s="19"/>
      <c r="G315" s="19"/>
      <c r="J315" s="19" t="str">
        <v>tengah</v>
      </c>
      <c r="K315" s="19"/>
      <c r="L315" s="19"/>
      <c r="T315" s="19" t="str">
        <v>kanan</v>
      </c>
      <c r="U315" s="19"/>
      <c r="V315" s="19"/>
    </row>
    <row r="316" spans="5:22">
      <c r="E316" s="19" t="str">
        <v>tengah</v>
      </c>
      <c r="F316" s="19"/>
      <c r="G316" s="19"/>
      <c r="J316" s="19" t="str">
        <v>tengah</v>
      </c>
      <c r="K316" s="19"/>
      <c r="L316" s="19"/>
      <c r="T316" s="19" t="str">
        <v>tengah</v>
      </c>
      <c r="U316" s="19"/>
      <c r="V316" s="19"/>
    </row>
    <row r="317" spans="5:22">
      <c r="E317" s="19" t="str">
        <v>kiri</v>
      </c>
      <c r="F317" s="19"/>
      <c r="G317" s="19"/>
      <c r="J317" s="19" t="str">
        <v>tengah</v>
      </c>
      <c r="K317" s="19"/>
      <c r="L317" s="19"/>
      <c r="T317" s="19" t="str">
        <v>tengah</v>
      </c>
      <c r="U317" s="19"/>
      <c r="V317" s="19"/>
    </row>
    <row r="318" spans="5:22">
      <c r="E318" s="19" t="str">
        <v>kiri</v>
      </c>
      <c r="F318" s="19"/>
      <c r="G318" s="19"/>
      <c r="J318" s="19" t="str">
        <v>tengah</v>
      </c>
      <c r="K318" s="19"/>
      <c r="L318" s="19"/>
      <c r="T318" s="19" t="str">
        <v>tengah</v>
      </c>
      <c r="U318" s="19"/>
      <c r="V318" s="19"/>
    </row>
    <row r="319" spans="5:22">
      <c r="E319" s="19" t="str">
        <v>tengah</v>
      </c>
      <c r="F319" s="19"/>
      <c r="G319" s="19"/>
      <c r="J319" s="19" t="str">
        <v>tengah</v>
      </c>
      <c r="K319" s="19"/>
      <c r="L319" s="19"/>
      <c r="T319" s="19" t="str">
        <v>kanan</v>
      </c>
      <c r="U319" s="19"/>
      <c r="V319" s="19"/>
    </row>
    <row r="320" spans="5:22">
      <c r="E320" s="19" t="str">
        <v>tengah</v>
      </c>
      <c r="F320" s="19"/>
      <c r="G320" s="19"/>
      <c r="J320" s="19" t="str">
        <v>kanan</v>
      </c>
      <c r="K320" s="19"/>
      <c r="L320" s="19"/>
      <c r="T320" s="19" t="str">
        <v>kanan</v>
      </c>
      <c r="U320" s="19"/>
      <c r="V320" s="19"/>
    </row>
    <row r="321" spans="5:22">
      <c r="E321" s="19" t="str">
        <v>kiri</v>
      </c>
      <c r="F321" s="19"/>
      <c r="G321" s="19"/>
      <c r="J321" s="19" t="str">
        <v>tengah</v>
      </c>
      <c r="K321" s="19"/>
      <c r="L321" s="19"/>
      <c r="T321" s="19" t="str">
        <v>tengah</v>
      </c>
      <c r="U321" s="19"/>
      <c r="V321" s="19"/>
    </row>
    <row r="322" spans="5:22">
      <c r="E322" s="19" t="str">
        <v>tengah</v>
      </c>
      <c r="F322" s="19"/>
      <c r="G322" s="19"/>
      <c r="J322" s="19" t="str">
        <v>kanan</v>
      </c>
      <c r="K322" s="19"/>
      <c r="L322" s="19"/>
      <c r="T322" s="19" t="str">
        <v>tengah</v>
      </c>
      <c r="U322" s="19"/>
      <c r="V322" s="19"/>
    </row>
    <row r="323" spans="5:22">
      <c r="E323" s="19" t="str">
        <v>kanan</v>
      </c>
      <c r="F323" s="19"/>
      <c r="G323" s="19"/>
      <c r="J323" s="19" t="str">
        <v>tengah</v>
      </c>
      <c r="K323" s="19"/>
      <c r="L323" s="19"/>
      <c r="T323" s="19" t="str">
        <v>kanan</v>
      </c>
      <c r="U323" s="19"/>
      <c r="V323" s="19"/>
    </row>
    <row r="324" spans="5:22">
      <c r="E324" s="19" t="str">
        <v>kiri</v>
      </c>
      <c r="F324" s="19"/>
      <c r="G324" s="19"/>
      <c r="J324" s="19" t="str">
        <v>tengah</v>
      </c>
      <c r="K324" s="19"/>
      <c r="L324" s="19"/>
      <c r="T324" s="19" t="str">
        <v>tengah</v>
      </c>
      <c r="U324" s="19"/>
      <c r="V324" s="19"/>
    </row>
    <row r="325" spans="5:22">
      <c r="E325" s="19" t="str">
        <v>kiri</v>
      </c>
      <c r="F325" s="19"/>
      <c r="G325" s="19"/>
      <c r="J325" s="19" t="str">
        <v>kiri</v>
      </c>
      <c r="K325" s="19"/>
      <c r="L325" s="19"/>
      <c r="T325" s="19" t="str">
        <v>kanan</v>
      </c>
      <c r="U325" s="19"/>
      <c r="V325" s="19"/>
    </row>
    <row r="326" spans="5:22">
      <c r="E326" s="19" t="str">
        <v>kiri</v>
      </c>
      <c r="F326" s="19"/>
      <c r="G326" s="19"/>
      <c r="J326" s="19" t="str">
        <v>kiri</v>
      </c>
      <c r="K326" s="19"/>
      <c r="L326" s="19"/>
      <c r="T326" s="19" t="str">
        <v>kanan</v>
      </c>
      <c r="U326" s="19"/>
      <c r="V326" s="19"/>
    </row>
    <row r="327" spans="5:22">
      <c r="E327" s="19" t="str">
        <v>tengah</v>
      </c>
      <c r="F327" s="19"/>
      <c r="G327" s="19"/>
      <c r="J327" s="19" t="str">
        <v>tengah</v>
      </c>
      <c r="K327" s="19"/>
      <c r="L327" s="19"/>
      <c r="T327" s="19" t="str">
        <v>tengah</v>
      </c>
      <c r="U327" s="19"/>
      <c r="V327" s="19"/>
    </row>
    <row r="328" spans="5:22">
      <c r="E328" s="19" t="str">
        <v>kanan</v>
      </c>
      <c r="F328" s="19"/>
      <c r="G328" s="19"/>
      <c r="J328" s="19" t="str">
        <v>kiri</v>
      </c>
      <c r="K328" s="19"/>
      <c r="L328" s="19"/>
      <c r="T328" s="19" t="str">
        <v>tengah</v>
      </c>
      <c r="U328" s="19"/>
      <c r="V328" s="19"/>
    </row>
    <row r="329" spans="5:22">
      <c r="E329" s="19" t="str">
        <v>kanan</v>
      </c>
      <c r="F329" s="19"/>
      <c r="G329" s="19"/>
      <c r="J329" s="19" t="str">
        <v>kanan</v>
      </c>
      <c r="K329" s="19"/>
      <c r="L329" s="19"/>
      <c r="T329" s="19" t="str">
        <v>kanan</v>
      </c>
      <c r="U329" s="19"/>
      <c r="V329" s="19"/>
    </row>
    <row r="330" spans="5:22">
      <c r="E330" s="19" t="str">
        <v>tengah</v>
      </c>
      <c r="F330" s="19"/>
      <c r="G330" s="19"/>
      <c r="J330" s="19" t="str">
        <v>tengah</v>
      </c>
      <c r="K330" s="19"/>
      <c r="L330" s="19"/>
      <c r="T330" s="19" t="str">
        <v>tengah</v>
      </c>
      <c r="U330" s="19"/>
      <c r="V330" s="19"/>
    </row>
    <row r="331" spans="5:22">
      <c r="E331" s="19" t="str">
        <v>tengah</v>
      </c>
      <c r="F331" s="19"/>
      <c r="G331" s="19"/>
      <c r="J331" s="19" t="str">
        <v>tengah</v>
      </c>
      <c r="K331" s="19"/>
      <c r="L331" s="19"/>
      <c r="T331" s="19" t="str">
        <v>kanan</v>
      </c>
      <c r="U331" s="19"/>
      <c r="V331" s="19"/>
    </row>
    <row r="332" spans="5:22">
      <c r="E332" s="19" t="str">
        <v>tengah</v>
      </c>
      <c r="F332" s="19"/>
      <c r="G332" s="19"/>
      <c r="J332" s="19" t="str">
        <v>kanan</v>
      </c>
      <c r="K332" s="19"/>
      <c r="L332" s="19"/>
      <c r="T332" s="19" t="str">
        <v>tengah</v>
      </c>
      <c r="U332" s="19"/>
      <c r="V332" s="19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94412-B9F3-4274-B31C-2A64B0DB2887}">
  <dimension ref="A1:Q332"/>
  <sheetViews>
    <sheetView topLeftCell="E1" zoomScaleNormal="100" workbookViewId="0">
      <selection activeCell="S169" sqref="S169"/>
    </sheetView>
  </sheetViews>
  <sheetFormatPr defaultRowHeight="15"/>
  <cols>
    <col min="1" max="2" width="9.140625" style="18"/>
    <col min="3" max="3" width="13.28515625" style="18" bestFit="1" customWidth="1"/>
    <col min="4" max="4" width="13.85546875" style="18" bestFit="1" customWidth="1"/>
    <col min="5" max="5" width="9.140625" style="18"/>
    <col min="6" max="6" width="16.140625" style="18" customWidth="1"/>
    <col min="7" max="9" width="9.140625" style="18"/>
    <col min="10" max="10" width="13.28515625" style="18" bestFit="1" customWidth="1"/>
    <col min="11" max="11" width="13.85546875" style="18" bestFit="1" customWidth="1"/>
    <col min="12" max="13" width="9.140625" style="18"/>
    <col min="14" max="14" width="15" style="18" bestFit="1" customWidth="1"/>
    <col min="15" max="15" width="16.140625" style="18" bestFit="1" customWidth="1"/>
    <col min="16" max="16384" width="9.140625" style="18"/>
  </cols>
  <sheetData>
    <row r="1" spans="1:17">
      <c r="A1" s="26" t="s">
        <v>171</v>
      </c>
      <c r="B1" s="26" t="s">
        <v>1</v>
      </c>
      <c r="C1" s="26" t="s">
        <v>4</v>
      </c>
      <c r="D1" s="26" t="s">
        <v>5</v>
      </c>
      <c r="E1" s="30"/>
      <c r="H1" s="26" t="s">
        <v>171</v>
      </c>
      <c r="I1" s="26" t="s">
        <v>1</v>
      </c>
      <c r="J1" s="26" t="s">
        <v>4</v>
      </c>
      <c r="K1" s="26" t="s">
        <v>5</v>
      </c>
      <c r="O1" s="26" t="s">
        <v>173</v>
      </c>
      <c r="P1" s="25"/>
      <c r="Q1" s="25"/>
    </row>
    <row r="2" spans="1:17">
      <c r="A2" s="19">
        <f t="shared" ref="A2:A33" ca="1" si="0">RANDBETWEEN(2,164)</f>
        <v>22</v>
      </c>
      <c r="B2" s="19" cm="1">
        <f t="array" aca="1" ref="B2" ca="1">INDEX([1]Data_DBD!$B:$B,$A2)</f>
        <v>6</v>
      </c>
      <c r="C2" s="19" cm="1">
        <f t="array" aca="1" ref="C2" ca="1">INDEX([1]Data_DBD!$E:$E,$A2)</f>
        <v>0</v>
      </c>
      <c r="D2" s="19" t="str" cm="1">
        <f t="array" aca="1" ref="D2" ca="1">INDEX([1]Data_DBD!$F:$F,$A2)</f>
        <v>Sedang</v>
      </c>
      <c r="E2" s="29"/>
      <c r="H2" s="19">
        <v>105</v>
      </c>
      <c r="I2" s="19">
        <v>61</v>
      </c>
      <c r="J2" s="19">
        <v>1</v>
      </c>
      <c r="K2" s="19" t="s">
        <v>97</v>
      </c>
      <c r="O2" s="25" t="s">
        <v>97</v>
      </c>
      <c r="P2" s="25">
        <f>COUNTIF(K2:K164,"Tinggi")</f>
        <v>69</v>
      </c>
      <c r="Q2" s="25">
        <f>P2/163</f>
        <v>0.42331288343558282</v>
      </c>
    </row>
    <row r="3" spans="1:17">
      <c r="A3" s="19">
        <f t="shared" ca="1" si="0"/>
        <v>131</v>
      </c>
      <c r="B3" s="19" cm="1">
        <f t="array" aca="1" ref="B3" ca="1">INDEX([1]Data_DBD!$B:$B,$A3)</f>
        <v>10</v>
      </c>
      <c r="C3" s="19" cm="1">
        <f t="array" aca="1" ref="C3" ca="1">INDEX([1]Data_DBD!$E:$E,$A3)</f>
        <v>0</v>
      </c>
      <c r="D3" s="19" t="str" cm="1">
        <f t="array" aca="1" ref="D3" ca="1">INDEX([1]Data_DBD!$F:$F,$A3)</f>
        <v>Tinggi</v>
      </c>
      <c r="E3" s="29"/>
      <c r="H3" s="19">
        <v>71</v>
      </c>
      <c r="I3" s="19">
        <v>84</v>
      </c>
      <c r="J3" s="19">
        <v>0</v>
      </c>
      <c r="K3" s="19" t="s">
        <v>7</v>
      </c>
      <c r="O3" s="25" t="s">
        <v>7</v>
      </c>
      <c r="P3" s="25">
        <f>COUNTIF(K2:K164,"Sedang")</f>
        <v>74</v>
      </c>
      <c r="Q3" s="25">
        <f>P3/163</f>
        <v>0.45398773006134968</v>
      </c>
    </row>
    <row r="4" spans="1:17">
      <c r="A4" s="19">
        <f t="shared" ca="1" si="0"/>
        <v>5</v>
      </c>
      <c r="B4" s="19" cm="1">
        <f t="array" aca="1" ref="B4" ca="1">INDEX([1]Data_DBD!$B:$B,$A4)</f>
        <v>18</v>
      </c>
      <c r="C4" s="19" cm="1">
        <f t="array" aca="1" ref="C4" ca="1">INDEX([1]Data_DBD!$E:$E,$A4)</f>
        <v>1</v>
      </c>
      <c r="D4" s="19" t="str" cm="1">
        <f t="array" aca="1" ref="D4" ca="1">INDEX([1]Data_DBD!$F:$F,$A4)</f>
        <v>Sedang</v>
      </c>
      <c r="E4" s="29"/>
      <c r="H4" s="19">
        <v>73</v>
      </c>
      <c r="I4" s="19">
        <v>15</v>
      </c>
      <c r="J4" s="19">
        <v>1</v>
      </c>
      <c r="K4" s="19" t="s">
        <v>7</v>
      </c>
      <c r="O4" s="25" t="s">
        <v>20</v>
      </c>
      <c r="P4" s="25">
        <f>COUNTIF(K2:K164,"Rendah")</f>
        <v>20</v>
      </c>
      <c r="Q4" s="25">
        <f>P4/163</f>
        <v>0.12269938650306748</v>
      </c>
    </row>
    <row r="5" spans="1:17">
      <c r="A5" s="19">
        <f t="shared" ca="1" si="0"/>
        <v>115</v>
      </c>
      <c r="B5" s="19" cm="1">
        <f t="array" aca="1" ref="B5" ca="1">INDEX([1]Data_DBD!$B:$B,$A5)</f>
        <v>52</v>
      </c>
      <c r="C5" s="19" cm="1">
        <f t="array" aca="1" ref="C5" ca="1">INDEX([1]Data_DBD!$E:$E,$A5)</f>
        <v>1</v>
      </c>
      <c r="D5" s="19" t="str" cm="1">
        <f t="array" aca="1" ref="D5" ca="1">INDEX([1]Data_DBD!$F:$F,$A5)</f>
        <v>Tinggi</v>
      </c>
      <c r="E5" s="29"/>
      <c r="H5" s="19">
        <v>36</v>
      </c>
      <c r="I5" s="19">
        <v>27</v>
      </c>
      <c r="J5" s="19">
        <v>1</v>
      </c>
      <c r="K5" s="19" t="s">
        <v>20</v>
      </c>
      <c r="O5" s="24" t="s">
        <v>174</v>
      </c>
      <c r="P5" s="18">
        <f>-(IFERROR(Q2*LOG(Q2,2),0)+IFERROR(Q3*LOG(Q3,2),0)+IFERROR(Q4*LOG(Q4,2),0))</f>
        <v>1.4135974887587879</v>
      </c>
    </row>
    <row r="6" spans="1:17">
      <c r="A6" s="19">
        <f t="shared" ca="1" si="0"/>
        <v>77</v>
      </c>
      <c r="B6" s="19" cm="1">
        <f t="array" aca="1" ref="B6" ca="1">INDEX([1]Data_DBD!$B:$B,$A6)</f>
        <v>16</v>
      </c>
      <c r="C6" s="19" cm="1">
        <f t="array" aca="1" ref="C6" ca="1">INDEX([1]Data_DBD!$E:$E,$A6)</f>
        <v>1</v>
      </c>
      <c r="D6" s="19" t="str" cm="1">
        <f t="array" aca="1" ref="D6" ca="1">INDEX([1]Data_DBD!$F:$F,$A6)</f>
        <v>Sedang</v>
      </c>
      <c r="E6" s="29"/>
      <c r="H6" s="19">
        <v>15</v>
      </c>
      <c r="I6" s="19">
        <v>21</v>
      </c>
      <c r="J6" s="19">
        <v>0</v>
      </c>
      <c r="K6" s="19" t="s">
        <v>20</v>
      </c>
    </row>
    <row r="7" spans="1:17">
      <c r="A7" s="19">
        <f t="shared" ca="1" si="0"/>
        <v>23</v>
      </c>
      <c r="B7" s="19" cm="1">
        <f t="array" aca="1" ref="B7" ca="1">INDEX([1]Data_DBD!$B:$B,$A7)</f>
        <v>28</v>
      </c>
      <c r="C7" s="19" cm="1">
        <f t="array" aca="1" ref="C7" ca="1">INDEX([1]Data_DBD!$E:$E,$A7)</f>
        <v>1</v>
      </c>
      <c r="D7" s="19" t="str" cm="1">
        <f t="array" aca="1" ref="D7" ca="1">INDEX([1]Data_DBD!$F:$F,$A7)</f>
        <v>Sedang</v>
      </c>
      <c r="E7" s="29"/>
      <c r="H7" s="19">
        <v>49</v>
      </c>
      <c r="I7" s="19">
        <v>64</v>
      </c>
      <c r="J7" s="19">
        <v>0</v>
      </c>
      <c r="K7" s="19" t="s">
        <v>7</v>
      </c>
    </row>
    <row r="8" spans="1:17">
      <c r="A8" s="19">
        <f t="shared" ca="1" si="0"/>
        <v>126</v>
      </c>
      <c r="B8" s="19" cm="1">
        <f t="array" aca="1" ref="B8" ca="1">INDEX([1]Data_DBD!$B:$B,$A8)</f>
        <v>51</v>
      </c>
      <c r="C8" s="19" cm="1">
        <f t="array" aca="1" ref="C8" ca="1">INDEX([1]Data_DBD!$E:$E,$A8)</f>
        <v>1</v>
      </c>
      <c r="D8" s="19" t="str" cm="1">
        <f t="array" aca="1" ref="D8" ca="1">INDEX([1]Data_DBD!$F:$F,$A8)</f>
        <v>Tinggi</v>
      </c>
      <c r="E8" s="29"/>
      <c r="H8" s="19">
        <v>106</v>
      </c>
      <c r="I8" s="19">
        <v>23</v>
      </c>
      <c r="J8" s="19">
        <v>1</v>
      </c>
      <c r="K8" s="19" t="s">
        <v>97</v>
      </c>
    </row>
    <row r="9" spans="1:17">
      <c r="A9" s="19">
        <f t="shared" ca="1" si="0"/>
        <v>32</v>
      </c>
      <c r="B9" s="19" cm="1">
        <f t="array" aca="1" ref="B9" ca="1">INDEX([1]Data_DBD!$B:$B,$A9)</f>
        <v>54</v>
      </c>
      <c r="C9" s="19" cm="1">
        <f t="array" aca="1" ref="C9" ca="1">INDEX([1]Data_DBD!$E:$E,$A9)</f>
        <v>0</v>
      </c>
      <c r="D9" s="19" t="str" cm="1">
        <f t="array" aca="1" ref="D9" ca="1">INDEX([1]Data_DBD!$F:$F,$A9)</f>
        <v>Sedang</v>
      </c>
      <c r="E9" s="29"/>
      <c r="H9" s="19">
        <v>96</v>
      </c>
      <c r="I9" s="19">
        <v>56</v>
      </c>
      <c r="J9" s="19">
        <v>0</v>
      </c>
      <c r="K9" s="19" t="s">
        <v>97</v>
      </c>
    </row>
    <row r="10" spans="1:17">
      <c r="A10" s="19">
        <f t="shared" ca="1" si="0"/>
        <v>151</v>
      </c>
      <c r="B10" s="19" cm="1">
        <f t="array" aca="1" ref="B10" ca="1">INDEX([1]Data_DBD!$B:$B,$A10)</f>
        <v>24</v>
      </c>
      <c r="C10" s="19" cm="1">
        <f t="array" aca="1" ref="C10" ca="1">INDEX([1]Data_DBD!$E:$E,$A10)</f>
        <v>0</v>
      </c>
      <c r="D10" s="19" t="str" cm="1">
        <f t="array" aca="1" ref="D10" ca="1">INDEX([1]Data_DBD!$F:$F,$A10)</f>
        <v>Tinggi</v>
      </c>
      <c r="E10" s="29"/>
      <c r="H10" s="19">
        <v>137</v>
      </c>
      <c r="I10" s="19">
        <v>3</v>
      </c>
      <c r="J10" s="19">
        <v>1</v>
      </c>
      <c r="K10" s="19" t="s">
        <v>97</v>
      </c>
    </row>
    <row r="11" spans="1:17">
      <c r="A11" s="19">
        <f t="shared" ca="1" si="0"/>
        <v>89</v>
      </c>
      <c r="B11" s="19" cm="1">
        <f t="array" aca="1" ref="B11" ca="1">INDEX([1]Data_DBD!$B:$B,$A11)</f>
        <v>32</v>
      </c>
      <c r="C11" s="19" cm="1">
        <f t="array" aca="1" ref="C11" ca="1">INDEX([1]Data_DBD!$E:$E,$A11)</f>
        <v>0</v>
      </c>
      <c r="D11" s="19" t="str" cm="1">
        <f t="array" aca="1" ref="D11" ca="1">INDEX([1]Data_DBD!$F:$F,$A11)</f>
        <v>Sedang</v>
      </c>
      <c r="E11" s="29"/>
      <c r="H11" s="19">
        <v>33</v>
      </c>
      <c r="I11" s="19">
        <v>19</v>
      </c>
      <c r="J11" s="19">
        <v>1</v>
      </c>
      <c r="K11" s="19" t="s">
        <v>7</v>
      </c>
    </row>
    <row r="12" spans="1:17">
      <c r="A12" s="19">
        <f t="shared" ca="1" si="0"/>
        <v>80</v>
      </c>
      <c r="B12" s="19" cm="1">
        <f t="array" aca="1" ref="B12" ca="1">INDEX([1]Data_DBD!$B:$B,$A12)</f>
        <v>27</v>
      </c>
      <c r="C12" s="19" cm="1">
        <f t="array" aca="1" ref="C12" ca="1">INDEX([1]Data_DBD!$E:$E,$A12)</f>
        <v>1</v>
      </c>
      <c r="D12" s="19" t="str" cm="1">
        <f t="array" aca="1" ref="D12" ca="1">INDEX([1]Data_DBD!$F:$F,$A12)</f>
        <v>Sedang</v>
      </c>
      <c r="E12" s="29"/>
      <c r="H12" s="19">
        <v>74</v>
      </c>
      <c r="I12" s="19">
        <v>9</v>
      </c>
      <c r="J12" s="19">
        <v>0</v>
      </c>
      <c r="K12" s="19" t="s">
        <v>7</v>
      </c>
    </row>
    <row r="13" spans="1:17">
      <c r="A13" s="19">
        <f t="shared" ca="1" si="0"/>
        <v>75</v>
      </c>
      <c r="B13" s="19" cm="1">
        <f t="array" aca="1" ref="B13" ca="1">INDEX([1]Data_DBD!$B:$B,$A13)</f>
        <v>2</v>
      </c>
      <c r="C13" s="19" cm="1">
        <f t="array" aca="1" ref="C13" ca="1">INDEX([1]Data_DBD!$E:$E,$A13)</f>
        <v>1</v>
      </c>
      <c r="D13" s="19" t="str" cm="1">
        <f t="array" aca="1" ref="D13" ca="1">INDEX([1]Data_DBD!$F:$F,$A13)</f>
        <v>Sedang</v>
      </c>
      <c r="E13" s="29"/>
      <c r="H13" s="19">
        <v>164</v>
      </c>
      <c r="I13" s="19">
        <v>10</v>
      </c>
      <c r="J13" s="19">
        <v>0</v>
      </c>
      <c r="K13" s="19" t="s">
        <v>20</v>
      </c>
    </row>
    <row r="14" spans="1:17">
      <c r="A14" s="19">
        <f t="shared" ca="1" si="0"/>
        <v>94</v>
      </c>
      <c r="B14" s="19" cm="1">
        <f t="array" aca="1" ref="B14" ca="1">INDEX([1]Data_DBD!$B:$B,$A14)</f>
        <v>12</v>
      </c>
      <c r="C14" s="19" cm="1">
        <f t="array" aca="1" ref="C14" ca="1">INDEX([1]Data_DBD!$E:$E,$A14)</f>
        <v>0</v>
      </c>
      <c r="D14" s="19" t="str" cm="1">
        <f t="array" aca="1" ref="D14" ca="1">INDEX([1]Data_DBD!$F:$F,$A14)</f>
        <v>Tinggi</v>
      </c>
      <c r="E14" s="29"/>
      <c r="H14" s="19">
        <v>89</v>
      </c>
      <c r="I14" s="19">
        <v>32</v>
      </c>
      <c r="J14" s="19">
        <v>0</v>
      </c>
      <c r="K14" s="19" t="s">
        <v>7</v>
      </c>
    </row>
    <row r="15" spans="1:17">
      <c r="A15" s="19">
        <f t="shared" ca="1" si="0"/>
        <v>122</v>
      </c>
      <c r="B15" s="19" cm="1">
        <f t="array" aca="1" ref="B15" ca="1">INDEX([1]Data_DBD!$B:$B,$A15)</f>
        <v>28</v>
      </c>
      <c r="C15" s="19" cm="1">
        <f t="array" aca="1" ref="C15" ca="1">INDEX([1]Data_DBD!$E:$E,$A15)</f>
        <v>1</v>
      </c>
      <c r="D15" s="19" t="str" cm="1">
        <f t="array" aca="1" ref="D15" ca="1">INDEX([1]Data_DBD!$F:$F,$A15)</f>
        <v>Tinggi</v>
      </c>
      <c r="E15" s="29"/>
      <c r="H15" s="19">
        <v>15</v>
      </c>
      <c r="I15" s="19">
        <v>21</v>
      </c>
      <c r="J15" s="19">
        <v>0</v>
      </c>
      <c r="K15" s="19" t="s">
        <v>20</v>
      </c>
    </row>
    <row r="16" spans="1:17">
      <c r="A16" s="19">
        <f t="shared" ca="1" si="0"/>
        <v>132</v>
      </c>
      <c r="B16" s="19" cm="1">
        <f t="array" aca="1" ref="B16" ca="1">INDEX([1]Data_DBD!$B:$B,$A16)</f>
        <v>10</v>
      </c>
      <c r="C16" s="19" cm="1">
        <f t="array" aca="1" ref="C16" ca="1">INDEX([1]Data_DBD!$E:$E,$A16)</f>
        <v>1</v>
      </c>
      <c r="D16" s="19" t="str" cm="1">
        <f t="array" aca="1" ref="D16" ca="1">INDEX([1]Data_DBD!$F:$F,$A16)</f>
        <v>Tinggi</v>
      </c>
      <c r="E16" s="29"/>
      <c r="H16" s="19">
        <v>75</v>
      </c>
      <c r="I16" s="19">
        <v>2</v>
      </c>
      <c r="J16" s="19">
        <v>1</v>
      </c>
      <c r="K16" s="19" t="s">
        <v>7</v>
      </c>
    </row>
    <row r="17" spans="1:11">
      <c r="A17" s="19">
        <f t="shared" ca="1" si="0"/>
        <v>157</v>
      </c>
      <c r="B17" s="19" cm="1">
        <f t="array" aca="1" ref="B17" ca="1">INDEX([1]Data_DBD!$B:$B,$A17)</f>
        <v>15</v>
      </c>
      <c r="C17" s="19" cm="1">
        <f t="array" aca="1" ref="C17" ca="1">INDEX([1]Data_DBD!$E:$E,$A17)</f>
        <v>1</v>
      </c>
      <c r="D17" s="19" t="str" cm="1">
        <f t="array" aca="1" ref="D17" ca="1">INDEX([1]Data_DBD!$F:$F,$A17)</f>
        <v>Tinggi</v>
      </c>
      <c r="E17" s="29"/>
      <c r="H17" s="19">
        <v>24</v>
      </c>
      <c r="I17" s="19">
        <v>60</v>
      </c>
      <c r="J17" s="19">
        <v>0</v>
      </c>
      <c r="K17" s="19" t="s">
        <v>7</v>
      </c>
    </row>
    <row r="18" spans="1:11">
      <c r="A18" s="19">
        <f t="shared" ca="1" si="0"/>
        <v>124</v>
      </c>
      <c r="B18" s="19" cm="1">
        <f t="array" aca="1" ref="B18" ca="1">INDEX([1]Data_DBD!$B:$B,$A18)</f>
        <v>24</v>
      </c>
      <c r="C18" s="19" cm="1">
        <f t="array" aca="1" ref="C18" ca="1">INDEX([1]Data_DBD!$E:$E,$A18)</f>
        <v>1</v>
      </c>
      <c r="D18" s="19" t="str" cm="1">
        <f t="array" aca="1" ref="D18" ca="1">INDEX([1]Data_DBD!$F:$F,$A18)</f>
        <v>Tinggi</v>
      </c>
      <c r="E18" s="29"/>
      <c r="H18" s="19">
        <v>42</v>
      </c>
      <c r="I18" s="19">
        <v>21</v>
      </c>
      <c r="J18" s="19">
        <v>1</v>
      </c>
      <c r="K18" s="19" t="s">
        <v>7</v>
      </c>
    </row>
    <row r="19" spans="1:11">
      <c r="A19" s="19">
        <f t="shared" ca="1" si="0"/>
        <v>36</v>
      </c>
      <c r="B19" s="19" cm="1">
        <f t="array" aca="1" ref="B19" ca="1">INDEX([1]Data_DBD!$B:$B,$A19)</f>
        <v>27</v>
      </c>
      <c r="C19" s="19" cm="1">
        <f t="array" aca="1" ref="C19" ca="1">INDEX([1]Data_DBD!$E:$E,$A19)</f>
        <v>1</v>
      </c>
      <c r="D19" s="19" t="str" cm="1">
        <f t="array" aca="1" ref="D19" ca="1">INDEX([1]Data_DBD!$F:$F,$A19)</f>
        <v>Rendah</v>
      </c>
      <c r="E19" s="29"/>
      <c r="H19" s="19">
        <v>80</v>
      </c>
      <c r="I19" s="19">
        <v>27</v>
      </c>
      <c r="J19" s="19">
        <v>1</v>
      </c>
      <c r="K19" s="19" t="s">
        <v>7</v>
      </c>
    </row>
    <row r="20" spans="1:11">
      <c r="A20" s="19">
        <f t="shared" ca="1" si="0"/>
        <v>54</v>
      </c>
      <c r="B20" s="19" cm="1">
        <f t="array" aca="1" ref="B20" ca="1">INDEX([1]Data_DBD!$B:$B,$A20)</f>
        <v>7</v>
      </c>
      <c r="C20" s="19" cm="1">
        <f t="array" aca="1" ref="C20" ca="1">INDEX([1]Data_DBD!$E:$E,$A20)</f>
        <v>0</v>
      </c>
      <c r="D20" s="19" t="str" cm="1">
        <f t="array" aca="1" ref="D20" ca="1">INDEX([1]Data_DBD!$F:$F,$A20)</f>
        <v>Sedang</v>
      </c>
      <c r="E20" s="29"/>
      <c r="H20" s="19">
        <v>103</v>
      </c>
      <c r="I20" s="19">
        <v>22</v>
      </c>
      <c r="J20" s="19">
        <v>0</v>
      </c>
      <c r="K20" s="19" t="s">
        <v>97</v>
      </c>
    </row>
    <row r="21" spans="1:11">
      <c r="A21" s="19">
        <f t="shared" ca="1" si="0"/>
        <v>32</v>
      </c>
      <c r="B21" s="19" cm="1">
        <f t="array" aca="1" ref="B21" ca="1">INDEX([1]Data_DBD!$B:$B,$A21)</f>
        <v>54</v>
      </c>
      <c r="C21" s="19" cm="1">
        <f t="array" aca="1" ref="C21" ca="1">INDEX([1]Data_DBD!$E:$E,$A21)</f>
        <v>0</v>
      </c>
      <c r="D21" s="19" t="str" cm="1">
        <f t="array" aca="1" ref="D21" ca="1">INDEX([1]Data_DBD!$F:$F,$A21)</f>
        <v>Sedang</v>
      </c>
      <c r="E21" s="29"/>
      <c r="H21" s="19">
        <v>136</v>
      </c>
      <c r="I21" s="19">
        <v>6</v>
      </c>
      <c r="J21" s="19">
        <v>0</v>
      </c>
      <c r="K21" s="19" t="s">
        <v>97</v>
      </c>
    </row>
    <row r="22" spans="1:11">
      <c r="A22" s="19">
        <f t="shared" ca="1" si="0"/>
        <v>120</v>
      </c>
      <c r="B22" s="19" cm="1">
        <f t="array" aca="1" ref="B22" ca="1">INDEX([1]Data_DBD!$B:$B,$A22)</f>
        <v>26</v>
      </c>
      <c r="C22" s="19" cm="1">
        <f t="array" aca="1" ref="C22" ca="1">INDEX([1]Data_DBD!$E:$E,$A22)</f>
        <v>1</v>
      </c>
      <c r="D22" s="19" t="str" cm="1">
        <f t="array" aca="1" ref="D22" ca="1">INDEX([1]Data_DBD!$F:$F,$A22)</f>
        <v>Tinggi</v>
      </c>
      <c r="E22" s="29"/>
      <c r="H22" s="19">
        <v>129</v>
      </c>
      <c r="I22" s="19">
        <v>4</v>
      </c>
      <c r="J22" s="19">
        <v>0</v>
      </c>
      <c r="K22" s="19" t="s">
        <v>97</v>
      </c>
    </row>
    <row r="23" spans="1:11">
      <c r="A23" s="19">
        <f t="shared" ca="1" si="0"/>
        <v>130</v>
      </c>
      <c r="B23" s="19" cm="1">
        <f t="array" aca="1" ref="B23" ca="1">INDEX([1]Data_DBD!$B:$B,$A23)</f>
        <v>12</v>
      </c>
      <c r="C23" s="19" cm="1">
        <f t="array" aca="1" ref="C23" ca="1">INDEX([1]Data_DBD!$E:$E,$A23)</f>
        <v>0</v>
      </c>
      <c r="D23" s="19" t="str" cm="1">
        <f t="array" aca="1" ref="D23" ca="1">INDEX([1]Data_DBD!$F:$F,$A23)</f>
        <v>Tinggi</v>
      </c>
      <c r="E23" s="29"/>
      <c r="H23" s="19">
        <v>5</v>
      </c>
      <c r="I23" s="19">
        <v>18</v>
      </c>
      <c r="J23" s="19">
        <v>1</v>
      </c>
      <c r="K23" s="19" t="s">
        <v>7</v>
      </c>
    </row>
    <row r="24" spans="1:11">
      <c r="A24" s="19">
        <f t="shared" ca="1" si="0"/>
        <v>23</v>
      </c>
      <c r="B24" s="19" cm="1">
        <f t="array" aca="1" ref="B24" ca="1">INDEX([1]Data_DBD!$B:$B,$A24)</f>
        <v>28</v>
      </c>
      <c r="C24" s="19" cm="1">
        <f t="array" aca="1" ref="C24" ca="1">INDEX([1]Data_DBD!$E:$E,$A24)</f>
        <v>1</v>
      </c>
      <c r="D24" s="19" t="str" cm="1">
        <f t="array" aca="1" ref="D24" ca="1">INDEX([1]Data_DBD!$F:$F,$A24)</f>
        <v>Sedang</v>
      </c>
      <c r="E24" s="29"/>
      <c r="H24" s="19">
        <v>16</v>
      </c>
      <c r="I24" s="19">
        <v>66</v>
      </c>
      <c r="J24" s="19">
        <v>1</v>
      </c>
      <c r="K24" s="19" t="s">
        <v>20</v>
      </c>
    </row>
    <row r="25" spans="1:11">
      <c r="A25" s="19">
        <f t="shared" ca="1" si="0"/>
        <v>118</v>
      </c>
      <c r="B25" s="19" cm="1">
        <f t="array" aca="1" ref="B25" ca="1">INDEX([1]Data_DBD!$B:$B,$A25)</f>
        <v>67</v>
      </c>
      <c r="C25" s="19" cm="1">
        <f t="array" aca="1" ref="C25" ca="1">INDEX([1]Data_DBD!$E:$E,$A25)</f>
        <v>1</v>
      </c>
      <c r="D25" s="19" t="str" cm="1">
        <f t="array" aca="1" ref="D25" ca="1">INDEX([1]Data_DBD!$F:$F,$A25)</f>
        <v>Tinggi</v>
      </c>
      <c r="E25" s="29"/>
      <c r="H25" s="19">
        <v>20</v>
      </c>
      <c r="I25" s="19">
        <v>15</v>
      </c>
      <c r="J25" s="19">
        <v>0</v>
      </c>
      <c r="K25" s="19" t="s">
        <v>20</v>
      </c>
    </row>
    <row r="26" spans="1:11">
      <c r="A26" s="19">
        <f t="shared" ca="1" si="0"/>
        <v>79</v>
      </c>
      <c r="B26" s="19" cm="1">
        <f t="array" aca="1" ref="B26" ca="1">INDEX([1]Data_DBD!$B:$B,$A26)</f>
        <v>29</v>
      </c>
      <c r="C26" s="19" cm="1">
        <f t="array" aca="1" ref="C26" ca="1">INDEX([1]Data_DBD!$E:$E,$A26)</f>
        <v>0</v>
      </c>
      <c r="D26" s="19" t="str" cm="1">
        <f t="array" aca="1" ref="D26" ca="1">INDEX([1]Data_DBD!$F:$F,$A26)</f>
        <v>Sedang</v>
      </c>
      <c r="E26" s="29"/>
      <c r="H26" s="19">
        <v>133</v>
      </c>
      <c r="I26" s="19">
        <v>6</v>
      </c>
      <c r="J26" s="19">
        <v>0</v>
      </c>
      <c r="K26" s="19" t="s">
        <v>97</v>
      </c>
    </row>
    <row r="27" spans="1:11">
      <c r="A27" s="19">
        <f t="shared" ca="1" si="0"/>
        <v>48</v>
      </c>
      <c r="B27" s="19" cm="1">
        <f t="array" aca="1" ref="B27" ca="1">INDEX([1]Data_DBD!$B:$B,$A27)</f>
        <v>50</v>
      </c>
      <c r="C27" s="19" cm="1">
        <f t="array" aca="1" ref="C27" ca="1">INDEX([1]Data_DBD!$E:$E,$A27)</f>
        <v>1</v>
      </c>
      <c r="D27" s="19" t="str" cm="1">
        <f t="array" aca="1" ref="D27" ca="1">INDEX([1]Data_DBD!$F:$F,$A27)</f>
        <v>Sedang</v>
      </c>
      <c r="E27" s="29"/>
      <c r="H27" s="19">
        <v>98</v>
      </c>
      <c r="I27" s="19">
        <v>16</v>
      </c>
      <c r="J27" s="19">
        <v>1</v>
      </c>
      <c r="K27" s="19" t="s">
        <v>97</v>
      </c>
    </row>
    <row r="28" spans="1:11">
      <c r="A28" s="19">
        <f t="shared" ca="1" si="0"/>
        <v>7</v>
      </c>
      <c r="B28" s="19" cm="1">
        <f t="array" aca="1" ref="B28" ca="1">INDEX([1]Data_DBD!$B:$B,$A28)</f>
        <v>12</v>
      </c>
      <c r="C28" s="19" cm="1">
        <f t="array" aca="1" ref="C28" ca="1">INDEX([1]Data_DBD!$E:$E,$A28)</f>
        <v>1</v>
      </c>
      <c r="D28" s="19" t="str" cm="1">
        <f t="array" aca="1" ref="D28" ca="1">INDEX([1]Data_DBD!$F:$F,$A28)</f>
        <v>Sedang</v>
      </c>
      <c r="E28" s="29"/>
      <c r="H28" s="19">
        <v>71</v>
      </c>
      <c r="I28" s="19">
        <v>84</v>
      </c>
      <c r="J28" s="19">
        <v>0</v>
      </c>
      <c r="K28" s="19" t="s">
        <v>7</v>
      </c>
    </row>
    <row r="29" spans="1:11">
      <c r="A29" s="19">
        <f t="shared" ca="1" si="0"/>
        <v>142</v>
      </c>
      <c r="B29" s="19" cm="1">
        <f t="array" aca="1" ref="B29" ca="1">INDEX([1]Data_DBD!$B:$B,$A29)</f>
        <v>39</v>
      </c>
      <c r="C29" s="19" cm="1">
        <f t="array" aca="1" ref="C29" ca="1">INDEX([1]Data_DBD!$E:$E,$A29)</f>
        <v>1</v>
      </c>
      <c r="D29" s="19" t="str" cm="1">
        <f t="array" aca="1" ref="D29" ca="1">INDEX([1]Data_DBD!$F:$F,$A29)</f>
        <v>Tinggi</v>
      </c>
      <c r="E29" s="29"/>
      <c r="H29" s="19">
        <v>72</v>
      </c>
      <c r="I29" s="19">
        <v>3</v>
      </c>
      <c r="J29" s="19">
        <v>1</v>
      </c>
      <c r="K29" s="19" t="s">
        <v>7</v>
      </c>
    </row>
    <row r="30" spans="1:11">
      <c r="A30" s="19">
        <f t="shared" ca="1" si="0"/>
        <v>8</v>
      </c>
      <c r="B30" s="19" cm="1">
        <f t="array" aca="1" ref="B30" ca="1">INDEX([1]Data_DBD!$B:$B,$A30)</f>
        <v>4</v>
      </c>
      <c r="C30" s="19" cm="1">
        <f t="array" aca="1" ref="C30" ca="1">INDEX([1]Data_DBD!$E:$E,$A30)</f>
        <v>0</v>
      </c>
      <c r="D30" s="19" t="str" cm="1">
        <f t="array" aca="1" ref="D30" ca="1">INDEX([1]Data_DBD!$F:$F,$A30)</f>
        <v>Sedang</v>
      </c>
      <c r="E30" s="29"/>
      <c r="H30" s="19">
        <v>33</v>
      </c>
      <c r="I30" s="19">
        <v>19</v>
      </c>
      <c r="J30" s="19">
        <v>1</v>
      </c>
      <c r="K30" s="19" t="s">
        <v>7</v>
      </c>
    </row>
    <row r="31" spans="1:11">
      <c r="A31" s="19">
        <f t="shared" ca="1" si="0"/>
        <v>81</v>
      </c>
      <c r="B31" s="19" cm="1">
        <f t="array" aca="1" ref="B31" ca="1">INDEX([1]Data_DBD!$B:$B,$A31)</f>
        <v>23</v>
      </c>
      <c r="C31" s="19" cm="1">
        <f t="array" aca="1" ref="C31" ca="1">INDEX([1]Data_DBD!$E:$E,$A31)</f>
        <v>1</v>
      </c>
      <c r="D31" s="19" t="str" cm="1">
        <f t="array" aca="1" ref="D31" ca="1">INDEX([1]Data_DBD!$F:$F,$A31)</f>
        <v>Sedang</v>
      </c>
      <c r="E31" s="29"/>
      <c r="H31" s="19">
        <v>153</v>
      </c>
      <c r="I31" s="19">
        <v>73</v>
      </c>
      <c r="J31" s="19">
        <v>1</v>
      </c>
      <c r="K31" s="19" t="s">
        <v>97</v>
      </c>
    </row>
    <row r="32" spans="1:11">
      <c r="A32" s="19">
        <f t="shared" ca="1" si="0"/>
        <v>14</v>
      </c>
      <c r="B32" s="19" cm="1">
        <f t="array" aca="1" ref="B32" ca="1">INDEX([1]Data_DBD!$B:$B,$A32)</f>
        <v>49</v>
      </c>
      <c r="C32" s="19" cm="1">
        <f t="array" aca="1" ref="C32" ca="1">INDEX([1]Data_DBD!$E:$E,$A32)</f>
        <v>1</v>
      </c>
      <c r="D32" s="19" t="str" cm="1">
        <f t="array" aca="1" ref="D32" ca="1">INDEX([1]Data_DBD!$F:$F,$A32)</f>
        <v>Rendah</v>
      </c>
      <c r="E32" s="29"/>
      <c r="H32" s="19">
        <v>122</v>
      </c>
      <c r="I32" s="19">
        <v>28</v>
      </c>
      <c r="J32" s="19">
        <v>1</v>
      </c>
      <c r="K32" s="19" t="s">
        <v>97</v>
      </c>
    </row>
    <row r="33" spans="1:11">
      <c r="A33" s="19">
        <f t="shared" ca="1" si="0"/>
        <v>141</v>
      </c>
      <c r="B33" s="19" cm="1">
        <f t="array" aca="1" ref="B33" ca="1">INDEX([1]Data_DBD!$B:$B,$A33)</f>
        <v>36</v>
      </c>
      <c r="C33" s="19" cm="1">
        <f t="array" aca="1" ref="C33" ca="1">INDEX([1]Data_DBD!$E:$E,$A33)</f>
        <v>0</v>
      </c>
      <c r="D33" s="19" t="str" cm="1">
        <f t="array" aca="1" ref="D33" ca="1">INDEX([1]Data_DBD!$F:$F,$A33)</f>
        <v>Tinggi</v>
      </c>
      <c r="E33" s="29"/>
      <c r="H33" s="19">
        <v>85</v>
      </c>
      <c r="I33" s="19">
        <v>27</v>
      </c>
      <c r="J33" s="19">
        <v>0</v>
      </c>
      <c r="K33" s="19" t="s">
        <v>7</v>
      </c>
    </row>
    <row r="34" spans="1:11">
      <c r="A34" s="19">
        <f t="shared" ref="A34:A65" ca="1" si="1">RANDBETWEEN(2,164)</f>
        <v>124</v>
      </c>
      <c r="B34" s="19" cm="1">
        <f t="array" aca="1" ref="B34" ca="1">INDEX([1]Data_DBD!$B:$B,$A34)</f>
        <v>24</v>
      </c>
      <c r="C34" s="19" cm="1">
        <f t="array" aca="1" ref="C34" ca="1">INDEX([1]Data_DBD!$E:$E,$A34)</f>
        <v>1</v>
      </c>
      <c r="D34" s="19" t="str" cm="1">
        <f t="array" aca="1" ref="D34" ca="1">INDEX([1]Data_DBD!$F:$F,$A34)</f>
        <v>Tinggi</v>
      </c>
      <c r="E34" s="29"/>
      <c r="H34" s="19">
        <v>94</v>
      </c>
      <c r="I34" s="19">
        <v>12</v>
      </c>
      <c r="J34" s="19">
        <v>0</v>
      </c>
      <c r="K34" s="19" t="s">
        <v>97</v>
      </c>
    </row>
    <row r="35" spans="1:11">
      <c r="A35" s="19">
        <f t="shared" ca="1" si="1"/>
        <v>150</v>
      </c>
      <c r="B35" s="19" cm="1">
        <f t="array" aca="1" ref="B35" ca="1">INDEX([1]Data_DBD!$B:$B,$A35)</f>
        <v>61</v>
      </c>
      <c r="C35" s="19" cm="1">
        <f t="array" aca="1" ref="C35" ca="1">INDEX([1]Data_DBD!$E:$E,$A35)</f>
        <v>1</v>
      </c>
      <c r="D35" s="19" t="str" cm="1">
        <f t="array" aca="1" ref="D35" ca="1">INDEX([1]Data_DBD!$F:$F,$A35)</f>
        <v>Tinggi</v>
      </c>
      <c r="E35" s="29"/>
      <c r="H35" s="19">
        <v>16</v>
      </c>
      <c r="I35" s="19">
        <v>66</v>
      </c>
      <c r="J35" s="19">
        <v>1</v>
      </c>
      <c r="K35" s="19" t="s">
        <v>20</v>
      </c>
    </row>
    <row r="36" spans="1:11">
      <c r="A36" s="19">
        <f t="shared" ca="1" si="1"/>
        <v>155</v>
      </c>
      <c r="B36" s="19" cm="1">
        <f t="array" aca="1" ref="B36" ca="1">INDEX([1]Data_DBD!$B:$B,$A36)</f>
        <v>19</v>
      </c>
      <c r="C36" s="19" cm="1">
        <f t="array" aca="1" ref="C36" ca="1">INDEX([1]Data_DBD!$E:$E,$A36)</f>
        <v>1</v>
      </c>
      <c r="D36" s="19" t="str" cm="1">
        <f t="array" aca="1" ref="D36" ca="1">INDEX([1]Data_DBD!$F:$F,$A36)</f>
        <v>Tinggi</v>
      </c>
      <c r="E36" s="29"/>
      <c r="H36" s="19">
        <v>144</v>
      </c>
      <c r="I36" s="19">
        <v>61</v>
      </c>
      <c r="J36" s="19">
        <v>1</v>
      </c>
      <c r="K36" s="19" t="s">
        <v>97</v>
      </c>
    </row>
    <row r="37" spans="1:11">
      <c r="A37" s="19">
        <f t="shared" ca="1" si="1"/>
        <v>132</v>
      </c>
      <c r="B37" s="19" cm="1">
        <f t="array" aca="1" ref="B37" ca="1">INDEX([1]Data_DBD!$B:$B,$A37)</f>
        <v>10</v>
      </c>
      <c r="C37" s="19" cm="1">
        <f t="array" aca="1" ref="C37" ca="1">INDEX([1]Data_DBD!$E:$E,$A37)</f>
        <v>1</v>
      </c>
      <c r="D37" s="19" t="str" cm="1">
        <f t="array" aca="1" ref="D37" ca="1">INDEX([1]Data_DBD!$F:$F,$A37)</f>
        <v>Tinggi</v>
      </c>
      <c r="E37" s="29"/>
      <c r="H37" s="19">
        <v>30</v>
      </c>
      <c r="I37" s="19">
        <v>3</v>
      </c>
      <c r="J37" s="19">
        <v>1</v>
      </c>
      <c r="K37" s="19" t="s">
        <v>7</v>
      </c>
    </row>
    <row r="38" spans="1:11">
      <c r="A38" s="19">
        <f t="shared" ca="1" si="1"/>
        <v>90</v>
      </c>
      <c r="B38" s="19" cm="1">
        <f t="array" aca="1" ref="B38" ca="1">INDEX([1]Data_DBD!$B:$B,$A38)</f>
        <v>47</v>
      </c>
      <c r="C38" s="19" cm="1">
        <f t="array" aca="1" ref="C38" ca="1">INDEX([1]Data_DBD!$E:$E,$A38)</f>
        <v>0</v>
      </c>
      <c r="D38" s="19" t="str" cm="1">
        <f t="array" aca="1" ref="D38" ca="1">INDEX([1]Data_DBD!$F:$F,$A38)</f>
        <v>Tinggi</v>
      </c>
      <c r="E38" s="29"/>
      <c r="H38" s="19">
        <v>69</v>
      </c>
      <c r="I38" s="19">
        <v>24</v>
      </c>
      <c r="J38" s="19">
        <v>1</v>
      </c>
      <c r="K38" s="19" t="s">
        <v>7</v>
      </c>
    </row>
    <row r="39" spans="1:11">
      <c r="A39" s="19">
        <f t="shared" ca="1" si="1"/>
        <v>118</v>
      </c>
      <c r="B39" s="19" cm="1">
        <f t="array" aca="1" ref="B39" ca="1">INDEX([1]Data_DBD!$B:$B,$A39)</f>
        <v>67</v>
      </c>
      <c r="C39" s="19" cm="1">
        <f t="array" aca="1" ref="C39" ca="1">INDEX([1]Data_DBD!$E:$E,$A39)</f>
        <v>1</v>
      </c>
      <c r="D39" s="19" t="str" cm="1">
        <f t="array" aca="1" ref="D39" ca="1">INDEX([1]Data_DBD!$F:$F,$A39)</f>
        <v>Tinggi</v>
      </c>
      <c r="E39" s="29"/>
      <c r="H39" s="19">
        <v>60</v>
      </c>
      <c r="I39" s="19">
        <v>68</v>
      </c>
      <c r="J39" s="19">
        <v>0</v>
      </c>
      <c r="K39" s="19" t="s">
        <v>7</v>
      </c>
    </row>
    <row r="40" spans="1:11">
      <c r="A40" s="19">
        <f t="shared" ca="1" si="1"/>
        <v>153</v>
      </c>
      <c r="B40" s="19" cm="1">
        <f t="array" aca="1" ref="B40" ca="1">INDEX([1]Data_DBD!$B:$B,$A40)</f>
        <v>73</v>
      </c>
      <c r="C40" s="19" cm="1">
        <f t="array" aca="1" ref="C40" ca="1">INDEX([1]Data_DBD!$E:$E,$A40)</f>
        <v>1</v>
      </c>
      <c r="D40" s="19" t="str" cm="1">
        <f t="array" aca="1" ref="D40" ca="1">INDEX([1]Data_DBD!$F:$F,$A40)</f>
        <v>Tinggi</v>
      </c>
      <c r="E40" s="29"/>
      <c r="H40" s="19">
        <v>17</v>
      </c>
      <c r="I40" s="19">
        <v>2</v>
      </c>
      <c r="J40" s="19">
        <v>0</v>
      </c>
      <c r="K40" s="19" t="s">
        <v>20</v>
      </c>
    </row>
    <row r="41" spans="1:11">
      <c r="A41" s="19">
        <f t="shared" ca="1" si="1"/>
        <v>81</v>
      </c>
      <c r="B41" s="19" cm="1">
        <f t="array" aca="1" ref="B41" ca="1">INDEX([1]Data_DBD!$B:$B,$A41)</f>
        <v>23</v>
      </c>
      <c r="C41" s="19" cm="1">
        <f t="array" aca="1" ref="C41" ca="1">INDEX([1]Data_DBD!$E:$E,$A41)</f>
        <v>1</v>
      </c>
      <c r="D41" s="19" t="str" cm="1">
        <f t="array" aca="1" ref="D41" ca="1">INDEX([1]Data_DBD!$F:$F,$A41)</f>
        <v>Sedang</v>
      </c>
      <c r="E41" s="29"/>
      <c r="H41" s="19">
        <v>47</v>
      </c>
      <c r="I41" s="19">
        <v>19</v>
      </c>
      <c r="J41" s="19">
        <v>0</v>
      </c>
      <c r="K41" s="19" t="s">
        <v>7</v>
      </c>
    </row>
    <row r="42" spans="1:11">
      <c r="A42" s="19">
        <f t="shared" ca="1" si="1"/>
        <v>95</v>
      </c>
      <c r="B42" s="19" cm="1">
        <f t="array" aca="1" ref="B42" ca="1">INDEX([1]Data_DBD!$B:$B,$A42)</f>
        <v>11</v>
      </c>
      <c r="C42" s="19" cm="1">
        <f t="array" aca="1" ref="C42" ca="1">INDEX([1]Data_DBD!$E:$E,$A42)</f>
        <v>1</v>
      </c>
      <c r="D42" s="19" t="str" cm="1">
        <f t="array" aca="1" ref="D42" ca="1">INDEX([1]Data_DBD!$F:$F,$A42)</f>
        <v>Tinggi</v>
      </c>
      <c r="E42" s="29"/>
      <c r="H42" s="19">
        <v>130</v>
      </c>
      <c r="I42" s="19">
        <v>12</v>
      </c>
      <c r="J42" s="19">
        <v>0</v>
      </c>
      <c r="K42" s="19" t="s">
        <v>97</v>
      </c>
    </row>
    <row r="43" spans="1:11">
      <c r="A43" s="19">
        <f t="shared" ca="1" si="1"/>
        <v>29</v>
      </c>
      <c r="B43" s="19" cm="1">
        <f t="array" aca="1" ref="B43" ca="1">INDEX([1]Data_DBD!$B:$B,$A43)</f>
        <v>19</v>
      </c>
      <c r="C43" s="19" cm="1">
        <f t="array" aca="1" ref="C43" ca="1">INDEX([1]Data_DBD!$E:$E,$A43)</f>
        <v>1</v>
      </c>
      <c r="D43" s="19" t="str" cm="1">
        <f t="array" aca="1" ref="D43" ca="1">INDEX([1]Data_DBD!$F:$F,$A43)</f>
        <v>Sedang</v>
      </c>
      <c r="E43" s="29"/>
      <c r="H43" s="19">
        <v>146</v>
      </c>
      <c r="I43" s="19">
        <v>34</v>
      </c>
      <c r="J43" s="19">
        <v>1</v>
      </c>
      <c r="K43" s="19" t="s">
        <v>97</v>
      </c>
    </row>
    <row r="44" spans="1:11">
      <c r="A44" s="19">
        <f t="shared" ca="1" si="1"/>
        <v>122</v>
      </c>
      <c r="B44" s="19" cm="1">
        <f t="array" aca="1" ref="B44" ca="1">INDEX([1]Data_DBD!$B:$B,$A44)</f>
        <v>28</v>
      </c>
      <c r="C44" s="19" cm="1">
        <f t="array" aca="1" ref="C44" ca="1">INDEX([1]Data_DBD!$E:$E,$A44)</f>
        <v>1</v>
      </c>
      <c r="D44" s="19" t="str" cm="1">
        <f t="array" aca="1" ref="D44" ca="1">INDEX([1]Data_DBD!$F:$F,$A44)</f>
        <v>Tinggi</v>
      </c>
      <c r="E44" s="29"/>
      <c r="H44" s="19">
        <v>149</v>
      </c>
      <c r="I44" s="19">
        <v>19</v>
      </c>
      <c r="J44" s="19">
        <v>0</v>
      </c>
      <c r="K44" s="19" t="s">
        <v>97</v>
      </c>
    </row>
    <row r="45" spans="1:11">
      <c r="A45" s="19">
        <f t="shared" ca="1" si="1"/>
        <v>35</v>
      </c>
      <c r="B45" s="19" cm="1">
        <f t="array" aca="1" ref="B45" ca="1">INDEX([1]Data_DBD!$B:$B,$A45)</f>
        <v>40</v>
      </c>
      <c r="C45" s="19" cm="1">
        <f t="array" aca="1" ref="C45" ca="1">INDEX([1]Data_DBD!$E:$E,$A45)</f>
        <v>1</v>
      </c>
      <c r="D45" s="19" t="str" cm="1">
        <f t="array" aca="1" ref="D45" ca="1">INDEX([1]Data_DBD!$F:$F,$A45)</f>
        <v>Rendah</v>
      </c>
      <c r="E45" s="29"/>
      <c r="H45" s="19">
        <v>50</v>
      </c>
      <c r="I45" s="19">
        <v>19</v>
      </c>
      <c r="J45" s="19">
        <v>0</v>
      </c>
      <c r="K45" s="19" t="s">
        <v>7</v>
      </c>
    </row>
    <row r="46" spans="1:11">
      <c r="A46" s="19">
        <f t="shared" ca="1" si="1"/>
        <v>99</v>
      </c>
      <c r="B46" s="19" cm="1">
        <f t="array" aca="1" ref="B46" ca="1">INDEX([1]Data_DBD!$B:$B,$A46)</f>
        <v>4</v>
      </c>
      <c r="C46" s="19" cm="1">
        <f t="array" aca="1" ref="C46" ca="1">INDEX([1]Data_DBD!$E:$E,$A46)</f>
        <v>1</v>
      </c>
      <c r="D46" s="19" t="str" cm="1">
        <f t="array" aca="1" ref="D46" ca="1">INDEX([1]Data_DBD!$F:$F,$A46)</f>
        <v>Tinggi</v>
      </c>
      <c r="E46" s="29"/>
      <c r="H46" s="19">
        <v>53</v>
      </c>
      <c r="I46" s="19">
        <v>35</v>
      </c>
      <c r="J46" s="19">
        <v>1</v>
      </c>
      <c r="K46" s="19" t="s">
        <v>7</v>
      </c>
    </row>
    <row r="47" spans="1:11">
      <c r="A47" s="19">
        <f t="shared" ca="1" si="1"/>
        <v>30</v>
      </c>
      <c r="B47" s="19" cm="1">
        <f t="array" aca="1" ref="B47" ca="1">INDEX([1]Data_DBD!$B:$B,$A47)</f>
        <v>3</v>
      </c>
      <c r="C47" s="19" cm="1">
        <f t="array" aca="1" ref="C47" ca="1">INDEX([1]Data_DBD!$E:$E,$A47)</f>
        <v>1</v>
      </c>
      <c r="D47" s="19" t="str" cm="1">
        <f t="array" aca="1" ref="D47" ca="1">INDEX([1]Data_DBD!$F:$F,$A47)</f>
        <v>Sedang</v>
      </c>
      <c r="E47" s="29"/>
      <c r="H47" s="19">
        <v>153</v>
      </c>
      <c r="I47" s="19">
        <v>73</v>
      </c>
      <c r="J47" s="19">
        <v>1</v>
      </c>
      <c r="K47" s="19" t="s">
        <v>97</v>
      </c>
    </row>
    <row r="48" spans="1:11">
      <c r="A48" s="19">
        <f t="shared" ca="1" si="1"/>
        <v>99</v>
      </c>
      <c r="B48" s="19" cm="1">
        <f t="array" aca="1" ref="B48" ca="1">INDEX([1]Data_DBD!$B:$B,$A48)</f>
        <v>4</v>
      </c>
      <c r="C48" s="19" cm="1">
        <f t="array" aca="1" ref="C48" ca="1">INDEX([1]Data_DBD!$E:$E,$A48)</f>
        <v>1</v>
      </c>
      <c r="D48" s="19" t="str" cm="1">
        <f t="array" aca="1" ref="D48" ca="1">INDEX([1]Data_DBD!$F:$F,$A48)</f>
        <v>Tinggi</v>
      </c>
      <c r="E48" s="29"/>
      <c r="H48" s="19">
        <v>93</v>
      </c>
      <c r="I48" s="19">
        <v>65</v>
      </c>
      <c r="J48" s="19">
        <v>0</v>
      </c>
      <c r="K48" s="19" t="s">
        <v>97</v>
      </c>
    </row>
    <row r="49" spans="1:11">
      <c r="A49" s="19">
        <f t="shared" ca="1" si="1"/>
        <v>42</v>
      </c>
      <c r="B49" s="19" cm="1">
        <f t="array" aca="1" ref="B49" ca="1">INDEX([1]Data_DBD!$B:$B,$A49)</f>
        <v>21</v>
      </c>
      <c r="C49" s="19" cm="1">
        <f t="array" aca="1" ref="C49" ca="1">INDEX([1]Data_DBD!$E:$E,$A49)</f>
        <v>1</v>
      </c>
      <c r="D49" s="19" t="str" cm="1">
        <f t="array" aca="1" ref="D49" ca="1">INDEX([1]Data_DBD!$F:$F,$A49)</f>
        <v>Sedang</v>
      </c>
      <c r="E49" s="29"/>
      <c r="H49" s="19">
        <v>119</v>
      </c>
      <c r="I49" s="19">
        <v>30</v>
      </c>
      <c r="J49" s="19">
        <v>0</v>
      </c>
      <c r="K49" s="19" t="s">
        <v>97</v>
      </c>
    </row>
    <row r="50" spans="1:11">
      <c r="A50" s="19">
        <f t="shared" ca="1" si="1"/>
        <v>89</v>
      </c>
      <c r="B50" s="19" cm="1">
        <f t="array" aca="1" ref="B50" ca="1">INDEX([1]Data_DBD!$B:$B,$A50)</f>
        <v>32</v>
      </c>
      <c r="C50" s="19" cm="1">
        <f t="array" aca="1" ref="C50" ca="1">INDEX([1]Data_DBD!$E:$E,$A50)</f>
        <v>0</v>
      </c>
      <c r="D50" s="19" t="str" cm="1">
        <f t="array" aca="1" ref="D50" ca="1">INDEX([1]Data_DBD!$F:$F,$A50)</f>
        <v>Sedang</v>
      </c>
      <c r="E50" s="29"/>
      <c r="H50" s="19">
        <v>130</v>
      </c>
      <c r="I50" s="19">
        <v>12</v>
      </c>
      <c r="J50" s="19">
        <v>0</v>
      </c>
      <c r="K50" s="19" t="s">
        <v>97</v>
      </c>
    </row>
    <row r="51" spans="1:11">
      <c r="A51" s="19">
        <f t="shared" ca="1" si="1"/>
        <v>76</v>
      </c>
      <c r="B51" s="19" cm="1">
        <f t="array" aca="1" ref="B51" ca="1">INDEX([1]Data_DBD!$B:$B,$A51)</f>
        <v>70</v>
      </c>
      <c r="C51" s="19" cm="1">
        <f t="array" aca="1" ref="C51" ca="1">INDEX([1]Data_DBD!$E:$E,$A51)</f>
        <v>0</v>
      </c>
      <c r="D51" s="19" t="str" cm="1">
        <f t="array" aca="1" ref="D51" ca="1">INDEX([1]Data_DBD!$F:$F,$A51)</f>
        <v>Sedang</v>
      </c>
      <c r="E51" s="29"/>
      <c r="H51" s="19">
        <v>18</v>
      </c>
      <c r="I51" s="19">
        <v>49</v>
      </c>
      <c r="J51" s="19">
        <v>1</v>
      </c>
      <c r="K51" s="19" t="s">
        <v>20</v>
      </c>
    </row>
    <row r="52" spans="1:11">
      <c r="A52" s="19">
        <f t="shared" ca="1" si="1"/>
        <v>110</v>
      </c>
      <c r="B52" s="19" cm="1">
        <f t="array" aca="1" ref="B52" ca="1">INDEX([1]Data_DBD!$B:$B,$A52)</f>
        <v>42</v>
      </c>
      <c r="C52" s="19" cm="1">
        <f t="array" aca="1" ref="C52" ca="1">INDEX([1]Data_DBD!$E:$E,$A52)</f>
        <v>1</v>
      </c>
      <c r="D52" s="19" t="str" cm="1">
        <f t="array" aca="1" ref="D52" ca="1">INDEX([1]Data_DBD!$F:$F,$A52)</f>
        <v>Tinggi</v>
      </c>
      <c r="E52" s="29"/>
      <c r="H52" s="19">
        <v>37</v>
      </c>
      <c r="I52" s="19">
        <v>28</v>
      </c>
      <c r="J52" s="19">
        <v>1</v>
      </c>
      <c r="K52" s="19" t="s">
        <v>20</v>
      </c>
    </row>
    <row r="53" spans="1:11">
      <c r="A53" s="19">
        <f t="shared" ca="1" si="1"/>
        <v>116</v>
      </c>
      <c r="B53" s="19" cm="1">
        <f t="array" aca="1" ref="B53" ca="1">INDEX([1]Data_DBD!$B:$B,$A53)</f>
        <v>32</v>
      </c>
      <c r="C53" s="19" cm="1">
        <f t="array" aca="1" ref="C53" ca="1">INDEX([1]Data_DBD!$E:$E,$A53)</f>
        <v>1</v>
      </c>
      <c r="D53" s="19" t="str" cm="1">
        <f t="array" aca="1" ref="D53" ca="1">INDEX([1]Data_DBD!$F:$F,$A53)</f>
        <v>Tinggi</v>
      </c>
      <c r="E53" s="29"/>
      <c r="H53" s="19">
        <v>126</v>
      </c>
      <c r="I53" s="19">
        <v>51</v>
      </c>
      <c r="J53" s="19">
        <v>1</v>
      </c>
      <c r="K53" s="19" t="s">
        <v>97</v>
      </c>
    </row>
    <row r="54" spans="1:11">
      <c r="A54" s="19">
        <f t="shared" ca="1" si="1"/>
        <v>126</v>
      </c>
      <c r="B54" s="19" cm="1">
        <f t="array" aca="1" ref="B54" ca="1">INDEX([1]Data_DBD!$B:$B,$A54)</f>
        <v>51</v>
      </c>
      <c r="C54" s="19" cm="1">
        <f t="array" aca="1" ref="C54" ca="1">INDEX([1]Data_DBD!$E:$E,$A54)</f>
        <v>1</v>
      </c>
      <c r="D54" s="19" t="str" cm="1">
        <f t="array" aca="1" ref="D54" ca="1">INDEX([1]Data_DBD!$F:$F,$A54)</f>
        <v>Tinggi</v>
      </c>
      <c r="E54" s="29"/>
      <c r="H54" s="19">
        <v>104</v>
      </c>
      <c r="I54" s="19">
        <v>37</v>
      </c>
      <c r="J54" s="19">
        <v>1</v>
      </c>
      <c r="K54" s="19" t="s">
        <v>97</v>
      </c>
    </row>
    <row r="55" spans="1:11">
      <c r="A55" s="19">
        <f t="shared" ca="1" si="1"/>
        <v>40</v>
      </c>
      <c r="B55" s="19" cm="1">
        <f t="array" aca="1" ref="B55" ca="1">INDEX([1]Data_DBD!$B:$B,$A55)</f>
        <v>65</v>
      </c>
      <c r="C55" s="19" cm="1">
        <f t="array" aca="1" ref="C55" ca="1">INDEX([1]Data_DBD!$E:$E,$A55)</f>
        <v>1</v>
      </c>
      <c r="D55" s="19" t="str" cm="1">
        <f t="array" aca="1" ref="D55" ca="1">INDEX([1]Data_DBD!$F:$F,$A55)</f>
        <v>Sedang</v>
      </c>
      <c r="E55" s="29"/>
      <c r="H55" s="19">
        <v>12</v>
      </c>
      <c r="I55" s="19">
        <v>23</v>
      </c>
      <c r="J55" s="19">
        <v>0</v>
      </c>
      <c r="K55" s="19" t="s">
        <v>7</v>
      </c>
    </row>
    <row r="56" spans="1:11">
      <c r="A56" s="19">
        <f t="shared" ca="1" si="1"/>
        <v>60</v>
      </c>
      <c r="B56" s="19" cm="1">
        <f t="array" aca="1" ref="B56" ca="1">INDEX([1]Data_DBD!$B:$B,$A56)</f>
        <v>68</v>
      </c>
      <c r="C56" s="19" cm="1">
        <f t="array" aca="1" ref="C56" ca="1">INDEX([1]Data_DBD!$E:$E,$A56)</f>
        <v>0</v>
      </c>
      <c r="D56" s="19" t="str" cm="1">
        <f t="array" aca="1" ref="D56" ca="1">INDEX([1]Data_DBD!$F:$F,$A56)</f>
        <v>Sedang</v>
      </c>
      <c r="E56" s="29"/>
      <c r="H56" s="19">
        <v>89</v>
      </c>
      <c r="I56" s="19">
        <v>32</v>
      </c>
      <c r="J56" s="19">
        <v>0</v>
      </c>
      <c r="K56" s="19" t="s">
        <v>7</v>
      </c>
    </row>
    <row r="57" spans="1:11">
      <c r="A57" s="19">
        <f t="shared" ca="1" si="1"/>
        <v>32</v>
      </c>
      <c r="B57" s="19" cm="1">
        <f t="array" aca="1" ref="B57" ca="1">INDEX([1]Data_DBD!$B:$B,$A57)</f>
        <v>54</v>
      </c>
      <c r="C57" s="19" cm="1">
        <f t="array" aca="1" ref="C57" ca="1">INDEX([1]Data_DBD!$E:$E,$A57)</f>
        <v>0</v>
      </c>
      <c r="D57" s="19" t="str" cm="1">
        <f t="array" aca="1" ref="D57" ca="1">INDEX([1]Data_DBD!$F:$F,$A57)</f>
        <v>Sedang</v>
      </c>
      <c r="E57" s="29"/>
      <c r="H57" s="19">
        <v>94</v>
      </c>
      <c r="I57" s="19">
        <v>12</v>
      </c>
      <c r="J57" s="19">
        <v>0</v>
      </c>
      <c r="K57" s="19" t="s">
        <v>97</v>
      </c>
    </row>
    <row r="58" spans="1:11">
      <c r="A58" s="19">
        <f t="shared" ca="1" si="1"/>
        <v>160</v>
      </c>
      <c r="B58" s="19" cm="1">
        <f t="array" aca="1" ref="B58" ca="1">INDEX([1]Data_DBD!$B:$B,$A58)</f>
        <v>16</v>
      </c>
      <c r="C58" s="19" cm="1">
        <f t="array" aca="1" ref="C58" ca="1">INDEX([1]Data_DBD!$E:$E,$A58)</f>
        <v>0</v>
      </c>
      <c r="D58" s="19" t="str" cm="1">
        <f t="array" aca="1" ref="D58" ca="1">INDEX([1]Data_DBD!$F:$F,$A58)</f>
        <v>Tinggi</v>
      </c>
      <c r="E58" s="29"/>
      <c r="H58" s="19">
        <v>40</v>
      </c>
      <c r="I58" s="19">
        <v>65</v>
      </c>
      <c r="J58" s="19">
        <v>1</v>
      </c>
      <c r="K58" s="19" t="s">
        <v>7</v>
      </c>
    </row>
    <row r="59" spans="1:11">
      <c r="A59" s="19">
        <f t="shared" ca="1" si="1"/>
        <v>70</v>
      </c>
      <c r="B59" s="19" cm="1">
        <f t="array" aca="1" ref="B59" ca="1">INDEX([1]Data_DBD!$B:$B,$A59)</f>
        <v>26</v>
      </c>
      <c r="C59" s="19" cm="1">
        <f t="array" aca="1" ref="C59" ca="1">INDEX([1]Data_DBD!$E:$E,$A59)</f>
        <v>1</v>
      </c>
      <c r="D59" s="19" t="str" cm="1">
        <f t="array" aca="1" ref="D59" ca="1">INDEX([1]Data_DBD!$F:$F,$A59)</f>
        <v>Sedang</v>
      </c>
      <c r="E59" s="29"/>
      <c r="H59" s="19">
        <v>89</v>
      </c>
      <c r="I59" s="19">
        <v>32</v>
      </c>
      <c r="J59" s="19">
        <v>0</v>
      </c>
      <c r="K59" s="19" t="s">
        <v>7</v>
      </c>
    </row>
    <row r="60" spans="1:11">
      <c r="A60" s="19">
        <f t="shared" ca="1" si="1"/>
        <v>13</v>
      </c>
      <c r="B60" s="19" cm="1">
        <f t="array" aca="1" ref="B60" ca="1">INDEX([1]Data_DBD!$B:$B,$A60)</f>
        <v>47</v>
      </c>
      <c r="C60" s="19" cm="1">
        <f t="array" aca="1" ref="C60" ca="1">INDEX([1]Data_DBD!$E:$E,$A60)</f>
        <v>0</v>
      </c>
      <c r="D60" s="19" t="str" cm="1">
        <f t="array" aca="1" ref="D60" ca="1">INDEX([1]Data_DBD!$F:$F,$A60)</f>
        <v>Sedang</v>
      </c>
      <c r="E60" s="29"/>
      <c r="H60" s="19">
        <v>88</v>
      </c>
      <c r="I60" s="19">
        <v>20</v>
      </c>
      <c r="J60" s="19">
        <v>1</v>
      </c>
      <c r="K60" s="19" t="s">
        <v>7</v>
      </c>
    </row>
    <row r="61" spans="1:11">
      <c r="A61" s="19">
        <f t="shared" ca="1" si="1"/>
        <v>30</v>
      </c>
      <c r="B61" s="19" cm="1">
        <f t="array" aca="1" ref="B61" ca="1">INDEX([1]Data_DBD!$B:$B,$A61)</f>
        <v>3</v>
      </c>
      <c r="C61" s="19" cm="1">
        <f t="array" aca="1" ref="C61" ca="1">INDEX([1]Data_DBD!$E:$E,$A61)</f>
        <v>1</v>
      </c>
      <c r="D61" s="19" t="str" cm="1">
        <f t="array" aca="1" ref="D61" ca="1">INDEX([1]Data_DBD!$F:$F,$A61)</f>
        <v>Sedang</v>
      </c>
      <c r="E61" s="29"/>
      <c r="H61" s="19">
        <v>155</v>
      </c>
      <c r="I61" s="19">
        <v>19</v>
      </c>
      <c r="J61" s="19">
        <v>1</v>
      </c>
      <c r="K61" s="19" t="s">
        <v>97</v>
      </c>
    </row>
    <row r="62" spans="1:11">
      <c r="A62" s="19">
        <f t="shared" ca="1" si="1"/>
        <v>128</v>
      </c>
      <c r="B62" s="19" cm="1">
        <f t="array" aca="1" ref="B62" ca="1">INDEX([1]Data_DBD!$B:$B,$A62)</f>
        <v>38</v>
      </c>
      <c r="C62" s="19" cm="1">
        <f t="array" aca="1" ref="C62" ca="1">INDEX([1]Data_DBD!$E:$E,$A62)</f>
        <v>0</v>
      </c>
      <c r="D62" s="19" t="str" cm="1">
        <f t="array" aca="1" ref="D62" ca="1">INDEX([1]Data_DBD!$F:$F,$A62)</f>
        <v>Tinggi</v>
      </c>
      <c r="E62" s="29"/>
      <c r="H62" s="19">
        <v>27</v>
      </c>
      <c r="I62" s="19">
        <v>37</v>
      </c>
      <c r="J62" s="19">
        <v>1</v>
      </c>
      <c r="K62" s="19" t="s">
        <v>7</v>
      </c>
    </row>
    <row r="63" spans="1:11">
      <c r="A63" s="19">
        <f t="shared" ca="1" si="1"/>
        <v>15</v>
      </c>
      <c r="B63" s="19" cm="1">
        <f t="array" aca="1" ref="B63" ca="1">INDEX([1]Data_DBD!$B:$B,$A63)</f>
        <v>21</v>
      </c>
      <c r="C63" s="19" cm="1">
        <f t="array" aca="1" ref="C63" ca="1">INDEX([1]Data_DBD!$E:$E,$A63)</f>
        <v>0</v>
      </c>
      <c r="D63" s="19" t="str" cm="1">
        <f t="array" aca="1" ref="D63" ca="1">INDEX([1]Data_DBD!$F:$F,$A63)</f>
        <v>Rendah</v>
      </c>
      <c r="E63" s="29"/>
      <c r="H63" s="19">
        <v>57</v>
      </c>
      <c r="I63" s="19">
        <v>2</v>
      </c>
      <c r="J63" s="19">
        <v>1</v>
      </c>
      <c r="K63" s="19" t="s">
        <v>7</v>
      </c>
    </row>
    <row r="64" spans="1:11">
      <c r="A64" s="19">
        <f t="shared" ca="1" si="1"/>
        <v>82</v>
      </c>
      <c r="B64" s="19" cm="1">
        <f t="array" aca="1" ref="B64" ca="1">INDEX([1]Data_DBD!$B:$B,$A64)</f>
        <v>28</v>
      </c>
      <c r="C64" s="19" cm="1">
        <f t="array" aca="1" ref="C64" ca="1">INDEX([1]Data_DBD!$E:$E,$A64)</f>
        <v>1</v>
      </c>
      <c r="D64" s="19" t="str" cm="1">
        <f t="array" aca="1" ref="D64" ca="1">INDEX([1]Data_DBD!$F:$F,$A64)</f>
        <v>Sedang</v>
      </c>
      <c r="E64" s="29"/>
      <c r="H64" s="19">
        <v>53</v>
      </c>
      <c r="I64" s="19">
        <v>35</v>
      </c>
      <c r="J64" s="19">
        <v>1</v>
      </c>
      <c r="K64" s="19" t="s">
        <v>7</v>
      </c>
    </row>
    <row r="65" spans="1:11">
      <c r="A65" s="19">
        <f t="shared" ca="1" si="1"/>
        <v>122</v>
      </c>
      <c r="B65" s="19" cm="1">
        <f t="array" aca="1" ref="B65" ca="1">INDEX([1]Data_DBD!$B:$B,$A65)</f>
        <v>28</v>
      </c>
      <c r="C65" s="19" cm="1">
        <f t="array" aca="1" ref="C65" ca="1">INDEX([1]Data_DBD!$E:$E,$A65)</f>
        <v>1</v>
      </c>
      <c r="D65" s="19" t="str" cm="1">
        <f t="array" aca="1" ref="D65" ca="1">INDEX([1]Data_DBD!$F:$F,$A65)</f>
        <v>Tinggi</v>
      </c>
      <c r="E65" s="29"/>
      <c r="H65" s="19">
        <v>154</v>
      </c>
      <c r="I65" s="19">
        <v>18</v>
      </c>
      <c r="J65" s="19">
        <v>1</v>
      </c>
      <c r="K65" s="19" t="s">
        <v>97</v>
      </c>
    </row>
    <row r="66" spans="1:11">
      <c r="A66" s="19">
        <f t="shared" ref="A66:A97" ca="1" si="2">RANDBETWEEN(2,164)</f>
        <v>146</v>
      </c>
      <c r="B66" s="19" cm="1">
        <f t="array" aca="1" ref="B66" ca="1">INDEX([1]Data_DBD!$B:$B,$A66)</f>
        <v>34</v>
      </c>
      <c r="C66" s="19" cm="1">
        <f t="array" aca="1" ref="C66" ca="1">INDEX([1]Data_DBD!$E:$E,$A66)</f>
        <v>1</v>
      </c>
      <c r="D66" s="19" t="str" cm="1">
        <f t="array" aca="1" ref="D66" ca="1">INDEX([1]Data_DBD!$F:$F,$A66)</f>
        <v>Tinggi</v>
      </c>
      <c r="E66" s="29"/>
      <c r="H66" s="19">
        <v>57</v>
      </c>
      <c r="I66" s="19">
        <v>2</v>
      </c>
      <c r="J66" s="19">
        <v>1</v>
      </c>
      <c r="K66" s="19" t="s">
        <v>7</v>
      </c>
    </row>
    <row r="67" spans="1:11">
      <c r="A67" s="19">
        <f t="shared" ca="1" si="2"/>
        <v>94</v>
      </c>
      <c r="B67" s="19" cm="1">
        <f t="array" aca="1" ref="B67" ca="1">INDEX([1]Data_DBD!$B:$B,$A67)</f>
        <v>12</v>
      </c>
      <c r="C67" s="19" cm="1">
        <f t="array" aca="1" ref="C67" ca="1">INDEX([1]Data_DBD!$E:$E,$A67)</f>
        <v>0</v>
      </c>
      <c r="D67" s="19" t="str" cm="1">
        <f t="array" aca="1" ref="D67" ca="1">INDEX([1]Data_DBD!$F:$F,$A67)</f>
        <v>Tinggi</v>
      </c>
      <c r="E67" s="29"/>
      <c r="H67" s="19">
        <v>142</v>
      </c>
      <c r="I67" s="19">
        <v>39</v>
      </c>
      <c r="J67" s="19">
        <v>1</v>
      </c>
      <c r="K67" s="19" t="s">
        <v>97</v>
      </c>
    </row>
    <row r="68" spans="1:11">
      <c r="A68" s="19">
        <f t="shared" ca="1" si="2"/>
        <v>60</v>
      </c>
      <c r="B68" s="19" cm="1">
        <f t="array" aca="1" ref="B68" ca="1">INDEX([1]Data_DBD!$B:$B,$A68)</f>
        <v>68</v>
      </c>
      <c r="C68" s="19" cm="1">
        <f t="array" aca="1" ref="C68" ca="1">INDEX([1]Data_DBD!$E:$E,$A68)</f>
        <v>0</v>
      </c>
      <c r="D68" s="19" t="str" cm="1">
        <f t="array" aca="1" ref="D68" ca="1">INDEX([1]Data_DBD!$F:$F,$A68)</f>
        <v>Sedang</v>
      </c>
      <c r="E68" s="29"/>
      <c r="H68" s="19">
        <v>17</v>
      </c>
      <c r="I68" s="19">
        <v>2</v>
      </c>
      <c r="J68" s="19">
        <v>0</v>
      </c>
      <c r="K68" s="19" t="s">
        <v>20</v>
      </c>
    </row>
    <row r="69" spans="1:11">
      <c r="A69" s="19">
        <f t="shared" ca="1" si="2"/>
        <v>67</v>
      </c>
      <c r="B69" s="19" cm="1">
        <f t="array" aca="1" ref="B69" ca="1">INDEX([1]Data_DBD!$B:$B,$A69)</f>
        <v>21</v>
      </c>
      <c r="C69" s="19" cm="1">
        <f t="array" aca="1" ref="C69" ca="1">INDEX([1]Data_DBD!$E:$E,$A69)</f>
        <v>1</v>
      </c>
      <c r="D69" s="19" t="str" cm="1">
        <f t="array" aca="1" ref="D69" ca="1">INDEX([1]Data_DBD!$F:$F,$A69)</f>
        <v>Sedang</v>
      </c>
      <c r="E69" s="29"/>
      <c r="H69" s="19">
        <v>116</v>
      </c>
      <c r="I69" s="19">
        <v>32</v>
      </c>
      <c r="J69" s="19">
        <v>1</v>
      </c>
      <c r="K69" s="19" t="s">
        <v>97</v>
      </c>
    </row>
    <row r="70" spans="1:11">
      <c r="A70" s="19">
        <f t="shared" ca="1" si="2"/>
        <v>59</v>
      </c>
      <c r="B70" s="19" cm="1">
        <f t="array" aca="1" ref="B70" ca="1">INDEX([1]Data_DBD!$B:$B,$A70)</f>
        <v>28</v>
      </c>
      <c r="C70" s="19" cm="1">
        <f t="array" aca="1" ref="C70" ca="1">INDEX([1]Data_DBD!$E:$E,$A70)</f>
        <v>0</v>
      </c>
      <c r="D70" s="19" t="str" cm="1">
        <f t="array" aca="1" ref="D70" ca="1">INDEX([1]Data_DBD!$F:$F,$A70)</f>
        <v>Sedang</v>
      </c>
      <c r="E70" s="29"/>
      <c r="H70" s="19">
        <v>52</v>
      </c>
      <c r="I70" s="19">
        <v>59</v>
      </c>
      <c r="J70" s="19">
        <v>1</v>
      </c>
      <c r="K70" s="19" t="s">
        <v>7</v>
      </c>
    </row>
    <row r="71" spans="1:11">
      <c r="A71" s="19">
        <f t="shared" ca="1" si="2"/>
        <v>14</v>
      </c>
      <c r="B71" s="19" cm="1">
        <f t="array" aca="1" ref="B71" ca="1">INDEX([1]Data_DBD!$B:$B,$A71)</f>
        <v>49</v>
      </c>
      <c r="C71" s="19" cm="1">
        <f t="array" aca="1" ref="C71" ca="1">INDEX([1]Data_DBD!$E:$E,$A71)</f>
        <v>1</v>
      </c>
      <c r="D71" s="19" t="str" cm="1">
        <f t="array" aca="1" ref="D71" ca="1">INDEX([1]Data_DBD!$F:$F,$A71)</f>
        <v>Rendah</v>
      </c>
      <c r="E71" s="29"/>
      <c r="H71" s="19">
        <v>20</v>
      </c>
      <c r="I71" s="19">
        <v>15</v>
      </c>
      <c r="J71" s="19">
        <v>0</v>
      </c>
      <c r="K71" s="19" t="s">
        <v>20</v>
      </c>
    </row>
    <row r="72" spans="1:11">
      <c r="A72" s="19">
        <f t="shared" ca="1" si="2"/>
        <v>28</v>
      </c>
      <c r="B72" s="19" cm="1">
        <f t="array" aca="1" ref="B72" ca="1">INDEX([1]Data_DBD!$B:$B,$A72)</f>
        <v>22</v>
      </c>
      <c r="C72" s="19" cm="1">
        <f t="array" aca="1" ref="C72" ca="1">INDEX([1]Data_DBD!$E:$E,$A72)</f>
        <v>1</v>
      </c>
      <c r="D72" s="19" t="str" cm="1">
        <f t="array" aca="1" ref="D72" ca="1">INDEX([1]Data_DBD!$F:$F,$A72)</f>
        <v>Sedang</v>
      </c>
      <c r="E72" s="29"/>
      <c r="H72" s="19">
        <v>160</v>
      </c>
      <c r="I72" s="19">
        <v>16</v>
      </c>
      <c r="J72" s="19">
        <v>0</v>
      </c>
      <c r="K72" s="19" t="s">
        <v>97</v>
      </c>
    </row>
    <row r="73" spans="1:11">
      <c r="A73" s="19">
        <f t="shared" ca="1" si="2"/>
        <v>80</v>
      </c>
      <c r="B73" s="19" cm="1">
        <f t="array" aca="1" ref="B73" ca="1">INDEX([1]Data_DBD!$B:$B,$A73)</f>
        <v>27</v>
      </c>
      <c r="C73" s="19" cm="1">
        <f t="array" aca="1" ref="C73" ca="1">INDEX([1]Data_DBD!$E:$E,$A73)</f>
        <v>1</v>
      </c>
      <c r="D73" s="19" t="str" cm="1">
        <f t="array" aca="1" ref="D73" ca="1">INDEX([1]Data_DBD!$F:$F,$A73)</f>
        <v>Sedang</v>
      </c>
      <c r="E73" s="29"/>
      <c r="H73" s="19">
        <v>30</v>
      </c>
      <c r="I73" s="19">
        <v>3</v>
      </c>
      <c r="J73" s="19">
        <v>1</v>
      </c>
      <c r="K73" s="19" t="s">
        <v>7</v>
      </c>
    </row>
    <row r="74" spans="1:11">
      <c r="A74" s="19">
        <f t="shared" ca="1" si="2"/>
        <v>64</v>
      </c>
      <c r="B74" s="19" cm="1">
        <f t="array" aca="1" ref="B74" ca="1">INDEX([1]Data_DBD!$B:$B,$A74)</f>
        <v>35</v>
      </c>
      <c r="C74" s="19" cm="1">
        <f t="array" aca="1" ref="C74" ca="1">INDEX([1]Data_DBD!$E:$E,$A74)</f>
        <v>0</v>
      </c>
      <c r="D74" s="19" t="str" cm="1">
        <f t="array" aca="1" ref="D74" ca="1">INDEX([1]Data_DBD!$F:$F,$A74)</f>
        <v>Sedang</v>
      </c>
      <c r="E74" s="29"/>
      <c r="H74" s="19">
        <v>121</v>
      </c>
      <c r="I74" s="19">
        <v>82</v>
      </c>
      <c r="J74" s="19">
        <v>1</v>
      </c>
      <c r="K74" s="19" t="s">
        <v>97</v>
      </c>
    </row>
    <row r="75" spans="1:11">
      <c r="A75" s="19">
        <f t="shared" ca="1" si="2"/>
        <v>158</v>
      </c>
      <c r="B75" s="19" cm="1">
        <f t="array" aca="1" ref="B75" ca="1">INDEX([1]Data_DBD!$B:$B,$A75)</f>
        <v>5</v>
      </c>
      <c r="C75" s="19" cm="1">
        <f t="array" aca="1" ref="C75" ca="1">INDEX([1]Data_DBD!$E:$E,$A75)</f>
        <v>0</v>
      </c>
      <c r="D75" s="19" t="str" cm="1">
        <f t="array" aca="1" ref="D75" ca="1">INDEX([1]Data_DBD!$F:$F,$A75)</f>
        <v>Tinggi</v>
      </c>
      <c r="E75" s="29"/>
      <c r="H75" s="19">
        <v>113</v>
      </c>
      <c r="I75" s="19">
        <v>69</v>
      </c>
      <c r="J75" s="19">
        <v>1</v>
      </c>
      <c r="K75" s="19" t="s">
        <v>97</v>
      </c>
    </row>
    <row r="76" spans="1:11">
      <c r="A76" s="19">
        <f t="shared" ca="1" si="2"/>
        <v>21</v>
      </c>
      <c r="B76" s="19" cm="1">
        <f t="array" aca="1" ref="B76" ca="1">INDEX([1]Data_DBD!$B:$B,$A76)</f>
        <v>10</v>
      </c>
      <c r="C76" s="19" cm="1">
        <f t="array" aca="1" ref="C76" ca="1">INDEX([1]Data_DBD!$E:$E,$A76)</f>
        <v>1</v>
      </c>
      <c r="D76" s="19" t="str" cm="1">
        <f t="array" aca="1" ref="D76" ca="1">INDEX([1]Data_DBD!$F:$F,$A76)</f>
        <v>Sedang</v>
      </c>
      <c r="E76" s="29"/>
      <c r="H76" s="19">
        <v>157</v>
      </c>
      <c r="I76" s="19">
        <v>15</v>
      </c>
      <c r="J76" s="19">
        <v>1</v>
      </c>
      <c r="K76" s="19" t="s">
        <v>97</v>
      </c>
    </row>
    <row r="77" spans="1:11">
      <c r="A77" s="19">
        <f t="shared" ca="1" si="2"/>
        <v>122</v>
      </c>
      <c r="B77" s="19" cm="1">
        <f t="array" aca="1" ref="B77" ca="1">INDEX([1]Data_DBD!$B:$B,$A77)</f>
        <v>28</v>
      </c>
      <c r="C77" s="19" cm="1">
        <f t="array" aca="1" ref="C77" ca="1">INDEX([1]Data_DBD!$E:$E,$A77)</f>
        <v>1</v>
      </c>
      <c r="D77" s="19" t="str" cm="1">
        <f t="array" aca="1" ref="D77" ca="1">INDEX([1]Data_DBD!$F:$F,$A77)</f>
        <v>Tinggi</v>
      </c>
      <c r="E77" s="29"/>
      <c r="H77" s="19">
        <v>97</v>
      </c>
      <c r="I77" s="19">
        <v>16</v>
      </c>
      <c r="J77" s="19">
        <v>1</v>
      </c>
      <c r="K77" s="19" t="s">
        <v>97</v>
      </c>
    </row>
    <row r="78" spans="1:11">
      <c r="A78" s="19">
        <f t="shared" ca="1" si="2"/>
        <v>125</v>
      </c>
      <c r="B78" s="19" cm="1">
        <f t="array" aca="1" ref="B78" ca="1">INDEX([1]Data_DBD!$B:$B,$A78)</f>
        <v>39</v>
      </c>
      <c r="C78" s="19" cm="1">
        <f t="array" aca="1" ref="C78" ca="1">INDEX([1]Data_DBD!$E:$E,$A78)</f>
        <v>0</v>
      </c>
      <c r="D78" s="19" t="str" cm="1">
        <f t="array" aca="1" ref="D78" ca="1">INDEX([1]Data_DBD!$F:$F,$A78)</f>
        <v>Tinggi</v>
      </c>
      <c r="E78" s="29"/>
      <c r="H78" s="19">
        <v>164</v>
      </c>
      <c r="I78" s="19">
        <v>10</v>
      </c>
      <c r="J78" s="19">
        <v>0</v>
      </c>
      <c r="K78" s="19" t="s">
        <v>20</v>
      </c>
    </row>
    <row r="79" spans="1:11">
      <c r="A79" s="19">
        <f t="shared" ca="1" si="2"/>
        <v>16</v>
      </c>
      <c r="B79" s="19" cm="1">
        <f t="array" aca="1" ref="B79" ca="1">INDEX([1]Data_DBD!$B:$B,$A79)</f>
        <v>66</v>
      </c>
      <c r="C79" s="19" cm="1">
        <f t="array" aca="1" ref="C79" ca="1">INDEX([1]Data_DBD!$E:$E,$A79)</f>
        <v>1</v>
      </c>
      <c r="D79" s="19" t="str" cm="1">
        <f t="array" aca="1" ref="D79" ca="1">INDEX([1]Data_DBD!$F:$F,$A79)</f>
        <v>Rendah</v>
      </c>
      <c r="E79" s="29"/>
      <c r="H79" s="19">
        <v>36</v>
      </c>
      <c r="I79" s="19">
        <v>27</v>
      </c>
      <c r="J79" s="19">
        <v>1</v>
      </c>
      <c r="K79" s="19" t="s">
        <v>20</v>
      </c>
    </row>
    <row r="80" spans="1:11">
      <c r="A80" s="19">
        <f t="shared" ca="1" si="2"/>
        <v>83</v>
      </c>
      <c r="B80" s="19" cm="1">
        <f t="array" aca="1" ref="B80" ca="1">INDEX([1]Data_DBD!$B:$B,$A80)</f>
        <v>50</v>
      </c>
      <c r="C80" s="19" cm="1">
        <f t="array" aca="1" ref="C80" ca="1">INDEX([1]Data_DBD!$E:$E,$A80)</f>
        <v>0</v>
      </c>
      <c r="D80" s="19" t="str" cm="1">
        <f t="array" aca="1" ref="D80" ca="1">INDEX([1]Data_DBD!$F:$F,$A80)</f>
        <v>Sedang</v>
      </c>
      <c r="E80" s="29"/>
      <c r="H80" s="19">
        <v>7</v>
      </c>
      <c r="I80" s="19">
        <v>12</v>
      </c>
      <c r="J80" s="19">
        <v>1</v>
      </c>
      <c r="K80" s="19" t="s">
        <v>7</v>
      </c>
    </row>
    <row r="81" spans="1:11">
      <c r="A81" s="19">
        <f t="shared" ca="1" si="2"/>
        <v>99</v>
      </c>
      <c r="B81" s="19" cm="1">
        <f t="array" aca="1" ref="B81" ca="1">INDEX([1]Data_DBD!$B:$B,$A81)</f>
        <v>4</v>
      </c>
      <c r="C81" s="19" cm="1">
        <f t="array" aca="1" ref="C81" ca="1">INDEX([1]Data_DBD!$E:$E,$A81)</f>
        <v>1</v>
      </c>
      <c r="D81" s="19" t="str" cm="1">
        <f t="array" aca="1" ref="D81" ca="1">INDEX([1]Data_DBD!$F:$F,$A81)</f>
        <v>Tinggi</v>
      </c>
      <c r="E81" s="29"/>
      <c r="H81" s="19">
        <v>77</v>
      </c>
      <c r="I81" s="19">
        <v>16</v>
      </c>
      <c r="J81" s="19">
        <v>1</v>
      </c>
      <c r="K81" s="19" t="s">
        <v>7</v>
      </c>
    </row>
    <row r="82" spans="1:11">
      <c r="A82" s="19">
        <f t="shared" ca="1" si="2"/>
        <v>13</v>
      </c>
      <c r="B82" s="19" cm="1">
        <f t="array" aca="1" ref="B82" ca="1">INDEX([1]Data_DBD!$B:$B,$A82)</f>
        <v>47</v>
      </c>
      <c r="C82" s="19" cm="1">
        <f t="array" aca="1" ref="C82" ca="1">INDEX([1]Data_DBD!$E:$E,$A82)</f>
        <v>0</v>
      </c>
      <c r="D82" s="19" t="str" cm="1">
        <f t="array" aca="1" ref="D82" ca="1">INDEX([1]Data_DBD!$F:$F,$A82)</f>
        <v>Sedang</v>
      </c>
      <c r="E82" s="29"/>
      <c r="H82" s="19">
        <v>59</v>
      </c>
      <c r="I82" s="19">
        <v>28</v>
      </c>
      <c r="J82" s="19">
        <v>0</v>
      </c>
      <c r="K82" s="19" t="s">
        <v>7</v>
      </c>
    </row>
    <row r="83" spans="1:11">
      <c r="A83" s="19">
        <f t="shared" ca="1" si="2"/>
        <v>121</v>
      </c>
      <c r="B83" s="19" cm="1">
        <f t="array" aca="1" ref="B83" ca="1">INDEX([1]Data_DBD!$B:$B,$A83)</f>
        <v>82</v>
      </c>
      <c r="C83" s="19" cm="1">
        <f t="array" aca="1" ref="C83" ca="1">INDEX([1]Data_DBD!$E:$E,$A83)</f>
        <v>1</v>
      </c>
      <c r="D83" s="19" t="str" cm="1">
        <f t="array" aca="1" ref="D83" ca="1">INDEX([1]Data_DBD!$F:$F,$A83)</f>
        <v>Tinggi</v>
      </c>
      <c r="E83" s="29"/>
      <c r="H83" s="19">
        <v>48</v>
      </c>
      <c r="I83" s="19">
        <v>50</v>
      </c>
      <c r="J83" s="19">
        <v>1</v>
      </c>
      <c r="K83" s="19" t="s">
        <v>7</v>
      </c>
    </row>
    <row r="84" spans="1:11">
      <c r="A84" s="19">
        <f t="shared" ca="1" si="2"/>
        <v>80</v>
      </c>
      <c r="B84" s="19" cm="1">
        <f t="array" aca="1" ref="B84" ca="1">INDEX([1]Data_DBD!$B:$B,$A84)</f>
        <v>27</v>
      </c>
      <c r="C84" s="19" cm="1">
        <f t="array" aca="1" ref="C84" ca="1">INDEX([1]Data_DBD!$E:$E,$A84)</f>
        <v>1</v>
      </c>
      <c r="D84" s="19" t="str" cm="1">
        <f t="array" aca="1" ref="D84" ca="1">INDEX([1]Data_DBD!$F:$F,$A84)</f>
        <v>Sedang</v>
      </c>
      <c r="E84" s="29"/>
      <c r="H84" s="19">
        <v>42</v>
      </c>
      <c r="I84" s="19">
        <v>21</v>
      </c>
      <c r="J84" s="19">
        <v>1</v>
      </c>
      <c r="K84" s="19" t="s">
        <v>7</v>
      </c>
    </row>
    <row r="85" spans="1:11">
      <c r="A85" s="19">
        <f t="shared" ca="1" si="2"/>
        <v>30</v>
      </c>
      <c r="B85" s="19" cm="1">
        <f t="array" aca="1" ref="B85" ca="1">INDEX([1]Data_DBD!$B:$B,$A85)</f>
        <v>3</v>
      </c>
      <c r="C85" s="19" cm="1">
        <f t="array" aca="1" ref="C85" ca="1">INDEX([1]Data_DBD!$E:$E,$A85)</f>
        <v>1</v>
      </c>
      <c r="D85" s="19" t="str" cm="1">
        <f t="array" aca="1" ref="D85" ca="1">INDEX([1]Data_DBD!$F:$F,$A85)</f>
        <v>Sedang</v>
      </c>
      <c r="E85" s="29"/>
      <c r="H85" s="19">
        <v>32</v>
      </c>
      <c r="I85" s="19">
        <v>54</v>
      </c>
      <c r="J85" s="19">
        <v>0</v>
      </c>
      <c r="K85" s="19" t="s">
        <v>7</v>
      </c>
    </row>
    <row r="86" spans="1:11">
      <c r="A86" s="19">
        <f t="shared" ca="1" si="2"/>
        <v>89</v>
      </c>
      <c r="B86" s="19" cm="1">
        <f t="array" aca="1" ref="B86" ca="1">INDEX([1]Data_DBD!$B:$B,$A86)</f>
        <v>32</v>
      </c>
      <c r="C86" s="19" cm="1">
        <f t="array" aca="1" ref="C86" ca="1">INDEX([1]Data_DBD!$E:$E,$A86)</f>
        <v>0</v>
      </c>
      <c r="D86" s="19" t="str" cm="1">
        <f t="array" aca="1" ref="D86" ca="1">INDEX([1]Data_DBD!$F:$F,$A86)</f>
        <v>Sedang</v>
      </c>
      <c r="E86" s="29"/>
      <c r="H86" s="19">
        <v>16</v>
      </c>
      <c r="I86" s="19">
        <v>66</v>
      </c>
      <c r="J86" s="19">
        <v>1</v>
      </c>
      <c r="K86" s="19" t="s">
        <v>20</v>
      </c>
    </row>
    <row r="87" spans="1:11">
      <c r="A87" s="19">
        <f t="shared" ca="1" si="2"/>
        <v>50</v>
      </c>
      <c r="B87" s="19" cm="1">
        <f t="array" aca="1" ref="B87" ca="1">INDEX([1]Data_DBD!$B:$B,$A87)</f>
        <v>19</v>
      </c>
      <c r="C87" s="19" cm="1">
        <f t="array" aca="1" ref="C87" ca="1">INDEX([1]Data_DBD!$E:$E,$A87)</f>
        <v>0</v>
      </c>
      <c r="D87" s="19" t="str" cm="1">
        <f t="array" aca="1" ref="D87" ca="1">INDEX([1]Data_DBD!$F:$F,$A87)</f>
        <v>Sedang</v>
      </c>
      <c r="E87" s="29"/>
      <c r="H87" s="19">
        <v>120</v>
      </c>
      <c r="I87" s="19">
        <v>26</v>
      </c>
      <c r="J87" s="19">
        <v>1</v>
      </c>
      <c r="K87" s="19" t="s">
        <v>97</v>
      </c>
    </row>
    <row r="88" spans="1:11">
      <c r="A88" s="19">
        <f t="shared" ca="1" si="2"/>
        <v>109</v>
      </c>
      <c r="B88" s="19" cm="1">
        <f t="array" aca="1" ref="B88" ca="1">INDEX([1]Data_DBD!$B:$B,$A88)</f>
        <v>40</v>
      </c>
      <c r="C88" s="19" cm="1">
        <f t="array" aca="1" ref="C88" ca="1">INDEX([1]Data_DBD!$E:$E,$A88)</f>
        <v>1</v>
      </c>
      <c r="D88" s="19" t="str" cm="1">
        <f t="array" aca="1" ref="D88" ca="1">INDEX([1]Data_DBD!$F:$F,$A88)</f>
        <v>Tinggi</v>
      </c>
      <c r="E88" s="29"/>
      <c r="H88" s="19">
        <v>64</v>
      </c>
      <c r="I88" s="19">
        <v>35</v>
      </c>
      <c r="J88" s="19">
        <v>0</v>
      </c>
      <c r="K88" s="19" t="s">
        <v>7</v>
      </c>
    </row>
    <row r="89" spans="1:11">
      <c r="A89" s="19">
        <f t="shared" ca="1" si="2"/>
        <v>109</v>
      </c>
      <c r="B89" s="19" cm="1">
        <f t="array" aca="1" ref="B89" ca="1">INDEX([1]Data_DBD!$B:$B,$A89)</f>
        <v>40</v>
      </c>
      <c r="C89" s="19" cm="1">
        <f t="array" aca="1" ref="C89" ca="1">INDEX([1]Data_DBD!$E:$E,$A89)</f>
        <v>1</v>
      </c>
      <c r="D89" s="19" t="str" cm="1">
        <f t="array" aca="1" ref="D89" ca="1">INDEX([1]Data_DBD!$F:$F,$A89)</f>
        <v>Tinggi</v>
      </c>
      <c r="E89" s="29"/>
      <c r="H89" s="19">
        <v>71</v>
      </c>
      <c r="I89" s="19">
        <v>84</v>
      </c>
      <c r="J89" s="19">
        <v>0</v>
      </c>
      <c r="K89" s="19" t="s">
        <v>7</v>
      </c>
    </row>
    <row r="90" spans="1:11">
      <c r="A90" s="19">
        <f t="shared" ca="1" si="2"/>
        <v>45</v>
      </c>
      <c r="B90" s="19" cm="1">
        <f t="array" aca="1" ref="B90" ca="1">INDEX([1]Data_DBD!$B:$B,$A90)</f>
        <v>75</v>
      </c>
      <c r="C90" s="19" cm="1">
        <f t="array" aca="1" ref="C90" ca="1">INDEX([1]Data_DBD!$E:$E,$A90)</f>
        <v>1</v>
      </c>
      <c r="D90" s="19" t="str" cm="1">
        <f t="array" aca="1" ref="D90" ca="1">INDEX([1]Data_DBD!$F:$F,$A90)</f>
        <v>Sedang</v>
      </c>
      <c r="E90" s="29"/>
      <c r="H90" s="19">
        <v>137</v>
      </c>
      <c r="I90" s="19">
        <v>3</v>
      </c>
      <c r="J90" s="19">
        <v>1</v>
      </c>
      <c r="K90" s="19" t="s">
        <v>97</v>
      </c>
    </row>
    <row r="91" spans="1:11">
      <c r="A91" s="19">
        <f t="shared" ca="1" si="2"/>
        <v>108</v>
      </c>
      <c r="B91" s="19" cm="1">
        <f t="array" aca="1" ref="B91" ca="1">INDEX([1]Data_DBD!$B:$B,$A91)</f>
        <v>69</v>
      </c>
      <c r="C91" s="19" cm="1">
        <f t="array" aca="1" ref="C91" ca="1">INDEX([1]Data_DBD!$E:$E,$A91)</f>
        <v>1</v>
      </c>
      <c r="D91" s="19" t="str" cm="1">
        <f t="array" aca="1" ref="D91" ca="1">INDEX([1]Data_DBD!$F:$F,$A91)</f>
        <v>Tinggi</v>
      </c>
      <c r="E91" s="29"/>
      <c r="H91" s="19">
        <v>57</v>
      </c>
      <c r="I91" s="19">
        <v>2</v>
      </c>
      <c r="J91" s="19">
        <v>1</v>
      </c>
      <c r="K91" s="19" t="s">
        <v>7</v>
      </c>
    </row>
    <row r="92" spans="1:11">
      <c r="A92" s="19">
        <f t="shared" ca="1" si="2"/>
        <v>67</v>
      </c>
      <c r="B92" s="19" cm="1">
        <f t="array" aca="1" ref="B92" ca="1">INDEX([1]Data_DBD!$B:$B,$A92)</f>
        <v>21</v>
      </c>
      <c r="C92" s="19" cm="1">
        <f t="array" aca="1" ref="C92" ca="1">INDEX([1]Data_DBD!$E:$E,$A92)</f>
        <v>1</v>
      </c>
      <c r="D92" s="19" t="str" cm="1">
        <f t="array" aca="1" ref="D92" ca="1">INDEX([1]Data_DBD!$F:$F,$A92)</f>
        <v>Sedang</v>
      </c>
      <c r="E92" s="29"/>
      <c r="H92" s="19">
        <v>132</v>
      </c>
      <c r="I92" s="19">
        <v>10</v>
      </c>
      <c r="J92" s="19">
        <v>1</v>
      </c>
      <c r="K92" s="19" t="s">
        <v>97</v>
      </c>
    </row>
    <row r="93" spans="1:11">
      <c r="A93" s="19">
        <f t="shared" ca="1" si="2"/>
        <v>65</v>
      </c>
      <c r="B93" s="19" cm="1">
        <f t="array" aca="1" ref="B93" ca="1">INDEX([1]Data_DBD!$B:$B,$A93)</f>
        <v>49</v>
      </c>
      <c r="C93" s="19" cm="1">
        <f t="array" aca="1" ref="C93" ca="1">INDEX([1]Data_DBD!$E:$E,$A93)</f>
        <v>0</v>
      </c>
      <c r="D93" s="19" t="str" cm="1">
        <f t="array" aca="1" ref="D93" ca="1">INDEX([1]Data_DBD!$F:$F,$A93)</f>
        <v>Sedang</v>
      </c>
      <c r="E93" s="29"/>
      <c r="H93" s="19">
        <v>106</v>
      </c>
      <c r="I93" s="19">
        <v>23</v>
      </c>
      <c r="J93" s="19">
        <v>1</v>
      </c>
      <c r="K93" s="19" t="s">
        <v>97</v>
      </c>
    </row>
    <row r="94" spans="1:11">
      <c r="A94" s="19">
        <f t="shared" ca="1" si="2"/>
        <v>23</v>
      </c>
      <c r="B94" s="19" cm="1">
        <f t="array" aca="1" ref="B94" ca="1">INDEX([1]Data_DBD!$B:$B,$A94)</f>
        <v>28</v>
      </c>
      <c r="C94" s="19" cm="1">
        <f t="array" aca="1" ref="C94" ca="1">INDEX([1]Data_DBD!$E:$E,$A94)</f>
        <v>1</v>
      </c>
      <c r="D94" s="19" t="str" cm="1">
        <f t="array" aca="1" ref="D94" ca="1">INDEX([1]Data_DBD!$F:$F,$A94)</f>
        <v>Sedang</v>
      </c>
      <c r="E94" s="29"/>
      <c r="H94" s="19">
        <v>106</v>
      </c>
      <c r="I94" s="19">
        <v>23</v>
      </c>
      <c r="J94" s="19">
        <v>1</v>
      </c>
      <c r="K94" s="19" t="s">
        <v>97</v>
      </c>
    </row>
    <row r="95" spans="1:11">
      <c r="A95" s="19">
        <f t="shared" ca="1" si="2"/>
        <v>99</v>
      </c>
      <c r="B95" s="19" cm="1">
        <f t="array" aca="1" ref="B95" ca="1">INDEX([1]Data_DBD!$B:$B,$A95)</f>
        <v>4</v>
      </c>
      <c r="C95" s="19" cm="1">
        <f t="array" aca="1" ref="C95" ca="1">INDEX([1]Data_DBD!$E:$E,$A95)</f>
        <v>1</v>
      </c>
      <c r="D95" s="19" t="str" cm="1">
        <f t="array" aca="1" ref="D95" ca="1">INDEX([1]Data_DBD!$F:$F,$A95)</f>
        <v>Tinggi</v>
      </c>
      <c r="E95" s="29"/>
      <c r="H95" s="19">
        <v>111</v>
      </c>
      <c r="I95" s="19">
        <v>25</v>
      </c>
      <c r="J95" s="19">
        <v>0</v>
      </c>
      <c r="K95" s="19" t="s">
        <v>97</v>
      </c>
    </row>
    <row r="96" spans="1:11">
      <c r="A96" s="19">
        <f t="shared" ca="1" si="2"/>
        <v>65</v>
      </c>
      <c r="B96" s="19" cm="1">
        <f t="array" aca="1" ref="B96" ca="1">INDEX([1]Data_DBD!$B:$B,$A96)</f>
        <v>49</v>
      </c>
      <c r="C96" s="19" cm="1">
        <f t="array" aca="1" ref="C96" ca="1">INDEX([1]Data_DBD!$E:$E,$A96)</f>
        <v>0</v>
      </c>
      <c r="D96" s="19" t="str" cm="1">
        <f t="array" aca="1" ref="D96" ca="1">INDEX([1]Data_DBD!$F:$F,$A96)</f>
        <v>Sedang</v>
      </c>
      <c r="E96" s="29"/>
      <c r="H96" s="19">
        <v>22</v>
      </c>
      <c r="I96" s="19">
        <v>6</v>
      </c>
      <c r="J96" s="19">
        <v>0</v>
      </c>
      <c r="K96" s="19" t="s">
        <v>7</v>
      </c>
    </row>
    <row r="97" spans="1:11">
      <c r="A97" s="19">
        <f t="shared" ca="1" si="2"/>
        <v>72</v>
      </c>
      <c r="B97" s="19" cm="1">
        <f t="array" aca="1" ref="B97" ca="1">INDEX([1]Data_DBD!$B:$B,$A97)</f>
        <v>3</v>
      </c>
      <c r="C97" s="19" cm="1">
        <f t="array" aca="1" ref="C97" ca="1">INDEX([1]Data_DBD!$E:$E,$A97)</f>
        <v>1</v>
      </c>
      <c r="D97" s="19" t="str" cm="1">
        <f t="array" aca="1" ref="D97" ca="1">INDEX([1]Data_DBD!$F:$F,$A97)</f>
        <v>Sedang</v>
      </c>
      <c r="E97" s="29"/>
      <c r="H97" s="19">
        <v>63</v>
      </c>
      <c r="I97" s="19">
        <v>25</v>
      </c>
      <c r="J97" s="19">
        <v>0</v>
      </c>
      <c r="K97" s="19" t="s">
        <v>7</v>
      </c>
    </row>
    <row r="98" spans="1:11">
      <c r="A98" s="19">
        <f t="shared" ref="A98:A129" ca="1" si="3">RANDBETWEEN(2,164)</f>
        <v>73</v>
      </c>
      <c r="B98" s="19" cm="1">
        <f t="array" aca="1" ref="B98" ca="1">INDEX([1]Data_DBD!$B:$B,$A98)</f>
        <v>15</v>
      </c>
      <c r="C98" s="19" cm="1">
        <f t="array" aca="1" ref="C98" ca="1">INDEX([1]Data_DBD!$E:$E,$A98)</f>
        <v>1</v>
      </c>
      <c r="D98" s="19" t="str" cm="1">
        <f t="array" aca="1" ref="D98" ca="1">INDEX([1]Data_DBD!$F:$F,$A98)</f>
        <v>Sedang</v>
      </c>
      <c r="E98" s="29"/>
      <c r="H98" s="19">
        <v>164</v>
      </c>
      <c r="I98" s="19">
        <v>10</v>
      </c>
      <c r="J98" s="19">
        <v>0</v>
      </c>
      <c r="K98" s="19" t="s">
        <v>20</v>
      </c>
    </row>
    <row r="99" spans="1:11">
      <c r="A99" s="19">
        <f t="shared" ca="1" si="3"/>
        <v>49</v>
      </c>
      <c r="B99" s="19" cm="1">
        <f t="array" aca="1" ref="B99" ca="1">INDEX([1]Data_DBD!$B:$B,$A99)</f>
        <v>64</v>
      </c>
      <c r="C99" s="19" cm="1">
        <f t="array" aca="1" ref="C99" ca="1">INDEX([1]Data_DBD!$E:$E,$A99)</f>
        <v>0</v>
      </c>
      <c r="D99" s="19" t="str" cm="1">
        <f t="array" aca="1" ref="D99" ca="1">INDEX([1]Data_DBD!$F:$F,$A99)</f>
        <v>Sedang</v>
      </c>
      <c r="E99" s="29"/>
      <c r="H99" s="19">
        <v>2</v>
      </c>
      <c r="I99" s="19">
        <v>34</v>
      </c>
      <c r="J99" s="19">
        <v>0</v>
      </c>
      <c r="K99" s="19" t="s">
        <v>7</v>
      </c>
    </row>
    <row r="100" spans="1:11">
      <c r="A100" s="19">
        <f t="shared" ca="1" si="3"/>
        <v>37</v>
      </c>
      <c r="B100" s="19" cm="1">
        <f t="array" aca="1" ref="B100" ca="1">INDEX([1]Data_DBD!$B:$B,$A100)</f>
        <v>28</v>
      </c>
      <c r="C100" s="19" cm="1">
        <f t="array" aca="1" ref="C100" ca="1">INDEX([1]Data_DBD!$E:$E,$A100)</f>
        <v>1</v>
      </c>
      <c r="D100" s="19" t="str" cm="1">
        <f t="array" aca="1" ref="D100" ca="1">INDEX([1]Data_DBD!$F:$F,$A100)</f>
        <v>Rendah</v>
      </c>
      <c r="E100" s="29"/>
      <c r="H100" s="19">
        <v>18</v>
      </c>
      <c r="I100" s="19">
        <v>49</v>
      </c>
      <c r="J100" s="19">
        <v>1</v>
      </c>
      <c r="K100" s="19" t="s">
        <v>20</v>
      </c>
    </row>
    <row r="101" spans="1:11">
      <c r="A101" s="19">
        <f t="shared" ca="1" si="3"/>
        <v>128</v>
      </c>
      <c r="B101" s="19" cm="1">
        <f t="array" aca="1" ref="B101" ca="1">INDEX([1]Data_DBD!$B:$B,$A101)</f>
        <v>38</v>
      </c>
      <c r="C101" s="19" cm="1">
        <f t="array" aca="1" ref="C101" ca="1">INDEX([1]Data_DBD!$E:$E,$A101)</f>
        <v>0</v>
      </c>
      <c r="D101" s="19" t="str" cm="1">
        <f t="array" aca="1" ref="D101" ca="1">INDEX([1]Data_DBD!$F:$F,$A101)</f>
        <v>Tinggi</v>
      </c>
      <c r="E101" s="29"/>
      <c r="H101" s="19">
        <v>43</v>
      </c>
      <c r="I101" s="19">
        <v>15</v>
      </c>
      <c r="J101" s="19">
        <v>0</v>
      </c>
      <c r="K101" s="19" t="s">
        <v>7</v>
      </c>
    </row>
    <row r="102" spans="1:11">
      <c r="A102" s="19">
        <f t="shared" ca="1" si="3"/>
        <v>99</v>
      </c>
      <c r="B102" s="19" cm="1">
        <f t="array" aca="1" ref="B102" ca="1">INDEX([1]Data_DBD!$B:$B,$A102)</f>
        <v>4</v>
      </c>
      <c r="C102" s="19" cm="1">
        <f t="array" aca="1" ref="C102" ca="1">INDEX([1]Data_DBD!$E:$E,$A102)</f>
        <v>1</v>
      </c>
      <c r="D102" s="19" t="str" cm="1">
        <f t="array" aca="1" ref="D102" ca="1">INDEX([1]Data_DBD!$F:$F,$A102)</f>
        <v>Tinggi</v>
      </c>
      <c r="E102" s="29"/>
      <c r="H102" s="19">
        <v>147</v>
      </c>
      <c r="I102" s="19">
        <v>66</v>
      </c>
      <c r="J102" s="19">
        <v>1</v>
      </c>
      <c r="K102" s="19" t="s">
        <v>97</v>
      </c>
    </row>
    <row r="103" spans="1:11">
      <c r="A103" s="19">
        <f t="shared" ca="1" si="3"/>
        <v>145</v>
      </c>
      <c r="B103" s="19" cm="1">
        <f t="array" aca="1" ref="B103" ca="1">INDEX([1]Data_DBD!$B:$B,$A103)</f>
        <v>28</v>
      </c>
      <c r="C103" s="19" cm="1">
        <f t="array" aca="1" ref="C103" ca="1">INDEX([1]Data_DBD!$E:$E,$A103)</f>
        <v>1</v>
      </c>
      <c r="D103" s="19" t="str" cm="1">
        <f t="array" aca="1" ref="D103" ca="1">INDEX([1]Data_DBD!$F:$F,$A103)</f>
        <v>Tinggi</v>
      </c>
      <c r="E103" s="29"/>
      <c r="H103" s="19">
        <v>143</v>
      </c>
      <c r="I103" s="19">
        <v>20</v>
      </c>
      <c r="J103" s="19">
        <v>1</v>
      </c>
      <c r="K103" s="19" t="s">
        <v>97</v>
      </c>
    </row>
    <row r="104" spans="1:11">
      <c r="A104" s="19">
        <f t="shared" ca="1" si="3"/>
        <v>160</v>
      </c>
      <c r="B104" s="19" cm="1">
        <f t="array" aca="1" ref="B104" ca="1">INDEX([1]Data_DBD!$B:$B,$A104)</f>
        <v>16</v>
      </c>
      <c r="C104" s="19" cm="1">
        <f t="array" aca="1" ref="C104" ca="1">INDEX([1]Data_DBD!$E:$E,$A104)</f>
        <v>0</v>
      </c>
      <c r="D104" s="19" t="str" cm="1">
        <f t="array" aca="1" ref="D104" ca="1">INDEX([1]Data_DBD!$F:$F,$A104)</f>
        <v>Tinggi</v>
      </c>
      <c r="E104" s="29"/>
      <c r="H104" s="19">
        <v>142</v>
      </c>
      <c r="I104" s="19">
        <v>39</v>
      </c>
      <c r="J104" s="19">
        <v>1</v>
      </c>
      <c r="K104" s="19" t="s">
        <v>97</v>
      </c>
    </row>
    <row r="105" spans="1:11">
      <c r="A105" s="19">
        <f t="shared" ca="1" si="3"/>
        <v>46</v>
      </c>
      <c r="B105" s="19" cm="1">
        <f t="array" aca="1" ref="B105" ca="1">INDEX([1]Data_DBD!$B:$B,$A105)</f>
        <v>62</v>
      </c>
      <c r="C105" s="19" cm="1">
        <f t="array" aca="1" ref="C105" ca="1">INDEX([1]Data_DBD!$E:$E,$A105)</f>
        <v>0</v>
      </c>
      <c r="D105" s="19" t="str" cm="1">
        <f t="array" aca="1" ref="D105" ca="1">INDEX([1]Data_DBD!$F:$F,$A105)</f>
        <v>Sedang</v>
      </c>
      <c r="E105" s="29"/>
      <c r="H105" s="19">
        <v>63</v>
      </c>
      <c r="I105" s="19">
        <v>25</v>
      </c>
      <c r="J105" s="19">
        <v>0</v>
      </c>
      <c r="K105" s="19" t="s">
        <v>7</v>
      </c>
    </row>
    <row r="106" spans="1:11">
      <c r="A106" s="19">
        <f t="shared" ca="1" si="3"/>
        <v>151</v>
      </c>
      <c r="B106" s="19" cm="1">
        <f t="array" aca="1" ref="B106" ca="1">INDEX([1]Data_DBD!$B:$B,$A106)</f>
        <v>24</v>
      </c>
      <c r="C106" s="19" cm="1">
        <f t="array" aca="1" ref="C106" ca="1">INDEX([1]Data_DBD!$E:$E,$A106)</f>
        <v>0</v>
      </c>
      <c r="D106" s="19" t="str" cm="1">
        <f t="array" aca="1" ref="D106" ca="1">INDEX([1]Data_DBD!$F:$F,$A106)</f>
        <v>Tinggi</v>
      </c>
      <c r="E106" s="29"/>
      <c r="H106" s="19">
        <v>138</v>
      </c>
      <c r="I106" s="19">
        <v>13</v>
      </c>
      <c r="J106" s="19">
        <v>1</v>
      </c>
      <c r="K106" s="19" t="s">
        <v>97</v>
      </c>
    </row>
    <row r="107" spans="1:11">
      <c r="A107" s="19">
        <f t="shared" ca="1" si="3"/>
        <v>126</v>
      </c>
      <c r="B107" s="19" cm="1">
        <f t="array" aca="1" ref="B107" ca="1">INDEX([1]Data_DBD!$B:$B,$A107)</f>
        <v>51</v>
      </c>
      <c r="C107" s="19" cm="1">
        <f t="array" aca="1" ref="C107" ca="1">INDEX([1]Data_DBD!$E:$E,$A107)</f>
        <v>1</v>
      </c>
      <c r="D107" s="19" t="str" cm="1">
        <f t="array" aca="1" ref="D107" ca="1">INDEX([1]Data_DBD!$F:$F,$A107)</f>
        <v>Tinggi</v>
      </c>
      <c r="E107" s="29"/>
      <c r="H107" s="19">
        <v>60</v>
      </c>
      <c r="I107" s="19">
        <v>68</v>
      </c>
      <c r="J107" s="19">
        <v>0</v>
      </c>
      <c r="K107" s="19" t="s">
        <v>7</v>
      </c>
    </row>
    <row r="108" spans="1:11">
      <c r="A108" s="19">
        <f t="shared" ca="1" si="3"/>
        <v>111</v>
      </c>
      <c r="B108" s="19" cm="1">
        <f t="array" aca="1" ref="B108" ca="1">INDEX([1]Data_DBD!$B:$B,$A108)</f>
        <v>25</v>
      </c>
      <c r="C108" s="19" cm="1">
        <f t="array" aca="1" ref="C108" ca="1">INDEX([1]Data_DBD!$E:$E,$A108)</f>
        <v>0</v>
      </c>
      <c r="D108" s="19" t="str" cm="1">
        <f t="array" aca="1" ref="D108" ca="1">INDEX([1]Data_DBD!$F:$F,$A108)</f>
        <v>Tinggi</v>
      </c>
      <c r="E108" s="29"/>
      <c r="H108" s="19">
        <v>10</v>
      </c>
      <c r="I108" s="19">
        <v>18</v>
      </c>
      <c r="J108" s="19">
        <v>0</v>
      </c>
      <c r="K108" s="19" t="s">
        <v>7</v>
      </c>
    </row>
    <row r="109" spans="1:11">
      <c r="A109" s="19">
        <f t="shared" ca="1" si="3"/>
        <v>36</v>
      </c>
      <c r="B109" s="19" cm="1">
        <f t="array" aca="1" ref="B109" ca="1">INDEX([1]Data_DBD!$B:$B,$A109)</f>
        <v>27</v>
      </c>
      <c r="C109" s="19" cm="1">
        <f t="array" aca="1" ref="C109" ca="1">INDEX([1]Data_DBD!$E:$E,$A109)</f>
        <v>1</v>
      </c>
      <c r="D109" s="19" t="str" cm="1">
        <f t="array" aca="1" ref="D109" ca="1">INDEX([1]Data_DBD!$F:$F,$A109)</f>
        <v>Rendah</v>
      </c>
      <c r="E109" s="29"/>
      <c r="H109" s="19">
        <v>142</v>
      </c>
      <c r="I109" s="19">
        <v>39</v>
      </c>
      <c r="J109" s="19">
        <v>1</v>
      </c>
      <c r="K109" s="19" t="s">
        <v>97</v>
      </c>
    </row>
    <row r="110" spans="1:11">
      <c r="A110" s="19">
        <f t="shared" ca="1" si="3"/>
        <v>66</v>
      </c>
      <c r="B110" s="19" cm="1">
        <f t="array" aca="1" ref="B110" ca="1">INDEX([1]Data_DBD!$B:$B,$A110)</f>
        <v>21</v>
      </c>
      <c r="C110" s="19" cm="1">
        <f t="array" aca="1" ref="C110" ca="1">INDEX([1]Data_DBD!$E:$E,$A110)</f>
        <v>1</v>
      </c>
      <c r="D110" s="19" t="str" cm="1">
        <f t="array" aca="1" ref="D110" ca="1">INDEX([1]Data_DBD!$F:$F,$A110)</f>
        <v>Sedang</v>
      </c>
      <c r="E110" s="29"/>
      <c r="H110" s="19">
        <v>7</v>
      </c>
      <c r="I110" s="19">
        <v>12</v>
      </c>
      <c r="J110" s="19">
        <v>1</v>
      </c>
      <c r="K110" s="19" t="s">
        <v>7</v>
      </c>
    </row>
    <row r="111" spans="1:11">
      <c r="A111" s="19">
        <f t="shared" ca="1" si="3"/>
        <v>128</v>
      </c>
      <c r="B111" s="19" cm="1">
        <f t="array" aca="1" ref="B111" ca="1">INDEX([1]Data_DBD!$B:$B,$A111)</f>
        <v>38</v>
      </c>
      <c r="C111" s="19" cm="1">
        <f t="array" aca="1" ref="C111" ca="1">INDEX([1]Data_DBD!$E:$E,$A111)</f>
        <v>0</v>
      </c>
      <c r="D111" s="19" t="str" cm="1">
        <f t="array" aca="1" ref="D111" ca="1">INDEX([1]Data_DBD!$F:$F,$A111)</f>
        <v>Tinggi</v>
      </c>
      <c r="E111" s="29"/>
      <c r="H111" s="19">
        <v>137</v>
      </c>
      <c r="I111" s="19">
        <v>3</v>
      </c>
      <c r="J111" s="19">
        <v>1</v>
      </c>
      <c r="K111" s="19" t="s">
        <v>97</v>
      </c>
    </row>
    <row r="112" spans="1:11">
      <c r="A112" s="19">
        <f t="shared" ca="1" si="3"/>
        <v>28</v>
      </c>
      <c r="B112" s="19" cm="1">
        <f t="array" aca="1" ref="B112" ca="1">INDEX([1]Data_DBD!$B:$B,$A112)</f>
        <v>22</v>
      </c>
      <c r="C112" s="19" cm="1">
        <f t="array" aca="1" ref="C112" ca="1">INDEX([1]Data_DBD!$E:$E,$A112)</f>
        <v>1</v>
      </c>
      <c r="D112" s="19" t="str" cm="1">
        <f t="array" aca="1" ref="D112" ca="1">INDEX([1]Data_DBD!$F:$F,$A112)</f>
        <v>Sedang</v>
      </c>
      <c r="E112" s="29"/>
      <c r="H112" s="19">
        <v>128</v>
      </c>
      <c r="I112" s="19">
        <v>38</v>
      </c>
      <c r="J112" s="19">
        <v>0</v>
      </c>
      <c r="K112" s="19" t="s">
        <v>97</v>
      </c>
    </row>
    <row r="113" spans="1:11">
      <c r="A113" s="19">
        <f t="shared" ca="1" si="3"/>
        <v>120</v>
      </c>
      <c r="B113" s="19" cm="1">
        <f t="array" aca="1" ref="B113" ca="1">INDEX([1]Data_DBD!$B:$B,$A113)</f>
        <v>26</v>
      </c>
      <c r="C113" s="19" cm="1">
        <f t="array" aca="1" ref="C113" ca="1">INDEX([1]Data_DBD!$E:$E,$A113)</f>
        <v>1</v>
      </c>
      <c r="D113" s="19" t="str" cm="1">
        <f t="array" aca="1" ref="D113" ca="1">INDEX([1]Data_DBD!$F:$F,$A113)</f>
        <v>Tinggi</v>
      </c>
      <c r="E113" s="29"/>
      <c r="H113" s="19">
        <v>130</v>
      </c>
      <c r="I113" s="19">
        <v>12</v>
      </c>
      <c r="J113" s="19">
        <v>0</v>
      </c>
      <c r="K113" s="19" t="s">
        <v>97</v>
      </c>
    </row>
    <row r="114" spans="1:11">
      <c r="A114" s="19">
        <f t="shared" ca="1" si="3"/>
        <v>35</v>
      </c>
      <c r="B114" s="19" cm="1">
        <f t="array" aca="1" ref="B114" ca="1">INDEX([1]Data_DBD!$B:$B,$A114)</f>
        <v>40</v>
      </c>
      <c r="C114" s="19" cm="1">
        <f t="array" aca="1" ref="C114" ca="1">INDEX([1]Data_DBD!$E:$E,$A114)</f>
        <v>1</v>
      </c>
      <c r="D114" s="19" t="str" cm="1">
        <f t="array" aca="1" ref="D114" ca="1">INDEX([1]Data_DBD!$F:$F,$A114)</f>
        <v>Rendah</v>
      </c>
      <c r="E114" s="29"/>
      <c r="H114" s="19">
        <v>146</v>
      </c>
      <c r="I114" s="19">
        <v>34</v>
      </c>
      <c r="J114" s="19">
        <v>1</v>
      </c>
      <c r="K114" s="19" t="s">
        <v>97</v>
      </c>
    </row>
    <row r="115" spans="1:11">
      <c r="A115" s="19">
        <f t="shared" ca="1" si="3"/>
        <v>72</v>
      </c>
      <c r="B115" s="19" cm="1">
        <f t="array" aca="1" ref="B115" ca="1">INDEX([1]Data_DBD!$B:$B,$A115)</f>
        <v>3</v>
      </c>
      <c r="C115" s="19" cm="1">
        <f t="array" aca="1" ref="C115" ca="1">INDEX([1]Data_DBD!$E:$E,$A115)</f>
        <v>1</v>
      </c>
      <c r="D115" s="19" t="str" cm="1">
        <f t="array" aca="1" ref="D115" ca="1">INDEX([1]Data_DBD!$F:$F,$A115)</f>
        <v>Sedang</v>
      </c>
      <c r="E115" s="29"/>
      <c r="H115" s="19">
        <v>29</v>
      </c>
      <c r="I115" s="19">
        <v>19</v>
      </c>
      <c r="J115" s="19">
        <v>1</v>
      </c>
      <c r="K115" s="19" t="s">
        <v>7</v>
      </c>
    </row>
    <row r="116" spans="1:11">
      <c r="A116" s="19">
        <f t="shared" ca="1" si="3"/>
        <v>107</v>
      </c>
      <c r="B116" s="19" cm="1">
        <f t="array" aca="1" ref="B116" ca="1">INDEX([1]Data_DBD!$B:$B,$A116)</f>
        <v>48</v>
      </c>
      <c r="C116" s="19" cm="1">
        <f t="array" aca="1" ref="C116" ca="1">INDEX([1]Data_DBD!$E:$E,$A116)</f>
        <v>0</v>
      </c>
      <c r="D116" s="19" t="str" cm="1">
        <f t="array" aca="1" ref="D116" ca="1">INDEX([1]Data_DBD!$F:$F,$A116)</f>
        <v>Tinggi</v>
      </c>
      <c r="E116" s="29"/>
      <c r="H116" s="19">
        <v>38</v>
      </c>
      <c r="I116" s="19">
        <v>52</v>
      </c>
      <c r="J116" s="19">
        <v>1</v>
      </c>
      <c r="K116" s="19" t="s">
        <v>20</v>
      </c>
    </row>
    <row r="117" spans="1:11">
      <c r="A117" s="19">
        <f t="shared" ca="1" si="3"/>
        <v>60</v>
      </c>
      <c r="B117" s="19" cm="1">
        <f t="array" aca="1" ref="B117" ca="1">INDEX([1]Data_DBD!$B:$B,$A117)</f>
        <v>68</v>
      </c>
      <c r="C117" s="19" cm="1">
        <f t="array" aca="1" ref="C117" ca="1">INDEX([1]Data_DBD!$E:$E,$A117)</f>
        <v>0</v>
      </c>
      <c r="D117" s="19" t="str" cm="1">
        <f t="array" aca="1" ref="D117" ca="1">INDEX([1]Data_DBD!$F:$F,$A117)</f>
        <v>Sedang</v>
      </c>
      <c r="E117" s="29"/>
      <c r="H117" s="19">
        <v>125</v>
      </c>
      <c r="I117" s="19">
        <v>39</v>
      </c>
      <c r="J117" s="19">
        <v>0</v>
      </c>
      <c r="K117" s="19" t="s">
        <v>97</v>
      </c>
    </row>
    <row r="118" spans="1:11">
      <c r="A118" s="19">
        <f t="shared" ca="1" si="3"/>
        <v>102</v>
      </c>
      <c r="B118" s="19" cm="1">
        <f t="array" aca="1" ref="B118" ca="1">INDEX([1]Data_DBD!$B:$B,$A118)</f>
        <v>41</v>
      </c>
      <c r="C118" s="19" cm="1">
        <f t="array" aca="1" ref="C118" ca="1">INDEX([1]Data_DBD!$E:$E,$A118)</f>
        <v>0</v>
      </c>
      <c r="D118" s="19" t="str" cm="1">
        <f t="array" aca="1" ref="D118" ca="1">INDEX([1]Data_DBD!$F:$F,$A118)</f>
        <v>Tinggi</v>
      </c>
      <c r="E118" s="29"/>
      <c r="H118" s="19">
        <v>7</v>
      </c>
      <c r="I118" s="19">
        <v>12</v>
      </c>
      <c r="J118" s="19">
        <v>1</v>
      </c>
      <c r="K118" s="19" t="s">
        <v>7</v>
      </c>
    </row>
    <row r="119" spans="1:11">
      <c r="A119" s="19">
        <f t="shared" ca="1" si="3"/>
        <v>54</v>
      </c>
      <c r="B119" s="19" cm="1">
        <f t="array" aca="1" ref="B119" ca="1">INDEX([1]Data_DBD!$B:$B,$A119)</f>
        <v>7</v>
      </c>
      <c r="C119" s="19" cm="1">
        <f t="array" aca="1" ref="C119" ca="1">INDEX([1]Data_DBD!$E:$E,$A119)</f>
        <v>0</v>
      </c>
      <c r="D119" s="19" t="str" cm="1">
        <f t="array" aca="1" ref="D119" ca="1">INDEX([1]Data_DBD!$F:$F,$A119)</f>
        <v>Sedang</v>
      </c>
      <c r="E119" s="29"/>
      <c r="H119" s="19">
        <v>141</v>
      </c>
      <c r="I119" s="19">
        <v>36</v>
      </c>
      <c r="J119" s="19">
        <v>0</v>
      </c>
      <c r="K119" s="19" t="s">
        <v>97</v>
      </c>
    </row>
    <row r="120" spans="1:11">
      <c r="A120" s="19">
        <f t="shared" ca="1" si="3"/>
        <v>24</v>
      </c>
      <c r="B120" s="19" cm="1">
        <f t="array" aca="1" ref="B120" ca="1">INDEX([1]Data_DBD!$B:$B,$A120)</f>
        <v>60</v>
      </c>
      <c r="C120" s="19" cm="1">
        <f t="array" aca="1" ref="C120" ca="1">INDEX([1]Data_DBD!$E:$E,$A120)</f>
        <v>0</v>
      </c>
      <c r="D120" s="19" t="str" cm="1">
        <f t="array" aca="1" ref="D120" ca="1">INDEX([1]Data_DBD!$F:$F,$A120)</f>
        <v>Sedang</v>
      </c>
      <c r="E120" s="29"/>
      <c r="H120" s="19">
        <v>29</v>
      </c>
      <c r="I120" s="19">
        <v>19</v>
      </c>
      <c r="J120" s="19">
        <v>1</v>
      </c>
      <c r="K120" s="19" t="s">
        <v>7</v>
      </c>
    </row>
    <row r="121" spans="1:11">
      <c r="A121" s="19">
        <f t="shared" ca="1" si="3"/>
        <v>15</v>
      </c>
      <c r="B121" s="19" cm="1">
        <f t="array" aca="1" ref="B121" ca="1">INDEX([1]Data_DBD!$B:$B,$A121)</f>
        <v>21</v>
      </c>
      <c r="C121" s="19" cm="1">
        <f t="array" aca="1" ref="C121" ca="1">INDEX([1]Data_DBD!$E:$E,$A121)</f>
        <v>0</v>
      </c>
      <c r="D121" s="19" t="str" cm="1">
        <f t="array" aca="1" ref="D121" ca="1">INDEX([1]Data_DBD!$F:$F,$A121)</f>
        <v>Rendah</v>
      </c>
      <c r="E121" s="29"/>
      <c r="H121" s="19">
        <v>77</v>
      </c>
      <c r="I121" s="19">
        <v>16</v>
      </c>
      <c r="J121" s="19">
        <v>1</v>
      </c>
      <c r="K121" s="19" t="s">
        <v>7</v>
      </c>
    </row>
    <row r="122" spans="1:11">
      <c r="A122" s="19">
        <f t="shared" ca="1" si="3"/>
        <v>95</v>
      </c>
      <c r="B122" s="19" cm="1">
        <f t="array" aca="1" ref="B122" ca="1">INDEX([1]Data_DBD!$B:$B,$A122)</f>
        <v>11</v>
      </c>
      <c r="C122" s="19" cm="1">
        <f t="array" aca="1" ref="C122" ca="1">INDEX([1]Data_DBD!$E:$E,$A122)</f>
        <v>1</v>
      </c>
      <c r="D122" s="19" t="str" cm="1">
        <f t="array" aca="1" ref="D122" ca="1">INDEX([1]Data_DBD!$F:$F,$A122)</f>
        <v>Tinggi</v>
      </c>
      <c r="E122" s="29"/>
      <c r="H122" s="19">
        <v>145</v>
      </c>
      <c r="I122" s="19">
        <v>28</v>
      </c>
      <c r="J122" s="19">
        <v>1</v>
      </c>
      <c r="K122" s="19" t="s">
        <v>97</v>
      </c>
    </row>
    <row r="123" spans="1:11">
      <c r="A123" s="19">
        <f t="shared" ca="1" si="3"/>
        <v>53</v>
      </c>
      <c r="B123" s="19" cm="1">
        <f t="array" aca="1" ref="B123" ca="1">INDEX([1]Data_DBD!$B:$B,$A123)</f>
        <v>35</v>
      </c>
      <c r="C123" s="19" cm="1">
        <f t="array" aca="1" ref="C123" ca="1">INDEX([1]Data_DBD!$E:$E,$A123)</f>
        <v>1</v>
      </c>
      <c r="D123" s="19" t="str" cm="1">
        <f t="array" aca="1" ref="D123" ca="1">INDEX([1]Data_DBD!$F:$F,$A123)</f>
        <v>Sedang</v>
      </c>
      <c r="E123" s="29"/>
      <c r="H123" s="19">
        <v>108</v>
      </c>
      <c r="I123" s="19">
        <v>69</v>
      </c>
      <c r="J123" s="19">
        <v>1</v>
      </c>
      <c r="K123" s="19" t="s">
        <v>97</v>
      </c>
    </row>
    <row r="124" spans="1:11">
      <c r="A124" s="19">
        <f t="shared" ca="1" si="3"/>
        <v>132</v>
      </c>
      <c r="B124" s="19" cm="1">
        <f t="array" aca="1" ref="B124" ca="1">INDEX([1]Data_DBD!$B:$B,$A124)</f>
        <v>10</v>
      </c>
      <c r="C124" s="19" cm="1">
        <f t="array" aca="1" ref="C124" ca="1">INDEX([1]Data_DBD!$E:$E,$A124)</f>
        <v>1</v>
      </c>
      <c r="D124" s="19" t="str" cm="1">
        <f t="array" aca="1" ref="D124" ca="1">INDEX([1]Data_DBD!$F:$F,$A124)</f>
        <v>Tinggi</v>
      </c>
      <c r="E124" s="29"/>
      <c r="H124" s="19">
        <v>161</v>
      </c>
      <c r="I124" s="19">
        <v>12</v>
      </c>
      <c r="J124" s="19">
        <v>1</v>
      </c>
      <c r="K124" s="19" t="s">
        <v>97</v>
      </c>
    </row>
    <row r="125" spans="1:11">
      <c r="A125" s="19">
        <f t="shared" ca="1" si="3"/>
        <v>90</v>
      </c>
      <c r="B125" s="19" cm="1">
        <f t="array" aca="1" ref="B125" ca="1">INDEX([1]Data_DBD!$B:$B,$A125)</f>
        <v>47</v>
      </c>
      <c r="C125" s="19" cm="1">
        <f t="array" aca="1" ref="C125" ca="1">INDEX([1]Data_DBD!$E:$E,$A125)</f>
        <v>0</v>
      </c>
      <c r="D125" s="19" t="str" cm="1">
        <f t="array" aca="1" ref="D125" ca="1">INDEX([1]Data_DBD!$F:$F,$A125)</f>
        <v>Tinggi</v>
      </c>
      <c r="E125" s="29"/>
      <c r="H125" s="19">
        <v>65</v>
      </c>
      <c r="I125" s="19">
        <v>49</v>
      </c>
      <c r="J125" s="19">
        <v>0</v>
      </c>
      <c r="K125" s="19" t="s">
        <v>7</v>
      </c>
    </row>
    <row r="126" spans="1:11">
      <c r="A126" s="19">
        <f t="shared" ca="1" si="3"/>
        <v>158</v>
      </c>
      <c r="B126" s="19" cm="1">
        <f t="array" aca="1" ref="B126" ca="1">INDEX([1]Data_DBD!$B:$B,$A126)</f>
        <v>5</v>
      </c>
      <c r="C126" s="19" cm="1">
        <f t="array" aca="1" ref="C126" ca="1">INDEX([1]Data_DBD!$E:$E,$A126)</f>
        <v>0</v>
      </c>
      <c r="D126" s="19" t="str" cm="1">
        <f t="array" aca="1" ref="D126" ca="1">INDEX([1]Data_DBD!$F:$F,$A126)</f>
        <v>Tinggi</v>
      </c>
      <c r="E126" s="29"/>
      <c r="H126" s="19">
        <v>157</v>
      </c>
      <c r="I126" s="19">
        <v>15</v>
      </c>
      <c r="J126" s="19">
        <v>1</v>
      </c>
      <c r="K126" s="19" t="s">
        <v>97</v>
      </c>
    </row>
    <row r="127" spans="1:11">
      <c r="A127" s="19">
        <f t="shared" ca="1" si="3"/>
        <v>97</v>
      </c>
      <c r="B127" s="19" cm="1">
        <f t="array" aca="1" ref="B127" ca="1">INDEX([1]Data_DBD!$B:$B,$A127)</f>
        <v>16</v>
      </c>
      <c r="C127" s="19" cm="1">
        <f t="array" aca="1" ref="C127" ca="1">INDEX([1]Data_DBD!$E:$E,$A127)</f>
        <v>1</v>
      </c>
      <c r="D127" s="19" t="str" cm="1">
        <f t="array" aca="1" ref="D127" ca="1">INDEX([1]Data_DBD!$F:$F,$A127)</f>
        <v>Tinggi</v>
      </c>
      <c r="E127" s="29"/>
      <c r="H127" s="19">
        <v>23</v>
      </c>
      <c r="I127" s="19">
        <v>28</v>
      </c>
      <c r="J127" s="19">
        <v>1</v>
      </c>
      <c r="K127" s="19" t="s">
        <v>7</v>
      </c>
    </row>
    <row r="128" spans="1:11">
      <c r="A128" s="19">
        <f t="shared" ca="1" si="3"/>
        <v>164</v>
      </c>
      <c r="B128" s="19" cm="1">
        <f t="array" aca="1" ref="B128" ca="1">INDEX([1]Data_DBD!$B:$B,$A128)</f>
        <v>10</v>
      </c>
      <c r="C128" s="19" cm="1">
        <f t="array" aca="1" ref="C128" ca="1">INDEX([1]Data_DBD!$E:$E,$A128)</f>
        <v>0</v>
      </c>
      <c r="D128" s="19" t="str" cm="1">
        <f t="array" aca="1" ref="D128" ca="1">INDEX([1]Data_DBD!$F:$F,$A128)</f>
        <v>Rendah</v>
      </c>
      <c r="E128" s="29"/>
      <c r="H128" s="19">
        <v>46</v>
      </c>
      <c r="I128" s="19">
        <v>62</v>
      </c>
      <c r="J128" s="19">
        <v>0</v>
      </c>
      <c r="K128" s="19" t="s">
        <v>7</v>
      </c>
    </row>
    <row r="129" spans="1:11">
      <c r="A129" s="19">
        <f t="shared" ca="1" si="3"/>
        <v>72</v>
      </c>
      <c r="B129" s="19" cm="1">
        <f t="array" aca="1" ref="B129" ca="1">INDEX([1]Data_DBD!$B:$B,$A129)</f>
        <v>3</v>
      </c>
      <c r="C129" s="19" cm="1">
        <f t="array" aca="1" ref="C129" ca="1">INDEX([1]Data_DBD!$E:$E,$A129)</f>
        <v>1</v>
      </c>
      <c r="D129" s="19" t="str" cm="1">
        <f t="array" aca="1" ref="D129" ca="1">INDEX([1]Data_DBD!$F:$F,$A129)</f>
        <v>Sedang</v>
      </c>
      <c r="E129" s="29"/>
      <c r="H129" s="19">
        <v>4</v>
      </c>
      <c r="I129" s="19">
        <v>23</v>
      </c>
      <c r="J129" s="19">
        <v>0</v>
      </c>
      <c r="K129" s="19" t="s">
        <v>7</v>
      </c>
    </row>
    <row r="130" spans="1:11">
      <c r="A130" s="19">
        <f t="shared" ref="A130:A164" ca="1" si="4">RANDBETWEEN(2,164)</f>
        <v>104</v>
      </c>
      <c r="B130" s="19" cm="1">
        <f t="array" aca="1" ref="B130" ca="1">INDEX([1]Data_DBD!$B:$B,$A130)</f>
        <v>37</v>
      </c>
      <c r="C130" s="19" cm="1">
        <f t="array" aca="1" ref="C130" ca="1">INDEX([1]Data_DBD!$E:$E,$A130)</f>
        <v>1</v>
      </c>
      <c r="D130" s="19" t="str" cm="1">
        <f t="array" aca="1" ref="D130" ca="1">INDEX([1]Data_DBD!$F:$F,$A130)</f>
        <v>Tinggi</v>
      </c>
      <c r="E130" s="29"/>
      <c r="H130" s="19">
        <v>43</v>
      </c>
      <c r="I130" s="19">
        <v>15</v>
      </c>
      <c r="J130" s="19">
        <v>0</v>
      </c>
      <c r="K130" s="19" t="s">
        <v>7</v>
      </c>
    </row>
    <row r="131" spans="1:11">
      <c r="A131" s="19">
        <f t="shared" ca="1" si="4"/>
        <v>21</v>
      </c>
      <c r="B131" s="19" cm="1">
        <f t="array" aca="1" ref="B131" ca="1">INDEX([1]Data_DBD!$B:$B,$A131)</f>
        <v>10</v>
      </c>
      <c r="C131" s="19" cm="1">
        <f t="array" aca="1" ref="C131" ca="1">INDEX([1]Data_DBD!$E:$E,$A131)</f>
        <v>1</v>
      </c>
      <c r="D131" s="19" t="str" cm="1">
        <f t="array" aca="1" ref="D131" ca="1">INDEX([1]Data_DBD!$F:$F,$A131)</f>
        <v>Sedang</v>
      </c>
      <c r="E131" s="29"/>
      <c r="H131" s="19">
        <v>97</v>
      </c>
      <c r="I131" s="19">
        <v>16</v>
      </c>
      <c r="J131" s="19">
        <v>1</v>
      </c>
      <c r="K131" s="19" t="s">
        <v>97</v>
      </c>
    </row>
    <row r="132" spans="1:11">
      <c r="A132" s="19">
        <f t="shared" ca="1" si="4"/>
        <v>155</v>
      </c>
      <c r="B132" s="19" cm="1">
        <f t="array" aca="1" ref="B132" ca="1">INDEX([1]Data_DBD!$B:$B,$A132)</f>
        <v>19</v>
      </c>
      <c r="C132" s="19" cm="1">
        <f t="array" aca="1" ref="C132" ca="1">INDEX([1]Data_DBD!$E:$E,$A132)</f>
        <v>1</v>
      </c>
      <c r="D132" s="19" t="str" cm="1">
        <f t="array" aca="1" ref="D132" ca="1">INDEX([1]Data_DBD!$F:$F,$A132)</f>
        <v>Tinggi</v>
      </c>
      <c r="E132" s="29"/>
      <c r="H132" s="19">
        <v>104</v>
      </c>
      <c r="I132" s="19">
        <v>37</v>
      </c>
      <c r="J132" s="19">
        <v>1</v>
      </c>
      <c r="K132" s="19" t="s">
        <v>97</v>
      </c>
    </row>
    <row r="133" spans="1:11">
      <c r="A133" s="19">
        <f t="shared" ca="1" si="4"/>
        <v>48</v>
      </c>
      <c r="B133" s="19" cm="1">
        <f t="array" aca="1" ref="B133" ca="1">INDEX([1]Data_DBD!$B:$B,$A133)</f>
        <v>50</v>
      </c>
      <c r="C133" s="19" cm="1">
        <f t="array" aca="1" ref="C133" ca="1">INDEX([1]Data_DBD!$E:$E,$A133)</f>
        <v>1</v>
      </c>
      <c r="D133" s="19" t="str" cm="1">
        <f t="array" aca="1" ref="D133" ca="1">INDEX([1]Data_DBD!$F:$F,$A133)</f>
        <v>Sedang</v>
      </c>
      <c r="E133" s="29"/>
      <c r="H133" s="19">
        <v>3</v>
      </c>
      <c r="I133" s="19">
        <v>43</v>
      </c>
      <c r="J133" s="19">
        <v>1</v>
      </c>
      <c r="K133" s="19" t="s">
        <v>7</v>
      </c>
    </row>
    <row r="134" spans="1:11">
      <c r="A134" s="19">
        <f t="shared" ca="1" si="4"/>
        <v>30</v>
      </c>
      <c r="B134" s="19" cm="1">
        <f t="array" aca="1" ref="B134" ca="1">INDEX([1]Data_DBD!$B:$B,$A134)</f>
        <v>3</v>
      </c>
      <c r="C134" s="19" cm="1">
        <f t="array" aca="1" ref="C134" ca="1">INDEX([1]Data_DBD!$E:$E,$A134)</f>
        <v>1</v>
      </c>
      <c r="D134" s="19" t="str" cm="1">
        <f t="array" aca="1" ref="D134" ca="1">INDEX([1]Data_DBD!$F:$F,$A134)</f>
        <v>Sedang</v>
      </c>
      <c r="E134" s="29"/>
      <c r="H134" s="19">
        <v>130</v>
      </c>
      <c r="I134" s="19">
        <v>12</v>
      </c>
      <c r="J134" s="19">
        <v>0</v>
      </c>
      <c r="K134" s="19" t="s">
        <v>97</v>
      </c>
    </row>
    <row r="135" spans="1:11">
      <c r="A135" s="19">
        <f t="shared" ca="1" si="4"/>
        <v>112</v>
      </c>
      <c r="B135" s="19" cm="1">
        <f t="array" aca="1" ref="B135" ca="1">INDEX([1]Data_DBD!$B:$B,$A135)</f>
        <v>61</v>
      </c>
      <c r="C135" s="19" cm="1">
        <f t="array" aca="1" ref="C135" ca="1">INDEX([1]Data_DBD!$E:$E,$A135)</f>
        <v>1</v>
      </c>
      <c r="D135" s="19" t="str" cm="1">
        <f t="array" aca="1" ref="D135" ca="1">INDEX([1]Data_DBD!$F:$F,$A135)</f>
        <v>Tinggi</v>
      </c>
      <c r="E135" s="29"/>
      <c r="H135" s="19">
        <v>31</v>
      </c>
      <c r="I135" s="19">
        <v>64</v>
      </c>
      <c r="J135" s="19">
        <v>1</v>
      </c>
      <c r="K135" s="19" t="s">
        <v>7</v>
      </c>
    </row>
    <row r="136" spans="1:11">
      <c r="A136" s="19">
        <f t="shared" ca="1" si="4"/>
        <v>109</v>
      </c>
      <c r="B136" s="19" cm="1">
        <f t="array" aca="1" ref="B136" ca="1">INDEX([1]Data_DBD!$B:$B,$A136)</f>
        <v>40</v>
      </c>
      <c r="C136" s="19" cm="1">
        <f t="array" aca="1" ref="C136" ca="1">INDEX([1]Data_DBD!$E:$E,$A136)</f>
        <v>1</v>
      </c>
      <c r="D136" s="19" t="str" cm="1">
        <f t="array" aca="1" ref="D136" ca="1">INDEX([1]Data_DBD!$F:$F,$A136)</f>
        <v>Tinggi</v>
      </c>
      <c r="E136" s="29"/>
      <c r="H136" s="19">
        <v>99</v>
      </c>
      <c r="I136" s="19">
        <v>4</v>
      </c>
      <c r="J136" s="19">
        <v>1</v>
      </c>
      <c r="K136" s="19" t="s">
        <v>97</v>
      </c>
    </row>
    <row r="137" spans="1:11">
      <c r="A137" s="19">
        <f t="shared" ca="1" si="4"/>
        <v>110</v>
      </c>
      <c r="B137" s="19" cm="1">
        <f t="array" aca="1" ref="B137" ca="1">INDEX([1]Data_DBD!$B:$B,$A137)</f>
        <v>42</v>
      </c>
      <c r="C137" s="19" cm="1">
        <f t="array" aca="1" ref="C137" ca="1">INDEX([1]Data_DBD!$E:$E,$A137)</f>
        <v>1</v>
      </c>
      <c r="D137" s="19" t="str" cm="1">
        <f t="array" aca="1" ref="D137" ca="1">INDEX([1]Data_DBD!$F:$F,$A137)</f>
        <v>Tinggi</v>
      </c>
      <c r="E137" s="29"/>
      <c r="H137" s="19">
        <v>55</v>
      </c>
      <c r="I137" s="19">
        <v>7</v>
      </c>
      <c r="J137" s="19">
        <v>1</v>
      </c>
      <c r="K137" s="19" t="s">
        <v>7</v>
      </c>
    </row>
    <row r="138" spans="1:11">
      <c r="A138" s="19">
        <f t="shared" ca="1" si="4"/>
        <v>6</v>
      </c>
      <c r="B138" s="19" cm="1">
        <f t="array" aca="1" ref="B138" ca="1">INDEX([1]Data_DBD!$B:$B,$A138)</f>
        <v>14</v>
      </c>
      <c r="C138" s="19" cm="1">
        <f t="array" aca="1" ref="C138" ca="1">INDEX([1]Data_DBD!$E:$E,$A138)</f>
        <v>0</v>
      </c>
      <c r="D138" s="19" t="str" cm="1">
        <f t="array" aca="1" ref="D138" ca="1">INDEX([1]Data_DBD!$F:$F,$A138)</f>
        <v>Sedang</v>
      </c>
      <c r="E138" s="29"/>
      <c r="H138" s="19">
        <v>35</v>
      </c>
      <c r="I138" s="19">
        <v>40</v>
      </c>
      <c r="J138" s="19">
        <v>1</v>
      </c>
      <c r="K138" s="19" t="s">
        <v>20</v>
      </c>
    </row>
    <row r="139" spans="1:11">
      <c r="A139" s="19">
        <f t="shared" ca="1" si="4"/>
        <v>76</v>
      </c>
      <c r="B139" s="19" cm="1">
        <f t="array" aca="1" ref="B139" ca="1">INDEX([1]Data_DBD!$B:$B,$A139)</f>
        <v>70</v>
      </c>
      <c r="C139" s="19" cm="1">
        <f t="array" aca="1" ref="C139" ca="1">INDEX([1]Data_DBD!$E:$E,$A139)</f>
        <v>0</v>
      </c>
      <c r="D139" s="19" t="str" cm="1">
        <f t="array" aca="1" ref="D139" ca="1">INDEX([1]Data_DBD!$F:$F,$A139)</f>
        <v>Sedang</v>
      </c>
      <c r="E139" s="29"/>
      <c r="H139" s="19">
        <v>128</v>
      </c>
      <c r="I139" s="19">
        <v>38</v>
      </c>
      <c r="J139" s="19">
        <v>0</v>
      </c>
      <c r="K139" s="19" t="s">
        <v>97</v>
      </c>
    </row>
    <row r="140" spans="1:11">
      <c r="A140" s="19">
        <f t="shared" ca="1" si="4"/>
        <v>8</v>
      </c>
      <c r="B140" s="19" cm="1">
        <f t="array" aca="1" ref="B140" ca="1">INDEX([1]Data_DBD!$B:$B,$A140)</f>
        <v>4</v>
      </c>
      <c r="C140" s="19" cm="1">
        <f t="array" aca="1" ref="C140" ca="1">INDEX([1]Data_DBD!$E:$E,$A140)</f>
        <v>0</v>
      </c>
      <c r="D140" s="19" t="str" cm="1">
        <f t="array" aca="1" ref="D140" ca="1">INDEX([1]Data_DBD!$F:$F,$A140)</f>
        <v>Sedang</v>
      </c>
      <c r="E140" s="29"/>
      <c r="H140" s="19">
        <v>18</v>
      </c>
      <c r="I140" s="19">
        <v>49</v>
      </c>
      <c r="J140" s="19">
        <v>1</v>
      </c>
      <c r="K140" s="19" t="s">
        <v>20</v>
      </c>
    </row>
    <row r="141" spans="1:11">
      <c r="A141" s="19">
        <f t="shared" ca="1" si="4"/>
        <v>42</v>
      </c>
      <c r="B141" s="19" cm="1">
        <f t="array" aca="1" ref="B141" ca="1">INDEX([1]Data_DBD!$B:$B,$A141)</f>
        <v>21</v>
      </c>
      <c r="C141" s="19" cm="1">
        <f t="array" aca="1" ref="C141" ca="1">INDEX([1]Data_DBD!$E:$E,$A141)</f>
        <v>1</v>
      </c>
      <c r="D141" s="19" t="str" cm="1">
        <f t="array" aca="1" ref="D141" ca="1">INDEX([1]Data_DBD!$F:$F,$A141)</f>
        <v>Sedang</v>
      </c>
      <c r="E141" s="29"/>
      <c r="H141" s="19">
        <v>28</v>
      </c>
      <c r="I141" s="19">
        <v>22</v>
      </c>
      <c r="J141" s="19">
        <v>1</v>
      </c>
      <c r="K141" s="19" t="s">
        <v>7</v>
      </c>
    </row>
    <row r="142" spans="1:11">
      <c r="A142" s="19">
        <f t="shared" ca="1" si="4"/>
        <v>16</v>
      </c>
      <c r="B142" s="19" cm="1">
        <f t="array" aca="1" ref="B142" ca="1">INDEX([1]Data_DBD!$B:$B,$A142)</f>
        <v>66</v>
      </c>
      <c r="C142" s="19" cm="1">
        <f t="array" aca="1" ref="C142" ca="1">INDEX([1]Data_DBD!$E:$E,$A142)</f>
        <v>1</v>
      </c>
      <c r="D142" s="19" t="str" cm="1">
        <f t="array" aca="1" ref="D142" ca="1">INDEX([1]Data_DBD!$F:$F,$A142)</f>
        <v>Rendah</v>
      </c>
      <c r="E142" s="29"/>
      <c r="H142" s="19">
        <v>62</v>
      </c>
      <c r="I142" s="19">
        <v>43</v>
      </c>
      <c r="J142" s="19">
        <v>1</v>
      </c>
      <c r="K142" s="19" t="s">
        <v>7</v>
      </c>
    </row>
    <row r="143" spans="1:11">
      <c r="A143" s="19">
        <f t="shared" ca="1" si="4"/>
        <v>79</v>
      </c>
      <c r="B143" s="19" cm="1">
        <f t="array" aca="1" ref="B143" ca="1">INDEX([1]Data_DBD!$B:$B,$A143)</f>
        <v>29</v>
      </c>
      <c r="C143" s="19" cm="1">
        <f t="array" aca="1" ref="C143" ca="1">INDEX([1]Data_DBD!$E:$E,$A143)</f>
        <v>0</v>
      </c>
      <c r="D143" s="19" t="str" cm="1">
        <f t="array" aca="1" ref="D143" ca="1">INDEX([1]Data_DBD!$F:$F,$A143)</f>
        <v>Sedang</v>
      </c>
      <c r="E143" s="29"/>
      <c r="H143" s="19">
        <v>145</v>
      </c>
      <c r="I143" s="19">
        <v>28</v>
      </c>
      <c r="J143" s="19">
        <v>1</v>
      </c>
      <c r="K143" s="19" t="s">
        <v>97</v>
      </c>
    </row>
    <row r="144" spans="1:11">
      <c r="A144" s="19">
        <f t="shared" ca="1" si="4"/>
        <v>131</v>
      </c>
      <c r="B144" s="19" cm="1">
        <f t="array" aca="1" ref="B144" ca="1">INDEX([1]Data_DBD!$B:$B,$A144)</f>
        <v>10</v>
      </c>
      <c r="C144" s="19" cm="1">
        <f t="array" aca="1" ref="C144" ca="1">INDEX([1]Data_DBD!$E:$E,$A144)</f>
        <v>0</v>
      </c>
      <c r="D144" s="19" t="str" cm="1">
        <f t="array" aca="1" ref="D144" ca="1">INDEX([1]Data_DBD!$F:$F,$A144)</f>
        <v>Tinggi</v>
      </c>
      <c r="E144" s="29"/>
      <c r="H144" s="19">
        <v>132</v>
      </c>
      <c r="I144" s="19">
        <v>10</v>
      </c>
      <c r="J144" s="19">
        <v>1</v>
      </c>
      <c r="K144" s="19" t="s">
        <v>97</v>
      </c>
    </row>
    <row r="145" spans="1:11">
      <c r="A145" s="19">
        <f t="shared" ca="1" si="4"/>
        <v>108</v>
      </c>
      <c r="B145" s="19" cm="1">
        <f t="array" aca="1" ref="B145" ca="1">INDEX([1]Data_DBD!$B:$B,$A145)</f>
        <v>69</v>
      </c>
      <c r="C145" s="19" cm="1">
        <f t="array" aca="1" ref="C145" ca="1">INDEX([1]Data_DBD!$E:$E,$A145)</f>
        <v>1</v>
      </c>
      <c r="D145" s="19" t="str" cm="1">
        <f t="array" aca="1" ref="D145" ca="1">INDEX([1]Data_DBD!$F:$F,$A145)</f>
        <v>Tinggi</v>
      </c>
      <c r="E145" s="29"/>
      <c r="H145" s="19">
        <v>120</v>
      </c>
      <c r="I145" s="19">
        <v>26</v>
      </c>
      <c r="J145" s="19">
        <v>1</v>
      </c>
      <c r="K145" s="19" t="s">
        <v>97</v>
      </c>
    </row>
    <row r="146" spans="1:11">
      <c r="A146" s="19">
        <f t="shared" ca="1" si="4"/>
        <v>131</v>
      </c>
      <c r="B146" s="19" cm="1">
        <f t="array" aca="1" ref="B146" ca="1">INDEX([1]Data_DBD!$B:$B,$A146)</f>
        <v>10</v>
      </c>
      <c r="C146" s="19" cm="1">
        <f t="array" aca="1" ref="C146" ca="1">INDEX([1]Data_DBD!$E:$E,$A146)</f>
        <v>0</v>
      </c>
      <c r="D146" s="19" t="str" cm="1">
        <f t="array" aca="1" ref="D146" ca="1">INDEX([1]Data_DBD!$F:$F,$A146)</f>
        <v>Tinggi</v>
      </c>
      <c r="E146" s="29"/>
      <c r="H146" s="19">
        <v>132</v>
      </c>
      <c r="I146" s="19">
        <v>10</v>
      </c>
      <c r="J146" s="19">
        <v>1</v>
      </c>
      <c r="K146" s="19" t="s">
        <v>97</v>
      </c>
    </row>
    <row r="147" spans="1:11">
      <c r="A147" s="19">
        <f t="shared" ca="1" si="4"/>
        <v>98</v>
      </c>
      <c r="B147" s="19" cm="1">
        <f t="array" aca="1" ref="B147" ca="1">INDEX([1]Data_DBD!$B:$B,$A147)</f>
        <v>16</v>
      </c>
      <c r="C147" s="19" cm="1">
        <f t="array" aca="1" ref="C147" ca="1">INDEX([1]Data_DBD!$E:$E,$A147)</f>
        <v>1</v>
      </c>
      <c r="D147" s="19" t="str" cm="1">
        <f t="array" aca="1" ref="D147" ca="1">INDEX([1]Data_DBD!$F:$F,$A147)</f>
        <v>Tinggi</v>
      </c>
      <c r="E147" s="29"/>
      <c r="H147" s="19">
        <v>125</v>
      </c>
      <c r="I147" s="19">
        <v>39</v>
      </c>
      <c r="J147" s="19">
        <v>0</v>
      </c>
      <c r="K147" s="19" t="s">
        <v>97</v>
      </c>
    </row>
    <row r="148" spans="1:11">
      <c r="A148" s="19">
        <f t="shared" ca="1" si="4"/>
        <v>63</v>
      </c>
      <c r="B148" s="19" cm="1">
        <f t="array" aca="1" ref="B148" ca="1">INDEX([1]Data_DBD!$B:$B,$A148)</f>
        <v>25</v>
      </c>
      <c r="C148" s="19" cm="1">
        <f t="array" aca="1" ref="C148" ca="1">INDEX([1]Data_DBD!$E:$E,$A148)</f>
        <v>0</v>
      </c>
      <c r="D148" s="19" t="str" cm="1">
        <f t="array" aca="1" ref="D148" ca="1">INDEX([1]Data_DBD!$F:$F,$A148)</f>
        <v>Sedang</v>
      </c>
      <c r="E148" s="29"/>
      <c r="H148" s="19">
        <v>68</v>
      </c>
      <c r="I148" s="19">
        <v>44</v>
      </c>
      <c r="J148" s="19">
        <v>0</v>
      </c>
      <c r="K148" s="19" t="s">
        <v>7</v>
      </c>
    </row>
    <row r="149" spans="1:11">
      <c r="A149" s="19">
        <f t="shared" ca="1" si="4"/>
        <v>124</v>
      </c>
      <c r="B149" s="19" cm="1">
        <f t="array" aca="1" ref="B149" ca="1">INDEX([1]Data_DBD!$B:$B,$A149)</f>
        <v>24</v>
      </c>
      <c r="C149" s="19" cm="1">
        <f t="array" aca="1" ref="C149" ca="1">INDEX([1]Data_DBD!$E:$E,$A149)</f>
        <v>1</v>
      </c>
      <c r="D149" s="19" t="str" cm="1">
        <f t="array" aca="1" ref="D149" ca="1">INDEX([1]Data_DBD!$F:$F,$A149)</f>
        <v>Tinggi</v>
      </c>
      <c r="E149" s="29"/>
      <c r="H149" s="19">
        <v>70</v>
      </c>
      <c r="I149" s="19">
        <v>26</v>
      </c>
      <c r="J149" s="19">
        <v>1</v>
      </c>
      <c r="K149" s="19" t="s">
        <v>7</v>
      </c>
    </row>
    <row r="150" spans="1:11">
      <c r="A150" s="19">
        <f t="shared" ca="1" si="4"/>
        <v>131</v>
      </c>
      <c r="B150" s="19" cm="1">
        <f t="array" aca="1" ref="B150" ca="1">INDEX([1]Data_DBD!$B:$B,$A150)</f>
        <v>10</v>
      </c>
      <c r="C150" s="19" cm="1">
        <f t="array" aca="1" ref="C150" ca="1">INDEX([1]Data_DBD!$E:$E,$A150)</f>
        <v>0</v>
      </c>
      <c r="D150" s="19" t="str" cm="1">
        <f t="array" aca="1" ref="D150" ca="1">INDEX([1]Data_DBD!$F:$F,$A150)</f>
        <v>Tinggi</v>
      </c>
      <c r="E150" s="29"/>
      <c r="H150" s="19">
        <v>46</v>
      </c>
      <c r="I150" s="19">
        <v>62</v>
      </c>
      <c r="J150" s="19">
        <v>0</v>
      </c>
      <c r="K150" s="19" t="s">
        <v>7</v>
      </c>
    </row>
    <row r="151" spans="1:11">
      <c r="A151" s="19">
        <f t="shared" ca="1" si="4"/>
        <v>138</v>
      </c>
      <c r="B151" s="19" cm="1">
        <f t="array" aca="1" ref="B151" ca="1">INDEX([1]Data_DBD!$B:$B,$A151)</f>
        <v>13</v>
      </c>
      <c r="C151" s="19" cm="1">
        <f t="array" aca="1" ref="C151" ca="1">INDEX([1]Data_DBD!$E:$E,$A151)</f>
        <v>1</v>
      </c>
      <c r="D151" s="19" t="str" cm="1">
        <f t="array" aca="1" ref="D151" ca="1">INDEX([1]Data_DBD!$F:$F,$A151)</f>
        <v>Tinggi</v>
      </c>
      <c r="E151" s="29"/>
      <c r="H151" s="19">
        <v>153</v>
      </c>
      <c r="I151" s="19">
        <v>73</v>
      </c>
      <c r="J151" s="19">
        <v>1</v>
      </c>
      <c r="K151" s="19" t="s">
        <v>97</v>
      </c>
    </row>
    <row r="152" spans="1:11">
      <c r="A152" s="19">
        <f t="shared" ca="1" si="4"/>
        <v>102</v>
      </c>
      <c r="B152" s="19" cm="1">
        <f t="array" aca="1" ref="B152" ca="1">INDEX([1]Data_DBD!$B:$B,$A152)</f>
        <v>41</v>
      </c>
      <c r="C152" s="19" cm="1">
        <f t="array" aca="1" ref="C152" ca="1">INDEX([1]Data_DBD!$E:$E,$A152)</f>
        <v>0</v>
      </c>
      <c r="D152" s="19" t="str" cm="1">
        <f t="array" aca="1" ref="D152" ca="1">INDEX([1]Data_DBD!$F:$F,$A152)</f>
        <v>Tinggi</v>
      </c>
      <c r="E152" s="29"/>
      <c r="H152" s="19">
        <v>45</v>
      </c>
      <c r="I152" s="19">
        <v>75</v>
      </c>
      <c r="J152" s="19">
        <v>1</v>
      </c>
      <c r="K152" s="19" t="s">
        <v>7</v>
      </c>
    </row>
    <row r="153" spans="1:11">
      <c r="A153" s="19">
        <f t="shared" ca="1" si="4"/>
        <v>29</v>
      </c>
      <c r="B153" s="19" cm="1">
        <f t="array" aca="1" ref="B153" ca="1">INDEX([1]Data_DBD!$B:$B,$A153)</f>
        <v>19</v>
      </c>
      <c r="C153" s="19" cm="1">
        <f t="array" aca="1" ref="C153" ca="1">INDEX([1]Data_DBD!$E:$E,$A153)</f>
        <v>1</v>
      </c>
      <c r="D153" s="19" t="str" cm="1">
        <f t="array" aca="1" ref="D153" ca="1">INDEX([1]Data_DBD!$F:$F,$A153)</f>
        <v>Sedang</v>
      </c>
      <c r="E153" s="29"/>
      <c r="H153" s="19">
        <v>39</v>
      </c>
      <c r="I153" s="19">
        <v>12</v>
      </c>
      <c r="J153" s="19">
        <v>1</v>
      </c>
      <c r="K153" s="19" t="s">
        <v>7</v>
      </c>
    </row>
    <row r="154" spans="1:11">
      <c r="A154" s="19">
        <f t="shared" ca="1" si="4"/>
        <v>59</v>
      </c>
      <c r="B154" s="19" cm="1">
        <f t="array" aca="1" ref="B154" ca="1">INDEX([1]Data_DBD!$B:$B,$A154)</f>
        <v>28</v>
      </c>
      <c r="C154" s="19" cm="1">
        <f t="array" aca="1" ref="C154" ca="1">INDEX([1]Data_DBD!$E:$E,$A154)</f>
        <v>0</v>
      </c>
      <c r="D154" s="19" t="str" cm="1">
        <f t="array" aca="1" ref="D154" ca="1">INDEX([1]Data_DBD!$F:$F,$A154)</f>
        <v>Sedang</v>
      </c>
      <c r="E154" s="29"/>
      <c r="H154" s="19">
        <v>110</v>
      </c>
      <c r="I154" s="19">
        <v>42</v>
      </c>
      <c r="J154" s="19">
        <v>1</v>
      </c>
      <c r="K154" s="19" t="s">
        <v>97</v>
      </c>
    </row>
    <row r="155" spans="1:11">
      <c r="A155" s="19">
        <f t="shared" ca="1" si="4"/>
        <v>123</v>
      </c>
      <c r="B155" s="19" cm="1">
        <f t="array" aca="1" ref="B155" ca="1">INDEX([1]Data_DBD!$B:$B,$A155)</f>
        <v>22</v>
      </c>
      <c r="C155" s="19" cm="1">
        <f t="array" aca="1" ref="C155" ca="1">INDEX([1]Data_DBD!$E:$E,$A155)</f>
        <v>0</v>
      </c>
      <c r="D155" s="19" t="str" cm="1">
        <f t="array" aca="1" ref="D155" ca="1">INDEX([1]Data_DBD!$F:$F,$A155)</f>
        <v>Tinggi</v>
      </c>
      <c r="E155" s="29"/>
      <c r="H155" s="19">
        <v>100</v>
      </c>
      <c r="I155" s="19">
        <v>19</v>
      </c>
      <c r="J155" s="19">
        <v>0</v>
      </c>
      <c r="K155" s="19" t="s">
        <v>97</v>
      </c>
    </row>
    <row r="156" spans="1:11">
      <c r="A156" s="19">
        <f t="shared" ca="1" si="4"/>
        <v>2</v>
      </c>
      <c r="B156" s="19" cm="1">
        <f t="array" aca="1" ref="B156" ca="1">INDEX([1]Data_DBD!$B:$B,$A156)</f>
        <v>34</v>
      </c>
      <c r="C156" s="19" cm="1">
        <f t="array" aca="1" ref="C156" ca="1">INDEX([1]Data_DBD!$E:$E,$A156)</f>
        <v>0</v>
      </c>
      <c r="D156" s="19" t="str" cm="1">
        <f t="array" aca="1" ref="D156" ca="1">INDEX([1]Data_DBD!$F:$F,$A156)</f>
        <v>Sedang</v>
      </c>
      <c r="E156" s="29"/>
      <c r="H156" s="19">
        <v>151</v>
      </c>
      <c r="I156" s="19">
        <v>24</v>
      </c>
      <c r="J156" s="19">
        <v>0</v>
      </c>
      <c r="K156" s="19" t="s">
        <v>97</v>
      </c>
    </row>
    <row r="157" spans="1:11">
      <c r="A157" s="19">
        <f t="shared" ca="1" si="4"/>
        <v>21</v>
      </c>
      <c r="B157" s="19" cm="1">
        <f t="array" aca="1" ref="B157" ca="1">INDEX([1]Data_DBD!$B:$B,$A157)</f>
        <v>10</v>
      </c>
      <c r="C157" s="19" cm="1">
        <f t="array" aca="1" ref="C157" ca="1">INDEX([1]Data_DBD!$E:$E,$A157)</f>
        <v>1</v>
      </c>
      <c r="D157" s="19" t="str" cm="1">
        <f t="array" aca="1" ref="D157" ca="1">INDEX([1]Data_DBD!$F:$F,$A157)</f>
        <v>Sedang</v>
      </c>
      <c r="E157" s="29"/>
      <c r="H157" s="19">
        <v>27</v>
      </c>
      <c r="I157" s="19">
        <v>37</v>
      </c>
      <c r="J157" s="19">
        <v>1</v>
      </c>
      <c r="K157" s="19" t="s">
        <v>7</v>
      </c>
    </row>
    <row r="158" spans="1:11">
      <c r="A158" s="19">
        <f t="shared" ca="1" si="4"/>
        <v>74</v>
      </c>
      <c r="B158" s="19" cm="1">
        <f t="array" aca="1" ref="B158" ca="1">INDEX([1]Data_DBD!$B:$B,$A158)</f>
        <v>9</v>
      </c>
      <c r="C158" s="19" cm="1">
        <f t="array" aca="1" ref="C158" ca="1">INDEX([1]Data_DBD!$E:$E,$A158)</f>
        <v>0</v>
      </c>
      <c r="D158" s="19" t="str" cm="1">
        <f t="array" aca="1" ref="D158" ca="1">INDEX([1]Data_DBD!$F:$F,$A158)</f>
        <v>Sedang</v>
      </c>
      <c r="E158" s="29"/>
      <c r="H158" s="19">
        <v>56</v>
      </c>
      <c r="I158" s="19">
        <v>4</v>
      </c>
      <c r="J158" s="19">
        <v>0</v>
      </c>
      <c r="K158" s="19" t="s">
        <v>7</v>
      </c>
    </row>
    <row r="159" spans="1:11">
      <c r="A159" s="19">
        <f t="shared" ca="1" si="4"/>
        <v>47</v>
      </c>
      <c r="B159" s="19" cm="1">
        <f t="array" aca="1" ref="B159" ca="1">INDEX([1]Data_DBD!$B:$B,$A159)</f>
        <v>19</v>
      </c>
      <c r="C159" s="19" cm="1">
        <f t="array" aca="1" ref="C159" ca="1">INDEX([1]Data_DBD!$E:$E,$A159)</f>
        <v>0</v>
      </c>
      <c r="D159" s="19" t="str" cm="1">
        <f t="array" aca="1" ref="D159" ca="1">INDEX([1]Data_DBD!$F:$F,$A159)</f>
        <v>Sedang</v>
      </c>
      <c r="E159" s="29"/>
      <c r="H159" s="19">
        <v>157</v>
      </c>
      <c r="I159" s="19">
        <v>15</v>
      </c>
      <c r="J159" s="19">
        <v>1</v>
      </c>
      <c r="K159" s="19" t="s">
        <v>97</v>
      </c>
    </row>
    <row r="160" spans="1:11">
      <c r="A160" s="19">
        <f t="shared" ca="1" si="4"/>
        <v>23</v>
      </c>
      <c r="B160" s="19" cm="1">
        <f t="array" aca="1" ref="B160" ca="1">INDEX([1]Data_DBD!$B:$B,$A160)</f>
        <v>28</v>
      </c>
      <c r="C160" s="19" cm="1">
        <f t="array" aca="1" ref="C160" ca="1">INDEX([1]Data_DBD!$E:$E,$A160)</f>
        <v>1</v>
      </c>
      <c r="D160" s="19" t="str" cm="1">
        <f t="array" aca="1" ref="D160" ca="1">INDEX([1]Data_DBD!$F:$F,$A160)</f>
        <v>Sedang</v>
      </c>
      <c r="E160" s="29"/>
      <c r="H160" s="19">
        <v>139</v>
      </c>
      <c r="I160" s="19">
        <v>52</v>
      </c>
      <c r="J160" s="19">
        <v>0</v>
      </c>
      <c r="K160" s="19" t="s">
        <v>97</v>
      </c>
    </row>
    <row r="161" spans="1:16">
      <c r="A161" s="19">
        <f t="shared" ca="1" si="4"/>
        <v>21</v>
      </c>
      <c r="B161" s="19" cm="1">
        <f t="array" aca="1" ref="B161" ca="1">INDEX([1]Data_DBD!$B:$B,$A161)</f>
        <v>10</v>
      </c>
      <c r="C161" s="19" cm="1">
        <f t="array" aca="1" ref="C161" ca="1">INDEX([1]Data_DBD!$E:$E,$A161)</f>
        <v>1</v>
      </c>
      <c r="D161" s="19" t="str" cm="1">
        <f t="array" aca="1" ref="D161" ca="1">INDEX([1]Data_DBD!$F:$F,$A161)</f>
        <v>Sedang</v>
      </c>
      <c r="E161" s="29"/>
      <c r="H161" s="19">
        <v>4</v>
      </c>
      <c r="I161" s="19">
        <v>23</v>
      </c>
      <c r="J161" s="19">
        <v>0</v>
      </c>
      <c r="K161" s="19" t="s">
        <v>7</v>
      </c>
    </row>
    <row r="162" spans="1:16">
      <c r="A162" s="19">
        <f t="shared" ca="1" si="4"/>
        <v>142</v>
      </c>
      <c r="B162" s="19" cm="1">
        <f t="array" aca="1" ref="B162" ca="1">INDEX([1]Data_DBD!$B:$B,$A162)</f>
        <v>39</v>
      </c>
      <c r="C162" s="19" cm="1">
        <f t="array" aca="1" ref="C162" ca="1">INDEX([1]Data_DBD!$E:$E,$A162)</f>
        <v>1</v>
      </c>
      <c r="D162" s="19" t="str" cm="1">
        <f t="array" aca="1" ref="D162" ca="1">INDEX([1]Data_DBD!$F:$F,$A162)</f>
        <v>Tinggi</v>
      </c>
      <c r="E162" s="29"/>
      <c r="H162" s="19">
        <v>76</v>
      </c>
      <c r="I162" s="19">
        <v>70</v>
      </c>
      <c r="J162" s="19">
        <v>0</v>
      </c>
      <c r="K162" s="19" t="s">
        <v>7</v>
      </c>
    </row>
    <row r="163" spans="1:16">
      <c r="A163" s="19">
        <f t="shared" ca="1" si="4"/>
        <v>26</v>
      </c>
      <c r="B163" s="19" cm="1">
        <f t="array" aca="1" ref="B163" ca="1">INDEX([1]Data_DBD!$B:$B,$A163)</f>
        <v>75</v>
      </c>
      <c r="C163" s="19" cm="1">
        <f t="array" aca="1" ref="C163" ca="1">INDEX([1]Data_DBD!$E:$E,$A163)</f>
        <v>1</v>
      </c>
      <c r="D163" s="19" t="str" cm="1">
        <f t="array" aca="1" ref="D163" ca="1">INDEX([1]Data_DBD!$F:$F,$A163)</f>
        <v>Sedang</v>
      </c>
      <c r="E163" s="29"/>
      <c r="H163" s="19">
        <v>77</v>
      </c>
      <c r="I163" s="19">
        <v>16</v>
      </c>
      <c r="J163" s="19">
        <v>1</v>
      </c>
      <c r="K163" s="19" t="s">
        <v>7</v>
      </c>
    </row>
    <row r="164" spans="1:16">
      <c r="A164" s="19">
        <f t="shared" ca="1" si="4"/>
        <v>71</v>
      </c>
      <c r="B164" s="19" cm="1">
        <f t="array" aca="1" ref="B164" ca="1">INDEX([1]Data_DBD!$B:$B,$A164)</f>
        <v>84</v>
      </c>
      <c r="C164" s="19" cm="1">
        <f t="array" aca="1" ref="C164" ca="1">INDEX([1]Data_DBD!$E:$E,$A164)</f>
        <v>0</v>
      </c>
      <c r="D164" s="19" t="str" cm="1">
        <f t="array" aca="1" ref="D164" ca="1">INDEX([1]Data_DBD!$F:$F,$A164)</f>
        <v>Sedang</v>
      </c>
      <c r="E164" s="29"/>
      <c r="H164" s="19">
        <v>81</v>
      </c>
      <c r="I164" s="19">
        <v>23</v>
      </c>
      <c r="J164" s="19">
        <v>1</v>
      </c>
      <c r="K164" s="19" t="s">
        <v>7</v>
      </c>
    </row>
    <row r="165" spans="1:16">
      <c r="H165" s="25"/>
      <c r="I165" s="19">
        <f>AVERAGE(I2:I164)</f>
        <v>30.343558282208591</v>
      </c>
      <c r="J165" s="19">
        <f>AVERAGE(J2:J164)</f>
        <v>0.59509202453987731</v>
      </c>
      <c r="K165" s="25"/>
    </row>
    <row r="166" spans="1:16">
      <c r="B166" s="18">
        <v>63</v>
      </c>
    </row>
    <row r="167" spans="1:16">
      <c r="E167" s="28"/>
    </row>
    <row r="168" spans="1:16">
      <c r="E168" s="22" t="s">
        <v>175</v>
      </c>
      <c r="N168" s="22" t="s">
        <v>178</v>
      </c>
    </row>
    <row r="169" spans="1:16">
      <c r="E169" s="19" t="s">
        <v>1</v>
      </c>
      <c r="F169" s="19">
        <f>AVERAGEIF($I$2:$I$164,"&lt;="&amp;$I$165)</f>
        <v>15.8989898989899</v>
      </c>
      <c r="G169" s="19">
        <f>AVERAGEIF($I$2:$I$164,"&gt;"&amp;$I$165)</f>
        <v>52.6875</v>
      </c>
      <c r="N169" s="19" t="s">
        <v>181</v>
      </c>
      <c r="O169" s="19">
        <f>AVERAGEIF($J$2:$J$164,"&lt;="&amp;$J$165)</f>
        <v>0</v>
      </c>
      <c r="P169" s="19">
        <f>AVERAGEIF($J$2:$J$164,"&gt;"&amp;$J$165)</f>
        <v>1</v>
      </c>
    </row>
    <row r="170" spans="1:16">
      <c r="E170" s="19" t="str" cm="1">
        <f t="array" ref="E170:E332">IF($I$2:$I$164&lt;$F$169,"kiri",IF($I$2:$I$164&lt;$G$169,"tengah","kanan"))</f>
        <v>kanan</v>
      </c>
      <c r="F170" s="19" t="s">
        <v>231</v>
      </c>
      <c r="G170" s="19"/>
      <c r="N170" s="19" t="str" cm="1">
        <f t="array" ref="N170:N332">IF($J$2:$J$164&lt;$O$169,"kiri",IF($J$2:$J$164&lt;$P$169,"tengah","kanan"))</f>
        <v>kanan</v>
      </c>
      <c r="O170" s="19" t="s">
        <v>185</v>
      </c>
      <c r="P170" s="19"/>
    </row>
    <row r="171" spans="1:16">
      <c r="E171" s="19" t="str">
        <v>kanan</v>
      </c>
      <c r="F171" s="19">
        <f>COUNTIFS($E$170:$E$332,"Kanan",$K$2:$K$164,"Tinggi")</f>
        <v>11</v>
      </c>
      <c r="G171" s="19">
        <f>F171/29</f>
        <v>0.37931034482758619</v>
      </c>
      <c r="N171" s="19" t="str">
        <v>tengah</v>
      </c>
      <c r="O171" s="19">
        <f>COUNTIFS($N$170:$N$332,"Kanan",$K$2:$K$164,"Tinggi")</f>
        <v>45</v>
      </c>
      <c r="P171" s="19">
        <f>O171/97</f>
        <v>0.46391752577319589</v>
      </c>
    </row>
    <row r="172" spans="1:16">
      <c r="E172" s="19" t="str">
        <v>kiri</v>
      </c>
      <c r="F172" s="19">
        <f>COUNTIFS($E$170:$E$332,"Kanan",$K$2:$K$164,"Sedang")</f>
        <v>15</v>
      </c>
      <c r="G172" s="19">
        <f>F172/29</f>
        <v>0.51724137931034486</v>
      </c>
      <c r="N172" s="19" t="str">
        <v>kanan</v>
      </c>
      <c r="O172" s="19">
        <f>COUNTIFS($N$170:$N$332,"Kanan",$K$2:$K$164,"Sedang")</f>
        <v>41</v>
      </c>
      <c r="P172" s="19">
        <f>O172/97</f>
        <v>0.42268041237113402</v>
      </c>
    </row>
    <row r="173" spans="1:16">
      <c r="E173" s="19" t="str">
        <v>tengah</v>
      </c>
      <c r="F173" s="19">
        <f>COUNTIFS($E$170:$E$332,"Kanan",$K$2:$K$164,"Rendah")</f>
        <v>3</v>
      </c>
      <c r="G173" s="19">
        <f>F173/29</f>
        <v>0.10344827586206896</v>
      </c>
      <c r="N173" s="19" t="str">
        <v>kanan</v>
      </c>
      <c r="O173" s="19">
        <f>COUNTIFS($N$170:$N$332,"Kanan",$K$2:$K$164,"Rendah")</f>
        <v>11</v>
      </c>
      <c r="P173" s="19">
        <f>O173/97</f>
        <v>0.1134020618556701</v>
      </c>
    </row>
    <row r="174" spans="1:16">
      <c r="E174" s="19" t="str">
        <v>tengah</v>
      </c>
      <c r="F174" s="19" t="s">
        <v>186</v>
      </c>
      <c r="G174" s="19">
        <f>-(IFERROR(G171*LOG(G171,2),0)+IFERROR(G172*LOG(G172,2),0)+IFERROR(G173*LOG(G173,2),0))</f>
        <v>1.3610156764620027</v>
      </c>
      <c r="N174" s="19" t="str">
        <v>tengah</v>
      </c>
      <c r="O174" s="19" t="s">
        <v>186</v>
      </c>
      <c r="P174" s="19">
        <f>-(IFERROR(P171*LOG(P171,2),0)+IFERROR(P172*LOG(P172,2),0)+IFERROR(P173*LOG(P173,2),0))</f>
        <v>1.395306972814065</v>
      </c>
    </row>
    <row r="175" spans="1:16">
      <c r="E175" s="19" t="str">
        <v>kanan</v>
      </c>
      <c r="F175" s="19"/>
      <c r="G175" s="19">
        <f>SUM(F171:F173)/163</f>
        <v>0.17791411042944785</v>
      </c>
      <c r="N175" s="19" t="str">
        <v>tengah</v>
      </c>
      <c r="O175" s="19"/>
      <c r="P175" s="19">
        <f>SUM(O171:O173)/163</f>
        <v>0.59509202453987731</v>
      </c>
    </row>
    <row r="176" spans="1:16">
      <c r="E176" s="19" t="str">
        <v>tengah</v>
      </c>
      <c r="F176" s="19"/>
      <c r="G176" s="21">
        <f>G174*G175</f>
        <v>0.24214389335827041</v>
      </c>
      <c r="N176" s="19" t="str">
        <v>kanan</v>
      </c>
      <c r="O176" s="19"/>
      <c r="P176" s="21">
        <f>P174*P175</f>
        <v>0.83033605130652954</v>
      </c>
    </row>
    <row r="177" spans="5:16">
      <c r="E177" s="19" t="str">
        <v>kanan</v>
      </c>
      <c r="F177" s="19"/>
      <c r="G177" s="19"/>
      <c r="N177" s="19" t="str">
        <v>tengah</v>
      </c>
      <c r="O177" s="19"/>
      <c r="P177" s="19"/>
    </row>
    <row r="178" spans="5:16">
      <c r="E178" s="19" t="str">
        <v>kiri</v>
      </c>
      <c r="F178" s="19"/>
      <c r="G178" s="19"/>
      <c r="N178" s="19" t="str">
        <v>kanan</v>
      </c>
      <c r="O178" s="19"/>
      <c r="P178" s="19"/>
    </row>
    <row r="179" spans="5:16">
      <c r="E179" s="19" t="str">
        <v>tengah</v>
      </c>
      <c r="F179" s="19" t="s">
        <v>230</v>
      </c>
      <c r="G179" s="19"/>
      <c r="N179" s="19" t="str">
        <v>kanan</v>
      </c>
      <c r="O179" s="19" t="s">
        <v>190</v>
      </c>
      <c r="P179" s="19"/>
    </row>
    <row r="180" spans="5:16">
      <c r="E180" s="19" t="str">
        <v>kiri</v>
      </c>
      <c r="F180" s="19">
        <f>COUNTIFS($E$170:$E$332,"Kiri",$K$2:$K$164,"Tinggi")</f>
        <v>21</v>
      </c>
      <c r="G180" s="19">
        <f>F180/46</f>
        <v>0.45652173913043476</v>
      </c>
      <c r="N180" s="19" t="str">
        <v>tengah</v>
      </c>
      <c r="O180" s="19">
        <f>COUNTIFS($N$170:$N$332,"Kiri",$K$2:$K$164,"Tinggi")</f>
        <v>0</v>
      </c>
      <c r="P180" s="19">
        <f>O180/97</f>
        <v>0</v>
      </c>
    </row>
    <row r="181" spans="5:16">
      <c r="E181" s="19" t="str">
        <v>kiri</v>
      </c>
      <c r="F181" s="19">
        <f>COUNTIFS($E$170:$E$332,"Kiri",$K$2:$K$164,"Sedang")</f>
        <v>18</v>
      </c>
      <c r="G181" s="19">
        <f>F181/46</f>
        <v>0.39130434782608697</v>
      </c>
      <c r="N181" s="19" t="str">
        <v>tengah</v>
      </c>
      <c r="O181" s="19">
        <f>COUNTIFS($N$170:$N$332,"Kiri",$K$2:$K$164,"Sedang")</f>
        <v>0</v>
      </c>
      <c r="P181" s="19">
        <f>O181/97</f>
        <v>0</v>
      </c>
    </row>
    <row r="182" spans="5:16">
      <c r="E182" s="19" t="str">
        <v>tengah</v>
      </c>
      <c r="F182" s="19">
        <f>COUNTIFS($E$170:$E$332,"Kiri",$K$2:$K$164,"Rendah")</f>
        <v>7</v>
      </c>
      <c r="G182" s="19">
        <f>F182/46</f>
        <v>0.15217391304347827</v>
      </c>
      <c r="N182" s="19" t="str">
        <v>tengah</v>
      </c>
      <c r="O182" s="19">
        <f>COUNTIFS($N$170:$N$332,"Kiri",$K$2:$K$164,"Rendah")</f>
        <v>0</v>
      </c>
      <c r="P182" s="19">
        <f>O182/97</f>
        <v>0</v>
      </c>
    </row>
    <row r="183" spans="5:16">
      <c r="E183" s="19" t="str">
        <v>tengah</v>
      </c>
      <c r="F183" s="19" t="s">
        <v>186</v>
      </c>
      <c r="G183" s="19">
        <f>-(IFERROR(G180*LOG(G180,2),0)+IFERROR(G181*LOG(G181,2),0)+IFERROR(G182*LOG(G182,2),0))</f>
        <v>1.4594576004326909</v>
      </c>
      <c r="N183" s="19" t="str">
        <v>tengah</v>
      </c>
      <c r="O183" s="19" t="s">
        <v>186</v>
      </c>
      <c r="P183" s="19">
        <f>-(IFERROR(P180*LOG(P180,2),0)+IFERROR(P181*LOG(P181,2),0)+IFERROR(P182*LOG(P182,2),0))</f>
        <v>0</v>
      </c>
    </row>
    <row r="184" spans="5:16">
      <c r="E184" s="19" t="str">
        <v>kiri</v>
      </c>
      <c r="F184" s="19"/>
      <c r="G184" s="19">
        <f>SUM(F180:F182)/163</f>
        <v>0.2822085889570552</v>
      </c>
      <c r="N184" s="19" t="str">
        <v>kanan</v>
      </c>
      <c r="O184" s="19"/>
      <c r="P184" s="19">
        <f>SUM(O180:O182)/163</f>
        <v>0</v>
      </c>
    </row>
    <row r="185" spans="5:16">
      <c r="E185" s="19" t="str">
        <v>kanan</v>
      </c>
      <c r="F185" s="19"/>
      <c r="G185" s="21">
        <f>G183*G184</f>
        <v>0.41187147006075936</v>
      </c>
      <c r="N185" s="19" t="str">
        <v>tengah</v>
      </c>
      <c r="O185" s="19"/>
      <c r="P185" s="21">
        <f>P183*P184</f>
        <v>0</v>
      </c>
    </row>
    <row r="186" spans="5:16">
      <c r="E186" s="19" t="str">
        <v>tengah</v>
      </c>
      <c r="F186" s="19"/>
      <c r="G186" s="19"/>
      <c r="N186" s="19" t="str">
        <v>kanan</v>
      </c>
      <c r="O186" s="19"/>
      <c r="P186" s="19"/>
    </row>
    <row r="187" spans="5:16">
      <c r="E187" s="19" t="str">
        <v>tengah</v>
      </c>
      <c r="F187" s="19"/>
      <c r="G187" s="19"/>
      <c r="N187" s="19" t="str">
        <v>kanan</v>
      </c>
      <c r="O187" s="19"/>
      <c r="P187" s="19"/>
    </row>
    <row r="188" spans="5:16">
      <c r="E188" s="19" t="str">
        <v>tengah</v>
      </c>
      <c r="F188" s="19" t="s">
        <v>191</v>
      </c>
      <c r="G188" s="19"/>
      <c r="N188" s="19" t="str">
        <v>tengah</v>
      </c>
      <c r="O188" s="19" t="s">
        <v>191</v>
      </c>
      <c r="P188" s="19"/>
    </row>
    <row r="189" spans="5:16">
      <c r="E189" s="19" t="str">
        <v>kiri</v>
      </c>
      <c r="F189" s="19">
        <f>COUNTIFS($E$170:$E$332,"Tengah",$K$2:$K$164,"Tinggi")</f>
        <v>37</v>
      </c>
      <c r="G189" s="19">
        <f>F189/88</f>
        <v>0.42045454545454547</v>
      </c>
      <c r="N189" s="19" t="str">
        <v>tengah</v>
      </c>
      <c r="O189" s="19">
        <f>COUNTIFS($N$170:$N$332,"Tengah",$K$2:$K$164,"Tinggi")</f>
        <v>24</v>
      </c>
      <c r="P189" s="19">
        <f>O189/66</f>
        <v>0.36363636363636365</v>
      </c>
    </row>
    <row r="190" spans="5:16">
      <c r="E190" s="19" t="str">
        <v>kiri</v>
      </c>
      <c r="F190" s="19">
        <f>COUNTIFS($E$170:$E$332,"Tengah",$K$2:$K$164,"Sedang")</f>
        <v>41</v>
      </c>
      <c r="G190" s="19">
        <f>F190/88</f>
        <v>0.46590909090909088</v>
      </c>
      <c r="N190" s="19" t="str">
        <v>tengah</v>
      </c>
      <c r="O190" s="19">
        <f>COUNTIFS($N$170:$N$332,"Tengah",$K$2:$K$164,"Sedang")</f>
        <v>33</v>
      </c>
      <c r="P190" s="19">
        <f>O190/66</f>
        <v>0.5</v>
      </c>
    </row>
    <row r="191" spans="5:16">
      <c r="E191" s="19" t="str">
        <v>tengah</v>
      </c>
      <c r="F191" s="19">
        <f>COUNTIFS($E$170:$E$332,"Tengah",$K$2:$K$164,"Rendah")</f>
        <v>10</v>
      </c>
      <c r="G191" s="19">
        <f>F191/88</f>
        <v>0.11363636363636363</v>
      </c>
      <c r="N191" s="19" t="str">
        <v>kanan</v>
      </c>
      <c r="O191" s="19">
        <f>COUNTIFS($N$170:$N$332,"Tengah",$K$2:$K$164,"Rendah")</f>
        <v>9</v>
      </c>
      <c r="P191" s="19">
        <f>O191/66</f>
        <v>0.13636363636363635</v>
      </c>
    </row>
    <row r="192" spans="5:16">
      <c r="E192" s="19" t="str">
        <v>kanan</v>
      </c>
      <c r="F192" s="19" t="s">
        <v>186</v>
      </c>
      <c r="G192" s="19">
        <f>-(IFERROR(G189*LOG(G189,2),0)+IFERROR(G190*LOG(G190,2),0)+IFERROR(G191*LOG(G191,2),0))</f>
        <v>1.3954692587908633</v>
      </c>
      <c r="N192" s="19" t="str">
        <v>kanan</v>
      </c>
      <c r="O192" s="19" t="s">
        <v>186</v>
      </c>
      <c r="P192" s="19">
        <f>-(IFERROR(P189*LOG(P189,2),0)+IFERROR(P190*LOG(P190,2),0)+IFERROR(P191*LOG(P191,2),0))</f>
        <v>1.4226754683112182</v>
      </c>
    </row>
    <row r="193" spans="5:16">
      <c r="E193" s="19" t="str">
        <v>kiri</v>
      </c>
      <c r="F193" s="19"/>
      <c r="G193" s="19">
        <f>SUM(F189:F191)/163</f>
        <v>0.53987730061349692</v>
      </c>
      <c r="N193" s="19" t="str">
        <v>tengah</v>
      </c>
      <c r="O193" s="19"/>
      <c r="P193" s="19">
        <f>SUM(O189:O191)/163</f>
        <v>0.40490797546012269</v>
      </c>
    </row>
    <row r="194" spans="5:16">
      <c r="E194" s="19" t="str">
        <v>kiri</v>
      </c>
      <c r="F194" s="19"/>
      <c r="G194" s="21">
        <f>G192*G193</f>
        <v>0.75338217652512862</v>
      </c>
      <c r="N194" s="19" t="str">
        <v>tengah</v>
      </c>
      <c r="O194" s="19"/>
      <c r="P194" s="21">
        <f>P192*P193</f>
        <v>0.57605264361067732</v>
      </c>
    </row>
    <row r="195" spans="5:16">
      <c r="E195" s="19" t="str">
        <v>tengah</v>
      </c>
      <c r="F195" s="19"/>
      <c r="G195" s="19"/>
      <c r="N195" s="19" t="str">
        <v>kanan</v>
      </c>
      <c r="O195" s="19"/>
      <c r="P195" s="19"/>
    </row>
    <row r="196" spans="5:16">
      <c r="E196" s="19" t="str">
        <v>kanan</v>
      </c>
      <c r="F196" s="19" t="s">
        <v>192</v>
      </c>
      <c r="G196" s="19"/>
      <c r="N196" s="19" t="str">
        <v>tengah</v>
      </c>
      <c r="O196" s="19" t="s">
        <v>192</v>
      </c>
      <c r="P196" s="19"/>
    </row>
    <row r="197" spans="5:16">
      <c r="E197" s="19" t="str">
        <v>kiri</v>
      </c>
      <c r="F197" s="20">
        <f>P5-(G176+G185+G194)</f>
        <v>6.1999488146295967E-3</v>
      </c>
      <c r="G197" s="19"/>
      <c r="N197" s="19" t="str">
        <v>kanan</v>
      </c>
      <c r="O197" s="20">
        <f>P5-(P176+P185+P194)</f>
        <v>7.2087938415810182E-3</v>
      </c>
      <c r="P197" s="19"/>
    </row>
    <row r="198" spans="5:16">
      <c r="E198" s="19" t="str">
        <v>tengah</v>
      </c>
      <c r="F198" s="19"/>
      <c r="G198" s="19"/>
      <c r="N198" s="19" t="str">
        <v>kanan</v>
      </c>
      <c r="O198" s="19"/>
      <c r="P198" s="19"/>
    </row>
    <row r="199" spans="5:16">
      <c r="E199" s="19" t="str">
        <v>kanan</v>
      </c>
      <c r="F199" s="19"/>
      <c r="G199" s="19"/>
      <c r="N199" s="19" t="str">
        <v>kanan</v>
      </c>
      <c r="O199" s="19"/>
      <c r="P199" s="19"/>
    </row>
    <row r="200" spans="5:16">
      <c r="E200" s="19" t="str">
        <v>tengah</v>
      </c>
      <c r="F200" s="19"/>
      <c r="G200" s="19"/>
      <c r="N200" s="19" t="str">
        <v>kanan</v>
      </c>
      <c r="O200" s="19"/>
      <c r="P200" s="19"/>
    </row>
    <row r="201" spans="5:16">
      <c r="E201" s="19" t="str">
        <v>tengah</v>
      </c>
      <c r="F201" s="19"/>
      <c r="G201" s="19"/>
      <c r="N201" s="19" t="str">
        <v>tengah</v>
      </c>
      <c r="O201" s="19"/>
      <c r="P201" s="19"/>
    </row>
    <row r="202" spans="5:16">
      <c r="E202" s="19" t="str">
        <v>kiri</v>
      </c>
      <c r="F202" s="19"/>
      <c r="G202" s="19"/>
      <c r="N202" s="19" t="str">
        <v>tengah</v>
      </c>
      <c r="O202" s="19"/>
      <c r="P202" s="19"/>
    </row>
    <row r="203" spans="5:16">
      <c r="E203" s="19" t="str">
        <v>kanan</v>
      </c>
      <c r="F203" s="19"/>
      <c r="G203" s="19"/>
      <c r="N203" s="19" t="str">
        <v>kanan</v>
      </c>
      <c r="O203" s="19"/>
      <c r="P203" s="19"/>
    </row>
    <row r="204" spans="5:16">
      <c r="E204" s="19" t="str">
        <v>kanan</v>
      </c>
      <c r="F204" s="19"/>
      <c r="G204" s="19"/>
      <c r="N204" s="19" t="str">
        <v>kanan</v>
      </c>
      <c r="O204" s="19"/>
      <c r="P204" s="19"/>
    </row>
    <row r="205" spans="5:16">
      <c r="E205" s="19" t="str">
        <v>kiri</v>
      </c>
      <c r="F205" s="19"/>
      <c r="G205" s="19"/>
      <c r="N205" s="19" t="str">
        <v>kanan</v>
      </c>
      <c r="O205" s="19"/>
      <c r="P205" s="19"/>
    </row>
    <row r="206" spans="5:16">
      <c r="E206" s="19" t="str">
        <v>tengah</v>
      </c>
      <c r="F206" s="19"/>
      <c r="G206" s="19"/>
      <c r="N206" s="19" t="str">
        <v>kanan</v>
      </c>
      <c r="O206" s="19"/>
      <c r="P206" s="19"/>
    </row>
    <row r="207" spans="5:16">
      <c r="E207" s="19" t="str">
        <v>kanan</v>
      </c>
      <c r="F207" s="19"/>
      <c r="G207" s="19"/>
      <c r="N207" s="19" t="str">
        <v>tengah</v>
      </c>
      <c r="O207" s="19"/>
      <c r="P207" s="19"/>
    </row>
    <row r="208" spans="5:16">
      <c r="E208" s="19" t="str">
        <v>kiri</v>
      </c>
      <c r="F208" s="19"/>
      <c r="G208" s="19"/>
      <c r="N208" s="19" t="str">
        <v>tengah</v>
      </c>
      <c r="O208" s="19"/>
      <c r="P208" s="19"/>
    </row>
    <row r="209" spans="5:16">
      <c r="E209" s="19" t="str">
        <v>tengah</v>
      </c>
      <c r="F209" s="19"/>
      <c r="G209" s="19"/>
      <c r="N209" s="19" t="str">
        <v>tengah</v>
      </c>
      <c r="O209" s="19"/>
      <c r="P209" s="19"/>
    </row>
    <row r="210" spans="5:16">
      <c r="E210" s="19" t="str">
        <v>kiri</v>
      </c>
      <c r="F210" s="19"/>
      <c r="G210" s="19"/>
      <c r="N210" s="19" t="str">
        <v>tengah</v>
      </c>
      <c r="O210" s="19"/>
      <c r="P210" s="19"/>
    </row>
    <row r="211" spans="5:16">
      <c r="E211" s="19" t="str">
        <v>tengah</v>
      </c>
      <c r="F211" s="19"/>
      <c r="G211" s="19"/>
      <c r="N211" s="19" t="str">
        <v>kanan</v>
      </c>
      <c r="O211" s="19"/>
      <c r="P211" s="19"/>
    </row>
    <row r="212" spans="5:16">
      <c r="E212" s="19" t="str">
        <v>tengah</v>
      </c>
      <c r="F212" s="19"/>
      <c r="G212" s="19"/>
      <c r="N212" s="19" t="str">
        <v>tengah</v>
      </c>
      <c r="O212" s="19"/>
      <c r="P212" s="19"/>
    </row>
    <row r="213" spans="5:16">
      <c r="E213" s="19" t="str">
        <v>tengah</v>
      </c>
      <c r="F213" s="19"/>
      <c r="G213" s="19"/>
      <c r="N213" s="19" t="str">
        <v>tengah</v>
      </c>
      <c r="O213" s="19"/>
      <c r="P213" s="19"/>
    </row>
    <row r="214" spans="5:16">
      <c r="E214" s="19" t="str">
        <v>tengah</v>
      </c>
      <c r="F214" s="19"/>
      <c r="G214" s="19"/>
      <c r="N214" s="19" t="str">
        <v>kanan</v>
      </c>
      <c r="O214" s="19"/>
      <c r="P214" s="19"/>
    </row>
    <row r="215" spans="5:16">
      <c r="E215" s="19" t="str">
        <v>kanan</v>
      </c>
      <c r="F215" s="19"/>
      <c r="G215" s="19"/>
      <c r="N215" s="19" t="str">
        <v>kanan</v>
      </c>
      <c r="O215" s="19"/>
      <c r="P215" s="19"/>
    </row>
    <row r="216" spans="5:16">
      <c r="E216" s="19" t="str">
        <v>kanan</v>
      </c>
      <c r="F216" s="19"/>
      <c r="G216" s="19"/>
      <c r="N216" s="19" t="str">
        <v>tengah</v>
      </c>
      <c r="O216" s="19"/>
      <c r="P216" s="19"/>
    </row>
    <row r="217" spans="5:16">
      <c r="E217" s="19" t="str">
        <v>tengah</v>
      </c>
      <c r="F217" s="19"/>
      <c r="G217" s="19"/>
      <c r="N217" s="19" t="str">
        <v>tengah</v>
      </c>
      <c r="O217" s="19"/>
      <c r="P217" s="19"/>
    </row>
    <row r="218" spans="5:16">
      <c r="E218" s="19" t="str">
        <v>kiri</v>
      </c>
      <c r="F218" s="19"/>
      <c r="G218" s="19"/>
      <c r="N218" s="19" t="str">
        <v>tengah</v>
      </c>
      <c r="O218" s="19"/>
      <c r="P218" s="19"/>
    </row>
    <row r="219" spans="5:16">
      <c r="E219" s="19" t="str">
        <v>tengah</v>
      </c>
      <c r="F219" s="19"/>
      <c r="G219" s="19"/>
      <c r="N219" s="19" t="str">
        <v>kanan</v>
      </c>
      <c r="O219" s="19"/>
      <c r="P219" s="19"/>
    </row>
    <row r="220" spans="5:16">
      <c r="E220" s="19" t="str">
        <v>tengah</v>
      </c>
      <c r="F220" s="19"/>
      <c r="G220" s="19"/>
      <c r="N220" s="19" t="str">
        <v>kanan</v>
      </c>
      <c r="O220" s="19"/>
      <c r="P220" s="19"/>
    </row>
    <row r="221" spans="5:16">
      <c r="E221" s="19" t="str">
        <v>tengah</v>
      </c>
      <c r="F221" s="19"/>
      <c r="G221" s="19"/>
      <c r="N221" s="19" t="str">
        <v>kanan</v>
      </c>
      <c r="O221" s="19"/>
      <c r="P221" s="19"/>
    </row>
    <row r="222" spans="5:16">
      <c r="E222" s="19" t="str">
        <v>tengah</v>
      </c>
      <c r="F222" s="19"/>
      <c r="G222" s="19"/>
      <c r="N222" s="19" t="str">
        <v>kanan</v>
      </c>
      <c r="O222" s="19"/>
      <c r="P222" s="19"/>
    </row>
    <row r="223" spans="5:16">
      <c r="E223" s="19" t="str">
        <v>tengah</v>
      </c>
      <c r="F223" s="19"/>
      <c r="G223" s="19"/>
      <c r="N223" s="19" t="str">
        <v>tengah</v>
      </c>
      <c r="O223" s="19"/>
      <c r="P223" s="19"/>
    </row>
    <row r="224" spans="5:16">
      <c r="E224" s="19" t="str">
        <v>tengah</v>
      </c>
      <c r="F224" s="19"/>
      <c r="G224" s="19"/>
      <c r="N224" s="19" t="str">
        <v>tengah</v>
      </c>
      <c r="O224" s="19"/>
      <c r="P224" s="19"/>
    </row>
    <row r="225" spans="5:16">
      <c r="E225" s="19" t="str">
        <v>kiri</v>
      </c>
      <c r="F225" s="19"/>
      <c r="G225" s="19"/>
      <c r="N225" s="19" t="str">
        <v>tengah</v>
      </c>
      <c r="O225" s="19"/>
      <c r="P225" s="19"/>
    </row>
    <row r="226" spans="5:16">
      <c r="E226" s="19" t="str">
        <v>kanan</v>
      </c>
      <c r="F226" s="19"/>
      <c r="G226" s="19"/>
      <c r="N226" s="19" t="str">
        <v>kanan</v>
      </c>
      <c r="O226" s="19"/>
      <c r="P226" s="19"/>
    </row>
    <row r="227" spans="5:16">
      <c r="E227" s="19" t="str">
        <v>tengah</v>
      </c>
      <c r="F227" s="19"/>
      <c r="G227" s="19"/>
      <c r="N227" s="19" t="str">
        <v>tengah</v>
      </c>
      <c r="O227" s="19"/>
      <c r="P227" s="19"/>
    </row>
    <row r="228" spans="5:16">
      <c r="E228" s="19" t="str">
        <v>tengah</v>
      </c>
      <c r="F228" s="19"/>
      <c r="G228" s="19"/>
      <c r="N228" s="19" t="str">
        <v>kanan</v>
      </c>
      <c r="O228" s="19"/>
      <c r="P228" s="19"/>
    </row>
    <row r="229" spans="5:16">
      <c r="E229" s="19" t="str">
        <v>tengah</v>
      </c>
      <c r="F229" s="19"/>
      <c r="G229" s="19"/>
      <c r="N229" s="19" t="str">
        <v>kanan</v>
      </c>
      <c r="O229" s="19"/>
      <c r="P229" s="19"/>
    </row>
    <row r="230" spans="5:16">
      <c r="E230" s="19" t="str">
        <v>tengah</v>
      </c>
      <c r="F230" s="19"/>
      <c r="G230" s="19"/>
      <c r="N230" s="19" t="str">
        <v>kanan</v>
      </c>
      <c r="O230" s="19"/>
      <c r="P230" s="19"/>
    </row>
    <row r="231" spans="5:16">
      <c r="E231" s="19" t="str">
        <v>kiri</v>
      </c>
      <c r="F231" s="19"/>
      <c r="G231" s="19"/>
      <c r="N231" s="19" t="str">
        <v>kanan</v>
      </c>
      <c r="O231" s="19"/>
      <c r="P231" s="19"/>
    </row>
    <row r="232" spans="5:16">
      <c r="E232" s="19" t="str">
        <v>tengah</v>
      </c>
      <c r="F232" s="19"/>
      <c r="G232" s="19"/>
      <c r="N232" s="19" t="str">
        <v>kanan</v>
      </c>
      <c r="O232" s="19"/>
      <c r="P232" s="19"/>
    </row>
    <row r="233" spans="5:16">
      <c r="E233" s="19" t="str">
        <v>tengah</v>
      </c>
      <c r="F233" s="19"/>
      <c r="G233" s="19"/>
      <c r="N233" s="19" t="str">
        <v>kanan</v>
      </c>
      <c r="O233" s="19"/>
      <c r="P233" s="19"/>
    </row>
    <row r="234" spans="5:16">
      <c r="E234" s="19" t="str">
        <v>kiri</v>
      </c>
      <c r="F234" s="19"/>
      <c r="G234" s="19"/>
      <c r="N234" s="19" t="str">
        <v>kanan</v>
      </c>
      <c r="O234" s="19"/>
      <c r="P234" s="19"/>
    </row>
    <row r="235" spans="5:16">
      <c r="E235" s="19" t="str">
        <v>tengah</v>
      </c>
      <c r="F235" s="19"/>
      <c r="G235" s="19"/>
      <c r="N235" s="19" t="str">
        <v>kanan</v>
      </c>
      <c r="O235" s="19"/>
      <c r="P235" s="19"/>
    </row>
    <row r="236" spans="5:16">
      <c r="E236" s="19" t="str">
        <v>kiri</v>
      </c>
      <c r="F236" s="19"/>
      <c r="G236" s="19"/>
      <c r="N236" s="19" t="str">
        <v>tengah</v>
      </c>
      <c r="O236" s="19"/>
      <c r="P236" s="19"/>
    </row>
    <row r="237" spans="5:16">
      <c r="E237" s="19" t="str">
        <v>tengah</v>
      </c>
      <c r="F237" s="19"/>
      <c r="G237" s="19"/>
      <c r="N237" s="19" t="str">
        <v>kanan</v>
      </c>
      <c r="O237" s="19"/>
      <c r="P237" s="19"/>
    </row>
    <row r="238" spans="5:16">
      <c r="E238" s="19" t="str">
        <v>kanan</v>
      </c>
      <c r="F238" s="19"/>
      <c r="G238" s="19"/>
      <c r="N238" s="19" t="str">
        <v>kanan</v>
      </c>
      <c r="O238" s="19"/>
      <c r="P238" s="19"/>
    </row>
    <row r="239" spans="5:16">
      <c r="E239" s="19" t="str">
        <v>kiri</v>
      </c>
      <c r="F239" s="19"/>
      <c r="G239" s="19"/>
      <c r="N239" s="19" t="str">
        <v>tengah</v>
      </c>
      <c r="O239" s="19"/>
      <c r="P239" s="19"/>
    </row>
    <row r="240" spans="5:16">
      <c r="E240" s="19" t="str">
        <v>tengah</v>
      </c>
      <c r="F240" s="19"/>
      <c r="G240" s="19"/>
      <c r="N240" s="19" t="str">
        <v>tengah</v>
      </c>
      <c r="O240" s="19"/>
      <c r="P240" s="19"/>
    </row>
    <row r="241" spans="5:16">
      <c r="E241" s="19" t="str">
        <v>kiri</v>
      </c>
      <c r="F241" s="19"/>
      <c r="G241" s="19"/>
      <c r="N241" s="19" t="str">
        <v>kanan</v>
      </c>
      <c r="O241" s="19"/>
      <c r="P241" s="19"/>
    </row>
    <row r="242" spans="5:16">
      <c r="E242" s="19" t="str">
        <v>kanan</v>
      </c>
      <c r="F242" s="19"/>
      <c r="G242" s="19"/>
      <c r="N242" s="19" t="str">
        <v>kanan</v>
      </c>
      <c r="O242" s="19"/>
      <c r="P242" s="19"/>
    </row>
    <row r="243" spans="5:16">
      <c r="E243" s="19" t="str">
        <v>kanan</v>
      </c>
      <c r="F243" s="19"/>
      <c r="G243" s="19"/>
      <c r="N243" s="19" t="str">
        <v>kanan</v>
      </c>
      <c r="O243" s="19"/>
      <c r="P243" s="19"/>
    </row>
    <row r="244" spans="5:16">
      <c r="E244" s="19" t="str">
        <v>kiri</v>
      </c>
      <c r="F244" s="19"/>
      <c r="G244" s="19"/>
      <c r="N244" s="19" t="str">
        <v>kanan</v>
      </c>
      <c r="O244" s="19"/>
      <c r="P244" s="19"/>
    </row>
    <row r="245" spans="5:16">
      <c r="E245" s="19" t="str">
        <v>tengah</v>
      </c>
      <c r="F245" s="19"/>
      <c r="G245" s="19"/>
      <c r="N245" s="19" t="str">
        <v>kanan</v>
      </c>
      <c r="O245" s="19"/>
      <c r="P245" s="19"/>
    </row>
    <row r="246" spans="5:16">
      <c r="E246" s="19" t="str">
        <v>kiri</v>
      </c>
      <c r="F246" s="19"/>
      <c r="G246" s="19"/>
      <c r="N246" s="19" t="str">
        <v>tengah</v>
      </c>
      <c r="O246" s="19"/>
      <c r="P246" s="19"/>
    </row>
    <row r="247" spans="5:16">
      <c r="E247" s="19" t="str">
        <v>tengah</v>
      </c>
      <c r="F247" s="19"/>
      <c r="G247" s="19"/>
      <c r="N247" s="19" t="str">
        <v>kanan</v>
      </c>
      <c r="O247" s="19"/>
      <c r="P247" s="19"/>
    </row>
    <row r="248" spans="5:16">
      <c r="E248" s="19" t="str">
        <v>kiri</v>
      </c>
      <c r="F248" s="19"/>
      <c r="G248" s="19"/>
      <c r="N248" s="19" t="str">
        <v>kanan</v>
      </c>
      <c r="O248" s="19"/>
      <c r="P248" s="19"/>
    </row>
    <row r="249" spans="5:16">
      <c r="E249" s="19" t="str">
        <v>tengah</v>
      </c>
      <c r="F249" s="19"/>
      <c r="G249" s="19"/>
      <c r="N249" s="19" t="str">
        <v>kanan</v>
      </c>
      <c r="O249" s="19"/>
      <c r="P249" s="19"/>
    </row>
    <row r="250" spans="5:16">
      <c r="E250" s="19" t="str">
        <v>tengah</v>
      </c>
      <c r="F250" s="19"/>
      <c r="G250" s="19"/>
      <c r="N250" s="19" t="str">
        <v>tengah</v>
      </c>
      <c r="O250" s="19"/>
      <c r="P250" s="19"/>
    </row>
    <row r="251" spans="5:16">
      <c r="E251" s="19" t="str">
        <v>tengah</v>
      </c>
      <c r="F251" s="19"/>
      <c r="G251" s="19"/>
      <c r="N251" s="19" t="str">
        <v>kanan</v>
      </c>
      <c r="O251" s="19"/>
      <c r="P251" s="19"/>
    </row>
    <row r="252" spans="5:16">
      <c r="E252" s="19" t="str">
        <v>tengah</v>
      </c>
      <c r="F252" s="19"/>
      <c r="G252" s="19"/>
      <c r="N252" s="19" t="str">
        <v>kanan</v>
      </c>
      <c r="O252" s="19"/>
      <c r="P252" s="19"/>
    </row>
    <row r="253" spans="5:16">
      <c r="E253" s="19" t="str">
        <v>kanan</v>
      </c>
      <c r="F253" s="19"/>
      <c r="G253" s="19"/>
      <c r="N253" s="19" t="str">
        <v>tengah</v>
      </c>
      <c r="O253" s="19"/>
      <c r="P253" s="19"/>
    </row>
    <row r="254" spans="5:16">
      <c r="E254" s="19" t="str">
        <v>kanan</v>
      </c>
      <c r="F254" s="19"/>
      <c r="G254" s="19"/>
      <c r="N254" s="19" t="str">
        <v>kanan</v>
      </c>
      <c r="O254" s="19"/>
      <c r="P254" s="19"/>
    </row>
    <row r="255" spans="5:16">
      <c r="E255" s="19" t="str">
        <v>tengah</v>
      </c>
      <c r="F255" s="19"/>
      <c r="G255" s="19"/>
      <c r="N255" s="19" t="str">
        <v>kanan</v>
      </c>
      <c r="O255" s="19"/>
      <c r="P255" s="19"/>
    </row>
    <row r="256" spans="5:16">
      <c r="E256" s="19" t="str">
        <v>tengah</v>
      </c>
      <c r="F256" s="19"/>
      <c r="G256" s="19"/>
      <c r="N256" s="19" t="str">
        <v>tengah</v>
      </c>
      <c r="O256" s="19"/>
      <c r="P256" s="19"/>
    </row>
    <row r="257" spans="5:16">
      <c r="E257" s="19" t="str">
        <v>kanan</v>
      </c>
      <c r="F257" s="19"/>
      <c r="G257" s="19"/>
      <c r="N257" s="19" t="str">
        <v>tengah</v>
      </c>
      <c r="O257" s="19"/>
      <c r="P257" s="19"/>
    </row>
    <row r="258" spans="5:16">
      <c r="E258" s="19" t="str">
        <v>kiri</v>
      </c>
      <c r="F258" s="19"/>
      <c r="G258" s="19"/>
      <c r="N258" s="19" t="str">
        <v>kanan</v>
      </c>
      <c r="O258" s="19"/>
      <c r="P258" s="19"/>
    </row>
    <row r="259" spans="5:16">
      <c r="E259" s="19" t="str">
        <v>kiri</v>
      </c>
      <c r="F259" s="19"/>
      <c r="G259" s="19"/>
      <c r="N259" s="19" t="str">
        <v>kanan</v>
      </c>
      <c r="O259" s="19"/>
      <c r="P259" s="19"/>
    </row>
    <row r="260" spans="5:16">
      <c r="E260" s="19" t="str">
        <v>kiri</v>
      </c>
      <c r="F260" s="19"/>
      <c r="G260" s="19"/>
      <c r="N260" s="19" t="str">
        <v>kanan</v>
      </c>
      <c r="O260" s="19"/>
      <c r="P260" s="19"/>
    </row>
    <row r="261" spans="5:16">
      <c r="E261" s="19" t="str">
        <v>tengah</v>
      </c>
      <c r="F261" s="19"/>
      <c r="G261" s="19"/>
      <c r="N261" s="19" t="str">
        <v>kanan</v>
      </c>
      <c r="O261" s="19"/>
      <c r="P261" s="19"/>
    </row>
    <row r="262" spans="5:16">
      <c r="E262" s="19" t="str">
        <v>tengah</v>
      </c>
      <c r="F262" s="19"/>
      <c r="G262" s="19"/>
      <c r="N262" s="19" t="str">
        <v>kanan</v>
      </c>
      <c r="O262" s="19"/>
      <c r="P262" s="19"/>
    </row>
    <row r="263" spans="5:16">
      <c r="E263" s="19" t="str">
        <v>tengah</v>
      </c>
      <c r="F263" s="19"/>
      <c r="G263" s="19"/>
      <c r="N263" s="19" t="str">
        <v>tengah</v>
      </c>
      <c r="O263" s="19"/>
      <c r="P263" s="19"/>
    </row>
    <row r="264" spans="5:16">
      <c r="E264" s="19" t="str">
        <v>kiri</v>
      </c>
      <c r="F264" s="19"/>
      <c r="G264" s="19"/>
      <c r="N264" s="19" t="str">
        <v>tengah</v>
      </c>
      <c r="O264" s="19"/>
      <c r="P264" s="19"/>
    </row>
    <row r="265" spans="5:16">
      <c r="E265" s="19" t="str">
        <v>tengah</v>
      </c>
      <c r="F265" s="19"/>
      <c r="G265" s="19"/>
      <c r="N265" s="19" t="str">
        <v>tengah</v>
      </c>
      <c r="O265" s="19"/>
      <c r="P265" s="19"/>
    </row>
    <row r="266" spans="5:16">
      <c r="E266" s="19" t="str">
        <v>kiri</v>
      </c>
      <c r="F266" s="19"/>
      <c r="G266" s="19"/>
      <c r="N266" s="19" t="str">
        <v>tengah</v>
      </c>
      <c r="O266" s="19"/>
      <c r="P266" s="19"/>
    </row>
    <row r="267" spans="5:16">
      <c r="E267" s="19" t="str">
        <v>tengah</v>
      </c>
      <c r="F267" s="19"/>
      <c r="G267" s="19"/>
      <c r="N267" s="19" t="str">
        <v>tengah</v>
      </c>
      <c r="O267" s="19"/>
      <c r="P267" s="19"/>
    </row>
    <row r="268" spans="5:16">
      <c r="E268" s="19" t="str">
        <v>tengah</v>
      </c>
      <c r="F268" s="19"/>
      <c r="G268" s="19"/>
      <c r="N268" s="19" t="str">
        <v>kanan</v>
      </c>
      <c r="O268" s="19"/>
      <c r="P268" s="19"/>
    </row>
    <row r="269" spans="5:16">
      <c r="E269" s="19" t="str">
        <v>kiri</v>
      </c>
      <c r="F269" s="19"/>
      <c r="G269" s="19"/>
      <c r="N269" s="19" t="str">
        <v>tengah</v>
      </c>
      <c r="O269" s="19"/>
      <c r="P269" s="19"/>
    </row>
    <row r="270" spans="5:16">
      <c r="E270" s="19" t="str">
        <v>kanan</v>
      </c>
      <c r="F270" s="19"/>
      <c r="G270" s="19"/>
      <c r="N270" s="19" t="str">
        <v>kanan</v>
      </c>
      <c r="O270" s="19"/>
      <c r="P270" s="19"/>
    </row>
    <row r="271" spans="5:16">
      <c r="E271" s="19" t="str">
        <v>tengah</v>
      </c>
      <c r="F271" s="19"/>
      <c r="G271" s="19"/>
      <c r="N271" s="19" t="str">
        <v>kanan</v>
      </c>
      <c r="O271" s="19"/>
      <c r="P271" s="19"/>
    </row>
    <row r="272" spans="5:16">
      <c r="E272" s="19" t="str">
        <v>tengah</v>
      </c>
      <c r="F272" s="19"/>
      <c r="G272" s="19"/>
      <c r="N272" s="19" t="str">
        <v>kanan</v>
      </c>
      <c r="O272" s="19"/>
      <c r="P272" s="19"/>
    </row>
    <row r="273" spans="5:16">
      <c r="E273" s="19" t="str">
        <v>tengah</v>
      </c>
      <c r="F273" s="19"/>
      <c r="G273" s="19"/>
      <c r="N273" s="19" t="str">
        <v>tengah</v>
      </c>
      <c r="O273" s="19"/>
      <c r="P273" s="19"/>
    </row>
    <row r="274" spans="5:16">
      <c r="E274" s="19" t="str">
        <v>kiri</v>
      </c>
      <c r="F274" s="19"/>
      <c r="G274" s="19"/>
      <c r="N274" s="19" t="str">
        <v>kanan</v>
      </c>
      <c r="O274" s="19"/>
      <c r="P274" s="19"/>
    </row>
    <row r="275" spans="5:16">
      <c r="E275" s="19" t="str">
        <v>kanan</v>
      </c>
      <c r="F275" s="19"/>
      <c r="G275" s="19"/>
      <c r="N275" s="19" t="str">
        <v>tengah</v>
      </c>
      <c r="O275" s="19"/>
      <c r="P275" s="19"/>
    </row>
    <row r="276" spans="5:16">
      <c r="E276" s="19" t="str">
        <v>tengah</v>
      </c>
      <c r="F276" s="19"/>
      <c r="G276" s="19"/>
      <c r="N276" s="19" t="str">
        <v>tengah</v>
      </c>
      <c r="O276" s="19"/>
      <c r="P276" s="19"/>
    </row>
    <row r="277" spans="5:16">
      <c r="E277" s="19" t="str">
        <v>tengah</v>
      </c>
      <c r="F277" s="19"/>
      <c r="G277" s="19"/>
      <c r="N277" s="19" t="str">
        <v>kanan</v>
      </c>
      <c r="O277" s="19"/>
      <c r="P277" s="19"/>
    </row>
    <row r="278" spans="5:16">
      <c r="E278" s="19" t="str">
        <v>kiri</v>
      </c>
      <c r="F278" s="19"/>
      <c r="G278" s="19"/>
      <c r="N278" s="19" t="str">
        <v>kanan</v>
      </c>
      <c r="O278" s="19"/>
      <c r="P278" s="19"/>
    </row>
    <row r="279" spans="5:16">
      <c r="E279" s="19" t="str">
        <v>kiri</v>
      </c>
      <c r="F279" s="19"/>
      <c r="G279" s="19"/>
      <c r="N279" s="19" t="str">
        <v>kanan</v>
      </c>
      <c r="O279" s="19"/>
      <c r="P279" s="19"/>
    </row>
    <row r="280" spans="5:16">
      <c r="E280" s="19" t="str">
        <v>tengah</v>
      </c>
      <c r="F280" s="19"/>
      <c r="G280" s="19"/>
      <c r="N280" s="19" t="str">
        <v>tengah</v>
      </c>
      <c r="O280" s="19"/>
      <c r="P280" s="19"/>
    </row>
    <row r="281" spans="5:16">
      <c r="E281" s="19" t="str">
        <v>kiri</v>
      </c>
      <c r="F281" s="19"/>
      <c r="G281" s="19"/>
      <c r="N281" s="19" t="str">
        <v>tengah</v>
      </c>
      <c r="O281" s="19"/>
      <c r="P281" s="19"/>
    </row>
    <row r="282" spans="5:16">
      <c r="E282" s="19" t="str">
        <v>tengah</v>
      </c>
      <c r="F282" s="19"/>
      <c r="G282" s="19"/>
      <c r="N282" s="19" t="str">
        <v>kanan</v>
      </c>
      <c r="O282" s="19"/>
      <c r="P282" s="19"/>
    </row>
    <row r="283" spans="5:16">
      <c r="E283" s="19" t="str">
        <v>tengah</v>
      </c>
      <c r="F283" s="19"/>
      <c r="G283" s="19"/>
      <c r="N283" s="19" t="str">
        <v>kanan</v>
      </c>
      <c r="O283" s="19"/>
      <c r="P283" s="19"/>
    </row>
    <row r="284" spans="5:16">
      <c r="E284" s="19" t="str">
        <v>tengah</v>
      </c>
      <c r="F284" s="19"/>
      <c r="G284" s="19"/>
      <c r="N284" s="19" t="str">
        <v>kanan</v>
      </c>
      <c r="O284" s="19"/>
      <c r="P284" s="19"/>
    </row>
    <row r="285" spans="5:16">
      <c r="E285" s="19" t="str">
        <v>tengah</v>
      </c>
      <c r="F285" s="19"/>
      <c r="G285" s="19"/>
      <c r="N285" s="19" t="str">
        <v>tengah</v>
      </c>
      <c r="O285" s="19"/>
      <c r="P285" s="19"/>
    </row>
    <row r="286" spans="5:16">
      <c r="E286" s="19" t="str">
        <v>kiri</v>
      </c>
      <c r="F286" s="19"/>
      <c r="G286" s="19"/>
      <c r="N286" s="19" t="str">
        <v>kanan</v>
      </c>
      <c r="O286" s="19"/>
      <c r="P286" s="19"/>
    </row>
    <row r="287" spans="5:16">
      <c r="E287" s="19" t="str">
        <v>tengah</v>
      </c>
      <c r="F287" s="19"/>
      <c r="G287" s="19"/>
      <c r="N287" s="19" t="str">
        <v>tengah</v>
      </c>
      <c r="O287" s="19"/>
      <c r="P287" s="19"/>
    </row>
    <row r="288" spans="5:16">
      <c r="E288" s="19" t="str">
        <v>tengah</v>
      </c>
      <c r="F288" s="19"/>
      <c r="G288" s="19"/>
      <c r="N288" s="19" t="str">
        <v>kanan</v>
      </c>
      <c r="O288" s="19"/>
      <c r="P288" s="19"/>
    </row>
    <row r="289" spans="5:16">
      <c r="E289" s="19" t="str">
        <v>tengah</v>
      </c>
      <c r="F289" s="19"/>
      <c r="G289" s="19"/>
      <c r="N289" s="19" t="str">
        <v>kanan</v>
      </c>
      <c r="O289" s="19"/>
      <c r="P289" s="19"/>
    </row>
    <row r="290" spans="5:16">
      <c r="E290" s="19" t="str">
        <v>tengah</v>
      </c>
      <c r="F290" s="19"/>
      <c r="G290" s="19"/>
      <c r="N290" s="19" t="str">
        <v>kanan</v>
      </c>
      <c r="O290" s="19"/>
      <c r="P290" s="19"/>
    </row>
    <row r="291" spans="5:16">
      <c r="E291" s="19" t="str">
        <v>kanan</v>
      </c>
      <c r="F291" s="19"/>
      <c r="G291" s="19"/>
      <c r="N291" s="19" t="str">
        <v>kanan</v>
      </c>
      <c r="O291" s="19"/>
      <c r="P291" s="19"/>
    </row>
    <row r="292" spans="5:16">
      <c r="E292" s="19" t="str">
        <v>kiri</v>
      </c>
      <c r="F292" s="19"/>
      <c r="G292" s="19"/>
      <c r="N292" s="19" t="str">
        <v>kanan</v>
      </c>
      <c r="O292" s="19"/>
      <c r="P292" s="19"/>
    </row>
    <row r="293" spans="5:16">
      <c r="E293" s="19" t="str">
        <v>tengah</v>
      </c>
      <c r="F293" s="19"/>
      <c r="G293" s="19"/>
      <c r="N293" s="19" t="str">
        <v>tengah</v>
      </c>
      <c r="O293" s="19"/>
      <c r="P293" s="19"/>
    </row>
    <row r="294" spans="5:16">
      <c r="E294" s="19" t="str">
        <v>kiri</v>
      </c>
      <c r="F294" s="19"/>
      <c r="G294" s="19"/>
      <c r="N294" s="19" t="str">
        <v>kanan</v>
      </c>
      <c r="O294" s="19"/>
      <c r="P294" s="19"/>
    </row>
    <row r="295" spans="5:16">
      <c r="E295" s="19" t="str">
        <v>tengah</v>
      </c>
      <c r="F295" s="19"/>
      <c r="G295" s="19"/>
      <c r="N295" s="19" t="str">
        <v>kanan</v>
      </c>
      <c r="O295" s="19"/>
      <c r="P295" s="19"/>
    </row>
    <row r="296" spans="5:16">
      <c r="E296" s="19" t="str">
        <v>kanan</v>
      </c>
      <c r="F296" s="19"/>
      <c r="G296" s="19"/>
      <c r="N296" s="19" t="str">
        <v>tengah</v>
      </c>
      <c r="O296" s="19"/>
      <c r="P296" s="19"/>
    </row>
    <row r="297" spans="5:16">
      <c r="E297" s="19" t="str">
        <v>tengah</v>
      </c>
      <c r="F297" s="19"/>
      <c r="G297" s="19"/>
      <c r="N297" s="19" t="str">
        <v>tengah</v>
      </c>
      <c r="O297" s="19"/>
      <c r="P297" s="19"/>
    </row>
    <row r="298" spans="5:16">
      <c r="E298" s="19" t="str">
        <v>kiri</v>
      </c>
      <c r="F298" s="19"/>
      <c r="G298" s="19"/>
      <c r="N298" s="19" t="str">
        <v>tengah</v>
      </c>
      <c r="O298" s="19"/>
      <c r="P298" s="19"/>
    </row>
    <row r="299" spans="5:16">
      <c r="E299" s="19" t="str">
        <v>tengah</v>
      </c>
      <c r="F299" s="19"/>
      <c r="G299" s="19"/>
      <c r="N299" s="19" t="str">
        <v>kanan</v>
      </c>
      <c r="O299" s="19"/>
      <c r="P299" s="19"/>
    </row>
    <row r="300" spans="5:16">
      <c r="E300" s="19" t="str">
        <v>tengah</v>
      </c>
      <c r="F300" s="19"/>
      <c r="G300" s="19"/>
      <c r="N300" s="19" t="str">
        <v>kanan</v>
      </c>
      <c r="O300" s="19"/>
      <c r="P300" s="19"/>
    </row>
    <row r="301" spans="5:16">
      <c r="E301" s="19" t="str">
        <v>tengah</v>
      </c>
      <c r="F301" s="19"/>
      <c r="G301" s="19"/>
      <c r="N301" s="19" t="str">
        <v>kanan</v>
      </c>
      <c r="O301" s="19"/>
      <c r="P301" s="19"/>
    </row>
    <row r="302" spans="5:16">
      <c r="E302" s="19" t="str">
        <v>kiri</v>
      </c>
      <c r="F302" s="19"/>
      <c r="G302" s="19"/>
      <c r="N302" s="19" t="str">
        <v>tengah</v>
      </c>
      <c r="O302" s="19"/>
      <c r="P302" s="19"/>
    </row>
    <row r="303" spans="5:16">
      <c r="E303" s="19" t="str">
        <v>kanan</v>
      </c>
      <c r="F303" s="19"/>
      <c r="G303" s="19"/>
      <c r="N303" s="19" t="str">
        <v>kanan</v>
      </c>
      <c r="O303" s="19"/>
      <c r="P303" s="19"/>
    </row>
    <row r="304" spans="5:16">
      <c r="E304" s="19" t="str">
        <v>kiri</v>
      </c>
      <c r="F304" s="19"/>
      <c r="G304" s="19"/>
      <c r="N304" s="19" t="str">
        <v>kanan</v>
      </c>
      <c r="O304" s="19"/>
      <c r="P304" s="19"/>
    </row>
    <row r="305" spans="5:16">
      <c r="E305" s="19" t="str">
        <v>kiri</v>
      </c>
      <c r="F305" s="19"/>
      <c r="G305" s="19"/>
      <c r="N305" s="19" t="str">
        <v>kanan</v>
      </c>
      <c r="O305" s="19"/>
      <c r="P305" s="19"/>
    </row>
    <row r="306" spans="5:16">
      <c r="E306" s="19" t="str">
        <v>tengah</v>
      </c>
      <c r="F306" s="19"/>
      <c r="G306" s="19"/>
      <c r="N306" s="19" t="str">
        <v>kanan</v>
      </c>
      <c r="O306" s="19"/>
      <c r="P306" s="19"/>
    </row>
    <row r="307" spans="5:16">
      <c r="E307" s="19" t="str">
        <v>tengah</v>
      </c>
      <c r="F307" s="19"/>
      <c r="G307" s="19"/>
      <c r="N307" s="19" t="str">
        <v>tengah</v>
      </c>
      <c r="O307" s="19"/>
      <c r="P307" s="19"/>
    </row>
    <row r="308" spans="5:16">
      <c r="E308" s="19" t="str">
        <v>tengah</v>
      </c>
      <c r="F308" s="19"/>
      <c r="G308" s="19"/>
      <c r="N308" s="19" t="str">
        <v>kanan</v>
      </c>
      <c r="O308" s="19"/>
      <c r="P308" s="19"/>
    </row>
    <row r="309" spans="5:16">
      <c r="E309" s="19" t="str">
        <v>tengah</v>
      </c>
      <c r="F309" s="19"/>
      <c r="G309" s="19"/>
      <c r="N309" s="19" t="str">
        <v>kanan</v>
      </c>
      <c r="O309" s="19"/>
      <c r="P309" s="19"/>
    </row>
    <row r="310" spans="5:16">
      <c r="E310" s="19" t="str">
        <v>tengah</v>
      </c>
      <c r="F310" s="19"/>
      <c r="G310" s="19"/>
      <c r="N310" s="19" t="str">
        <v>kanan</v>
      </c>
      <c r="O310" s="19"/>
      <c r="P310" s="19"/>
    </row>
    <row r="311" spans="5:16">
      <c r="E311" s="19" t="str">
        <v>tengah</v>
      </c>
      <c r="F311" s="19"/>
      <c r="G311" s="19"/>
      <c r="N311" s="19" t="str">
        <v>kanan</v>
      </c>
      <c r="O311" s="19"/>
      <c r="P311" s="19"/>
    </row>
    <row r="312" spans="5:16">
      <c r="E312" s="19" t="str">
        <v>kiri</v>
      </c>
      <c r="F312" s="19"/>
      <c r="G312" s="19"/>
      <c r="N312" s="19" t="str">
        <v>kanan</v>
      </c>
      <c r="O312" s="19"/>
      <c r="P312" s="19"/>
    </row>
    <row r="313" spans="5:16">
      <c r="E313" s="19" t="str">
        <v>tengah</v>
      </c>
      <c r="F313" s="19"/>
      <c r="G313" s="19"/>
      <c r="N313" s="19" t="str">
        <v>kanan</v>
      </c>
      <c r="O313" s="19"/>
      <c r="P313" s="19"/>
    </row>
    <row r="314" spans="5:16">
      <c r="E314" s="19" t="str">
        <v>kiri</v>
      </c>
      <c r="F314" s="19"/>
      <c r="G314" s="19"/>
      <c r="N314" s="19" t="str">
        <v>kanan</v>
      </c>
      <c r="O314" s="19"/>
      <c r="P314" s="19"/>
    </row>
    <row r="315" spans="5:16">
      <c r="E315" s="19" t="str">
        <v>tengah</v>
      </c>
      <c r="F315" s="19"/>
      <c r="G315" s="19"/>
      <c r="N315" s="19" t="str">
        <v>tengah</v>
      </c>
      <c r="O315" s="19"/>
      <c r="P315" s="19"/>
    </row>
    <row r="316" spans="5:16">
      <c r="E316" s="19" t="str">
        <v>tengah</v>
      </c>
      <c r="F316" s="19"/>
      <c r="G316" s="19"/>
      <c r="N316" s="19" t="str">
        <v>tengah</v>
      </c>
      <c r="O316" s="19"/>
      <c r="P316" s="19"/>
    </row>
    <row r="317" spans="5:16">
      <c r="E317" s="19" t="str">
        <v>tengah</v>
      </c>
      <c r="F317" s="19"/>
      <c r="G317" s="19"/>
      <c r="N317" s="19" t="str">
        <v>kanan</v>
      </c>
      <c r="O317" s="19"/>
      <c r="P317" s="19"/>
    </row>
    <row r="318" spans="5:16">
      <c r="E318" s="19" t="str">
        <v>kanan</v>
      </c>
      <c r="F318" s="19"/>
      <c r="G318" s="19"/>
      <c r="N318" s="19" t="str">
        <v>tengah</v>
      </c>
      <c r="O318" s="19"/>
      <c r="P318" s="19"/>
    </row>
    <row r="319" spans="5:16">
      <c r="E319" s="19" t="str">
        <v>kanan</v>
      </c>
      <c r="F319" s="19"/>
      <c r="G319" s="19"/>
      <c r="N319" s="19" t="str">
        <v>kanan</v>
      </c>
      <c r="O319" s="19"/>
      <c r="P319" s="19"/>
    </row>
    <row r="320" spans="5:16">
      <c r="E320" s="19" t="str">
        <v>kanan</v>
      </c>
      <c r="F320" s="19"/>
      <c r="G320" s="19"/>
      <c r="N320" s="19" t="str">
        <v>kanan</v>
      </c>
      <c r="O320" s="19"/>
      <c r="P320" s="19"/>
    </row>
    <row r="321" spans="5:16">
      <c r="E321" s="19" t="str">
        <v>kiri</v>
      </c>
      <c r="F321" s="19"/>
      <c r="G321" s="19"/>
      <c r="N321" s="19" t="str">
        <v>kanan</v>
      </c>
      <c r="O321" s="19"/>
      <c r="P321" s="19"/>
    </row>
    <row r="322" spans="5:16">
      <c r="E322" s="19" t="str">
        <v>tengah</v>
      </c>
      <c r="F322" s="19"/>
      <c r="G322" s="19"/>
      <c r="N322" s="19" t="str">
        <v>kanan</v>
      </c>
      <c r="O322" s="19"/>
      <c r="P322" s="19"/>
    </row>
    <row r="323" spans="5:16">
      <c r="E323" s="19" t="str">
        <v>tengah</v>
      </c>
      <c r="F323" s="19"/>
      <c r="G323" s="19"/>
      <c r="N323" s="19" t="str">
        <v>tengah</v>
      </c>
      <c r="O323" s="19"/>
      <c r="P323" s="19"/>
    </row>
    <row r="324" spans="5:16">
      <c r="E324" s="19" t="str">
        <v>tengah</v>
      </c>
      <c r="F324" s="19"/>
      <c r="G324" s="19"/>
      <c r="N324" s="19" t="str">
        <v>tengah</v>
      </c>
      <c r="O324" s="19"/>
      <c r="P324" s="19"/>
    </row>
    <row r="325" spans="5:16">
      <c r="E325" s="19" t="str">
        <v>tengah</v>
      </c>
      <c r="F325" s="19"/>
      <c r="G325" s="19"/>
      <c r="N325" s="19" t="str">
        <v>kanan</v>
      </c>
      <c r="O325" s="19"/>
      <c r="P325" s="19"/>
    </row>
    <row r="326" spans="5:16">
      <c r="E326" s="19" t="str">
        <v>kiri</v>
      </c>
      <c r="F326" s="19"/>
      <c r="G326" s="19"/>
      <c r="N326" s="19" t="str">
        <v>tengah</v>
      </c>
      <c r="O326" s="19"/>
      <c r="P326" s="19"/>
    </row>
    <row r="327" spans="5:16">
      <c r="E327" s="19" t="str">
        <v>kiri</v>
      </c>
      <c r="F327" s="19"/>
      <c r="G327" s="19"/>
      <c r="N327" s="19" t="str">
        <v>kanan</v>
      </c>
      <c r="O327" s="19"/>
      <c r="P327" s="19"/>
    </row>
    <row r="328" spans="5:16">
      <c r="E328" s="19" t="str">
        <v>tengah</v>
      </c>
      <c r="F328" s="19"/>
      <c r="G328" s="19"/>
      <c r="N328" s="19" t="str">
        <v>tengah</v>
      </c>
      <c r="O328" s="19"/>
      <c r="P328" s="19"/>
    </row>
    <row r="329" spans="5:16">
      <c r="E329" s="19" t="str">
        <v>tengah</v>
      </c>
      <c r="F329" s="19"/>
      <c r="G329" s="19"/>
      <c r="N329" s="19" t="str">
        <v>tengah</v>
      </c>
      <c r="O329" s="19"/>
      <c r="P329" s="19"/>
    </row>
    <row r="330" spans="5:16">
      <c r="E330" s="19" t="str">
        <v>kanan</v>
      </c>
      <c r="F330" s="19"/>
      <c r="G330" s="19"/>
      <c r="N330" s="19" t="str">
        <v>tengah</v>
      </c>
      <c r="O330" s="19"/>
      <c r="P330" s="19"/>
    </row>
    <row r="331" spans="5:16">
      <c r="E331" s="19" t="str">
        <v>tengah</v>
      </c>
      <c r="F331" s="19"/>
      <c r="G331" s="19"/>
      <c r="N331" s="19" t="str">
        <v>kanan</v>
      </c>
      <c r="O331" s="19"/>
      <c r="P331" s="19"/>
    </row>
    <row r="332" spans="5:16">
      <c r="E332" s="19" t="str">
        <v>tengah</v>
      </c>
      <c r="F332" s="19"/>
      <c r="G332" s="19"/>
      <c r="N332" s="19" t="str">
        <v>kanan</v>
      </c>
      <c r="O332" s="19"/>
      <c r="P332" s="19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98CE9-E1B2-4AFE-A5CE-6B240CAD267B}">
  <dimension ref="A1:Q332"/>
  <sheetViews>
    <sheetView topLeftCell="D1" workbookViewId="0">
      <selection activeCell="O182" sqref="O182"/>
    </sheetView>
  </sheetViews>
  <sheetFormatPr defaultRowHeight="15"/>
  <cols>
    <col min="1" max="2" width="9.140625" style="18"/>
    <col min="3" max="3" width="13.85546875" style="18" bestFit="1" customWidth="1"/>
    <col min="4" max="5" width="9.140625" style="18"/>
    <col min="6" max="6" width="11.5703125" style="18" customWidth="1"/>
    <col min="7" max="9" width="9.140625" style="18"/>
    <col min="10" max="10" width="13.85546875" style="18" bestFit="1" customWidth="1"/>
    <col min="11" max="14" width="9.140625" style="18"/>
    <col min="15" max="15" width="16.140625" style="18" bestFit="1" customWidth="1"/>
    <col min="16" max="16384" width="9.140625" style="18"/>
  </cols>
  <sheetData>
    <row r="1" spans="1:17">
      <c r="A1" s="26" t="s">
        <v>171</v>
      </c>
      <c r="B1" s="26" t="s">
        <v>1</v>
      </c>
      <c r="C1" s="26" t="s">
        <v>5</v>
      </c>
      <c r="H1" s="31" t="s">
        <v>171</v>
      </c>
      <c r="I1" s="31" t="s">
        <v>1</v>
      </c>
      <c r="J1" s="31" t="s">
        <v>5</v>
      </c>
      <c r="O1" s="26" t="s">
        <v>173</v>
      </c>
      <c r="P1" s="25"/>
      <c r="Q1" s="25"/>
    </row>
    <row r="2" spans="1:17">
      <c r="A2" s="19">
        <f t="shared" ref="A2:A33" ca="1" si="0">RANDBETWEEN(2,164)</f>
        <v>145</v>
      </c>
      <c r="B2" s="19" cm="1">
        <f t="array" aca="1" ref="B2" ca="1">INDEX([1]Data_DBD!$B:$B,$A2)</f>
        <v>28</v>
      </c>
      <c r="C2" s="19" t="str" cm="1">
        <f t="array" aca="1" ref="C2" ca="1">INDEX([1]Data_DBD!$F:$F,$A2)</f>
        <v>Tinggi</v>
      </c>
      <c r="H2" s="31">
        <v>102</v>
      </c>
      <c r="I2" s="31">
        <v>41</v>
      </c>
      <c r="J2" s="31" t="s">
        <v>97</v>
      </c>
      <c r="O2" s="25" t="s">
        <v>97</v>
      </c>
      <c r="P2" s="25">
        <f>COUNTIF(J2:J164,"Tinggi")</f>
        <v>74</v>
      </c>
      <c r="Q2" s="25">
        <f>P2/163</f>
        <v>0.45398773006134968</v>
      </c>
    </row>
    <row r="3" spans="1:17">
      <c r="A3" s="19">
        <f t="shared" ca="1" si="0"/>
        <v>84</v>
      </c>
      <c r="B3" s="19" cm="1">
        <f t="array" aca="1" ref="B3" ca="1">INDEX([1]Data_DBD!$B:$B,$A3)</f>
        <v>42</v>
      </c>
      <c r="C3" s="19" t="str" cm="1">
        <f t="array" aca="1" ref="C3" ca="1">INDEX([1]Data_DBD!$F:$F,$A3)</f>
        <v>Sedang</v>
      </c>
      <c r="H3" s="31">
        <v>76</v>
      </c>
      <c r="I3" s="31">
        <v>70</v>
      </c>
      <c r="J3" s="31" t="s">
        <v>7</v>
      </c>
      <c r="O3" s="25" t="s">
        <v>7</v>
      </c>
      <c r="P3" s="25">
        <f>COUNTIF(J2:J164,"Sedang")</f>
        <v>76</v>
      </c>
      <c r="Q3" s="25">
        <f>P3/163</f>
        <v>0.46625766871165641</v>
      </c>
    </row>
    <row r="4" spans="1:17">
      <c r="A4" s="19">
        <f t="shared" ca="1" si="0"/>
        <v>126</v>
      </c>
      <c r="B4" s="19" cm="1">
        <f t="array" aca="1" ref="B4" ca="1">INDEX([1]Data_DBD!$B:$B,$A4)</f>
        <v>51</v>
      </c>
      <c r="C4" s="19" t="str" cm="1">
        <f t="array" aca="1" ref="C4" ca="1">INDEX([1]Data_DBD!$F:$F,$A4)</f>
        <v>Tinggi</v>
      </c>
      <c r="H4" s="31">
        <v>163</v>
      </c>
      <c r="I4" s="31">
        <v>34</v>
      </c>
      <c r="J4" s="31" t="s">
        <v>20</v>
      </c>
      <c r="O4" s="25" t="s">
        <v>20</v>
      </c>
      <c r="P4" s="25">
        <f>COUNTIF(J2:J164,"Rendah")</f>
        <v>13</v>
      </c>
      <c r="Q4" s="25">
        <f>P4/163</f>
        <v>7.9754601226993863E-2</v>
      </c>
    </row>
    <row r="5" spans="1:17">
      <c r="A5" s="19">
        <f t="shared" ca="1" si="0"/>
        <v>3</v>
      </c>
      <c r="B5" s="19" cm="1">
        <f t="array" aca="1" ref="B5" ca="1">INDEX([1]Data_DBD!$B:$B,$A5)</f>
        <v>43</v>
      </c>
      <c r="C5" s="19" t="str" cm="1">
        <f t="array" aca="1" ref="C5" ca="1">INDEX([1]Data_DBD!$F:$F,$A5)</f>
        <v>Sedang</v>
      </c>
      <c r="H5" s="31">
        <v>28</v>
      </c>
      <c r="I5" s="31">
        <v>22</v>
      </c>
      <c r="J5" s="31" t="s">
        <v>7</v>
      </c>
      <c r="O5" s="24" t="s">
        <v>174</v>
      </c>
      <c r="P5" s="18">
        <f>-(IFERROR(Q2*LOG(Q2,2),0)+IFERROR(Q3*LOG(Q3,2),0)+IFERROR(Q4*LOG(Q4,2),0))</f>
        <v>1.3214413050648872</v>
      </c>
    </row>
    <row r="6" spans="1:17">
      <c r="A6" s="19">
        <f t="shared" ca="1" si="0"/>
        <v>132</v>
      </c>
      <c r="B6" s="19" cm="1">
        <f t="array" aca="1" ref="B6" ca="1">INDEX([1]Data_DBD!$B:$B,$A6)</f>
        <v>10</v>
      </c>
      <c r="C6" s="19" t="str" cm="1">
        <f t="array" aca="1" ref="C6" ca="1">INDEX([1]Data_DBD!$F:$F,$A6)</f>
        <v>Tinggi</v>
      </c>
      <c r="H6" s="31">
        <v>161</v>
      </c>
      <c r="I6" s="31">
        <v>12</v>
      </c>
      <c r="J6" s="31" t="s">
        <v>97</v>
      </c>
    </row>
    <row r="7" spans="1:17">
      <c r="A7" s="19">
        <f t="shared" ca="1" si="0"/>
        <v>160</v>
      </c>
      <c r="B7" s="19" cm="1">
        <f t="array" aca="1" ref="B7" ca="1">INDEX([1]Data_DBD!$B:$B,$A7)</f>
        <v>16</v>
      </c>
      <c r="C7" s="19" t="str" cm="1">
        <f t="array" aca="1" ref="C7" ca="1">INDEX([1]Data_DBD!$F:$F,$A7)</f>
        <v>Tinggi</v>
      </c>
      <c r="H7" s="31">
        <v>148</v>
      </c>
      <c r="I7" s="31">
        <v>55</v>
      </c>
      <c r="J7" s="31" t="s">
        <v>97</v>
      </c>
    </row>
    <row r="8" spans="1:17">
      <c r="A8" s="19">
        <f t="shared" ca="1" si="0"/>
        <v>25</v>
      </c>
      <c r="B8" s="19" cm="1">
        <f t="array" aca="1" ref="B8" ca="1">INDEX([1]Data_DBD!$B:$B,$A8)</f>
        <v>81</v>
      </c>
      <c r="C8" s="19" t="str" cm="1">
        <f t="array" aca="1" ref="C8" ca="1">INDEX([1]Data_DBD!$F:$F,$A8)</f>
        <v>Sedang</v>
      </c>
      <c r="H8" s="31">
        <v>81</v>
      </c>
      <c r="I8" s="31">
        <v>23</v>
      </c>
      <c r="J8" s="31" t="s">
        <v>7</v>
      </c>
    </row>
    <row r="9" spans="1:17">
      <c r="A9" s="19">
        <f t="shared" ca="1" si="0"/>
        <v>75</v>
      </c>
      <c r="B9" s="19" cm="1">
        <f t="array" aca="1" ref="B9" ca="1">INDEX([1]Data_DBD!$B:$B,$A9)</f>
        <v>2</v>
      </c>
      <c r="C9" s="19" t="str" cm="1">
        <f t="array" aca="1" ref="C9" ca="1">INDEX([1]Data_DBD!$F:$F,$A9)</f>
        <v>Sedang</v>
      </c>
      <c r="H9" s="31">
        <v>8</v>
      </c>
      <c r="I9" s="31">
        <v>4</v>
      </c>
      <c r="J9" s="31" t="s">
        <v>7</v>
      </c>
    </row>
    <row r="10" spans="1:17">
      <c r="A10" s="19">
        <f t="shared" ca="1" si="0"/>
        <v>159</v>
      </c>
      <c r="B10" s="19" cm="1">
        <f t="array" aca="1" ref="B10" ca="1">INDEX([1]Data_DBD!$B:$B,$A10)</f>
        <v>17</v>
      </c>
      <c r="C10" s="19" t="str" cm="1">
        <f t="array" aca="1" ref="C10" ca="1">INDEX([1]Data_DBD!$F:$F,$A10)</f>
        <v>Tinggi</v>
      </c>
      <c r="H10" s="31">
        <v>116</v>
      </c>
      <c r="I10" s="31">
        <v>32</v>
      </c>
      <c r="J10" s="31" t="s">
        <v>97</v>
      </c>
    </row>
    <row r="11" spans="1:17">
      <c r="A11" s="19">
        <f t="shared" ca="1" si="0"/>
        <v>138</v>
      </c>
      <c r="B11" s="19" cm="1">
        <f t="array" aca="1" ref="B11" ca="1">INDEX([1]Data_DBD!$B:$B,$A11)</f>
        <v>13</v>
      </c>
      <c r="C11" s="19" t="str" cm="1">
        <f t="array" aca="1" ref="C11" ca="1">INDEX([1]Data_DBD!$F:$F,$A11)</f>
        <v>Tinggi</v>
      </c>
      <c r="H11" s="31">
        <v>17</v>
      </c>
      <c r="I11" s="31">
        <v>2</v>
      </c>
      <c r="J11" s="31" t="s">
        <v>20</v>
      </c>
    </row>
    <row r="12" spans="1:17">
      <c r="A12" s="19">
        <f t="shared" ca="1" si="0"/>
        <v>31</v>
      </c>
      <c r="B12" s="19" cm="1">
        <f t="array" aca="1" ref="B12" ca="1">INDEX([1]Data_DBD!$B:$B,$A12)</f>
        <v>64</v>
      </c>
      <c r="C12" s="19" t="str" cm="1">
        <f t="array" aca="1" ref="C12" ca="1">INDEX([1]Data_DBD!$F:$F,$A12)</f>
        <v>Sedang</v>
      </c>
      <c r="H12" s="31">
        <v>162</v>
      </c>
      <c r="I12" s="31">
        <v>22</v>
      </c>
      <c r="J12" s="31" t="s">
        <v>20</v>
      </c>
    </row>
    <row r="13" spans="1:17">
      <c r="A13" s="19">
        <f t="shared" ca="1" si="0"/>
        <v>37</v>
      </c>
      <c r="B13" s="19" cm="1">
        <f t="array" aca="1" ref="B13" ca="1">INDEX([1]Data_DBD!$B:$B,$A13)</f>
        <v>28</v>
      </c>
      <c r="C13" s="19" t="str" cm="1">
        <f t="array" aca="1" ref="C13" ca="1">INDEX([1]Data_DBD!$F:$F,$A13)</f>
        <v>Rendah</v>
      </c>
      <c r="H13" s="31">
        <v>7</v>
      </c>
      <c r="I13" s="31">
        <v>12</v>
      </c>
      <c r="J13" s="31" t="s">
        <v>7</v>
      </c>
    </row>
    <row r="14" spans="1:17">
      <c r="A14" s="19">
        <f t="shared" ca="1" si="0"/>
        <v>145</v>
      </c>
      <c r="B14" s="19" cm="1">
        <f t="array" aca="1" ref="B14" ca="1">INDEX([1]Data_DBD!$B:$B,$A14)</f>
        <v>28</v>
      </c>
      <c r="C14" s="19" t="str" cm="1">
        <f t="array" aca="1" ref="C14" ca="1">INDEX([1]Data_DBD!$F:$F,$A14)</f>
        <v>Tinggi</v>
      </c>
      <c r="H14" s="31">
        <v>25</v>
      </c>
      <c r="I14" s="31">
        <v>81</v>
      </c>
      <c r="J14" s="31" t="s">
        <v>7</v>
      </c>
    </row>
    <row r="15" spans="1:17">
      <c r="A15" s="19">
        <f t="shared" ca="1" si="0"/>
        <v>129</v>
      </c>
      <c r="B15" s="19" cm="1">
        <f t="array" aca="1" ref="B15" ca="1">INDEX([1]Data_DBD!$B:$B,$A15)</f>
        <v>4</v>
      </c>
      <c r="C15" s="19" t="str" cm="1">
        <f t="array" aca="1" ref="C15" ca="1">INDEX([1]Data_DBD!$F:$F,$A15)</f>
        <v>Tinggi</v>
      </c>
      <c r="H15" s="31">
        <v>143</v>
      </c>
      <c r="I15" s="31">
        <v>20</v>
      </c>
      <c r="J15" s="31" t="s">
        <v>97</v>
      </c>
    </row>
    <row r="16" spans="1:17">
      <c r="A16" s="19">
        <f t="shared" ca="1" si="0"/>
        <v>52</v>
      </c>
      <c r="B16" s="19" cm="1">
        <f t="array" aca="1" ref="B16" ca="1">INDEX([1]Data_DBD!$B:$B,$A16)</f>
        <v>59</v>
      </c>
      <c r="C16" s="19" t="str" cm="1">
        <f t="array" aca="1" ref="C16" ca="1">INDEX([1]Data_DBD!$F:$F,$A16)</f>
        <v>Sedang</v>
      </c>
      <c r="H16" s="31">
        <v>22</v>
      </c>
      <c r="I16" s="31">
        <v>6</v>
      </c>
      <c r="J16" s="31" t="s">
        <v>7</v>
      </c>
    </row>
    <row r="17" spans="1:10">
      <c r="A17" s="19">
        <f t="shared" ca="1" si="0"/>
        <v>36</v>
      </c>
      <c r="B17" s="19" cm="1">
        <f t="array" aca="1" ref="B17" ca="1">INDEX([1]Data_DBD!$B:$B,$A17)</f>
        <v>27</v>
      </c>
      <c r="C17" s="19" t="str" cm="1">
        <f t="array" aca="1" ref="C17" ca="1">INDEX([1]Data_DBD!$F:$F,$A17)</f>
        <v>Rendah</v>
      </c>
      <c r="H17" s="31">
        <v>86</v>
      </c>
      <c r="I17" s="31">
        <v>23</v>
      </c>
      <c r="J17" s="31" t="s">
        <v>7</v>
      </c>
    </row>
    <row r="18" spans="1:10">
      <c r="A18" s="19">
        <f t="shared" ca="1" si="0"/>
        <v>115</v>
      </c>
      <c r="B18" s="19" cm="1">
        <f t="array" aca="1" ref="B18" ca="1">INDEX([1]Data_DBD!$B:$B,$A18)</f>
        <v>52</v>
      </c>
      <c r="C18" s="19" t="str" cm="1">
        <f t="array" aca="1" ref="C18" ca="1">INDEX([1]Data_DBD!$F:$F,$A18)</f>
        <v>Tinggi</v>
      </c>
      <c r="H18" s="31">
        <v>92</v>
      </c>
      <c r="I18" s="31">
        <v>55</v>
      </c>
      <c r="J18" s="31" t="s">
        <v>97</v>
      </c>
    </row>
    <row r="19" spans="1:10">
      <c r="A19" s="19">
        <f t="shared" ca="1" si="0"/>
        <v>32</v>
      </c>
      <c r="B19" s="19" cm="1">
        <f t="array" aca="1" ref="B19" ca="1">INDEX([1]Data_DBD!$B:$B,$A19)</f>
        <v>54</v>
      </c>
      <c r="C19" s="19" t="str" cm="1">
        <f t="array" aca="1" ref="C19" ca="1">INDEX([1]Data_DBD!$F:$F,$A19)</f>
        <v>Sedang</v>
      </c>
      <c r="H19" s="31">
        <v>136</v>
      </c>
      <c r="I19" s="31">
        <v>6</v>
      </c>
      <c r="J19" s="31" t="s">
        <v>97</v>
      </c>
    </row>
    <row r="20" spans="1:10">
      <c r="A20" s="19">
        <f t="shared" ca="1" si="0"/>
        <v>43</v>
      </c>
      <c r="B20" s="19" cm="1">
        <f t="array" aca="1" ref="B20" ca="1">INDEX([1]Data_DBD!$B:$B,$A20)</f>
        <v>15</v>
      </c>
      <c r="C20" s="19" t="str" cm="1">
        <f t="array" aca="1" ref="C20" ca="1">INDEX([1]Data_DBD!$F:$F,$A20)</f>
        <v>Sedang</v>
      </c>
      <c r="H20" s="31">
        <v>65</v>
      </c>
      <c r="I20" s="31">
        <v>49</v>
      </c>
      <c r="J20" s="31" t="s">
        <v>7</v>
      </c>
    </row>
    <row r="21" spans="1:10">
      <c r="A21" s="19">
        <f t="shared" ca="1" si="0"/>
        <v>14</v>
      </c>
      <c r="B21" s="19" cm="1">
        <f t="array" aca="1" ref="B21" ca="1">INDEX([1]Data_DBD!$B:$B,$A21)</f>
        <v>49</v>
      </c>
      <c r="C21" s="19" t="str" cm="1">
        <f t="array" aca="1" ref="C21" ca="1">INDEX([1]Data_DBD!$F:$F,$A21)</f>
        <v>Rendah</v>
      </c>
      <c r="H21" s="31">
        <v>34</v>
      </c>
      <c r="I21" s="31">
        <v>55</v>
      </c>
      <c r="J21" s="31" t="s">
        <v>7</v>
      </c>
    </row>
    <row r="22" spans="1:10">
      <c r="A22" s="19">
        <f t="shared" ca="1" si="0"/>
        <v>45</v>
      </c>
      <c r="B22" s="19" cm="1">
        <f t="array" aca="1" ref="B22" ca="1">INDEX([1]Data_DBD!$B:$B,$A22)</f>
        <v>75</v>
      </c>
      <c r="C22" s="19" t="str" cm="1">
        <f t="array" aca="1" ref="C22" ca="1">INDEX([1]Data_DBD!$F:$F,$A22)</f>
        <v>Sedang</v>
      </c>
      <c r="H22" s="31">
        <v>90</v>
      </c>
      <c r="I22" s="31">
        <v>47</v>
      </c>
      <c r="J22" s="31" t="s">
        <v>97</v>
      </c>
    </row>
    <row r="23" spans="1:10">
      <c r="A23" s="19">
        <f t="shared" ca="1" si="0"/>
        <v>8</v>
      </c>
      <c r="B23" s="19" cm="1">
        <f t="array" aca="1" ref="B23" ca="1">INDEX([1]Data_DBD!$B:$B,$A23)</f>
        <v>4</v>
      </c>
      <c r="C23" s="19" t="str" cm="1">
        <f t="array" aca="1" ref="C23" ca="1">INDEX([1]Data_DBD!$F:$F,$A23)</f>
        <v>Sedang</v>
      </c>
      <c r="H23" s="31">
        <v>115</v>
      </c>
      <c r="I23" s="31">
        <v>52</v>
      </c>
      <c r="J23" s="31" t="s">
        <v>97</v>
      </c>
    </row>
    <row r="24" spans="1:10">
      <c r="A24" s="19">
        <f t="shared" ca="1" si="0"/>
        <v>144</v>
      </c>
      <c r="B24" s="19" cm="1">
        <f t="array" aca="1" ref="B24" ca="1">INDEX([1]Data_DBD!$B:$B,$A24)</f>
        <v>61</v>
      </c>
      <c r="C24" s="19" t="str" cm="1">
        <f t="array" aca="1" ref="C24" ca="1">INDEX([1]Data_DBD!$F:$F,$A24)</f>
        <v>Tinggi</v>
      </c>
      <c r="H24" s="31">
        <v>31</v>
      </c>
      <c r="I24" s="31">
        <v>64</v>
      </c>
      <c r="J24" s="31" t="s">
        <v>7</v>
      </c>
    </row>
    <row r="25" spans="1:10">
      <c r="A25" s="19">
        <f t="shared" ca="1" si="0"/>
        <v>79</v>
      </c>
      <c r="B25" s="19" cm="1">
        <f t="array" aca="1" ref="B25" ca="1">INDEX([1]Data_DBD!$B:$B,$A25)</f>
        <v>29</v>
      </c>
      <c r="C25" s="19" t="str" cm="1">
        <f t="array" aca="1" ref="C25" ca="1">INDEX([1]Data_DBD!$F:$F,$A25)</f>
        <v>Sedang</v>
      </c>
      <c r="H25" s="31">
        <v>120</v>
      </c>
      <c r="I25" s="31">
        <v>26</v>
      </c>
      <c r="J25" s="31" t="s">
        <v>97</v>
      </c>
    </row>
    <row r="26" spans="1:10">
      <c r="A26" s="19">
        <f t="shared" ca="1" si="0"/>
        <v>74</v>
      </c>
      <c r="B26" s="19" cm="1">
        <f t="array" aca="1" ref="B26" ca="1">INDEX([1]Data_DBD!$B:$B,$A26)</f>
        <v>9</v>
      </c>
      <c r="C26" s="19" t="str" cm="1">
        <f t="array" aca="1" ref="C26" ca="1">INDEX([1]Data_DBD!$F:$F,$A26)</f>
        <v>Sedang</v>
      </c>
      <c r="H26" s="31">
        <v>127</v>
      </c>
      <c r="I26" s="31">
        <v>21</v>
      </c>
      <c r="J26" s="31" t="s">
        <v>97</v>
      </c>
    </row>
    <row r="27" spans="1:10">
      <c r="A27" s="19">
        <f t="shared" ca="1" si="0"/>
        <v>70</v>
      </c>
      <c r="B27" s="19" cm="1">
        <f t="array" aca="1" ref="B27" ca="1">INDEX([1]Data_DBD!$B:$B,$A27)</f>
        <v>26</v>
      </c>
      <c r="C27" s="19" t="str" cm="1">
        <f t="array" aca="1" ref="C27" ca="1">INDEX([1]Data_DBD!$F:$F,$A27)</f>
        <v>Sedang</v>
      </c>
      <c r="H27" s="31">
        <v>69</v>
      </c>
      <c r="I27" s="31">
        <v>24</v>
      </c>
      <c r="J27" s="31" t="s">
        <v>7</v>
      </c>
    </row>
    <row r="28" spans="1:10">
      <c r="A28" s="19">
        <f t="shared" ca="1" si="0"/>
        <v>32</v>
      </c>
      <c r="B28" s="19" cm="1">
        <f t="array" aca="1" ref="B28" ca="1">INDEX([1]Data_DBD!$B:$B,$A28)</f>
        <v>54</v>
      </c>
      <c r="C28" s="19" t="str" cm="1">
        <f t="array" aca="1" ref="C28" ca="1">INDEX([1]Data_DBD!$F:$F,$A28)</f>
        <v>Sedang</v>
      </c>
      <c r="H28" s="31">
        <v>42</v>
      </c>
      <c r="I28" s="31">
        <v>21</v>
      </c>
      <c r="J28" s="31" t="s">
        <v>7</v>
      </c>
    </row>
    <row r="29" spans="1:10">
      <c r="A29" s="19">
        <f t="shared" ca="1" si="0"/>
        <v>73</v>
      </c>
      <c r="B29" s="19" cm="1">
        <f t="array" aca="1" ref="B29" ca="1">INDEX([1]Data_DBD!$B:$B,$A29)</f>
        <v>15</v>
      </c>
      <c r="C29" s="19" t="str" cm="1">
        <f t="array" aca="1" ref="C29" ca="1">INDEX([1]Data_DBD!$F:$F,$A29)</f>
        <v>Sedang</v>
      </c>
      <c r="H29" s="31">
        <v>129</v>
      </c>
      <c r="I29" s="31">
        <v>4</v>
      </c>
      <c r="J29" s="31" t="s">
        <v>97</v>
      </c>
    </row>
    <row r="30" spans="1:10">
      <c r="A30" s="19">
        <f t="shared" ca="1" si="0"/>
        <v>35</v>
      </c>
      <c r="B30" s="19" cm="1">
        <f t="array" aca="1" ref="B30" ca="1">INDEX([1]Data_DBD!$B:$B,$A30)</f>
        <v>40</v>
      </c>
      <c r="C30" s="19" t="str" cm="1">
        <f t="array" aca="1" ref="C30" ca="1">INDEX([1]Data_DBD!$F:$F,$A30)</f>
        <v>Rendah</v>
      </c>
      <c r="H30" s="31">
        <v>101</v>
      </c>
      <c r="I30" s="31">
        <v>42</v>
      </c>
      <c r="J30" s="31" t="s">
        <v>97</v>
      </c>
    </row>
    <row r="31" spans="1:10">
      <c r="A31" s="19">
        <f t="shared" ca="1" si="0"/>
        <v>147</v>
      </c>
      <c r="B31" s="19" cm="1">
        <f t="array" aca="1" ref="B31" ca="1">INDEX([1]Data_DBD!$B:$B,$A31)</f>
        <v>66</v>
      </c>
      <c r="C31" s="19" t="str" cm="1">
        <f t="array" aca="1" ref="C31" ca="1">INDEX([1]Data_DBD!$F:$F,$A31)</f>
        <v>Tinggi</v>
      </c>
      <c r="H31" s="31">
        <v>141</v>
      </c>
      <c r="I31" s="31">
        <v>36</v>
      </c>
      <c r="J31" s="31" t="s">
        <v>97</v>
      </c>
    </row>
    <row r="32" spans="1:10">
      <c r="A32" s="19">
        <f t="shared" ca="1" si="0"/>
        <v>8</v>
      </c>
      <c r="B32" s="19" cm="1">
        <f t="array" aca="1" ref="B32" ca="1">INDEX([1]Data_DBD!$B:$B,$A32)</f>
        <v>4</v>
      </c>
      <c r="C32" s="19" t="str" cm="1">
        <f t="array" aca="1" ref="C32" ca="1">INDEX([1]Data_DBD!$F:$F,$A32)</f>
        <v>Sedang</v>
      </c>
      <c r="H32" s="31">
        <v>152</v>
      </c>
      <c r="I32" s="31">
        <v>47</v>
      </c>
      <c r="J32" s="31" t="s">
        <v>97</v>
      </c>
    </row>
    <row r="33" spans="1:10">
      <c r="A33" s="19">
        <f t="shared" ca="1" si="0"/>
        <v>69</v>
      </c>
      <c r="B33" s="19" cm="1">
        <f t="array" aca="1" ref="B33" ca="1">INDEX([1]Data_DBD!$B:$B,$A33)</f>
        <v>24</v>
      </c>
      <c r="C33" s="19" t="str" cm="1">
        <f t="array" aca="1" ref="C33" ca="1">INDEX([1]Data_DBD!$F:$F,$A33)</f>
        <v>Sedang</v>
      </c>
      <c r="H33" s="31">
        <v>81</v>
      </c>
      <c r="I33" s="31">
        <v>23</v>
      </c>
      <c r="J33" s="31" t="s">
        <v>7</v>
      </c>
    </row>
    <row r="34" spans="1:10">
      <c r="A34" s="19">
        <f t="shared" ref="A34:A65" ca="1" si="1">RANDBETWEEN(2,164)</f>
        <v>21</v>
      </c>
      <c r="B34" s="19" cm="1">
        <f t="array" aca="1" ref="B34" ca="1">INDEX([1]Data_DBD!$B:$B,$A34)</f>
        <v>10</v>
      </c>
      <c r="C34" s="19" t="str" cm="1">
        <f t="array" aca="1" ref="C34" ca="1">INDEX([1]Data_DBD!$F:$F,$A34)</f>
        <v>Sedang</v>
      </c>
      <c r="H34" s="31">
        <v>41</v>
      </c>
      <c r="I34" s="31">
        <v>8</v>
      </c>
      <c r="J34" s="31" t="s">
        <v>7</v>
      </c>
    </row>
    <row r="35" spans="1:10">
      <c r="A35" s="19">
        <f t="shared" ca="1" si="1"/>
        <v>22</v>
      </c>
      <c r="B35" s="19" cm="1">
        <f t="array" aca="1" ref="B35" ca="1">INDEX([1]Data_DBD!$B:$B,$A35)</f>
        <v>6</v>
      </c>
      <c r="C35" s="19" t="str" cm="1">
        <f t="array" aca="1" ref="C35" ca="1">INDEX([1]Data_DBD!$F:$F,$A35)</f>
        <v>Sedang</v>
      </c>
      <c r="H35" s="31">
        <v>129</v>
      </c>
      <c r="I35" s="31">
        <v>4</v>
      </c>
      <c r="J35" s="31" t="s">
        <v>97</v>
      </c>
    </row>
    <row r="36" spans="1:10">
      <c r="A36" s="19">
        <f t="shared" ca="1" si="1"/>
        <v>118</v>
      </c>
      <c r="B36" s="19" cm="1">
        <f t="array" aca="1" ref="B36" ca="1">INDEX([1]Data_DBD!$B:$B,$A36)</f>
        <v>67</v>
      </c>
      <c r="C36" s="19" t="str" cm="1">
        <f t="array" aca="1" ref="C36" ca="1">INDEX([1]Data_DBD!$F:$F,$A36)</f>
        <v>Tinggi</v>
      </c>
      <c r="H36" s="31">
        <v>148</v>
      </c>
      <c r="I36" s="31">
        <v>55</v>
      </c>
      <c r="J36" s="31" t="s">
        <v>97</v>
      </c>
    </row>
    <row r="37" spans="1:10">
      <c r="A37" s="19">
        <f t="shared" ca="1" si="1"/>
        <v>146</v>
      </c>
      <c r="B37" s="19" cm="1">
        <f t="array" aca="1" ref="B37" ca="1">INDEX([1]Data_DBD!$B:$B,$A37)</f>
        <v>34</v>
      </c>
      <c r="C37" s="19" t="str" cm="1">
        <f t="array" aca="1" ref="C37" ca="1">INDEX([1]Data_DBD!$F:$F,$A37)</f>
        <v>Tinggi</v>
      </c>
      <c r="H37" s="31">
        <v>59</v>
      </c>
      <c r="I37" s="31">
        <v>28</v>
      </c>
      <c r="J37" s="31" t="s">
        <v>7</v>
      </c>
    </row>
    <row r="38" spans="1:10">
      <c r="A38" s="19">
        <f t="shared" ca="1" si="1"/>
        <v>139</v>
      </c>
      <c r="B38" s="19" cm="1">
        <f t="array" aca="1" ref="B38" ca="1">INDEX([1]Data_DBD!$B:$B,$A38)</f>
        <v>52</v>
      </c>
      <c r="C38" s="19" t="str" cm="1">
        <f t="array" aca="1" ref="C38" ca="1">INDEX([1]Data_DBD!$F:$F,$A38)</f>
        <v>Tinggi</v>
      </c>
      <c r="H38" s="31">
        <v>88</v>
      </c>
      <c r="I38" s="31">
        <v>20</v>
      </c>
      <c r="J38" s="31" t="s">
        <v>7</v>
      </c>
    </row>
    <row r="39" spans="1:10">
      <c r="A39" s="19">
        <f t="shared" ca="1" si="1"/>
        <v>106</v>
      </c>
      <c r="B39" s="19" cm="1">
        <f t="array" aca="1" ref="B39" ca="1">INDEX([1]Data_DBD!$B:$B,$A39)</f>
        <v>23</v>
      </c>
      <c r="C39" s="19" t="str" cm="1">
        <f t="array" aca="1" ref="C39" ca="1">INDEX([1]Data_DBD!$F:$F,$A39)</f>
        <v>Tinggi</v>
      </c>
      <c r="H39" s="31">
        <v>39</v>
      </c>
      <c r="I39" s="31">
        <v>12</v>
      </c>
      <c r="J39" s="31" t="s">
        <v>7</v>
      </c>
    </row>
    <row r="40" spans="1:10">
      <c r="A40" s="19">
        <f t="shared" ca="1" si="1"/>
        <v>44</v>
      </c>
      <c r="B40" s="19" cm="1">
        <f t="array" aca="1" ref="B40" ca="1">INDEX([1]Data_DBD!$B:$B,$A40)</f>
        <v>28</v>
      </c>
      <c r="C40" s="19" t="str" cm="1">
        <f t="array" aca="1" ref="C40" ca="1">INDEX([1]Data_DBD!$F:$F,$A40)</f>
        <v>Sedang</v>
      </c>
      <c r="H40" s="31">
        <v>99</v>
      </c>
      <c r="I40" s="31">
        <v>4</v>
      </c>
      <c r="J40" s="31" t="s">
        <v>97</v>
      </c>
    </row>
    <row r="41" spans="1:10">
      <c r="A41" s="19">
        <f t="shared" ca="1" si="1"/>
        <v>162</v>
      </c>
      <c r="B41" s="19" cm="1">
        <f t="array" aca="1" ref="B41" ca="1">INDEX([1]Data_DBD!$B:$B,$A41)</f>
        <v>22</v>
      </c>
      <c r="C41" s="19" t="str" cm="1">
        <f t="array" aca="1" ref="C41" ca="1">INDEX([1]Data_DBD!$F:$F,$A41)</f>
        <v>Rendah</v>
      </c>
      <c r="H41" s="31">
        <v>64</v>
      </c>
      <c r="I41" s="31">
        <v>35</v>
      </c>
      <c r="J41" s="31" t="s">
        <v>7</v>
      </c>
    </row>
    <row r="42" spans="1:10">
      <c r="A42" s="19">
        <f t="shared" ca="1" si="1"/>
        <v>60</v>
      </c>
      <c r="B42" s="19" cm="1">
        <f t="array" aca="1" ref="B42" ca="1">INDEX([1]Data_DBD!$B:$B,$A42)</f>
        <v>68</v>
      </c>
      <c r="C42" s="19" t="str" cm="1">
        <f t="array" aca="1" ref="C42" ca="1">INDEX([1]Data_DBD!$F:$F,$A42)</f>
        <v>Sedang</v>
      </c>
      <c r="H42" s="31">
        <v>138</v>
      </c>
      <c r="I42" s="31">
        <v>13</v>
      </c>
      <c r="J42" s="31" t="s">
        <v>97</v>
      </c>
    </row>
    <row r="43" spans="1:10">
      <c r="A43" s="19">
        <f t="shared" ca="1" si="1"/>
        <v>31</v>
      </c>
      <c r="B43" s="19" cm="1">
        <f t="array" aca="1" ref="B43" ca="1">INDEX([1]Data_DBD!$B:$B,$A43)</f>
        <v>64</v>
      </c>
      <c r="C43" s="19" t="str" cm="1">
        <f t="array" aca="1" ref="C43" ca="1">INDEX([1]Data_DBD!$F:$F,$A43)</f>
        <v>Sedang</v>
      </c>
      <c r="H43" s="31">
        <v>111</v>
      </c>
      <c r="I43" s="31">
        <v>25</v>
      </c>
      <c r="J43" s="31" t="s">
        <v>97</v>
      </c>
    </row>
    <row r="44" spans="1:10">
      <c r="A44" s="19">
        <f t="shared" ca="1" si="1"/>
        <v>142</v>
      </c>
      <c r="B44" s="19" cm="1">
        <f t="array" aca="1" ref="B44" ca="1">INDEX([1]Data_DBD!$B:$B,$A44)</f>
        <v>39</v>
      </c>
      <c r="C44" s="19" t="str" cm="1">
        <f t="array" aca="1" ref="C44" ca="1">INDEX([1]Data_DBD!$F:$F,$A44)</f>
        <v>Tinggi</v>
      </c>
      <c r="H44" s="31">
        <v>86</v>
      </c>
      <c r="I44" s="31">
        <v>23</v>
      </c>
      <c r="J44" s="31" t="s">
        <v>7</v>
      </c>
    </row>
    <row r="45" spans="1:10">
      <c r="A45" s="19">
        <f t="shared" ca="1" si="1"/>
        <v>54</v>
      </c>
      <c r="B45" s="19" cm="1">
        <f t="array" aca="1" ref="B45" ca="1">INDEX([1]Data_DBD!$B:$B,$A45)</f>
        <v>7</v>
      </c>
      <c r="C45" s="19" t="str" cm="1">
        <f t="array" aca="1" ref="C45" ca="1">INDEX([1]Data_DBD!$F:$F,$A45)</f>
        <v>Sedang</v>
      </c>
      <c r="H45" s="31">
        <v>98</v>
      </c>
      <c r="I45" s="31">
        <v>16</v>
      </c>
      <c r="J45" s="31" t="s">
        <v>97</v>
      </c>
    </row>
    <row r="46" spans="1:10">
      <c r="A46" s="19">
        <f t="shared" ca="1" si="1"/>
        <v>156</v>
      </c>
      <c r="B46" s="19" cm="1">
        <f t="array" aca="1" ref="B46" ca="1">INDEX([1]Data_DBD!$B:$B,$A46)</f>
        <v>5</v>
      </c>
      <c r="C46" s="19" t="str" cm="1">
        <f t="array" aca="1" ref="C46" ca="1">INDEX([1]Data_DBD!$F:$F,$A46)</f>
        <v>Tinggi</v>
      </c>
      <c r="H46" s="31">
        <v>94</v>
      </c>
      <c r="I46" s="31">
        <v>12</v>
      </c>
      <c r="J46" s="31" t="s">
        <v>97</v>
      </c>
    </row>
    <row r="47" spans="1:10">
      <c r="A47" s="19">
        <f t="shared" ca="1" si="1"/>
        <v>79</v>
      </c>
      <c r="B47" s="19" cm="1">
        <f t="array" aca="1" ref="B47" ca="1">INDEX([1]Data_DBD!$B:$B,$A47)</f>
        <v>29</v>
      </c>
      <c r="C47" s="19" t="str" cm="1">
        <f t="array" aca="1" ref="C47" ca="1">INDEX([1]Data_DBD!$F:$F,$A47)</f>
        <v>Sedang</v>
      </c>
      <c r="H47" s="31">
        <v>31</v>
      </c>
      <c r="I47" s="31">
        <v>64</v>
      </c>
      <c r="J47" s="31" t="s">
        <v>7</v>
      </c>
    </row>
    <row r="48" spans="1:10">
      <c r="A48" s="19">
        <f t="shared" ca="1" si="1"/>
        <v>29</v>
      </c>
      <c r="B48" s="19" cm="1">
        <f t="array" aca="1" ref="B48" ca="1">INDEX([1]Data_DBD!$B:$B,$A48)</f>
        <v>19</v>
      </c>
      <c r="C48" s="19" t="str" cm="1">
        <f t="array" aca="1" ref="C48" ca="1">INDEX([1]Data_DBD!$F:$F,$A48)</f>
        <v>Sedang</v>
      </c>
      <c r="H48" s="31">
        <v>103</v>
      </c>
      <c r="I48" s="31">
        <v>22</v>
      </c>
      <c r="J48" s="31" t="s">
        <v>97</v>
      </c>
    </row>
    <row r="49" spans="1:10">
      <c r="A49" s="19">
        <f t="shared" ca="1" si="1"/>
        <v>111</v>
      </c>
      <c r="B49" s="19" cm="1">
        <f t="array" aca="1" ref="B49" ca="1">INDEX([1]Data_DBD!$B:$B,$A49)</f>
        <v>25</v>
      </c>
      <c r="C49" s="19" t="str" cm="1">
        <f t="array" aca="1" ref="C49" ca="1">INDEX([1]Data_DBD!$F:$F,$A49)</f>
        <v>Tinggi</v>
      </c>
      <c r="H49" s="31">
        <v>105</v>
      </c>
      <c r="I49" s="31">
        <v>61</v>
      </c>
      <c r="J49" s="31" t="s">
        <v>97</v>
      </c>
    </row>
    <row r="50" spans="1:10">
      <c r="A50" s="19">
        <f t="shared" ca="1" si="1"/>
        <v>97</v>
      </c>
      <c r="B50" s="19" cm="1">
        <f t="array" aca="1" ref="B50" ca="1">INDEX([1]Data_DBD!$B:$B,$A50)</f>
        <v>16</v>
      </c>
      <c r="C50" s="19" t="str" cm="1">
        <f t="array" aca="1" ref="C50" ca="1">INDEX([1]Data_DBD!$F:$F,$A50)</f>
        <v>Tinggi</v>
      </c>
      <c r="H50" s="31">
        <v>67</v>
      </c>
      <c r="I50" s="31">
        <v>21</v>
      </c>
      <c r="J50" s="31" t="s">
        <v>7</v>
      </c>
    </row>
    <row r="51" spans="1:10">
      <c r="A51" s="19">
        <f t="shared" ca="1" si="1"/>
        <v>64</v>
      </c>
      <c r="B51" s="19" cm="1">
        <f t="array" aca="1" ref="B51" ca="1">INDEX([1]Data_DBD!$B:$B,$A51)</f>
        <v>35</v>
      </c>
      <c r="C51" s="19" t="str" cm="1">
        <f t="array" aca="1" ref="C51" ca="1">INDEX([1]Data_DBD!$F:$F,$A51)</f>
        <v>Sedang</v>
      </c>
      <c r="H51" s="31">
        <v>127</v>
      </c>
      <c r="I51" s="31">
        <v>21</v>
      </c>
      <c r="J51" s="31" t="s">
        <v>97</v>
      </c>
    </row>
    <row r="52" spans="1:10">
      <c r="A52" s="19">
        <f t="shared" ca="1" si="1"/>
        <v>137</v>
      </c>
      <c r="B52" s="19" cm="1">
        <f t="array" aca="1" ref="B52" ca="1">INDEX([1]Data_DBD!$B:$B,$A52)</f>
        <v>3</v>
      </c>
      <c r="C52" s="19" t="str" cm="1">
        <f t="array" aca="1" ref="C52" ca="1">INDEX([1]Data_DBD!$F:$F,$A52)</f>
        <v>Tinggi</v>
      </c>
      <c r="H52" s="31">
        <v>164</v>
      </c>
      <c r="I52" s="31">
        <v>10</v>
      </c>
      <c r="J52" s="31" t="s">
        <v>20</v>
      </c>
    </row>
    <row r="53" spans="1:10">
      <c r="A53" s="19">
        <f t="shared" ca="1" si="1"/>
        <v>121</v>
      </c>
      <c r="B53" s="19" cm="1">
        <f t="array" aca="1" ref="B53" ca="1">INDEX([1]Data_DBD!$B:$B,$A53)</f>
        <v>82</v>
      </c>
      <c r="C53" s="19" t="str" cm="1">
        <f t="array" aca="1" ref="C53" ca="1">INDEX([1]Data_DBD!$F:$F,$A53)</f>
        <v>Tinggi</v>
      </c>
      <c r="H53" s="31">
        <v>19</v>
      </c>
      <c r="I53" s="31">
        <v>8</v>
      </c>
      <c r="J53" s="31" t="s">
        <v>20</v>
      </c>
    </row>
    <row r="54" spans="1:10">
      <c r="A54" s="19">
        <f t="shared" ca="1" si="1"/>
        <v>10</v>
      </c>
      <c r="B54" s="19" cm="1">
        <f t="array" aca="1" ref="B54" ca="1">INDEX([1]Data_DBD!$B:$B,$A54)</f>
        <v>18</v>
      </c>
      <c r="C54" s="19" t="str" cm="1">
        <f t="array" aca="1" ref="C54" ca="1">INDEX([1]Data_DBD!$F:$F,$A54)</f>
        <v>Sedang</v>
      </c>
      <c r="H54" s="31">
        <v>60</v>
      </c>
      <c r="I54" s="31">
        <v>68</v>
      </c>
      <c r="J54" s="31" t="s">
        <v>7</v>
      </c>
    </row>
    <row r="55" spans="1:10">
      <c r="A55" s="19">
        <f t="shared" ca="1" si="1"/>
        <v>27</v>
      </c>
      <c r="B55" s="19" cm="1">
        <f t="array" aca="1" ref="B55" ca="1">INDEX([1]Data_DBD!$B:$B,$A55)</f>
        <v>37</v>
      </c>
      <c r="C55" s="19" t="str" cm="1">
        <f t="array" aca="1" ref="C55" ca="1">INDEX([1]Data_DBD!$F:$F,$A55)</f>
        <v>Sedang</v>
      </c>
      <c r="H55" s="31">
        <v>109</v>
      </c>
      <c r="I55" s="31">
        <v>40</v>
      </c>
      <c r="J55" s="31" t="s">
        <v>97</v>
      </c>
    </row>
    <row r="56" spans="1:10">
      <c r="A56" s="19">
        <f t="shared" ca="1" si="1"/>
        <v>38</v>
      </c>
      <c r="B56" s="19" cm="1">
        <f t="array" aca="1" ref="B56" ca="1">INDEX([1]Data_DBD!$B:$B,$A56)</f>
        <v>52</v>
      </c>
      <c r="C56" s="19" t="str" cm="1">
        <f t="array" aca="1" ref="C56" ca="1">INDEX([1]Data_DBD!$F:$F,$A56)</f>
        <v>Rendah</v>
      </c>
      <c r="H56" s="31">
        <v>130</v>
      </c>
      <c r="I56" s="31">
        <v>12</v>
      </c>
      <c r="J56" s="31" t="s">
        <v>97</v>
      </c>
    </row>
    <row r="57" spans="1:10">
      <c r="A57" s="19">
        <f t="shared" ca="1" si="1"/>
        <v>142</v>
      </c>
      <c r="B57" s="19" cm="1">
        <f t="array" aca="1" ref="B57" ca="1">INDEX([1]Data_DBD!$B:$B,$A57)</f>
        <v>39</v>
      </c>
      <c r="C57" s="19" t="str" cm="1">
        <f t="array" aca="1" ref="C57" ca="1">INDEX([1]Data_DBD!$F:$F,$A57)</f>
        <v>Tinggi</v>
      </c>
      <c r="H57" s="31">
        <v>139</v>
      </c>
      <c r="I57" s="31">
        <v>52</v>
      </c>
      <c r="J57" s="31" t="s">
        <v>97</v>
      </c>
    </row>
    <row r="58" spans="1:10">
      <c r="A58" s="19">
        <f t="shared" ca="1" si="1"/>
        <v>34</v>
      </c>
      <c r="B58" s="19" cm="1">
        <f t="array" aca="1" ref="B58" ca="1">INDEX([1]Data_DBD!$B:$B,$A58)</f>
        <v>55</v>
      </c>
      <c r="C58" s="19" t="str" cm="1">
        <f t="array" aca="1" ref="C58" ca="1">INDEX([1]Data_DBD!$F:$F,$A58)</f>
        <v>Sedang</v>
      </c>
      <c r="H58" s="31">
        <v>28</v>
      </c>
      <c r="I58" s="31">
        <v>22</v>
      </c>
      <c r="J58" s="31" t="s">
        <v>7</v>
      </c>
    </row>
    <row r="59" spans="1:10">
      <c r="A59" s="19">
        <f t="shared" ca="1" si="1"/>
        <v>126</v>
      </c>
      <c r="B59" s="19" cm="1">
        <f t="array" aca="1" ref="B59" ca="1">INDEX([1]Data_DBD!$B:$B,$A59)</f>
        <v>51</v>
      </c>
      <c r="C59" s="19" t="str" cm="1">
        <f t="array" aca="1" ref="C59" ca="1">INDEX([1]Data_DBD!$F:$F,$A59)</f>
        <v>Tinggi</v>
      </c>
      <c r="H59" s="31">
        <v>122</v>
      </c>
      <c r="I59" s="31">
        <v>28</v>
      </c>
      <c r="J59" s="31" t="s">
        <v>97</v>
      </c>
    </row>
    <row r="60" spans="1:10">
      <c r="A60" s="19">
        <f t="shared" ca="1" si="1"/>
        <v>129</v>
      </c>
      <c r="B60" s="19" cm="1">
        <f t="array" aca="1" ref="B60" ca="1">INDEX([1]Data_DBD!$B:$B,$A60)</f>
        <v>4</v>
      </c>
      <c r="C60" s="19" t="str" cm="1">
        <f t="array" aca="1" ref="C60" ca="1">INDEX([1]Data_DBD!$F:$F,$A60)</f>
        <v>Tinggi</v>
      </c>
      <c r="H60" s="31">
        <v>68</v>
      </c>
      <c r="I60" s="31">
        <v>44</v>
      </c>
      <c r="J60" s="31" t="s">
        <v>7</v>
      </c>
    </row>
    <row r="61" spans="1:10">
      <c r="A61" s="19">
        <f t="shared" ca="1" si="1"/>
        <v>150</v>
      </c>
      <c r="B61" s="19" cm="1">
        <f t="array" aca="1" ref="B61" ca="1">INDEX([1]Data_DBD!$B:$B,$A61)</f>
        <v>61</v>
      </c>
      <c r="C61" s="19" t="str" cm="1">
        <f t="array" aca="1" ref="C61" ca="1">INDEX([1]Data_DBD!$F:$F,$A61)</f>
        <v>Tinggi</v>
      </c>
      <c r="H61" s="31">
        <v>23</v>
      </c>
      <c r="I61" s="31">
        <v>28</v>
      </c>
      <c r="J61" s="31" t="s">
        <v>7</v>
      </c>
    </row>
    <row r="62" spans="1:10">
      <c r="A62" s="19">
        <f t="shared" ca="1" si="1"/>
        <v>41</v>
      </c>
      <c r="B62" s="19" cm="1">
        <f t="array" aca="1" ref="B62" ca="1">INDEX([1]Data_DBD!$B:$B,$A62)</f>
        <v>8</v>
      </c>
      <c r="C62" s="19" t="str" cm="1">
        <f t="array" aca="1" ref="C62" ca="1">INDEX([1]Data_DBD!$F:$F,$A62)</f>
        <v>Sedang</v>
      </c>
      <c r="H62" s="31">
        <v>107</v>
      </c>
      <c r="I62" s="31">
        <v>48</v>
      </c>
      <c r="J62" s="31" t="s">
        <v>97</v>
      </c>
    </row>
    <row r="63" spans="1:10">
      <c r="A63" s="19">
        <f t="shared" ca="1" si="1"/>
        <v>63</v>
      </c>
      <c r="B63" s="19" cm="1">
        <f t="array" aca="1" ref="B63" ca="1">INDEX([1]Data_DBD!$B:$B,$A63)</f>
        <v>25</v>
      </c>
      <c r="C63" s="19" t="str" cm="1">
        <f t="array" aca="1" ref="C63" ca="1">INDEX([1]Data_DBD!$F:$F,$A63)</f>
        <v>Sedang</v>
      </c>
      <c r="H63" s="31">
        <v>89</v>
      </c>
      <c r="I63" s="31">
        <v>32</v>
      </c>
      <c r="J63" s="31" t="s">
        <v>7</v>
      </c>
    </row>
    <row r="64" spans="1:10">
      <c r="A64" s="19">
        <f t="shared" ca="1" si="1"/>
        <v>113</v>
      </c>
      <c r="B64" s="19" cm="1">
        <f t="array" aca="1" ref="B64" ca="1">INDEX([1]Data_DBD!$B:$B,$A64)</f>
        <v>69</v>
      </c>
      <c r="C64" s="19" t="str" cm="1">
        <f t="array" aca="1" ref="C64" ca="1">INDEX([1]Data_DBD!$F:$F,$A64)</f>
        <v>Tinggi</v>
      </c>
      <c r="H64" s="31">
        <v>79</v>
      </c>
      <c r="I64" s="31">
        <v>29</v>
      </c>
      <c r="J64" s="31" t="s">
        <v>7</v>
      </c>
    </row>
    <row r="65" spans="1:10">
      <c r="A65" s="19">
        <f t="shared" ca="1" si="1"/>
        <v>133</v>
      </c>
      <c r="B65" s="19" cm="1">
        <f t="array" aca="1" ref="B65" ca="1">INDEX([1]Data_DBD!$B:$B,$A65)</f>
        <v>6</v>
      </c>
      <c r="C65" s="19" t="str" cm="1">
        <f t="array" aca="1" ref="C65" ca="1">INDEX([1]Data_DBD!$F:$F,$A65)</f>
        <v>Tinggi</v>
      </c>
      <c r="H65" s="31">
        <v>2</v>
      </c>
      <c r="I65" s="31">
        <v>34</v>
      </c>
      <c r="J65" s="31" t="s">
        <v>7</v>
      </c>
    </row>
    <row r="66" spans="1:10">
      <c r="A66" s="19">
        <f t="shared" ref="A66:A97" ca="1" si="2">RANDBETWEEN(2,164)</f>
        <v>2</v>
      </c>
      <c r="B66" s="19" cm="1">
        <f t="array" aca="1" ref="B66" ca="1">INDEX([1]Data_DBD!$B:$B,$A66)</f>
        <v>34</v>
      </c>
      <c r="C66" s="19" t="str" cm="1">
        <f t="array" aca="1" ref="C66" ca="1">INDEX([1]Data_DBD!$F:$F,$A66)</f>
        <v>Sedang</v>
      </c>
      <c r="H66" s="31">
        <v>32</v>
      </c>
      <c r="I66" s="31">
        <v>54</v>
      </c>
      <c r="J66" s="31" t="s">
        <v>7</v>
      </c>
    </row>
    <row r="67" spans="1:10">
      <c r="A67" s="19">
        <f t="shared" ca="1" si="2"/>
        <v>146</v>
      </c>
      <c r="B67" s="19" cm="1">
        <f t="array" aca="1" ref="B67" ca="1">INDEX([1]Data_DBD!$B:$B,$A67)</f>
        <v>34</v>
      </c>
      <c r="C67" s="19" t="str" cm="1">
        <f t="array" aca="1" ref="C67" ca="1">INDEX([1]Data_DBD!$F:$F,$A67)</f>
        <v>Tinggi</v>
      </c>
      <c r="H67" s="31">
        <v>18</v>
      </c>
      <c r="I67" s="31">
        <v>49</v>
      </c>
      <c r="J67" s="31" t="s">
        <v>20</v>
      </c>
    </row>
    <row r="68" spans="1:10">
      <c r="A68" s="19">
        <f t="shared" ca="1" si="2"/>
        <v>118</v>
      </c>
      <c r="B68" s="19" cm="1">
        <f t="array" aca="1" ref="B68" ca="1">INDEX([1]Data_DBD!$B:$B,$A68)</f>
        <v>67</v>
      </c>
      <c r="C68" s="19" t="str" cm="1">
        <f t="array" aca="1" ref="C68" ca="1">INDEX([1]Data_DBD!$F:$F,$A68)</f>
        <v>Tinggi</v>
      </c>
      <c r="H68" s="31">
        <v>52</v>
      </c>
      <c r="I68" s="31">
        <v>59</v>
      </c>
      <c r="J68" s="31" t="s">
        <v>7</v>
      </c>
    </row>
    <row r="69" spans="1:10">
      <c r="A69" s="19">
        <f t="shared" ca="1" si="2"/>
        <v>31</v>
      </c>
      <c r="B69" s="19" cm="1">
        <f t="array" aca="1" ref="B69" ca="1">INDEX([1]Data_DBD!$B:$B,$A69)</f>
        <v>64</v>
      </c>
      <c r="C69" s="19" t="str" cm="1">
        <f t="array" aca="1" ref="C69" ca="1">INDEX([1]Data_DBD!$F:$F,$A69)</f>
        <v>Sedang</v>
      </c>
      <c r="H69" s="31">
        <v>135</v>
      </c>
      <c r="I69" s="31">
        <v>10</v>
      </c>
      <c r="J69" s="31" t="s">
        <v>97</v>
      </c>
    </row>
    <row r="70" spans="1:10">
      <c r="A70" s="19">
        <f t="shared" ca="1" si="2"/>
        <v>45</v>
      </c>
      <c r="B70" s="19" cm="1">
        <f t="array" aca="1" ref="B70" ca="1">INDEX([1]Data_DBD!$B:$B,$A70)</f>
        <v>75</v>
      </c>
      <c r="C70" s="19" t="str" cm="1">
        <f t="array" aca="1" ref="C70" ca="1">INDEX([1]Data_DBD!$F:$F,$A70)</f>
        <v>Sedang</v>
      </c>
      <c r="H70" s="31">
        <v>140</v>
      </c>
      <c r="I70" s="31">
        <v>74</v>
      </c>
      <c r="J70" s="31" t="s">
        <v>97</v>
      </c>
    </row>
    <row r="71" spans="1:10">
      <c r="A71" s="19">
        <f t="shared" ca="1" si="2"/>
        <v>136</v>
      </c>
      <c r="B71" s="19" cm="1">
        <f t="array" aca="1" ref="B71" ca="1">INDEX([1]Data_DBD!$B:$B,$A71)</f>
        <v>6</v>
      </c>
      <c r="C71" s="19" t="str" cm="1">
        <f t="array" aca="1" ref="C71" ca="1">INDEX([1]Data_DBD!$F:$F,$A71)</f>
        <v>Tinggi</v>
      </c>
      <c r="H71" s="31">
        <v>103</v>
      </c>
      <c r="I71" s="31">
        <v>22</v>
      </c>
      <c r="J71" s="31" t="s">
        <v>97</v>
      </c>
    </row>
    <row r="72" spans="1:10">
      <c r="A72" s="19">
        <f t="shared" ca="1" si="2"/>
        <v>98</v>
      </c>
      <c r="B72" s="19" cm="1">
        <f t="array" aca="1" ref="B72" ca="1">INDEX([1]Data_DBD!$B:$B,$A72)</f>
        <v>16</v>
      </c>
      <c r="C72" s="19" t="str" cm="1">
        <f t="array" aca="1" ref="C72" ca="1">INDEX([1]Data_DBD!$F:$F,$A72)</f>
        <v>Tinggi</v>
      </c>
      <c r="H72" s="31">
        <v>8</v>
      </c>
      <c r="I72" s="31">
        <v>4</v>
      </c>
      <c r="J72" s="31" t="s">
        <v>7</v>
      </c>
    </row>
    <row r="73" spans="1:10">
      <c r="A73" s="19">
        <f t="shared" ca="1" si="2"/>
        <v>30</v>
      </c>
      <c r="B73" s="19" cm="1">
        <f t="array" aca="1" ref="B73" ca="1">INDEX([1]Data_DBD!$B:$B,$A73)</f>
        <v>3</v>
      </c>
      <c r="C73" s="19" t="str" cm="1">
        <f t="array" aca="1" ref="C73" ca="1">INDEX([1]Data_DBD!$F:$F,$A73)</f>
        <v>Sedang</v>
      </c>
      <c r="H73" s="31">
        <v>130</v>
      </c>
      <c r="I73" s="31">
        <v>12</v>
      </c>
      <c r="J73" s="31" t="s">
        <v>97</v>
      </c>
    </row>
    <row r="74" spans="1:10">
      <c r="A74" s="19">
        <f t="shared" ca="1" si="2"/>
        <v>101</v>
      </c>
      <c r="B74" s="19" cm="1">
        <f t="array" aca="1" ref="B74" ca="1">INDEX([1]Data_DBD!$B:$B,$A74)</f>
        <v>42</v>
      </c>
      <c r="C74" s="19" t="str" cm="1">
        <f t="array" aca="1" ref="C74" ca="1">INDEX([1]Data_DBD!$F:$F,$A74)</f>
        <v>Tinggi</v>
      </c>
      <c r="H74" s="31">
        <v>158</v>
      </c>
      <c r="I74" s="31">
        <v>5</v>
      </c>
      <c r="J74" s="31" t="s">
        <v>97</v>
      </c>
    </row>
    <row r="75" spans="1:10">
      <c r="A75" s="19">
        <f t="shared" ca="1" si="2"/>
        <v>28</v>
      </c>
      <c r="B75" s="19" cm="1">
        <f t="array" aca="1" ref="B75" ca="1">INDEX([1]Data_DBD!$B:$B,$A75)</f>
        <v>22</v>
      </c>
      <c r="C75" s="19" t="str" cm="1">
        <f t="array" aca="1" ref="C75" ca="1">INDEX([1]Data_DBD!$F:$F,$A75)</f>
        <v>Sedang</v>
      </c>
      <c r="H75" s="31">
        <v>150</v>
      </c>
      <c r="I75" s="31">
        <v>61</v>
      </c>
      <c r="J75" s="31" t="s">
        <v>97</v>
      </c>
    </row>
    <row r="76" spans="1:10">
      <c r="A76" s="19">
        <f t="shared" ca="1" si="2"/>
        <v>149</v>
      </c>
      <c r="B76" s="19" cm="1">
        <f t="array" aca="1" ref="B76" ca="1">INDEX([1]Data_DBD!$B:$B,$A76)</f>
        <v>19</v>
      </c>
      <c r="C76" s="19" t="str" cm="1">
        <f t="array" aca="1" ref="C76" ca="1">INDEX([1]Data_DBD!$F:$F,$A76)</f>
        <v>Tinggi</v>
      </c>
      <c r="H76" s="31">
        <v>91</v>
      </c>
      <c r="I76" s="31">
        <v>35</v>
      </c>
      <c r="J76" s="31" t="s">
        <v>97</v>
      </c>
    </row>
    <row r="77" spans="1:10">
      <c r="A77" s="19">
        <f t="shared" ca="1" si="2"/>
        <v>63</v>
      </c>
      <c r="B77" s="19" cm="1">
        <f t="array" aca="1" ref="B77" ca="1">INDEX([1]Data_DBD!$B:$B,$A77)</f>
        <v>25</v>
      </c>
      <c r="C77" s="19" t="str" cm="1">
        <f t="array" aca="1" ref="C77" ca="1">INDEX([1]Data_DBD!$F:$F,$A77)</f>
        <v>Sedang</v>
      </c>
      <c r="H77" s="31">
        <v>17</v>
      </c>
      <c r="I77" s="31">
        <v>2</v>
      </c>
      <c r="J77" s="31" t="s">
        <v>20</v>
      </c>
    </row>
    <row r="78" spans="1:10">
      <c r="A78" s="19">
        <f t="shared" ca="1" si="2"/>
        <v>70</v>
      </c>
      <c r="B78" s="19" cm="1">
        <f t="array" aca="1" ref="B78" ca="1">INDEX([1]Data_DBD!$B:$B,$A78)</f>
        <v>26</v>
      </c>
      <c r="C78" s="19" t="str" cm="1">
        <f t="array" aca="1" ref="C78" ca="1">INDEX([1]Data_DBD!$F:$F,$A78)</f>
        <v>Sedang</v>
      </c>
      <c r="H78" s="31">
        <v>147</v>
      </c>
      <c r="I78" s="31">
        <v>66</v>
      </c>
      <c r="J78" s="31" t="s">
        <v>97</v>
      </c>
    </row>
    <row r="79" spans="1:10">
      <c r="A79" s="19">
        <f t="shared" ca="1" si="2"/>
        <v>101</v>
      </c>
      <c r="B79" s="19" cm="1">
        <f t="array" aca="1" ref="B79" ca="1">INDEX([1]Data_DBD!$B:$B,$A79)</f>
        <v>42</v>
      </c>
      <c r="C79" s="19" t="str" cm="1">
        <f t="array" aca="1" ref="C79" ca="1">INDEX([1]Data_DBD!$F:$F,$A79)</f>
        <v>Tinggi</v>
      </c>
      <c r="H79" s="31">
        <v>67</v>
      </c>
      <c r="I79" s="31">
        <v>21</v>
      </c>
      <c r="J79" s="31" t="s">
        <v>7</v>
      </c>
    </row>
    <row r="80" spans="1:10">
      <c r="A80" s="19">
        <f t="shared" ca="1" si="2"/>
        <v>98</v>
      </c>
      <c r="B80" s="19" cm="1">
        <f t="array" aca="1" ref="B80" ca="1">INDEX([1]Data_DBD!$B:$B,$A80)</f>
        <v>16</v>
      </c>
      <c r="C80" s="19" t="str" cm="1">
        <f t="array" aca="1" ref="C80" ca="1">INDEX([1]Data_DBD!$F:$F,$A80)</f>
        <v>Tinggi</v>
      </c>
      <c r="H80" s="31">
        <v>130</v>
      </c>
      <c r="I80" s="31">
        <v>12</v>
      </c>
      <c r="J80" s="31" t="s">
        <v>97</v>
      </c>
    </row>
    <row r="81" spans="1:10">
      <c r="A81" s="19">
        <f t="shared" ca="1" si="2"/>
        <v>154</v>
      </c>
      <c r="B81" s="19" cm="1">
        <f t="array" aca="1" ref="B81" ca="1">INDEX([1]Data_DBD!$B:$B,$A81)</f>
        <v>18</v>
      </c>
      <c r="C81" s="19" t="str" cm="1">
        <f t="array" aca="1" ref="C81" ca="1">INDEX([1]Data_DBD!$F:$F,$A81)</f>
        <v>Tinggi</v>
      </c>
      <c r="H81" s="31">
        <v>64</v>
      </c>
      <c r="I81" s="31">
        <v>35</v>
      </c>
      <c r="J81" s="31" t="s">
        <v>7</v>
      </c>
    </row>
    <row r="82" spans="1:10">
      <c r="A82" s="19">
        <f t="shared" ca="1" si="2"/>
        <v>71</v>
      </c>
      <c r="B82" s="19" cm="1">
        <f t="array" aca="1" ref="B82" ca="1">INDEX([1]Data_DBD!$B:$B,$A82)</f>
        <v>84</v>
      </c>
      <c r="C82" s="19" t="str" cm="1">
        <f t="array" aca="1" ref="C82" ca="1">INDEX([1]Data_DBD!$F:$F,$A82)</f>
        <v>Sedang</v>
      </c>
      <c r="H82" s="31">
        <v>30</v>
      </c>
      <c r="I82" s="31">
        <v>3</v>
      </c>
      <c r="J82" s="31" t="s">
        <v>7</v>
      </c>
    </row>
    <row r="83" spans="1:10">
      <c r="A83" s="19">
        <f t="shared" ca="1" si="2"/>
        <v>70</v>
      </c>
      <c r="B83" s="19" cm="1">
        <f t="array" aca="1" ref="B83" ca="1">INDEX([1]Data_DBD!$B:$B,$A83)</f>
        <v>26</v>
      </c>
      <c r="C83" s="19" t="str" cm="1">
        <f t="array" aca="1" ref="C83" ca="1">INDEX([1]Data_DBD!$F:$F,$A83)</f>
        <v>Sedang</v>
      </c>
      <c r="H83" s="31">
        <v>31</v>
      </c>
      <c r="I83" s="31">
        <v>64</v>
      </c>
      <c r="J83" s="31" t="s">
        <v>7</v>
      </c>
    </row>
    <row r="84" spans="1:10">
      <c r="A84" s="19">
        <f t="shared" ca="1" si="2"/>
        <v>153</v>
      </c>
      <c r="B84" s="19" cm="1">
        <f t="array" aca="1" ref="B84" ca="1">INDEX([1]Data_DBD!$B:$B,$A84)</f>
        <v>73</v>
      </c>
      <c r="C84" s="19" t="str" cm="1">
        <f t="array" aca="1" ref="C84" ca="1">INDEX([1]Data_DBD!$F:$F,$A84)</f>
        <v>Tinggi</v>
      </c>
      <c r="H84" s="31">
        <v>132</v>
      </c>
      <c r="I84" s="31">
        <v>10</v>
      </c>
      <c r="J84" s="31" t="s">
        <v>97</v>
      </c>
    </row>
    <row r="85" spans="1:10">
      <c r="A85" s="19">
        <f t="shared" ca="1" si="2"/>
        <v>151</v>
      </c>
      <c r="B85" s="19" cm="1">
        <f t="array" aca="1" ref="B85" ca="1">INDEX([1]Data_DBD!$B:$B,$A85)</f>
        <v>24</v>
      </c>
      <c r="C85" s="19" t="str" cm="1">
        <f t="array" aca="1" ref="C85" ca="1">INDEX([1]Data_DBD!$F:$F,$A85)</f>
        <v>Tinggi</v>
      </c>
      <c r="H85" s="31">
        <v>164</v>
      </c>
      <c r="I85" s="31">
        <v>10</v>
      </c>
      <c r="J85" s="31" t="s">
        <v>20</v>
      </c>
    </row>
    <row r="86" spans="1:10">
      <c r="A86" s="19">
        <f t="shared" ca="1" si="2"/>
        <v>20</v>
      </c>
      <c r="B86" s="19" cm="1">
        <f t="array" aca="1" ref="B86" ca="1">INDEX([1]Data_DBD!$B:$B,$A86)</f>
        <v>15</v>
      </c>
      <c r="C86" s="19" t="str" cm="1">
        <f t="array" aca="1" ref="C86" ca="1">INDEX([1]Data_DBD!$F:$F,$A86)</f>
        <v>Rendah</v>
      </c>
      <c r="H86" s="31">
        <v>17</v>
      </c>
      <c r="I86" s="31">
        <v>2</v>
      </c>
      <c r="J86" s="31" t="s">
        <v>20</v>
      </c>
    </row>
    <row r="87" spans="1:10">
      <c r="A87" s="19">
        <f t="shared" ca="1" si="2"/>
        <v>68</v>
      </c>
      <c r="B87" s="19" cm="1">
        <f t="array" aca="1" ref="B87" ca="1">INDEX([1]Data_DBD!$B:$B,$A87)</f>
        <v>44</v>
      </c>
      <c r="C87" s="19" t="str" cm="1">
        <f t="array" aca="1" ref="C87" ca="1">INDEX([1]Data_DBD!$F:$F,$A87)</f>
        <v>Sedang</v>
      </c>
      <c r="H87" s="31">
        <v>72</v>
      </c>
      <c r="I87" s="31">
        <v>3</v>
      </c>
      <c r="J87" s="31" t="s">
        <v>7</v>
      </c>
    </row>
    <row r="88" spans="1:10">
      <c r="A88" s="19">
        <f t="shared" ca="1" si="2"/>
        <v>164</v>
      </c>
      <c r="B88" s="19" cm="1">
        <f t="array" aca="1" ref="B88" ca="1">INDEX([1]Data_DBD!$B:$B,$A88)</f>
        <v>10</v>
      </c>
      <c r="C88" s="19" t="str" cm="1">
        <f t="array" aca="1" ref="C88" ca="1">INDEX([1]Data_DBD!$F:$F,$A88)</f>
        <v>Rendah</v>
      </c>
      <c r="H88" s="31">
        <v>55</v>
      </c>
      <c r="I88" s="31">
        <v>7</v>
      </c>
      <c r="J88" s="31" t="s">
        <v>7</v>
      </c>
    </row>
    <row r="89" spans="1:10">
      <c r="A89" s="19">
        <f t="shared" ca="1" si="2"/>
        <v>36</v>
      </c>
      <c r="B89" s="19" cm="1">
        <f t="array" aca="1" ref="B89" ca="1">INDEX([1]Data_DBD!$B:$B,$A89)</f>
        <v>27</v>
      </c>
      <c r="C89" s="19" t="str" cm="1">
        <f t="array" aca="1" ref="C89" ca="1">INDEX([1]Data_DBD!$F:$F,$A89)</f>
        <v>Rendah</v>
      </c>
      <c r="H89" s="31">
        <v>54</v>
      </c>
      <c r="I89" s="31">
        <v>7</v>
      </c>
      <c r="J89" s="31" t="s">
        <v>7</v>
      </c>
    </row>
    <row r="90" spans="1:10">
      <c r="A90" s="19">
        <f t="shared" ca="1" si="2"/>
        <v>45</v>
      </c>
      <c r="B90" s="19" cm="1">
        <f t="array" aca="1" ref="B90" ca="1">INDEX([1]Data_DBD!$B:$B,$A90)</f>
        <v>75</v>
      </c>
      <c r="C90" s="19" t="str" cm="1">
        <f t="array" aca="1" ref="C90" ca="1">INDEX([1]Data_DBD!$F:$F,$A90)</f>
        <v>Sedang</v>
      </c>
      <c r="H90" s="31">
        <v>84</v>
      </c>
      <c r="I90" s="31">
        <v>42</v>
      </c>
      <c r="J90" s="31" t="s">
        <v>7</v>
      </c>
    </row>
    <row r="91" spans="1:10">
      <c r="A91" s="19">
        <f t="shared" ca="1" si="2"/>
        <v>19</v>
      </c>
      <c r="B91" s="19" cm="1">
        <f t="array" aca="1" ref="B91" ca="1">INDEX([1]Data_DBD!$B:$B,$A91)</f>
        <v>8</v>
      </c>
      <c r="C91" s="19" t="str" cm="1">
        <f t="array" aca="1" ref="C91" ca="1">INDEX([1]Data_DBD!$F:$F,$A91)</f>
        <v>Rendah</v>
      </c>
      <c r="H91" s="31">
        <v>63</v>
      </c>
      <c r="I91" s="31">
        <v>25</v>
      </c>
      <c r="J91" s="31" t="s">
        <v>7</v>
      </c>
    </row>
    <row r="92" spans="1:10">
      <c r="A92" s="19">
        <f t="shared" ca="1" si="2"/>
        <v>48</v>
      </c>
      <c r="B92" s="19" cm="1">
        <f t="array" aca="1" ref="B92" ca="1">INDEX([1]Data_DBD!$B:$B,$A92)</f>
        <v>50</v>
      </c>
      <c r="C92" s="19" t="str" cm="1">
        <f t="array" aca="1" ref="C92" ca="1">INDEX([1]Data_DBD!$F:$F,$A92)</f>
        <v>Sedang</v>
      </c>
      <c r="H92" s="31">
        <v>41</v>
      </c>
      <c r="I92" s="31">
        <v>8</v>
      </c>
      <c r="J92" s="31" t="s">
        <v>7</v>
      </c>
    </row>
    <row r="93" spans="1:10">
      <c r="A93" s="19">
        <f t="shared" ca="1" si="2"/>
        <v>100</v>
      </c>
      <c r="B93" s="19" cm="1">
        <f t="array" aca="1" ref="B93" ca="1">INDEX([1]Data_DBD!$B:$B,$A93)</f>
        <v>19</v>
      </c>
      <c r="C93" s="19" t="str" cm="1">
        <f t="array" aca="1" ref="C93" ca="1">INDEX([1]Data_DBD!$F:$F,$A93)</f>
        <v>Tinggi</v>
      </c>
      <c r="H93" s="31">
        <v>39</v>
      </c>
      <c r="I93" s="31">
        <v>12</v>
      </c>
      <c r="J93" s="31" t="s">
        <v>7</v>
      </c>
    </row>
    <row r="94" spans="1:10">
      <c r="A94" s="19">
        <f t="shared" ca="1" si="2"/>
        <v>79</v>
      </c>
      <c r="B94" s="19" cm="1">
        <f t="array" aca="1" ref="B94" ca="1">INDEX([1]Data_DBD!$B:$B,$A94)</f>
        <v>29</v>
      </c>
      <c r="C94" s="19" t="str" cm="1">
        <f t="array" aca="1" ref="C94" ca="1">INDEX([1]Data_DBD!$F:$F,$A94)</f>
        <v>Sedang</v>
      </c>
      <c r="H94" s="31">
        <v>107</v>
      </c>
      <c r="I94" s="31">
        <v>48</v>
      </c>
      <c r="J94" s="31" t="s">
        <v>97</v>
      </c>
    </row>
    <row r="95" spans="1:10">
      <c r="A95" s="19">
        <f t="shared" ca="1" si="2"/>
        <v>100</v>
      </c>
      <c r="B95" s="19" cm="1">
        <f t="array" aca="1" ref="B95" ca="1">INDEX([1]Data_DBD!$B:$B,$A95)</f>
        <v>19</v>
      </c>
      <c r="C95" s="19" t="str" cm="1">
        <f t="array" aca="1" ref="C95" ca="1">INDEX([1]Data_DBD!$F:$F,$A95)</f>
        <v>Tinggi</v>
      </c>
      <c r="H95" s="31">
        <v>5</v>
      </c>
      <c r="I95" s="31">
        <v>18</v>
      </c>
      <c r="J95" s="31" t="s">
        <v>7</v>
      </c>
    </row>
    <row r="96" spans="1:10">
      <c r="A96" s="19">
        <f t="shared" ca="1" si="2"/>
        <v>28</v>
      </c>
      <c r="B96" s="19" cm="1">
        <f t="array" aca="1" ref="B96" ca="1">INDEX([1]Data_DBD!$B:$B,$A96)</f>
        <v>22</v>
      </c>
      <c r="C96" s="19" t="str" cm="1">
        <f t="array" aca="1" ref="C96" ca="1">INDEX([1]Data_DBD!$F:$F,$A96)</f>
        <v>Sedang</v>
      </c>
      <c r="H96" s="31">
        <v>38</v>
      </c>
      <c r="I96" s="31">
        <v>52</v>
      </c>
      <c r="J96" s="31" t="s">
        <v>20</v>
      </c>
    </row>
    <row r="97" spans="1:10">
      <c r="A97" s="19">
        <f t="shared" ca="1" si="2"/>
        <v>4</v>
      </c>
      <c r="B97" s="19" cm="1">
        <f t="array" aca="1" ref="B97" ca="1">INDEX([1]Data_DBD!$B:$B,$A97)</f>
        <v>23</v>
      </c>
      <c r="C97" s="19" t="str" cm="1">
        <f t="array" aca="1" ref="C97" ca="1">INDEX([1]Data_DBD!$F:$F,$A97)</f>
        <v>Sedang</v>
      </c>
      <c r="H97" s="31">
        <v>76</v>
      </c>
      <c r="I97" s="31">
        <v>70</v>
      </c>
      <c r="J97" s="31" t="s">
        <v>7</v>
      </c>
    </row>
    <row r="98" spans="1:10">
      <c r="A98" s="19">
        <f t="shared" ref="A98:A129" ca="1" si="3">RANDBETWEEN(2,164)</f>
        <v>43</v>
      </c>
      <c r="B98" s="19" cm="1">
        <f t="array" aca="1" ref="B98" ca="1">INDEX([1]Data_DBD!$B:$B,$A98)</f>
        <v>15</v>
      </c>
      <c r="C98" s="19" t="str" cm="1">
        <f t="array" aca="1" ref="C98" ca="1">INDEX([1]Data_DBD!$F:$F,$A98)</f>
        <v>Sedang</v>
      </c>
      <c r="H98" s="31">
        <v>145</v>
      </c>
      <c r="I98" s="31">
        <v>28</v>
      </c>
      <c r="J98" s="31" t="s">
        <v>97</v>
      </c>
    </row>
    <row r="99" spans="1:10">
      <c r="A99" s="19">
        <f t="shared" ca="1" si="3"/>
        <v>156</v>
      </c>
      <c r="B99" s="19" cm="1">
        <f t="array" aca="1" ref="B99" ca="1">INDEX([1]Data_DBD!$B:$B,$A99)</f>
        <v>5</v>
      </c>
      <c r="C99" s="19" t="str" cm="1">
        <f t="array" aca="1" ref="C99" ca="1">INDEX([1]Data_DBD!$F:$F,$A99)</f>
        <v>Tinggi</v>
      </c>
      <c r="H99" s="31">
        <v>40</v>
      </c>
      <c r="I99" s="31">
        <v>65</v>
      </c>
      <c r="J99" s="31" t="s">
        <v>7</v>
      </c>
    </row>
    <row r="100" spans="1:10">
      <c r="A100" s="19">
        <f t="shared" ca="1" si="3"/>
        <v>45</v>
      </c>
      <c r="B100" s="19" cm="1">
        <f t="array" aca="1" ref="B100" ca="1">INDEX([1]Data_DBD!$B:$B,$A100)</f>
        <v>75</v>
      </c>
      <c r="C100" s="19" t="str" cm="1">
        <f t="array" aca="1" ref="C100" ca="1">INDEX([1]Data_DBD!$F:$F,$A100)</f>
        <v>Sedang</v>
      </c>
      <c r="H100" s="31">
        <v>113</v>
      </c>
      <c r="I100" s="31">
        <v>69</v>
      </c>
      <c r="J100" s="31" t="s">
        <v>97</v>
      </c>
    </row>
    <row r="101" spans="1:10">
      <c r="A101" s="19">
        <f t="shared" ca="1" si="3"/>
        <v>117</v>
      </c>
      <c r="B101" s="19" cm="1">
        <f t="array" aca="1" ref="B101" ca="1">INDEX([1]Data_DBD!$B:$B,$A101)</f>
        <v>49</v>
      </c>
      <c r="C101" s="19" t="str" cm="1">
        <f t="array" aca="1" ref="C101" ca="1">INDEX([1]Data_DBD!$F:$F,$A101)</f>
        <v>Tinggi</v>
      </c>
      <c r="H101" s="31">
        <v>9</v>
      </c>
      <c r="I101" s="31">
        <v>16</v>
      </c>
      <c r="J101" s="31" t="s">
        <v>7</v>
      </c>
    </row>
    <row r="102" spans="1:10">
      <c r="A102" s="19">
        <f t="shared" ca="1" si="3"/>
        <v>21</v>
      </c>
      <c r="B102" s="19" cm="1">
        <f t="array" aca="1" ref="B102" ca="1">INDEX([1]Data_DBD!$B:$B,$A102)</f>
        <v>10</v>
      </c>
      <c r="C102" s="19" t="str" cm="1">
        <f t="array" aca="1" ref="C102" ca="1">INDEX([1]Data_DBD!$F:$F,$A102)</f>
        <v>Sedang</v>
      </c>
      <c r="H102" s="31">
        <v>13</v>
      </c>
      <c r="I102" s="31">
        <v>47</v>
      </c>
      <c r="J102" s="31" t="s">
        <v>7</v>
      </c>
    </row>
    <row r="103" spans="1:10">
      <c r="A103" s="19">
        <f t="shared" ca="1" si="3"/>
        <v>140</v>
      </c>
      <c r="B103" s="19" cm="1">
        <f t="array" aca="1" ref="B103" ca="1">INDEX([1]Data_DBD!$B:$B,$A103)</f>
        <v>74</v>
      </c>
      <c r="C103" s="19" t="str" cm="1">
        <f t="array" aca="1" ref="C103" ca="1">INDEX([1]Data_DBD!$F:$F,$A103)</f>
        <v>Tinggi</v>
      </c>
      <c r="H103" s="31">
        <v>124</v>
      </c>
      <c r="I103" s="31">
        <v>24</v>
      </c>
      <c r="J103" s="31" t="s">
        <v>97</v>
      </c>
    </row>
    <row r="104" spans="1:10">
      <c r="A104" s="19">
        <f t="shared" ca="1" si="3"/>
        <v>37</v>
      </c>
      <c r="B104" s="19" cm="1">
        <f t="array" aca="1" ref="B104" ca="1">INDEX([1]Data_DBD!$B:$B,$A104)</f>
        <v>28</v>
      </c>
      <c r="C104" s="19" t="str" cm="1">
        <f t="array" aca="1" ref="C104" ca="1">INDEX([1]Data_DBD!$F:$F,$A104)</f>
        <v>Rendah</v>
      </c>
      <c r="H104" s="31">
        <v>3</v>
      </c>
      <c r="I104" s="31">
        <v>43</v>
      </c>
      <c r="J104" s="31" t="s">
        <v>7</v>
      </c>
    </row>
    <row r="105" spans="1:10">
      <c r="A105" s="19">
        <f t="shared" ca="1" si="3"/>
        <v>147</v>
      </c>
      <c r="B105" s="19" cm="1">
        <f t="array" aca="1" ref="B105" ca="1">INDEX([1]Data_DBD!$B:$B,$A105)</f>
        <v>66</v>
      </c>
      <c r="C105" s="19" t="str" cm="1">
        <f t="array" aca="1" ref="C105" ca="1">INDEX([1]Data_DBD!$F:$F,$A105)</f>
        <v>Tinggi</v>
      </c>
      <c r="H105" s="31">
        <v>102</v>
      </c>
      <c r="I105" s="31">
        <v>41</v>
      </c>
      <c r="J105" s="31" t="s">
        <v>97</v>
      </c>
    </row>
    <row r="106" spans="1:10">
      <c r="A106" s="19">
        <f t="shared" ca="1" si="3"/>
        <v>163</v>
      </c>
      <c r="B106" s="19" cm="1">
        <f t="array" aca="1" ref="B106" ca="1">INDEX([1]Data_DBD!$B:$B,$A106)</f>
        <v>34</v>
      </c>
      <c r="C106" s="19" t="str" cm="1">
        <f t="array" aca="1" ref="C106" ca="1">INDEX([1]Data_DBD!$F:$F,$A106)</f>
        <v>Rendah</v>
      </c>
      <c r="H106" s="31">
        <v>6</v>
      </c>
      <c r="I106" s="31">
        <v>14</v>
      </c>
      <c r="J106" s="31" t="s">
        <v>7</v>
      </c>
    </row>
    <row r="107" spans="1:10">
      <c r="A107" s="19">
        <f t="shared" ca="1" si="3"/>
        <v>159</v>
      </c>
      <c r="B107" s="19" cm="1">
        <f t="array" aca="1" ref="B107" ca="1">INDEX([1]Data_DBD!$B:$B,$A107)</f>
        <v>17</v>
      </c>
      <c r="C107" s="19" t="str" cm="1">
        <f t="array" aca="1" ref="C107" ca="1">INDEX([1]Data_DBD!$F:$F,$A107)</f>
        <v>Tinggi</v>
      </c>
      <c r="H107" s="31">
        <v>4</v>
      </c>
      <c r="I107" s="31">
        <v>23</v>
      </c>
      <c r="J107" s="31" t="s">
        <v>7</v>
      </c>
    </row>
    <row r="108" spans="1:10">
      <c r="A108" s="19">
        <f t="shared" ca="1" si="3"/>
        <v>26</v>
      </c>
      <c r="B108" s="19" cm="1">
        <f t="array" aca="1" ref="B108" ca="1">INDEX([1]Data_DBD!$B:$B,$A108)</f>
        <v>75</v>
      </c>
      <c r="C108" s="19" t="str" cm="1">
        <f t="array" aca="1" ref="C108" ca="1">INDEX([1]Data_DBD!$F:$F,$A108)</f>
        <v>Sedang</v>
      </c>
      <c r="H108" s="31">
        <v>85</v>
      </c>
      <c r="I108" s="31">
        <v>27</v>
      </c>
      <c r="J108" s="31" t="s">
        <v>7</v>
      </c>
    </row>
    <row r="109" spans="1:10">
      <c r="A109" s="19">
        <f t="shared" ca="1" si="3"/>
        <v>66</v>
      </c>
      <c r="B109" s="19" cm="1">
        <f t="array" aca="1" ref="B109" ca="1">INDEX([1]Data_DBD!$B:$B,$A109)</f>
        <v>21</v>
      </c>
      <c r="C109" s="19" t="str" cm="1">
        <f t="array" aca="1" ref="C109" ca="1">INDEX([1]Data_DBD!$F:$F,$A109)</f>
        <v>Sedang</v>
      </c>
      <c r="H109" s="31">
        <v>68</v>
      </c>
      <c r="I109" s="31">
        <v>44</v>
      </c>
      <c r="J109" s="31" t="s">
        <v>7</v>
      </c>
    </row>
    <row r="110" spans="1:10">
      <c r="A110" s="19">
        <f t="shared" ca="1" si="3"/>
        <v>61</v>
      </c>
      <c r="B110" s="19" cm="1">
        <f t="array" aca="1" ref="B110" ca="1">INDEX([1]Data_DBD!$B:$B,$A110)</f>
        <v>29</v>
      </c>
      <c r="C110" s="19" t="str" cm="1">
        <f t="array" aca="1" ref="C110" ca="1">INDEX([1]Data_DBD!$F:$F,$A110)</f>
        <v>Sedang</v>
      </c>
      <c r="H110" s="31">
        <v>6</v>
      </c>
      <c r="I110" s="31">
        <v>14</v>
      </c>
      <c r="J110" s="31" t="s">
        <v>7</v>
      </c>
    </row>
    <row r="111" spans="1:10">
      <c r="A111" s="19">
        <f t="shared" ca="1" si="3"/>
        <v>101</v>
      </c>
      <c r="B111" s="19" cm="1">
        <f t="array" aca="1" ref="B111" ca="1">INDEX([1]Data_DBD!$B:$B,$A111)</f>
        <v>42</v>
      </c>
      <c r="C111" s="19" t="str" cm="1">
        <f t="array" aca="1" ref="C111" ca="1">INDEX([1]Data_DBD!$F:$F,$A111)</f>
        <v>Tinggi</v>
      </c>
      <c r="H111" s="31">
        <v>107</v>
      </c>
      <c r="I111" s="31">
        <v>48</v>
      </c>
      <c r="J111" s="31" t="s">
        <v>97</v>
      </c>
    </row>
    <row r="112" spans="1:10">
      <c r="A112" s="19">
        <f t="shared" ca="1" si="3"/>
        <v>159</v>
      </c>
      <c r="B112" s="19" cm="1">
        <f t="array" aca="1" ref="B112" ca="1">INDEX([1]Data_DBD!$B:$B,$A112)</f>
        <v>17</v>
      </c>
      <c r="C112" s="19" t="str" cm="1">
        <f t="array" aca="1" ref="C112" ca="1">INDEX([1]Data_DBD!$F:$F,$A112)</f>
        <v>Tinggi</v>
      </c>
      <c r="H112" s="31">
        <v>153</v>
      </c>
      <c r="I112" s="31">
        <v>73</v>
      </c>
      <c r="J112" s="31" t="s">
        <v>97</v>
      </c>
    </row>
    <row r="113" spans="1:10">
      <c r="A113" s="19">
        <f t="shared" ca="1" si="3"/>
        <v>104</v>
      </c>
      <c r="B113" s="19" cm="1">
        <f t="array" aca="1" ref="B113" ca="1">INDEX([1]Data_DBD!$B:$B,$A113)</f>
        <v>37</v>
      </c>
      <c r="C113" s="19" t="str" cm="1">
        <f t="array" aca="1" ref="C113" ca="1">INDEX([1]Data_DBD!$F:$F,$A113)</f>
        <v>Tinggi</v>
      </c>
      <c r="H113" s="31">
        <v>55</v>
      </c>
      <c r="I113" s="31">
        <v>7</v>
      </c>
      <c r="J113" s="31" t="s">
        <v>7</v>
      </c>
    </row>
    <row r="114" spans="1:10">
      <c r="A114" s="19">
        <f t="shared" ca="1" si="3"/>
        <v>148</v>
      </c>
      <c r="B114" s="19" cm="1">
        <f t="array" aca="1" ref="B114" ca="1">INDEX([1]Data_DBD!$B:$B,$A114)</f>
        <v>55</v>
      </c>
      <c r="C114" s="19" t="str" cm="1">
        <f t="array" aca="1" ref="C114" ca="1">INDEX([1]Data_DBD!$F:$F,$A114)</f>
        <v>Tinggi</v>
      </c>
      <c r="H114" s="31">
        <v>34</v>
      </c>
      <c r="I114" s="31">
        <v>55</v>
      </c>
      <c r="J114" s="31" t="s">
        <v>7</v>
      </c>
    </row>
    <row r="115" spans="1:10">
      <c r="A115" s="19">
        <f t="shared" ca="1" si="3"/>
        <v>9</v>
      </c>
      <c r="B115" s="19" cm="1">
        <f t="array" aca="1" ref="B115" ca="1">INDEX([1]Data_DBD!$B:$B,$A115)</f>
        <v>16</v>
      </c>
      <c r="C115" s="19" t="str" cm="1">
        <f t="array" aca="1" ref="C115" ca="1">INDEX([1]Data_DBD!$F:$F,$A115)</f>
        <v>Sedang</v>
      </c>
      <c r="H115" s="31">
        <v>6</v>
      </c>
      <c r="I115" s="31">
        <v>14</v>
      </c>
      <c r="J115" s="31" t="s">
        <v>7</v>
      </c>
    </row>
    <row r="116" spans="1:10">
      <c r="A116" s="19">
        <f t="shared" ca="1" si="3"/>
        <v>33</v>
      </c>
      <c r="B116" s="19" cm="1">
        <f t="array" aca="1" ref="B116" ca="1">INDEX([1]Data_DBD!$B:$B,$A116)</f>
        <v>19</v>
      </c>
      <c r="C116" s="19" t="str" cm="1">
        <f t="array" aca="1" ref="C116" ca="1">INDEX([1]Data_DBD!$F:$F,$A116)</f>
        <v>Sedang</v>
      </c>
      <c r="H116" s="31">
        <v>110</v>
      </c>
      <c r="I116" s="31">
        <v>42</v>
      </c>
      <c r="J116" s="31" t="s">
        <v>97</v>
      </c>
    </row>
    <row r="117" spans="1:10">
      <c r="A117" s="19">
        <f t="shared" ca="1" si="3"/>
        <v>32</v>
      </c>
      <c r="B117" s="19" cm="1">
        <f t="array" aca="1" ref="B117" ca="1">INDEX([1]Data_DBD!$B:$B,$A117)</f>
        <v>54</v>
      </c>
      <c r="C117" s="19" t="str" cm="1">
        <f t="array" aca="1" ref="C117" ca="1">INDEX([1]Data_DBD!$F:$F,$A117)</f>
        <v>Sedang</v>
      </c>
      <c r="H117" s="31">
        <v>158</v>
      </c>
      <c r="I117" s="31">
        <v>5</v>
      </c>
      <c r="J117" s="31" t="s">
        <v>97</v>
      </c>
    </row>
    <row r="118" spans="1:10">
      <c r="A118" s="19">
        <f t="shared" ca="1" si="3"/>
        <v>9</v>
      </c>
      <c r="B118" s="19" cm="1">
        <f t="array" aca="1" ref="B118" ca="1">INDEX([1]Data_DBD!$B:$B,$A118)</f>
        <v>16</v>
      </c>
      <c r="C118" s="19" t="str" cm="1">
        <f t="array" aca="1" ref="C118" ca="1">INDEX([1]Data_DBD!$F:$F,$A118)</f>
        <v>Sedang</v>
      </c>
      <c r="H118" s="31">
        <v>28</v>
      </c>
      <c r="I118" s="31">
        <v>22</v>
      </c>
      <c r="J118" s="31" t="s">
        <v>7</v>
      </c>
    </row>
    <row r="119" spans="1:10">
      <c r="A119" s="19">
        <f t="shared" ca="1" si="3"/>
        <v>61</v>
      </c>
      <c r="B119" s="19" cm="1">
        <f t="array" aca="1" ref="B119" ca="1">INDEX([1]Data_DBD!$B:$B,$A119)</f>
        <v>29</v>
      </c>
      <c r="C119" s="19" t="str" cm="1">
        <f t="array" aca="1" ref="C119" ca="1">INDEX([1]Data_DBD!$F:$F,$A119)</f>
        <v>Sedang</v>
      </c>
      <c r="H119" s="31">
        <v>84</v>
      </c>
      <c r="I119" s="31">
        <v>42</v>
      </c>
      <c r="J119" s="31" t="s">
        <v>7</v>
      </c>
    </row>
    <row r="120" spans="1:10">
      <c r="A120" s="19">
        <f t="shared" ca="1" si="3"/>
        <v>112</v>
      </c>
      <c r="B120" s="19" cm="1">
        <f t="array" aca="1" ref="B120" ca="1">INDEX([1]Data_DBD!$B:$B,$A120)</f>
        <v>61</v>
      </c>
      <c r="C120" s="19" t="str" cm="1">
        <f t="array" aca="1" ref="C120" ca="1">INDEX([1]Data_DBD!$F:$F,$A120)</f>
        <v>Tinggi</v>
      </c>
      <c r="H120" s="31">
        <v>50</v>
      </c>
      <c r="I120" s="31">
        <v>19</v>
      </c>
      <c r="J120" s="31" t="s">
        <v>7</v>
      </c>
    </row>
    <row r="121" spans="1:10">
      <c r="A121" s="19">
        <f t="shared" ca="1" si="3"/>
        <v>63</v>
      </c>
      <c r="B121" s="19" cm="1">
        <f t="array" aca="1" ref="B121" ca="1">INDEX([1]Data_DBD!$B:$B,$A121)</f>
        <v>25</v>
      </c>
      <c r="C121" s="19" t="str" cm="1">
        <f t="array" aca="1" ref="C121" ca="1">INDEX([1]Data_DBD!$F:$F,$A121)</f>
        <v>Sedang</v>
      </c>
      <c r="H121" s="31">
        <v>113</v>
      </c>
      <c r="I121" s="31">
        <v>69</v>
      </c>
      <c r="J121" s="31" t="s">
        <v>97</v>
      </c>
    </row>
    <row r="122" spans="1:10">
      <c r="A122" s="19">
        <f t="shared" ca="1" si="3"/>
        <v>19</v>
      </c>
      <c r="B122" s="19" cm="1">
        <f t="array" aca="1" ref="B122" ca="1">INDEX([1]Data_DBD!$B:$B,$A122)</f>
        <v>8</v>
      </c>
      <c r="C122" s="19" t="str" cm="1">
        <f t="array" aca="1" ref="C122" ca="1">INDEX([1]Data_DBD!$F:$F,$A122)</f>
        <v>Rendah</v>
      </c>
      <c r="H122" s="31">
        <v>33</v>
      </c>
      <c r="I122" s="31">
        <v>19</v>
      </c>
      <c r="J122" s="31" t="s">
        <v>7</v>
      </c>
    </row>
    <row r="123" spans="1:10">
      <c r="A123" s="19">
        <f t="shared" ca="1" si="3"/>
        <v>109</v>
      </c>
      <c r="B123" s="19" cm="1">
        <f t="array" aca="1" ref="B123" ca="1">INDEX([1]Data_DBD!$B:$B,$A123)</f>
        <v>40</v>
      </c>
      <c r="C123" s="19" t="str" cm="1">
        <f t="array" aca="1" ref="C123" ca="1">INDEX([1]Data_DBD!$F:$F,$A123)</f>
        <v>Tinggi</v>
      </c>
      <c r="H123" s="31">
        <v>114</v>
      </c>
      <c r="I123" s="31">
        <v>14</v>
      </c>
      <c r="J123" s="31" t="s">
        <v>97</v>
      </c>
    </row>
    <row r="124" spans="1:10">
      <c r="A124" s="19">
        <f t="shared" ca="1" si="3"/>
        <v>109</v>
      </c>
      <c r="B124" s="19" cm="1">
        <f t="array" aca="1" ref="B124" ca="1">INDEX([1]Data_DBD!$B:$B,$A124)</f>
        <v>40</v>
      </c>
      <c r="C124" s="19" t="str" cm="1">
        <f t="array" aca="1" ref="C124" ca="1">INDEX([1]Data_DBD!$F:$F,$A124)</f>
        <v>Tinggi</v>
      </c>
      <c r="H124" s="31">
        <v>30</v>
      </c>
      <c r="I124" s="31">
        <v>3</v>
      </c>
      <c r="J124" s="31" t="s">
        <v>7</v>
      </c>
    </row>
    <row r="125" spans="1:10">
      <c r="A125" s="19">
        <f t="shared" ca="1" si="3"/>
        <v>19</v>
      </c>
      <c r="B125" s="19" cm="1">
        <f t="array" aca="1" ref="B125" ca="1">INDEX([1]Data_DBD!$B:$B,$A125)</f>
        <v>8</v>
      </c>
      <c r="C125" s="19" t="str" cm="1">
        <f t="array" aca="1" ref="C125" ca="1">INDEX([1]Data_DBD!$F:$F,$A125)</f>
        <v>Rendah</v>
      </c>
      <c r="H125" s="31">
        <v>115</v>
      </c>
      <c r="I125" s="31">
        <v>52</v>
      </c>
      <c r="J125" s="31" t="s">
        <v>97</v>
      </c>
    </row>
    <row r="126" spans="1:10">
      <c r="A126" s="19">
        <f t="shared" ca="1" si="3"/>
        <v>26</v>
      </c>
      <c r="B126" s="19" cm="1">
        <f t="array" aca="1" ref="B126" ca="1">INDEX([1]Data_DBD!$B:$B,$A126)</f>
        <v>75</v>
      </c>
      <c r="C126" s="19" t="str" cm="1">
        <f t="array" aca="1" ref="C126" ca="1">INDEX([1]Data_DBD!$F:$F,$A126)</f>
        <v>Sedang</v>
      </c>
      <c r="H126" s="31">
        <v>25</v>
      </c>
      <c r="I126" s="31">
        <v>81</v>
      </c>
      <c r="J126" s="31" t="s">
        <v>7</v>
      </c>
    </row>
    <row r="127" spans="1:10">
      <c r="A127" s="19">
        <f t="shared" ca="1" si="3"/>
        <v>79</v>
      </c>
      <c r="B127" s="19" cm="1">
        <f t="array" aca="1" ref="B127" ca="1">INDEX([1]Data_DBD!$B:$B,$A127)</f>
        <v>29</v>
      </c>
      <c r="C127" s="19" t="str" cm="1">
        <f t="array" aca="1" ref="C127" ca="1">INDEX([1]Data_DBD!$F:$F,$A127)</f>
        <v>Sedang</v>
      </c>
      <c r="H127" s="31">
        <v>53</v>
      </c>
      <c r="I127" s="31">
        <v>35</v>
      </c>
      <c r="J127" s="31" t="s">
        <v>7</v>
      </c>
    </row>
    <row r="128" spans="1:10">
      <c r="A128" s="19">
        <f t="shared" ca="1" si="3"/>
        <v>15</v>
      </c>
      <c r="B128" s="19" cm="1">
        <f t="array" aca="1" ref="B128" ca="1">INDEX([1]Data_DBD!$B:$B,$A128)</f>
        <v>21</v>
      </c>
      <c r="C128" s="19" t="str" cm="1">
        <f t="array" aca="1" ref="C128" ca="1">INDEX([1]Data_DBD!$F:$F,$A128)</f>
        <v>Rendah</v>
      </c>
      <c r="H128" s="31">
        <v>32</v>
      </c>
      <c r="I128" s="31">
        <v>54</v>
      </c>
      <c r="J128" s="31" t="s">
        <v>7</v>
      </c>
    </row>
    <row r="129" spans="1:10">
      <c r="A129" s="19">
        <f t="shared" ca="1" si="3"/>
        <v>141</v>
      </c>
      <c r="B129" s="19" cm="1">
        <f t="array" aca="1" ref="B129" ca="1">INDEX([1]Data_DBD!$B:$B,$A129)</f>
        <v>36</v>
      </c>
      <c r="C129" s="19" t="str" cm="1">
        <f t="array" aca="1" ref="C129" ca="1">INDEX([1]Data_DBD!$F:$F,$A129)</f>
        <v>Tinggi</v>
      </c>
      <c r="H129" s="31">
        <v>162</v>
      </c>
      <c r="I129" s="31">
        <v>22</v>
      </c>
      <c r="J129" s="31" t="s">
        <v>20</v>
      </c>
    </row>
    <row r="130" spans="1:10">
      <c r="A130" s="19">
        <f t="shared" ref="A130:A164" ca="1" si="4">RANDBETWEEN(2,164)</f>
        <v>59</v>
      </c>
      <c r="B130" s="19" cm="1">
        <f t="array" aca="1" ref="B130" ca="1">INDEX([1]Data_DBD!$B:$B,$A130)</f>
        <v>28</v>
      </c>
      <c r="C130" s="19" t="str" cm="1">
        <f t="array" aca="1" ref="C130" ca="1">INDEX([1]Data_DBD!$F:$F,$A130)</f>
        <v>Sedang</v>
      </c>
      <c r="H130" s="31">
        <v>140</v>
      </c>
      <c r="I130" s="31">
        <v>74</v>
      </c>
      <c r="J130" s="31" t="s">
        <v>97</v>
      </c>
    </row>
    <row r="131" spans="1:10">
      <c r="A131" s="19">
        <f t="shared" ca="1" si="4"/>
        <v>105</v>
      </c>
      <c r="B131" s="19" cm="1">
        <f t="array" aca="1" ref="B131" ca="1">INDEX([1]Data_DBD!$B:$B,$A131)</f>
        <v>61</v>
      </c>
      <c r="C131" s="19" t="str" cm="1">
        <f t="array" aca="1" ref="C131" ca="1">INDEX([1]Data_DBD!$F:$F,$A131)</f>
        <v>Tinggi</v>
      </c>
      <c r="H131" s="31">
        <v>143</v>
      </c>
      <c r="I131" s="31">
        <v>20</v>
      </c>
      <c r="J131" s="31" t="s">
        <v>97</v>
      </c>
    </row>
    <row r="132" spans="1:10">
      <c r="A132" s="19">
        <f t="shared" ca="1" si="4"/>
        <v>16</v>
      </c>
      <c r="B132" s="19" cm="1">
        <f t="array" aca="1" ref="B132" ca="1">INDEX([1]Data_DBD!$B:$B,$A132)</f>
        <v>66</v>
      </c>
      <c r="C132" s="19" t="str" cm="1">
        <f t="array" aca="1" ref="C132" ca="1">INDEX([1]Data_DBD!$F:$F,$A132)</f>
        <v>Rendah</v>
      </c>
      <c r="H132" s="31">
        <v>144</v>
      </c>
      <c r="I132" s="31">
        <v>61</v>
      </c>
      <c r="J132" s="31" t="s">
        <v>97</v>
      </c>
    </row>
    <row r="133" spans="1:10">
      <c r="A133" s="19">
        <f t="shared" ca="1" si="4"/>
        <v>33</v>
      </c>
      <c r="B133" s="19" cm="1">
        <f t="array" aca="1" ref="B133" ca="1">INDEX([1]Data_DBD!$B:$B,$A133)</f>
        <v>19</v>
      </c>
      <c r="C133" s="19" t="str" cm="1">
        <f t="array" aca="1" ref="C133" ca="1">INDEX([1]Data_DBD!$F:$F,$A133)</f>
        <v>Sedang</v>
      </c>
      <c r="H133" s="31">
        <v>30</v>
      </c>
      <c r="I133" s="31">
        <v>3</v>
      </c>
      <c r="J133" s="31" t="s">
        <v>7</v>
      </c>
    </row>
    <row r="134" spans="1:10">
      <c r="A134" s="19">
        <f t="shared" ca="1" si="4"/>
        <v>12</v>
      </c>
      <c r="B134" s="19" cm="1">
        <f t="array" aca="1" ref="B134" ca="1">INDEX([1]Data_DBD!$B:$B,$A134)</f>
        <v>23</v>
      </c>
      <c r="C134" s="19" t="str" cm="1">
        <f t="array" aca="1" ref="C134" ca="1">INDEX([1]Data_DBD!$F:$F,$A134)</f>
        <v>Sedang</v>
      </c>
      <c r="H134" s="31">
        <v>90</v>
      </c>
      <c r="I134" s="31">
        <v>47</v>
      </c>
      <c r="J134" s="31" t="s">
        <v>97</v>
      </c>
    </row>
    <row r="135" spans="1:10">
      <c r="A135" s="19">
        <f t="shared" ca="1" si="4"/>
        <v>40</v>
      </c>
      <c r="B135" s="19" cm="1">
        <f t="array" aca="1" ref="B135" ca="1">INDEX([1]Data_DBD!$B:$B,$A135)</f>
        <v>65</v>
      </c>
      <c r="C135" s="19" t="str" cm="1">
        <f t="array" aca="1" ref="C135" ca="1">INDEX([1]Data_DBD!$F:$F,$A135)</f>
        <v>Sedang</v>
      </c>
      <c r="H135" s="31">
        <v>121</v>
      </c>
      <c r="I135" s="31">
        <v>82</v>
      </c>
      <c r="J135" s="31" t="s">
        <v>97</v>
      </c>
    </row>
    <row r="136" spans="1:10">
      <c r="A136" s="19">
        <f t="shared" ca="1" si="4"/>
        <v>66</v>
      </c>
      <c r="B136" s="19" cm="1">
        <f t="array" aca="1" ref="B136" ca="1">INDEX([1]Data_DBD!$B:$B,$A136)</f>
        <v>21</v>
      </c>
      <c r="C136" s="19" t="str" cm="1">
        <f t="array" aca="1" ref="C136" ca="1">INDEX([1]Data_DBD!$F:$F,$A136)</f>
        <v>Sedang</v>
      </c>
      <c r="H136" s="31">
        <v>68</v>
      </c>
      <c r="I136" s="31">
        <v>44</v>
      </c>
      <c r="J136" s="31" t="s">
        <v>7</v>
      </c>
    </row>
    <row r="137" spans="1:10">
      <c r="A137" s="19">
        <f t="shared" ca="1" si="4"/>
        <v>57</v>
      </c>
      <c r="B137" s="19" cm="1">
        <f t="array" aca="1" ref="B137" ca="1">INDEX([1]Data_DBD!$B:$B,$A137)</f>
        <v>2</v>
      </c>
      <c r="C137" s="19" t="str" cm="1">
        <f t="array" aca="1" ref="C137" ca="1">INDEX([1]Data_DBD!$F:$F,$A137)</f>
        <v>Sedang</v>
      </c>
      <c r="H137" s="31">
        <v>83</v>
      </c>
      <c r="I137" s="31">
        <v>50</v>
      </c>
      <c r="J137" s="31" t="s">
        <v>7</v>
      </c>
    </row>
    <row r="138" spans="1:10">
      <c r="A138" s="19">
        <f t="shared" ca="1" si="4"/>
        <v>54</v>
      </c>
      <c r="B138" s="19" cm="1">
        <f t="array" aca="1" ref="B138" ca="1">INDEX([1]Data_DBD!$B:$B,$A138)</f>
        <v>7</v>
      </c>
      <c r="C138" s="19" t="str" cm="1">
        <f t="array" aca="1" ref="C138" ca="1">INDEX([1]Data_DBD!$F:$F,$A138)</f>
        <v>Sedang</v>
      </c>
      <c r="H138" s="31">
        <v>41</v>
      </c>
      <c r="I138" s="31">
        <v>8</v>
      </c>
      <c r="J138" s="31" t="s">
        <v>7</v>
      </c>
    </row>
    <row r="139" spans="1:10">
      <c r="A139" s="19">
        <f t="shared" ca="1" si="4"/>
        <v>67</v>
      </c>
      <c r="B139" s="19" cm="1">
        <f t="array" aca="1" ref="B139" ca="1">INDEX([1]Data_DBD!$B:$B,$A139)</f>
        <v>21</v>
      </c>
      <c r="C139" s="19" t="str" cm="1">
        <f t="array" aca="1" ref="C139" ca="1">INDEX([1]Data_DBD!$F:$F,$A139)</f>
        <v>Sedang</v>
      </c>
      <c r="H139" s="31">
        <v>59</v>
      </c>
      <c r="I139" s="31">
        <v>28</v>
      </c>
      <c r="J139" s="31" t="s">
        <v>7</v>
      </c>
    </row>
    <row r="140" spans="1:10">
      <c r="A140" s="19">
        <f t="shared" ca="1" si="4"/>
        <v>89</v>
      </c>
      <c r="B140" s="19" cm="1">
        <f t="array" aca="1" ref="B140" ca="1">INDEX([1]Data_DBD!$B:$B,$A140)</f>
        <v>32</v>
      </c>
      <c r="C140" s="19" t="str" cm="1">
        <f t="array" aca="1" ref="C140" ca="1">INDEX([1]Data_DBD!$F:$F,$A140)</f>
        <v>Sedang</v>
      </c>
      <c r="H140" s="31">
        <v>136</v>
      </c>
      <c r="I140" s="31">
        <v>6</v>
      </c>
      <c r="J140" s="31" t="s">
        <v>97</v>
      </c>
    </row>
    <row r="141" spans="1:10">
      <c r="A141" s="19">
        <f t="shared" ca="1" si="4"/>
        <v>151</v>
      </c>
      <c r="B141" s="19" cm="1">
        <f t="array" aca="1" ref="B141" ca="1">INDEX([1]Data_DBD!$B:$B,$A141)</f>
        <v>24</v>
      </c>
      <c r="C141" s="19" t="str" cm="1">
        <f t="array" aca="1" ref="C141" ca="1">INDEX([1]Data_DBD!$F:$F,$A141)</f>
        <v>Tinggi</v>
      </c>
      <c r="H141" s="31">
        <v>85</v>
      </c>
      <c r="I141" s="31">
        <v>27</v>
      </c>
      <c r="J141" s="31" t="s">
        <v>7</v>
      </c>
    </row>
    <row r="142" spans="1:10">
      <c r="A142" s="19">
        <f t="shared" ca="1" si="4"/>
        <v>46</v>
      </c>
      <c r="B142" s="19" cm="1">
        <f t="array" aca="1" ref="B142" ca="1">INDEX([1]Data_DBD!$B:$B,$A142)</f>
        <v>62</v>
      </c>
      <c r="C142" s="19" t="str" cm="1">
        <f t="array" aca="1" ref="C142" ca="1">INDEX([1]Data_DBD!$F:$F,$A142)</f>
        <v>Sedang</v>
      </c>
      <c r="H142" s="31">
        <v>101</v>
      </c>
      <c r="I142" s="31">
        <v>42</v>
      </c>
      <c r="J142" s="31" t="s">
        <v>97</v>
      </c>
    </row>
    <row r="143" spans="1:10">
      <c r="A143" s="19">
        <f t="shared" ca="1" si="4"/>
        <v>106</v>
      </c>
      <c r="B143" s="19" cm="1">
        <f t="array" aca="1" ref="B143" ca="1">INDEX([1]Data_DBD!$B:$B,$A143)</f>
        <v>23</v>
      </c>
      <c r="C143" s="19" t="str" cm="1">
        <f t="array" aca="1" ref="C143" ca="1">INDEX([1]Data_DBD!$F:$F,$A143)</f>
        <v>Tinggi</v>
      </c>
      <c r="H143" s="31">
        <v>14</v>
      </c>
      <c r="I143" s="31">
        <v>49</v>
      </c>
      <c r="J143" s="31" t="s">
        <v>20</v>
      </c>
    </row>
    <row r="144" spans="1:10">
      <c r="A144" s="19">
        <f t="shared" ca="1" si="4"/>
        <v>22</v>
      </c>
      <c r="B144" s="19" cm="1">
        <f t="array" aca="1" ref="B144" ca="1">INDEX([1]Data_DBD!$B:$B,$A144)</f>
        <v>6</v>
      </c>
      <c r="C144" s="19" t="str" cm="1">
        <f t="array" aca="1" ref="C144" ca="1">INDEX([1]Data_DBD!$F:$F,$A144)</f>
        <v>Sedang</v>
      </c>
      <c r="H144" s="31">
        <v>161</v>
      </c>
      <c r="I144" s="31">
        <v>12</v>
      </c>
      <c r="J144" s="31" t="s">
        <v>97</v>
      </c>
    </row>
    <row r="145" spans="1:10">
      <c r="A145" s="19">
        <f t="shared" ca="1" si="4"/>
        <v>139</v>
      </c>
      <c r="B145" s="19" cm="1">
        <f t="array" aca="1" ref="B145" ca="1">INDEX([1]Data_DBD!$B:$B,$A145)</f>
        <v>52</v>
      </c>
      <c r="C145" s="19" t="str" cm="1">
        <f t="array" aca="1" ref="C145" ca="1">INDEX([1]Data_DBD!$F:$F,$A145)</f>
        <v>Tinggi</v>
      </c>
      <c r="H145" s="31">
        <v>111</v>
      </c>
      <c r="I145" s="31">
        <v>25</v>
      </c>
      <c r="J145" s="31" t="s">
        <v>97</v>
      </c>
    </row>
    <row r="146" spans="1:10">
      <c r="A146" s="19">
        <f t="shared" ca="1" si="4"/>
        <v>51</v>
      </c>
      <c r="B146" s="19" cm="1">
        <f t="array" aca="1" ref="B146" ca="1">INDEX([1]Data_DBD!$B:$B,$A146)</f>
        <v>48</v>
      </c>
      <c r="C146" s="19" t="str" cm="1">
        <f t="array" aca="1" ref="C146" ca="1">INDEX([1]Data_DBD!$F:$F,$A146)</f>
        <v>Sedang</v>
      </c>
      <c r="H146" s="31">
        <v>98</v>
      </c>
      <c r="I146" s="31">
        <v>16</v>
      </c>
      <c r="J146" s="31" t="s">
        <v>97</v>
      </c>
    </row>
    <row r="147" spans="1:10">
      <c r="A147" s="19">
        <f t="shared" ca="1" si="4"/>
        <v>162</v>
      </c>
      <c r="B147" s="19" cm="1">
        <f t="array" aca="1" ref="B147" ca="1">INDEX([1]Data_DBD!$B:$B,$A147)</f>
        <v>22</v>
      </c>
      <c r="C147" s="19" t="str" cm="1">
        <f t="array" aca="1" ref="C147" ca="1">INDEX([1]Data_DBD!$F:$F,$A147)</f>
        <v>Rendah</v>
      </c>
      <c r="H147" s="31">
        <v>15</v>
      </c>
      <c r="I147" s="31">
        <v>21</v>
      </c>
      <c r="J147" s="31" t="s">
        <v>20</v>
      </c>
    </row>
    <row r="148" spans="1:10">
      <c r="A148" s="19">
        <f t="shared" ca="1" si="4"/>
        <v>118</v>
      </c>
      <c r="B148" s="19" cm="1">
        <f t="array" aca="1" ref="B148" ca="1">INDEX([1]Data_DBD!$B:$B,$A148)</f>
        <v>67</v>
      </c>
      <c r="C148" s="19" t="str" cm="1">
        <f t="array" aca="1" ref="C148" ca="1">INDEX([1]Data_DBD!$F:$F,$A148)</f>
        <v>Tinggi</v>
      </c>
      <c r="H148" s="31">
        <v>135</v>
      </c>
      <c r="I148" s="31">
        <v>10</v>
      </c>
      <c r="J148" s="31" t="s">
        <v>97</v>
      </c>
    </row>
    <row r="149" spans="1:10">
      <c r="A149" s="19">
        <f t="shared" ca="1" si="4"/>
        <v>113</v>
      </c>
      <c r="B149" s="19" cm="1">
        <f t="array" aca="1" ref="B149" ca="1">INDEX([1]Data_DBD!$B:$B,$A149)</f>
        <v>69</v>
      </c>
      <c r="C149" s="19" t="str" cm="1">
        <f t="array" aca="1" ref="C149" ca="1">INDEX([1]Data_DBD!$F:$F,$A149)</f>
        <v>Tinggi</v>
      </c>
      <c r="H149" s="31">
        <v>145</v>
      </c>
      <c r="I149" s="31">
        <v>28</v>
      </c>
      <c r="J149" s="31" t="s">
        <v>97</v>
      </c>
    </row>
    <row r="150" spans="1:10">
      <c r="A150" s="19">
        <f t="shared" ca="1" si="4"/>
        <v>147</v>
      </c>
      <c r="B150" s="19" cm="1">
        <f t="array" aca="1" ref="B150" ca="1">INDEX([1]Data_DBD!$B:$B,$A150)</f>
        <v>66</v>
      </c>
      <c r="C150" s="19" t="str" cm="1">
        <f t="array" aca="1" ref="C150" ca="1">INDEX([1]Data_DBD!$F:$F,$A150)</f>
        <v>Tinggi</v>
      </c>
      <c r="H150" s="31">
        <v>23</v>
      </c>
      <c r="I150" s="31">
        <v>28</v>
      </c>
      <c r="J150" s="31" t="s">
        <v>7</v>
      </c>
    </row>
    <row r="151" spans="1:10">
      <c r="A151" s="19">
        <f t="shared" ca="1" si="4"/>
        <v>151</v>
      </c>
      <c r="B151" s="19" cm="1">
        <f t="array" aca="1" ref="B151" ca="1">INDEX([1]Data_DBD!$B:$B,$A151)</f>
        <v>24</v>
      </c>
      <c r="C151" s="19" t="str" cm="1">
        <f t="array" aca="1" ref="C151" ca="1">INDEX([1]Data_DBD!$F:$F,$A151)</f>
        <v>Tinggi</v>
      </c>
      <c r="H151" s="31">
        <v>112</v>
      </c>
      <c r="I151" s="31">
        <v>61</v>
      </c>
      <c r="J151" s="31" t="s">
        <v>97</v>
      </c>
    </row>
    <row r="152" spans="1:10">
      <c r="A152" s="19">
        <f t="shared" ca="1" si="4"/>
        <v>144</v>
      </c>
      <c r="B152" s="19" cm="1">
        <f t="array" aca="1" ref="B152" ca="1">INDEX([1]Data_DBD!$B:$B,$A152)</f>
        <v>61</v>
      </c>
      <c r="C152" s="19" t="str" cm="1">
        <f t="array" aca="1" ref="C152" ca="1">INDEX([1]Data_DBD!$F:$F,$A152)</f>
        <v>Tinggi</v>
      </c>
      <c r="H152" s="31">
        <v>92</v>
      </c>
      <c r="I152" s="31">
        <v>55</v>
      </c>
      <c r="J152" s="31" t="s">
        <v>97</v>
      </c>
    </row>
    <row r="153" spans="1:10">
      <c r="A153" s="19">
        <f t="shared" ca="1" si="4"/>
        <v>110</v>
      </c>
      <c r="B153" s="19" cm="1">
        <f t="array" aca="1" ref="B153" ca="1">INDEX([1]Data_DBD!$B:$B,$A153)</f>
        <v>42</v>
      </c>
      <c r="C153" s="19" t="str" cm="1">
        <f t="array" aca="1" ref="C153" ca="1">INDEX([1]Data_DBD!$F:$F,$A153)</f>
        <v>Tinggi</v>
      </c>
      <c r="H153" s="31">
        <v>144</v>
      </c>
      <c r="I153" s="31">
        <v>61</v>
      </c>
      <c r="J153" s="31" t="s">
        <v>97</v>
      </c>
    </row>
    <row r="154" spans="1:10">
      <c r="A154" s="19">
        <f t="shared" ca="1" si="4"/>
        <v>143</v>
      </c>
      <c r="B154" s="19" cm="1">
        <f t="array" aca="1" ref="B154" ca="1">INDEX([1]Data_DBD!$B:$B,$A154)</f>
        <v>20</v>
      </c>
      <c r="C154" s="19" t="str" cm="1">
        <f t="array" aca="1" ref="C154" ca="1">INDEX([1]Data_DBD!$F:$F,$A154)</f>
        <v>Tinggi</v>
      </c>
      <c r="H154" s="31">
        <v>137</v>
      </c>
      <c r="I154" s="31">
        <v>3</v>
      </c>
      <c r="J154" s="31" t="s">
        <v>97</v>
      </c>
    </row>
    <row r="155" spans="1:10">
      <c r="A155" s="19">
        <f t="shared" ca="1" si="4"/>
        <v>62</v>
      </c>
      <c r="B155" s="19" cm="1">
        <f t="array" aca="1" ref="B155" ca="1">INDEX([1]Data_DBD!$B:$B,$A155)</f>
        <v>43</v>
      </c>
      <c r="C155" s="19" t="str" cm="1">
        <f t="array" aca="1" ref="C155" ca="1">INDEX([1]Data_DBD!$F:$F,$A155)</f>
        <v>Sedang</v>
      </c>
      <c r="H155" s="31">
        <v>93</v>
      </c>
      <c r="I155" s="31">
        <v>65</v>
      </c>
      <c r="J155" s="31" t="s">
        <v>97</v>
      </c>
    </row>
    <row r="156" spans="1:10">
      <c r="A156" s="19">
        <f t="shared" ca="1" si="4"/>
        <v>41</v>
      </c>
      <c r="B156" s="19" cm="1">
        <f t="array" aca="1" ref="B156" ca="1">INDEX([1]Data_DBD!$B:$B,$A156)</f>
        <v>8</v>
      </c>
      <c r="C156" s="19" t="str" cm="1">
        <f t="array" aca="1" ref="C156" ca="1">INDEX([1]Data_DBD!$F:$F,$A156)</f>
        <v>Sedang</v>
      </c>
      <c r="H156" s="31">
        <v>108</v>
      </c>
      <c r="I156" s="31">
        <v>69</v>
      </c>
      <c r="J156" s="31" t="s">
        <v>97</v>
      </c>
    </row>
    <row r="157" spans="1:10">
      <c r="A157" s="19">
        <f t="shared" ca="1" si="4"/>
        <v>129</v>
      </c>
      <c r="B157" s="19" cm="1">
        <f t="array" aca="1" ref="B157" ca="1">INDEX([1]Data_DBD!$B:$B,$A157)</f>
        <v>4</v>
      </c>
      <c r="C157" s="19" t="str" cm="1">
        <f t="array" aca="1" ref="C157" ca="1">INDEX([1]Data_DBD!$F:$F,$A157)</f>
        <v>Tinggi</v>
      </c>
      <c r="H157" s="31">
        <v>127</v>
      </c>
      <c r="I157" s="31">
        <v>21</v>
      </c>
      <c r="J157" s="31" t="s">
        <v>97</v>
      </c>
    </row>
    <row r="158" spans="1:10">
      <c r="A158" s="19">
        <f t="shared" ca="1" si="4"/>
        <v>23</v>
      </c>
      <c r="B158" s="19" cm="1">
        <f t="array" aca="1" ref="B158" ca="1">INDEX([1]Data_DBD!$B:$B,$A158)</f>
        <v>28</v>
      </c>
      <c r="C158" s="19" t="str" cm="1">
        <f t="array" aca="1" ref="C158" ca="1">INDEX([1]Data_DBD!$F:$F,$A158)</f>
        <v>Sedang</v>
      </c>
      <c r="H158" s="31">
        <v>48</v>
      </c>
      <c r="I158" s="31">
        <v>50</v>
      </c>
      <c r="J158" s="31" t="s">
        <v>7</v>
      </c>
    </row>
    <row r="159" spans="1:10">
      <c r="A159" s="19">
        <f t="shared" ca="1" si="4"/>
        <v>53</v>
      </c>
      <c r="B159" s="19" cm="1">
        <f t="array" aca="1" ref="B159" ca="1">INDEX([1]Data_DBD!$B:$B,$A159)</f>
        <v>35</v>
      </c>
      <c r="C159" s="19" t="str" cm="1">
        <f t="array" aca="1" ref="C159" ca="1">INDEX([1]Data_DBD!$F:$F,$A159)</f>
        <v>Sedang</v>
      </c>
      <c r="H159" s="31">
        <v>159</v>
      </c>
      <c r="I159" s="31">
        <v>17</v>
      </c>
      <c r="J159" s="31" t="s">
        <v>97</v>
      </c>
    </row>
    <row r="160" spans="1:10">
      <c r="A160" s="19">
        <f t="shared" ca="1" si="4"/>
        <v>28</v>
      </c>
      <c r="B160" s="19" cm="1">
        <f t="array" aca="1" ref="B160" ca="1">INDEX([1]Data_DBD!$B:$B,$A160)</f>
        <v>22</v>
      </c>
      <c r="C160" s="19" t="str" cm="1">
        <f t="array" aca="1" ref="C160" ca="1">INDEX([1]Data_DBD!$F:$F,$A160)</f>
        <v>Sedang</v>
      </c>
      <c r="H160" s="31">
        <v>54</v>
      </c>
      <c r="I160" s="31">
        <v>7</v>
      </c>
      <c r="J160" s="31" t="s">
        <v>7</v>
      </c>
    </row>
    <row r="161" spans="1:10">
      <c r="A161" s="19">
        <f t="shared" ca="1" si="4"/>
        <v>87</v>
      </c>
      <c r="B161" s="19" cm="1">
        <f t="array" aca="1" ref="B161" ca="1">INDEX([1]Data_DBD!$B:$B,$A161)</f>
        <v>21</v>
      </c>
      <c r="C161" s="19" t="str" cm="1">
        <f t="array" aca="1" ref="C161" ca="1">INDEX([1]Data_DBD!$F:$F,$A161)</f>
        <v>Sedang</v>
      </c>
      <c r="H161" s="31">
        <v>108</v>
      </c>
      <c r="I161" s="31">
        <v>69</v>
      </c>
      <c r="J161" s="31" t="s">
        <v>97</v>
      </c>
    </row>
    <row r="162" spans="1:10">
      <c r="A162" s="19">
        <f t="shared" ca="1" si="4"/>
        <v>110</v>
      </c>
      <c r="B162" s="19" cm="1">
        <f t="array" aca="1" ref="B162" ca="1">INDEX([1]Data_DBD!$B:$B,$A162)</f>
        <v>42</v>
      </c>
      <c r="C162" s="19" t="str" cm="1">
        <f t="array" aca="1" ref="C162" ca="1">INDEX([1]Data_DBD!$F:$F,$A162)</f>
        <v>Tinggi</v>
      </c>
      <c r="H162" s="31">
        <v>43</v>
      </c>
      <c r="I162" s="31">
        <v>15</v>
      </c>
      <c r="J162" s="31" t="s">
        <v>7</v>
      </c>
    </row>
    <row r="163" spans="1:10">
      <c r="A163" s="19">
        <f t="shared" ca="1" si="4"/>
        <v>144</v>
      </c>
      <c r="B163" s="19" cm="1">
        <f t="array" aca="1" ref="B163" ca="1">INDEX([1]Data_DBD!$B:$B,$A163)</f>
        <v>61</v>
      </c>
      <c r="C163" s="19" t="str" cm="1">
        <f t="array" aca="1" ref="C163" ca="1">INDEX([1]Data_DBD!$F:$F,$A163)</f>
        <v>Tinggi</v>
      </c>
      <c r="H163" s="31">
        <v>97</v>
      </c>
      <c r="I163" s="31">
        <v>16</v>
      </c>
      <c r="J163" s="31" t="s">
        <v>97</v>
      </c>
    </row>
    <row r="164" spans="1:10">
      <c r="A164" s="19">
        <f t="shared" ca="1" si="4"/>
        <v>97</v>
      </c>
      <c r="B164" s="19" cm="1">
        <f t="array" aca="1" ref="B164" ca="1">INDEX([1]Data_DBD!$B:$B,$A164)</f>
        <v>16</v>
      </c>
      <c r="C164" s="19" t="str" cm="1">
        <f t="array" aca="1" ref="C164" ca="1">INDEX([1]Data_DBD!$F:$F,$A164)</f>
        <v>Tinggi</v>
      </c>
      <c r="H164" s="31">
        <v>60</v>
      </c>
      <c r="I164" s="31">
        <v>68</v>
      </c>
      <c r="J164" s="31" t="s">
        <v>7</v>
      </c>
    </row>
    <row r="165" spans="1:10">
      <c r="I165" s="18">
        <f>AVERAGE(I2:I164)</f>
        <v>32.030674846625764</v>
      </c>
    </row>
    <row r="166" spans="1:10">
      <c r="B166" s="18">
        <v>99</v>
      </c>
    </row>
    <row r="168" spans="1:10">
      <c r="E168" s="22" t="s">
        <v>175</v>
      </c>
    </row>
    <row r="169" spans="1:10">
      <c r="E169" s="19" t="s">
        <v>1</v>
      </c>
      <c r="F169" s="19">
        <f>AVERAGEIF($I$2:$I$164,"&lt;="&amp;$I$165)</f>
        <v>15.702127659574469</v>
      </c>
      <c r="G169" s="19">
        <f>AVERAGEIF($I$2:$I$164,"&gt;"&amp;$I$165)</f>
        <v>54.275362318840578</v>
      </c>
    </row>
    <row r="170" spans="1:10">
      <c r="E170" s="19" t="str" cm="1">
        <f t="array" ref="E170:E332">IF($I$2:$I$164&lt;$F$169,"kiri",IF($I$2:$I$164&lt;$G$169,"tengah","kanan"))</f>
        <v>tengah</v>
      </c>
      <c r="F170" s="19" t="s">
        <v>233</v>
      </c>
      <c r="G170" s="19"/>
    </row>
    <row r="171" spans="1:10">
      <c r="E171" s="19" t="str">
        <v>kanan</v>
      </c>
      <c r="F171" s="19">
        <f>COUNTIFS($E$170:$E$332,"Kanan",$J$2:$J$164,"Tinggi")</f>
        <v>19</v>
      </c>
      <c r="G171" s="19">
        <f>F171/32</f>
        <v>0.59375</v>
      </c>
    </row>
    <row r="172" spans="1:10">
      <c r="E172" s="19" t="str">
        <v>tengah</v>
      </c>
      <c r="F172" s="19">
        <f>COUNTIFS($E$170:$E$332,"Kanan",$J$2:$J$164,"Sedang")</f>
        <v>13</v>
      </c>
      <c r="G172" s="19">
        <f>F172/32</f>
        <v>0.40625</v>
      </c>
    </row>
    <row r="173" spans="1:10">
      <c r="E173" s="19" t="str">
        <v>tengah</v>
      </c>
      <c r="F173" s="19">
        <f>COUNTIFS($E$170:$E$332,"Kanan",$J$2:$J$164,"Rendah")</f>
        <v>0</v>
      </c>
      <c r="G173" s="19">
        <f>F173/32</f>
        <v>0</v>
      </c>
    </row>
    <row r="174" spans="1:10">
      <c r="E174" s="19" t="str">
        <v>kiri</v>
      </c>
      <c r="F174" s="19" t="s">
        <v>186</v>
      </c>
      <c r="G174" s="19">
        <f>-(IFERROR(G171*LOG(G171,2),0)+IFERROR(G172*LOG(G172,2),0)+IFERROR(G173*LOG(G173,2),0))</f>
        <v>0.97448940339805235</v>
      </c>
    </row>
    <row r="175" spans="1:10">
      <c r="E175" s="19" t="str">
        <v>kanan</v>
      </c>
      <c r="F175" s="19"/>
      <c r="G175" s="19">
        <f>SUM(F171:F173)/163</f>
        <v>0.19631901840490798</v>
      </c>
    </row>
    <row r="176" spans="1:10">
      <c r="E176" s="19" t="str">
        <v>tengah</v>
      </c>
      <c r="F176" s="19"/>
      <c r="G176" s="21">
        <f>G174*G175</f>
        <v>0.19131080312109003</v>
      </c>
    </row>
    <row r="177" spans="5:7">
      <c r="E177" s="19" t="str">
        <v>kiri</v>
      </c>
      <c r="F177" s="19"/>
      <c r="G177" s="19"/>
    </row>
    <row r="178" spans="5:7">
      <c r="E178" s="19" t="str">
        <v>tengah</v>
      </c>
      <c r="F178" s="19"/>
      <c r="G178" s="19"/>
    </row>
    <row r="179" spans="5:7">
      <c r="E179" s="19" t="str">
        <v>kiri</v>
      </c>
      <c r="F179" s="19" t="s">
        <v>232</v>
      </c>
      <c r="G179" s="19"/>
    </row>
    <row r="180" spans="5:7">
      <c r="E180" s="19" t="str">
        <v>tengah</v>
      </c>
      <c r="F180" s="19">
        <f>COUNTIFS($E$170:$E$332,"Kiri",$J$2:$J$164,"Tinggi")</f>
        <v>19</v>
      </c>
      <c r="G180" s="19">
        <f>F180/46</f>
        <v>0.41304347826086957</v>
      </c>
    </row>
    <row r="181" spans="5:7">
      <c r="E181" s="19" t="str">
        <v>kiri</v>
      </c>
      <c r="F181" s="19">
        <f>COUNTIFS($E$170:$E$332,"Kiri",$J$2:$J$164,"Sedang")</f>
        <v>21</v>
      </c>
      <c r="G181" s="19">
        <f>F181/46</f>
        <v>0.45652173913043476</v>
      </c>
    </row>
    <row r="182" spans="5:7">
      <c r="E182" s="19" t="str">
        <v>kanan</v>
      </c>
      <c r="F182" s="19">
        <f>COUNTIFS($E$170:$E$332,"Kiri",$J$2:$J$164,"Rendah")</f>
        <v>6</v>
      </c>
      <c r="G182" s="19">
        <f>F182/46</f>
        <v>0.13043478260869565</v>
      </c>
    </row>
    <row r="183" spans="5:7">
      <c r="E183" s="19" t="str">
        <v>tengah</v>
      </c>
      <c r="F183" s="19" t="s">
        <v>186</v>
      </c>
      <c r="G183" s="19">
        <f>-(IFERROR(G180*LOG(G180,2),0)+IFERROR(G181*LOG(G181,2),0)+IFERROR(G182*LOG(G182,2),0))</f>
        <v>1.4266257900111645</v>
      </c>
    </row>
    <row r="184" spans="5:7">
      <c r="E184" s="19" t="str">
        <v>kiri</v>
      </c>
      <c r="F184" s="19"/>
      <c r="G184" s="19">
        <f>SUM(F180:F182)/163</f>
        <v>0.2822085889570552</v>
      </c>
    </row>
    <row r="185" spans="5:7">
      <c r="E185" s="19" t="str">
        <v>tengah</v>
      </c>
      <c r="F185" s="19"/>
      <c r="G185" s="21">
        <f>G183*G184</f>
        <v>0.40260605116879489</v>
      </c>
    </row>
    <row r="186" spans="5:7">
      <c r="E186" s="19" t="str">
        <v>kanan</v>
      </c>
      <c r="F186" s="19"/>
      <c r="G186" s="19"/>
    </row>
    <row r="187" spans="5:7">
      <c r="E187" s="19" t="str">
        <v>kiri</v>
      </c>
      <c r="F187" s="19"/>
      <c r="G187" s="19"/>
    </row>
    <row r="188" spans="5:7">
      <c r="E188" s="19" t="str">
        <v>tengah</v>
      </c>
      <c r="F188" s="19" t="s">
        <v>191</v>
      </c>
      <c r="G188" s="19"/>
    </row>
    <row r="189" spans="5:7">
      <c r="E189" s="19" t="str">
        <v>kanan</v>
      </c>
      <c r="F189" s="19">
        <f>COUNTIFS($E$170:$E$332,"Tengah",$J$2:$J$164,"Tinggi")</f>
        <v>36</v>
      </c>
      <c r="G189" s="19">
        <f>F189/85</f>
        <v>0.42352941176470588</v>
      </c>
    </row>
    <row r="190" spans="5:7">
      <c r="E190" s="19" t="str">
        <v>tengah</v>
      </c>
      <c r="F190" s="19">
        <f>COUNTIFS($E$170:$E$332,"Tengah",$J$2:$J$164,"Sedang")</f>
        <v>42</v>
      </c>
      <c r="G190" s="19">
        <f>F190/85</f>
        <v>0.49411764705882355</v>
      </c>
    </row>
    <row r="191" spans="5:7">
      <c r="E191" s="19" t="str">
        <v>tengah</v>
      </c>
      <c r="F191" s="19">
        <f>COUNTIFS($E$170:$E$332,"Tengah",$J$2:$J$164,"Rendah")</f>
        <v>7</v>
      </c>
      <c r="G191" s="19">
        <f>F191/85</f>
        <v>8.2352941176470587E-2</v>
      </c>
    </row>
    <row r="192" spans="5:7">
      <c r="E192" s="19" t="str">
        <v>kanan</v>
      </c>
      <c r="F192" s="19" t="s">
        <v>186</v>
      </c>
      <c r="G192" s="19">
        <f>-(IFERROR(G189*LOG(G189,2),0)+IFERROR(G190*LOG(G190,2),0)+IFERROR(G191*LOG(G191,2),0))</f>
        <v>1.3241425095137676</v>
      </c>
    </row>
    <row r="193" spans="5:7">
      <c r="E193" s="19" t="str">
        <v>tengah</v>
      </c>
      <c r="F193" s="19"/>
      <c r="G193" s="19">
        <f>SUM(F189:F191)/163</f>
        <v>0.5214723926380368</v>
      </c>
    </row>
    <row r="194" spans="5:7">
      <c r="E194" s="19" t="str">
        <v>tengah</v>
      </c>
      <c r="F194" s="19"/>
      <c r="G194" s="21">
        <f>G192*G193</f>
        <v>0.69050376262987878</v>
      </c>
    </row>
    <row r="195" spans="5:7">
      <c r="E195" s="19" t="str">
        <v>tengah</v>
      </c>
      <c r="F195" s="19"/>
      <c r="G195" s="19"/>
    </row>
    <row r="196" spans="5:7">
      <c r="E196" s="19" t="str">
        <v>tengah</v>
      </c>
      <c r="F196" s="19" t="s">
        <v>192</v>
      </c>
      <c r="G196" s="19"/>
    </row>
    <row r="197" spans="5:7">
      <c r="E197" s="19" t="str">
        <v>kiri</v>
      </c>
      <c r="F197" s="20">
        <f>P5-(G176+G185+G194)</f>
        <v>3.7020688145123604E-2</v>
      </c>
      <c r="G197" s="19"/>
    </row>
    <row r="198" spans="5:7">
      <c r="E198" s="19" t="str">
        <v>tengah</v>
      </c>
      <c r="F198" s="19"/>
      <c r="G198" s="19"/>
    </row>
    <row r="199" spans="5:7">
      <c r="E199" s="19" t="str">
        <v>tengah</v>
      </c>
      <c r="F199" s="19"/>
      <c r="G199" s="19"/>
    </row>
    <row r="200" spans="5:7">
      <c r="E200" s="19" t="str">
        <v>tengah</v>
      </c>
      <c r="F200" s="19"/>
      <c r="G200" s="19"/>
    </row>
    <row r="201" spans="5:7">
      <c r="E201" s="19" t="str">
        <v>tengah</v>
      </c>
      <c r="F201" s="19"/>
      <c r="G201" s="19"/>
    </row>
    <row r="202" spans="5:7">
      <c r="E202" s="19" t="str">
        <v>kiri</v>
      </c>
      <c r="F202" s="19"/>
      <c r="G202" s="19"/>
    </row>
    <row r="203" spans="5:7">
      <c r="E203" s="19" t="str">
        <v>kiri</v>
      </c>
      <c r="F203" s="19"/>
      <c r="G203" s="19"/>
    </row>
    <row r="204" spans="5:7">
      <c r="E204" s="19" t="str">
        <v>kanan</v>
      </c>
      <c r="F204" s="19"/>
      <c r="G204" s="19"/>
    </row>
    <row r="205" spans="5:7">
      <c r="E205" s="19" t="str">
        <v>tengah</v>
      </c>
      <c r="F205" s="19"/>
      <c r="G205" s="19"/>
    </row>
    <row r="206" spans="5:7">
      <c r="E206" s="19" t="str">
        <v>tengah</v>
      </c>
      <c r="F206" s="19"/>
      <c r="G206" s="19"/>
    </row>
    <row r="207" spans="5:7">
      <c r="E207" s="19" t="str">
        <v>kiri</v>
      </c>
      <c r="F207" s="19"/>
      <c r="G207" s="19"/>
    </row>
    <row r="208" spans="5:7">
      <c r="E208" s="19" t="str">
        <v>kiri</v>
      </c>
      <c r="F208" s="19"/>
      <c r="G208" s="19"/>
    </row>
    <row r="209" spans="5:7">
      <c r="E209" s="19" t="str">
        <v>tengah</v>
      </c>
      <c r="F209" s="19"/>
      <c r="G209" s="19"/>
    </row>
    <row r="210" spans="5:7">
      <c r="E210" s="19" t="str">
        <v>kiri</v>
      </c>
      <c r="F210" s="19"/>
      <c r="G210" s="19"/>
    </row>
    <row r="211" spans="5:7">
      <c r="E211" s="19" t="str">
        <v>tengah</v>
      </c>
      <c r="F211" s="19"/>
      <c r="G211" s="19"/>
    </row>
    <row r="212" spans="5:7">
      <c r="E212" s="19" t="str">
        <v>tengah</v>
      </c>
      <c r="F212" s="19"/>
      <c r="G212" s="19"/>
    </row>
    <row r="213" spans="5:7">
      <c r="E213" s="19" t="str">
        <v>tengah</v>
      </c>
      <c r="F213" s="19"/>
      <c r="G213" s="19"/>
    </row>
    <row r="214" spans="5:7">
      <c r="E214" s="19" t="str">
        <v>kiri</v>
      </c>
      <c r="F214" s="19"/>
      <c r="G214" s="19"/>
    </row>
    <row r="215" spans="5:7">
      <c r="E215" s="19" t="str">
        <v>kanan</v>
      </c>
      <c r="F215" s="19"/>
      <c r="G215" s="19"/>
    </row>
    <row r="216" spans="5:7">
      <c r="E216" s="19" t="str">
        <v>tengah</v>
      </c>
      <c r="F216" s="19"/>
      <c r="G216" s="19"/>
    </row>
    <row r="217" spans="5:7">
      <c r="E217" s="19" t="str">
        <v>kanan</v>
      </c>
      <c r="F217" s="19"/>
      <c r="G217" s="19"/>
    </row>
    <row r="218" spans="5:7">
      <c r="E218" s="19" t="str">
        <v>tengah</v>
      </c>
      <c r="F218" s="19"/>
      <c r="G218" s="19"/>
    </row>
    <row r="219" spans="5:7">
      <c r="E219" s="19" t="str">
        <v>tengah</v>
      </c>
      <c r="F219" s="19"/>
      <c r="G219" s="19"/>
    </row>
    <row r="220" spans="5:7">
      <c r="E220" s="19" t="str">
        <v>kiri</v>
      </c>
      <c r="F220" s="19"/>
      <c r="G220" s="19"/>
    </row>
    <row r="221" spans="5:7">
      <c r="E221" s="19" t="str">
        <v>kiri</v>
      </c>
      <c r="F221" s="19"/>
      <c r="G221" s="19"/>
    </row>
    <row r="222" spans="5:7">
      <c r="E222" s="19" t="str">
        <v>kanan</v>
      </c>
      <c r="F222" s="19"/>
      <c r="G222" s="19"/>
    </row>
    <row r="223" spans="5:7">
      <c r="E223" s="19" t="str">
        <v>tengah</v>
      </c>
      <c r="F223" s="19"/>
      <c r="G223" s="19"/>
    </row>
    <row r="224" spans="5:7">
      <c r="E224" s="19" t="str">
        <v>kiri</v>
      </c>
      <c r="F224" s="19"/>
      <c r="G224" s="19"/>
    </row>
    <row r="225" spans="5:7">
      <c r="E225" s="19" t="str">
        <v>tengah</v>
      </c>
      <c r="F225" s="19"/>
      <c r="G225" s="19"/>
    </row>
    <row r="226" spans="5:7">
      <c r="E226" s="19" t="str">
        <v>tengah</v>
      </c>
      <c r="F226" s="19"/>
      <c r="G226" s="19"/>
    </row>
    <row r="227" spans="5:7">
      <c r="E227" s="19" t="str">
        <v>tengah</v>
      </c>
      <c r="F227" s="19"/>
      <c r="G227" s="19"/>
    </row>
    <row r="228" spans="5:7">
      <c r="E228" s="19" t="str">
        <v>tengah</v>
      </c>
      <c r="F228" s="19"/>
      <c r="G228" s="19"/>
    </row>
    <row r="229" spans="5:7">
      <c r="E229" s="19" t="str">
        <v>tengah</v>
      </c>
      <c r="F229" s="19"/>
      <c r="G229" s="19"/>
    </row>
    <row r="230" spans="5:7">
      <c r="E230" s="19" t="str">
        <v>tengah</v>
      </c>
      <c r="F230" s="19"/>
      <c r="G230" s="19"/>
    </row>
    <row r="231" spans="5:7">
      <c r="E231" s="19" t="str">
        <v>tengah</v>
      </c>
      <c r="F231" s="19"/>
      <c r="G231" s="19"/>
    </row>
    <row r="232" spans="5:7">
      <c r="E232" s="19" t="str">
        <v>tengah</v>
      </c>
      <c r="F232" s="19"/>
      <c r="G232" s="19"/>
    </row>
    <row r="233" spans="5:7">
      <c r="E233" s="19" t="str">
        <v>tengah</v>
      </c>
      <c r="F233" s="19"/>
      <c r="G233" s="19"/>
    </row>
    <row r="234" spans="5:7">
      <c r="E234" s="19" t="str">
        <v>tengah</v>
      </c>
      <c r="F234" s="19"/>
      <c r="G234" s="19"/>
    </row>
    <row r="235" spans="5:7">
      <c r="E235" s="19" t="str">
        <v>tengah</v>
      </c>
      <c r="F235" s="19"/>
      <c r="G235" s="19"/>
    </row>
    <row r="236" spans="5:7">
      <c r="E236" s="19" t="str">
        <v>kanan</v>
      </c>
      <c r="F236" s="19"/>
      <c r="G236" s="19"/>
    </row>
    <row r="237" spans="5:7">
      <c r="E237" s="19" t="str">
        <v>kiri</v>
      </c>
      <c r="F237" s="19"/>
      <c r="G237" s="19"/>
    </row>
    <row r="238" spans="5:7">
      <c r="E238" s="19" t="str">
        <v>kanan</v>
      </c>
      <c r="F238" s="19"/>
      <c r="G238" s="19"/>
    </row>
    <row r="239" spans="5:7">
      <c r="E239" s="19" t="str">
        <v>tengah</v>
      </c>
      <c r="F239" s="19"/>
      <c r="G239" s="19"/>
    </row>
    <row r="240" spans="5:7">
      <c r="E240" s="19" t="str">
        <v>kiri</v>
      </c>
      <c r="F240" s="19"/>
      <c r="G240" s="19"/>
    </row>
    <row r="241" spans="5:7">
      <c r="E241" s="19" t="str">
        <v>kiri</v>
      </c>
      <c r="F241" s="19"/>
      <c r="G241" s="19"/>
    </row>
    <row r="242" spans="5:7">
      <c r="E242" s="19" t="str">
        <v>kiri</v>
      </c>
      <c r="F242" s="19"/>
      <c r="G242" s="19"/>
    </row>
    <row r="243" spans="5:7">
      <c r="E243" s="19" t="str">
        <v>kanan</v>
      </c>
      <c r="F243" s="19"/>
      <c r="G243" s="19"/>
    </row>
    <row r="244" spans="5:7">
      <c r="E244" s="19" t="str">
        <v>tengah</v>
      </c>
      <c r="F244" s="19"/>
      <c r="G244" s="19"/>
    </row>
    <row r="245" spans="5:7">
      <c r="E245" s="19" t="str">
        <v>kiri</v>
      </c>
      <c r="F245" s="19"/>
      <c r="G245" s="19"/>
    </row>
    <row r="246" spans="5:7">
      <c r="E246" s="19" t="str">
        <v>kanan</v>
      </c>
      <c r="F246" s="19"/>
      <c r="G246" s="19"/>
    </row>
    <row r="247" spans="5:7">
      <c r="E247" s="19" t="str">
        <v>tengah</v>
      </c>
      <c r="F247" s="19"/>
      <c r="G247" s="19"/>
    </row>
    <row r="248" spans="5:7">
      <c r="E248" s="19" t="str">
        <v>kiri</v>
      </c>
      <c r="F248" s="19"/>
      <c r="G248" s="19"/>
    </row>
    <row r="249" spans="5:7">
      <c r="E249" s="19" t="str">
        <v>tengah</v>
      </c>
      <c r="F249" s="19"/>
      <c r="G249" s="19"/>
    </row>
    <row r="250" spans="5:7">
      <c r="E250" s="19" t="str">
        <v>kiri</v>
      </c>
      <c r="F250" s="19"/>
      <c r="G250" s="19"/>
    </row>
    <row r="251" spans="5:7">
      <c r="E251" s="19" t="str">
        <v>kanan</v>
      </c>
      <c r="F251" s="19"/>
      <c r="G251" s="19"/>
    </row>
    <row r="252" spans="5:7">
      <c r="E252" s="19" t="str">
        <v>kiri</v>
      </c>
      <c r="F252" s="19"/>
      <c r="G252" s="19"/>
    </row>
    <row r="253" spans="5:7">
      <c r="E253" s="19" t="str">
        <v>kiri</v>
      </c>
      <c r="F253" s="19"/>
      <c r="G253" s="19"/>
    </row>
    <row r="254" spans="5:7">
      <c r="E254" s="19" t="str">
        <v>kiri</v>
      </c>
      <c r="F254" s="19"/>
      <c r="G254" s="19"/>
    </row>
    <row r="255" spans="5:7">
      <c r="E255" s="19" t="str">
        <v>kiri</v>
      </c>
      <c r="F255" s="19"/>
      <c r="G255" s="19"/>
    </row>
    <row r="256" spans="5:7">
      <c r="E256" s="19" t="str">
        <v>kiri</v>
      </c>
      <c r="F256" s="19"/>
      <c r="G256" s="19"/>
    </row>
    <row r="257" spans="5:7">
      <c r="E257" s="19" t="str">
        <v>kiri</v>
      </c>
      <c r="F257" s="19"/>
      <c r="G257" s="19"/>
    </row>
    <row r="258" spans="5:7">
      <c r="E258" s="19" t="str">
        <v>tengah</v>
      </c>
      <c r="F258" s="19"/>
      <c r="G258" s="19"/>
    </row>
    <row r="259" spans="5:7">
      <c r="E259" s="19" t="str">
        <v>tengah</v>
      </c>
      <c r="F259" s="19"/>
      <c r="G259" s="19"/>
    </row>
    <row r="260" spans="5:7">
      <c r="E260" s="19" t="str">
        <v>kiri</v>
      </c>
      <c r="F260" s="19"/>
      <c r="G260" s="19"/>
    </row>
    <row r="261" spans="5:7">
      <c r="E261" s="19" t="str">
        <v>kiri</v>
      </c>
      <c r="F261" s="19"/>
      <c r="G261" s="19"/>
    </row>
    <row r="262" spans="5:7">
      <c r="E262" s="19" t="str">
        <v>tengah</v>
      </c>
      <c r="F262" s="19"/>
      <c r="G262" s="19"/>
    </row>
    <row r="263" spans="5:7">
      <c r="E263" s="19" t="str">
        <v>tengah</v>
      </c>
      <c r="F263" s="19"/>
      <c r="G263" s="19"/>
    </row>
    <row r="264" spans="5:7">
      <c r="E264" s="19" t="str">
        <v>tengah</v>
      </c>
      <c r="F264" s="19"/>
      <c r="G264" s="19"/>
    </row>
    <row r="265" spans="5:7">
      <c r="E265" s="19" t="str">
        <v>kanan</v>
      </c>
      <c r="F265" s="19"/>
      <c r="G265" s="19"/>
    </row>
    <row r="266" spans="5:7">
      <c r="E266" s="19" t="str">
        <v>tengah</v>
      </c>
      <c r="F266" s="19"/>
      <c r="G266" s="19"/>
    </row>
    <row r="267" spans="5:7">
      <c r="E267" s="19" t="str">
        <v>kanan</v>
      </c>
      <c r="F267" s="19"/>
      <c r="G267" s="19"/>
    </row>
    <row r="268" spans="5:7">
      <c r="E268" s="19" t="str">
        <v>kanan</v>
      </c>
      <c r="F268" s="19"/>
      <c r="G268" s="19"/>
    </row>
    <row r="269" spans="5:7">
      <c r="E269" s="19" t="str">
        <v>tengah</v>
      </c>
      <c r="F269" s="19"/>
      <c r="G269" s="19"/>
    </row>
    <row r="270" spans="5:7">
      <c r="E270" s="19" t="str">
        <v>tengah</v>
      </c>
      <c r="F270" s="19"/>
      <c r="G270" s="19"/>
    </row>
    <row r="271" spans="5:7">
      <c r="E271" s="19" t="str">
        <v>tengah</v>
      </c>
      <c r="F271" s="19"/>
      <c r="G271" s="19"/>
    </row>
    <row r="272" spans="5:7">
      <c r="E272" s="19" t="str">
        <v>tengah</v>
      </c>
      <c r="F272" s="19"/>
      <c r="G272" s="19"/>
    </row>
    <row r="273" spans="5:7">
      <c r="E273" s="19" t="str">
        <v>tengah</v>
      </c>
      <c r="F273" s="19"/>
      <c r="G273" s="19"/>
    </row>
    <row r="274" spans="5:7">
      <c r="E274" s="19" t="str">
        <v>kiri</v>
      </c>
      <c r="F274" s="19"/>
      <c r="G274" s="19"/>
    </row>
    <row r="275" spans="5:7">
      <c r="E275" s="19" t="str">
        <v>tengah</v>
      </c>
      <c r="F275" s="19"/>
      <c r="G275" s="19"/>
    </row>
    <row r="276" spans="5:7">
      <c r="E276" s="19" t="str">
        <v>tengah</v>
      </c>
      <c r="F276" s="19"/>
      <c r="G276" s="19"/>
    </row>
    <row r="277" spans="5:7">
      <c r="E277" s="19" t="str">
        <v>tengah</v>
      </c>
      <c r="F277" s="19"/>
      <c r="G277" s="19"/>
    </row>
    <row r="278" spans="5:7">
      <c r="E278" s="19" t="str">
        <v>kiri</v>
      </c>
      <c r="F278" s="19"/>
      <c r="G278" s="19"/>
    </row>
    <row r="279" spans="5:7">
      <c r="E279" s="19" t="str">
        <v>tengah</v>
      </c>
      <c r="F279" s="19"/>
      <c r="G279" s="19"/>
    </row>
    <row r="280" spans="5:7">
      <c r="E280" s="19" t="str">
        <v>kanan</v>
      </c>
      <c r="F280" s="19"/>
      <c r="G280" s="19"/>
    </row>
    <row r="281" spans="5:7">
      <c r="E281" s="19" t="str">
        <v>kiri</v>
      </c>
      <c r="F281" s="19"/>
      <c r="G281" s="19"/>
    </row>
    <row r="282" spans="5:7">
      <c r="E282" s="19" t="str">
        <v>kanan</v>
      </c>
      <c r="F282" s="19"/>
      <c r="G282" s="19"/>
    </row>
    <row r="283" spans="5:7">
      <c r="E283" s="19" t="str">
        <v>kiri</v>
      </c>
      <c r="F283" s="19"/>
      <c r="G283" s="19"/>
    </row>
    <row r="284" spans="5:7">
      <c r="E284" s="19" t="str">
        <v>tengah</v>
      </c>
      <c r="F284" s="19"/>
      <c r="G284" s="19"/>
    </row>
    <row r="285" spans="5:7">
      <c r="E285" s="19" t="str">
        <v>kiri</v>
      </c>
      <c r="F285" s="19"/>
      <c r="G285" s="19"/>
    </row>
    <row r="286" spans="5:7">
      <c r="E286" s="19" t="str">
        <v>tengah</v>
      </c>
      <c r="F286" s="19"/>
      <c r="G286" s="19"/>
    </row>
    <row r="287" spans="5:7">
      <c r="E287" s="19" t="str">
        <v>tengah</v>
      </c>
      <c r="F287" s="19"/>
      <c r="G287" s="19"/>
    </row>
    <row r="288" spans="5:7">
      <c r="E288" s="19" t="str">
        <v>tengah</v>
      </c>
      <c r="F288" s="19"/>
      <c r="G288" s="19"/>
    </row>
    <row r="289" spans="5:7">
      <c r="E289" s="19" t="str">
        <v>kanan</v>
      </c>
      <c r="F289" s="19"/>
      <c r="G289" s="19"/>
    </row>
    <row r="290" spans="5:7">
      <c r="E290" s="19" t="str">
        <v>tengah</v>
      </c>
      <c r="F290" s="19"/>
      <c r="G290" s="19"/>
    </row>
    <row r="291" spans="5:7">
      <c r="E291" s="19" t="str">
        <v>kiri</v>
      </c>
      <c r="F291" s="19"/>
      <c r="G291" s="19"/>
    </row>
    <row r="292" spans="5:7">
      <c r="E292" s="19" t="str">
        <v>kiri</v>
      </c>
      <c r="F292" s="19"/>
      <c r="G292" s="19"/>
    </row>
    <row r="293" spans="5:7">
      <c r="E293" s="19" t="str">
        <v>tengah</v>
      </c>
      <c r="F293" s="19"/>
      <c r="G293" s="19"/>
    </row>
    <row r="294" spans="5:7">
      <c r="E294" s="19" t="str">
        <v>kanan</v>
      </c>
      <c r="F294" s="19"/>
      <c r="G294" s="19"/>
    </row>
    <row r="295" spans="5:7">
      <c r="E295" s="19" t="str">
        <v>tengah</v>
      </c>
      <c r="F295" s="19"/>
      <c r="G295" s="19"/>
    </row>
    <row r="296" spans="5:7">
      <c r="E296" s="19" t="str">
        <v>tengah</v>
      </c>
      <c r="F296" s="19"/>
      <c r="G296" s="19"/>
    </row>
    <row r="297" spans="5:7">
      <c r="E297" s="19" t="str">
        <v>tengah</v>
      </c>
      <c r="F297" s="19"/>
      <c r="G297" s="19"/>
    </row>
    <row r="298" spans="5:7">
      <c r="E298" s="19" t="str">
        <v>kanan</v>
      </c>
      <c r="F298" s="19"/>
      <c r="G298" s="19"/>
    </row>
    <row r="299" spans="5:7">
      <c r="E299" s="19" t="str">
        <v>tengah</v>
      </c>
      <c r="F299" s="19"/>
      <c r="G299" s="19"/>
    </row>
    <row r="300" spans="5:7">
      <c r="E300" s="19" t="str">
        <v>kanan</v>
      </c>
      <c r="F300" s="19"/>
      <c r="G300" s="19"/>
    </row>
    <row r="301" spans="5:7">
      <c r="E301" s="19" t="str">
        <v>kiri</v>
      </c>
      <c r="F301" s="19"/>
      <c r="G301" s="19"/>
    </row>
    <row r="302" spans="5:7">
      <c r="E302" s="19" t="str">
        <v>tengah</v>
      </c>
      <c r="F302" s="19"/>
      <c r="G302" s="19"/>
    </row>
    <row r="303" spans="5:7">
      <c r="E303" s="19" t="str">
        <v>kanan</v>
      </c>
      <c r="F303" s="19"/>
      <c r="G303" s="19"/>
    </row>
    <row r="304" spans="5:7">
      <c r="E304" s="19" t="str">
        <v>tengah</v>
      </c>
      <c r="F304" s="19"/>
      <c r="G304" s="19"/>
    </row>
    <row r="305" spans="5:7">
      <c r="E305" s="19" t="str">
        <v>tengah</v>
      </c>
      <c r="F305" s="19"/>
      <c r="G305" s="19"/>
    </row>
    <row r="306" spans="5:7">
      <c r="E306" s="19" t="str">
        <v>kiri</v>
      </c>
      <c r="F306" s="19"/>
      <c r="G306" s="19"/>
    </row>
    <row r="307" spans="5:7">
      <c r="E307" s="19" t="str">
        <v>tengah</v>
      </c>
      <c r="F307" s="19"/>
      <c r="G307" s="19"/>
    </row>
    <row r="308" spans="5:7">
      <c r="E308" s="19" t="str">
        <v>kiri</v>
      </c>
      <c r="F308" s="19"/>
      <c r="G308" s="19"/>
    </row>
    <row r="309" spans="5:7">
      <c r="E309" s="19" t="str">
        <v>tengah</v>
      </c>
      <c r="F309" s="19"/>
      <c r="G309" s="19"/>
    </row>
    <row r="310" spans="5:7">
      <c r="E310" s="19" t="str">
        <v>tengah</v>
      </c>
      <c r="F310" s="19"/>
      <c r="G310" s="19"/>
    </row>
    <row r="311" spans="5:7">
      <c r="E311" s="19" t="str">
        <v>tengah</v>
      </c>
      <c r="F311" s="19"/>
      <c r="G311" s="19"/>
    </row>
    <row r="312" spans="5:7">
      <c r="E312" s="19" t="str">
        <v>kiri</v>
      </c>
      <c r="F312" s="19"/>
      <c r="G312" s="19"/>
    </row>
    <row r="313" spans="5:7">
      <c r="E313" s="19" t="str">
        <v>tengah</v>
      </c>
      <c r="F313" s="19"/>
      <c r="G313" s="19"/>
    </row>
    <row r="314" spans="5:7">
      <c r="E314" s="19" t="str">
        <v>tengah</v>
      </c>
      <c r="F314" s="19"/>
      <c r="G314" s="19"/>
    </row>
    <row r="315" spans="5:7">
      <c r="E315" s="19" t="str">
        <v>tengah</v>
      </c>
      <c r="F315" s="19"/>
      <c r="G315" s="19"/>
    </row>
    <row r="316" spans="5:7">
      <c r="E316" s="19" t="str">
        <v>kiri</v>
      </c>
      <c r="F316" s="19"/>
      <c r="G316" s="19"/>
    </row>
    <row r="317" spans="5:7">
      <c r="E317" s="19" t="str">
        <v>tengah</v>
      </c>
      <c r="F317" s="19"/>
      <c r="G317" s="19"/>
    </row>
    <row r="318" spans="5:7">
      <c r="E318" s="19" t="str">
        <v>tengah</v>
      </c>
      <c r="F318" s="19"/>
      <c r="G318" s="19"/>
    </row>
    <row r="319" spans="5:7">
      <c r="E319" s="19" t="str">
        <v>kanan</v>
      </c>
      <c r="F319" s="19"/>
      <c r="G319" s="19"/>
    </row>
    <row r="320" spans="5:7">
      <c r="E320" s="19" t="str">
        <v>kanan</v>
      </c>
      <c r="F320" s="19"/>
      <c r="G320" s="19"/>
    </row>
    <row r="321" spans="5:7">
      <c r="E321" s="19" t="str">
        <v>kanan</v>
      </c>
      <c r="F321" s="19"/>
      <c r="G321" s="19"/>
    </row>
    <row r="322" spans="5:7">
      <c r="E322" s="19" t="str">
        <v>kiri</v>
      </c>
      <c r="F322" s="19"/>
      <c r="G322" s="19"/>
    </row>
    <row r="323" spans="5:7">
      <c r="E323" s="19" t="str">
        <v>kanan</v>
      </c>
      <c r="F323" s="19"/>
      <c r="G323" s="19"/>
    </row>
    <row r="324" spans="5:7">
      <c r="E324" s="19" t="str">
        <v>kanan</v>
      </c>
      <c r="F324" s="19"/>
      <c r="G324" s="19"/>
    </row>
    <row r="325" spans="5:7">
      <c r="E325" s="19" t="str">
        <v>tengah</v>
      </c>
      <c r="F325" s="19"/>
      <c r="G325" s="19"/>
    </row>
    <row r="326" spans="5:7">
      <c r="E326" s="19" t="str">
        <v>tengah</v>
      </c>
      <c r="F326" s="19"/>
      <c r="G326" s="19"/>
    </row>
    <row r="327" spans="5:7">
      <c r="E327" s="19" t="str">
        <v>tengah</v>
      </c>
      <c r="F327" s="19"/>
      <c r="G327" s="19"/>
    </row>
    <row r="328" spans="5:7">
      <c r="E328" s="19" t="str">
        <v>kiri</v>
      </c>
      <c r="F328" s="19"/>
      <c r="G328" s="19"/>
    </row>
    <row r="329" spans="5:7">
      <c r="E329" s="19" t="str">
        <v>kanan</v>
      </c>
      <c r="F329" s="19"/>
      <c r="G329" s="19"/>
    </row>
    <row r="330" spans="5:7">
      <c r="E330" s="19" t="str">
        <v>kiri</v>
      </c>
      <c r="F330" s="19"/>
      <c r="G330" s="19"/>
    </row>
    <row r="331" spans="5:7">
      <c r="E331" s="19" t="str">
        <v>tengah</v>
      </c>
      <c r="F331" s="19"/>
      <c r="G331" s="19"/>
    </row>
    <row r="332" spans="5:7">
      <c r="E332" s="19" t="str">
        <v>kanan</v>
      </c>
      <c r="F332" s="19"/>
      <c r="G332" s="1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88DB0-DE13-407E-844D-558C532F5136}">
  <dimension ref="A1:V332"/>
  <sheetViews>
    <sheetView topLeftCell="I94" zoomScale="106" zoomScaleNormal="106" workbookViewId="0">
      <selection activeCell="O163" sqref="O163"/>
    </sheetView>
  </sheetViews>
  <sheetFormatPr defaultRowHeight="15"/>
  <cols>
    <col min="3" max="3" width="17.28515625" customWidth="1"/>
    <col min="4" max="4" width="31.28515625" customWidth="1"/>
    <col min="5" max="5" width="20.7109375" customWidth="1"/>
    <col min="6" max="6" width="13.85546875" bestFit="1" customWidth="1"/>
    <col min="10" max="10" width="15.85546875" bestFit="1" customWidth="1"/>
    <col min="11" max="11" width="22" bestFit="1" customWidth="1"/>
    <col min="12" max="12" width="13.28515625" bestFit="1" customWidth="1"/>
    <col min="13" max="13" width="13.85546875" bestFit="1" customWidth="1"/>
    <col min="15" max="15" width="24.85546875" bestFit="1" customWidth="1"/>
    <col min="16" max="16" width="12" bestFit="1" customWidth="1"/>
    <col min="20" max="20" width="14.28515625" bestFit="1" customWidth="1"/>
  </cols>
  <sheetData>
    <row r="1" spans="1:17">
      <c r="A1" s="1" t="s">
        <v>171</v>
      </c>
      <c r="B1" s="1" t="s">
        <v>1</v>
      </c>
      <c r="C1" s="1" t="s">
        <v>2</v>
      </c>
      <c r="D1" s="1" t="s">
        <v>172</v>
      </c>
      <c r="E1" s="1" t="s">
        <v>4</v>
      </c>
      <c r="F1" s="1" t="s">
        <v>5</v>
      </c>
      <c r="H1" s="2" t="s">
        <v>171</v>
      </c>
      <c r="I1" s="2" t="s">
        <v>1</v>
      </c>
      <c r="J1" s="2" t="s">
        <v>2</v>
      </c>
      <c r="K1" s="2" t="s">
        <v>172</v>
      </c>
      <c r="L1" s="2" t="s">
        <v>4</v>
      </c>
      <c r="M1" s="2" t="s">
        <v>5</v>
      </c>
      <c r="O1" s="1" t="s">
        <v>173</v>
      </c>
      <c r="P1" s="3"/>
      <c r="Q1" s="3"/>
    </row>
    <row r="2" spans="1:17">
      <c r="A2" s="2">
        <f ca="1">RANDBETWEEN(2,164)</f>
        <v>135</v>
      </c>
      <c r="B2" s="2" cm="1">
        <f t="array" aca="1" ref="B2" ca="1">INDEX(Data_DBD!$B:$B,$A2)</f>
        <v>10</v>
      </c>
      <c r="C2" s="2" cm="1">
        <f t="array" aca="1" ref="C2" ca="1">INDEX(Data_DBD!$C:$C,$A2)</f>
        <v>2</v>
      </c>
      <c r="D2" s="2" cm="1">
        <f t="array" aca="1" ref="D2" ca="1">INDEX(Data_DBD!$D:$D,$A2)</f>
        <v>33</v>
      </c>
      <c r="E2" s="2" cm="1">
        <f t="array" aca="1" ref="E2" ca="1">INDEX(Data_DBD!$E:$E,$A2)</f>
        <v>0</v>
      </c>
      <c r="F2" s="2" t="str" cm="1">
        <f t="array" aca="1" ref="F2" ca="1">INDEX(Data_DBD!$F:$F,$A2)</f>
        <v>Tinggi</v>
      </c>
      <c r="H2" s="2">
        <v>76</v>
      </c>
      <c r="I2" s="2">
        <v>70</v>
      </c>
      <c r="J2" s="2">
        <v>2</v>
      </c>
      <c r="K2" s="2">
        <v>10</v>
      </c>
      <c r="L2" s="2">
        <v>0</v>
      </c>
      <c r="M2" s="2" t="s">
        <v>7</v>
      </c>
      <c r="O2" s="3" t="s">
        <v>97</v>
      </c>
      <c r="P2" s="3">
        <f>COUNTIF(M2:M164,"Tinggi")</f>
        <v>71</v>
      </c>
      <c r="Q2" s="3">
        <f>P2/163</f>
        <v>0.43558282208588955</v>
      </c>
    </row>
    <row r="3" spans="1:17">
      <c r="A3" s="2">
        <f t="shared" ref="A3:A66" ca="1" si="0">RANDBETWEEN(2,164)</f>
        <v>5</v>
      </c>
      <c r="B3" s="2" cm="1">
        <f t="array" aca="1" ref="B3" ca="1">INDEX(Data_DBD!$B:$B,$A3)</f>
        <v>18</v>
      </c>
      <c r="C3" s="2" cm="1">
        <f t="array" aca="1" ref="C3" ca="1">INDEX(Data_DBD!$C:$C,$A3)</f>
        <v>2</v>
      </c>
      <c r="D3" s="2" cm="1">
        <f t="array" aca="1" ref="D3" ca="1">INDEX(Data_DBD!$D:$D,$A3)</f>
        <v>12</v>
      </c>
      <c r="E3" s="2" cm="1">
        <f t="array" aca="1" ref="E3" ca="1">INDEX(Data_DBD!$E:$E,$A3)</f>
        <v>1</v>
      </c>
      <c r="F3" s="2" t="str" cm="1">
        <f t="array" aca="1" ref="F3" ca="1">INDEX(Data_DBD!$F:$F,$A3)</f>
        <v>Sedang</v>
      </c>
      <c r="H3" s="2">
        <v>125</v>
      </c>
      <c r="I3" s="2">
        <v>39</v>
      </c>
      <c r="J3" s="2">
        <v>4</v>
      </c>
      <c r="K3" s="2">
        <v>33</v>
      </c>
      <c r="L3" s="2">
        <v>0</v>
      </c>
      <c r="M3" s="2" t="s">
        <v>97</v>
      </c>
      <c r="O3" s="3" t="s">
        <v>7</v>
      </c>
      <c r="P3" s="3">
        <f>COUNTIF(M2:M164,"Sedang")</f>
        <v>73</v>
      </c>
      <c r="Q3" s="3">
        <f>P3/163</f>
        <v>0.44785276073619634</v>
      </c>
    </row>
    <row r="4" spans="1:17">
      <c r="A4" s="2">
        <f t="shared" ca="1" si="0"/>
        <v>62</v>
      </c>
      <c r="B4" s="2" cm="1">
        <f t="array" aca="1" ref="B4" ca="1">INDEX(Data_DBD!$B:$B,$A4)</f>
        <v>43</v>
      </c>
      <c r="C4" s="2" cm="1">
        <f t="array" aca="1" ref="C4" ca="1">INDEX(Data_DBD!$C:$C,$A4)</f>
        <v>4</v>
      </c>
      <c r="D4" s="2" cm="1">
        <f t="array" aca="1" ref="D4" ca="1">INDEX(Data_DBD!$D:$D,$A4)</f>
        <v>15</v>
      </c>
      <c r="E4" s="2" cm="1">
        <f t="array" aca="1" ref="E4" ca="1">INDEX(Data_DBD!$E:$E,$A4)</f>
        <v>1</v>
      </c>
      <c r="F4" s="2" t="str" cm="1">
        <f t="array" aca="1" ref="F4" ca="1">INDEX(Data_DBD!$F:$F,$A4)</f>
        <v>Sedang</v>
      </c>
      <c r="H4" s="2">
        <v>126</v>
      </c>
      <c r="I4" s="2">
        <v>51</v>
      </c>
      <c r="J4" s="2">
        <v>3</v>
      </c>
      <c r="K4" s="2">
        <v>33</v>
      </c>
      <c r="L4" s="2">
        <v>1</v>
      </c>
      <c r="M4" s="2" t="s">
        <v>97</v>
      </c>
      <c r="O4" s="3" t="s">
        <v>20</v>
      </c>
      <c r="P4" s="3">
        <f>COUNTIF(M2:M164,"Rendah")</f>
        <v>19</v>
      </c>
      <c r="Q4" s="3">
        <f>P4/163</f>
        <v>0.1165644171779141</v>
      </c>
    </row>
    <row r="5" spans="1:17">
      <c r="A5" s="2">
        <f t="shared" ca="1" si="0"/>
        <v>154</v>
      </c>
      <c r="B5" s="2" cm="1">
        <f t="array" aca="1" ref="B5" ca="1">INDEX(Data_DBD!$B:$B,$A5)</f>
        <v>18</v>
      </c>
      <c r="C5" s="2" cm="1">
        <f t="array" aca="1" ref="C5" ca="1">INDEX(Data_DBD!$C:$C,$A5)</f>
        <v>5</v>
      </c>
      <c r="D5" s="2" cm="1">
        <f t="array" aca="1" ref="D5" ca="1">INDEX(Data_DBD!$D:$D,$A5)</f>
        <v>21</v>
      </c>
      <c r="E5" s="2" cm="1">
        <f t="array" aca="1" ref="E5" ca="1">INDEX(Data_DBD!$E:$E,$A5)</f>
        <v>1</v>
      </c>
      <c r="F5" s="2" t="str" cm="1">
        <f t="array" aca="1" ref="F5" ca="1">INDEX(Data_DBD!$F:$F,$A5)</f>
        <v>Tinggi</v>
      </c>
      <c r="H5" s="2">
        <v>140</v>
      </c>
      <c r="I5" s="2">
        <v>74</v>
      </c>
      <c r="J5" s="2">
        <v>5</v>
      </c>
      <c r="K5" s="2">
        <v>21</v>
      </c>
      <c r="L5" s="2">
        <v>1</v>
      </c>
      <c r="M5" s="2" t="s">
        <v>97</v>
      </c>
      <c r="O5" s="4" t="s">
        <v>174</v>
      </c>
      <c r="P5">
        <f>-(IFERROR(Q2*LOG(Q2,2),0)+IFERROR(Q3*LOG(Q3,2),0)+IFERROR(Q4*LOG(Q4,2),0))</f>
        <v>1.4027167368169562</v>
      </c>
    </row>
    <row r="6" spans="1:17">
      <c r="A6" s="2">
        <f t="shared" ca="1" si="0"/>
        <v>78</v>
      </c>
      <c r="B6" s="2" cm="1">
        <f t="array" aca="1" ref="B6" ca="1">INDEX(Data_DBD!$B:$B,$A6)</f>
        <v>6</v>
      </c>
      <c r="C6" s="2" cm="1">
        <f t="array" aca="1" ref="C6" ca="1">INDEX(Data_DBD!$C:$C,$A6)</f>
        <v>3</v>
      </c>
      <c r="D6" s="2" cm="1">
        <f t="array" aca="1" ref="D6" ca="1">INDEX(Data_DBD!$D:$D,$A6)</f>
        <v>13</v>
      </c>
      <c r="E6" s="2" cm="1">
        <f t="array" aca="1" ref="E6" ca="1">INDEX(Data_DBD!$E:$E,$A6)</f>
        <v>0</v>
      </c>
      <c r="F6" s="2" t="str" cm="1">
        <f t="array" aca="1" ref="F6" ca="1">INDEX(Data_DBD!$F:$F,$A6)</f>
        <v>Sedang</v>
      </c>
      <c r="H6" s="2">
        <v>73</v>
      </c>
      <c r="I6" s="2">
        <v>15</v>
      </c>
      <c r="J6" s="2">
        <v>3</v>
      </c>
      <c r="K6" s="2">
        <v>10</v>
      </c>
      <c r="L6" s="2">
        <v>1</v>
      </c>
      <c r="M6" s="2" t="s">
        <v>7</v>
      </c>
    </row>
    <row r="7" spans="1:17">
      <c r="A7" s="2">
        <f t="shared" ca="1" si="0"/>
        <v>45</v>
      </c>
      <c r="B7" s="2" cm="1">
        <f t="array" aca="1" ref="B7" ca="1">INDEX(Data_DBD!$B:$B,$A7)</f>
        <v>75</v>
      </c>
      <c r="C7" s="2" cm="1">
        <f t="array" aca="1" ref="C7" ca="1">INDEX(Data_DBD!$C:$C,$A7)</f>
        <v>3</v>
      </c>
      <c r="D7" s="2" cm="1">
        <f t="array" aca="1" ref="D7" ca="1">INDEX(Data_DBD!$D:$D,$A7)</f>
        <v>13</v>
      </c>
      <c r="E7" s="2" cm="1">
        <f t="array" aca="1" ref="E7" ca="1">INDEX(Data_DBD!$E:$E,$A7)</f>
        <v>1</v>
      </c>
      <c r="F7" s="2" t="str" cm="1">
        <f t="array" aca="1" ref="F7" ca="1">INDEX(Data_DBD!$F:$F,$A7)</f>
        <v>Sedang</v>
      </c>
      <c r="H7" s="2">
        <v>125</v>
      </c>
      <c r="I7" s="2">
        <v>39</v>
      </c>
      <c r="J7" s="2">
        <v>4</v>
      </c>
      <c r="K7" s="2">
        <v>33</v>
      </c>
      <c r="L7" s="2">
        <v>0</v>
      </c>
      <c r="M7" s="2" t="s">
        <v>97</v>
      </c>
    </row>
    <row r="8" spans="1:17">
      <c r="A8" s="2">
        <f t="shared" ca="1" si="0"/>
        <v>38</v>
      </c>
      <c r="B8" s="2" cm="1">
        <f t="array" aca="1" ref="B8" ca="1">INDEX(Data_DBD!$B:$B,$A8)</f>
        <v>52</v>
      </c>
      <c r="C8" s="2" cm="1">
        <f t="array" aca="1" ref="C8" ca="1">INDEX(Data_DBD!$C:$C,$A8)</f>
        <v>3</v>
      </c>
      <c r="D8" s="2" cm="1">
        <f t="array" aca="1" ref="D8" ca="1">INDEX(Data_DBD!$D:$D,$A8)</f>
        <v>4</v>
      </c>
      <c r="E8" s="2" cm="1">
        <f t="array" aca="1" ref="E8" ca="1">INDEX(Data_DBD!$E:$E,$A8)</f>
        <v>1</v>
      </c>
      <c r="F8" s="2" t="str" cm="1">
        <f t="array" aca="1" ref="F8" ca="1">INDEX(Data_DBD!$F:$F,$A8)</f>
        <v>Rendah</v>
      </c>
      <c r="H8" s="2">
        <v>119</v>
      </c>
      <c r="I8" s="2">
        <v>30</v>
      </c>
      <c r="J8" s="2">
        <v>7</v>
      </c>
      <c r="K8" s="2">
        <v>33</v>
      </c>
      <c r="L8" s="2">
        <v>0</v>
      </c>
      <c r="M8" s="2" t="s">
        <v>97</v>
      </c>
    </row>
    <row r="9" spans="1:17">
      <c r="A9" s="2">
        <f t="shared" ca="1" si="0"/>
        <v>152</v>
      </c>
      <c r="B9" s="2" cm="1">
        <f t="array" aca="1" ref="B9" ca="1">INDEX(Data_DBD!$B:$B,$A9)</f>
        <v>47</v>
      </c>
      <c r="C9" s="2" cm="1">
        <f t="array" aca="1" ref="C9" ca="1">INDEX(Data_DBD!$C:$C,$A9)</f>
        <v>3</v>
      </c>
      <c r="D9" s="2" cm="1">
        <f t="array" aca="1" ref="D9" ca="1">INDEX(Data_DBD!$D:$D,$A9)</f>
        <v>21</v>
      </c>
      <c r="E9" s="2" cm="1">
        <f t="array" aca="1" ref="E9" ca="1">INDEX(Data_DBD!$E:$E,$A9)</f>
        <v>1</v>
      </c>
      <c r="F9" s="2" t="str" cm="1">
        <f t="array" aca="1" ref="F9" ca="1">INDEX(Data_DBD!$F:$F,$A9)</f>
        <v>Tinggi</v>
      </c>
      <c r="H9" s="2">
        <v>11</v>
      </c>
      <c r="I9" s="2">
        <v>24</v>
      </c>
      <c r="J9" s="2">
        <v>5</v>
      </c>
      <c r="K9" s="2">
        <v>12</v>
      </c>
      <c r="L9" s="2">
        <v>1</v>
      </c>
      <c r="M9" s="2" t="s">
        <v>7</v>
      </c>
    </row>
    <row r="10" spans="1:17">
      <c r="A10" s="2">
        <f t="shared" ca="1" si="0"/>
        <v>118</v>
      </c>
      <c r="B10" s="2" cm="1">
        <f t="array" aca="1" ref="B10" ca="1">INDEX(Data_DBD!$B:$B,$A10)</f>
        <v>67</v>
      </c>
      <c r="C10" s="2" cm="1">
        <f t="array" aca="1" ref="C10" ca="1">INDEX(Data_DBD!$C:$C,$A10)</f>
        <v>4</v>
      </c>
      <c r="D10" s="2" cm="1">
        <f t="array" aca="1" ref="D10" ca="1">INDEX(Data_DBD!$D:$D,$A10)</f>
        <v>33</v>
      </c>
      <c r="E10" s="2" cm="1">
        <f t="array" aca="1" ref="E10" ca="1">INDEX(Data_DBD!$E:$E,$A10)</f>
        <v>1</v>
      </c>
      <c r="F10" s="2" t="str" cm="1">
        <f t="array" aca="1" ref="F10" ca="1">INDEX(Data_DBD!$F:$F,$A10)</f>
        <v>Tinggi</v>
      </c>
      <c r="H10" s="2">
        <v>125</v>
      </c>
      <c r="I10" s="2">
        <v>39</v>
      </c>
      <c r="J10" s="2">
        <v>4</v>
      </c>
      <c r="K10" s="2">
        <v>33</v>
      </c>
      <c r="L10" s="2">
        <v>0</v>
      </c>
      <c r="M10" s="2" t="s">
        <v>97</v>
      </c>
    </row>
    <row r="11" spans="1:17">
      <c r="A11" s="2">
        <f t="shared" ca="1" si="0"/>
        <v>73</v>
      </c>
      <c r="B11" s="2" cm="1">
        <f t="array" aca="1" ref="B11" ca="1">INDEX(Data_DBD!$B:$B,$A11)</f>
        <v>15</v>
      </c>
      <c r="C11" s="2" cm="1">
        <f t="array" aca="1" ref="C11" ca="1">INDEX(Data_DBD!$C:$C,$A11)</f>
        <v>3</v>
      </c>
      <c r="D11" s="2" cm="1">
        <f t="array" aca="1" ref="D11" ca="1">INDEX(Data_DBD!$D:$D,$A11)</f>
        <v>10</v>
      </c>
      <c r="E11" s="2" cm="1">
        <f t="array" aca="1" ref="E11" ca="1">INDEX(Data_DBD!$E:$E,$A11)</f>
        <v>1</v>
      </c>
      <c r="F11" s="2" t="str" cm="1">
        <f t="array" aca="1" ref="F11" ca="1">INDEX(Data_DBD!$F:$F,$A11)</f>
        <v>Sedang</v>
      </c>
      <c r="H11" s="2">
        <v>39</v>
      </c>
      <c r="I11" s="2">
        <v>12</v>
      </c>
      <c r="J11" s="2">
        <v>5</v>
      </c>
      <c r="K11" s="2">
        <v>13</v>
      </c>
      <c r="L11" s="2">
        <v>1</v>
      </c>
      <c r="M11" s="2" t="s">
        <v>7</v>
      </c>
    </row>
    <row r="12" spans="1:17">
      <c r="A12" s="2">
        <f t="shared" ca="1" si="0"/>
        <v>114</v>
      </c>
      <c r="B12" s="2" cm="1">
        <f t="array" aca="1" ref="B12" ca="1">INDEX(Data_DBD!$B:$B,$A12)</f>
        <v>14</v>
      </c>
      <c r="C12" s="2" cm="1">
        <f t="array" aca="1" ref="C12" ca="1">INDEX(Data_DBD!$C:$C,$A12)</f>
        <v>2</v>
      </c>
      <c r="D12" s="2" cm="1">
        <f t="array" aca="1" ref="D12" ca="1">INDEX(Data_DBD!$D:$D,$A12)</f>
        <v>33</v>
      </c>
      <c r="E12" s="2" cm="1">
        <f t="array" aca="1" ref="E12" ca="1">INDEX(Data_DBD!$E:$E,$A12)</f>
        <v>1</v>
      </c>
      <c r="F12" s="2" t="str" cm="1">
        <f t="array" aca="1" ref="F12" ca="1">INDEX(Data_DBD!$F:$F,$A12)</f>
        <v>Tinggi</v>
      </c>
      <c r="H12" s="2">
        <v>23</v>
      </c>
      <c r="I12" s="2">
        <v>28</v>
      </c>
      <c r="J12" s="2">
        <v>4</v>
      </c>
      <c r="K12" s="2">
        <v>14</v>
      </c>
      <c r="L12" s="2">
        <v>1</v>
      </c>
      <c r="M12" s="2" t="s">
        <v>7</v>
      </c>
    </row>
    <row r="13" spans="1:17">
      <c r="A13" s="2">
        <f t="shared" ca="1" si="0"/>
        <v>103</v>
      </c>
      <c r="B13" s="2" cm="1">
        <f t="array" aca="1" ref="B13" ca="1">INDEX(Data_DBD!$B:$B,$A13)</f>
        <v>22</v>
      </c>
      <c r="C13" s="2" cm="1">
        <f t="array" aca="1" ref="C13" ca="1">INDEX(Data_DBD!$C:$C,$A13)</f>
        <v>5</v>
      </c>
      <c r="D13" s="2" cm="1">
        <f t="array" aca="1" ref="D13" ca="1">INDEX(Data_DBD!$D:$D,$A13)</f>
        <v>18</v>
      </c>
      <c r="E13" s="2" cm="1">
        <f t="array" aca="1" ref="E13" ca="1">INDEX(Data_DBD!$E:$E,$A13)</f>
        <v>0</v>
      </c>
      <c r="F13" s="2" t="str" cm="1">
        <f t="array" aca="1" ref="F13" ca="1">INDEX(Data_DBD!$F:$F,$A13)</f>
        <v>Tinggi</v>
      </c>
      <c r="H13" s="2">
        <v>129</v>
      </c>
      <c r="I13" s="2">
        <v>4</v>
      </c>
      <c r="J13" s="2">
        <v>3</v>
      </c>
      <c r="K13" s="2">
        <v>33</v>
      </c>
      <c r="L13" s="2">
        <v>0</v>
      </c>
      <c r="M13" s="2" t="s">
        <v>97</v>
      </c>
    </row>
    <row r="14" spans="1:17">
      <c r="A14" s="2">
        <f t="shared" ca="1" si="0"/>
        <v>125</v>
      </c>
      <c r="B14" s="2" cm="1">
        <f t="array" aca="1" ref="B14" ca="1">INDEX(Data_DBD!$B:$B,$A14)</f>
        <v>39</v>
      </c>
      <c r="C14" s="2" cm="1">
        <f t="array" aca="1" ref="C14" ca="1">INDEX(Data_DBD!$C:$C,$A14)</f>
        <v>4</v>
      </c>
      <c r="D14" s="2" cm="1">
        <f t="array" aca="1" ref="D14" ca="1">INDEX(Data_DBD!$D:$D,$A14)</f>
        <v>33</v>
      </c>
      <c r="E14" s="2" cm="1">
        <f t="array" aca="1" ref="E14" ca="1">INDEX(Data_DBD!$E:$E,$A14)</f>
        <v>0</v>
      </c>
      <c r="F14" s="2" t="str" cm="1">
        <f t="array" aca="1" ref="F14" ca="1">INDEX(Data_DBD!$F:$F,$A14)</f>
        <v>Tinggi</v>
      </c>
      <c r="H14" s="2">
        <v>86</v>
      </c>
      <c r="I14" s="2">
        <v>23</v>
      </c>
      <c r="J14" s="2">
        <v>3</v>
      </c>
      <c r="K14" s="2">
        <v>13</v>
      </c>
      <c r="L14" s="2">
        <v>0</v>
      </c>
      <c r="M14" s="2" t="s">
        <v>7</v>
      </c>
    </row>
    <row r="15" spans="1:17">
      <c r="A15" s="2">
        <f t="shared" ca="1" si="0"/>
        <v>41</v>
      </c>
      <c r="B15" s="2" cm="1">
        <f t="array" aca="1" ref="B15" ca="1">INDEX(Data_DBD!$B:$B,$A15)</f>
        <v>8</v>
      </c>
      <c r="C15" s="2" cm="1">
        <f t="array" aca="1" ref="C15" ca="1">INDEX(Data_DBD!$C:$C,$A15)</f>
        <v>4</v>
      </c>
      <c r="D15" s="2" cm="1">
        <f t="array" aca="1" ref="D15" ca="1">INDEX(Data_DBD!$D:$D,$A15)</f>
        <v>13</v>
      </c>
      <c r="E15" s="2" cm="1">
        <f t="array" aca="1" ref="E15" ca="1">INDEX(Data_DBD!$E:$E,$A15)</f>
        <v>0</v>
      </c>
      <c r="F15" s="2" t="str" cm="1">
        <f t="array" aca="1" ref="F15" ca="1">INDEX(Data_DBD!$F:$F,$A15)</f>
        <v>Sedang</v>
      </c>
      <c r="H15" s="2">
        <v>58</v>
      </c>
      <c r="I15" s="2">
        <v>17</v>
      </c>
      <c r="J15" s="2">
        <v>3</v>
      </c>
      <c r="K15" s="2">
        <v>15</v>
      </c>
      <c r="L15" s="2">
        <v>0</v>
      </c>
      <c r="M15" s="2" t="s">
        <v>7</v>
      </c>
    </row>
    <row r="16" spans="1:17">
      <c r="A16" s="2">
        <f t="shared" ca="1" si="0"/>
        <v>58</v>
      </c>
      <c r="B16" s="2" cm="1">
        <f t="array" aca="1" ref="B16" ca="1">INDEX(Data_DBD!$B:$B,$A16)</f>
        <v>17</v>
      </c>
      <c r="C16" s="2" cm="1">
        <f t="array" aca="1" ref="C16" ca="1">INDEX(Data_DBD!$C:$C,$A16)</f>
        <v>3</v>
      </c>
      <c r="D16" s="2" cm="1">
        <f t="array" aca="1" ref="D16" ca="1">INDEX(Data_DBD!$D:$D,$A16)</f>
        <v>15</v>
      </c>
      <c r="E16" s="2" cm="1">
        <f t="array" aca="1" ref="E16" ca="1">INDEX(Data_DBD!$E:$E,$A16)</f>
        <v>0</v>
      </c>
      <c r="F16" s="2" t="str" cm="1">
        <f t="array" aca="1" ref="F16" ca="1">INDEX(Data_DBD!$F:$F,$A16)</f>
        <v>Sedang</v>
      </c>
      <c r="H16" s="2">
        <v>134</v>
      </c>
      <c r="I16" s="2">
        <v>4</v>
      </c>
      <c r="J16" s="2">
        <v>2</v>
      </c>
      <c r="K16" s="2">
        <v>33</v>
      </c>
      <c r="L16" s="2">
        <v>1</v>
      </c>
      <c r="M16" s="2" t="s">
        <v>97</v>
      </c>
    </row>
    <row r="17" spans="1:13">
      <c r="A17" s="2">
        <f t="shared" ca="1" si="0"/>
        <v>69</v>
      </c>
      <c r="B17" s="2" cm="1">
        <f t="array" aca="1" ref="B17" ca="1">INDEX(Data_DBD!$B:$B,$A17)</f>
        <v>24</v>
      </c>
      <c r="C17" s="2" cm="1">
        <f t="array" aca="1" ref="C17" ca="1">INDEX(Data_DBD!$C:$C,$A17)</f>
        <v>4</v>
      </c>
      <c r="D17" s="2" cm="1">
        <f t="array" aca="1" ref="D17" ca="1">INDEX(Data_DBD!$D:$D,$A17)</f>
        <v>10</v>
      </c>
      <c r="E17" s="2" cm="1">
        <f t="array" aca="1" ref="E17" ca="1">INDEX(Data_DBD!$E:$E,$A17)</f>
        <v>1</v>
      </c>
      <c r="F17" s="2" t="str" cm="1">
        <f t="array" aca="1" ref="F17" ca="1">INDEX(Data_DBD!$F:$F,$A17)</f>
        <v>Sedang</v>
      </c>
      <c r="H17" s="2">
        <v>102</v>
      </c>
      <c r="I17" s="2">
        <v>41</v>
      </c>
      <c r="J17" s="2">
        <v>4</v>
      </c>
      <c r="K17" s="2">
        <v>18</v>
      </c>
      <c r="L17" s="2">
        <v>0</v>
      </c>
      <c r="M17" s="2" t="s">
        <v>97</v>
      </c>
    </row>
    <row r="18" spans="1:13">
      <c r="A18" s="2">
        <f t="shared" ca="1" si="0"/>
        <v>2</v>
      </c>
      <c r="B18" s="2" cm="1">
        <f t="array" aca="1" ref="B18" ca="1">INDEX(Data_DBD!$B:$B,$A18)</f>
        <v>34</v>
      </c>
      <c r="C18" s="2" cm="1">
        <f t="array" aca="1" ref="C18" ca="1">INDEX(Data_DBD!$C:$C,$A18)</f>
        <v>3</v>
      </c>
      <c r="D18" s="2" cm="1">
        <f t="array" aca="1" ref="D18" ca="1">INDEX(Data_DBD!$D:$D,$A18)</f>
        <v>12</v>
      </c>
      <c r="E18" s="2" cm="1">
        <f t="array" aca="1" ref="E18" ca="1">INDEX(Data_DBD!$E:$E,$A18)</f>
        <v>0</v>
      </c>
      <c r="F18" s="2" t="str" cm="1">
        <f t="array" aca="1" ref="F18" ca="1">INDEX(Data_DBD!$F:$F,$A18)</f>
        <v>Sedang</v>
      </c>
      <c r="H18" s="2">
        <v>60</v>
      </c>
      <c r="I18" s="2">
        <v>68</v>
      </c>
      <c r="J18" s="2">
        <v>4</v>
      </c>
      <c r="K18" s="2">
        <v>15</v>
      </c>
      <c r="L18" s="2">
        <v>0</v>
      </c>
      <c r="M18" s="2" t="s">
        <v>7</v>
      </c>
    </row>
    <row r="19" spans="1:13">
      <c r="A19" s="2">
        <f t="shared" ca="1" si="0"/>
        <v>18</v>
      </c>
      <c r="B19" s="2" cm="1">
        <f t="array" aca="1" ref="B19" ca="1">INDEX(Data_DBD!$B:$B,$A19)</f>
        <v>49</v>
      </c>
      <c r="C19" s="2" cm="1">
        <f t="array" aca="1" ref="C19" ca="1">INDEX(Data_DBD!$C:$C,$A19)</f>
        <v>4</v>
      </c>
      <c r="D19" s="2" cm="1">
        <f t="array" aca="1" ref="D19" ca="1">INDEX(Data_DBD!$D:$D,$A19)</f>
        <v>7</v>
      </c>
      <c r="E19" s="2" cm="1">
        <f t="array" aca="1" ref="E19" ca="1">INDEX(Data_DBD!$E:$E,$A19)</f>
        <v>1</v>
      </c>
      <c r="F19" s="2" t="str" cm="1">
        <f t="array" aca="1" ref="F19" ca="1">INDEX(Data_DBD!$F:$F,$A19)</f>
        <v>Rendah</v>
      </c>
      <c r="H19" s="2">
        <v>4</v>
      </c>
      <c r="I19" s="2">
        <v>23</v>
      </c>
      <c r="J19" s="2">
        <v>5</v>
      </c>
      <c r="K19" s="2">
        <v>12</v>
      </c>
      <c r="L19" s="2">
        <v>0</v>
      </c>
      <c r="M19" s="2" t="s">
        <v>7</v>
      </c>
    </row>
    <row r="20" spans="1:13">
      <c r="A20" s="2">
        <f t="shared" ca="1" si="0"/>
        <v>86</v>
      </c>
      <c r="B20" s="2" cm="1">
        <f t="array" aca="1" ref="B20" ca="1">INDEX(Data_DBD!$B:$B,$A20)</f>
        <v>23</v>
      </c>
      <c r="C20" s="2" cm="1">
        <f t="array" aca="1" ref="C20" ca="1">INDEX(Data_DBD!$C:$C,$A20)</f>
        <v>3</v>
      </c>
      <c r="D20" s="2" cm="1">
        <f t="array" aca="1" ref="D20" ca="1">INDEX(Data_DBD!$D:$D,$A20)</f>
        <v>13</v>
      </c>
      <c r="E20" s="2" cm="1">
        <f t="array" aca="1" ref="E20" ca="1">INDEX(Data_DBD!$E:$E,$A20)</f>
        <v>0</v>
      </c>
      <c r="F20" s="2" t="str" cm="1">
        <f t="array" aca="1" ref="F20" ca="1">INDEX(Data_DBD!$F:$F,$A20)</f>
        <v>Sedang</v>
      </c>
      <c r="H20" s="2">
        <v>147</v>
      </c>
      <c r="I20" s="2">
        <v>66</v>
      </c>
      <c r="J20" s="2">
        <v>10</v>
      </c>
      <c r="K20" s="2">
        <v>21</v>
      </c>
      <c r="L20" s="2">
        <v>1</v>
      </c>
      <c r="M20" s="2" t="s">
        <v>97</v>
      </c>
    </row>
    <row r="21" spans="1:13">
      <c r="A21" s="2">
        <f t="shared" ca="1" si="0"/>
        <v>22</v>
      </c>
      <c r="B21" s="2" cm="1">
        <f t="array" aca="1" ref="B21" ca="1">INDEX(Data_DBD!$B:$B,$A21)</f>
        <v>6</v>
      </c>
      <c r="C21" s="2" cm="1">
        <f t="array" aca="1" ref="C21" ca="1">INDEX(Data_DBD!$C:$C,$A21)</f>
        <v>3</v>
      </c>
      <c r="D21" s="2" cm="1">
        <f t="array" aca="1" ref="D21" ca="1">INDEX(Data_DBD!$D:$D,$A21)</f>
        <v>14</v>
      </c>
      <c r="E21" s="2" cm="1">
        <f t="array" aca="1" ref="E21" ca="1">INDEX(Data_DBD!$E:$E,$A21)</f>
        <v>0</v>
      </c>
      <c r="F21" s="2" t="str" cm="1">
        <f t="array" aca="1" ref="F21" ca="1">INDEX(Data_DBD!$F:$F,$A21)</f>
        <v>Sedang</v>
      </c>
      <c r="H21" s="2">
        <v>59</v>
      </c>
      <c r="I21" s="2">
        <v>28</v>
      </c>
      <c r="J21" s="2">
        <v>4</v>
      </c>
      <c r="K21" s="2">
        <v>15</v>
      </c>
      <c r="L21" s="2">
        <v>0</v>
      </c>
      <c r="M21" s="2" t="s">
        <v>7</v>
      </c>
    </row>
    <row r="22" spans="1:13">
      <c r="A22" s="2">
        <f t="shared" ca="1" si="0"/>
        <v>129</v>
      </c>
      <c r="B22" s="2" cm="1">
        <f t="array" aca="1" ref="B22" ca="1">INDEX(Data_DBD!$B:$B,$A22)</f>
        <v>4</v>
      </c>
      <c r="C22" s="2" cm="1">
        <f t="array" aca="1" ref="C22" ca="1">INDEX(Data_DBD!$C:$C,$A22)</f>
        <v>3</v>
      </c>
      <c r="D22" s="2" cm="1">
        <f t="array" aca="1" ref="D22" ca="1">INDEX(Data_DBD!$D:$D,$A22)</f>
        <v>33</v>
      </c>
      <c r="E22" s="2" cm="1">
        <f t="array" aca="1" ref="E22" ca="1">INDEX(Data_DBD!$E:$E,$A22)</f>
        <v>0</v>
      </c>
      <c r="F22" s="2" t="str" cm="1">
        <f t="array" aca="1" ref="F22" ca="1">INDEX(Data_DBD!$F:$F,$A22)</f>
        <v>Tinggi</v>
      </c>
      <c r="H22" s="2">
        <v>132</v>
      </c>
      <c r="I22" s="2">
        <v>10</v>
      </c>
      <c r="J22" s="2">
        <v>3</v>
      </c>
      <c r="K22" s="2">
        <v>33</v>
      </c>
      <c r="L22" s="2">
        <v>1</v>
      </c>
      <c r="M22" s="2" t="s">
        <v>97</v>
      </c>
    </row>
    <row r="23" spans="1:13">
      <c r="A23" s="2">
        <f t="shared" ca="1" si="0"/>
        <v>126</v>
      </c>
      <c r="B23" s="2" cm="1">
        <f t="array" aca="1" ref="B23" ca="1">INDEX(Data_DBD!$B:$B,$A23)</f>
        <v>51</v>
      </c>
      <c r="C23" s="2" cm="1">
        <f t="array" aca="1" ref="C23" ca="1">INDEX(Data_DBD!$C:$C,$A23)</f>
        <v>3</v>
      </c>
      <c r="D23" s="2" cm="1">
        <f t="array" aca="1" ref="D23" ca="1">INDEX(Data_DBD!$D:$D,$A23)</f>
        <v>33</v>
      </c>
      <c r="E23" s="2" cm="1">
        <f t="array" aca="1" ref="E23" ca="1">INDEX(Data_DBD!$E:$E,$A23)</f>
        <v>1</v>
      </c>
      <c r="F23" s="2" t="str" cm="1">
        <f t="array" aca="1" ref="F23" ca="1">INDEX(Data_DBD!$F:$F,$A23)</f>
        <v>Tinggi</v>
      </c>
      <c r="H23" s="2">
        <v>58</v>
      </c>
      <c r="I23" s="2">
        <v>17</v>
      </c>
      <c r="J23" s="2">
        <v>3</v>
      </c>
      <c r="K23" s="2">
        <v>15</v>
      </c>
      <c r="L23" s="2">
        <v>0</v>
      </c>
      <c r="M23" s="2" t="s">
        <v>7</v>
      </c>
    </row>
    <row r="24" spans="1:13">
      <c r="A24" s="2">
        <f t="shared" ca="1" si="0"/>
        <v>140</v>
      </c>
      <c r="B24" s="2" cm="1">
        <f t="array" aca="1" ref="B24" ca="1">INDEX(Data_DBD!$B:$B,$A24)</f>
        <v>74</v>
      </c>
      <c r="C24" s="2" cm="1">
        <f t="array" aca="1" ref="C24" ca="1">INDEX(Data_DBD!$C:$C,$A24)</f>
        <v>5</v>
      </c>
      <c r="D24" s="2" cm="1">
        <f t="array" aca="1" ref="D24" ca="1">INDEX(Data_DBD!$D:$D,$A24)</f>
        <v>21</v>
      </c>
      <c r="E24" s="2" cm="1">
        <f t="array" aca="1" ref="E24" ca="1">INDEX(Data_DBD!$E:$E,$A24)</f>
        <v>1</v>
      </c>
      <c r="F24" s="2" t="str" cm="1">
        <f t="array" aca="1" ref="F24" ca="1">INDEX(Data_DBD!$F:$F,$A24)</f>
        <v>Tinggi</v>
      </c>
      <c r="H24" s="2">
        <v>28</v>
      </c>
      <c r="I24" s="2">
        <v>22</v>
      </c>
      <c r="J24" s="2">
        <v>2</v>
      </c>
      <c r="K24" s="2">
        <v>14</v>
      </c>
      <c r="L24" s="2">
        <v>1</v>
      </c>
      <c r="M24" s="2" t="s">
        <v>7</v>
      </c>
    </row>
    <row r="25" spans="1:13">
      <c r="A25" s="2">
        <f t="shared" ca="1" si="0"/>
        <v>63</v>
      </c>
      <c r="B25" s="2" cm="1">
        <f t="array" aca="1" ref="B25" ca="1">INDEX(Data_DBD!$B:$B,$A25)</f>
        <v>25</v>
      </c>
      <c r="C25" s="2" cm="1">
        <f t="array" aca="1" ref="C25" ca="1">INDEX(Data_DBD!$C:$C,$A25)</f>
        <v>3</v>
      </c>
      <c r="D25" s="2" cm="1">
        <f t="array" aca="1" ref="D25" ca="1">INDEX(Data_DBD!$D:$D,$A25)</f>
        <v>15</v>
      </c>
      <c r="E25" s="2" cm="1">
        <f t="array" aca="1" ref="E25" ca="1">INDEX(Data_DBD!$E:$E,$A25)</f>
        <v>0</v>
      </c>
      <c r="F25" s="2" t="str" cm="1">
        <f t="array" aca="1" ref="F25" ca="1">INDEX(Data_DBD!$F:$F,$A25)</f>
        <v>Sedang</v>
      </c>
      <c r="H25" s="2">
        <v>124</v>
      </c>
      <c r="I25" s="2">
        <v>24</v>
      </c>
      <c r="J25" s="2">
        <v>3</v>
      </c>
      <c r="K25" s="2">
        <v>33</v>
      </c>
      <c r="L25" s="2">
        <v>1</v>
      </c>
      <c r="M25" s="2" t="s">
        <v>97</v>
      </c>
    </row>
    <row r="26" spans="1:13">
      <c r="A26" s="2">
        <f t="shared" ca="1" si="0"/>
        <v>113</v>
      </c>
      <c r="B26" s="2" cm="1">
        <f t="array" aca="1" ref="B26" ca="1">INDEX(Data_DBD!$B:$B,$A26)</f>
        <v>69</v>
      </c>
      <c r="C26" s="2" cm="1">
        <f t="array" aca="1" ref="C26" ca="1">INDEX(Data_DBD!$C:$C,$A26)</f>
        <v>1</v>
      </c>
      <c r="D26" s="2" cm="1">
        <f t="array" aca="1" ref="D26" ca="1">INDEX(Data_DBD!$D:$D,$A26)</f>
        <v>33</v>
      </c>
      <c r="E26" s="2" cm="1">
        <f t="array" aca="1" ref="E26" ca="1">INDEX(Data_DBD!$E:$E,$A26)</f>
        <v>1</v>
      </c>
      <c r="F26" s="2" t="str" cm="1">
        <f t="array" aca="1" ref="F26" ca="1">INDEX(Data_DBD!$F:$F,$A26)</f>
        <v>Tinggi</v>
      </c>
      <c r="H26" s="2">
        <v>80</v>
      </c>
      <c r="I26" s="2">
        <v>27</v>
      </c>
      <c r="J26" s="2">
        <v>3</v>
      </c>
      <c r="K26" s="2">
        <v>13</v>
      </c>
      <c r="L26" s="2">
        <v>1</v>
      </c>
      <c r="M26" s="2" t="s">
        <v>7</v>
      </c>
    </row>
    <row r="27" spans="1:13">
      <c r="A27" s="2">
        <f t="shared" ca="1" si="0"/>
        <v>67</v>
      </c>
      <c r="B27" s="2" cm="1">
        <f t="array" aca="1" ref="B27" ca="1">INDEX(Data_DBD!$B:$B,$A27)</f>
        <v>21</v>
      </c>
      <c r="C27" s="2" cm="1">
        <f t="array" aca="1" ref="C27" ca="1">INDEX(Data_DBD!$C:$C,$A27)</f>
        <v>3</v>
      </c>
      <c r="D27" s="2" cm="1">
        <f t="array" aca="1" ref="D27" ca="1">INDEX(Data_DBD!$D:$D,$A27)</f>
        <v>10</v>
      </c>
      <c r="E27" s="2" cm="1">
        <f t="array" aca="1" ref="E27" ca="1">INDEX(Data_DBD!$E:$E,$A27)</f>
        <v>1</v>
      </c>
      <c r="F27" s="2" t="str" cm="1">
        <f t="array" aca="1" ref="F27" ca="1">INDEX(Data_DBD!$F:$F,$A27)</f>
        <v>Sedang</v>
      </c>
      <c r="H27" s="2">
        <v>42</v>
      </c>
      <c r="I27" s="2">
        <v>21</v>
      </c>
      <c r="J27" s="2">
        <v>5</v>
      </c>
      <c r="K27" s="2">
        <v>13</v>
      </c>
      <c r="L27" s="2">
        <v>1</v>
      </c>
      <c r="M27" s="2" t="s">
        <v>7</v>
      </c>
    </row>
    <row r="28" spans="1:13">
      <c r="A28" s="2">
        <f t="shared" ca="1" si="0"/>
        <v>152</v>
      </c>
      <c r="B28" s="2" cm="1">
        <f t="array" aca="1" ref="B28" ca="1">INDEX(Data_DBD!$B:$B,$A28)</f>
        <v>47</v>
      </c>
      <c r="C28" s="2" cm="1">
        <f t="array" aca="1" ref="C28" ca="1">INDEX(Data_DBD!$C:$C,$A28)</f>
        <v>3</v>
      </c>
      <c r="D28" s="2" cm="1">
        <f t="array" aca="1" ref="D28" ca="1">INDEX(Data_DBD!$D:$D,$A28)</f>
        <v>21</v>
      </c>
      <c r="E28" s="2" cm="1">
        <f t="array" aca="1" ref="E28" ca="1">INDEX(Data_DBD!$E:$E,$A28)</f>
        <v>1</v>
      </c>
      <c r="F28" s="2" t="str" cm="1">
        <f t="array" aca="1" ref="F28" ca="1">INDEX(Data_DBD!$F:$F,$A28)</f>
        <v>Tinggi</v>
      </c>
      <c r="H28" s="2">
        <v>18</v>
      </c>
      <c r="I28" s="2">
        <v>49</v>
      </c>
      <c r="J28" s="2">
        <v>4</v>
      </c>
      <c r="K28" s="2">
        <v>7</v>
      </c>
      <c r="L28" s="2">
        <v>1</v>
      </c>
      <c r="M28" s="2" t="s">
        <v>20</v>
      </c>
    </row>
    <row r="29" spans="1:13">
      <c r="A29" s="2">
        <f t="shared" ca="1" si="0"/>
        <v>153</v>
      </c>
      <c r="B29" s="2" cm="1">
        <f t="array" aca="1" ref="B29" ca="1">INDEX(Data_DBD!$B:$B,$A29)</f>
        <v>73</v>
      </c>
      <c r="C29" s="2" cm="1">
        <f t="array" aca="1" ref="C29" ca="1">INDEX(Data_DBD!$C:$C,$A29)</f>
        <v>7</v>
      </c>
      <c r="D29" s="2" cm="1">
        <f t="array" aca="1" ref="D29" ca="1">INDEX(Data_DBD!$D:$D,$A29)</f>
        <v>21</v>
      </c>
      <c r="E29" s="2" cm="1">
        <f t="array" aca="1" ref="E29" ca="1">INDEX(Data_DBD!$E:$E,$A29)</f>
        <v>1</v>
      </c>
      <c r="F29" s="2" t="str" cm="1">
        <f t="array" aca="1" ref="F29" ca="1">INDEX(Data_DBD!$F:$F,$A29)</f>
        <v>Tinggi</v>
      </c>
      <c r="H29" s="2">
        <v>117</v>
      </c>
      <c r="I29" s="2">
        <v>49</v>
      </c>
      <c r="J29" s="2">
        <v>4</v>
      </c>
      <c r="K29" s="2">
        <v>33</v>
      </c>
      <c r="L29" s="2">
        <v>1</v>
      </c>
      <c r="M29" s="2" t="s">
        <v>97</v>
      </c>
    </row>
    <row r="30" spans="1:13">
      <c r="A30" s="2">
        <f t="shared" ca="1" si="0"/>
        <v>25</v>
      </c>
      <c r="B30" s="2" cm="1">
        <f t="array" aca="1" ref="B30" ca="1">INDEX(Data_DBD!$B:$B,$A30)</f>
        <v>81</v>
      </c>
      <c r="C30" s="2" cm="1">
        <f t="array" aca="1" ref="C30" ca="1">INDEX(Data_DBD!$C:$C,$A30)</f>
        <v>5</v>
      </c>
      <c r="D30" s="2" cm="1">
        <f t="array" aca="1" ref="D30" ca="1">INDEX(Data_DBD!$D:$D,$A30)</f>
        <v>14</v>
      </c>
      <c r="E30" s="2" cm="1">
        <f t="array" aca="1" ref="E30" ca="1">INDEX(Data_DBD!$E:$E,$A30)</f>
        <v>0</v>
      </c>
      <c r="F30" s="2" t="str" cm="1">
        <f t="array" aca="1" ref="F30" ca="1">INDEX(Data_DBD!$F:$F,$A30)</f>
        <v>Sedang</v>
      </c>
      <c r="H30" s="2">
        <v>49</v>
      </c>
      <c r="I30" s="2">
        <v>64</v>
      </c>
      <c r="J30" s="2">
        <v>5</v>
      </c>
      <c r="K30" s="2">
        <v>13</v>
      </c>
      <c r="L30" s="2">
        <v>0</v>
      </c>
      <c r="M30" s="2" t="s">
        <v>7</v>
      </c>
    </row>
    <row r="31" spans="1:13">
      <c r="A31" s="2">
        <f t="shared" ca="1" si="0"/>
        <v>103</v>
      </c>
      <c r="B31" s="2" cm="1">
        <f t="array" aca="1" ref="B31" ca="1">INDEX(Data_DBD!$B:$B,$A31)</f>
        <v>22</v>
      </c>
      <c r="C31" s="2" cm="1">
        <f t="array" aca="1" ref="C31" ca="1">INDEX(Data_DBD!$C:$C,$A31)</f>
        <v>5</v>
      </c>
      <c r="D31" s="2" cm="1">
        <f t="array" aca="1" ref="D31" ca="1">INDEX(Data_DBD!$D:$D,$A31)</f>
        <v>18</v>
      </c>
      <c r="E31" s="2" cm="1">
        <f t="array" aca="1" ref="E31" ca="1">INDEX(Data_DBD!$E:$E,$A31)</f>
        <v>0</v>
      </c>
      <c r="F31" s="2" t="str" cm="1">
        <f t="array" aca="1" ref="F31" ca="1">INDEX(Data_DBD!$F:$F,$A31)</f>
        <v>Tinggi</v>
      </c>
      <c r="H31" s="2">
        <v>8</v>
      </c>
      <c r="I31" s="2">
        <v>4</v>
      </c>
      <c r="J31" s="2">
        <v>2</v>
      </c>
      <c r="K31" s="2">
        <v>12</v>
      </c>
      <c r="L31" s="2">
        <v>0</v>
      </c>
      <c r="M31" s="2" t="s">
        <v>7</v>
      </c>
    </row>
    <row r="32" spans="1:13">
      <c r="A32" s="2">
        <f t="shared" ca="1" si="0"/>
        <v>3</v>
      </c>
      <c r="B32" s="2" cm="1">
        <f t="array" aca="1" ref="B32" ca="1">INDEX(Data_DBD!$B:$B,$A32)</f>
        <v>43</v>
      </c>
      <c r="C32" s="2" cm="1">
        <f t="array" aca="1" ref="C32" ca="1">INDEX(Data_DBD!$C:$C,$A32)</f>
        <v>3</v>
      </c>
      <c r="D32" s="2" cm="1">
        <f t="array" aca="1" ref="D32" ca="1">INDEX(Data_DBD!$D:$D,$A32)</f>
        <v>12</v>
      </c>
      <c r="E32" s="2" cm="1">
        <f t="array" aca="1" ref="E32" ca="1">INDEX(Data_DBD!$E:$E,$A32)</f>
        <v>1</v>
      </c>
      <c r="F32" s="2" t="str" cm="1">
        <f t="array" aca="1" ref="F32" ca="1">INDEX(Data_DBD!$F:$F,$A32)</f>
        <v>Sedang</v>
      </c>
      <c r="H32" s="2">
        <v>31</v>
      </c>
      <c r="I32" s="2">
        <v>64</v>
      </c>
      <c r="J32" s="2">
        <v>4</v>
      </c>
      <c r="K32" s="2">
        <v>14</v>
      </c>
      <c r="L32" s="2">
        <v>1</v>
      </c>
      <c r="M32" s="2" t="s">
        <v>7</v>
      </c>
    </row>
    <row r="33" spans="1:13">
      <c r="A33" s="2">
        <f t="shared" ca="1" si="0"/>
        <v>45</v>
      </c>
      <c r="B33" s="2" cm="1">
        <f t="array" aca="1" ref="B33" ca="1">INDEX(Data_DBD!$B:$B,$A33)</f>
        <v>75</v>
      </c>
      <c r="C33" s="2" cm="1">
        <f t="array" aca="1" ref="C33" ca="1">INDEX(Data_DBD!$C:$C,$A33)</f>
        <v>3</v>
      </c>
      <c r="D33" s="2" cm="1">
        <f t="array" aca="1" ref="D33" ca="1">INDEX(Data_DBD!$D:$D,$A33)</f>
        <v>13</v>
      </c>
      <c r="E33" s="2" cm="1">
        <f t="array" aca="1" ref="E33" ca="1">INDEX(Data_DBD!$E:$E,$A33)</f>
        <v>1</v>
      </c>
      <c r="F33" s="2" t="str" cm="1">
        <f t="array" aca="1" ref="F33" ca="1">INDEX(Data_DBD!$F:$F,$A33)</f>
        <v>Sedang</v>
      </c>
      <c r="H33" s="2">
        <v>6</v>
      </c>
      <c r="I33" s="2">
        <v>14</v>
      </c>
      <c r="J33" s="2">
        <v>4</v>
      </c>
      <c r="K33" s="2">
        <v>12</v>
      </c>
      <c r="L33" s="2">
        <v>0</v>
      </c>
      <c r="M33" s="2" t="s">
        <v>7</v>
      </c>
    </row>
    <row r="34" spans="1:13">
      <c r="A34" s="2">
        <f t="shared" ca="1" si="0"/>
        <v>8</v>
      </c>
      <c r="B34" s="2" cm="1">
        <f t="array" aca="1" ref="B34" ca="1">INDEX(Data_DBD!$B:$B,$A34)</f>
        <v>4</v>
      </c>
      <c r="C34" s="2" cm="1">
        <f t="array" aca="1" ref="C34" ca="1">INDEX(Data_DBD!$C:$C,$A34)</f>
        <v>2</v>
      </c>
      <c r="D34" s="2" cm="1">
        <f t="array" aca="1" ref="D34" ca="1">INDEX(Data_DBD!$D:$D,$A34)</f>
        <v>12</v>
      </c>
      <c r="E34" s="2" cm="1">
        <f t="array" aca="1" ref="E34" ca="1">INDEX(Data_DBD!$E:$E,$A34)</f>
        <v>0</v>
      </c>
      <c r="F34" s="2" t="str" cm="1">
        <f t="array" aca="1" ref="F34" ca="1">INDEX(Data_DBD!$F:$F,$A34)</f>
        <v>Sedang</v>
      </c>
      <c r="H34" s="2">
        <v>74</v>
      </c>
      <c r="I34" s="2">
        <v>9</v>
      </c>
      <c r="J34" s="2">
        <v>4</v>
      </c>
      <c r="K34" s="2">
        <v>10</v>
      </c>
      <c r="L34" s="2">
        <v>0</v>
      </c>
      <c r="M34" s="2" t="s">
        <v>7</v>
      </c>
    </row>
    <row r="35" spans="1:13">
      <c r="A35" s="2">
        <f t="shared" ca="1" si="0"/>
        <v>129</v>
      </c>
      <c r="B35" s="2" cm="1">
        <f t="array" aca="1" ref="B35" ca="1">INDEX(Data_DBD!$B:$B,$A35)</f>
        <v>4</v>
      </c>
      <c r="C35" s="2" cm="1">
        <f t="array" aca="1" ref="C35" ca="1">INDEX(Data_DBD!$C:$C,$A35)</f>
        <v>3</v>
      </c>
      <c r="D35" s="2" cm="1">
        <f t="array" aca="1" ref="D35" ca="1">INDEX(Data_DBD!$D:$D,$A35)</f>
        <v>33</v>
      </c>
      <c r="E35" s="2" cm="1">
        <f t="array" aca="1" ref="E35" ca="1">INDEX(Data_DBD!$E:$E,$A35)</f>
        <v>0</v>
      </c>
      <c r="F35" s="2" t="str" cm="1">
        <f t="array" aca="1" ref="F35" ca="1">INDEX(Data_DBD!$F:$F,$A35)</f>
        <v>Tinggi</v>
      </c>
      <c r="H35" s="2">
        <v>39</v>
      </c>
      <c r="I35" s="2">
        <v>12</v>
      </c>
      <c r="J35" s="2">
        <v>5</v>
      </c>
      <c r="K35" s="2">
        <v>13</v>
      </c>
      <c r="L35" s="2">
        <v>1</v>
      </c>
      <c r="M35" s="2" t="s">
        <v>7</v>
      </c>
    </row>
    <row r="36" spans="1:13">
      <c r="A36" s="2">
        <f t="shared" ca="1" si="0"/>
        <v>22</v>
      </c>
      <c r="B36" s="2" cm="1">
        <f t="array" aca="1" ref="B36" ca="1">INDEX(Data_DBD!$B:$B,$A36)</f>
        <v>6</v>
      </c>
      <c r="C36" s="2" cm="1">
        <f t="array" aca="1" ref="C36" ca="1">INDEX(Data_DBD!$C:$C,$A36)</f>
        <v>3</v>
      </c>
      <c r="D36" s="2" cm="1">
        <f t="array" aca="1" ref="D36" ca="1">INDEX(Data_DBD!$D:$D,$A36)</f>
        <v>14</v>
      </c>
      <c r="E36" s="2" cm="1">
        <f t="array" aca="1" ref="E36" ca="1">INDEX(Data_DBD!$E:$E,$A36)</f>
        <v>0</v>
      </c>
      <c r="F36" s="2" t="str" cm="1">
        <f t="array" aca="1" ref="F36" ca="1">INDEX(Data_DBD!$F:$F,$A36)</f>
        <v>Sedang</v>
      </c>
      <c r="H36" s="2">
        <v>76</v>
      </c>
      <c r="I36" s="2">
        <v>70</v>
      </c>
      <c r="J36" s="2">
        <v>2</v>
      </c>
      <c r="K36" s="2">
        <v>10</v>
      </c>
      <c r="L36" s="2">
        <v>0</v>
      </c>
      <c r="M36" s="2" t="s">
        <v>7</v>
      </c>
    </row>
    <row r="37" spans="1:13">
      <c r="A37" s="2">
        <f t="shared" ca="1" si="0"/>
        <v>103</v>
      </c>
      <c r="B37" s="2" cm="1">
        <f t="array" aca="1" ref="B37" ca="1">INDEX(Data_DBD!$B:$B,$A37)</f>
        <v>22</v>
      </c>
      <c r="C37" s="2" cm="1">
        <f t="array" aca="1" ref="C37" ca="1">INDEX(Data_DBD!$C:$C,$A37)</f>
        <v>5</v>
      </c>
      <c r="D37" s="2" cm="1">
        <f t="array" aca="1" ref="D37" ca="1">INDEX(Data_DBD!$D:$D,$A37)</f>
        <v>18</v>
      </c>
      <c r="E37" s="2" cm="1">
        <f t="array" aca="1" ref="E37" ca="1">INDEX(Data_DBD!$E:$E,$A37)</f>
        <v>0</v>
      </c>
      <c r="F37" s="2" t="str" cm="1">
        <f t="array" aca="1" ref="F37" ca="1">INDEX(Data_DBD!$F:$F,$A37)</f>
        <v>Tinggi</v>
      </c>
      <c r="H37" s="2">
        <v>36</v>
      </c>
      <c r="I37" s="2">
        <v>27</v>
      </c>
      <c r="J37" s="2">
        <v>1</v>
      </c>
      <c r="K37" s="2">
        <v>4</v>
      </c>
      <c r="L37" s="2">
        <v>1</v>
      </c>
      <c r="M37" s="2" t="s">
        <v>20</v>
      </c>
    </row>
    <row r="38" spans="1:13">
      <c r="A38" s="2">
        <f t="shared" ca="1" si="0"/>
        <v>96</v>
      </c>
      <c r="B38" s="2" cm="1">
        <f t="array" aca="1" ref="B38" ca="1">INDEX(Data_DBD!$B:$B,$A38)</f>
        <v>56</v>
      </c>
      <c r="C38" s="2" cm="1">
        <f t="array" aca="1" ref="C38" ca="1">INDEX(Data_DBD!$C:$C,$A38)</f>
        <v>4</v>
      </c>
      <c r="D38" s="2" cm="1">
        <f t="array" aca="1" ref="D38" ca="1">INDEX(Data_DBD!$D:$D,$A38)</f>
        <v>18</v>
      </c>
      <c r="E38" s="2" cm="1">
        <f t="array" aca="1" ref="E38" ca="1">INDEX(Data_DBD!$E:$E,$A38)</f>
        <v>0</v>
      </c>
      <c r="F38" s="2" t="str" cm="1">
        <f t="array" aca="1" ref="F38" ca="1">INDEX(Data_DBD!$F:$F,$A38)</f>
        <v>Tinggi</v>
      </c>
      <c r="H38" s="2">
        <v>9</v>
      </c>
      <c r="I38" s="2">
        <v>16</v>
      </c>
      <c r="J38" s="2">
        <v>6</v>
      </c>
      <c r="K38" s="2">
        <v>12</v>
      </c>
      <c r="L38" s="2">
        <v>1</v>
      </c>
      <c r="M38" s="2" t="s">
        <v>7</v>
      </c>
    </row>
    <row r="39" spans="1:13">
      <c r="A39" s="2">
        <f t="shared" ca="1" si="0"/>
        <v>106</v>
      </c>
      <c r="B39" s="2" cm="1">
        <f t="array" aca="1" ref="B39" ca="1">INDEX(Data_DBD!$B:$B,$A39)</f>
        <v>23</v>
      </c>
      <c r="C39" s="2" cm="1">
        <f t="array" aca="1" ref="C39" ca="1">INDEX(Data_DBD!$C:$C,$A39)</f>
        <v>3</v>
      </c>
      <c r="D39" s="2" cm="1">
        <f t="array" aca="1" ref="D39" ca="1">INDEX(Data_DBD!$D:$D,$A39)</f>
        <v>18</v>
      </c>
      <c r="E39" s="2" cm="1">
        <f t="array" aca="1" ref="E39" ca="1">INDEX(Data_DBD!$E:$E,$A39)</f>
        <v>1</v>
      </c>
      <c r="F39" s="2" t="str" cm="1">
        <f t="array" aca="1" ref="F39" ca="1">INDEX(Data_DBD!$F:$F,$A39)</f>
        <v>Tinggi</v>
      </c>
      <c r="H39" s="2">
        <v>71</v>
      </c>
      <c r="I39" s="2">
        <v>84</v>
      </c>
      <c r="J39" s="2">
        <v>3</v>
      </c>
      <c r="K39" s="2">
        <v>10</v>
      </c>
      <c r="L39" s="2">
        <v>0</v>
      </c>
      <c r="M39" s="2" t="s">
        <v>7</v>
      </c>
    </row>
    <row r="40" spans="1:13">
      <c r="A40" s="2">
        <f t="shared" ca="1" si="0"/>
        <v>7</v>
      </c>
      <c r="B40" s="2" cm="1">
        <f t="array" aca="1" ref="B40" ca="1">INDEX(Data_DBD!$B:$B,$A40)</f>
        <v>12</v>
      </c>
      <c r="C40" s="2" cm="1">
        <f t="array" aca="1" ref="C40" ca="1">INDEX(Data_DBD!$C:$C,$A40)</f>
        <v>1</v>
      </c>
      <c r="D40" s="2" cm="1">
        <f t="array" aca="1" ref="D40" ca="1">INDEX(Data_DBD!$D:$D,$A40)</f>
        <v>12</v>
      </c>
      <c r="E40" s="2" cm="1">
        <f t="array" aca="1" ref="E40" ca="1">INDEX(Data_DBD!$E:$E,$A40)</f>
        <v>1</v>
      </c>
      <c r="F40" s="2" t="str" cm="1">
        <f t="array" aca="1" ref="F40" ca="1">INDEX(Data_DBD!$F:$F,$A40)</f>
        <v>Sedang</v>
      </c>
      <c r="H40" s="2">
        <v>104</v>
      </c>
      <c r="I40" s="2">
        <v>37</v>
      </c>
      <c r="J40" s="2">
        <v>4</v>
      </c>
      <c r="K40" s="2">
        <v>18</v>
      </c>
      <c r="L40" s="2">
        <v>1</v>
      </c>
      <c r="M40" s="2" t="s">
        <v>97</v>
      </c>
    </row>
    <row r="41" spans="1:13">
      <c r="A41" s="2">
        <f t="shared" ca="1" si="0"/>
        <v>8</v>
      </c>
      <c r="B41" s="2" cm="1">
        <f t="array" aca="1" ref="B41" ca="1">INDEX(Data_DBD!$B:$B,$A41)</f>
        <v>4</v>
      </c>
      <c r="C41" s="2" cm="1">
        <f t="array" aca="1" ref="C41" ca="1">INDEX(Data_DBD!$C:$C,$A41)</f>
        <v>2</v>
      </c>
      <c r="D41" s="2" cm="1">
        <f t="array" aca="1" ref="D41" ca="1">INDEX(Data_DBD!$D:$D,$A41)</f>
        <v>12</v>
      </c>
      <c r="E41" s="2" cm="1">
        <f t="array" aca="1" ref="E41" ca="1">INDEX(Data_DBD!$E:$E,$A41)</f>
        <v>0</v>
      </c>
      <c r="F41" s="2" t="str" cm="1">
        <f t="array" aca="1" ref="F41" ca="1">INDEX(Data_DBD!$F:$F,$A41)</f>
        <v>Sedang</v>
      </c>
      <c r="H41" s="2">
        <v>89</v>
      </c>
      <c r="I41" s="2">
        <v>32</v>
      </c>
      <c r="J41" s="2">
        <v>4</v>
      </c>
      <c r="K41" s="2">
        <v>13</v>
      </c>
      <c r="L41" s="2">
        <v>0</v>
      </c>
      <c r="M41" s="2" t="s">
        <v>7</v>
      </c>
    </row>
    <row r="42" spans="1:13">
      <c r="A42" s="2">
        <f t="shared" ca="1" si="0"/>
        <v>43</v>
      </c>
      <c r="B42" s="2" cm="1">
        <f t="array" aca="1" ref="B42" ca="1">INDEX(Data_DBD!$B:$B,$A42)</f>
        <v>15</v>
      </c>
      <c r="C42" s="2" cm="1">
        <f t="array" aca="1" ref="C42" ca="1">INDEX(Data_DBD!$C:$C,$A42)</f>
        <v>4</v>
      </c>
      <c r="D42" s="2" cm="1">
        <f t="array" aca="1" ref="D42" ca="1">INDEX(Data_DBD!$D:$D,$A42)</f>
        <v>13</v>
      </c>
      <c r="E42" s="2" cm="1">
        <f t="array" aca="1" ref="E42" ca="1">INDEX(Data_DBD!$E:$E,$A42)</f>
        <v>0</v>
      </c>
      <c r="F42" s="2" t="str" cm="1">
        <f t="array" aca="1" ref="F42" ca="1">INDEX(Data_DBD!$F:$F,$A42)</f>
        <v>Sedang</v>
      </c>
      <c r="H42" s="2">
        <v>143</v>
      </c>
      <c r="I42" s="2">
        <v>20</v>
      </c>
      <c r="J42" s="2">
        <v>4</v>
      </c>
      <c r="K42" s="2">
        <v>21</v>
      </c>
      <c r="L42" s="2">
        <v>1</v>
      </c>
      <c r="M42" s="2" t="s">
        <v>97</v>
      </c>
    </row>
    <row r="43" spans="1:13">
      <c r="A43" s="2">
        <f t="shared" ca="1" si="0"/>
        <v>23</v>
      </c>
      <c r="B43" s="2" cm="1">
        <f t="array" aca="1" ref="B43" ca="1">INDEX(Data_DBD!$B:$B,$A43)</f>
        <v>28</v>
      </c>
      <c r="C43" s="2" cm="1">
        <f t="array" aca="1" ref="C43" ca="1">INDEX(Data_DBD!$C:$C,$A43)</f>
        <v>4</v>
      </c>
      <c r="D43" s="2" cm="1">
        <f t="array" aca="1" ref="D43" ca="1">INDEX(Data_DBD!$D:$D,$A43)</f>
        <v>14</v>
      </c>
      <c r="E43" s="2" cm="1">
        <f t="array" aca="1" ref="E43" ca="1">INDEX(Data_DBD!$E:$E,$A43)</f>
        <v>1</v>
      </c>
      <c r="F43" s="2" t="str" cm="1">
        <f t="array" aca="1" ref="F43" ca="1">INDEX(Data_DBD!$F:$F,$A43)</f>
        <v>Sedang</v>
      </c>
      <c r="H43" s="2">
        <v>122</v>
      </c>
      <c r="I43" s="2">
        <v>28</v>
      </c>
      <c r="J43" s="2">
        <v>3</v>
      </c>
      <c r="K43" s="2">
        <v>33</v>
      </c>
      <c r="L43" s="2">
        <v>1</v>
      </c>
      <c r="M43" s="2" t="s">
        <v>97</v>
      </c>
    </row>
    <row r="44" spans="1:13">
      <c r="A44" s="2">
        <f t="shared" ca="1" si="0"/>
        <v>80</v>
      </c>
      <c r="B44" s="2" cm="1">
        <f t="array" aca="1" ref="B44" ca="1">INDEX(Data_DBD!$B:$B,$A44)</f>
        <v>27</v>
      </c>
      <c r="C44" s="2" cm="1">
        <f t="array" aca="1" ref="C44" ca="1">INDEX(Data_DBD!$C:$C,$A44)</f>
        <v>3</v>
      </c>
      <c r="D44" s="2" cm="1">
        <f t="array" aca="1" ref="D44" ca="1">INDEX(Data_DBD!$D:$D,$A44)</f>
        <v>13</v>
      </c>
      <c r="E44" s="2" cm="1">
        <f t="array" aca="1" ref="E44" ca="1">INDEX(Data_DBD!$E:$E,$A44)</f>
        <v>1</v>
      </c>
      <c r="F44" s="2" t="str" cm="1">
        <f t="array" aca="1" ref="F44" ca="1">INDEX(Data_DBD!$F:$F,$A44)</f>
        <v>Sedang</v>
      </c>
      <c r="H44" s="2">
        <v>19</v>
      </c>
      <c r="I44" s="2">
        <v>8</v>
      </c>
      <c r="J44" s="2">
        <v>4</v>
      </c>
      <c r="K44" s="2">
        <v>7</v>
      </c>
      <c r="L44" s="2">
        <v>0</v>
      </c>
      <c r="M44" s="2" t="s">
        <v>20</v>
      </c>
    </row>
    <row r="45" spans="1:13">
      <c r="A45" s="2">
        <f t="shared" ca="1" si="0"/>
        <v>103</v>
      </c>
      <c r="B45" s="2" cm="1">
        <f t="array" aca="1" ref="B45" ca="1">INDEX(Data_DBD!$B:$B,$A45)</f>
        <v>22</v>
      </c>
      <c r="C45" s="2" cm="1">
        <f t="array" aca="1" ref="C45" ca="1">INDEX(Data_DBD!$C:$C,$A45)</f>
        <v>5</v>
      </c>
      <c r="D45" s="2" cm="1">
        <f t="array" aca="1" ref="D45" ca="1">INDEX(Data_DBD!$D:$D,$A45)</f>
        <v>18</v>
      </c>
      <c r="E45" s="2" cm="1">
        <f t="array" aca="1" ref="E45" ca="1">INDEX(Data_DBD!$E:$E,$A45)</f>
        <v>0</v>
      </c>
      <c r="F45" s="2" t="str" cm="1">
        <f t="array" aca="1" ref="F45" ca="1">INDEX(Data_DBD!$F:$F,$A45)</f>
        <v>Tinggi</v>
      </c>
      <c r="H45" s="2">
        <v>33</v>
      </c>
      <c r="I45" s="2">
        <v>19</v>
      </c>
      <c r="J45" s="2">
        <v>4</v>
      </c>
      <c r="K45" s="2">
        <v>14</v>
      </c>
      <c r="L45" s="2">
        <v>1</v>
      </c>
      <c r="M45" s="2" t="s">
        <v>7</v>
      </c>
    </row>
    <row r="46" spans="1:13">
      <c r="A46" s="2">
        <f t="shared" ca="1" si="0"/>
        <v>143</v>
      </c>
      <c r="B46" s="2" cm="1">
        <f t="array" aca="1" ref="B46" ca="1">INDEX(Data_DBD!$B:$B,$A46)</f>
        <v>20</v>
      </c>
      <c r="C46" s="2" cm="1">
        <f t="array" aca="1" ref="C46" ca="1">INDEX(Data_DBD!$C:$C,$A46)</f>
        <v>4</v>
      </c>
      <c r="D46" s="2" cm="1">
        <f t="array" aca="1" ref="D46" ca="1">INDEX(Data_DBD!$D:$D,$A46)</f>
        <v>21</v>
      </c>
      <c r="E46" s="2" cm="1">
        <f t="array" aca="1" ref="E46" ca="1">INDEX(Data_DBD!$E:$E,$A46)</f>
        <v>1</v>
      </c>
      <c r="F46" s="2" t="str" cm="1">
        <f t="array" aca="1" ref="F46" ca="1">INDEX(Data_DBD!$F:$F,$A46)</f>
        <v>Tinggi</v>
      </c>
      <c r="H46" s="2">
        <v>43</v>
      </c>
      <c r="I46" s="2">
        <v>15</v>
      </c>
      <c r="J46" s="2">
        <v>4</v>
      </c>
      <c r="K46" s="2">
        <v>13</v>
      </c>
      <c r="L46" s="2">
        <v>0</v>
      </c>
      <c r="M46" s="2" t="s">
        <v>7</v>
      </c>
    </row>
    <row r="47" spans="1:13">
      <c r="A47" s="2">
        <f t="shared" ca="1" si="0"/>
        <v>62</v>
      </c>
      <c r="B47" s="2" cm="1">
        <f t="array" aca="1" ref="B47" ca="1">INDEX(Data_DBD!$B:$B,$A47)</f>
        <v>43</v>
      </c>
      <c r="C47" s="2" cm="1">
        <f t="array" aca="1" ref="C47" ca="1">INDEX(Data_DBD!$C:$C,$A47)</f>
        <v>4</v>
      </c>
      <c r="D47" s="2" cm="1">
        <f t="array" aca="1" ref="D47" ca="1">INDEX(Data_DBD!$D:$D,$A47)</f>
        <v>15</v>
      </c>
      <c r="E47" s="2" cm="1">
        <f t="array" aca="1" ref="E47" ca="1">INDEX(Data_DBD!$E:$E,$A47)</f>
        <v>1</v>
      </c>
      <c r="F47" s="2" t="str" cm="1">
        <f t="array" aca="1" ref="F47" ca="1">INDEX(Data_DBD!$F:$F,$A47)</f>
        <v>Sedang</v>
      </c>
      <c r="H47" s="2">
        <v>35</v>
      </c>
      <c r="I47" s="2">
        <v>40</v>
      </c>
      <c r="J47" s="2">
        <v>3</v>
      </c>
      <c r="K47" s="2">
        <v>4</v>
      </c>
      <c r="L47" s="2">
        <v>1</v>
      </c>
      <c r="M47" s="2" t="s">
        <v>20</v>
      </c>
    </row>
    <row r="48" spans="1:13">
      <c r="A48" s="2">
        <f t="shared" ca="1" si="0"/>
        <v>40</v>
      </c>
      <c r="B48" s="2" cm="1">
        <f t="array" aca="1" ref="B48" ca="1">INDEX(Data_DBD!$B:$B,$A48)</f>
        <v>65</v>
      </c>
      <c r="C48" s="2" cm="1">
        <f t="array" aca="1" ref="C48" ca="1">INDEX(Data_DBD!$C:$C,$A48)</f>
        <v>3</v>
      </c>
      <c r="D48" s="2" cm="1">
        <f t="array" aca="1" ref="D48" ca="1">INDEX(Data_DBD!$D:$D,$A48)</f>
        <v>13</v>
      </c>
      <c r="E48" s="2" cm="1">
        <f t="array" aca="1" ref="E48" ca="1">INDEX(Data_DBD!$E:$E,$A48)</f>
        <v>1</v>
      </c>
      <c r="F48" s="2" t="str" cm="1">
        <f t="array" aca="1" ref="F48" ca="1">INDEX(Data_DBD!$F:$F,$A48)</f>
        <v>Sedang</v>
      </c>
      <c r="H48" s="2">
        <v>58</v>
      </c>
      <c r="I48" s="2">
        <v>17</v>
      </c>
      <c r="J48" s="2">
        <v>3</v>
      </c>
      <c r="K48" s="2">
        <v>15</v>
      </c>
      <c r="L48" s="2">
        <v>0</v>
      </c>
      <c r="M48" s="2" t="s">
        <v>7</v>
      </c>
    </row>
    <row r="49" spans="1:13">
      <c r="A49" s="2">
        <f t="shared" ca="1" si="0"/>
        <v>139</v>
      </c>
      <c r="B49" s="2" cm="1">
        <f t="array" aca="1" ref="B49" ca="1">INDEX(Data_DBD!$B:$B,$A49)</f>
        <v>52</v>
      </c>
      <c r="C49" s="2" cm="1">
        <f t="array" aca="1" ref="C49" ca="1">INDEX(Data_DBD!$C:$C,$A49)</f>
        <v>7</v>
      </c>
      <c r="D49" s="2" cm="1">
        <f t="array" aca="1" ref="D49" ca="1">INDEX(Data_DBD!$D:$D,$A49)</f>
        <v>21</v>
      </c>
      <c r="E49" s="2" cm="1">
        <f t="array" aca="1" ref="E49" ca="1">INDEX(Data_DBD!$E:$E,$A49)</f>
        <v>0</v>
      </c>
      <c r="F49" s="2" t="str" cm="1">
        <f t="array" aca="1" ref="F49" ca="1">INDEX(Data_DBD!$F:$F,$A49)</f>
        <v>Tinggi</v>
      </c>
      <c r="H49" s="2">
        <v>116</v>
      </c>
      <c r="I49" s="2">
        <v>32</v>
      </c>
      <c r="J49" s="2">
        <v>4</v>
      </c>
      <c r="K49" s="2">
        <v>33</v>
      </c>
      <c r="L49" s="2">
        <v>1</v>
      </c>
      <c r="M49" s="2" t="s">
        <v>97</v>
      </c>
    </row>
    <row r="50" spans="1:13">
      <c r="A50" s="2">
        <f t="shared" ca="1" si="0"/>
        <v>19</v>
      </c>
      <c r="B50" s="2" cm="1">
        <f t="array" aca="1" ref="B50" ca="1">INDEX(Data_DBD!$B:$B,$A50)</f>
        <v>8</v>
      </c>
      <c r="C50" s="2" cm="1">
        <f t="array" aca="1" ref="C50" ca="1">INDEX(Data_DBD!$C:$C,$A50)</f>
        <v>4</v>
      </c>
      <c r="D50" s="2" cm="1">
        <f t="array" aca="1" ref="D50" ca="1">INDEX(Data_DBD!$D:$D,$A50)</f>
        <v>7</v>
      </c>
      <c r="E50" s="2" cm="1">
        <f t="array" aca="1" ref="E50" ca="1">INDEX(Data_DBD!$E:$E,$A50)</f>
        <v>0</v>
      </c>
      <c r="F50" s="2" t="str" cm="1">
        <f t="array" aca="1" ref="F50" ca="1">INDEX(Data_DBD!$F:$F,$A50)</f>
        <v>Rendah</v>
      </c>
      <c r="H50" s="2">
        <v>156</v>
      </c>
      <c r="I50" s="2">
        <v>5</v>
      </c>
      <c r="J50" s="2">
        <v>2</v>
      </c>
      <c r="K50" s="2">
        <v>21</v>
      </c>
      <c r="L50" s="2">
        <v>0</v>
      </c>
      <c r="M50" s="2" t="s">
        <v>97</v>
      </c>
    </row>
    <row r="51" spans="1:13">
      <c r="A51" s="2">
        <f t="shared" ca="1" si="0"/>
        <v>84</v>
      </c>
      <c r="B51" s="2" cm="1">
        <f t="array" aca="1" ref="B51" ca="1">INDEX(Data_DBD!$B:$B,$A51)</f>
        <v>42</v>
      </c>
      <c r="C51" s="2" cm="1">
        <f t="array" aca="1" ref="C51" ca="1">INDEX(Data_DBD!$C:$C,$A51)</f>
        <v>4</v>
      </c>
      <c r="D51" s="2" cm="1">
        <f t="array" aca="1" ref="D51" ca="1">INDEX(Data_DBD!$D:$D,$A51)</f>
        <v>13</v>
      </c>
      <c r="E51" s="2" cm="1">
        <f t="array" aca="1" ref="E51" ca="1">INDEX(Data_DBD!$E:$E,$A51)</f>
        <v>1</v>
      </c>
      <c r="F51" s="2" t="str" cm="1">
        <f t="array" aca="1" ref="F51" ca="1">INDEX(Data_DBD!$F:$F,$A51)</f>
        <v>Sedang</v>
      </c>
      <c r="H51" s="2">
        <v>25</v>
      </c>
      <c r="I51" s="2">
        <v>81</v>
      </c>
      <c r="J51" s="2">
        <v>5</v>
      </c>
      <c r="K51" s="2">
        <v>14</v>
      </c>
      <c r="L51" s="2">
        <v>0</v>
      </c>
      <c r="M51" s="2" t="s">
        <v>7</v>
      </c>
    </row>
    <row r="52" spans="1:13">
      <c r="A52" s="2">
        <f t="shared" ca="1" si="0"/>
        <v>103</v>
      </c>
      <c r="B52" s="2" cm="1">
        <f t="array" aca="1" ref="B52" ca="1">INDEX(Data_DBD!$B:$B,$A52)</f>
        <v>22</v>
      </c>
      <c r="C52" s="2" cm="1">
        <f t="array" aca="1" ref="C52" ca="1">INDEX(Data_DBD!$C:$C,$A52)</f>
        <v>5</v>
      </c>
      <c r="D52" s="2" cm="1">
        <f t="array" aca="1" ref="D52" ca="1">INDEX(Data_DBD!$D:$D,$A52)</f>
        <v>18</v>
      </c>
      <c r="E52" s="2" cm="1">
        <f t="array" aca="1" ref="E52" ca="1">INDEX(Data_DBD!$E:$E,$A52)</f>
        <v>0</v>
      </c>
      <c r="F52" s="2" t="str" cm="1">
        <f t="array" aca="1" ref="F52" ca="1">INDEX(Data_DBD!$F:$F,$A52)</f>
        <v>Tinggi</v>
      </c>
      <c r="H52" s="2">
        <v>49</v>
      </c>
      <c r="I52" s="2">
        <v>64</v>
      </c>
      <c r="J52" s="2">
        <v>5</v>
      </c>
      <c r="K52" s="2">
        <v>13</v>
      </c>
      <c r="L52" s="2">
        <v>0</v>
      </c>
      <c r="M52" s="2" t="s">
        <v>7</v>
      </c>
    </row>
    <row r="53" spans="1:13">
      <c r="A53" s="2">
        <f t="shared" ca="1" si="0"/>
        <v>105</v>
      </c>
      <c r="B53" s="2" cm="1">
        <f t="array" aca="1" ref="B53" ca="1">INDEX(Data_DBD!$B:$B,$A53)</f>
        <v>61</v>
      </c>
      <c r="C53" s="2" cm="1">
        <f t="array" aca="1" ref="C53" ca="1">INDEX(Data_DBD!$C:$C,$A53)</f>
        <v>3</v>
      </c>
      <c r="D53" s="2" cm="1">
        <f t="array" aca="1" ref="D53" ca="1">INDEX(Data_DBD!$D:$D,$A53)</f>
        <v>18</v>
      </c>
      <c r="E53" s="2" cm="1">
        <f t="array" aca="1" ref="E53" ca="1">INDEX(Data_DBD!$E:$E,$A53)</f>
        <v>1</v>
      </c>
      <c r="F53" s="2" t="str" cm="1">
        <f t="array" aca="1" ref="F53" ca="1">INDEX(Data_DBD!$F:$F,$A53)</f>
        <v>Tinggi</v>
      </c>
      <c r="H53" s="2">
        <v>10</v>
      </c>
      <c r="I53" s="2">
        <v>18</v>
      </c>
      <c r="J53" s="2">
        <v>5</v>
      </c>
      <c r="K53" s="2">
        <v>12</v>
      </c>
      <c r="L53" s="2">
        <v>0</v>
      </c>
      <c r="M53" s="2" t="s">
        <v>7</v>
      </c>
    </row>
    <row r="54" spans="1:13">
      <c r="A54" s="2">
        <f t="shared" ca="1" si="0"/>
        <v>21</v>
      </c>
      <c r="B54" s="2" cm="1">
        <f t="array" aca="1" ref="B54" ca="1">INDEX(Data_DBD!$B:$B,$A54)</f>
        <v>10</v>
      </c>
      <c r="C54" s="2" cm="1">
        <f t="array" aca="1" ref="C54" ca="1">INDEX(Data_DBD!$C:$C,$A54)</f>
        <v>5</v>
      </c>
      <c r="D54" s="2" cm="1">
        <f t="array" aca="1" ref="D54" ca="1">INDEX(Data_DBD!$D:$D,$A54)</f>
        <v>14</v>
      </c>
      <c r="E54" s="2" cm="1">
        <f t="array" aca="1" ref="E54" ca="1">INDEX(Data_DBD!$E:$E,$A54)</f>
        <v>1</v>
      </c>
      <c r="F54" s="2" t="str" cm="1">
        <f t="array" aca="1" ref="F54" ca="1">INDEX(Data_DBD!$F:$F,$A54)</f>
        <v>Sedang</v>
      </c>
      <c r="H54" s="2">
        <v>73</v>
      </c>
      <c r="I54" s="2">
        <v>15</v>
      </c>
      <c r="J54" s="2">
        <v>3</v>
      </c>
      <c r="K54" s="2">
        <v>10</v>
      </c>
      <c r="L54" s="2">
        <v>1</v>
      </c>
      <c r="M54" s="2" t="s">
        <v>7</v>
      </c>
    </row>
    <row r="55" spans="1:13">
      <c r="A55" s="2">
        <f t="shared" ca="1" si="0"/>
        <v>63</v>
      </c>
      <c r="B55" s="2" cm="1">
        <f t="array" aca="1" ref="B55" ca="1">INDEX(Data_DBD!$B:$B,$A55)</f>
        <v>25</v>
      </c>
      <c r="C55" s="2" cm="1">
        <f t="array" aca="1" ref="C55" ca="1">INDEX(Data_DBD!$C:$C,$A55)</f>
        <v>3</v>
      </c>
      <c r="D55" s="2" cm="1">
        <f t="array" aca="1" ref="D55" ca="1">INDEX(Data_DBD!$D:$D,$A55)</f>
        <v>15</v>
      </c>
      <c r="E55" s="2" cm="1">
        <f t="array" aca="1" ref="E55" ca="1">INDEX(Data_DBD!$E:$E,$A55)</f>
        <v>0</v>
      </c>
      <c r="F55" s="2" t="str" cm="1">
        <f t="array" aca="1" ref="F55" ca="1">INDEX(Data_DBD!$F:$F,$A55)</f>
        <v>Sedang</v>
      </c>
      <c r="H55" s="2">
        <v>6</v>
      </c>
      <c r="I55" s="2">
        <v>14</v>
      </c>
      <c r="J55" s="2">
        <v>4</v>
      </c>
      <c r="K55" s="2">
        <v>12</v>
      </c>
      <c r="L55" s="2">
        <v>0</v>
      </c>
      <c r="M55" s="2" t="s">
        <v>7</v>
      </c>
    </row>
    <row r="56" spans="1:13">
      <c r="A56" s="2">
        <f t="shared" ca="1" si="0"/>
        <v>107</v>
      </c>
      <c r="B56" s="2" cm="1">
        <f t="array" aca="1" ref="B56" ca="1">INDEX(Data_DBD!$B:$B,$A56)</f>
        <v>48</v>
      </c>
      <c r="C56" s="2" cm="1">
        <f t="array" aca="1" ref="C56" ca="1">INDEX(Data_DBD!$C:$C,$A56)</f>
        <v>5</v>
      </c>
      <c r="D56" s="2" cm="1">
        <f t="array" aca="1" ref="D56" ca="1">INDEX(Data_DBD!$D:$D,$A56)</f>
        <v>18</v>
      </c>
      <c r="E56" s="2" cm="1">
        <f t="array" aca="1" ref="E56" ca="1">INDEX(Data_DBD!$E:$E,$A56)</f>
        <v>0</v>
      </c>
      <c r="F56" s="2" t="str" cm="1">
        <f t="array" aca="1" ref="F56" ca="1">INDEX(Data_DBD!$F:$F,$A56)</f>
        <v>Tinggi</v>
      </c>
      <c r="H56" s="2">
        <v>92</v>
      </c>
      <c r="I56" s="2">
        <v>55</v>
      </c>
      <c r="J56" s="2">
        <v>7</v>
      </c>
      <c r="K56" s="2">
        <v>18</v>
      </c>
      <c r="L56" s="2">
        <v>0</v>
      </c>
      <c r="M56" s="2" t="s">
        <v>97</v>
      </c>
    </row>
    <row r="57" spans="1:13">
      <c r="A57" s="2">
        <f t="shared" ca="1" si="0"/>
        <v>33</v>
      </c>
      <c r="B57" s="2" cm="1">
        <f t="array" aca="1" ref="B57" ca="1">INDEX(Data_DBD!$B:$B,$A57)</f>
        <v>19</v>
      </c>
      <c r="C57" s="2" cm="1">
        <f t="array" aca="1" ref="C57" ca="1">INDEX(Data_DBD!$C:$C,$A57)</f>
        <v>4</v>
      </c>
      <c r="D57" s="2" cm="1">
        <f t="array" aca="1" ref="D57" ca="1">INDEX(Data_DBD!$D:$D,$A57)</f>
        <v>14</v>
      </c>
      <c r="E57" s="2" cm="1">
        <f t="array" aca="1" ref="E57" ca="1">INDEX(Data_DBD!$E:$E,$A57)</f>
        <v>1</v>
      </c>
      <c r="F57" s="2" t="str" cm="1">
        <f t="array" aca="1" ref="F57" ca="1">INDEX(Data_DBD!$F:$F,$A57)</f>
        <v>Sedang</v>
      </c>
      <c r="H57" s="2">
        <v>99</v>
      </c>
      <c r="I57" s="2">
        <v>4</v>
      </c>
      <c r="J57" s="2">
        <v>2</v>
      </c>
      <c r="K57" s="2">
        <v>18</v>
      </c>
      <c r="L57" s="2">
        <v>1</v>
      </c>
      <c r="M57" s="2" t="s">
        <v>97</v>
      </c>
    </row>
    <row r="58" spans="1:13">
      <c r="A58" s="2">
        <f t="shared" ca="1" si="0"/>
        <v>110</v>
      </c>
      <c r="B58" s="2" cm="1">
        <f t="array" aca="1" ref="B58" ca="1">INDEX(Data_DBD!$B:$B,$A58)</f>
        <v>42</v>
      </c>
      <c r="C58" s="2" cm="1">
        <f t="array" aca="1" ref="C58" ca="1">INDEX(Data_DBD!$C:$C,$A58)</f>
        <v>2</v>
      </c>
      <c r="D58" s="2" cm="1">
        <f t="array" aca="1" ref="D58" ca="1">INDEX(Data_DBD!$D:$D,$A58)</f>
        <v>33</v>
      </c>
      <c r="E58" s="2" cm="1">
        <f t="array" aca="1" ref="E58" ca="1">INDEX(Data_DBD!$E:$E,$A58)</f>
        <v>1</v>
      </c>
      <c r="F58" s="2" t="str" cm="1">
        <f t="array" aca="1" ref="F58" ca="1">INDEX(Data_DBD!$F:$F,$A58)</f>
        <v>Tinggi</v>
      </c>
      <c r="H58" s="2">
        <v>62</v>
      </c>
      <c r="I58" s="2">
        <v>43</v>
      </c>
      <c r="J58" s="2">
        <v>4</v>
      </c>
      <c r="K58" s="2">
        <v>15</v>
      </c>
      <c r="L58" s="2">
        <v>1</v>
      </c>
      <c r="M58" s="2" t="s">
        <v>7</v>
      </c>
    </row>
    <row r="59" spans="1:13">
      <c r="A59" s="2">
        <f t="shared" ca="1" si="0"/>
        <v>29</v>
      </c>
      <c r="B59" s="2" cm="1">
        <f t="array" aca="1" ref="B59" ca="1">INDEX(Data_DBD!$B:$B,$A59)</f>
        <v>19</v>
      </c>
      <c r="C59" s="2" cm="1">
        <f t="array" aca="1" ref="C59" ca="1">INDEX(Data_DBD!$C:$C,$A59)</f>
        <v>2</v>
      </c>
      <c r="D59" s="2" cm="1">
        <f t="array" aca="1" ref="D59" ca="1">INDEX(Data_DBD!$D:$D,$A59)</f>
        <v>14</v>
      </c>
      <c r="E59" s="2" cm="1">
        <f t="array" aca="1" ref="E59" ca="1">INDEX(Data_DBD!$E:$E,$A59)</f>
        <v>1</v>
      </c>
      <c r="F59" s="2" t="str" cm="1">
        <f t="array" aca="1" ref="F59" ca="1">INDEX(Data_DBD!$F:$F,$A59)</f>
        <v>Sedang</v>
      </c>
      <c r="H59" s="2">
        <v>65</v>
      </c>
      <c r="I59" s="2">
        <v>49</v>
      </c>
      <c r="J59" s="2">
        <v>3</v>
      </c>
      <c r="K59" s="2">
        <v>15</v>
      </c>
      <c r="L59" s="2">
        <v>0</v>
      </c>
      <c r="M59" s="2" t="s">
        <v>7</v>
      </c>
    </row>
    <row r="60" spans="1:13">
      <c r="A60" s="2">
        <f t="shared" ca="1" si="0"/>
        <v>130</v>
      </c>
      <c r="B60" s="2" cm="1">
        <f t="array" aca="1" ref="B60" ca="1">INDEX(Data_DBD!$B:$B,$A60)</f>
        <v>12</v>
      </c>
      <c r="C60" s="2" cm="1">
        <f t="array" aca="1" ref="C60" ca="1">INDEX(Data_DBD!$C:$C,$A60)</f>
        <v>4</v>
      </c>
      <c r="D60" s="2" cm="1">
        <f t="array" aca="1" ref="D60" ca="1">INDEX(Data_DBD!$D:$D,$A60)</f>
        <v>33</v>
      </c>
      <c r="E60" s="2" cm="1">
        <f t="array" aca="1" ref="E60" ca="1">INDEX(Data_DBD!$E:$E,$A60)</f>
        <v>0</v>
      </c>
      <c r="F60" s="2" t="str" cm="1">
        <f t="array" aca="1" ref="F60" ca="1">INDEX(Data_DBD!$F:$F,$A60)</f>
        <v>Tinggi</v>
      </c>
      <c r="H60" s="2">
        <v>163</v>
      </c>
      <c r="I60" s="2">
        <v>34</v>
      </c>
      <c r="J60" s="2">
        <v>4</v>
      </c>
      <c r="K60" s="2">
        <v>3</v>
      </c>
      <c r="L60" s="2">
        <v>1</v>
      </c>
      <c r="M60" s="2" t="s">
        <v>20</v>
      </c>
    </row>
    <row r="61" spans="1:13">
      <c r="A61" s="2">
        <f t="shared" ca="1" si="0"/>
        <v>61</v>
      </c>
      <c r="B61" s="2" cm="1">
        <f t="array" aca="1" ref="B61" ca="1">INDEX(Data_DBD!$B:$B,$A61)</f>
        <v>29</v>
      </c>
      <c r="C61" s="2" cm="1">
        <f t="array" aca="1" ref="C61" ca="1">INDEX(Data_DBD!$C:$C,$A61)</f>
        <v>3</v>
      </c>
      <c r="D61" s="2" cm="1">
        <f t="array" aca="1" ref="D61" ca="1">INDEX(Data_DBD!$D:$D,$A61)</f>
        <v>15</v>
      </c>
      <c r="E61" s="2" cm="1">
        <f t="array" aca="1" ref="E61" ca="1">INDEX(Data_DBD!$E:$E,$A61)</f>
        <v>1</v>
      </c>
      <c r="F61" s="2" t="str" cm="1">
        <f t="array" aca="1" ref="F61" ca="1">INDEX(Data_DBD!$F:$F,$A61)</f>
        <v>Sedang</v>
      </c>
      <c r="H61" s="2">
        <v>38</v>
      </c>
      <c r="I61" s="2">
        <v>52</v>
      </c>
      <c r="J61" s="2">
        <v>3</v>
      </c>
      <c r="K61" s="2">
        <v>4</v>
      </c>
      <c r="L61" s="2">
        <v>1</v>
      </c>
      <c r="M61" s="2" t="s">
        <v>20</v>
      </c>
    </row>
    <row r="62" spans="1:13">
      <c r="A62" s="2">
        <f t="shared" ca="1" si="0"/>
        <v>80</v>
      </c>
      <c r="B62" s="2" cm="1">
        <f t="array" aca="1" ref="B62" ca="1">INDEX(Data_DBD!$B:$B,$A62)</f>
        <v>27</v>
      </c>
      <c r="C62" s="2" cm="1">
        <f t="array" aca="1" ref="C62" ca="1">INDEX(Data_DBD!$C:$C,$A62)</f>
        <v>3</v>
      </c>
      <c r="D62" s="2" cm="1">
        <f t="array" aca="1" ref="D62" ca="1">INDEX(Data_DBD!$D:$D,$A62)</f>
        <v>13</v>
      </c>
      <c r="E62" s="2" cm="1">
        <f t="array" aca="1" ref="E62" ca="1">INDEX(Data_DBD!$E:$E,$A62)</f>
        <v>1</v>
      </c>
      <c r="F62" s="2" t="str" cm="1">
        <f t="array" aca="1" ref="F62" ca="1">INDEX(Data_DBD!$F:$F,$A62)</f>
        <v>Sedang</v>
      </c>
      <c r="H62" s="2">
        <v>123</v>
      </c>
      <c r="I62" s="2">
        <v>22</v>
      </c>
      <c r="J62" s="2">
        <v>4</v>
      </c>
      <c r="K62" s="2">
        <v>33</v>
      </c>
      <c r="L62" s="2">
        <v>0</v>
      </c>
      <c r="M62" s="2" t="s">
        <v>97</v>
      </c>
    </row>
    <row r="63" spans="1:13">
      <c r="A63" s="2">
        <f t="shared" ca="1" si="0"/>
        <v>140</v>
      </c>
      <c r="B63" s="2" cm="1">
        <f t="array" aca="1" ref="B63" ca="1">INDEX(Data_DBD!$B:$B,$A63)</f>
        <v>74</v>
      </c>
      <c r="C63" s="2" cm="1">
        <f t="array" aca="1" ref="C63" ca="1">INDEX(Data_DBD!$C:$C,$A63)</f>
        <v>5</v>
      </c>
      <c r="D63" s="2" cm="1">
        <f t="array" aca="1" ref="D63" ca="1">INDEX(Data_DBD!$D:$D,$A63)</f>
        <v>21</v>
      </c>
      <c r="E63" s="2" cm="1">
        <f t="array" aca="1" ref="E63" ca="1">INDEX(Data_DBD!$E:$E,$A63)</f>
        <v>1</v>
      </c>
      <c r="F63" s="2" t="str" cm="1">
        <f t="array" aca="1" ref="F63" ca="1">INDEX(Data_DBD!$F:$F,$A63)</f>
        <v>Tinggi</v>
      </c>
      <c r="H63" s="2">
        <v>151</v>
      </c>
      <c r="I63" s="2">
        <v>24</v>
      </c>
      <c r="J63" s="2">
        <v>3</v>
      </c>
      <c r="K63" s="2">
        <v>21</v>
      </c>
      <c r="L63" s="2">
        <v>0</v>
      </c>
      <c r="M63" s="2" t="s">
        <v>97</v>
      </c>
    </row>
    <row r="64" spans="1:13">
      <c r="A64" s="2">
        <f t="shared" ca="1" si="0"/>
        <v>96</v>
      </c>
      <c r="B64" s="2" cm="1">
        <f t="array" aca="1" ref="B64" ca="1">INDEX(Data_DBD!$B:$B,$A64)</f>
        <v>56</v>
      </c>
      <c r="C64" s="2" cm="1">
        <f t="array" aca="1" ref="C64" ca="1">INDEX(Data_DBD!$C:$C,$A64)</f>
        <v>4</v>
      </c>
      <c r="D64" s="2" cm="1">
        <f t="array" aca="1" ref="D64" ca="1">INDEX(Data_DBD!$D:$D,$A64)</f>
        <v>18</v>
      </c>
      <c r="E64" s="2" cm="1">
        <f t="array" aca="1" ref="E64" ca="1">INDEX(Data_DBD!$E:$E,$A64)</f>
        <v>0</v>
      </c>
      <c r="F64" s="2" t="str" cm="1">
        <f t="array" aca="1" ref="F64" ca="1">INDEX(Data_DBD!$F:$F,$A64)</f>
        <v>Tinggi</v>
      </c>
      <c r="H64" s="2">
        <v>164</v>
      </c>
      <c r="I64" s="2">
        <v>10</v>
      </c>
      <c r="J64" s="2">
        <v>6</v>
      </c>
      <c r="K64" s="2">
        <v>3</v>
      </c>
      <c r="L64" s="2">
        <v>0</v>
      </c>
      <c r="M64" s="2" t="s">
        <v>20</v>
      </c>
    </row>
    <row r="65" spans="1:13">
      <c r="A65" s="2">
        <f t="shared" ca="1" si="0"/>
        <v>88</v>
      </c>
      <c r="B65" s="2" cm="1">
        <f t="array" aca="1" ref="B65" ca="1">INDEX(Data_DBD!$B:$B,$A65)</f>
        <v>20</v>
      </c>
      <c r="C65" s="2" cm="1">
        <f t="array" aca="1" ref="C65" ca="1">INDEX(Data_DBD!$C:$C,$A65)</f>
        <v>4</v>
      </c>
      <c r="D65" s="2" cm="1">
        <f t="array" aca="1" ref="D65" ca="1">INDEX(Data_DBD!$D:$D,$A65)</f>
        <v>13</v>
      </c>
      <c r="E65" s="2" cm="1">
        <f t="array" aca="1" ref="E65" ca="1">INDEX(Data_DBD!$E:$E,$A65)</f>
        <v>1</v>
      </c>
      <c r="F65" s="2" t="str" cm="1">
        <f t="array" aca="1" ref="F65" ca="1">INDEX(Data_DBD!$F:$F,$A65)</f>
        <v>Sedang</v>
      </c>
      <c r="H65" s="2">
        <v>140</v>
      </c>
      <c r="I65" s="2">
        <v>74</v>
      </c>
      <c r="J65" s="2">
        <v>5</v>
      </c>
      <c r="K65" s="2">
        <v>21</v>
      </c>
      <c r="L65" s="2">
        <v>1</v>
      </c>
      <c r="M65" s="2" t="s">
        <v>97</v>
      </c>
    </row>
    <row r="66" spans="1:13">
      <c r="A66" s="2">
        <f t="shared" ca="1" si="0"/>
        <v>150</v>
      </c>
      <c r="B66" s="2" cm="1">
        <f t="array" aca="1" ref="B66" ca="1">INDEX(Data_DBD!$B:$B,$A66)</f>
        <v>61</v>
      </c>
      <c r="C66" s="2" cm="1">
        <f t="array" aca="1" ref="C66" ca="1">INDEX(Data_DBD!$C:$C,$A66)</f>
        <v>5</v>
      </c>
      <c r="D66" s="2" cm="1">
        <f t="array" aca="1" ref="D66" ca="1">INDEX(Data_DBD!$D:$D,$A66)</f>
        <v>21</v>
      </c>
      <c r="E66" s="2" cm="1">
        <f t="array" aca="1" ref="E66" ca="1">INDEX(Data_DBD!$E:$E,$A66)</f>
        <v>1</v>
      </c>
      <c r="F66" s="2" t="str" cm="1">
        <f t="array" aca="1" ref="F66" ca="1">INDEX(Data_DBD!$F:$F,$A66)</f>
        <v>Tinggi</v>
      </c>
      <c r="H66" s="2">
        <v>112</v>
      </c>
      <c r="I66" s="2">
        <v>61</v>
      </c>
      <c r="J66" s="2">
        <v>3</v>
      </c>
      <c r="K66" s="2">
        <v>33</v>
      </c>
      <c r="L66" s="2">
        <v>1</v>
      </c>
      <c r="M66" s="2" t="s">
        <v>97</v>
      </c>
    </row>
    <row r="67" spans="1:13">
      <c r="A67" s="2">
        <f t="shared" ref="A67:A130" ca="1" si="1">RANDBETWEEN(2,164)</f>
        <v>108</v>
      </c>
      <c r="B67" s="2" cm="1">
        <f t="array" aca="1" ref="B67" ca="1">INDEX(Data_DBD!$B:$B,$A67)</f>
        <v>69</v>
      </c>
      <c r="C67" s="2" cm="1">
        <f t="array" aca="1" ref="C67" ca="1">INDEX(Data_DBD!$C:$C,$A67)</f>
        <v>7</v>
      </c>
      <c r="D67" s="2" cm="1">
        <f t="array" aca="1" ref="D67" ca="1">INDEX(Data_DBD!$D:$D,$A67)</f>
        <v>33</v>
      </c>
      <c r="E67" s="2" cm="1">
        <f t="array" aca="1" ref="E67" ca="1">INDEX(Data_DBD!$E:$E,$A67)</f>
        <v>1</v>
      </c>
      <c r="F67" s="2" t="str" cm="1">
        <f t="array" aca="1" ref="F67" ca="1">INDEX(Data_DBD!$F:$F,$A67)</f>
        <v>Tinggi</v>
      </c>
      <c r="H67" s="2">
        <v>124</v>
      </c>
      <c r="I67" s="2">
        <v>24</v>
      </c>
      <c r="J67" s="2">
        <v>3</v>
      </c>
      <c r="K67" s="2">
        <v>33</v>
      </c>
      <c r="L67" s="2">
        <v>1</v>
      </c>
      <c r="M67" s="2" t="s">
        <v>97</v>
      </c>
    </row>
    <row r="68" spans="1:13">
      <c r="A68" s="2">
        <f t="shared" ca="1" si="1"/>
        <v>114</v>
      </c>
      <c r="B68" s="2" cm="1">
        <f t="array" aca="1" ref="B68" ca="1">INDEX(Data_DBD!$B:$B,$A68)</f>
        <v>14</v>
      </c>
      <c r="C68" s="2" cm="1">
        <f t="array" aca="1" ref="C68" ca="1">INDEX(Data_DBD!$C:$C,$A68)</f>
        <v>2</v>
      </c>
      <c r="D68" s="2" cm="1">
        <f t="array" aca="1" ref="D68" ca="1">INDEX(Data_DBD!$D:$D,$A68)</f>
        <v>33</v>
      </c>
      <c r="E68" s="2" cm="1">
        <f t="array" aca="1" ref="E68" ca="1">INDEX(Data_DBD!$E:$E,$A68)</f>
        <v>1</v>
      </c>
      <c r="F68" s="2" t="str" cm="1">
        <f t="array" aca="1" ref="F68" ca="1">INDEX(Data_DBD!$F:$F,$A68)</f>
        <v>Tinggi</v>
      </c>
      <c r="H68" s="2">
        <v>131</v>
      </c>
      <c r="I68" s="2">
        <v>10</v>
      </c>
      <c r="J68" s="2">
        <v>2</v>
      </c>
      <c r="K68" s="2">
        <v>33</v>
      </c>
      <c r="L68" s="2">
        <v>0</v>
      </c>
      <c r="M68" s="2" t="s">
        <v>97</v>
      </c>
    </row>
    <row r="69" spans="1:13">
      <c r="A69" s="2">
        <f t="shared" ca="1" si="1"/>
        <v>113</v>
      </c>
      <c r="B69" s="2" cm="1">
        <f t="array" aca="1" ref="B69" ca="1">INDEX(Data_DBD!$B:$B,$A69)</f>
        <v>69</v>
      </c>
      <c r="C69" s="2" cm="1">
        <f t="array" aca="1" ref="C69" ca="1">INDEX(Data_DBD!$C:$C,$A69)</f>
        <v>1</v>
      </c>
      <c r="D69" s="2" cm="1">
        <f t="array" aca="1" ref="D69" ca="1">INDEX(Data_DBD!$D:$D,$A69)</f>
        <v>33</v>
      </c>
      <c r="E69" s="2" cm="1">
        <f t="array" aca="1" ref="E69" ca="1">INDEX(Data_DBD!$E:$E,$A69)</f>
        <v>1</v>
      </c>
      <c r="F69" s="2" t="str" cm="1">
        <f t="array" aca="1" ref="F69" ca="1">INDEX(Data_DBD!$F:$F,$A69)</f>
        <v>Tinggi</v>
      </c>
      <c r="H69" s="2">
        <v>60</v>
      </c>
      <c r="I69" s="2">
        <v>68</v>
      </c>
      <c r="J69" s="2">
        <v>4</v>
      </c>
      <c r="K69" s="2">
        <v>15</v>
      </c>
      <c r="L69" s="2">
        <v>0</v>
      </c>
      <c r="M69" s="2" t="s">
        <v>7</v>
      </c>
    </row>
    <row r="70" spans="1:13">
      <c r="A70" s="2">
        <f t="shared" ca="1" si="1"/>
        <v>134</v>
      </c>
      <c r="B70" s="2" cm="1">
        <f t="array" aca="1" ref="B70" ca="1">INDEX(Data_DBD!$B:$B,$A70)</f>
        <v>4</v>
      </c>
      <c r="C70" s="2" cm="1">
        <f t="array" aca="1" ref="C70" ca="1">INDEX(Data_DBD!$C:$C,$A70)</f>
        <v>2</v>
      </c>
      <c r="D70" s="2" cm="1">
        <f t="array" aca="1" ref="D70" ca="1">INDEX(Data_DBD!$D:$D,$A70)</f>
        <v>33</v>
      </c>
      <c r="E70" s="2" cm="1">
        <f t="array" aca="1" ref="E70" ca="1">INDEX(Data_DBD!$E:$E,$A70)</f>
        <v>1</v>
      </c>
      <c r="F70" s="2" t="str" cm="1">
        <f t="array" aca="1" ref="F70" ca="1">INDEX(Data_DBD!$F:$F,$A70)</f>
        <v>Tinggi</v>
      </c>
      <c r="H70" s="2">
        <v>131</v>
      </c>
      <c r="I70" s="2">
        <v>10</v>
      </c>
      <c r="J70" s="2">
        <v>2</v>
      </c>
      <c r="K70" s="2">
        <v>33</v>
      </c>
      <c r="L70" s="2">
        <v>0</v>
      </c>
      <c r="M70" s="2" t="s">
        <v>97</v>
      </c>
    </row>
    <row r="71" spans="1:13">
      <c r="A71" s="2">
        <f t="shared" ca="1" si="1"/>
        <v>73</v>
      </c>
      <c r="B71" s="2" cm="1">
        <f t="array" aca="1" ref="B71" ca="1">INDEX(Data_DBD!$B:$B,$A71)</f>
        <v>15</v>
      </c>
      <c r="C71" s="2" cm="1">
        <f t="array" aca="1" ref="C71" ca="1">INDEX(Data_DBD!$C:$C,$A71)</f>
        <v>3</v>
      </c>
      <c r="D71" s="2" cm="1">
        <f t="array" aca="1" ref="D71" ca="1">INDEX(Data_DBD!$D:$D,$A71)</f>
        <v>10</v>
      </c>
      <c r="E71" s="2" cm="1">
        <f t="array" aca="1" ref="E71" ca="1">INDEX(Data_DBD!$E:$E,$A71)</f>
        <v>1</v>
      </c>
      <c r="F71" s="2" t="str" cm="1">
        <f t="array" aca="1" ref="F71" ca="1">INDEX(Data_DBD!$F:$F,$A71)</f>
        <v>Sedang</v>
      </c>
      <c r="H71" s="2">
        <v>86</v>
      </c>
      <c r="I71" s="2">
        <v>23</v>
      </c>
      <c r="J71" s="2">
        <v>3</v>
      </c>
      <c r="K71" s="2">
        <v>13</v>
      </c>
      <c r="L71" s="2">
        <v>0</v>
      </c>
      <c r="M71" s="2" t="s">
        <v>7</v>
      </c>
    </row>
    <row r="72" spans="1:13">
      <c r="A72" s="2">
        <f t="shared" ca="1" si="1"/>
        <v>154</v>
      </c>
      <c r="B72" s="2" cm="1">
        <f t="array" aca="1" ref="B72" ca="1">INDEX(Data_DBD!$B:$B,$A72)</f>
        <v>18</v>
      </c>
      <c r="C72" s="2" cm="1">
        <f t="array" aca="1" ref="C72" ca="1">INDEX(Data_DBD!$C:$C,$A72)</f>
        <v>5</v>
      </c>
      <c r="D72" s="2" cm="1">
        <f t="array" aca="1" ref="D72" ca="1">INDEX(Data_DBD!$D:$D,$A72)</f>
        <v>21</v>
      </c>
      <c r="E72" s="2" cm="1">
        <f t="array" aca="1" ref="E72" ca="1">INDEX(Data_DBD!$E:$E,$A72)</f>
        <v>1</v>
      </c>
      <c r="F72" s="2" t="str" cm="1">
        <f t="array" aca="1" ref="F72" ca="1">INDEX(Data_DBD!$F:$F,$A72)</f>
        <v>Tinggi</v>
      </c>
      <c r="H72" s="2">
        <v>73</v>
      </c>
      <c r="I72" s="2">
        <v>15</v>
      </c>
      <c r="J72" s="2">
        <v>3</v>
      </c>
      <c r="K72" s="2">
        <v>10</v>
      </c>
      <c r="L72" s="2">
        <v>1</v>
      </c>
      <c r="M72" s="2" t="s">
        <v>7</v>
      </c>
    </row>
    <row r="73" spans="1:13">
      <c r="A73" s="2">
        <f t="shared" ca="1" si="1"/>
        <v>46</v>
      </c>
      <c r="B73" s="2" cm="1">
        <f t="array" aca="1" ref="B73" ca="1">INDEX(Data_DBD!$B:$B,$A73)</f>
        <v>62</v>
      </c>
      <c r="C73" s="2" cm="1">
        <f t="array" aca="1" ref="C73" ca="1">INDEX(Data_DBD!$C:$C,$A73)</f>
        <v>2</v>
      </c>
      <c r="D73" s="2" cm="1">
        <f t="array" aca="1" ref="D73" ca="1">INDEX(Data_DBD!$D:$D,$A73)</f>
        <v>13</v>
      </c>
      <c r="E73" s="2" cm="1">
        <f t="array" aca="1" ref="E73" ca="1">INDEX(Data_DBD!$E:$E,$A73)</f>
        <v>0</v>
      </c>
      <c r="F73" s="2" t="str" cm="1">
        <f t="array" aca="1" ref="F73" ca="1">INDEX(Data_DBD!$F:$F,$A73)</f>
        <v>Sedang</v>
      </c>
      <c r="H73" s="2">
        <v>36</v>
      </c>
      <c r="I73" s="2">
        <v>27</v>
      </c>
      <c r="J73" s="2">
        <v>1</v>
      </c>
      <c r="K73" s="2">
        <v>4</v>
      </c>
      <c r="L73" s="2">
        <v>1</v>
      </c>
      <c r="M73" s="2" t="s">
        <v>20</v>
      </c>
    </row>
    <row r="74" spans="1:13">
      <c r="A74" s="2">
        <f t="shared" ca="1" si="1"/>
        <v>84</v>
      </c>
      <c r="B74" s="2" cm="1">
        <f t="array" aca="1" ref="B74" ca="1">INDEX(Data_DBD!$B:$B,$A74)</f>
        <v>42</v>
      </c>
      <c r="C74" s="2" cm="1">
        <f t="array" aca="1" ref="C74" ca="1">INDEX(Data_DBD!$C:$C,$A74)</f>
        <v>4</v>
      </c>
      <c r="D74" s="2" cm="1">
        <f t="array" aca="1" ref="D74" ca="1">INDEX(Data_DBD!$D:$D,$A74)</f>
        <v>13</v>
      </c>
      <c r="E74" s="2" cm="1">
        <f t="array" aca="1" ref="E74" ca="1">INDEX(Data_DBD!$E:$E,$A74)</f>
        <v>1</v>
      </c>
      <c r="F74" s="2" t="str" cm="1">
        <f t="array" aca="1" ref="F74" ca="1">INDEX(Data_DBD!$F:$F,$A74)</f>
        <v>Sedang</v>
      </c>
      <c r="H74" s="2">
        <v>149</v>
      </c>
      <c r="I74" s="2">
        <v>19</v>
      </c>
      <c r="J74" s="2">
        <v>5</v>
      </c>
      <c r="K74" s="2">
        <v>21</v>
      </c>
      <c r="L74" s="2">
        <v>0</v>
      </c>
      <c r="M74" s="2" t="s">
        <v>97</v>
      </c>
    </row>
    <row r="75" spans="1:13">
      <c r="A75" s="2">
        <f t="shared" ca="1" si="1"/>
        <v>126</v>
      </c>
      <c r="B75" s="2" cm="1">
        <f t="array" aca="1" ref="B75" ca="1">INDEX(Data_DBD!$B:$B,$A75)</f>
        <v>51</v>
      </c>
      <c r="C75" s="2" cm="1">
        <f t="array" aca="1" ref="C75" ca="1">INDEX(Data_DBD!$C:$C,$A75)</f>
        <v>3</v>
      </c>
      <c r="D75" s="2" cm="1">
        <f t="array" aca="1" ref="D75" ca="1">INDEX(Data_DBD!$D:$D,$A75)</f>
        <v>33</v>
      </c>
      <c r="E75" s="2" cm="1">
        <f t="array" aca="1" ref="E75" ca="1">INDEX(Data_DBD!$E:$E,$A75)</f>
        <v>1</v>
      </c>
      <c r="F75" s="2" t="str" cm="1">
        <f t="array" aca="1" ref="F75" ca="1">INDEX(Data_DBD!$F:$F,$A75)</f>
        <v>Tinggi</v>
      </c>
      <c r="H75" s="2">
        <v>164</v>
      </c>
      <c r="I75" s="2">
        <v>10</v>
      </c>
      <c r="J75" s="2">
        <v>6</v>
      </c>
      <c r="K75" s="2">
        <v>3</v>
      </c>
      <c r="L75" s="2">
        <v>0</v>
      </c>
      <c r="M75" s="2" t="s">
        <v>20</v>
      </c>
    </row>
    <row r="76" spans="1:13">
      <c r="A76" s="2">
        <f t="shared" ca="1" si="1"/>
        <v>71</v>
      </c>
      <c r="B76" s="2" cm="1">
        <f t="array" aca="1" ref="B76" ca="1">INDEX(Data_DBD!$B:$B,$A76)</f>
        <v>84</v>
      </c>
      <c r="C76" s="2" cm="1">
        <f t="array" aca="1" ref="C76" ca="1">INDEX(Data_DBD!$C:$C,$A76)</f>
        <v>3</v>
      </c>
      <c r="D76" s="2" cm="1">
        <f t="array" aca="1" ref="D76" ca="1">INDEX(Data_DBD!$D:$D,$A76)</f>
        <v>10</v>
      </c>
      <c r="E76" s="2" cm="1">
        <f t="array" aca="1" ref="E76" ca="1">INDEX(Data_DBD!$E:$E,$A76)</f>
        <v>0</v>
      </c>
      <c r="F76" s="2" t="str" cm="1">
        <f t="array" aca="1" ref="F76" ca="1">INDEX(Data_DBD!$F:$F,$A76)</f>
        <v>Sedang</v>
      </c>
      <c r="H76" s="2">
        <v>32</v>
      </c>
      <c r="I76" s="2">
        <v>54</v>
      </c>
      <c r="J76" s="2">
        <v>4</v>
      </c>
      <c r="K76" s="2">
        <v>14</v>
      </c>
      <c r="L76" s="2">
        <v>0</v>
      </c>
      <c r="M76" s="2" t="s">
        <v>7</v>
      </c>
    </row>
    <row r="77" spans="1:13">
      <c r="A77" s="2">
        <f t="shared" ca="1" si="1"/>
        <v>28</v>
      </c>
      <c r="B77" s="2" cm="1">
        <f t="array" aca="1" ref="B77" ca="1">INDEX(Data_DBD!$B:$B,$A77)</f>
        <v>22</v>
      </c>
      <c r="C77" s="2" cm="1">
        <f t="array" aca="1" ref="C77" ca="1">INDEX(Data_DBD!$C:$C,$A77)</f>
        <v>2</v>
      </c>
      <c r="D77" s="2" cm="1">
        <f t="array" aca="1" ref="D77" ca="1">INDEX(Data_DBD!$D:$D,$A77)</f>
        <v>14</v>
      </c>
      <c r="E77" s="2" cm="1">
        <f t="array" aca="1" ref="E77" ca="1">INDEX(Data_DBD!$E:$E,$A77)</f>
        <v>1</v>
      </c>
      <c r="F77" s="2" t="str" cm="1">
        <f t="array" aca="1" ref="F77" ca="1">INDEX(Data_DBD!$F:$F,$A77)</f>
        <v>Sedang</v>
      </c>
      <c r="H77" s="2">
        <v>138</v>
      </c>
      <c r="I77" s="2">
        <v>13</v>
      </c>
      <c r="J77" s="2">
        <v>3</v>
      </c>
      <c r="K77" s="2">
        <v>33</v>
      </c>
      <c r="L77" s="2">
        <v>1</v>
      </c>
      <c r="M77" s="2" t="s">
        <v>97</v>
      </c>
    </row>
    <row r="78" spans="1:13">
      <c r="A78" s="2">
        <f t="shared" ca="1" si="1"/>
        <v>137</v>
      </c>
      <c r="B78" s="2" cm="1">
        <f t="array" aca="1" ref="B78" ca="1">INDEX(Data_DBD!$B:$B,$A78)</f>
        <v>3</v>
      </c>
      <c r="C78" s="2" cm="1">
        <f t="array" aca="1" ref="C78" ca="1">INDEX(Data_DBD!$C:$C,$A78)</f>
        <v>1</v>
      </c>
      <c r="D78" s="2" cm="1">
        <f t="array" aca="1" ref="D78" ca="1">INDEX(Data_DBD!$D:$D,$A78)</f>
        <v>33</v>
      </c>
      <c r="E78" s="2" cm="1">
        <f t="array" aca="1" ref="E78" ca="1">INDEX(Data_DBD!$E:$E,$A78)</f>
        <v>1</v>
      </c>
      <c r="F78" s="2" t="str" cm="1">
        <f t="array" aca="1" ref="F78" ca="1">INDEX(Data_DBD!$F:$F,$A78)</f>
        <v>Tinggi</v>
      </c>
      <c r="H78" s="2">
        <v>105</v>
      </c>
      <c r="I78" s="2">
        <v>61</v>
      </c>
      <c r="J78" s="2">
        <v>3</v>
      </c>
      <c r="K78" s="2">
        <v>18</v>
      </c>
      <c r="L78" s="2">
        <v>1</v>
      </c>
      <c r="M78" s="2" t="s">
        <v>97</v>
      </c>
    </row>
    <row r="79" spans="1:13">
      <c r="A79" s="2">
        <f t="shared" ca="1" si="1"/>
        <v>9</v>
      </c>
      <c r="B79" s="2" cm="1">
        <f t="array" aca="1" ref="B79" ca="1">INDEX(Data_DBD!$B:$B,$A79)</f>
        <v>16</v>
      </c>
      <c r="C79" s="2" cm="1">
        <f t="array" aca="1" ref="C79" ca="1">INDEX(Data_DBD!$C:$C,$A79)</f>
        <v>6</v>
      </c>
      <c r="D79" s="2" cm="1">
        <f t="array" aca="1" ref="D79" ca="1">INDEX(Data_DBD!$D:$D,$A79)</f>
        <v>12</v>
      </c>
      <c r="E79" s="2" cm="1">
        <f t="array" aca="1" ref="E79" ca="1">INDEX(Data_DBD!$E:$E,$A79)</f>
        <v>1</v>
      </c>
      <c r="F79" s="2" t="str" cm="1">
        <f t="array" aca="1" ref="F79" ca="1">INDEX(Data_DBD!$F:$F,$A79)</f>
        <v>Sedang</v>
      </c>
      <c r="H79" s="2">
        <v>76</v>
      </c>
      <c r="I79" s="2">
        <v>70</v>
      </c>
      <c r="J79" s="2">
        <v>2</v>
      </c>
      <c r="K79" s="2">
        <v>10</v>
      </c>
      <c r="L79" s="2">
        <v>0</v>
      </c>
      <c r="M79" s="2" t="s">
        <v>7</v>
      </c>
    </row>
    <row r="80" spans="1:13">
      <c r="A80" s="2">
        <f t="shared" ca="1" si="1"/>
        <v>97</v>
      </c>
      <c r="B80" s="2" cm="1">
        <f t="array" aca="1" ref="B80" ca="1">INDEX(Data_DBD!$B:$B,$A80)</f>
        <v>16</v>
      </c>
      <c r="C80" s="2" cm="1">
        <f t="array" aca="1" ref="C80" ca="1">INDEX(Data_DBD!$C:$C,$A80)</f>
        <v>2</v>
      </c>
      <c r="D80" s="2" cm="1">
        <f t="array" aca="1" ref="D80" ca="1">INDEX(Data_DBD!$D:$D,$A80)</f>
        <v>18</v>
      </c>
      <c r="E80" s="2" cm="1">
        <f t="array" aca="1" ref="E80" ca="1">INDEX(Data_DBD!$E:$E,$A80)</f>
        <v>1</v>
      </c>
      <c r="F80" s="2" t="str" cm="1">
        <f t="array" aca="1" ref="F80" ca="1">INDEX(Data_DBD!$F:$F,$A80)</f>
        <v>Tinggi</v>
      </c>
      <c r="H80" s="2">
        <v>129</v>
      </c>
      <c r="I80" s="2">
        <v>4</v>
      </c>
      <c r="J80" s="2">
        <v>3</v>
      </c>
      <c r="K80" s="2">
        <v>33</v>
      </c>
      <c r="L80" s="2">
        <v>0</v>
      </c>
      <c r="M80" s="2" t="s">
        <v>97</v>
      </c>
    </row>
    <row r="81" spans="1:13">
      <c r="A81" s="2">
        <f t="shared" ca="1" si="1"/>
        <v>15</v>
      </c>
      <c r="B81" s="2" cm="1">
        <f t="array" aca="1" ref="B81" ca="1">INDEX(Data_DBD!$B:$B,$A81)</f>
        <v>21</v>
      </c>
      <c r="C81" s="2" cm="1">
        <f t="array" aca="1" ref="C81" ca="1">INDEX(Data_DBD!$C:$C,$A81)</f>
        <v>2</v>
      </c>
      <c r="D81" s="2" cm="1">
        <f t="array" aca="1" ref="D81" ca="1">INDEX(Data_DBD!$D:$D,$A81)</f>
        <v>7</v>
      </c>
      <c r="E81" s="2" cm="1">
        <f t="array" aca="1" ref="E81" ca="1">INDEX(Data_DBD!$E:$E,$A81)</f>
        <v>0</v>
      </c>
      <c r="F81" s="2" t="str" cm="1">
        <f t="array" aca="1" ref="F81" ca="1">INDEX(Data_DBD!$F:$F,$A81)</f>
        <v>Rendah</v>
      </c>
      <c r="H81" s="2">
        <v>156</v>
      </c>
      <c r="I81" s="2">
        <v>5</v>
      </c>
      <c r="J81" s="2">
        <v>2</v>
      </c>
      <c r="K81" s="2">
        <v>21</v>
      </c>
      <c r="L81" s="2">
        <v>0</v>
      </c>
      <c r="M81" s="2" t="s">
        <v>97</v>
      </c>
    </row>
    <row r="82" spans="1:13">
      <c r="A82" s="2">
        <f t="shared" ca="1" si="1"/>
        <v>19</v>
      </c>
      <c r="B82" s="2" cm="1">
        <f t="array" aca="1" ref="B82" ca="1">INDEX(Data_DBD!$B:$B,$A82)</f>
        <v>8</v>
      </c>
      <c r="C82" s="2" cm="1">
        <f t="array" aca="1" ref="C82" ca="1">INDEX(Data_DBD!$C:$C,$A82)</f>
        <v>4</v>
      </c>
      <c r="D82" s="2" cm="1">
        <f t="array" aca="1" ref="D82" ca="1">INDEX(Data_DBD!$D:$D,$A82)</f>
        <v>7</v>
      </c>
      <c r="E82" s="2" cm="1">
        <f t="array" aca="1" ref="E82" ca="1">INDEX(Data_DBD!$E:$E,$A82)</f>
        <v>0</v>
      </c>
      <c r="F82" s="2" t="str" cm="1">
        <f t="array" aca="1" ref="F82" ca="1">INDEX(Data_DBD!$F:$F,$A82)</f>
        <v>Rendah</v>
      </c>
      <c r="H82" s="2">
        <v>135</v>
      </c>
      <c r="I82" s="2">
        <v>10</v>
      </c>
      <c r="J82" s="2">
        <v>2</v>
      </c>
      <c r="K82" s="2">
        <v>33</v>
      </c>
      <c r="L82" s="2">
        <v>0</v>
      </c>
      <c r="M82" s="2" t="s">
        <v>97</v>
      </c>
    </row>
    <row r="83" spans="1:13">
      <c r="A83" s="2">
        <f t="shared" ca="1" si="1"/>
        <v>5</v>
      </c>
      <c r="B83" s="2" cm="1">
        <f t="array" aca="1" ref="B83" ca="1">INDEX(Data_DBD!$B:$B,$A83)</f>
        <v>18</v>
      </c>
      <c r="C83" s="2" cm="1">
        <f t="array" aca="1" ref="C83" ca="1">INDEX(Data_DBD!$C:$C,$A83)</f>
        <v>2</v>
      </c>
      <c r="D83" s="2" cm="1">
        <f t="array" aca="1" ref="D83" ca="1">INDEX(Data_DBD!$D:$D,$A83)</f>
        <v>12</v>
      </c>
      <c r="E83" s="2" cm="1">
        <f t="array" aca="1" ref="E83" ca="1">INDEX(Data_DBD!$E:$E,$A83)</f>
        <v>1</v>
      </c>
      <c r="F83" s="2" t="str" cm="1">
        <f t="array" aca="1" ref="F83" ca="1">INDEX(Data_DBD!$F:$F,$A83)</f>
        <v>Sedang</v>
      </c>
      <c r="H83" s="2">
        <v>161</v>
      </c>
      <c r="I83" s="2">
        <v>12</v>
      </c>
      <c r="J83" s="2">
        <v>3</v>
      </c>
      <c r="K83" s="2">
        <v>21</v>
      </c>
      <c r="L83" s="2">
        <v>1</v>
      </c>
      <c r="M83" s="2" t="s">
        <v>97</v>
      </c>
    </row>
    <row r="84" spans="1:13">
      <c r="A84" s="2">
        <f t="shared" ca="1" si="1"/>
        <v>21</v>
      </c>
      <c r="B84" s="2" cm="1">
        <f t="array" aca="1" ref="B84" ca="1">INDEX(Data_DBD!$B:$B,$A84)</f>
        <v>10</v>
      </c>
      <c r="C84" s="2" cm="1">
        <f t="array" aca="1" ref="C84" ca="1">INDEX(Data_DBD!$C:$C,$A84)</f>
        <v>5</v>
      </c>
      <c r="D84" s="2" cm="1">
        <f t="array" aca="1" ref="D84" ca="1">INDEX(Data_DBD!$D:$D,$A84)</f>
        <v>14</v>
      </c>
      <c r="E84" s="2" cm="1">
        <f t="array" aca="1" ref="E84" ca="1">INDEX(Data_DBD!$E:$E,$A84)</f>
        <v>1</v>
      </c>
      <c r="F84" s="2" t="str" cm="1">
        <f t="array" aca="1" ref="F84" ca="1">INDEX(Data_DBD!$F:$F,$A84)</f>
        <v>Sedang</v>
      </c>
      <c r="H84" s="2">
        <v>46</v>
      </c>
      <c r="I84" s="2">
        <v>62</v>
      </c>
      <c r="J84" s="2">
        <v>2</v>
      </c>
      <c r="K84" s="2">
        <v>13</v>
      </c>
      <c r="L84" s="2">
        <v>0</v>
      </c>
      <c r="M84" s="2" t="s">
        <v>7</v>
      </c>
    </row>
    <row r="85" spans="1:13">
      <c r="A85" s="2">
        <f t="shared" ca="1" si="1"/>
        <v>45</v>
      </c>
      <c r="B85" s="2" cm="1">
        <f t="array" aca="1" ref="B85" ca="1">INDEX(Data_DBD!$B:$B,$A85)</f>
        <v>75</v>
      </c>
      <c r="C85" s="2" cm="1">
        <f t="array" aca="1" ref="C85" ca="1">INDEX(Data_DBD!$C:$C,$A85)</f>
        <v>3</v>
      </c>
      <c r="D85" s="2" cm="1">
        <f t="array" aca="1" ref="D85" ca="1">INDEX(Data_DBD!$D:$D,$A85)</f>
        <v>13</v>
      </c>
      <c r="E85" s="2" cm="1">
        <f t="array" aca="1" ref="E85" ca="1">INDEX(Data_DBD!$E:$E,$A85)</f>
        <v>1</v>
      </c>
      <c r="F85" s="2" t="str" cm="1">
        <f t="array" aca="1" ref="F85" ca="1">INDEX(Data_DBD!$F:$F,$A85)</f>
        <v>Sedang</v>
      </c>
      <c r="H85" s="2">
        <v>98</v>
      </c>
      <c r="I85" s="2">
        <v>16</v>
      </c>
      <c r="J85" s="2">
        <v>2</v>
      </c>
      <c r="K85" s="2">
        <v>18</v>
      </c>
      <c r="L85" s="2">
        <v>1</v>
      </c>
      <c r="M85" s="2" t="s">
        <v>97</v>
      </c>
    </row>
    <row r="86" spans="1:13">
      <c r="A86" s="2">
        <f t="shared" ca="1" si="1"/>
        <v>164</v>
      </c>
      <c r="B86" s="2" cm="1">
        <f t="array" aca="1" ref="B86" ca="1">INDEX(Data_DBD!$B:$B,$A86)</f>
        <v>10</v>
      </c>
      <c r="C86" s="2" cm="1">
        <f t="array" aca="1" ref="C86" ca="1">INDEX(Data_DBD!$C:$C,$A86)</f>
        <v>6</v>
      </c>
      <c r="D86" s="2" cm="1">
        <f t="array" aca="1" ref="D86" ca="1">INDEX(Data_DBD!$D:$D,$A86)</f>
        <v>3</v>
      </c>
      <c r="E86" s="2" cm="1">
        <f t="array" aca="1" ref="E86" ca="1">INDEX(Data_DBD!$E:$E,$A86)</f>
        <v>0</v>
      </c>
      <c r="F86" s="2" t="str" cm="1">
        <f t="array" aca="1" ref="F86" ca="1">INDEX(Data_DBD!$F:$F,$A86)</f>
        <v>Rendah</v>
      </c>
      <c r="H86" s="2">
        <v>64</v>
      </c>
      <c r="I86" s="2">
        <v>35</v>
      </c>
      <c r="J86" s="2">
        <v>1</v>
      </c>
      <c r="K86" s="2">
        <v>15</v>
      </c>
      <c r="L86" s="2">
        <v>0</v>
      </c>
      <c r="M86" s="2" t="s">
        <v>7</v>
      </c>
    </row>
    <row r="87" spans="1:13">
      <c r="A87" s="2">
        <f t="shared" ca="1" si="1"/>
        <v>139</v>
      </c>
      <c r="B87" s="2" cm="1">
        <f t="array" aca="1" ref="B87" ca="1">INDEX(Data_DBD!$B:$B,$A87)</f>
        <v>52</v>
      </c>
      <c r="C87" s="2" cm="1">
        <f t="array" aca="1" ref="C87" ca="1">INDEX(Data_DBD!$C:$C,$A87)</f>
        <v>7</v>
      </c>
      <c r="D87" s="2" cm="1">
        <f t="array" aca="1" ref="D87" ca="1">INDEX(Data_DBD!$D:$D,$A87)</f>
        <v>21</v>
      </c>
      <c r="E87" s="2" cm="1">
        <f t="array" aca="1" ref="E87" ca="1">INDEX(Data_DBD!$E:$E,$A87)</f>
        <v>0</v>
      </c>
      <c r="F87" s="2" t="str" cm="1">
        <f t="array" aca="1" ref="F87" ca="1">INDEX(Data_DBD!$F:$F,$A87)</f>
        <v>Tinggi</v>
      </c>
      <c r="H87" s="2">
        <v>36</v>
      </c>
      <c r="I87" s="2">
        <v>27</v>
      </c>
      <c r="J87" s="2">
        <v>1</v>
      </c>
      <c r="K87" s="2">
        <v>4</v>
      </c>
      <c r="L87" s="2">
        <v>1</v>
      </c>
      <c r="M87" s="2" t="s">
        <v>20</v>
      </c>
    </row>
    <row r="88" spans="1:13">
      <c r="A88" s="2">
        <f t="shared" ca="1" si="1"/>
        <v>161</v>
      </c>
      <c r="B88" s="2" cm="1">
        <f t="array" aca="1" ref="B88" ca="1">INDEX(Data_DBD!$B:$B,$A88)</f>
        <v>12</v>
      </c>
      <c r="C88" s="2" cm="1">
        <f t="array" aca="1" ref="C88" ca="1">INDEX(Data_DBD!$C:$C,$A88)</f>
        <v>3</v>
      </c>
      <c r="D88" s="2" cm="1">
        <f t="array" aca="1" ref="D88" ca="1">INDEX(Data_DBD!$D:$D,$A88)</f>
        <v>21</v>
      </c>
      <c r="E88" s="2" cm="1">
        <f t="array" aca="1" ref="E88" ca="1">INDEX(Data_DBD!$E:$E,$A88)</f>
        <v>1</v>
      </c>
      <c r="F88" s="2" t="str" cm="1">
        <f t="array" aca="1" ref="F88" ca="1">INDEX(Data_DBD!$F:$F,$A88)</f>
        <v>Tinggi</v>
      </c>
      <c r="H88" s="2">
        <v>100</v>
      </c>
      <c r="I88" s="2">
        <v>19</v>
      </c>
      <c r="J88" s="2">
        <v>6</v>
      </c>
      <c r="K88" s="2">
        <v>18</v>
      </c>
      <c r="L88" s="2">
        <v>0</v>
      </c>
      <c r="M88" s="2" t="s">
        <v>97</v>
      </c>
    </row>
    <row r="89" spans="1:13">
      <c r="A89" s="2">
        <f t="shared" ca="1" si="1"/>
        <v>41</v>
      </c>
      <c r="B89" s="2" cm="1">
        <f t="array" aca="1" ref="B89" ca="1">INDEX(Data_DBD!$B:$B,$A89)</f>
        <v>8</v>
      </c>
      <c r="C89" s="2" cm="1">
        <f t="array" aca="1" ref="C89" ca="1">INDEX(Data_DBD!$C:$C,$A89)</f>
        <v>4</v>
      </c>
      <c r="D89" s="2" cm="1">
        <f t="array" aca="1" ref="D89" ca="1">INDEX(Data_DBD!$D:$D,$A89)</f>
        <v>13</v>
      </c>
      <c r="E89" s="2" cm="1">
        <f t="array" aca="1" ref="E89" ca="1">INDEX(Data_DBD!$E:$E,$A89)</f>
        <v>0</v>
      </c>
      <c r="F89" s="2" t="str" cm="1">
        <f t="array" aca="1" ref="F89" ca="1">INDEX(Data_DBD!$F:$F,$A89)</f>
        <v>Sedang</v>
      </c>
      <c r="H89" s="2">
        <v>40</v>
      </c>
      <c r="I89" s="2">
        <v>65</v>
      </c>
      <c r="J89" s="2">
        <v>3</v>
      </c>
      <c r="K89" s="2">
        <v>13</v>
      </c>
      <c r="L89" s="2">
        <v>1</v>
      </c>
      <c r="M89" s="2" t="s">
        <v>7</v>
      </c>
    </row>
    <row r="90" spans="1:13">
      <c r="A90" s="2">
        <f t="shared" ca="1" si="1"/>
        <v>40</v>
      </c>
      <c r="B90" s="2" cm="1">
        <f t="array" aca="1" ref="B90" ca="1">INDEX(Data_DBD!$B:$B,$A90)</f>
        <v>65</v>
      </c>
      <c r="C90" s="2" cm="1">
        <f t="array" aca="1" ref="C90" ca="1">INDEX(Data_DBD!$C:$C,$A90)</f>
        <v>3</v>
      </c>
      <c r="D90" s="2" cm="1">
        <f t="array" aca="1" ref="D90" ca="1">INDEX(Data_DBD!$D:$D,$A90)</f>
        <v>13</v>
      </c>
      <c r="E90" s="2" cm="1">
        <f t="array" aca="1" ref="E90" ca="1">INDEX(Data_DBD!$E:$E,$A90)</f>
        <v>1</v>
      </c>
      <c r="F90" s="2" t="str" cm="1">
        <f t="array" aca="1" ref="F90" ca="1">INDEX(Data_DBD!$F:$F,$A90)</f>
        <v>Sedang</v>
      </c>
      <c r="H90" s="2">
        <v>17</v>
      </c>
      <c r="I90" s="2">
        <v>2</v>
      </c>
      <c r="J90" s="2">
        <v>3</v>
      </c>
      <c r="K90" s="2">
        <v>7</v>
      </c>
      <c r="L90" s="2">
        <v>0</v>
      </c>
      <c r="M90" s="2" t="s">
        <v>20</v>
      </c>
    </row>
    <row r="91" spans="1:13">
      <c r="A91" s="2">
        <f t="shared" ca="1" si="1"/>
        <v>23</v>
      </c>
      <c r="B91" s="2" cm="1">
        <f t="array" aca="1" ref="B91" ca="1">INDEX(Data_DBD!$B:$B,$A91)</f>
        <v>28</v>
      </c>
      <c r="C91" s="2" cm="1">
        <f t="array" aca="1" ref="C91" ca="1">INDEX(Data_DBD!$C:$C,$A91)</f>
        <v>4</v>
      </c>
      <c r="D91" s="2" cm="1">
        <f t="array" aca="1" ref="D91" ca="1">INDEX(Data_DBD!$D:$D,$A91)</f>
        <v>14</v>
      </c>
      <c r="E91" s="2" cm="1">
        <f t="array" aca="1" ref="E91" ca="1">INDEX(Data_DBD!$E:$E,$A91)</f>
        <v>1</v>
      </c>
      <c r="F91" s="2" t="str" cm="1">
        <f t="array" aca="1" ref="F91" ca="1">INDEX(Data_DBD!$F:$F,$A91)</f>
        <v>Sedang</v>
      </c>
      <c r="H91" s="2">
        <v>85</v>
      </c>
      <c r="I91" s="2">
        <v>27</v>
      </c>
      <c r="J91" s="2">
        <v>9</v>
      </c>
      <c r="K91" s="2">
        <v>13</v>
      </c>
      <c r="L91" s="2">
        <v>0</v>
      </c>
      <c r="M91" s="2" t="s">
        <v>7</v>
      </c>
    </row>
    <row r="92" spans="1:13">
      <c r="A92" s="2">
        <f t="shared" ca="1" si="1"/>
        <v>16</v>
      </c>
      <c r="B92" s="2" cm="1">
        <f t="array" aca="1" ref="B92" ca="1">INDEX(Data_DBD!$B:$B,$A92)</f>
        <v>66</v>
      </c>
      <c r="C92" s="2" cm="1">
        <f t="array" aca="1" ref="C92" ca="1">INDEX(Data_DBD!$C:$C,$A92)</f>
        <v>5</v>
      </c>
      <c r="D92" s="2" cm="1">
        <f t="array" aca="1" ref="D92" ca="1">INDEX(Data_DBD!$D:$D,$A92)</f>
        <v>7</v>
      </c>
      <c r="E92" s="2" cm="1">
        <f t="array" aca="1" ref="E92" ca="1">INDEX(Data_DBD!$E:$E,$A92)</f>
        <v>1</v>
      </c>
      <c r="F92" s="2" t="str" cm="1">
        <f t="array" aca="1" ref="F92" ca="1">INDEX(Data_DBD!$F:$F,$A92)</f>
        <v>Rendah</v>
      </c>
      <c r="H92" s="2">
        <v>88</v>
      </c>
      <c r="I92" s="2">
        <v>20</v>
      </c>
      <c r="J92" s="2">
        <v>4</v>
      </c>
      <c r="K92" s="2">
        <v>13</v>
      </c>
      <c r="L92" s="2">
        <v>1</v>
      </c>
      <c r="M92" s="2" t="s">
        <v>7</v>
      </c>
    </row>
    <row r="93" spans="1:13">
      <c r="A93" s="2">
        <f t="shared" ca="1" si="1"/>
        <v>19</v>
      </c>
      <c r="B93" s="2" cm="1">
        <f t="array" aca="1" ref="B93" ca="1">INDEX(Data_DBD!$B:$B,$A93)</f>
        <v>8</v>
      </c>
      <c r="C93" s="2" cm="1">
        <f t="array" aca="1" ref="C93" ca="1">INDEX(Data_DBD!$C:$C,$A93)</f>
        <v>4</v>
      </c>
      <c r="D93" s="2" cm="1">
        <f t="array" aca="1" ref="D93" ca="1">INDEX(Data_DBD!$D:$D,$A93)</f>
        <v>7</v>
      </c>
      <c r="E93" s="2" cm="1">
        <f t="array" aca="1" ref="E93" ca="1">INDEX(Data_DBD!$E:$E,$A93)</f>
        <v>0</v>
      </c>
      <c r="F93" s="2" t="str" cm="1">
        <f t="array" aca="1" ref="F93" ca="1">INDEX(Data_DBD!$F:$F,$A93)</f>
        <v>Rendah</v>
      </c>
      <c r="H93" s="2">
        <v>154</v>
      </c>
      <c r="I93" s="2">
        <v>18</v>
      </c>
      <c r="J93" s="2">
        <v>5</v>
      </c>
      <c r="K93" s="2">
        <v>21</v>
      </c>
      <c r="L93" s="2">
        <v>1</v>
      </c>
      <c r="M93" s="2" t="s">
        <v>97</v>
      </c>
    </row>
    <row r="94" spans="1:13">
      <c r="A94" s="2">
        <f t="shared" ca="1" si="1"/>
        <v>93</v>
      </c>
      <c r="B94" s="2" cm="1">
        <f t="array" aca="1" ref="B94" ca="1">INDEX(Data_DBD!$B:$B,$A94)</f>
        <v>65</v>
      </c>
      <c r="C94" s="2" cm="1">
        <f t="array" aca="1" ref="C94" ca="1">INDEX(Data_DBD!$C:$C,$A94)</f>
        <v>4</v>
      </c>
      <c r="D94" s="2" cm="1">
        <f t="array" aca="1" ref="D94" ca="1">INDEX(Data_DBD!$D:$D,$A94)</f>
        <v>18</v>
      </c>
      <c r="E94" s="2" cm="1">
        <f t="array" aca="1" ref="E94" ca="1">INDEX(Data_DBD!$E:$E,$A94)</f>
        <v>0</v>
      </c>
      <c r="F94" s="2" t="str" cm="1">
        <f t="array" aca="1" ref="F94" ca="1">INDEX(Data_DBD!$F:$F,$A94)</f>
        <v>Tinggi</v>
      </c>
      <c r="H94" s="2">
        <v>64</v>
      </c>
      <c r="I94" s="2">
        <v>35</v>
      </c>
      <c r="J94" s="2">
        <v>1</v>
      </c>
      <c r="K94" s="2">
        <v>15</v>
      </c>
      <c r="L94" s="2">
        <v>0</v>
      </c>
      <c r="M94" s="2" t="s">
        <v>7</v>
      </c>
    </row>
    <row r="95" spans="1:13">
      <c r="A95" s="2">
        <f t="shared" ca="1" si="1"/>
        <v>133</v>
      </c>
      <c r="B95" s="2" cm="1">
        <f t="array" aca="1" ref="B95" ca="1">INDEX(Data_DBD!$B:$B,$A95)</f>
        <v>6</v>
      </c>
      <c r="C95" s="2" cm="1">
        <f t="array" aca="1" ref="C95" ca="1">INDEX(Data_DBD!$C:$C,$A95)</f>
        <v>4</v>
      </c>
      <c r="D95" s="2" cm="1">
        <f t="array" aca="1" ref="D95" ca="1">INDEX(Data_DBD!$D:$D,$A95)</f>
        <v>33</v>
      </c>
      <c r="E95" s="2" cm="1">
        <f t="array" aca="1" ref="E95" ca="1">INDEX(Data_DBD!$E:$E,$A95)</f>
        <v>0</v>
      </c>
      <c r="F95" s="2" t="str" cm="1">
        <f t="array" aca="1" ref="F95" ca="1">INDEX(Data_DBD!$F:$F,$A95)</f>
        <v>Tinggi</v>
      </c>
      <c r="H95" s="2">
        <v>127</v>
      </c>
      <c r="I95" s="2">
        <v>21</v>
      </c>
      <c r="J95" s="2">
        <v>2</v>
      </c>
      <c r="K95" s="2">
        <v>33</v>
      </c>
      <c r="L95" s="2">
        <v>0</v>
      </c>
      <c r="M95" s="2" t="s">
        <v>97</v>
      </c>
    </row>
    <row r="96" spans="1:13">
      <c r="A96" s="2">
        <f t="shared" ca="1" si="1"/>
        <v>31</v>
      </c>
      <c r="B96" s="2" cm="1">
        <f t="array" aca="1" ref="B96" ca="1">INDEX(Data_DBD!$B:$B,$A96)</f>
        <v>64</v>
      </c>
      <c r="C96" s="2" cm="1">
        <f t="array" aca="1" ref="C96" ca="1">INDEX(Data_DBD!$C:$C,$A96)</f>
        <v>4</v>
      </c>
      <c r="D96" s="2" cm="1">
        <f t="array" aca="1" ref="D96" ca="1">INDEX(Data_DBD!$D:$D,$A96)</f>
        <v>14</v>
      </c>
      <c r="E96" s="2" cm="1">
        <f t="array" aca="1" ref="E96" ca="1">INDEX(Data_DBD!$E:$E,$A96)</f>
        <v>1</v>
      </c>
      <c r="F96" s="2" t="str" cm="1">
        <f t="array" aca="1" ref="F96" ca="1">INDEX(Data_DBD!$F:$F,$A96)</f>
        <v>Sedang</v>
      </c>
      <c r="H96" s="2">
        <v>126</v>
      </c>
      <c r="I96" s="2">
        <v>51</v>
      </c>
      <c r="J96" s="2">
        <v>3</v>
      </c>
      <c r="K96" s="2">
        <v>33</v>
      </c>
      <c r="L96" s="2">
        <v>1</v>
      </c>
      <c r="M96" s="2" t="s">
        <v>97</v>
      </c>
    </row>
    <row r="97" spans="1:13">
      <c r="A97" s="2">
        <f t="shared" ca="1" si="1"/>
        <v>69</v>
      </c>
      <c r="B97" s="2" cm="1">
        <f t="array" aca="1" ref="B97" ca="1">INDEX(Data_DBD!$B:$B,$A97)</f>
        <v>24</v>
      </c>
      <c r="C97" s="2" cm="1">
        <f t="array" aca="1" ref="C97" ca="1">INDEX(Data_DBD!$C:$C,$A97)</f>
        <v>4</v>
      </c>
      <c r="D97" s="2" cm="1">
        <f t="array" aca="1" ref="D97" ca="1">INDEX(Data_DBD!$D:$D,$A97)</f>
        <v>10</v>
      </c>
      <c r="E97" s="2" cm="1">
        <f t="array" aca="1" ref="E97" ca="1">INDEX(Data_DBD!$E:$E,$A97)</f>
        <v>1</v>
      </c>
      <c r="F97" s="2" t="str" cm="1">
        <f t="array" aca="1" ref="F97" ca="1">INDEX(Data_DBD!$F:$F,$A97)</f>
        <v>Sedang</v>
      </c>
      <c r="H97" s="2">
        <v>116</v>
      </c>
      <c r="I97" s="2">
        <v>32</v>
      </c>
      <c r="J97" s="2">
        <v>4</v>
      </c>
      <c r="K97" s="2">
        <v>33</v>
      </c>
      <c r="L97" s="2">
        <v>1</v>
      </c>
      <c r="M97" s="2" t="s">
        <v>97</v>
      </c>
    </row>
    <row r="98" spans="1:13">
      <c r="A98" s="2">
        <f t="shared" ca="1" si="1"/>
        <v>103</v>
      </c>
      <c r="B98" s="2" cm="1">
        <f t="array" aca="1" ref="B98" ca="1">INDEX(Data_DBD!$B:$B,$A98)</f>
        <v>22</v>
      </c>
      <c r="C98" s="2" cm="1">
        <f t="array" aca="1" ref="C98" ca="1">INDEX(Data_DBD!$C:$C,$A98)</f>
        <v>5</v>
      </c>
      <c r="D98" s="2" cm="1">
        <f t="array" aca="1" ref="D98" ca="1">INDEX(Data_DBD!$D:$D,$A98)</f>
        <v>18</v>
      </c>
      <c r="E98" s="2" cm="1">
        <f t="array" aca="1" ref="E98" ca="1">INDEX(Data_DBD!$E:$E,$A98)</f>
        <v>0</v>
      </c>
      <c r="F98" s="2" t="str" cm="1">
        <f t="array" aca="1" ref="F98" ca="1">INDEX(Data_DBD!$F:$F,$A98)</f>
        <v>Tinggi</v>
      </c>
      <c r="H98" s="2">
        <v>144</v>
      </c>
      <c r="I98" s="2">
        <v>61</v>
      </c>
      <c r="J98" s="2">
        <v>4</v>
      </c>
      <c r="K98" s="2">
        <v>21</v>
      </c>
      <c r="L98" s="2">
        <v>1</v>
      </c>
      <c r="M98" s="2" t="s">
        <v>97</v>
      </c>
    </row>
    <row r="99" spans="1:13">
      <c r="A99" s="2">
        <f t="shared" ca="1" si="1"/>
        <v>110</v>
      </c>
      <c r="B99" s="2" cm="1">
        <f t="array" aca="1" ref="B99" ca="1">INDEX(Data_DBD!$B:$B,$A99)</f>
        <v>42</v>
      </c>
      <c r="C99" s="2" cm="1">
        <f t="array" aca="1" ref="C99" ca="1">INDEX(Data_DBD!$C:$C,$A99)</f>
        <v>2</v>
      </c>
      <c r="D99" s="2" cm="1">
        <f t="array" aca="1" ref="D99" ca="1">INDEX(Data_DBD!$D:$D,$A99)</f>
        <v>33</v>
      </c>
      <c r="E99" s="2" cm="1">
        <f t="array" aca="1" ref="E99" ca="1">INDEX(Data_DBD!$E:$E,$A99)</f>
        <v>1</v>
      </c>
      <c r="F99" s="2" t="str" cm="1">
        <f t="array" aca="1" ref="F99" ca="1">INDEX(Data_DBD!$F:$F,$A99)</f>
        <v>Tinggi</v>
      </c>
      <c r="H99" s="2">
        <v>17</v>
      </c>
      <c r="I99" s="2">
        <v>2</v>
      </c>
      <c r="J99" s="2">
        <v>3</v>
      </c>
      <c r="K99" s="2">
        <v>7</v>
      </c>
      <c r="L99" s="2">
        <v>0</v>
      </c>
      <c r="M99" s="2" t="s">
        <v>20</v>
      </c>
    </row>
    <row r="100" spans="1:13">
      <c r="A100" s="2">
        <f t="shared" ca="1" si="1"/>
        <v>153</v>
      </c>
      <c r="B100" s="2" cm="1">
        <f t="array" aca="1" ref="B100" ca="1">INDEX(Data_DBD!$B:$B,$A100)</f>
        <v>73</v>
      </c>
      <c r="C100" s="2" cm="1">
        <f t="array" aca="1" ref="C100" ca="1">INDEX(Data_DBD!$C:$C,$A100)</f>
        <v>7</v>
      </c>
      <c r="D100" s="2" cm="1">
        <f t="array" aca="1" ref="D100" ca="1">INDEX(Data_DBD!$D:$D,$A100)</f>
        <v>21</v>
      </c>
      <c r="E100" s="2" cm="1">
        <f t="array" aca="1" ref="E100" ca="1">INDEX(Data_DBD!$E:$E,$A100)</f>
        <v>1</v>
      </c>
      <c r="F100" s="2" t="str" cm="1">
        <f t="array" aca="1" ref="F100" ca="1">INDEX(Data_DBD!$F:$F,$A100)</f>
        <v>Tinggi</v>
      </c>
      <c r="H100" s="2">
        <v>64</v>
      </c>
      <c r="I100" s="2">
        <v>35</v>
      </c>
      <c r="J100" s="2">
        <v>1</v>
      </c>
      <c r="K100" s="2">
        <v>15</v>
      </c>
      <c r="L100" s="2">
        <v>0</v>
      </c>
      <c r="M100" s="2" t="s">
        <v>7</v>
      </c>
    </row>
    <row r="101" spans="1:13">
      <c r="A101" s="2">
        <f t="shared" ca="1" si="1"/>
        <v>146</v>
      </c>
      <c r="B101" s="2" cm="1">
        <f t="array" aca="1" ref="B101" ca="1">INDEX(Data_DBD!$B:$B,$A101)</f>
        <v>34</v>
      </c>
      <c r="C101" s="2" cm="1">
        <f t="array" aca="1" ref="C101" ca="1">INDEX(Data_DBD!$C:$C,$A101)</f>
        <v>2</v>
      </c>
      <c r="D101" s="2" cm="1">
        <f t="array" aca="1" ref="D101" ca="1">INDEX(Data_DBD!$D:$D,$A101)</f>
        <v>21</v>
      </c>
      <c r="E101" s="2" cm="1">
        <f t="array" aca="1" ref="E101" ca="1">INDEX(Data_DBD!$E:$E,$A101)</f>
        <v>1</v>
      </c>
      <c r="F101" s="2" t="str" cm="1">
        <f t="array" aca="1" ref="F101" ca="1">INDEX(Data_DBD!$F:$F,$A101)</f>
        <v>Tinggi</v>
      </c>
      <c r="H101" s="2">
        <v>38</v>
      </c>
      <c r="I101" s="2">
        <v>52</v>
      </c>
      <c r="J101" s="2">
        <v>3</v>
      </c>
      <c r="K101" s="2">
        <v>4</v>
      </c>
      <c r="L101" s="2">
        <v>1</v>
      </c>
      <c r="M101" s="2" t="s">
        <v>20</v>
      </c>
    </row>
    <row r="102" spans="1:13">
      <c r="A102" s="2">
        <f t="shared" ca="1" si="1"/>
        <v>137</v>
      </c>
      <c r="B102" s="2" cm="1">
        <f t="array" aca="1" ref="B102" ca="1">INDEX(Data_DBD!$B:$B,$A102)</f>
        <v>3</v>
      </c>
      <c r="C102" s="2" cm="1">
        <f t="array" aca="1" ref="C102" ca="1">INDEX(Data_DBD!$C:$C,$A102)</f>
        <v>1</v>
      </c>
      <c r="D102" s="2" cm="1">
        <f t="array" aca="1" ref="D102" ca="1">INDEX(Data_DBD!$D:$D,$A102)</f>
        <v>33</v>
      </c>
      <c r="E102" s="2" cm="1">
        <f t="array" aca="1" ref="E102" ca="1">INDEX(Data_DBD!$E:$E,$A102)</f>
        <v>1</v>
      </c>
      <c r="F102" s="2" t="str" cm="1">
        <f t="array" aca="1" ref="F102" ca="1">INDEX(Data_DBD!$F:$F,$A102)</f>
        <v>Tinggi</v>
      </c>
      <c r="H102" s="2">
        <v>66</v>
      </c>
      <c r="I102" s="2">
        <v>21</v>
      </c>
      <c r="J102" s="2">
        <v>5</v>
      </c>
      <c r="K102" s="2">
        <v>15</v>
      </c>
      <c r="L102" s="2">
        <v>1</v>
      </c>
      <c r="M102" s="2" t="s">
        <v>7</v>
      </c>
    </row>
    <row r="103" spans="1:13">
      <c r="A103" s="2">
        <f t="shared" ca="1" si="1"/>
        <v>123</v>
      </c>
      <c r="B103" s="2" cm="1">
        <f t="array" aca="1" ref="B103" ca="1">INDEX(Data_DBD!$B:$B,$A103)</f>
        <v>22</v>
      </c>
      <c r="C103" s="2" cm="1">
        <f t="array" aca="1" ref="C103" ca="1">INDEX(Data_DBD!$C:$C,$A103)</f>
        <v>4</v>
      </c>
      <c r="D103" s="2" cm="1">
        <f t="array" aca="1" ref="D103" ca="1">INDEX(Data_DBD!$D:$D,$A103)</f>
        <v>33</v>
      </c>
      <c r="E103" s="2" cm="1">
        <f t="array" aca="1" ref="E103" ca="1">INDEX(Data_DBD!$E:$E,$A103)</f>
        <v>0</v>
      </c>
      <c r="F103" s="2" t="str" cm="1">
        <f t="array" aca="1" ref="F103" ca="1">INDEX(Data_DBD!$F:$F,$A103)</f>
        <v>Tinggi</v>
      </c>
      <c r="H103" s="2">
        <v>162</v>
      </c>
      <c r="I103" s="2">
        <v>22</v>
      </c>
      <c r="J103" s="2">
        <v>3</v>
      </c>
      <c r="K103" s="2">
        <v>3</v>
      </c>
      <c r="L103" s="2">
        <v>1</v>
      </c>
      <c r="M103" s="2" t="s">
        <v>20</v>
      </c>
    </row>
    <row r="104" spans="1:13">
      <c r="A104" s="2">
        <f t="shared" ca="1" si="1"/>
        <v>150</v>
      </c>
      <c r="B104" s="2" cm="1">
        <f t="array" aca="1" ref="B104" ca="1">INDEX(Data_DBD!$B:$B,$A104)</f>
        <v>61</v>
      </c>
      <c r="C104" s="2" cm="1">
        <f t="array" aca="1" ref="C104" ca="1">INDEX(Data_DBD!$C:$C,$A104)</f>
        <v>5</v>
      </c>
      <c r="D104" s="2" cm="1">
        <f t="array" aca="1" ref="D104" ca="1">INDEX(Data_DBD!$D:$D,$A104)</f>
        <v>21</v>
      </c>
      <c r="E104" s="2" cm="1">
        <f t="array" aca="1" ref="E104" ca="1">INDEX(Data_DBD!$E:$E,$A104)</f>
        <v>1</v>
      </c>
      <c r="F104" s="2" t="str" cm="1">
        <f t="array" aca="1" ref="F104" ca="1">INDEX(Data_DBD!$F:$F,$A104)</f>
        <v>Tinggi</v>
      </c>
      <c r="H104" s="2">
        <v>89</v>
      </c>
      <c r="I104" s="2">
        <v>32</v>
      </c>
      <c r="J104" s="2">
        <v>4</v>
      </c>
      <c r="K104" s="2">
        <v>13</v>
      </c>
      <c r="L104" s="2">
        <v>0</v>
      </c>
      <c r="M104" s="2" t="s">
        <v>7</v>
      </c>
    </row>
    <row r="105" spans="1:13">
      <c r="A105" s="2">
        <f t="shared" ca="1" si="1"/>
        <v>51</v>
      </c>
      <c r="B105" s="2" cm="1">
        <f t="array" aca="1" ref="B105" ca="1">INDEX(Data_DBD!$B:$B,$A105)</f>
        <v>48</v>
      </c>
      <c r="C105" s="2" cm="1">
        <f t="array" aca="1" ref="C105" ca="1">INDEX(Data_DBD!$C:$C,$A105)</f>
        <v>4</v>
      </c>
      <c r="D105" s="2" cm="1">
        <f t="array" aca="1" ref="D105" ca="1">INDEX(Data_DBD!$D:$D,$A105)</f>
        <v>13</v>
      </c>
      <c r="E105" s="2" cm="1">
        <f t="array" aca="1" ref="E105" ca="1">INDEX(Data_DBD!$E:$E,$A105)</f>
        <v>0</v>
      </c>
      <c r="F105" s="2" t="str" cm="1">
        <f t="array" aca="1" ref="F105" ca="1">INDEX(Data_DBD!$F:$F,$A105)</f>
        <v>Sedang</v>
      </c>
      <c r="H105" s="2">
        <v>104</v>
      </c>
      <c r="I105" s="2">
        <v>37</v>
      </c>
      <c r="J105" s="2">
        <v>4</v>
      </c>
      <c r="K105" s="2">
        <v>18</v>
      </c>
      <c r="L105" s="2">
        <v>1</v>
      </c>
      <c r="M105" s="2" t="s">
        <v>97</v>
      </c>
    </row>
    <row r="106" spans="1:13">
      <c r="A106" s="2">
        <f t="shared" ca="1" si="1"/>
        <v>75</v>
      </c>
      <c r="B106" s="2" cm="1">
        <f t="array" aca="1" ref="B106" ca="1">INDEX(Data_DBD!$B:$B,$A106)</f>
        <v>2</v>
      </c>
      <c r="C106" s="2" cm="1">
        <f t="array" aca="1" ref="C106" ca="1">INDEX(Data_DBD!$C:$C,$A106)</f>
        <v>2</v>
      </c>
      <c r="D106" s="2" cm="1">
        <f t="array" aca="1" ref="D106" ca="1">INDEX(Data_DBD!$D:$D,$A106)</f>
        <v>10</v>
      </c>
      <c r="E106" s="2" cm="1">
        <f t="array" aca="1" ref="E106" ca="1">INDEX(Data_DBD!$E:$E,$A106)</f>
        <v>1</v>
      </c>
      <c r="F106" s="2" t="str" cm="1">
        <f t="array" aca="1" ref="F106" ca="1">INDEX(Data_DBD!$F:$F,$A106)</f>
        <v>Sedang</v>
      </c>
      <c r="H106" s="2">
        <v>42</v>
      </c>
      <c r="I106" s="2">
        <v>21</v>
      </c>
      <c r="J106" s="2">
        <v>5</v>
      </c>
      <c r="K106" s="2">
        <v>13</v>
      </c>
      <c r="L106" s="2">
        <v>1</v>
      </c>
      <c r="M106" s="2" t="s">
        <v>7</v>
      </c>
    </row>
    <row r="107" spans="1:13">
      <c r="A107" s="2">
        <f t="shared" ca="1" si="1"/>
        <v>67</v>
      </c>
      <c r="B107" s="2" cm="1">
        <f t="array" aca="1" ref="B107" ca="1">INDEX(Data_DBD!$B:$B,$A107)</f>
        <v>21</v>
      </c>
      <c r="C107" s="2" cm="1">
        <f t="array" aca="1" ref="C107" ca="1">INDEX(Data_DBD!$C:$C,$A107)</f>
        <v>3</v>
      </c>
      <c r="D107" s="2" cm="1">
        <f t="array" aca="1" ref="D107" ca="1">INDEX(Data_DBD!$D:$D,$A107)</f>
        <v>10</v>
      </c>
      <c r="E107" s="2" cm="1">
        <f t="array" aca="1" ref="E107" ca="1">INDEX(Data_DBD!$E:$E,$A107)</f>
        <v>1</v>
      </c>
      <c r="F107" s="2" t="str" cm="1">
        <f t="array" aca="1" ref="F107" ca="1">INDEX(Data_DBD!$F:$F,$A107)</f>
        <v>Sedang</v>
      </c>
      <c r="H107" s="2">
        <v>128</v>
      </c>
      <c r="I107" s="2">
        <v>38</v>
      </c>
      <c r="J107" s="2">
        <v>2</v>
      </c>
      <c r="K107" s="2">
        <v>33</v>
      </c>
      <c r="L107" s="2">
        <v>0</v>
      </c>
      <c r="M107" s="2" t="s">
        <v>97</v>
      </c>
    </row>
    <row r="108" spans="1:13">
      <c r="A108" s="2">
        <f t="shared" ca="1" si="1"/>
        <v>58</v>
      </c>
      <c r="B108" s="2" cm="1">
        <f t="array" aca="1" ref="B108" ca="1">INDEX(Data_DBD!$B:$B,$A108)</f>
        <v>17</v>
      </c>
      <c r="C108" s="2" cm="1">
        <f t="array" aca="1" ref="C108" ca="1">INDEX(Data_DBD!$C:$C,$A108)</f>
        <v>3</v>
      </c>
      <c r="D108" s="2" cm="1">
        <f t="array" aca="1" ref="D108" ca="1">INDEX(Data_DBD!$D:$D,$A108)</f>
        <v>15</v>
      </c>
      <c r="E108" s="2" cm="1">
        <f t="array" aca="1" ref="E108" ca="1">INDEX(Data_DBD!$E:$E,$A108)</f>
        <v>0</v>
      </c>
      <c r="F108" s="2" t="str" cm="1">
        <f t="array" aca="1" ref="F108" ca="1">INDEX(Data_DBD!$F:$F,$A108)</f>
        <v>Sedang</v>
      </c>
      <c r="H108" s="2">
        <v>161</v>
      </c>
      <c r="I108" s="2">
        <v>12</v>
      </c>
      <c r="J108" s="2">
        <v>3</v>
      </c>
      <c r="K108" s="2">
        <v>21</v>
      </c>
      <c r="L108" s="2">
        <v>1</v>
      </c>
      <c r="M108" s="2" t="s">
        <v>97</v>
      </c>
    </row>
    <row r="109" spans="1:13">
      <c r="A109" s="2">
        <f t="shared" ca="1" si="1"/>
        <v>53</v>
      </c>
      <c r="B109" s="2" cm="1">
        <f t="array" aca="1" ref="B109" ca="1">INDEX(Data_DBD!$B:$B,$A109)</f>
        <v>35</v>
      </c>
      <c r="C109" s="2" cm="1">
        <f t="array" aca="1" ref="C109" ca="1">INDEX(Data_DBD!$C:$C,$A109)</f>
        <v>4</v>
      </c>
      <c r="D109" s="2" cm="1">
        <f t="array" aca="1" ref="D109" ca="1">INDEX(Data_DBD!$D:$D,$A109)</f>
        <v>15</v>
      </c>
      <c r="E109" s="2" cm="1">
        <f t="array" aca="1" ref="E109" ca="1">INDEX(Data_DBD!$E:$E,$A109)</f>
        <v>1</v>
      </c>
      <c r="F109" s="2" t="str" cm="1">
        <f t="array" aca="1" ref="F109" ca="1">INDEX(Data_DBD!$F:$F,$A109)</f>
        <v>Sedang</v>
      </c>
      <c r="H109" s="2">
        <v>102</v>
      </c>
      <c r="I109" s="2">
        <v>41</v>
      </c>
      <c r="J109" s="2">
        <v>4</v>
      </c>
      <c r="K109" s="2">
        <v>18</v>
      </c>
      <c r="L109" s="2">
        <v>0</v>
      </c>
      <c r="M109" s="2" t="s">
        <v>97</v>
      </c>
    </row>
    <row r="110" spans="1:13">
      <c r="A110" s="2">
        <f t="shared" ca="1" si="1"/>
        <v>129</v>
      </c>
      <c r="B110" s="2" cm="1">
        <f t="array" aca="1" ref="B110" ca="1">INDEX(Data_DBD!$B:$B,$A110)</f>
        <v>4</v>
      </c>
      <c r="C110" s="2" cm="1">
        <f t="array" aca="1" ref="C110" ca="1">INDEX(Data_DBD!$C:$C,$A110)</f>
        <v>3</v>
      </c>
      <c r="D110" s="2" cm="1">
        <f t="array" aca="1" ref="D110" ca="1">INDEX(Data_DBD!$D:$D,$A110)</f>
        <v>33</v>
      </c>
      <c r="E110" s="2" cm="1">
        <f t="array" aca="1" ref="E110" ca="1">INDEX(Data_DBD!$E:$E,$A110)</f>
        <v>0</v>
      </c>
      <c r="F110" s="2" t="str" cm="1">
        <f t="array" aca="1" ref="F110" ca="1">INDEX(Data_DBD!$F:$F,$A110)</f>
        <v>Tinggi</v>
      </c>
      <c r="H110" s="2">
        <v>15</v>
      </c>
      <c r="I110" s="2">
        <v>21</v>
      </c>
      <c r="J110" s="2">
        <v>2</v>
      </c>
      <c r="K110" s="2">
        <v>7</v>
      </c>
      <c r="L110" s="2">
        <v>0</v>
      </c>
      <c r="M110" s="2" t="s">
        <v>20</v>
      </c>
    </row>
    <row r="111" spans="1:13">
      <c r="A111" s="2">
        <f t="shared" ca="1" si="1"/>
        <v>98</v>
      </c>
      <c r="B111" s="2" cm="1">
        <f t="array" aca="1" ref="B111" ca="1">INDEX(Data_DBD!$B:$B,$A111)</f>
        <v>16</v>
      </c>
      <c r="C111" s="2" cm="1">
        <f t="array" aca="1" ref="C111" ca="1">INDEX(Data_DBD!$C:$C,$A111)</f>
        <v>2</v>
      </c>
      <c r="D111" s="2" cm="1">
        <f t="array" aca="1" ref="D111" ca="1">INDEX(Data_DBD!$D:$D,$A111)</f>
        <v>18</v>
      </c>
      <c r="E111" s="2" cm="1">
        <f t="array" aca="1" ref="E111" ca="1">INDEX(Data_DBD!$E:$E,$A111)</f>
        <v>1</v>
      </c>
      <c r="F111" s="2" t="str" cm="1">
        <f t="array" aca="1" ref="F111" ca="1">INDEX(Data_DBD!$F:$F,$A111)</f>
        <v>Tinggi</v>
      </c>
      <c r="H111" s="2">
        <v>154</v>
      </c>
      <c r="I111" s="2">
        <v>18</v>
      </c>
      <c r="J111" s="2">
        <v>5</v>
      </c>
      <c r="K111" s="2">
        <v>21</v>
      </c>
      <c r="L111" s="2">
        <v>1</v>
      </c>
      <c r="M111" s="2" t="s">
        <v>97</v>
      </c>
    </row>
    <row r="112" spans="1:13">
      <c r="A112" s="2">
        <f t="shared" ca="1" si="1"/>
        <v>120</v>
      </c>
      <c r="B112" s="2" cm="1">
        <f t="array" aca="1" ref="B112" ca="1">INDEX(Data_DBD!$B:$B,$A112)</f>
        <v>26</v>
      </c>
      <c r="C112" s="2" cm="1">
        <f t="array" aca="1" ref="C112" ca="1">INDEX(Data_DBD!$C:$C,$A112)</f>
        <v>4</v>
      </c>
      <c r="D112" s="2" cm="1">
        <f t="array" aca="1" ref="D112" ca="1">INDEX(Data_DBD!$D:$D,$A112)</f>
        <v>33</v>
      </c>
      <c r="E112" s="2" cm="1">
        <f t="array" aca="1" ref="E112" ca="1">INDEX(Data_DBD!$E:$E,$A112)</f>
        <v>1</v>
      </c>
      <c r="F112" s="2" t="str" cm="1">
        <f t="array" aca="1" ref="F112" ca="1">INDEX(Data_DBD!$F:$F,$A112)</f>
        <v>Tinggi</v>
      </c>
      <c r="H112" s="2">
        <v>64</v>
      </c>
      <c r="I112" s="2">
        <v>35</v>
      </c>
      <c r="J112" s="2">
        <v>1</v>
      </c>
      <c r="K112" s="2">
        <v>15</v>
      </c>
      <c r="L112" s="2">
        <v>0</v>
      </c>
      <c r="M112" s="2" t="s">
        <v>7</v>
      </c>
    </row>
    <row r="113" spans="1:13">
      <c r="A113" s="2">
        <f t="shared" ca="1" si="1"/>
        <v>65</v>
      </c>
      <c r="B113" s="2" cm="1">
        <f t="array" aca="1" ref="B113" ca="1">INDEX(Data_DBD!$B:$B,$A113)</f>
        <v>49</v>
      </c>
      <c r="C113" s="2" cm="1">
        <f t="array" aca="1" ref="C113" ca="1">INDEX(Data_DBD!$C:$C,$A113)</f>
        <v>3</v>
      </c>
      <c r="D113" s="2" cm="1">
        <f t="array" aca="1" ref="D113" ca="1">INDEX(Data_DBD!$D:$D,$A113)</f>
        <v>15</v>
      </c>
      <c r="E113" s="2" cm="1">
        <f t="array" aca="1" ref="E113" ca="1">INDEX(Data_DBD!$E:$E,$A113)</f>
        <v>0</v>
      </c>
      <c r="F113" s="2" t="str" cm="1">
        <f t="array" aca="1" ref="F113" ca="1">INDEX(Data_DBD!$F:$F,$A113)</f>
        <v>Sedang</v>
      </c>
      <c r="H113" s="2">
        <v>27</v>
      </c>
      <c r="I113" s="2">
        <v>37</v>
      </c>
      <c r="J113" s="2">
        <v>4</v>
      </c>
      <c r="K113" s="2">
        <v>14</v>
      </c>
      <c r="L113" s="2">
        <v>1</v>
      </c>
      <c r="M113" s="2" t="s">
        <v>7</v>
      </c>
    </row>
    <row r="114" spans="1:13">
      <c r="A114" s="2">
        <f t="shared" ca="1" si="1"/>
        <v>52</v>
      </c>
      <c r="B114" s="2" cm="1">
        <f t="array" aca="1" ref="B114" ca="1">INDEX(Data_DBD!$B:$B,$A114)</f>
        <v>59</v>
      </c>
      <c r="C114" s="2" cm="1">
        <f t="array" aca="1" ref="C114" ca="1">INDEX(Data_DBD!$C:$C,$A114)</f>
        <v>4</v>
      </c>
      <c r="D114" s="2" cm="1">
        <f t="array" aca="1" ref="D114" ca="1">INDEX(Data_DBD!$D:$D,$A114)</f>
        <v>15</v>
      </c>
      <c r="E114" s="2" cm="1">
        <f t="array" aca="1" ref="E114" ca="1">INDEX(Data_DBD!$E:$E,$A114)</f>
        <v>1</v>
      </c>
      <c r="F114" s="2" t="str" cm="1">
        <f t="array" aca="1" ref="F114" ca="1">INDEX(Data_DBD!$F:$F,$A114)</f>
        <v>Sedang</v>
      </c>
      <c r="H114" s="2">
        <v>84</v>
      </c>
      <c r="I114" s="2">
        <v>42</v>
      </c>
      <c r="J114" s="2">
        <v>4</v>
      </c>
      <c r="K114" s="2">
        <v>13</v>
      </c>
      <c r="L114" s="2">
        <v>1</v>
      </c>
      <c r="M114" s="2" t="s">
        <v>7</v>
      </c>
    </row>
    <row r="115" spans="1:13">
      <c r="A115" s="2">
        <f t="shared" ca="1" si="1"/>
        <v>142</v>
      </c>
      <c r="B115" s="2" cm="1">
        <f t="array" aca="1" ref="B115" ca="1">INDEX(Data_DBD!$B:$B,$A115)</f>
        <v>39</v>
      </c>
      <c r="C115" s="2" cm="1">
        <f t="array" aca="1" ref="C115" ca="1">INDEX(Data_DBD!$C:$C,$A115)</f>
        <v>2</v>
      </c>
      <c r="D115" s="2" cm="1">
        <f t="array" aca="1" ref="D115" ca="1">INDEX(Data_DBD!$D:$D,$A115)</f>
        <v>21</v>
      </c>
      <c r="E115" s="2" cm="1">
        <f t="array" aca="1" ref="E115" ca="1">INDEX(Data_DBD!$E:$E,$A115)</f>
        <v>1</v>
      </c>
      <c r="F115" s="2" t="str" cm="1">
        <f t="array" aca="1" ref="F115" ca="1">INDEX(Data_DBD!$F:$F,$A115)</f>
        <v>Tinggi</v>
      </c>
      <c r="H115" s="2">
        <v>35</v>
      </c>
      <c r="I115" s="2">
        <v>40</v>
      </c>
      <c r="J115" s="2">
        <v>3</v>
      </c>
      <c r="K115" s="2">
        <v>4</v>
      </c>
      <c r="L115" s="2">
        <v>1</v>
      </c>
      <c r="M115" s="2" t="s">
        <v>20</v>
      </c>
    </row>
    <row r="116" spans="1:13">
      <c r="A116" s="2">
        <f t="shared" ca="1" si="1"/>
        <v>24</v>
      </c>
      <c r="B116" s="2" cm="1">
        <f t="array" aca="1" ref="B116" ca="1">INDEX(Data_DBD!$B:$B,$A116)</f>
        <v>60</v>
      </c>
      <c r="C116" s="2" cm="1">
        <f t="array" aca="1" ref="C116" ca="1">INDEX(Data_DBD!$C:$C,$A116)</f>
        <v>4</v>
      </c>
      <c r="D116" s="2" cm="1">
        <f t="array" aca="1" ref="D116" ca="1">INDEX(Data_DBD!$D:$D,$A116)</f>
        <v>14</v>
      </c>
      <c r="E116" s="2" cm="1">
        <f t="array" aca="1" ref="E116" ca="1">INDEX(Data_DBD!$E:$E,$A116)</f>
        <v>0</v>
      </c>
      <c r="F116" s="2" t="str" cm="1">
        <f t="array" aca="1" ref="F116" ca="1">INDEX(Data_DBD!$F:$F,$A116)</f>
        <v>Sedang</v>
      </c>
      <c r="H116" s="2">
        <v>78</v>
      </c>
      <c r="I116" s="2">
        <v>6</v>
      </c>
      <c r="J116" s="2">
        <v>3</v>
      </c>
      <c r="K116" s="2">
        <v>13</v>
      </c>
      <c r="L116" s="2">
        <v>0</v>
      </c>
      <c r="M116" s="2" t="s">
        <v>7</v>
      </c>
    </row>
    <row r="117" spans="1:13">
      <c r="A117" s="2">
        <f t="shared" ca="1" si="1"/>
        <v>155</v>
      </c>
      <c r="B117" s="2" cm="1">
        <f t="array" aca="1" ref="B117" ca="1">INDEX(Data_DBD!$B:$B,$A117)</f>
        <v>19</v>
      </c>
      <c r="C117" s="2" cm="1">
        <f t="array" aca="1" ref="C117" ca="1">INDEX(Data_DBD!$C:$C,$A117)</f>
        <v>5</v>
      </c>
      <c r="D117" s="2" cm="1">
        <f t="array" aca="1" ref="D117" ca="1">INDEX(Data_DBD!$D:$D,$A117)</f>
        <v>21</v>
      </c>
      <c r="E117" s="2" cm="1">
        <f t="array" aca="1" ref="E117" ca="1">INDEX(Data_DBD!$E:$E,$A117)</f>
        <v>1</v>
      </c>
      <c r="F117" s="2" t="str" cm="1">
        <f t="array" aca="1" ref="F117" ca="1">INDEX(Data_DBD!$F:$F,$A117)</f>
        <v>Tinggi</v>
      </c>
      <c r="H117" s="2">
        <v>28</v>
      </c>
      <c r="I117" s="2">
        <v>22</v>
      </c>
      <c r="J117" s="2">
        <v>2</v>
      </c>
      <c r="K117" s="2">
        <v>14</v>
      </c>
      <c r="L117" s="2">
        <v>1</v>
      </c>
      <c r="M117" s="2" t="s">
        <v>7</v>
      </c>
    </row>
    <row r="118" spans="1:13">
      <c r="A118" s="2">
        <f t="shared" ca="1" si="1"/>
        <v>26</v>
      </c>
      <c r="B118" s="2" cm="1">
        <f t="array" aca="1" ref="B118" ca="1">INDEX(Data_DBD!$B:$B,$A118)</f>
        <v>75</v>
      </c>
      <c r="C118" s="2" cm="1">
        <f t="array" aca="1" ref="C118" ca="1">INDEX(Data_DBD!$C:$C,$A118)</f>
        <v>4</v>
      </c>
      <c r="D118" s="2" cm="1">
        <f t="array" aca="1" ref="D118" ca="1">INDEX(Data_DBD!$D:$D,$A118)</f>
        <v>14</v>
      </c>
      <c r="E118" s="2" cm="1">
        <f t="array" aca="1" ref="E118" ca="1">INDEX(Data_DBD!$E:$E,$A118)</f>
        <v>1</v>
      </c>
      <c r="F118" s="2" t="str" cm="1">
        <f t="array" aca="1" ref="F118" ca="1">INDEX(Data_DBD!$F:$F,$A118)</f>
        <v>Sedang</v>
      </c>
      <c r="H118" s="2">
        <v>100</v>
      </c>
      <c r="I118" s="2">
        <v>19</v>
      </c>
      <c r="J118" s="2">
        <v>6</v>
      </c>
      <c r="K118" s="2">
        <v>18</v>
      </c>
      <c r="L118" s="2">
        <v>0</v>
      </c>
      <c r="M118" s="2" t="s">
        <v>97</v>
      </c>
    </row>
    <row r="119" spans="1:13">
      <c r="A119" s="2">
        <f t="shared" ca="1" si="1"/>
        <v>120</v>
      </c>
      <c r="B119" s="2" cm="1">
        <f t="array" aca="1" ref="B119" ca="1">INDEX(Data_DBD!$B:$B,$A119)</f>
        <v>26</v>
      </c>
      <c r="C119" s="2" cm="1">
        <f t="array" aca="1" ref="C119" ca="1">INDEX(Data_DBD!$C:$C,$A119)</f>
        <v>4</v>
      </c>
      <c r="D119" s="2" cm="1">
        <f t="array" aca="1" ref="D119" ca="1">INDEX(Data_DBD!$D:$D,$A119)</f>
        <v>33</v>
      </c>
      <c r="E119" s="2" cm="1">
        <f t="array" aca="1" ref="E119" ca="1">INDEX(Data_DBD!$E:$E,$A119)</f>
        <v>1</v>
      </c>
      <c r="F119" s="2" t="str" cm="1">
        <f t="array" aca="1" ref="F119" ca="1">INDEX(Data_DBD!$F:$F,$A119)</f>
        <v>Tinggi</v>
      </c>
      <c r="H119" s="2">
        <v>13</v>
      </c>
      <c r="I119" s="2">
        <v>47</v>
      </c>
      <c r="J119" s="2">
        <v>2</v>
      </c>
      <c r="K119" s="2">
        <v>12</v>
      </c>
      <c r="L119" s="2">
        <v>0</v>
      </c>
      <c r="M119" s="2" t="s">
        <v>7</v>
      </c>
    </row>
    <row r="120" spans="1:13">
      <c r="A120" s="2">
        <f t="shared" ca="1" si="1"/>
        <v>155</v>
      </c>
      <c r="B120" s="2" cm="1">
        <f t="array" aca="1" ref="B120" ca="1">INDEX(Data_DBD!$B:$B,$A120)</f>
        <v>19</v>
      </c>
      <c r="C120" s="2" cm="1">
        <f t="array" aca="1" ref="C120" ca="1">INDEX(Data_DBD!$C:$C,$A120)</f>
        <v>5</v>
      </c>
      <c r="D120" s="2" cm="1">
        <f t="array" aca="1" ref="D120" ca="1">INDEX(Data_DBD!$D:$D,$A120)</f>
        <v>21</v>
      </c>
      <c r="E120" s="2" cm="1">
        <f t="array" aca="1" ref="E120" ca="1">INDEX(Data_DBD!$E:$E,$A120)</f>
        <v>1</v>
      </c>
      <c r="F120" s="2" t="str" cm="1">
        <f t="array" aca="1" ref="F120" ca="1">INDEX(Data_DBD!$F:$F,$A120)</f>
        <v>Tinggi</v>
      </c>
      <c r="H120" s="2">
        <v>159</v>
      </c>
      <c r="I120" s="2">
        <v>17</v>
      </c>
      <c r="J120" s="2">
        <v>2</v>
      </c>
      <c r="K120" s="2">
        <v>21</v>
      </c>
      <c r="L120" s="2">
        <v>0</v>
      </c>
      <c r="M120" s="2" t="s">
        <v>97</v>
      </c>
    </row>
    <row r="121" spans="1:13">
      <c r="A121" s="2">
        <f t="shared" ca="1" si="1"/>
        <v>59</v>
      </c>
      <c r="B121" s="2" cm="1">
        <f t="array" aca="1" ref="B121" ca="1">INDEX(Data_DBD!$B:$B,$A121)</f>
        <v>28</v>
      </c>
      <c r="C121" s="2" cm="1">
        <f t="array" aca="1" ref="C121" ca="1">INDEX(Data_DBD!$C:$C,$A121)</f>
        <v>4</v>
      </c>
      <c r="D121" s="2" cm="1">
        <f t="array" aca="1" ref="D121" ca="1">INDEX(Data_DBD!$D:$D,$A121)</f>
        <v>15</v>
      </c>
      <c r="E121" s="2" cm="1">
        <f t="array" aca="1" ref="E121" ca="1">INDEX(Data_DBD!$E:$E,$A121)</f>
        <v>0</v>
      </c>
      <c r="F121" s="2" t="str" cm="1">
        <f t="array" aca="1" ref="F121" ca="1">INDEX(Data_DBD!$F:$F,$A121)</f>
        <v>Sedang</v>
      </c>
      <c r="H121" s="2">
        <v>116</v>
      </c>
      <c r="I121" s="2">
        <v>32</v>
      </c>
      <c r="J121" s="2">
        <v>4</v>
      </c>
      <c r="K121" s="2">
        <v>33</v>
      </c>
      <c r="L121" s="2">
        <v>1</v>
      </c>
      <c r="M121" s="2" t="s">
        <v>97</v>
      </c>
    </row>
    <row r="122" spans="1:13">
      <c r="A122" s="2">
        <f t="shared" ca="1" si="1"/>
        <v>159</v>
      </c>
      <c r="B122" s="2" cm="1">
        <f t="array" aca="1" ref="B122" ca="1">INDEX(Data_DBD!$B:$B,$A122)</f>
        <v>17</v>
      </c>
      <c r="C122" s="2" cm="1">
        <f t="array" aca="1" ref="C122" ca="1">INDEX(Data_DBD!$C:$C,$A122)</f>
        <v>2</v>
      </c>
      <c r="D122" s="2" cm="1">
        <f t="array" aca="1" ref="D122" ca="1">INDEX(Data_DBD!$D:$D,$A122)</f>
        <v>21</v>
      </c>
      <c r="E122" s="2" cm="1">
        <f t="array" aca="1" ref="E122" ca="1">INDEX(Data_DBD!$E:$E,$A122)</f>
        <v>0</v>
      </c>
      <c r="F122" s="2" t="str" cm="1">
        <f t="array" aca="1" ref="F122" ca="1">INDEX(Data_DBD!$F:$F,$A122)</f>
        <v>Tinggi</v>
      </c>
      <c r="H122" s="2">
        <v>86</v>
      </c>
      <c r="I122" s="2">
        <v>23</v>
      </c>
      <c r="J122" s="2">
        <v>3</v>
      </c>
      <c r="K122" s="2">
        <v>13</v>
      </c>
      <c r="L122" s="2">
        <v>0</v>
      </c>
      <c r="M122" s="2" t="s">
        <v>7</v>
      </c>
    </row>
    <row r="123" spans="1:13">
      <c r="A123" s="2">
        <f t="shared" ca="1" si="1"/>
        <v>155</v>
      </c>
      <c r="B123" s="2" cm="1">
        <f t="array" aca="1" ref="B123" ca="1">INDEX(Data_DBD!$B:$B,$A123)</f>
        <v>19</v>
      </c>
      <c r="C123" s="2" cm="1">
        <f t="array" aca="1" ref="C123" ca="1">INDEX(Data_DBD!$C:$C,$A123)</f>
        <v>5</v>
      </c>
      <c r="D123" s="2" cm="1">
        <f t="array" aca="1" ref="D123" ca="1">INDEX(Data_DBD!$D:$D,$A123)</f>
        <v>21</v>
      </c>
      <c r="E123" s="2" cm="1">
        <f t="array" aca="1" ref="E123" ca="1">INDEX(Data_DBD!$E:$E,$A123)</f>
        <v>1</v>
      </c>
      <c r="F123" s="2" t="str" cm="1">
        <f t="array" aca="1" ref="F123" ca="1">INDEX(Data_DBD!$F:$F,$A123)</f>
        <v>Tinggi</v>
      </c>
      <c r="H123" s="2">
        <v>52</v>
      </c>
      <c r="I123" s="2">
        <v>59</v>
      </c>
      <c r="J123" s="2">
        <v>4</v>
      </c>
      <c r="K123" s="2">
        <v>15</v>
      </c>
      <c r="L123" s="2">
        <v>1</v>
      </c>
      <c r="M123" s="2" t="s">
        <v>7</v>
      </c>
    </row>
    <row r="124" spans="1:13">
      <c r="A124" s="2">
        <f t="shared" ca="1" si="1"/>
        <v>72</v>
      </c>
      <c r="B124" s="2" cm="1">
        <f t="array" aca="1" ref="B124" ca="1">INDEX(Data_DBD!$B:$B,$A124)</f>
        <v>3</v>
      </c>
      <c r="C124" s="2" cm="1">
        <f t="array" aca="1" ref="C124" ca="1">INDEX(Data_DBD!$C:$C,$A124)</f>
        <v>5</v>
      </c>
      <c r="D124" s="2" cm="1">
        <f t="array" aca="1" ref="D124" ca="1">INDEX(Data_DBD!$D:$D,$A124)</f>
        <v>10</v>
      </c>
      <c r="E124" s="2" cm="1">
        <f t="array" aca="1" ref="E124" ca="1">INDEX(Data_DBD!$E:$E,$A124)</f>
        <v>1</v>
      </c>
      <c r="F124" s="2" t="str" cm="1">
        <f t="array" aca="1" ref="F124" ca="1">INDEX(Data_DBD!$F:$F,$A124)</f>
        <v>Sedang</v>
      </c>
      <c r="H124" s="2">
        <v>91</v>
      </c>
      <c r="I124" s="2">
        <v>35</v>
      </c>
      <c r="J124" s="2">
        <v>1</v>
      </c>
      <c r="K124" s="2">
        <v>18</v>
      </c>
      <c r="L124" s="2">
        <v>1</v>
      </c>
      <c r="M124" s="2" t="s">
        <v>97</v>
      </c>
    </row>
    <row r="125" spans="1:13">
      <c r="A125" s="2">
        <f t="shared" ca="1" si="1"/>
        <v>93</v>
      </c>
      <c r="B125" s="2" cm="1">
        <f t="array" aca="1" ref="B125" ca="1">INDEX(Data_DBD!$B:$B,$A125)</f>
        <v>65</v>
      </c>
      <c r="C125" s="2" cm="1">
        <f t="array" aca="1" ref="C125" ca="1">INDEX(Data_DBD!$C:$C,$A125)</f>
        <v>4</v>
      </c>
      <c r="D125" s="2" cm="1">
        <f t="array" aca="1" ref="D125" ca="1">INDEX(Data_DBD!$D:$D,$A125)</f>
        <v>18</v>
      </c>
      <c r="E125" s="2" cm="1">
        <f t="array" aca="1" ref="E125" ca="1">INDEX(Data_DBD!$E:$E,$A125)</f>
        <v>0</v>
      </c>
      <c r="F125" s="2" t="str" cm="1">
        <f t="array" aca="1" ref="F125" ca="1">INDEX(Data_DBD!$F:$F,$A125)</f>
        <v>Tinggi</v>
      </c>
      <c r="H125" s="2">
        <v>47</v>
      </c>
      <c r="I125" s="2">
        <v>19</v>
      </c>
      <c r="J125" s="2">
        <v>2</v>
      </c>
      <c r="K125" s="2">
        <v>13</v>
      </c>
      <c r="L125" s="2">
        <v>0</v>
      </c>
      <c r="M125" s="2" t="s">
        <v>7</v>
      </c>
    </row>
    <row r="126" spans="1:13">
      <c r="A126" s="2">
        <f t="shared" ca="1" si="1"/>
        <v>45</v>
      </c>
      <c r="B126" s="2" cm="1">
        <f t="array" aca="1" ref="B126" ca="1">INDEX(Data_DBD!$B:$B,$A126)</f>
        <v>75</v>
      </c>
      <c r="C126" s="2" cm="1">
        <f t="array" aca="1" ref="C126" ca="1">INDEX(Data_DBD!$C:$C,$A126)</f>
        <v>3</v>
      </c>
      <c r="D126" s="2" cm="1">
        <f t="array" aca="1" ref="D126" ca="1">INDEX(Data_DBD!$D:$D,$A126)</f>
        <v>13</v>
      </c>
      <c r="E126" s="2" cm="1">
        <f t="array" aca="1" ref="E126" ca="1">INDEX(Data_DBD!$E:$E,$A126)</f>
        <v>1</v>
      </c>
      <c r="F126" s="2" t="str" cm="1">
        <f t="array" aca="1" ref="F126" ca="1">INDEX(Data_DBD!$F:$F,$A126)</f>
        <v>Sedang</v>
      </c>
      <c r="H126" s="2">
        <v>56</v>
      </c>
      <c r="I126" s="2">
        <v>4</v>
      </c>
      <c r="J126" s="2">
        <v>3</v>
      </c>
      <c r="K126" s="2">
        <v>15</v>
      </c>
      <c r="L126" s="2">
        <v>0</v>
      </c>
      <c r="M126" s="2" t="s">
        <v>7</v>
      </c>
    </row>
    <row r="127" spans="1:13">
      <c r="A127" s="2">
        <f t="shared" ca="1" si="1"/>
        <v>97</v>
      </c>
      <c r="B127" s="2" cm="1">
        <f t="array" aca="1" ref="B127" ca="1">INDEX(Data_DBD!$B:$B,$A127)</f>
        <v>16</v>
      </c>
      <c r="C127" s="2" cm="1">
        <f t="array" aca="1" ref="C127" ca="1">INDEX(Data_DBD!$C:$C,$A127)</f>
        <v>2</v>
      </c>
      <c r="D127" s="2" cm="1">
        <f t="array" aca="1" ref="D127" ca="1">INDEX(Data_DBD!$D:$D,$A127)</f>
        <v>18</v>
      </c>
      <c r="E127" s="2" cm="1">
        <f t="array" aca="1" ref="E127" ca="1">INDEX(Data_DBD!$E:$E,$A127)</f>
        <v>1</v>
      </c>
      <c r="F127" s="2" t="str" cm="1">
        <f t="array" aca="1" ref="F127" ca="1">INDEX(Data_DBD!$F:$F,$A127)</f>
        <v>Tinggi</v>
      </c>
      <c r="H127" s="2">
        <v>97</v>
      </c>
      <c r="I127" s="2">
        <v>16</v>
      </c>
      <c r="J127" s="2">
        <v>2</v>
      </c>
      <c r="K127" s="2">
        <v>18</v>
      </c>
      <c r="L127" s="2">
        <v>1</v>
      </c>
      <c r="M127" s="2" t="s">
        <v>97</v>
      </c>
    </row>
    <row r="128" spans="1:13">
      <c r="A128" s="2">
        <f t="shared" ca="1" si="1"/>
        <v>121</v>
      </c>
      <c r="B128" s="2" cm="1">
        <f t="array" aca="1" ref="B128" ca="1">INDEX(Data_DBD!$B:$B,$A128)</f>
        <v>82</v>
      </c>
      <c r="C128" s="2" cm="1">
        <f t="array" aca="1" ref="C128" ca="1">INDEX(Data_DBD!$C:$C,$A128)</f>
        <v>5</v>
      </c>
      <c r="D128" s="2" cm="1">
        <f t="array" aca="1" ref="D128" ca="1">INDEX(Data_DBD!$D:$D,$A128)</f>
        <v>33</v>
      </c>
      <c r="E128" s="2" cm="1">
        <f t="array" aca="1" ref="E128" ca="1">INDEX(Data_DBD!$E:$E,$A128)</f>
        <v>1</v>
      </c>
      <c r="F128" s="2" t="str" cm="1">
        <f t="array" aca="1" ref="F128" ca="1">INDEX(Data_DBD!$F:$F,$A128)</f>
        <v>Tinggi</v>
      </c>
      <c r="H128" s="2">
        <v>96</v>
      </c>
      <c r="I128" s="2">
        <v>56</v>
      </c>
      <c r="J128" s="2">
        <v>4</v>
      </c>
      <c r="K128" s="2">
        <v>18</v>
      </c>
      <c r="L128" s="2">
        <v>0</v>
      </c>
      <c r="M128" s="2" t="s">
        <v>97</v>
      </c>
    </row>
    <row r="129" spans="1:13">
      <c r="A129" s="2">
        <f t="shared" ca="1" si="1"/>
        <v>31</v>
      </c>
      <c r="B129" s="2" cm="1">
        <f t="array" aca="1" ref="B129" ca="1">INDEX(Data_DBD!$B:$B,$A129)</f>
        <v>64</v>
      </c>
      <c r="C129" s="2" cm="1">
        <f t="array" aca="1" ref="C129" ca="1">INDEX(Data_DBD!$C:$C,$A129)</f>
        <v>4</v>
      </c>
      <c r="D129" s="2" cm="1">
        <f t="array" aca="1" ref="D129" ca="1">INDEX(Data_DBD!$D:$D,$A129)</f>
        <v>14</v>
      </c>
      <c r="E129" s="2" cm="1">
        <f t="array" aca="1" ref="E129" ca="1">INDEX(Data_DBD!$E:$E,$A129)</f>
        <v>1</v>
      </c>
      <c r="F129" s="2" t="str" cm="1">
        <f t="array" aca="1" ref="F129" ca="1">INDEX(Data_DBD!$F:$F,$A129)</f>
        <v>Sedang</v>
      </c>
      <c r="H129" s="2">
        <v>20</v>
      </c>
      <c r="I129" s="2">
        <v>15</v>
      </c>
      <c r="J129" s="2">
        <v>5</v>
      </c>
      <c r="K129" s="2">
        <v>7</v>
      </c>
      <c r="L129" s="2">
        <v>0</v>
      </c>
      <c r="M129" s="2" t="s">
        <v>20</v>
      </c>
    </row>
    <row r="130" spans="1:13">
      <c r="A130" s="2">
        <f t="shared" ca="1" si="1"/>
        <v>154</v>
      </c>
      <c r="B130" s="2" cm="1">
        <f t="array" aca="1" ref="B130" ca="1">INDEX(Data_DBD!$B:$B,$A130)</f>
        <v>18</v>
      </c>
      <c r="C130" s="2" cm="1">
        <f t="array" aca="1" ref="C130" ca="1">INDEX(Data_DBD!$C:$C,$A130)</f>
        <v>5</v>
      </c>
      <c r="D130" s="2" cm="1">
        <f t="array" aca="1" ref="D130" ca="1">INDEX(Data_DBD!$D:$D,$A130)</f>
        <v>21</v>
      </c>
      <c r="E130" s="2" cm="1">
        <f t="array" aca="1" ref="E130" ca="1">INDEX(Data_DBD!$E:$E,$A130)</f>
        <v>1</v>
      </c>
      <c r="F130" s="2" t="str" cm="1">
        <f t="array" aca="1" ref="F130" ca="1">INDEX(Data_DBD!$F:$F,$A130)</f>
        <v>Tinggi</v>
      </c>
      <c r="H130" s="2">
        <v>119</v>
      </c>
      <c r="I130" s="2">
        <v>30</v>
      </c>
      <c r="J130" s="2">
        <v>7</v>
      </c>
      <c r="K130" s="2">
        <v>33</v>
      </c>
      <c r="L130" s="2">
        <v>0</v>
      </c>
      <c r="M130" s="2" t="s">
        <v>97</v>
      </c>
    </row>
    <row r="131" spans="1:13">
      <c r="A131" s="2">
        <f t="shared" ref="A131:A164" ca="1" si="2">RANDBETWEEN(2,164)</f>
        <v>45</v>
      </c>
      <c r="B131" s="2" cm="1">
        <f t="array" aca="1" ref="B131" ca="1">INDEX(Data_DBD!$B:$B,$A131)</f>
        <v>75</v>
      </c>
      <c r="C131" s="2" cm="1">
        <f t="array" aca="1" ref="C131" ca="1">INDEX(Data_DBD!$C:$C,$A131)</f>
        <v>3</v>
      </c>
      <c r="D131" s="2" cm="1">
        <f t="array" aca="1" ref="D131" ca="1">INDEX(Data_DBD!$D:$D,$A131)</f>
        <v>13</v>
      </c>
      <c r="E131" s="2" cm="1">
        <f t="array" aca="1" ref="E131" ca="1">INDEX(Data_DBD!$E:$E,$A131)</f>
        <v>1</v>
      </c>
      <c r="F131" s="2" t="str" cm="1">
        <f t="array" aca="1" ref="F131" ca="1">INDEX(Data_DBD!$F:$F,$A131)</f>
        <v>Sedang</v>
      </c>
      <c r="H131" s="2">
        <v>58</v>
      </c>
      <c r="I131" s="2">
        <v>17</v>
      </c>
      <c r="J131" s="2">
        <v>3</v>
      </c>
      <c r="K131" s="2">
        <v>15</v>
      </c>
      <c r="L131" s="2">
        <v>0</v>
      </c>
      <c r="M131" s="2" t="s">
        <v>7</v>
      </c>
    </row>
    <row r="132" spans="1:13">
      <c r="A132" s="2">
        <f t="shared" ca="1" si="2"/>
        <v>152</v>
      </c>
      <c r="B132" s="2" cm="1">
        <f t="array" aca="1" ref="B132" ca="1">INDEX(Data_DBD!$B:$B,$A132)</f>
        <v>47</v>
      </c>
      <c r="C132" s="2" cm="1">
        <f t="array" aca="1" ref="C132" ca="1">INDEX(Data_DBD!$C:$C,$A132)</f>
        <v>3</v>
      </c>
      <c r="D132" s="2" cm="1">
        <f t="array" aca="1" ref="D132" ca="1">INDEX(Data_DBD!$D:$D,$A132)</f>
        <v>21</v>
      </c>
      <c r="E132" s="2" cm="1">
        <f t="array" aca="1" ref="E132" ca="1">INDEX(Data_DBD!$E:$E,$A132)</f>
        <v>1</v>
      </c>
      <c r="F132" s="2" t="str" cm="1">
        <f t="array" aca="1" ref="F132" ca="1">INDEX(Data_DBD!$F:$F,$A132)</f>
        <v>Tinggi</v>
      </c>
      <c r="H132" s="2">
        <v>138</v>
      </c>
      <c r="I132" s="2">
        <v>13</v>
      </c>
      <c r="J132" s="2">
        <v>3</v>
      </c>
      <c r="K132" s="2">
        <v>33</v>
      </c>
      <c r="L132" s="2">
        <v>1</v>
      </c>
      <c r="M132" s="2" t="s">
        <v>97</v>
      </c>
    </row>
    <row r="133" spans="1:13">
      <c r="A133" s="2">
        <f t="shared" ca="1" si="2"/>
        <v>130</v>
      </c>
      <c r="B133" s="2" cm="1">
        <f t="array" aca="1" ref="B133" ca="1">INDEX(Data_DBD!$B:$B,$A133)</f>
        <v>12</v>
      </c>
      <c r="C133" s="2" cm="1">
        <f t="array" aca="1" ref="C133" ca="1">INDEX(Data_DBD!$C:$C,$A133)</f>
        <v>4</v>
      </c>
      <c r="D133" s="2" cm="1">
        <f t="array" aca="1" ref="D133" ca="1">INDEX(Data_DBD!$D:$D,$A133)</f>
        <v>33</v>
      </c>
      <c r="E133" s="2" cm="1">
        <f t="array" aca="1" ref="E133" ca="1">INDEX(Data_DBD!$E:$E,$A133)</f>
        <v>0</v>
      </c>
      <c r="F133" s="2" t="str" cm="1">
        <f t="array" aca="1" ref="F133" ca="1">INDEX(Data_DBD!$F:$F,$A133)</f>
        <v>Tinggi</v>
      </c>
      <c r="H133" s="2">
        <v>5</v>
      </c>
      <c r="I133" s="2">
        <v>18</v>
      </c>
      <c r="J133" s="2">
        <v>2</v>
      </c>
      <c r="K133" s="2">
        <v>12</v>
      </c>
      <c r="L133" s="2">
        <v>1</v>
      </c>
      <c r="M133" s="2" t="s">
        <v>7</v>
      </c>
    </row>
    <row r="134" spans="1:13">
      <c r="A134" s="2">
        <f t="shared" ca="1" si="2"/>
        <v>76</v>
      </c>
      <c r="B134" s="2" cm="1">
        <f t="array" aca="1" ref="B134" ca="1">INDEX(Data_DBD!$B:$B,$A134)</f>
        <v>70</v>
      </c>
      <c r="C134" s="2" cm="1">
        <f t="array" aca="1" ref="C134" ca="1">INDEX(Data_DBD!$C:$C,$A134)</f>
        <v>2</v>
      </c>
      <c r="D134" s="2" cm="1">
        <f t="array" aca="1" ref="D134" ca="1">INDEX(Data_DBD!$D:$D,$A134)</f>
        <v>10</v>
      </c>
      <c r="E134" s="2" cm="1">
        <f t="array" aca="1" ref="E134" ca="1">INDEX(Data_DBD!$E:$E,$A134)</f>
        <v>0</v>
      </c>
      <c r="F134" s="2" t="str" cm="1">
        <f t="array" aca="1" ref="F134" ca="1">INDEX(Data_DBD!$F:$F,$A134)</f>
        <v>Sedang</v>
      </c>
      <c r="H134" s="2">
        <v>36</v>
      </c>
      <c r="I134" s="2">
        <v>27</v>
      </c>
      <c r="J134" s="2">
        <v>1</v>
      </c>
      <c r="K134" s="2">
        <v>4</v>
      </c>
      <c r="L134" s="2">
        <v>1</v>
      </c>
      <c r="M134" s="2" t="s">
        <v>20</v>
      </c>
    </row>
    <row r="135" spans="1:13">
      <c r="A135" s="2">
        <f t="shared" ca="1" si="2"/>
        <v>164</v>
      </c>
      <c r="B135" s="2" cm="1">
        <f t="array" aca="1" ref="B135" ca="1">INDEX(Data_DBD!$B:$B,$A135)</f>
        <v>10</v>
      </c>
      <c r="C135" s="2" cm="1">
        <f t="array" aca="1" ref="C135" ca="1">INDEX(Data_DBD!$C:$C,$A135)</f>
        <v>6</v>
      </c>
      <c r="D135" s="2" cm="1">
        <f t="array" aca="1" ref="D135" ca="1">INDEX(Data_DBD!$D:$D,$A135)</f>
        <v>3</v>
      </c>
      <c r="E135" s="2" cm="1">
        <f t="array" aca="1" ref="E135" ca="1">INDEX(Data_DBD!$E:$E,$A135)</f>
        <v>0</v>
      </c>
      <c r="F135" s="2" t="str" cm="1">
        <f t="array" aca="1" ref="F135" ca="1">INDEX(Data_DBD!$F:$F,$A135)</f>
        <v>Rendah</v>
      </c>
      <c r="H135" s="2">
        <v>11</v>
      </c>
      <c r="I135" s="2">
        <v>24</v>
      </c>
      <c r="J135" s="2">
        <v>5</v>
      </c>
      <c r="K135" s="2">
        <v>12</v>
      </c>
      <c r="L135" s="2">
        <v>1</v>
      </c>
      <c r="M135" s="2" t="s">
        <v>7</v>
      </c>
    </row>
    <row r="136" spans="1:13">
      <c r="A136" s="2">
        <f t="shared" ca="1" si="2"/>
        <v>28</v>
      </c>
      <c r="B136" s="2" cm="1">
        <f t="array" aca="1" ref="B136" ca="1">INDEX(Data_DBD!$B:$B,$A136)</f>
        <v>22</v>
      </c>
      <c r="C136" s="2" cm="1">
        <f t="array" aca="1" ref="C136" ca="1">INDEX(Data_DBD!$C:$C,$A136)</f>
        <v>2</v>
      </c>
      <c r="D136" s="2" cm="1">
        <f t="array" aca="1" ref="D136" ca="1">INDEX(Data_DBD!$D:$D,$A136)</f>
        <v>14</v>
      </c>
      <c r="E136" s="2" cm="1">
        <f t="array" aca="1" ref="E136" ca="1">INDEX(Data_DBD!$E:$E,$A136)</f>
        <v>1</v>
      </c>
      <c r="F136" s="2" t="str" cm="1">
        <f t="array" aca="1" ref="F136" ca="1">INDEX(Data_DBD!$F:$F,$A136)</f>
        <v>Sedang</v>
      </c>
      <c r="H136" s="2">
        <v>11</v>
      </c>
      <c r="I136" s="2">
        <v>24</v>
      </c>
      <c r="J136" s="2">
        <v>5</v>
      </c>
      <c r="K136" s="2">
        <v>12</v>
      </c>
      <c r="L136" s="2">
        <v>1</v>
      </c>
      <c r="M136" s="2" t="s">
        <v>7</v>
      </c>
    </row>
    <row r="137" spans="1:13">
      <c r="A137" s="2">
        <f t="shared" ca="1" si="2"/>
        <v>3</v>
      </c>
      <c r="B137" s="2" cm="1">
        <f t="array" aca="1" ref="B137" ca="1">INDEX(Data_DBD!$B:$B,$A137)</f>
        <v>43</v>
      </c>
      <c r="C137" s="2" cm="1">
        <f t="array" aca="1" ref="C137" ca="1">INDEX(Data_DBD!$C:$C,$A137)</f>
        <v>3</v>
      </c>
      <c r="D137" s="2" cm="1">
        <f t="array" aca="1" ref="D137" ca="1">INDEX(Data_DBD!$D:$D,$A137)</f>
        <v>12</v>
      </c>
      <c r="E137" s="2" cm="1">
        <f t="array" aca="1" ref="E137" ca="1">INDEX(Data_DBD!$E:$E,$A137)</f>
        <v>1</v>
      </c>
      <c r="F137" s="2" t="str" cm="1">
        <f t="array" aca="1" ref="F137" ca="1">INDEX(Data_DBD!$F:$F,$A137)</f>
        <v>Sedang</v>
      </c>
      <c r="H137" s="2">
        <v>113</v>
      </c>
      <c r="I137" s="2">
        <v>69</v>
      </c>
      <c r="J137" s="2">
        <v>1</v>
      </c>
      <c r="K137" s="2">
        <v>33</v>
      </c>
      <c r="L137" s="2">
        <v>1</v>
      </c>
      <c r="M137" s="2" t="s">
        <v>97</v>
      </c>
    </row>
    <row r="138" spans="1:13">
      <c r="A138" s="2">
        <f t="shared" ca="1" si="2"/>
        <v>80</v>
      </c>
      <c r="B138" s="2" cm="1">
        <f t="array" aca="1" ref="B138" ca="1">INDEX(Data_DBD!$B:$B,$A138)</f>
        <v>27</v>
      </c>
      <c r="C138" s="2" cm="1">
        <f t="array" aca="1" ref="C138" ca="1">INDEX(Data_DBD!$C:$C,$A138)</f>
        <v>3</v>
      </c>
      <c r="D138" s="2" cm="1">
        <f t="array" aca="1" ref="D138" ca="1">INDEX(Data_DBD!$D:$D,$A138)</f>
        <v>13</v>
      </c>
      <c r="E138" s="2" cm="1">
        <f t="array" aca="1" ref="E138" ca="1">INDEX(Data_DBD!$E:$E,$A138)</f>
        <v>1</v>
      </c>
      <c r="F138" s="2" t="str" cm="1">
        <f t="array" aca="1" ref="F138" ca="1">INDEX(Data_DBD!$F:$F,$A138)</f>
        <v>Sedang</v>
      </c>
      <c r="H138" s="2">
        <v>57</v>
      </c>
      <c r="I138" s="2">
        <v>2</v>
      </c>
      <c r="J138" s="2">
        <v>2</v>
      </c>
      <c r="K138" s="2">
        <v>15</v>
      </c>
      <c r="L138" s="2">
        <v>1</v>
      </c>
      <c r="M138" s="2" t="s">
        <v>7</v>
      </c>
    </row>
    <row r="139" spans="1:13">
      <c r="A139" s="2">
        <f t="shared" ca="1" si="2"/>
        <v>95</v>
      </c>
      <c r="B139" s="2" cm="1">
        <f t="array" aca="1" ref="B139" ca="1">INDEX(Data_DBD!$B:$B,$A139)</f>
        <v>11</v>
      </c>
      <c r="C139" s="2" cm="1">
        <f t="array" aca="1" ref="C139" ca="1">INDEX(Data_DBD!$C:$C,$A139)</f>
        <v>3</v>
      </c>
      <c r="D139" s="2" cm="1">
        <f t="array" aca="1" ref="D139" ca="1">INDEX(Data_DBD!$D:$D,$A139)</f>
        <v>18</v>
      </c>
      <c r="E139" s="2" cm="1">
        <f t="array" aca="1" ref="E139" ca="1">INDEX(Data_DBD!$E:$E,$A139)</f>
        <v>1</v>
      </c>
      <c r="F139" s="2" t="str" cm="1">
        <f t="array" aca="1" ref="F139" ca="1">INDEX(Data_DBD!$F:$F,$A139)</f>
        <v>Tinggi</v>
      </c>
      <c r="H139" s="2">
        <v>162</v>
      </c>
      <c r="I139" s="2">
        <v>22</v>
      </c>
      <c r="J139" s="2">
        <v>3</v>
      </c>
      <c r="K139" s="2">
        <v>3</v>
      </c>
      <c r="L139" s="2">
        <v>1</v>
      </c>
      <c r="M139" s="2" t="s">
        <v>20</v>
      </c>
    </row>
    <row r="140" spans="1:13">
      <c r="A140" s="2">
        <f t="shared" ca="1" si="2"/>
        <v>116</v>
      </c>
      <c r="B140" s="2" cm="1">
        <f t="array" aca="1" ref="B140" ca="1">INDEX(Data_DBD!$B:$B,$A140)</f>
        <v>32</v>
      </c>
      <c r="C140" s="2" cm="1">
        <f t="array" aca="1" ref="C140" ca="1">INDEX(Data_DBD!$C:$C,$A140)</f>
        <v>4</v>
      </c>
      <c r="D140" s="2" cm="1">
        <f t="array" aca="1" ref="D140" ca="1">INDEX(Data_DBD!$D:$D,$A140)</f>
        <v>33</v>
      </c>
      <c r="E140" s="2" cm="1">
        <f t="array" aca="1" ref="E140" ca="1">INDEX(Data_DBD!$E:$E,$A140)</f>
        <v>1</v>
      </c>
      <c r="F140" s="2" t="str" cm="1">
        <f t="array" aca="1" ref="F140" ca="1">INDEX(Data_DBD!$F:$F,$A140)</f>
        <v>Tinggi</v>
      </c>
      <c r="H140" s="2">
        <v>92</v>
      </c>
      <c r="I140" s="2">
        <v>55</v>
      </c>
      <c r="J140" s="2">
        <v>7</v>
      </c>
      <c r="K140" s="2">
        <v>18</v>
      </c>
      <c r="L140" s="2">
        <v>0</v>
      </c>
      <c r="M140" s="2" t="s">
        <v>97</v>
      </c>
    </row>
    <row r="141" spans="1:13">
      <c r="A141" s="2">
        <f t="shared" ca="1" si="2"/>
        <v>88</v>
      </c>
      <c r="B141" s="2" cm="1">
        <f t="array" aca="1" ref="B141" ca="1">INDEX(Data_DBD!$B:$B,$A141)</f>
        <v>20</v>
      </c>
      <c r="C141" s="2" cm="1">
        <f t="array" aca="1" ref="C141" ca="1">INDEX(Data_DBD!$C:$C,$A141)</f>
        <v>4</v>
      </c>
      <c r="D141" s="2" cm="1">
        <f t="array" aca="1" ref="D141" ca="1">INDEX(Data_DBD!$D:$D,$A141)</f>
        <v>13</v>
      </c>
      <c r="E141" s="2" cm="1">
        <f t="array" aca="1" ref="E141" ca="1">INDEX(Data_DBD!$E:$E,$A141)</f>
        <v>1</v>
      </c>
      <c r="F141" s="2" t="str" cm="1">
        <f t="array" aca="1" ref="F141" ca="1">INDEX(Data_DBD!$F:$F,$A141)</f>
        <v>Sedang</v>
      </c>
      <c r="H141" s="2">
        <v>89</v>
      </c>
      <c r="I141" s="2">
        <v>32</v>
      </c>
      <c r="J141" s="2">
        <v>4</v>
      </c>
      <c r="K141" s="2">
        <v>13</v>
      </c>
      <c r="L141" s="2">
        <v>0</v>
      </c>
      <c r="M141" s="2" t="s">
        <v>7</v>
      </c>
    </row>
    <row r="142" spans="1:13">
      <c r="A142" s="2">
        <f t="shared" ca="1" si="2"/>
        <v>139</v>
      </c>
      <c r="B142" s="2" cm="1">
        <f t="array" aca="1" ref="B142" ca="1">INDEX(Data_DBD!$B:$B,$A142)</f>
        <v>52</v>
      </c>
      <c r="C142" s="2" cm="1">
        <f t="array" aca="1" ref="C142" ca="1">INDEX(Data_DBD!$C:$C,$A142)</f>
        <v>7</v>
      </c>
      <c r="D142" s="2" cm="1">
        <f t="array" aca="1" ref="D142" ca="1">INDEX(Data_DBD!$D:$D,$A142)</f>
        <v>21</v>
      </c>
      <c r="E142" s="2" cm="1">
        <f t="array" aca="1" ref="E142" ca="1">INDEX(Data_DBD!$E:$E,$A142)</f>
        <v>0</v>
      </c>
      <c r="F142" s="2" t="str" cm="1">
        <f t="array" aca="1" ref="F142" ca="1">INDEX(Data_DBD!$F:$F,$A142)</f>
        <v>Tinggi</v>
      </c>
      <c r="H142" s="2">
        <v>133</v>
      </c>
      <c r="I142" s="2">
        <v>6</v>
      </c>
      <c r="J142" s="2">
        <v>4</v>
      </c>
      <c r="K142" s="2">
        <v>33</v>
      </c>
      <c r="L142" s="2">
        <v>0</v>
      </c>
      <c r="M142" s="2" t="s">
        <v>97</v>
      </c>
    </row>
    <row r="143" spans="1:13">
      <c r="A143" s="2">
        <f t="shared" ca="1" si="2"/>
        <v>128</v>
      </c>
      <c r="B143" s="2" cm="1">
        <f t="array" aca="1" ref="B143" ca="1">INDEX(Data_DBD!$B:$B,$A143)</f>
        <v>38</v>
      </c>
      <c r="C143" s="2" cm="1">
        <f t="array" aca="1" ref="C143" ca="1">INDEX(Data_DBD!$C:$C,$A143)</f>
        <v>2</v>
      </c>
      <c r="D143" s="2" cm="1">
        <f t="array" aca="1" ref="D143" ca="1">INDEX(Data_DBD!$D:$D,$A143)</f>
        <v>33</v>
      </c>
      <c r="E143" s="2" cm="1">
        <f t="array" aca="1" ref="E143" ca="1">INDEX(Data_DBD!$E:$E,$A143)</f>
        <v>0</v>
      </c>
      <c r="F143" s="2" t="str" cm="1">
        <f t="array" aca="1" ref="F143" ca="1">INDEX(Data_DBD!$F:$F,$A143)</f>
        <v>Tinggi</v>
      </c>
      <c r="H143" s="2">
        <v>136</v>
      </c>
      <c r="I143" s="2">
        <v>6</v>
      </c>
      <c r="J143" s="2">
        <v>2</v>
      </c>
      <c r="K143" s="2">
        <v>33</v>
      </c>
      <c r="L143" s="2">
        <v>0</v>
      </c>
      <c r="M143" s="2" t="s">
        <v>97</v>
      </c>
    </row>
    <row r="144" spans="1:13">
      <c r="A144" s="2">
        <f t="shared" ca="1" si="2"/>
        <v>62</v>
      </c>
      <c r="B144" s="2" cm="1">
        <f t="array" aca="1" ref="B144" ca="1">INDEX(Data_DBD!$B:$B,$A144)</f>
        <v>43</v>
      </c>
      <c r="C144" s="2" cm="1">
        <f t="array" aca="1" ref="C144" ca="1">INDEX(Data_DBD!$C:$C,$A144)</f>
        <v>4</v>
      </c>
      <c r="D144" s="2" cm="1">
        <f t="array" aca="1" ref="D144" ca="1">INDEX(Data_DBD!$D:$D,$A144)</f>
        <v>15</v>
      </c>
      <c r="E144" s="2" cm="1">
        <f t="array" aca="1" ref="E144" ca="1">INDEX(Data_DBD!$E:$E,$A144)</f>
        <v>1</v>
      </c>
      <c r="F144" s="2" t="str" cm="1">
        <f t="array" aca="1" ref="F144" ca="1">INDEX(Data_DBD!$F:$F,$A144)</f>
        <v>Sedang</v>
      </c>
      <c r="H144" s="2">
        <v>76</v>
      </c>
      <c r="I144" s="2">
        <v>70</v>
      </c>
      <c r="J144" s="2">
        <v>2</v>
      </c>
      <c r="K144" s="2">
        <v>10</v>
      </c>
      <c r="L144" s="2">
        <v>0</v>
      </c>
      <c r="M144" s="2" t="s">
        <v>7</v>
      </c>
    </row>
    <row r="145" spans="1:13">
      <c r="A145" s="2">
        <f t="shared" ca="1" si="2"/>
        <v>45</v>
      </c>
      <c r="B145" s="2" cm="1">
        <f t="array" aca="1" ref="B145" ca="1">INDEX(Data_DBD!$B:$B,$A145)</f>
        <v>75</v>
      </c>
      <c r="C145" s="2" cm="1">
        <f t="array" aca="1" ref="C145" ca="1">INDEX(Data_DBD!$C:$C,$A145)</f>
        <v>3</v>
      </c>
      <c r="D145" s="2" cm="1">
        <f t="array" aca="1" ref="D145" ca="1">INDEX(Data_DBD!$D:$D,$A145)</f>
        <v>13</v>
      </c>
      <c r="E145" s="2" cm="1">
        <f t="array" aca="1" ref="E145" ca="1">INDEX(Data_DBD!$E:$E,$A145)</f>
        <v>1</v>
      </c>
      <c r="F145" s="2" t="str" cm="1">
        <f t="array" aca="1" ref="F145" ca="1">INDEX(Data_DBD!$F:$F,$A145)</f>
        <v>Sedang</v>
      </c>
      <c r="H145" s="2">
        <v>116</v>
      </c>
      <c r="I145" s="2">
        <v>32</v>
      </c>
      <c r="J145" s="2">
        <v>4</v>
      </c>
      <c r="K145" s="2">
        <v>33</v>
      </c>
      <c r="L145" s="2">
        <v>1</v>
      </c>
      <c r="M145" s="2" t="s">
        <v>97</v>
      </c>
    </row>
    <row r="146" spans="1:13">
      <c r="A146" s="2">
        <f t="shared" ca="1" si="2"/>
        <v>24</v>
      </c>
      <c r="B146" s="2" cm="1">
        <f t="array" aca="1" ref="B146" ca="1">INDEX(Data_DBD!$B:$B,$A146)</f>
        <v>60</v>
      </c>
      <c r="C146" s="2" cm="1">
        <f t="array" aca="1" ref="C146" ca="1">INDEX(Data_DBD!$C:$C,$A146)</f>
        <v>4</v>
      </c>
      <c r="D146" s="2" cm="1">
        <f t="array" aca="1" ref="D146" ca="1">INDEX(Data_DBD!$D:$D,$A146)</f>
        <v>14</v>
      </c>
      <c r="E146" s="2" cm="1">
        <f t="array" aca="1" ref="E146" ca="1">INDEX(Data_DBD!$E:$E,$A146)</f>
        <v>0</v>
      </c>
      <c r="F146" s="2" t="str" cm="1">
        <f t="array" aca="1" ref="F146" ca="1">INDEX(Data_DBD!$F:$F,$A146)</f>
        <v>Sedang</v>
      </c>
      <c r="H146" s="2">
        <v>25</v>
      </c>
      <c r="I146" s="2">
        <v>81</v>
      </c>
      <c r="J146" s="2">
        <v>5</v>
      </c>
      <c r="K146" s="2">
        <v>14</v>
      </c>
      <c r="L146" s="2">
        <v>0</v>
      </c>
      <c r="M146" s="2" t="s">
        <v>7</v>
      </c>
    </row>
    <row r="147" spans="1:13">
      <c r="A147" s="2">
        <f t="shared" ca="1" si="2"/>
        <v>54</v>
      </c>
      <c r="B147" s="2" cm="1">
        <f t="array" aca="1" ref="B147" ca="1">INDEX(Data_DBD!$B:$B,$A147)</f>
        <v>7</v>
      </c>
      <c r="C147" s="2" cm="1">
        <f t="array" aca="1" ref="C147" ca="1">INDEX(Data_DBD!$C:$C,$A147)</f>
        <v>3</v>
      </c>
      <c r="D147" s="2" cm="1">
        <f t="array" aca="1" ref="D147" ca="1">INDEX(Data_DBD!$D:$D,$A147)</f>
        <v>15</v>
      </c>
      <c r="E147" s="2" cm="1">
        <f t="array" aca="1" ref="E147" ca="1">INDEX(Data_DBD!$E:$E,$A147)</f>
        <v>0</v>
      </c>
      <c r="F147" s="2" t="str" cm="1">
        <f t="array" aca="1" ref="F147" ca="1">INDEX(Data_DBD!$F:$F,$A147)</f>
        <v>Sedang</v>
      </c>
      <c r="H147" s="2">
        <v>155</v>
      </c>
      <c r="I147" s="2">
        <v>19</v>
      </c>
      <c r="J147" s="2">
        <v>5</v>
      </c>
      <c r="K147" s="2">
        <v>21</v>
      </c>
      <c r="L147" s="2">
        <v>1</v>
      </c>
      <c r="M147" s="2" t="s">
        <v>97</v>
      </c>
    </row>
    <row r="148" spans="1:13">
      <c r="A148" s="2">
        <f t="shared" ca="1" si="2"/>
        <v>43</v>
      </c>
      <c r="B148" s="2" cm="1">
        <f t="array" aca="1" ref="B148" ca="1">INDEX(Data_DBD!$B:$B,$A148)</f>
        <v>15</v>
      </c>
      <c r="C148" s="2" cm="1">
        <f t="array" aca="1" ref="C148" ca="1">INDEX(Data_DBD!$C:$C,$A148)</f>
        <v>4</v>
      </c>
      <c r="D148" s="2" cm="1">
        <f t="array" aca="1" ref="D148" ca="1">INDEX(Data_DBD!$D:$D,$A148)</f>
        <v>13</v>
      </c>
      <c r="E148" s="2" cm="1">
        <f t="array" aca="1" ref="E148" ca="1">INDEX(Data_DBD!$E:$E,$A148)</f>
        <v>0</v>
      </c>
      <c r="F148" s="2" t="str" cm="1">
        <f t="array" aca="1" ref="F148" ca="1">INDEX(Data_DBD!$F:$F,$A148)</f>
        <v>Sedang</v>
      </c>
      <c r="H148" s="2">
        <v>46</v>
      </c>
      <c r="I148" s="2">
        <v>62</v>
      </c>
      <c r="J148" s="2">
        <v>2</v>
      </c>
      <c r="K148" s="2">
        <v>13</v>
      </c>
      <c r="L148" s="2">
        <v>0</v>
      </c>
      <c r="M148" s="2" t="s">
        <v>7</v>
      </c>
    </row>
    <row r="149" spans="1:13">
      <c r="A149" s="2">
        <f t="shared" ca="1" si="2"/>
        <v>86</v>
      </c>
      <c r="B149" s="2" cm="1">
        <f t="array" aca="1" ref="B149" ca="1">INDEX(Data_DBD!$B:$B,$A149)</f>
        <v>23</v>
      </c>
      <c r="C149" s="2" cm="1">
        <f t="array" aca="1" ref="C149" ca="1">INDEX(Data_DBD!$C:$C,$A149)</f>
        <v>3</v>
      </c>
      <c r="D149" s="2" cm="1">
        <f t="array" aca="1" ref="D149" ca="1">INDEX(Data_DBD!$D:$D,$A149)</f>
        <v>13</v>
      </c>
      <c r="E149" s="2" cm="1">
        <f t="array" aca="1" ref="E149" ca="1">INDEX(Data_DBD!$E:$E,$A149)</f>
        <v>0</v>
      </c>
      <c r="F149" s="2" t="str" cm="1">
        <f t="array" aca="1" ref="F149" ca="1">INDEX(Data_DBD!$F:$F,$A149)</f>
        <v>Sedang</v>
      </c>
      <c r="H149" s="2">
        <v>124</v>
      </c>
      <c r="I149" s="2">
        <v>24</v>
      </c>
      <c r="J149" s="2">
        <v>3</v>
      </c>
      <c r="K149" s="2">
        <v>33</v>
      </c>
      <c r="L149" s="2">
        <v>1</v>
      </c>
      <c r="M149" s="2" t="s">
        <v>97</v>
      </c>
    </row>
    <row r="150" spans="1:13">
      <c r="A150" s="2">
        <f t="shared" ca="1" si="2"/>
        <v>72</v>
      </c>
      <c r="B150" s="2" cm="1">
        <f t="array" aca="1" ref="B150" ca="1">INDEX(Data_DBD!$B:$B,$A150)</f>
        <v>3</v>
      </c>
      <c r="C150" s="2" cm="1">
        <f t="array" aca="1" ref="C150" ca="1">INDEX(Data_DBD!$C:$C,$A150)</f>
        <v>5</v>
      </c>
      <c r="D150" s="2" cm="1">
        <f t="array" aca="1" ref="D150" ca="1">INDEX(Data_DBD!$D:$D,$A150)</f>
        <v>10</v>
      </c>
      <c r="E150" s="2" cm="1">
        <f t="array" aca="1" ref="E150" ca="1">INDEX(Data_DBD!$E:$E,$A150)</f>
        <v>1</v>
      </c>
      <c r="F150" s="2" t="str" cm="1">
        <f t="array" aca="1" ref="F150" ca="1">INDEX(Data_DBD!$F:$F,$A150)</f>
        <v>Sedang</v>
      </c>
      <c r="H150" s="2">
        <v>91</v>
      </c>
      <c r="I150" s="2">
        <v>35</v>
      </c>
      <c r="J150" s="2">
        <v>1</v>
      </c>
      <c r="K150" s="2">
        <v>18</v>
      </c>
      <c r="L150" s="2">
        <v>1</v>
      </c>
      <c r="M150" s="2" t="s">
        <v>97</v>
      </c>
    </row>
    <row r="151" spans="1:13">
      <c r="A151" s="2">
        <f t="shared" ca="1" si="2"/>
        <v>92</v>
      </c>
      <c r="B151" s="2" cm="1">
        <f t="array" aca="1" ref="B151" ca="1">INDEX(Data_DBD!$B:$B,$A151)</f>
        <v>55</v>
      </c>
      <c r="C151" s="2" cm="1">
        <f t="array" aca="1" ref="C151" ca="1">INDEX(Data_DBD!$C:$C,$A151)</f>
        <v>7</v>
      </c>
      <c r="D151" s="2" cm="1">
        <f t="array" aca="1" ref="D151" ca="1">INDEX(Data_DBD!$D:$D,$A151)</f>
        <v>18</v>
      </c>
      <c r="E151" s="2" cm="1">
        <f t="array" aca="1" ref="E151" ca="1">INDEX(Data_DBD!$E:$E,$A151)</f>
        <v>0</v>
      </c>
      <c r="F151" s="2" t="str" cm="1">
        <f t="array" aca="1" ref="F151" ca="1">INDEX(Data_DBD!$F:$F,$A151)</f>
        <v>Tinggi</v>
      </c>
      <c r="H151" s="2">
        <v>159</v>
      </c>
      <c r="I151" s="2">
        <v>17</v>
      </c>
      <c r="J151" s="2">
        <v>2</v>
      </c>
      <c r="K151" s="2">
        <v>21</v>
      </c>
      <c r="L151" s="2">
        <v>0</v>
      </c>
      <c r="M151" s="2" t="s">
        <v>97</v>
      </c>
    </row>
    <row r="152" spans="1:13">
      <c r="A152" s="2">
        <f t="shared" ca="1" si="2"/>
        <v>122</v>
      </c>
      <c r="B152" s="2" cm="1">
        <f t="array" aca="1" ref="B152" ca="1">INDEX(Data_DBD!$B:$B,$A152)</f>
        <v>28</v>
      </c>
      <c r="C152" s="2" cm="1">
        <f t="array" aca="1" ref="C152" ca="1">INDEX(Data_DBD!$C:$C,$A152)</f>
        <v>3</v>
      </c>
      <c r="D152" s="2" cm="1">
        <f t="array" aca="1" ref="D152" ca="1">INDEX(Data_DBD!$D:$D,$A152)</f>
        <v>33</v>
      </c>
      <c r="E152" s="2" cm="1">
        <f t="array" aca="1" ref="E152" ca="1">INDEX(Data_DBD!$E:$E,$A152)</f>
        <v>1</v>
      </c>
      <c r="F152" s="2" t="str" cm="1">
        <f t="array" aca="1" ref="F152" ca="1">INDEX(Data_DBD!$F:$F,$A152)</f>
        <v>Tinggi</v>
      </c>
      <c r="H152" s="2">
        <v>96</v>
      </c>
      <c r="I152" s="2">
        <v>56</v>
      </c>
      <c r="J152" s="2">
        <v>4</v>
      </c>
      <c r="K152" s="2">
        <v>18</v>
      </c>
      <c r="L152" s="2">
        <v>0</v>
      </c>
      <c r="M152" s="2" t="s">
        <v>97</v>
      </c>
    </row>
    <row r="153" spans="1:13">
      <c r="A153" s="2">
        <f t="shared" ca="1" si="2"/>
        <v>125</v>
      </c>
      <c r="B153" s="2" cm="1">
        <f t="array" aca="1" ref="B153" ca="1">INDEX(Data_DBD!$B:$B,$A153)</f>
        <v>39</v>
      </c>
      <c r="C153" s="2" cm="1">
        <f t="array" aca="1" ref="C153" ca="1">INDEX(Data_DBD!$C:$C,$A153)</f>
        <v>4</v>
      </c>
      <c r="D153" s="2" cm="1">
        <f t="array" aca="1" ref="D153" ca="1">INDEX(Data_DBD!$D:$D,$A153)</f>
        <v>33</v>
      </c>
      <c r="E153" s="2" cm="1">
        <f t="array" aca="1" ref="E153" ca="1">INDEX(Data_DBD!$E:$E,$A153)</f>
        <v>0</v>
      </c>
      <c r="F153" s="2" t="str" cm="1">
        <f t="array" aca="1" ref="F153" ca="1">INDEX(Data_DBD!$F:$F,$A153)</f>
        <v>Tinggi</v>
      </c>
      <c r="H153" s="2">
        <v>4</v>
      </c>
      <c r="I153" s="2">
        <v>23</v>
      </c>
      <c r="J153" s="2">
        <v>5</v>
      </c>
      <c r="K153" s="2">
        <v>12</v>
      </c>
      <c r="L153" s="2">
        <v>0</v>
      </c>
      <c r="M153" s="2" t="s">
        <v>7</v>
      </c>
    </row>
    <row r="154" spans="1:13">
      <c r="A154" s="2">
        <f t="shared" ca="1" si="2"/>
        <v>55</v>
      </c>
      <c r="B154" s="2" cm="1">
        <f t="array" aca="1" ref="B154" ca="1">INDEX(Data_DBD!$B:$B,$A154)</f>
        <v>7</v>
      </c>
      <c r="C154" s="2" cm="1">
        <f t="array" aca="1" ref="C154" ca="1">INDEX(Data_DBD!$C:$C,$A154)</f>
        <v>4</v>
      </c>
      <c r="D154" s="2" cm="1">
        <f t="array" aca="1" ref="D154" ca="1">INDEX(Data_DBD!$D:$D,$A154)</f>
        <v>15</v>
      </c>
      <c r="E154" s="2" cm="1">
        <f t="array" aca="1" ref="E154" ca="1">INDEX(Data_DBD!$E:$E,$A154)</f>
        <v>1</v>
      </c>
      <c r="F154" s="2" t="str" cm="1">
        <f t="array" aca="1" ref="F154" ca="1">INDEX(Data_DBD!$F:$F,$A154)</f>
        <v>Sedang</v>
      </c>
      <c r="H154" s="2">
        <v>88</v>
      </c>
      <c r="I154" s="2">
        <v>20</v>
      </c>
      <c r="J154" s="2">
        <v>4</v>
      </c>
      <c r="K154" s="2">
        <v>13</v>
      </c>
      <c r="L154" s="2">
        <v>1</v>
      </c>
      <c r="M154" s="2" t="s">
        <v>7</v>
      </c>
    </row>
    <row r="155" spans="1:13">
      <c r="A155" s="2">
        <f t="shared" ca="1" si="2"/>
        <v>79</v>
      </c>
      <c r="B155" s="2" cm="1">
        <f t="array" aca="1" ref="B155" ca="1">INDEX(Data_DBD!$B:$B,$A155)</f>
        <v>29</v>
      </c>
      <c r="C155" s="2" cm="1">
        <f t="array" aca="1" ref="C155" ca="1">INDEX(Data_DBD!$C:$C,$A155)</f>
        <v>3</v>
      </c>
      <c r="D155" s="2" cm="1">
        <f t="array" aca="1" ref="D155" ca="1">INDEX(Data_DBD!$D:$D,$A155)</f>
        <v>13</v>
      </c>
      <c r="E155" s="2" cm="1">
        <f t="array" aca="1" ref="E155" ca="1">INDEX(Data_DBD!$E:$E,$A155)</f>
        <v>0</v>
      </c>
      <c r="F155" s="2" t="str" cm="1">
        <f t="array" aca="1" ref="F155" ca="1">INDEX(Data_DBD!$F:$F,$A155)</f>
        <v>Sedang</v>
      </c>
      <c r="H155" s="2">
        <v>11</v>
      </c>
      <c r="I155" s="2">
        <v>24</v>
      </c>
      <c r="J155" s="2">
        <v>5</v>
      </c>
      <c r="K155" s="2">
        <v>12</v>
      </c>
      <c r="L155" s="2">
        <v>1</v>
      </c>
      <c r="M155" s="2" t="s">
        <v>7</v>
      </c>
    </row>
    <row r="156" spans="1:13">
      <c r="A156" s="2">
        <f t="shared" ca="1" si="2"/>
        <v>35</v>
      </c>
      <c r="B156" s="2" cm="1">
        <f t="array" aca="1" ref="B156" ca="1">INDEX(Data_DBD!$B:$B,$A156)</f>
        <v>40</v>
      </c>
      <c r="C156" s="2" cm="1">
        <f t="array" aca="1" ref="C156" ca="1">INDEX(Data_DBD!$C:$C,$A156)</f>
        <v>3</v>
      </c>
      <c r="D156" s="2" cm="1">
        <f t="array" aca="1" ref="D156" ca="1">INDEX(Data_DBD!$D:$D,$A156)</f>
        <v>4</v>
      </c>
      <c r="E156" s="2" cm="1">
        <f t="array" aca="1" ref="E156" ca="1">INDEX(Data_DBD!$E:$E,$A156)</f>
        <v>1</v>
      </c>
      <c r="F156" s="2" t="str" cm="1">
        <f t="array" aca="1" ref="F156" ca="1">INDEX(Data_DBD!$F:$F,$A156)</f>
        <v>Rendah</v>
      </c>
      <c r="H156" s="2">
        <v>114</v>
      </c>
      <c r="I156" s="2">
        <v>14</v>
      </c>
      <c r="J156" s="2">
        <v>2</v>
      </c>
      <c r="K156" s="2">
        <v>33</v>
      </c>
      <c r="L156" s="2">
        <v>1</v>
      </c>
      <c r="M156" s="2" t="s">
        <v>97</v>
      </c>
    </row>
    <row r="157" spans="1:13">
      <c r="A157" s="2">
        <f t="shared" ca="1" si="2"/>
        <v>150</v>
      </c>
      <c r="B157" s="2" cm="1">
        <f t="array" aca="1" ref="B157" ca="1">INDEX(Data_DBD!$B:$B,$A157)</f>
        <v>61</v>
      </c>
      <c r="C157" s="2" cm="1">
        <f t="array" aca="1" ref="C157" ca="1">INDEX(Data_DBD!$C:$C,$A157)</f>
        <v>5</v>
      </c>
      <c r="D157" s="2" cm="1">
        <f t="array" aca="1" ref="D157" ca="1">INDEX(Data_DBD!$D:$D,$A157)</f>
        <v>21</v>
      </c>
      <c r="E157" s="2" cm="1">
        <f t="array" aca="1" ref="E157" ca="1">INDEX(Data_DBD!$E:$E,$A157)</f>
        <v>1</v>
      </c>
      <c r="F157" s="2" t="str" cm="1">
        <f t="array" aca="1" ref="F157" ca="1">INDEX(Data_DBD!$F:$F,$A157)</f>
        <v>Tinggi</v>
      </c>
      <c r="H157" s="2">
        <v>87</v>
      </c>
      <c r="I157" s="2">
        <v>21</v>
      </c>
      <c r="J157" s="2">
        <v>3</v>
      </c>
      <c r="K157" s="2">
        <v>13</v>
      </c>
      <c r="L157" s="2">
        <v>0</v>
      </c>
      <c r="M157" s="2" t="s">
        <v>7</v>
      </c>
    </row>
    <row r="158" spans="1:13">
      <c r="A158" s="2">
        <f t="shared" ca="1" si="2"/>
        <v>17</v>
      </c>
      <c r="B158" s="2" cm="1">
        <f t="array" aca="1" ref="B158" ca="1">INDEX(Data_DBD!$B:$B,$A158)</f>
        <v>2</v>
      </c>
      <c r="C158" s="2" cm="1">
        <f t="array" aca="1" ref="C158" ca="1">INDEX(Data_DBD!$C:$C,$A158)</f>
        <v>3</v>
      </c>
      <c r="D158" s="2" cm="1">
        <f t="array" aca="1" ref="D158" ca="1">INDEX(Data_DBD!$D:$D,$A158)</f>
        <v>7</v>
      </c>
      <c r="E158" s="2" cm="1">
        <f t="array" aca="1" ref="E158" ca="1">INDEX(Data_DBD!$E:$E,$A158)</f>
        <v>0</v>
      </c>
      <c r="F158" s="2" t="str" cm="1">
        <f t="array" aca="1" ref="F158" ca="1">INDEX(Data_DBD!$F:$F,$A158)</f>
        <v>Rendah</v>
      </c>
      <c r="H158" s="2">
        <v>103</v>
      </c>
      <c r="I158" s="2">
        <v>22</v>
      </c>
      <c r="J158" s="2">
        <v>5</v>
      </c>
      <c r="K158" s="2">
        <v>18</v>
      </c>
      <c r="L158" s="2">
        <v>0</v>
      </c>
      <c r="M158" s="2" t="s">
        <v>97</v>
      </c>
    </row>
    <row r="159" spans="1:13">
      <c r="A159" s="2">
        <f t="shared" ca="1" si="2"/>
        <v>160</v>
      </c>
      <c r="B159" s="2" cm="1">
        <f t="array" aca="1" ref="B159" ca="1">INDEX(Data_DBD!$B:$B,$A159)</f>
        <v>16</v>
      </c>
      <c r="C159" s="2" cm="1">
        <f t="array" aca="1" ref="C159" ca="1">INDEX(Data_DBD!$C:$C,$A159)</f>
        <v>3</v>
      </c>
      <c r="D159" s="2" cm="1">
        <f t="array" aca="1" ref="D159" ca="1">INDEX(Data_DBD!$D:$D,$A159)</f>
        <v>21</v>
      </c>
      <c r="E159" s="2" cm="1">
        <f t="array" aca="1" ref="E159" ca="1">INDEX(Data_DBD!$E:$E,$A159)</f>
        <v>0</v>
      </c>
      <c r="F159" s="2" t="str" cm="1">
        <f t="array" aca="1" ref="F159" ca="1">INDEX(Data_DBD!$F:$F,$A159)</f>
        <v>Tinggi</v>
      </c>
      <c r="H159" s="2">
        <v>156</v>
      </c>
      <c r="I159" s="2">
        <v>5</v>
      </c>
      <c r="J159" s="2">
        <v>2</v>
      </c>
      <c r="K159" s="2">
        <v>21</v>
      </c>
      <c r="L159" s="2">
        <v>0</v>
      </c>
      <c r="M159" s="2" t="s">
        <v>97</v>
      </c>
    </row>
    <row r="160" spans="1:13">
      <c r="A160" s="2">
        <f t="shared" ca="1" si="2"/>
        <v>65</v>
      </c>
      <c r="B160" s="2" cm="1">
        <f t="array" aca="1" ref="B160" ca="1">INDEX(Data_DBD!$B:$B,$A160)</f>
        <v>49</v>
      </c>
      <c r="C160" s="2" cm="1">
        <f t="array" aca="1" ref="C160" ca="1">INDEX(Data_DBD!$C:$C,$A160)</f>
        <v>3</v>
      </c>
      <c r="D160" s="2" cm="1">
        <f t="array" aca="1" ref="D160" ca="1">INDEX(Data_DBD!$D:$D,$A160)</f>
        <v>15</v>
      </c>
      <c r="E160" s="2" cm="1">
        <f t="array" aca="1" ref="E160" ca="1">INDEX(Data_DBD!$E:$E,$A160)</f>
        <v>0</v>
      </c>
      <c r="F160" s="2" t="str" cm="1">
        <f t="array" aca="1" ref="F160" ca="1">INDEX(Data_DBD!$F:$F,$A160)</f>
        <v>Sedang</v>
      </c>
      <c r="H160" s="2">
        <v>143</v>
      </c>
      <c r="I160" s="2">
        <v>20</v>
      </c>
      <c r="J160" s="2">
        <v>4</v>
      </c>
      <c r="K160" s="2">
        <v>21</v>
      </c>
      <c r="L160" s="2">
        <v>1</v>
      </c>
      <c r="M160" s="2" t="s">
        <v>97</v>
      </c>
    </row>
    <row r="161" spans="1:22">
      <c r="A161" s="2">
        <f t="shared" ca="1" si="2"/>
        <v>81</v>
      </c>
      <c r="B161" s="2" cm="1">
        <f t="array" aca="1" ref="B161" ca="1">INDEX(Data_DBD!$B:$B,$A161)</f>
        <v>23</v>
      </c>
      <c r="C161" s="2" cm="1">
        <f t="array" aca="1" ref="C161" ca="1">INDEX(Data_DBD!$C:$C,$A161)</f>
        <v>5</v>
      </c>
      <c r="D161" s="2" cm="1">
        <f t="array" aca="1" ref="D161" ca="1">INDEX(Data_DBD!$D:$D,$A161)</f>
        <v>13</v>
      </c>
      <c r="E161" s="2" cm="1">
        <f t="array" aca="1" ref="E161" ca="1">INDEX(Data_DBD!$E:$E,$A161)</f>
        <v>1</v>
      </c>
      <c r="F161" s="2" t="str" cm="1">
        <f t="array" aca="1" ref="F161" ca="1">INDEX(Data_DBD!$F:$F,$A161)</f>
        <v>Sedang</v>
      </c>
      <c r="H161" s="2">
        <v>43</v>
      </c>
      <c r="I161" s="2">
        <v>15</v>
      </c>
      <c r="J161" s="2">
        <v>4</v>
      </c>
      <c r="K161" s="2">
        <v>13</v>
      </c>
      <c r="L161" s="2">
        <v>0</v>
      </c>
      <c r="M161" s="2" t="s">
        <v>7</v>
      </c>
    </row>
    <row r="162" spans="1:22">
      <c r="A162" s="2">
        <f t="shared" ca="1" si="2"/>
        <v>124</v>
      </c>
      <c r="B162" s="2" cm="1">
        <f t="array" aca="1" ref="B162" ca="1">INDEX(Data_DBD!$B:$B,$A162)</f>
        <v>24</v>
      </c>
      <c r="C162" s="2" cm="1">
        <f t="array" aca="1" ref="C162" ca="1">INDEX(Data_DBD!$C:$C,$A162)</f>
        <v>3</v>
      </c>
      <c r="D162" s="2" cm="1">
        <f t="array" aca="1" ref="D162" ca="1">INDEX(Data_DBD!$D:$D,$A162)</f>
        <v>33</v>
      </c>
      <c r="E162" s="2" cm="1">
        <f t="array" aca="1" ref="E162" ca="1">INDEX(Data_DBD!$E:$E,$A162)</f>
        <v>1</v>
      </c>
      <c r="F162" s="2" t="str" cm="1">
        <f t="array" aca="1" ref="F162" ca="1">INDEX(Data_DBD!$F:$F,$A162)</f>
        <v>Tinggi</v>
      </c>
      <c r="H162" s="2">
        <v>95</v>
      </c>
      <c r="I162" s="2">
        <v>11</v>
      </c>
      <c r="J162" s="2">
        <v>3</v>
      </c>
      <c r="K162" s="2">
        <v>18</v>
      </c>
      <c r="L162" s="2">
        <v>1</v>
      </c>
      <c r="M162" s="2" t="s">
        <v>97</v>
      </c>
    </row>
    <row r="163" spans="1:22">
      <c r="A163" s="2">
        <f t="shared" ca="1" si="2"/>
        <v>43</v>
      </c>
      <c r="B163" s="2" cm="1">
        <f t="array" aca="1" ref="B163" ca="1">INDEX(Data_DBD!$B:$B,$A163)</f>
        <v>15</v>
      </c>
      <c r="C163" s="2" cm="1">
        <f t="array" aca="1" ref="C163" ca="1">INDEX(Data_DBD!$C:$C,$A163)</f>
        <v>4</v>
      </c>
      <c r="D163" s="2" cm="1">
        <f t="array" aca="1" ref="D163" ca="1">INDEX(Data_DBD!$D:$D,$A163)</f>
        <v>13</v>
      </c>
      <c r="E163" s="2" cm="1">
        <f t="array" aca="1" ref="E163" ca="1">INDEX(Data_DBD!$E:$E,$A163)</f>
        <v>0</v>
      </c>
      <c r="F163" s="2" t="str" cm="1">
        <f t="array" aca="1" ref="F163" ca="1">INDEX(Data_DBD!$F:$F,$A163)</f>
        <v>Sedang</v>
      </c>
      <c r="H163" s="2">
        <v>114</v>
      </c>
      <c r="I163" s="2">
        <v>14</v>
      </c>
      <c r="J163" s="2">
        <v>2</v>
      </c>
      <c r="K163" s="2">
        <v>33</v>
      </c>
      <c r="L163" s="2">
        <v>1</v>
      </c>
      <c r="M163" s="2" t="s">
        <v>97</v>
      </c>
    </row>
    <row r="164" spans="1:22">
      <c r="A164" s="2">
        <f t="shared" ca="1" si="2"/>
        <v>48</v>
      </c>
      <c r="B164" s="2" cm="1">
        <f t="array" aca="1" ref="B164" ca="1">INDEX(Data_DBD!$B:$B,$A164)</f>
        <v>50</v>
      </c>
      <c r="C164" s="2" cm="1">
        <f t="array" aca="1" ref="C164" ca="1">INDEX(Data_DBD!$C:$C,$A164)</f>
        <v>5</v>
      </c>
      <c r="D164" s="2" cm="1">
        <f t="array" aca="1" ref="D164" ca="1">INDEX(Data_DBD!$D:$D,$A164)</f>
        <v>13</v>
      </c>
      <c r="E164" s="2" cm="1">
        <f t="array" aca="1" ref="E164" ca="1">INDEX(Data_DBD!$E:$E,$A164)</f>
        <v>1</v>
      </c>
      <c r="F164" s="2" t="str" cm="1">
        <f t="array" aca="1" ref="F164" ca="1">INDEX(Data_DBD!$F:$F,$A164)</f>
        <v>Sedang</v>
      </c>
      <c r="H164" s="2">
        <v>151</v>
      </c>
      <c r="I164" s="2">
        <v>24</v>
      </c>
      <c r="J164" s="2">
        <v>3</v>
      </c>
      <c r="K164" s="2">
        <v>21</v>
      </c>
      <c r="L164" s="2">
        <v>0</v>
      </c>
      <c r="M164" s="2" t="s">
        <v>97</v>
      </c>
    </row>
    <row r="165" spans="1:22">
      <c r="I165">
        <f>AVERAGE(I2:I164)</f>
        <v>30.104294478527606</v>
      </c>
      <c r="J165">
        <f>AVERAGE(J2:J164)</f>
        <v>3.5030674846625769</v>
      </c>
      <c r="K165">
        <f>AVERAGE(K2:K164)</f>
        <v>17.70552147239264</v>
      </c>
      <c r="L165">
        <f>AVERAGE(L2:L164)</f>
        <v>0.48466257668711654</v>
      </c>
    </row>
    <row r="166" spans="1:22">
      <c r="B166">
        <v>66</v>
      </c>
    </row>
    <row r="168" spans="1:22">
      <c r="E168" s="5" t="s">
        <v>175</v>
      </c>
      <c r="J168" s="5" t="s">
        <v>176</v>
      </c>
      <c r="O168" s="5" t="s">
        <v>177</v>
      </c>
      <c r="T168" s="5" t="s">
        <v>178</v>
      </c>
    </row>
    <row r="169" spans="1:22">
      <c r="E169" s="2" t="s">
        <v>1</v>
      </c>
      <c r="F169" s="2">
        <f>AVERAGEIF($I$2:$I$164,"&lt;="&amp;$I$165)</f>
        <v>16.82</v>
      </c>
      <c r="G169" s="2">
        <f>AVERAGEIF($I$2:$I$164,"&gt;"&amp;$I$165)</f>
        <v>51.19047619047619</v>
      </c>
      <c r="J169" s="2" t="s">
        <v>179</v>
      </c>
      <c r="K169" s="2">
        <f>AVERAGEIF($J$2:$J$164,"&lt;="&amp;$J$165)</f>
        <v>2.3764705882352941</v>
      </c>
      <c r="L169" s="2">
        <f>AVERAGEIF($J$2:$J$164,"&gt;"&amp;$J$165)</f>
        <v>4.7307692307692308</v>
      </c>
      <c r="O169" s="2" t="s">
        <v>180</v>
      </c>
      <c r="P169" s="2">
        <f>AVERAGEIF($K$2:$K$164,"&lt;="&amp;$K$165)</f>
        <v>11.315217391304348</v>
      </c>
      <c r="Q169" s="2">
        <f>AVERAGEIF($K$2:$K$164,"&gt;"&amp;$K$165)</f>
        <v>25.985915492957748</v>
      </c>
      <c r="T169" s="2" t="s">
        <v>181</v>
      </c>
      <c r="U169" s="2">
        <f>AVERAGEIF($L$2:$L$164,"&lt;="&amp;$L$165)</f>
        <v>0</v>
      </c>
      <c r="V169" s="2">
        <f>AVERAGEIF($L$2:$L$164,"&gt;"&amp;$L$165)</f>
        <v>1</v>
      </c>
    </row>
    <row r="170" spans="1:22">
      <c r="E170" s="2" t="str" cm="1">
        <f t="array" ref="E170:E332">IF($I$2:$I$164&lt;$F$169,"kiri",IF($I$2:$I$164&lt;$G$169,"tengah","kanan"))</f>
        <v>kanan</v>
      </c>
      <c r="F170" s="2" t="s">
        <v>205</v>
      </c>
      <c r="G170" s="2"/>
      <c r="J170" s="2" t="str" cm="1">
        <f t="array" ref="J170:J332">IF($J$2:$J$164&lt;$K$169,"kiri",IF($J$2:$J$164&lt;$L$169,"tengah","kanan"))</f>
        <v>kiri</v>
      </c>
      <c r="K170" s="2" t="s">
        <v>207</v>
      </c>
      <c r="L170" s="2"/>
      <c r="O170" s="2" t="str" cm="1">
        <f t="array" ref="O170:O332">IF($K$2:$K$164&lt;$P$169,"kiri",IF($K$2:$K$164&lt;$Q$169,"tengah","kanan"))</f>
        <v>kiri</v>
      </c>
      <c r="P170" s="2" t="s">
        <v>209</v>
      </c>
      <c r="Q170" s="2"/>
      <c r="T170" s="2" t="str" cm="1">
        <f t="array" ref="T170:T332">IF($L$2:$L$164&lt;$U$169,"kiri",IF($L$2:$L$164&lt;$V$169,"tengah","kanan"))</f>
        <v>tengah</v>
      </c>
      <c r="U170" s="2" t="s">
        <v>185</v>
      </c>
      <c r="V170" s="2"/>
    </row>
    <row r="171" spans="1:22">
      <c r="E171" s="2" t="str">
        <v>tengah</v>
      </c>
      <c r="F171" s="2">
        <f>COUNTIFS($E$170:$E$332,"Kanan",$M$2:$M$164,"Tinggi")</f>
        <v>11</v>
      </c>
      <c r="G171" s="2">
        <f>F171/30</f>
        <v>0.36666666666666664</v>
      </c>
      <c r="J171" s="2" t="str">
        <v>tengah</v>
      </c>
      <c r="K171" s="2">
        <f>COUNTIFS($J$170:$J$332,"Kanan",$M$2:$M$164,"Tinggi")</f>
        <v>14</v>
      </c>
      <c r="L171" s="2">
        <f>K171/35</f>
        <v>0.4</v>
      </c>
      <c r="O171" s="2" t="str">
        <v>kanan</v>
      </c>
      <c r="P171" s="2">
        <f>COUNTIFS($O$170:$O$332,"Kanan",$M$2:$M$164,"Tinggi")</f>
        <v>34</v>
      </c>
      <c r="Q171" s="2">
        <f>P171/34</f>
        <v>1</v>
      </c>
      <c r="T171" s="2" t="str">
        <v>tengah</v>
      </c>
      <c r="U171" s="2">
        <f>COUNTIFS($T$170:$T$332,"Kanan",$M$2:$M$164,"Tinggi")</f>
        <v>39</v>
      </c>
      <c r="V171" s="2">
        <f>U171/79</f>
        <v>0.49367088607594939</v>
      </c>
    </row>
    <row r="172" spans="1:22">
      <c r="E172" s="2" t="str">
        <v>tengah</v>
      </c>
      <c r="F172" s="2">
        <f>COUNTIFS($E$170:$E$332,"Kanan",$M$2:$M$164,"Sedang")</f>
        <v>17</v>
      </c>
      <c r="G172" s="2">
        <f>F172/30</f>
        <v>0.56666666666666665</v>
      </c>
      <c r="J172" s="2" t="str">
        <v>tengah</v>
      </c>
      <c r="K172" s="2">
        <f>COUNTIFS($J$170:$J$332,"Kanan",$M$2:$M$164,"Sedang")</f>
        <v>18</v>
      </c>
      <c r="L172" s="2">
        <f>K172/35</f>
        <v>0.51428571428571423</v>
      </c>
      <c r="O172" s="2" t="str">
        <v>kanan</v>
      </c>
      <c r="P172" s="2">
        <f>COUNTIFS($O$170:$O$332,"Kanan",$M$2:$M$164,"Sedang")</f>
        <v>0</v>
      </c>
      <c r="Q172" s="2">
        <f>P172/27</f>
        <v>0</v>
      </c>
      <c r="T172" s="2" t="str">
        <v>kanan</v>
      </c>
      <c r="U172" s="2">
        <f>COUNTIFS($T$170:$T$332,"Kanan",$M$2:$M$164,"Sedang")</f>
        <v>28</v>
      </c>
      <c r="V172" s="2">
        <f>U172/79</f>
        <v>0.35443037974683544</v>
      </c>
    </row>
    <row r="173" spans="1:22">
      <c r="E173" s="2" t="str">
        <v>kanan</v>
      </c>
      <c r="F173" s="2">
        <f>COUNTIFS($E$170:$E$332,"Kanan",$M$2:$M$164,"Rendah")</f>
        <v>2</v>
      </c>
      <c r="G173" s="2">
        <f>F173/30</f>
        <v>6.6666666666666666E-2</v>
      </c>
      <c r="J173" s="2" t="str">
        <v>kanan</v>
      </c>
      <c r="K173" s="2">
        <f>COUNTIFS($J$170:$J$332,"Kanan",$M$2:$M$164,"Rendah")</f>
        <v>3</v>
      </c>
      <c r="L173" s="2">
        <f>K173/35</f>
        <v>8.5714285714285715E-2</v>
      </c>
      <c r="O173" s="2" t="str">
        <v>tengah</v>
      </c>
      <c r="P173" s="2">
        <f>COUNTIFS($O$170:$O$332,"Kanan",$M$2:$M$164,"Rendah")</f>
        <v>0</v>
      </c>
      <c r="Q173" s="2">
        <f>P173/27</f>
        <v>0</v>
      </c>
      <c r="T173" s="2" t="str">
        <v>kanan</v>
      </c>
      <c r="U173" s="2">
        <f>COUNTIFS($T$170:$T$332,"Kanan",$M$2:$M$164,"Rendah")</f>
        <v>12</v>
      </c>
      <c r="V173" s="2">
        <f>U173/79</f>
        <v>0.15189873417721519</v>
      </c>
    </row>
    <row r="174" spans="1:22">
      <c r="E174" s="2" t="str">
        <v>kiri</v>
      </c>
      <c r="F174" s="2" t="s">
        <v>186</v>
      </c>
      <c r="G174" s="2">
        <f>-(IFERROR(G171*LOG(G171,2),0)+IFERROR(G172*LOG(G172,2),0)+IFERROR(G173*LOG(G173,2),0))</f>
        <v>1.2555367253996506</v>
      </c>
      <c r="J174" s="2" t="str">
        <v>tengah</v>
      </c>
      <c r="K174" s="2" t="s">
        <v>186</v>
      </c>
      <c r="L174" s="2">
        <f>-(IFERROR(L171*LOG(L171,2),0)+IFERROR(L172*LOG(L172,2),0)+IFERROR(L173*LOG(L173,2),0))</f>
        <v>1.3259542616040652</v>
      </c>
      <c r="O174" s="2" t="str">
        <v>kiri</v>
      </c>
      <c r="P174" s="2" t="s">
        <v>186</v>
      </c>
      <c r="Q174" s="2">
        <f>-(IFERROR(Q171*LOG(Q171,2),0)+IFERROR(Q172*LOG(Q172,2),0)+IFERROR(Q173*LOG(Q173,2),0))</f>
        <v>0</v>
      </c>
      <c r="T174" s="2" t="str">
        <v>kanan</v>
      </c>
      <c r="U174" s="2" t="s">
        <v>186</v>
      </c>
      <c r="V174" s="2">
        <f>-(IFERROR(V171*LOG(V171,2),0)+IFERROR(V172*LOG(V172,2),0)+IFERROR(V173*LOG(V173,2),0))</f>
        <v>1.446107654988565</v>
      </c>
    </row>
    <row r="175" spans="1:22">
      <c r="E175" s="2" t="str">
        <v>tengah</v>
      </c>
      <c r="F175" s="2"/>
      <c r="G175" s="2">
        <f>SUM(F171:F173)/163</f>
        <v>0.18404907975460122</v>
      </c>
      <c r="J175" s="2" t="str">
        <v>tengah</v>
      </c>
      <c r="K175" s="2"/>
      <c r="L175" s="2">
        <f>SUM(K171:K173)/163</f>
        <v>0.21472392638036811</v>
      </c>
      <c r="O175" s="2" t="str">
        <v>kanan</v>
      </c>
      <c r="P175" s="2"/>
      <c r="Q175" s="2">
        <f>SUM(P171:P173)/163</f>
        <v>0.20858895705521471</v>
      </c>
      <c r="T175" s="2" t="str">
        <v>tengah</v>
      </c>
      <c r="U175" s="2"/>
      <c r="V175" s="2">
        <f>SUM(U171:U173)/163</f>
        <v>0.48466257668711654</v>
      </c>
    </row>
    <row r="176" spans="1:22">
      <c r="E176" s="2" t="str">
        <v>tengah</v>
      </c>
      <c r="F176" s="2"/>
      <c r="G176" s="6">
        <f>G174*G175</f>
        <v>0.23108037890791114</v>
      </c>
      <c r="J176" s="2" t="str">
        <v>kanan</v>
      </c>
      <c r="K176" s="2"/>
      <c r="L176" s="6">
        <f>L174*L175</f>
        <v>0.28471410525240665</v>
      </c>
      <c r="O176" s="2" t="str">
        <v>kanan</v>
      </c>
      <c r="P176" s="2"/>
      <c r="Q176" s="6">
        <f>Q174*Q175</f>
        <v>0</v>
      </c>
      <c r="T176" s="2" t="str">
        <v>tengah</v>
      </c>
      <c r="U176" s="2"/>
      <c r="V176" s="6">
        <f>V174*V175</f>
        <v>0.70087426223372162</v>
      </c>
    </row>
    <row r="177" spans="5:22">
      <c r="E177" s="2" t="str">
        <v>tengah</v>
      </c>
      <c r="F177" s="2"/>
      <c r="G177" s="2"/>
      <c r="J177" s="2" t="str">
        <v>kanan</v>
      </c>
      <c r="K177" s="2"/>
      <c r="L177" s="2"/>
      <c r="O177" s="2" t="str">
        <v>tengah</v>
      </c>
      <c r="P177" s="2"/>
      <c r="Q177" s="2"/>
      <c r="T177" s="2" t="str">
        <v>kanan</v>
      </c>
      <c r="U177" s="2"/>
      <c r="V177" s="2"/>
    </row>
    <row r="178" spans="5:22">
      <c r="E178" s="2" t="str">
        <v>tengah</v>
      </c>
      <c r="F178" s="2"/>
      <c r="G178" s="2"/>
      <c r="J178" s="2" t="str">
        <v>tengah</v>
      </c>
      <c r="K178" s="2"/>
      <c r="L178" s="2"/>
      <c r="O178" s="2" t="str">
        <v>kanan</v>
      </c>
      <c r="P178" s="2"/>
      <c r="Q178" s="2"/>
      <c r="T178" s="2" t="str">
        <v>tengah</v>
      </c>
      <c r="U178" s="2"/>
      <c r="V178" s="2"/>
    </row>
    <row r="179" spans="5:22">
      <c r="E179" s="2" t="str">
        <v>kiri</v>
      </c>
      <c r="F179" s="2" t="s">
        <v>206</v>
      </c>
      <c r="G179" s="2"/>
      <c r="J179" s="2" t="str">
        <v>kanan</v>
      </c>
      <c r="K179" s="2" t="s">
        <v>208</v>
      </c>
      <c r="L179" s="2"/>
      <c r="O179" s="2" t="str">
        <v>tengah</v>
      </c>
      <c r="P179" s="2" t="s">
        <v>210</v>
      </c>
      <c r="Q179" s="2"/>
      <c r="T179" s="2" t="str">
        <v>kanan</v>
      </c>
      <c r="U179" s="2" t="s">
        <v>190</v>
      </c>
      <c r="V179" s="2"/>
    </row>
    <row r="180" spans="5:22">
      <c r="E180" s="2" t="str">
        <v>tengah</v>
      </c>
      <c r="F180" s="2">
        <f>COUNTIFS($E$170:$E$332,"Kiri",$M$2:$M$164,"Tinggi")</f>
        <v>22</v>
      </c>
      <c r="G180" s="2">
        <f>F180/43</f>
        <v>0.51162790697674421</v>
      </c>
      <c r="J180" s="2" t="str">
        <v>tengah</v>
      </c>
      <c r="K180" s="2">
        <f>COUNTIFS($J$170:$J$332,"Kiri",$M$2:$M$164,"Tinggi")</f>
        <v>20</v>
      </c>
      <c r="L180" s="2">
        <f>K180/42</f>
        <v>0.47619047619047616</v>
      </c>
      <c r="O180" s="2" t="str">
        <v>tengah</v>
      </c>
      <c r="P180" s="2">
        <f>COUNTIFS($O$170:$O$332,"Kiri",$M$2:$M$164,"Tinggi")</f>
        <v>0</v>
      </c>
      <c r="Q180" s="2">
        <f>P180/57</f>
        <v>0</v>
      </c>
      <c r="T180" s="2" t="str">
        <v>kanan</v>
      </c>
      <c r="U180" s="2">
        <f>COUNTIFS($T$170:$T$332,"Kiri",$M$2:$M$164,"Tinggi")</f>
        <v>0</v>
      </c>
      <c r="V180" s="2">
        <f>U180/78</f>
        <v>0</v>
      </c>
    </row>
    <row r="181" spans="5:22">
      <c r="E181" s="2" t="str">
        <v>kiri</v>
      </c>
      <c r="F181" s="2">
        <f>COUNTIFS($E$170:$E$332,"Kiri",$M$2:$M$164,"Sedang")</f>
        <v>15</v>
      </c>
      <c r="G181" s="2">
        <f>F181/43</f>
        <v>0.34883720930232559</v>
      </c>
      <c r="J181" s="2" t="str">
        <v>tengah</v>
      </c>
      <c r="K181" s="2">
        <f>COUNTIFS($J$170:$J$332,"Kiri",$M$2:$M$164,"Sedang")</f>
        <v>17</v>
      </c>
      <c r="L181" s="2">
        <f>K181/42</f>
        <v>0.40476190476190477</v>
      </c>
      <c r="O181" s="2" t="str">
        <v>kanan</v>
      </c>
      <c r="P181" s="2">
        <f>COUNTIFS($O$170:$O$332,"Kiri",$M$2:$M$164,"Sedang")</f>
        <v>9</v>
      </c>
      <c r="Q181" s="2">
        <f>P181/28</f>
        <v>0.32142857142857145</v>
      </c>
      <c r="T181" s="2" t="str">
        <v>tengah</v>
      </c>
      <c r="U181" s="2">
        <f>COUNTIFS($T$170:$T$332,"Kiri",$M$2:$M$164,"Sedang")</f>
        <v>0</v>
      </c>
      <c r="V181" s="2">
        <f>U181/78</f>
        <v>0</v>
      </c>
    </row>
    <row r="182" spans="5:22">
      <c r="E182" s="2" t="str">
        <v>tengah</v>
      </c>
      <c r="F182" s="2">
        <f>COUNTIFS($E$170:$E$332,"Kiri",$M$2:$M$164,"Rendah")</f>
        <v>6</v>
      </c>
      <c r="G182" s="2">
        <f>F182/43</f>
        <v>0.13953488372093023</v>
      </c>
      <c r="J182" s="2" t="str">
        <v>tengah</v>
      </c>
      <c r="K182" s="2">
        <f>COUNTIFS($J$170:$J$332,"Kiri",$M$2:$M$164,"Rendah")</f>
        <v>5</v>
      </c>
      <c r="L182" s="2">
        <f>K182/42</f>
        <v>0.11904761904761904</v>
      </c>
      <c r="O182" s="2" t="str">
        <v>tengah</v>
      </c>
      <c r="P182" s="2">
        <f>COUNTIFS($O$170:$O$332,"Kiri",$M$2:$M$164,"Rendah")</f>
        <v>19</v>
      </c>
      <c r="Q182" s="2">
        <f>P182/28</f>
        <v>0.6785714285714286</v>
      </c>
      <c r="T182" s="2" t="str">
        <v>tengah</v>
      </c>
      <c r="U182" s="2">
        <f>COUNTIFS($T$170:$T$332,"Kiri",$M$2:$M$164,"Rendah")</f>
        <v>0</v>
      </c>
      <c r="V182" s="2">
        <f>U182/78</f>
        <v>0</v>
      </c>
    </row>
    <row r="183" spans="5:22">
      <c r="E183" s="2" t="str">
        <v>tengah</v>
      </c>
      <c r="F183" s="2" t="s">
        <v>186</v>
      </c>
      <c r="G183" s="2">
        <f>-(IFERROR(G180*LOG(G180,2),0)+IFERROR(G181*LOG(G181,2),0)+IFERROR(G182*LOG(G182,2),0))</f>
        <v>1.4211338349701155</v>
      </c>
      <c r="J183" s="2" t="str">
        <v>tengah</v>
      </c>
      <c r="K183" s="2" t="s">
        <v>186</v>
      </c>
      <c r="L183" s="2">
        <f>-(IFERROR(L180*LOG(L180,2),0)+IFERROR(L181*LOG(L181,2),0)+IFERROR(L182*LOG(L182,2),0))</f>
        <v>1.4033871686492407</v>
      </c>
      <c r="O183" s="2" t="str">
        <v>tengah</v>
      </c>
      <c r="P183" s="2" t="s">
        <v>186</v>
      </c>
      <c r="Q183" s="2">
        <f>-(IFERROR(Q180*LOG(Q180,2),0)+IFERROR(Q181*LOG(Q181,2),0)+IFERROR(Q182*LOG(Q182,2),0))</f>
        <v>0.90592821604299922</v>
      </c>
      <c r="T183" s="2" t="str">
        <v>tengah</v>
      </c>
      <c r="U183" s="2" t="s">
        <v>186</v>
      </c>
      <c r="V183" s="2">
        <f>-(IFERROR(V180*LOG(V180,2),0)+IFERROR(V181*LOG(V181,2),0)+IFERROR(V182*LOG(V182,2),0))</f>
        <v>0</v>
      </c>
    </row>
    <row r="184" spans="5:22">
      <c r="E184" s="2" t="str">
        <v>kiri</v>
      </c>
      <c r="F184" s="2"/>
      <c r="G184" s="2">
        <f>SUM(F180:F182)/163</f>
        <v>0.26380368098159507</v>
      </c>
      <c r="J184" s="2" t="str">
        <v>kiri</v>
      </c>
      <c r="K184" s="2"/>
      <c r="L184" s="2">
        <f>SUM(K180:K182)/163</f>
        <v>0.25766871165644173</v>
      </c>
      <c r="O184" s="2" t="str">
        <v>kanan</v>
      </c>
      <c r="P184" s="2"/>
      <c r="Q184" s="2">
        <f>SUM(P180:P182)/163</f>
        <v>0.17177914110429449</v>
      </c>
      <c r="T184" s="2" t="str">
        <v>kanan</v>
      </c>
      <c r="U184" s="2"/>
      <c r="V184" s="2">
        <f>SUM(U180:U182)/163</f>
        <v>0</v>
      </c>
    </row>
    <row r="185" spans="5:22">
      <c r="E185" s="2" t="str">
        <v>tengah</v>
      </c>
      <c r="F185" s="2"/>
      <c r="G185" s="6">
        <f>G183*G184</f>
        <v>0.3749003368326071</v>
      </c>
      <c r="J185" s="2" t="str">
        <v>tengah</v>
      </c>
      <c r="K185" s="2"/>
      <c r="L185" s="6">
        <f>L183*L184</f>
        <v>0.36160896370103135</v>
      </c>
      <c r="O185" s="2" t="str">
        <v>tengah</v>
      </c>
      <c r="P185" s="2"/>
      <c r="Q185" s="6">
        <f>Q183*Q184</f>
        <v>0.15561957085401215</v>
      </c>
      <c r="T185" s="2" t="str">
        <v>tengah</v>
      </c>
      <c r="U185" s="2"/>
      <c r="V185" s="6">
        <f>V183*V184</f>
        <v>0</v>
      </c>
    </row>
    <row r="186" spans="5:22">
      <c r="E186" s="2" t="str">
        <v>kanan</v>
      </c>
      <c r="F186" s="2"/>
      <c r="G186" s="2"/>
      <c r="J186" s="2" t="str">
        <v>tengah</v>
      </c>
      <c r="K186" s="2"/>
      <c r="L186" s="2"/>
      <c r="O186" s="2" t="str">
        <v>tengah</v>
      </c>
      <c r="P186" s="2"/>
      <c r="Q186" s="2"/>
      <c r="T186" s="2" t="str">
        <v>tengah</v>
      </c>
      <c r="U186" s="2"/>
      <c r="V186" s="2"/>
    </row>
    <row r="187" spans="5:22">
      <c r="E187" s="2" t="str">
        <v>tengah</v>
      </c>
      <c r="F187" s="2"/>
      <c r="G187" s="2"/>
      <c r="J187" s="2" t="str">
        <v>kanan</v>
      </c>
      <c r="K187" s="2"/>
      <c r="L187" s="2"/>
      <c r="O187" s="2" t="str">
        <v>tengah</v>
      </c>
      <c r="P187" s="2"/>
      <c r="Q187" s="2"/>
      <c r="T187" s="2" t="str">
        <v>tengah</v>
      </c>
      <c r="U187" s="2"/>
      <c r="V187" s="2"/>
    </row>
    <row r="188" spans="5:22">
      <c r="E188" s="2" t="str">
        <v>kanan</v>
      </c>
      <c r="F188" s="2" t="s">
        <v>191</v>
      </c>
      <c r="G188" s="2"/>
      <c r="J188" s="2" t="str">
        <v>kanan</v>
      </c>
      <c r="K188" s="2" t="s">
        <v>191</v>
      </c>
      <c r="L188" s="2"/>
      <c r="O188" s="2" t="str">
        <v>tengah</v>
      </c>
      <c r="P188" s="2" t="s">
        <v>191</v>
      </c>
      <c r="Q188" s="2"/>
      <c r="T188" s="2" t="str">
        <v>kanan</v>
      </c>
      <c r="U188" s="2" t="s">
        <v>191</v>
      </c>
      <c r="V188" s="2"/>
    </row>
    <row r="189" spans="5:22">
      <c r="E189" s="2" t="str">
        <v>tengah</v>
      </c>
      <c r="F189" s="2">
        <f>COUNTIFS($E$170:$E$332,"Tengah",$M$2:$M$164,"Tinggi")</f>
        <v>38</v>
      </c>
      <c r="G189" s="2">
        <f>F189/90</f>
        <v>0.42222222222222222</v>
      </c>
      <c r="J189" s="2" t="str">
        <v>tengah</v>
      </c>
      <c r="K189" s="2">
        <f>COUNTIFS($J$170:$J$332,"Tengah",$M$2:$M$164,"Tinggi")</f>
        <v>37</v>
      </c>
      <c r="L189" s="2">
        <f>K189/86</f>
        <v>0.43023255813953487</v>
      </c>
      <c r="O189" s="2" t="str">
        <v>tengah</v>
      </c>
      <c r="P189" s="2">
        <f>COUNTIFS($O$170:$O$332,"Tengah",$M$2:$M$164,"Tinggi")</f>
        <v>37</v>
      </c>
      <c r="Q189" s="2">
        <f>P189/101</f>
        <v>0.36633663366336633</v>
      </c>
      <c r="T189" s="2" t="str">
        <v>tengah</v>
      </c>
      <c r="U189" s="2">
        <f>COUNTIFS($T$170:$T$332,"Tengah",$M$2:$M$164,"Tinggi")</f>
        <v>32</v>
      </c>
      <c r="V189" s="2">
        <f>U189/84</f>
        <v>0.38095238095238093</v>
      </c>
    </row>
    <row r="190" spans="5:22">
      <c r="E190" s="2" t="str">
        <v>kiri</v>
      </c>
      <c r="F190" s="2">
        <f>COUNTIFS($E$170:$E$332,"Tengah",$M$2:$M$164,"Sedang")</f>
        <v>41</v>
      </c>
      <c r="G190" s="2">
        <f>F190/90</f>
        <v>0.45555555555555555</v>
      </c>
      <c r="J190" s="2" t="str">
        <v>tengah</v>
      </c>
      <c r="K190" s="2">
        <f>COUNTIFS($J$170:$J$332,"Tengah",$M$2:$M$164,"Sedang")</f>
        <v>38</v>
      </c>
      <c r="L190" s="2">
        <f>K190/86</f>
        <v>0.44186046511627908</v>
      </c>
      <c r="O190" s="2" t="str">
        <v>kanan</v>
      </c>
      <c r="P190" s="2">
        <f>COUNTIFS($O$170:$O$332,"Tengah",$M$2:$M$164,"Sedang")</f>
        <v>64</v>
      </c>
      <c r="Q190" s="2">
        <f>P190/101</f>
        <v>0.63366336633663367</v>
      </c>
      <c r="T190" s="2" t="str">
        <v>kanan</v>
      </c>
      <c r="U190" s="2">
        <f>COUNTIFS($T$170:$T$332,"Tengah",$M$2:$M$164,"Sedang")</f>
        <v>45</v>
      </c>
      <c r="V190" s="2">
        <f>U190/84</f>
        <v>0.5357142857142857</v>
      </c>
    </row>
    <row r="191" spans="5:22">
      <c r="E191" s="2" t="str">
        <v>tengah</v>
      </c>
      <c r="F191" s="2">
        <f>COUNTIFS($E$170:$E$332,"Tengah",$M$2:$M$164,"Rendah")</f>
        <v>11</v>
      </c>
      <c r="G191" s="2">
        <f>F191/90</f>
        <v>0.12222222222222222</v>
      </c>
      <c r="J191" s="2" t="str">
        <v>tengah</v>
      </c>
      <c r="K191" s="2">
        <f>COUNTIFS($J$170:$J$332,"Tengah",$M$2:$M$164,"Rendah")</f>
        <v>11</v>
      </c>
      <c r="L191" s="2">
        <f>K191/86</f>
        <v>0.12790697674418605</v>
      </c>
      <c r="O191" s="2" t="str">
        <v>tengah</v>
      </c>
      <c r="P191" s="2">
        <f>COUNTIFS($O$170:$O$332,"Tengah",$M$2:$M$164,"Rendah")</f>
        <v>0</v>
      </c>
      <c r="Q191" s="2">
        <f>P191/101</f>
        <v>0</v>
      </c>
      <c r="T191" s="2" t="str">
        <v>tengah</v>
      </c>
      <c r="U191" s="2">
        <f>COUNTIFS($T$170:$T$332,"Tengah",$M$2:$M$164,"Rendah")</f>
        <v>7</v>
      </c>
      <c r="V191" s="2">
        <f>U191/84</f>
        <v>8.3333333333333329E-2</v>
      </c>
    </row>
    <row r="192" spans="5:22">
      <c r="E192" s="2" t="str">
        <v>tengah</v>
      </c>
      <c r="F192" s="2" t="s">
        <v>186</v>
      </c>
      <c r="G192" s="2">
        <f>-(IFERROR(G189*LOG(G189,2),0)+IFERROR(G190*LOG(G190,2),0)+IFERROR(G191*LOG(G191,2),0))</f>
        <v>1.4125794796051419</v>
      </c>
      <c r="J192" s="2" t="str">
        <v>kiri</v>
      </c>
      <c r="K192" s="2" t="s">
        <v>186</v>
      </c>
      <c r="L192" s="2">
        <f>-(IFERROR(L189*LOG(L189,2),0)+IFERROR(L190*LOG(L190,2),0)+IFERROR(L191*LOG(L191,2),0))</f>
        <v>1.4236511751191019</v>
      </c>
      <c r="O192" s="2" t="str">
        <v>tengah</v>
      </c>
      <c r="P192" s="2" t="s">
        <v>186</v>
      </c>
      <c r="Q192" s="2">
        <f>-(IFERROR(Q189*LOG(Q189,2),0)+IFERROR(Q190*LOG(Q190,2),0)+IFERROR(Q191*LOG(Q191,2),0))</f>
        <v>0.94781767554118956</v>
      </c>
      <c r="T192" s="2" t="str">
        <v>kanan</v>
      </c>
      <c r="U192" s="2" t="s">
        <v>186</v>
      </c>
      <c r="V192" s="2">
        <f>-(IFERROR(V189*LOG(V189,2),0)+IFERROR(V190*LOG(V190,2),0)+IFERROR(V191*LOG(V191,2),0))</f>
        <v>1.3115451157640152</v>
      </c>
    </row>
    <row r="193" spans="5:22">
      <c r="E193" s="2" t="str">
        <v>tengah</v>
      </c>
      <c r="F193" s="2"/>
      <c r="G193" s="2">
        <f>SUM(F189:F191)/163</f>
        <v>0.55214723926380371</v>
      </c>
      <c r="J193" s="2" t="str">
        <v>tengah</v>
      </c>
      <c r="K193" s="2"/>
      <c r="L193" s="2">
        <f>SUM(K189:K191)/163</f>
        <v>0.52760736196319014</v>
      </c>
      <c r="O193" s="2" t="str">
        <v>kanan</v>
      </c>
      <c r="P193" s="2"/>
      <c r="Q193" s="2">
        <f>SUM(P189:P191)/163</f>
        <v>0.61963190184049077</v>
      </c>
      <c r="T193" s="2" t="str">
        <v>kanan</v>
      </c>
      <c r="U193" s="2"/>
      <c r="V193" s="2">
        <f>SUM(U189:U191)/163</f>
        <v>0.51533742331288346</v>
      </c>
    </row>
    <row r="194" spans="5:22">
      <c r="E194" s="2" t="str">
        <v>tengah</v>
      </c>
      <c r="F194" s="2"/>
      <c r="G194" s="6">
        <f>G192*G193</f>
        <v>0.77995185990467963</v>
      </c>
      <c r="J194" s="2" t="str">
        <v>tengah</v>
      </c>
      <c r="K194" s="2"/>
      <c r="L194" s="6">
        <f>L192*L193</f>
        <v>0.75112884086038501</v>
      </c>
      <c r="O194" s="2" t="str">
        <v>tengah</v>
      </c>
      <c r="P194" s="2"/>
      <c r="Q194" s="6">
        <f>Q192*Q193</f>
        <v>0.58729806889362046</v>
      </c>
      <c r="T194" s="2" t="str">
        <v>kanan</v>
      </c>
      <c r="U194" s="2"/>
      <c r="V194" s="6">
        <f>V192*V193</f>
        <v>0.67588828051642502</v>
      </c>
    </row>
    <row r="195" spans="5:22">
      <c r="E195" s="2" t="str">
        <v>tengah</v>
      </c>
      <c r="F195" s="2"/>
      <c r="G195" s="2"/>
      <c r="J195" s="2" t="str">
        <v>kanan</v>
      </c>
      <c r="K195" s="2"/>
      <c r="L195" s="2"/>
      <c r="O195" s="2" t="str">
        <v>tengah</v>
      </c>
      <c r="P195" s="2"/>
      <c r="Q195" s="2"/>
      <c r="T195" s="2" t="str">
        <v>kanan</v>
      </c>
      <c r="U195" s="2"/>
      <c r="V195" s="2"/>
    </row>
    <row r="196" spans="5:22">
      <c r="E196" s="2" t="str">
        <v>tengah</v>
      </c>
      <c r="F196" s="2" t="s">
        <v>192</v>
      </c>
      <c r="G196" s="2"/>
      <c r="J196" s="2" t="str">
        <v>tengah</v>
      </c>
      <c r="K196" s="2" t="s">
        <v>192</v>
      </c>
      <c r="L196" s="2"/>
      <c r="O196" s="2" t="str">
        <v>kiri</v>
      </c>
      <c r="P196" s="2" t="s">
        <v>192</v>
      </c>
      <c r="Q196" s="2"/>
      <c r="T196" s="2" t="str">
        <v>kanan</v>
      </c>
      <c r="U196" s="2" t="s">
        <v>192</v>
      </c>
      <c r="V196" s="2"/>
    </row>
    <row r="197" spans="5:22">
      <c r="E197" s="2" t="str">
        <v>tengah</v>
      </c>
      <c r="F197" s="7">
        <f>P5-(G176+G185+G194)</f>
        <v>1.6784161171758294E-2</v>
      </c>
      <c r="G197" s="2"/>
      <c r="J197" s="2" t="str">
        <v>tengah</v>
      </c>
      <c r="K197" s="7">
        <f>P5-(L176+L185+L194)</f>
        <v>5.2648270031330213E-3</v>
      </c>
      <c r="L197" s="2"/>
      <c r="O197" s="2" t="str">
        <v>kanan</v>
      </c>
      <c r="P197" s="7">
        <f>P5-(Q176+Q185+Q194)</f>
        <v>0.6597990970693236</v>
      </c>
      <c r="Q197" s="2"/>
      <c r="T197" s="2" t="str">
        <v>kanan</v>
      </c>
      <c r="U197" s="7">
        <f>P5-(V176+V185+V194)</f>
        <v>2.5954194066809544E-2</v>
      </c>
      <c r="V197" s="2"/>
    </row>
    <row r="198" spans="5:22">
      <c r="E198" s="2" t="str">
        <v>kanan</v>
      </c>
      <c r="F198" s="2"/>
      <c r="G198" s="2"/>
      <c r="J198" s="2" t="str">
        <v>kanan</v>
      </c>
      <c r="K198" s="2"/>
      <c r="L198" s="2"/>
      <c r="O198" s="2" t="str">
        <v>tengah</v>
      </c>
      <c r="P198" s="2"/>
      <c r="Q198" s="2"/>
      <c r="T198" s="2" t="str">
        <v>tengah</v>
      </c>
      <c r="U198" s="2"/>
      <c r="V198" s="2"/>
    </row>
    <row r="199" spans="5:22">
      <c r="E199" s="2" t="str">
        <v>kiri</v>
      </c>
      <c r="F199" s="2"/>
      <c r="G199" s="2"/>
      <c r="J199" s="2" t="str">
        <v>kiri</v>
      </c>
      <c r="K199" s="2"/>
      <c r="L199" s="2"/>
      <c r="O199" s="2" t="str">
        <v>tengah</v>
      </c>
      <c r="P199" s="2"/>
      <c r="Q199" s="2"/>
      <c r="T199" s="2" t="str">
        <v>tengah</v>
      </c>
      <c r="U199" s="2"/>
      <c r="V199" s="2"/>
    </row>
    <row r="200" spans="5:22">
      <c r="E200" s="2" t="str">
        <v>kanan</v>
      </c>
      <c r="F200" s="2"/>
      <c r="G200" s="2"/>
      <c r="J200" s="2" t="str">
        <v>tengah</v>
      </c>
      <c r="K200" s="2"/>
      <c r="L200" s="2"/>
      <c r="O200" s="2" t="str">
        <v>tengah</v>
      </c>
      <c r="P200" s="2"/>
      <c r="Q200" s="2"/>
      <c r="T200" s="2" t="str">
        <v>kanan</v>
      </c>
      <c r="U200" s="2"/>
      <c r="V200" s="2"/>
    </row>
    <row r="201" spans="5:22">
      <c r="E201" s="2" t="str">
        <v>kiri</v>
      </c>
      <c r="F201" s="2"/>
      <c r="G201" s="2"/>
      <c r="J201" s="2" t="str">
        <v>tengah</v>
      </c>
      <c r="K201" s="2"/>
      <c r="L201" s="2"/>
      <c r="O201" s="2" t="str">
        <v>tengah</v>
      </c>
      <c r="P201" s="2"/>
      <c r="Q201" s="2"/>
      <c r="T201" s="2" t="str">
        <v>tengah</v>
      </c>
      <c r="U201" s="2"/>
      <c r="V201" s="2"/>
    </row>
    <row r="202" spans="5:22">
      <c r="E202" s="2" t="str">
        <v>kiri</v>
      </c>
      <c r="F202" s="2"/>
      <c r="G202" s="2"/>
      <c r="J202" s="2" t="str">
        <v>tengah</v>
      </c>
      <c r="K202" s="2"/>
      <c r="L202" s="2"/>
      <c r="O202" s="2" t="str">
        <v>kiri</v>
      </c>
      <c r="P202" s="2"/>
      <c r="Q202" s="2"/>
      <c r="T202" s="2" t="str">
        <v>tengah</v>
      </c>
      <c r="U202" s="2"/>
      <c r="V202" s="2"/>
    </row>
    <row r="203" spans="5:22">
      <c r="E203" s="2" t="str">
        <v>kiri</v>
      </c>
      <c r="F203" s="2"/>
      <c r="G203" s="2"/>
      <c r="J203" s="2" t="str">
        <v>kanan</v>
      </c>
      <c r="K203" s="2"/>
      <c r="L203" s="2"/>
      <c r="O203" s="2" t="str">
        <v>tengah</v>
      </c>
      <c r="P203" s="2"/>
      <c r="Q203" s="2"/>
      <c r="T203" s="2" t="str">
        <v>kanan</v>
      </c>
      <c r="U203" s="2"/>
      <c r="V203" s="2"/>
    </row>
    <row r="204" spans="5:22">
      <c r="E204" s="2" t="str">
        <v>kanan</v>
      </c>
      <c r="F204" s="2"/>
      <c r="G204" s="2"/>
      <c r="J204" s="2" t="str">
        <v>kiri</v>
      </c>
      <c r="K204" s="2"/>
      <c r="L204" s="2"/>
      <c r="O204" s="2" t="str">
        <v>kiri</v>
      </c>
      <c r="P204" s="2"/>
      <c r="Q204" s="2"/>
      <c r="T204" s="2" t="str">
        <v>tengah</v>
      </c>
      <c r="U204" s="2"/>
      <c r="V204" s="2"/>
    </row>
    <row r="205" spans="5:22">
      <c r="E205" s="2" t="str">
        <v>tengah</v>
      </c>
      <c r="F205" s="2"/>
      <c r="G205" s="2"/>
      <c r="J205" s="2" t="str">
        <v>kiri</v>
      </c>
      <c r="K205" s="2"/>
      <c r="L205" s="2"/>
      <c r="O205" s="2" t="str">
        <v>kiri</v>
      </c>
      <c r="P205" s="2"/>
      <c r="Q205" s="2"/>
      <c r="T205" s="2" t="str">
        <v>kanan</v>
      </c>
      <c r="U205" s="2"/>
      <c r="V205" s="2"/>
    </row>
    <row r="206" spans="5:22">
      <c r="E206" s="2" t="str">
        <v>kiri</v>
      </c>
      <c r="F206" s="2"/>
      <c r="G206" s="2"/>
      <c r="J206" s="2" t="str">
        <v>kanan</v>
      </c>
      <c r="K206" s="2"/>
      <c r="L206" s="2"/>
      <c r="O206" s="2" t="str">
        <v>tengah</v>
      </c>
      <c r="P206" s="2"/>
      <c r="Q206" s="2"/>
      <c r="T206" s="2" t="str">
        <v>kanan</v>
      </c>
      <c r="U206" s="2"/>
      <c r="V206" s="2"/>
    </row>
    <row r="207" spans="5:22">
      <c r="E207" s="2" t="str">
        <v>kanan</v>
      </c>
      <c r="F207" s="2"/>
      <c r="G207" s="2"/>
      <c r="J207" s="2" t="str">
        <v>tengah</v>
      </c>
      <c r="K207" s="2"/>
      <c r="L207" s="2"/>
      <c r="O207" s="2" t="str">
        <v>kiri</v>
      </c>
      <c r="P207" s="2"/>
      <c r="Q207" s="2"/>
      <c r="T207" s="2" t="str">
        <v>tengah</v>
      </c>
      <c r="U207" s="2"/>
      <c r="V207" s="2"/>
    </row>
    <row r="208" spans="5:22">
      <c r="E208" s="2" t="str">
        <v>tengah</v>
      </c>
      <c r="F208" s="2"/>
      <c r="G208" s="2"/>
      <c r="J208" s="2" t="str">
        <v>tengah</v>
      </c>
      <c r="K208" s="2"/>
      <c r="L208" s="2"/>
      <c r="O208" s="2" t="str">
        <v>tengah</v>
      </c>
      <c r="P208" s="2"/>
      <c r="Q208" s="2"/>
      <c r="T208" s="2" t="str">
        <v>kanan</v>
      </c>
      <c r="U208" s="2"/>
      <c r="V208" s="2"/>
    </row>
    <row r="209" spans="5:22">
      <c r="E209" s="2" t="str">
        <v>tengah</v>
      </c>
      <c r="F209" s="2"/>
      <c r="G209" s="2"/>
      <c r="J209" s="2" t="str">
        <v>tengah</v>
      </c>
      <c r="K209" s="2"/>
      <c r="L209" s="2"/>
      <c r="O209" s="2" t="str">
        <v>tengah</v>
      </c>
      <c r="P209" s="2"/>
      <c r="Q209" s="2"/>
      <c r="T209" s="2" t="str">
        <v>tengah</v>
      </c>
      <c r="U209" s="2"/>
      <c r="V209" s="2"/>
    </row>
    <row r="210" spans="5:22">
      <c r="E210" s="2" t="str">
        <v>tengah</v>
      </c>
      <c r="F210" s="2"/>
      <c r="G210" s="2"/>
      <c r="J210" s="2" t="str">
        <v>tengah</v>
      </c>
      <c r="K210" s="2"/>
      <c r="L210" s="2"/>
      <c r="O210" s="2" t="str">
        <v>tengah</v>
      </c>
      <c r="P210" s="2"/>
      <c r="Q210" s="2"/>
      <c r="T210" s="2" t="str">
        <v>kanan</v>
      </c>
      <c r="U210" s="2"/>
      <c r="V210" s="2"/>
    </row>
    <row r="211" spans="5:22">
      <c r="E211" s="2" t="str">
        <v>tengah</v>
      </c>
      <c r="F211" s="2"/>
      <c r="G211" s="2"/>
      <c r="J211" s="2" t="str">
        <v>tengah</v>
      </c>
      <c r="K211" s="2"/>
      <c r="L211" s="2"/>
      <c r="O211" s="2" t="str">
        <v>kanan</v>
      </c>
      <c r="P211" s="2"/>
      <c r="Q211" s="2"/>
      <c r="T211" s="2" t="str">
        <v>kanan</v>
      </c>
      <c r="U211" s="2"/>
      <c r="V211" s="2"/>
    </row>
    <row r="212" spans="5:22">
      <c r="E212" s="2" t="str">
        <v>kiri</v>
      </c>
      <c r="F212" s="2"/>
      <c r="G212" s="2"/>
      <c r="J212" s="2" t="str">
        <v>tengah</v>
      </c>
      <c r="K212" s="2"/>
      <c r="L212" s="2"/>
      <c r="O212" s="2" t="str">
        <v>kiri</v>
      </c>
      <c r="P212" s="2"/>
      <c r="Q212" s="2"/>
      <c r="T212" s="2" t="str">
        <v>tengah</v>
      </c>
      <c r="U212" s="2"/>
      <c r="V212" s="2"/>
    </row>
    <row r="213" spans="5:22">
      <c r="E213" s="2" t="str">
        <v>tengah</v>
      </c>
      <c r="F213" s="2"/>
      <c r="G213" s="2"/>
      <c r="J213" s="2" t="str">
        <v>tengah</v>
      </c>
      <c r="K213" s="2"/>
      <c r="L213" s="2"/>
      <c r="O213" s="2" t="str">
        <v>tengah</v>
      </c>
      <c r="P213" s="2"/>
      <c r="Q213" s="2"/>
      <c r="T213" s="2" t="str">
        <v>kanan</v>
      </c>
      <c r="U213" s="2"/>
      <c r="V213" s="2"/>
    </row>
    <row r="214" spans="5:22">
      <c r="E214" s="2" t="str">
        <v>kiri</v>
      </c>
      <c r="F214" s="2"/>
      <c r="G214" s="2"/>
      <c r="J214" s="2" t="str">
        <v>tengah</v>
      </c>
      <c r="K214" s="2"/>
      <c r="L214" s="2"/>
      <c r="O214" s="2" t="str">
        <v>tengah</v>
      </c>
      <c r="P214" s="2"/>
      <c r="Q214" s="2"/>
      <c r="T214" s="2" t="str">
        <v>tengah</v>
      </c>
      <c r="U214" s="2"/>
      <c r="V214" s="2"/>
    </row>
    <row r="215" spans="5:22">
      <c r="E215" s="2" t="str">
        <v>tengah</v>
      </c>
      <c r="F215" s="2"/>
      <c r="G215" s="2"/>
      <c r="J215" s="2" t="str">
        <v>tengah</v>
      </c>
      <c r="K215" s="2"/>
      <c r="L215" s="2"/>
      <c r="O215" s="2" t="str">
        <v>kiri</v>
      </c>
      <c r="P215" s="2"/>
      <c r="Q215" s="2"/>
      <c r="T215" s="2" t="str">
        <v>kanan</v>
      </c>
      <c r="U215" s="2"/>
      <c r="V215" s="2"/>
    </row>
    <row r="216" spans="5:22">
      <c r="E216" s="2" t="str">
        <v>tengah</v>
      </c>
      <c r="F216" s="2"/>
      <c r="G216" s="2"/>
      <c r="J216" s="2" t="str">
        <v>tengah</v>
      </c>
      <c r="K216" s="2"/>
      <c r="L216" s="2"/>
      <c r="O216" s="2" t="str">
        <v>tengah</v>
      </c>
      <c r="P216" s="2"/>
      <c r="Q216" s="2"/>
      <c r="T216" s="2" t="str">
        <v>tengah</v>
      </c>
      <c r="U216" s="2"/>
      <c r="V216" s="2"/>
    </row>
    <row r="217" spans="5:22">
      <c r="E217" s="2" t="str">
        <v>tengah</v>
      </c>
      <c r="F217" s="2"/>
      <c r="G217" s="2"/>
      <c r="J217" s="2" t="str">
        <v>tengah</v>
      </c>
      <c r="K217" s="2"/>
      <c r="L217" s="2"/>
      <c r="O217" s="2" t="str">
        <v>kanan</v>
      </c>
      <c r="P217" s="2"/>
      <c r="Q217" s="2"/>
      <c r="T217" s="2" t="str">
        <v>kanan</v>
      </c>
      <c r="U217" s="2"/>
      <c r="V217" s="2"/>
    </row>
    <row r="218" spans="5:22">
      <c r="E218" s="2" t="str">
        <v>kiri</v>
      </c>
      <c r="F218" s="2"/>
      <c r="G218" s="2"/>
      <c r="J218" s="2" t="str">
        <v>kiri</v>
      </c>
      <c r="K218" s="2"/>
      <c r="L218" s="2"/>
      <c r="O218" s="2" t="str">
        <v>tengah</v>
      </c>
      <c r="P218" s="2"/>
      <c r="Q218" s="2"/>
      <c r="T218" s="2" t="str">
        <v>tengah</v>
      </c>
      <c r="U218" s="2"/>
      <c r="V218" s="2"/>
    </row>
    <row r="219" spans="5:22">
      <c r="E219" s="2" t="str">
        <v>kanan</v>
      </c>
      <c r="F219" s="2"/>
      <c r="G219" s="2"/>
      <c r="J219" s="2" t="str">
        <v>kanan</v>
      </c>
      <c r="K219" s="2"/>
      <c r="L219" s="2"/>
      <c r="O219" s="2" t="str">
        <v>tengah</v>
      </c>
      <c r="P219" s="2"/>
      <c r="Q219" s="2"/>
      <c r="T219" s="2" t="str">
        <v>tengah</v>
      </c>
      <c r="U219" s="2"/>
      <c r="V219" s="2"/>
    </row>
    <row r="220" spans="5:22">
      <c r="E220" s="2" t="str">
        <v>kanan</v>
      </c>
      <c r="F220" s="2"/>
      <c r="G220" s="2"/>
      <c r="J220" s="2" t="str">
        <v>kanan</v>
      </c>
      <c r="K220" s="2"/>
      <c r="L220" s="2"/>
      <c r="O220" s="2" t="str">
        <v>tengah</v>
      </c>
      <c r="P220" s="2"/>
      <c r="Q220" s="2"/>
      <c r="T220" s="2" t="str">
        <v>tengah</v>
      </c>
      <c r="U220" s="2"/>
      <c r="V220" s="2"/>
    </row>
    <row r="221" spans="5:22">
      <c r="E221" s="2" t="str">
        <v>tengah</v>
      </c>
      <c r="F221" s="2"/>
      <c r="G221" s="2"/>
      <c r="J221" s="2" t="str">
        <v>kanan</v>
      </c>
      <c r="K221" s="2"/>
      <c r="L221" s="2"/>
      <c r="O221" s="2" t="str">
        <v>tengah</v>
      </c>
      <c r="P221" s="2"/>
      <c r="Q221" s="2"/>
      <c r="T221" s="2" t="str">
        <v>tengah</v>
      </c>
      <c r="U221" s="2"/>
      <c r="V221" s="2"/>
    </row>
    <row r="222" spans="5:22">
      <c r="E222" s="2" t="str">
        <v>kiri</v>
      </c>
      <c r="F222" s="2"/>
      <c r="G222" s="2"/>
      <c r="J222" s="2" t="str">
        <v>tengah</v>
      </c>
      <c r="K222" s="2"/>
      <c r="L222" s="2"/>
      <c r="O222" s="2" t="str">
        <v>kiri</v>
      </c>
      <c r="P222" s="2"/>
      <c r="Q222" s="2"/>
      <c r="T222" s="2" t="str">
        <v>kanan</v>
      </c>
      <c r="U222" s="2"/>
      <c r="V222" s="2"/>
    </row>
    <row r="223" spans="5:22">
      <c r="E223" s="2" t="str">
        <v>kiri</v>
      </c>
      <c r="F223" s="2"/>
      <c r="G223" s="2"/>
      <c r="J223" s="2" t="str">
        <v>tengah</v>
      </c>
      <c r="K223" s="2"/>
      <c r="L223" s="2"/>
      <c r="O223" s="2" t="str">
        <v>tengah</v>
      </c>
      <c r="P223" s="2"/>
      <c r="Q223" s="2"/>
      <c r="T223" s="2" t="str">
        <v>tengah</v>
      </c>
      <c r="U223" s="2"/>
      <c r="V223" s="2"/>
    </row>
    <row r="224" spans="5:22">
      <c r="E224" s="2" t="str">
        <v>kanan</v>
      </c>
      <c r="F224" s="2"/>
      <c r="G224" s="2"/>
      <c r="J224" s="2" t="str">
        <v>kanan</v>
      </c>
      <c r="K224" s="2"/>
      <c r="L224" s="2"/>
      <c r="O224" s="2" t="str">
        <v>tengah</v>
      </c>
      <c r="P224" s="2"/>
      <c r="Q224" s="2"/>
      <c r="T224" s="2" t="str">
        <v>tengah</v>
      </c>
      <c r="U224" s="2"/>
      <c r="V224" s="2"/>
    </row>
    <row r="225" spans="5:22">
      <c r="E225" s="2" t="str">
        <v>kiri</v>
      </c>
      <c r="F225" s="2"/>
      <c r="G225" s="2"/>
      <c r="J225" s="2" t="str">
        <v>kiri</v>
      </c>
      <c r="K225" s="2"/>
      <c r="L225" s="2"/>
      <c r="O225" s="2" t="str">
        <v>tengah</v>
      </c>
      <c r="P225" s="2"/>
      <c r="Q225" s="2"/>
      <c r="T225" s="2" t="str">
        <v>kanan</v>
      </c>
      <c r="U225" s="2"/>
      <c r="V225" s="2"/>
    </row>
    <row r="226" spans="5:22">
      <c r="E226" s="2" t="str">
        <v>tengah</v>
      </c>
      <c r="F226" s="2"/>
      <c r="G226" s="2"/>
      <c r="J226" s="2" t="str">
        <v>tengah</v>
      </c>
      <c r="K226" s="2"/>
      <c r="L226" s="2"/>
      <c r="O226" s="2" t="str">
        <v>tengah</v>
      </c>
      <c r="P226" s="2"/>
      <c r="Q226" s="2"/>
      <c r="T226" s="2" t="str">
        <v>kanan</v>
      </c>
      <c r="U226" s="2"/>
      <c r="V226" s="2"/>
    </row>
    <row r="227" spans="5:22">
      <c r="E227" s="2" t="str">
        <v>tengah</v>
      </c>
      <c r="F227" s="2"/>
      <c r="G227" s="2"/>
      <c r="J227" s="2" t="str">
        <v>tengah</v>
      </c>
      <c r="K227" s="2"/>
      <c r="L227" s="2"/>
      <c r="O227" s="2" t="str">
        <v>tengah</v>
      </c>
      <c r="P227" s="2"/>
      <c r="Q227" s="2"/>
      <c r="T227" s="2" t="str">
        <v>tengah</v>
      </c>
      <c r="U227" s="2"/>
      <c r="V227" s="2"/>
    </row>
    <row r="228" spans="5:22">
      <c r="E228" s="2" t="str">
        <v>tengah</v>
      </c>
      <c r="F228" s="2"/>
      <c r="G228" s="2"/>
      <c r="J228" s="2" t="str">
        <v>tengah</v>
      </c>
      <c r="K228" s="2"/>
      <c r="L228" s="2"/>
      <c r="O228" s="2" t="str">
        <v>kiri</v>
      </c>
      <c r="P228" s="2"/>
      <c r="Q228" s="2"/>
      <c r="T228" s="2" t="str">
        <v>kanan</v>
      </c>
      <c r="U228" s="2"/>
      <c r="V228" s="2"/>
    </row>
    <row r="229" spans="5:22">
      <c r="E229" s="2" t="str">
        <v>kanan</v>
      </c>
      <c r="F229" s="2"/>
      <c r="G229" s="2"/>
      <c r="J229" s="2" t="str">
        <v>tengah</v>
      </c>
      <c r="K229" s="2"/>
      <c r="L229" s="2"/>
      <c r="O229" s="2" t="str">
        <v>kiri</v>
      </c>
      <c r="P229" s="2"/>
      <c r="Q229" s="2"/>
      <c r="T229" s="2" t="str">
        <v>kanan</v>
      </c>
      <c r="U229" s="2"/>
      <c r="V229" s="2"/>
    </row>
    <row r="230" spans="5:22">
      <c r="E230" s="2" t="str">
        <v>tengah</v>
      </c>
      <c r="F230" s="2"/>
      <c r="G230" s="2"/>
      <c r="J230" s="2" t="str">
        <v>tengah</v>
      </c>
      <c r="K230" s="2"/>
      <c r="L230" s="2"/>
      <c r="O230" s="2" t="str">
        <v>kanan</v>
      </c>
      <c r="P230" s="2"/>
      <c r="Q230" s="2"/>
      <c r="T230" s="2" t="str">
        <v>tengah</v>
      </c>
      <c r="U230" s="2"/>
      <c r="V230" s="2"/>
    </row>
    <row r="231" spans="5:22">
      <c r="E231" s="2" t="str">
        <v>tengah</v>
      </c>
      <c r="F231" s="2"/>
      <c r="G231" s="2"/>
      <c r="J231" s="2" t="str">
        <v>tengah</v>
      </c>
      <c r="K231" s="2"/>
      <c r="L231" s="2"/>
      <c r="O231" s="2" t="str">
        <v>tengah</v>
      </c>
      <c r="P231" s="2"/>
      <c r="Q231" s="2"/>
      <c r="T231" s="2" t="str">
        <v>tengah</v>
      </c>
      <c r="U231" s="2"/>
      <c r="V231" s="2"/>
    </row>
    <row r="232" spans="5:22">
      <c r="E232" s="2" t="str">
        <v>kiri</v>
      </c>
      <c r="F232" s="2"/>
      <c r="G232" s="2"/>
      <c r="J232" s="2" t="str">
        <v>kanan</v>
      </c>
      <c r="K232" s="2"/>
      <c r="L232" s="2"/>
      <c r="O232" s="2" t="str">
        <v>kiri</v>
      </c>
      <c r="P232" s="2"/>
      <c r="Q232" s="2"/>
      <c r="T232" s="2" t="str">
        <v>tengah</v>
      </c>
      <c r="U232" s="2"/>
      <c r="V232" s="2"/>
    </row>
    <row r="233" spans="5:22">
      <c r="E233" s="2" t="str">
        <v>kanan</v>
      </c>
      <c r="F233" s="2"/>
      <c r="G233" s="2"/>
      <c r="J233" s="2" t="str">
        <v>kanan</v>
      </c>
      <c r="K233" s="2"/>
      <c r="L233" s="2"/>
      <c r="O233" s="2" t="str">
        <v>tengah</v>
      </c>
      <c r="P233" s="2"/>
      <c r="Q233" s="2"/>
      <c r="T233" s="2" t="str">
        <v>kanan</v>
      </c>
      <c r="U233" s="2"/>
      <c r="V233" s="2"/>
    </row>
    <row r="234" spans="5:22">
      <c r="E234" s="2" t="str">
        <v>kanan</v>
      </c>
      <c r="F234" s="2"/>
      <c r="G234" s="2"/>
      <c r="J234" s="2" t="str">
        <v>tengah</v>
      </c>
      <c r="K234" s="2"/>
      <c r="L234" s="2"/>
      <c r="O234" s="2" t="str">
        <v>kanan</v>
      </c>
      <c r="P234" s="2"/>
      <c r="Q234" s="2"/>
      <c r="T234" s="2" t="str">
        <v>kanan</v>
      </c>
      <c r="U234" s="2"/>
      <c r="V234" s="2"/>
    </row>
    <row r="235" spans="5:22">
      <c r="E235" s="2" t="str">
        <v>tengah</v>
      </c>
      <c r="F235" s="2"/>
      <c r="G235" s="2"/>
      <c r="J235" s="2" t="str">
        <v>tengah</v>
      </c>
      <c r="K235" s="2"/>
      <c r="L235" s="2"/>
      <c r="O235" s="2" t="str">
        <v>kanan</v>
      </c>
      <c r="P235" s="2"/>
      <c r="Q235" s="2"/>
      <c r="T235" s="2" t="str">
        <v>kanan</v>
      </c>
      <c r="U235" s="2"/>
      <c r="V235" s="2"/>
    </row>
    <row r="236" spans="5:22">
      <c r="E236" s="2" t="str">
        <v>kiri</v>
      </c>
      <c r="F236" s="2"/>
      <c r="G236" s="2"/>
      <c r="J236" s="2" t="str">
        <v>kiri</v>
      </c>
      <c r="K236" s="2"/>
      <c r="L236" s="2"/>
      <c r="O236" s="2" t="str">
        <v>kanan</v>
      </c>
      <c r="P236" s="2"/>
      <c r="Q236" s="2"/>
      <c r="T236" s="2" t="str">
        <v>tengah</v>
      </c>
      <c r="U236" s="2"/>
      <c r="V236" s="2"/>
    </row>
    <row r="237" spans="5:22">
      <c r="E237" s="2" t="str">
        <v>kanan</v>
      </c>
      <c r="F237" s="2"/>
      <c r="G237" s="2"/>
      <c r="J237" s="2" t="str">
        <v>tengah</v>
      </c>
      <c r="K237" s="2"/>
      <c r="L237" s="2"/>
      <c r="O237" s="2" t="str">
        <v>tengah</v>
      </c>
      <c r="P237" s="2"/>
      <c r="Q237" s="2"/>
      <c r="T237" s="2" t="str">
        <v>tengah</v>
      </c>
      <c r="U237" s="2"/>
      <c r="V237" s="2"/>
    </row>
    <row r="238" spans="5:22">
      <c r="E238" s="2" t="str">
        <v>kiri</v>
      </c>
      <c r="F238" s="2"/>
      <c r="G238" s="2"/>
      <c r="J238" s="2" t="str">
        <v>kiri</v>
      </c>
      <c r="K238" s="2"/>
      <c r="L238" s="2"/>
      <c r="O238" s="2" t="str">
        <v>kanan</v>
      </c>
      <c r="P238" s="2"/>
      <c r="Q238" s="2"/>
      <c r="T238" s="2" t="str">
        <v>tengah</v>
      </c>
      <c r="U238" s="2"/>
      <c r="V238" s="2"/>
    </row>
    <row r="239" spans="5:22">
      <c r="E239" s="2" t="str">
        <v>tengah</v>
      </c>
      <c r="F239" s="2"/>
      <c r="G239" s="2"/>
      <c r="J239" s="2" t="str">
        <v>tengah</v>
      </c>
      <c r="K239" s="2"/>
      <c r="L239" s="2"/>
      <c r="O239" s="2" t="str">
        <v>tengah</v>
      </c>
      <c r="P239" s="2"/>
      <c r="Q239" s="2"/>
      <c r="T239" s="2" t="str">
        <v>tengah</v>
      </c>
      <c r="U239" s="2"/>
      <c r="V239" s="2"/>
    </row>
    <row r="240" spans="5:22">
      <c r="E240" s="2" t="str">
        <v>kiri</v>
      </c>
      <c r="F240" s="2"/>
      <c r="G240" s="2"/>
      <c r="J240" s="2" t="str">
        <v>tengah</v>
      </c>
      <c r="K240" s="2"/>
      <c r="L240" s="2"/>
      <c r="O240" s="2" t="str">
        <v>kiri</v>
      </c>
      <c r="P240" s="2"/>
      <c r="Q240" s="2"/>
      <c r="T240" s="2" t="str">
        <v>kanan</v>
      </c>
      <c r="U240" s="2"/>
      <c r="V240" s="2"/>
    </row>
    <row r="241" spans="5:22">
      <c r="E241" s="2" t="str">
        <v>tengah</v>
      </c>
      <c r="F241" s="2"/>
      <c r="G241" s="2"/>
      <c r="J241" s="2" t="str">
        <v>kiri</v>
      </c>
      <c r="K241" s="2"/>
      <c r="L241" s="2"/>
      <c r="O241" s="2" t="str">
        <v>kiri</v>
      </c>
      <c r="P241" s="2"/>
      <c r="Q241" s="2"/>
      <c r="T241" s="2" t="str">
        <v>kanan</v>
      </c>
      <c r="U241" s="2"/>
      <c r="V241" s="2"/>
    </row>
    <row r="242" spans="5:22">
      <c r="E242" s="2" t="str">
        <v>tengah</v>
      </c>
      <c r="F242" s="2"/>
      <c r="G242" s="2"/>
      <c r="J242" s="2" t="str">
        <v>kanan</v>
      </c>
      <c r="K242" s="2"/>
      <c r="L242" s="2"/>
      <c r="O242" s="2" t="str">
        <v>tengah</v>
      </c>
      <c r="P242" s="2"/>
      <c r="Q242" s="2"/>
      <c r="T242" s="2" t="str">
        <v>tengah</v>
      </c>
      <c r="U242" s="2"/>
      <c r="V242" s="2"/>
    </row>
    <row r="243" spans="5:22">
      <c r="E243" s="2" t="str">
        <v>kiri</v>
      </c>
      <c r="F243" s="2"/>
      <c r="G243" s="2"/>
      <c r="J243" s="2" t="str">
        <v>kanan</v>
      </c>
      <c r="K243" s="2"/>
      <c r="L243" s="2"/>
      <c r="O243" s="2" t="str">
        <v>kiri</v>
      </c>
      <c r="P243" s="2"/>
      <c r="Q243" s="2"/>
      <c r="T243" s="2" t="str">
        <v>tengah</v>
      </c>
      <c r="U243" s="2"/>
      <c r="V243" s="2"/>
    </row>
    <row r="244" spans="5:22">
      <c r="E244" s="2" t="str">
        <v>kanan</v>
      </c>
      <c r="F244" s="2"/>
      <c r="G244" s="2"/>
      <c r="J244" s="2" t="str">
        <v>tengah</v>
      </c>
      <c r="K244" s="2"/>
      <c r="L244" s="2"/>
      <c r="O244" s="2" t="str">
        <v>tengah</v>
      </c>
      <c r="P244" s="2"/>
      <c r="Q244" s="2"/>
      <c r="T244" s="2" t="str">
        <v>tengah</v>
      </c>
      <c r="U244" s="2"/>
      <c r="V244" s="2"/>
    </row>
    <row r="245" spans="5:22">
      <c r="E245" s="2" t="str">
        <v>kiri</v>
      </c>
      <c r="F245" s="2"/>
      <c r="G245" s="2"/>
      <c r="J245" s="2" t="str">
        <v>tengah</v>
      </c>
      <c r="K245" s="2"/>
      <c r="L245" s="2"/>
      <c r="O245" s="2" t="str">
        <v>kanan</v>
      </c>
      <c r="P245" s="2"/>
      <c r="Q245" s="2"/>
      <c r="T245" s="2" t="str">
        <v>kanan</v>
      </c>
      <c r="U245" s="2"/>
      <c r="V245" s="2"/>
    </row>
    <row r="246" spans="5:22">
      <c r="E246" s="2" t="str">
        <v>kanan</v>
      </c>
      <c r="F246" s="2"/>
      <c r="G246" s="2"/>
      <c r="J246" s="2" t="str">
        <v>tengah</v>
      </c>
      <c r="K246" s="2"/>
      <c r="L246" s="2"/>
      <c r="O246" s="2" t="str">
        <v>tengah</v>
      </c>
      <c r="P246" s="2"/>
      <c r="Q246" s="2"/>
      <c r="T246" s="2" t="str">
        <v>kanan</v>
      </c>
      <c r="U246" s="2"/>
      <c r="V246" s="2"/>
    </row>
    <row r="247" spans="5:22">
      <c r="E247" s="2" t="str">
        <v>kanan</v>
      </c>
      <c r="F247" s="2"/>
      <c r="G247" s="2"/>
      <c r="J247" s="2" t="str">
        <v>kiri</v>
      </c>
      <c r="K247" s="2"/>
      <c r="L247" s="2"/>
      <c r="O247" s="2" t="str">
        <v>kiri</v>
      </c>
      <c r="P247" s="2"/>
      <c r="Q247" s="2"/>
      <c r="T247" s="2" t="str">
        <v>tengah</v>
      </c>
      <c r="U247" s="2"/>
      <c r="V247" s="2"/>
    </row>
    <row r="248" spans="5:22">
      <c r="E248" s="2" t="str">
        <v>kiri</v>
      </c>
      <c r="F248" s="2"/>
      <c r="G248" s="2"/>
      <c r="J248" s="2" t="str">
        <v>tengah</v>
      </c>
      <c r="K248" s="2"/>
      <c r="L248" s="2"/>
      <c r="O248" s="2" t="str">
        <v>kanan</v>
      </c>
      <c r="P248" s="2"/>
      <c r="Q248" s="2"/>
      <c r="T248" s="2" t="str">
        <v>tengah</v>
      </c>
      <c r="U248" s="2"/>
      <c r="V248" s="2"/>
    </row>
    <row r="249" spans="5:22">
      <c r="E249" s="2" t="str">
        <v>kiri</v>
      </c>
      <c r="F249" s="2"/>
      <c r="G249" s="2"/>
      <c r="J249" s="2" t="str">
        <v>kiri</v>
      </c>
      <c r="K249" s="2"/>
      <c r="L249" s="2"/>
      <c r="O249" s="2" t="str">
        <v>tengah</v>
      </c>
      <c r="P249" s="2"/>
      <c r="Q249" s="2"/>
      <c r="T249" s="2" t="str">
        <v>tengah</v>
      </c>
      <c r="U249" s="2"/>
      <c r="V249" s="2"/>
    </row>
    <row r="250" spans="5:22">
      <c r="E250" s="2" t="str">
        <v>kiri</v>
      </c>
      <c r="F250" s="2"/>
      <c r="G250" s="2"/>
      <c r="J250" s="2" t="str">
        <v>kiri</v>
      </c>
      <c r="K250" s="2"/>
      <c r="L250" s="2"/>
      <c r="O250" s="2" t="str">
        <v>kanan</v>
      </c>
      <c r="P250" s="2"/>
      <c r="Q250" s="2"/>
      <c r="T250" s="2" t="str">
        <v>tengah</v>
      </c>
      <c r="U250" s="2"/>
      <c r="V250" s="2"/>
    </row>
    <row r="251" spans="5:22">
      <c r="E251" s="2" t="str">
        <v>kiri</v>
      </c>
      <c r="F251" s="2"/>
      <c r="G251" s="2"/>
      <c r="J251" s="2" t="str">
        <v>tengah</v>
      </c>
      <c r="K251" s="2"/>
      <c r="L251" s="2"/>
      <c r="O251" s="2" t="str">
        <v>tengah</v>
      </c>
      <c r="P251" s="2"/>
      <c r="Q251" s="2"/>
      <c r="T251" s="2" t="str">
        <v>kanan</v>
      </c>
      <c r="U251" s="2"/>
      <c r="V251" s="2"/>
    </row>
    <row r="252" spans="5:22">
      <c r="E252" s="2" t="str">
        <v>kanan</v>
      </c>
      <c r="F252" s="2"/>
      <c r="G252" s="2"/>
      <c r="J252" s="2" t="str">
        <v>kiri</v>
      </c>
      <c r="K252" s="2"/>
      <c r="L252" s="2"/>
      <c r="O252" s="2" t="str">
        <v>tengah</v>
      </c>
      <c r="P252" s="2"/>
      <c r="Q252" s="2"/>
      <c r="T252" s="2" t="str">
        <v>tengah</v>
      </c>
      <c r="U252" s="2"/>
      <c r="V252" s="2"/>
    </row>
    <row r="253" spans="5:22">
      <c r="E253" s="2" t="str">
        <v>kiri</v>
      </c>
      <c r="F253" s="2"/>
      <c r="G253" s="2"/>
      <c r="J253" s="2" t="str">
        <v>kiri</v>
      </c>
      <c r="K253" s="2"/>
      <c r="L253" s="2"/>
      <c r="O253" s="2" t="str">
        <v>tengah</v>
      </c>
      <c r="P253" s="2"/>
      <c r="Q253" s="2"/>
      <c r="T253" s="2" t="str">
        <v>kanan</v>
      </c>
      <c r="U253" s="2"/>
      <c r="V253" s="2"/>
    </row>
    <row r="254" spans="5:22">
      <c r="E254" s="2" t="str">
        <v>tengah</v>
      </c>
      <c r="F254" s="2"/>
      <c r="G254" s="2"/>
      <c r="J254" s="2" t="str">
        <v>kiri</v>
      </c>
      <c r="K254" s="2"/>
      <c r="L254" s="2"/>
      <c r="O254" s="2" t="str">
        <v>tengah</v>
      </c>
      <c r="P254" s="2"/>
      <c r="Q254" s="2"/>
      <c r="T254" s="2" t="str">
        <v>tengah</v>
      </c>
      <c r="U254" s="2"/>
      <c r="V254" s="2"/>
    </row>
    <row r="255" spans="5:22">
      <c r="E255" s="2" t="str">
        <v>tengah</v>
      </c>
      <c r="F255" s="2"/>
      <c r="G255" s="2"/>
      <c r="J255" s="2" t="str">
        <v>kiri</v>
      </c>
      <c r="K255" s="2"/>
      <c r="L255" s="2"/>
      <c r="O255" s="2" t="str">
        <v>kiri</v>
      </c>
      <c r="P255" s="2"/>
      <c r="Q255" s="2"/>
      <c r="T255" s="2" t="str">
        <v>kanan</v>
      </c>
      <c r="U255" s="2"/>
      <c r="V255" s="2"/>
    </row>
    <row r="256" spans="5:22">
      <c r="E256" s="2" t="str">
        <v>tengah</v>
      </c>
      <c r="F256" s="2"/>
      <c r="G256" s="2"/>
      <c r="J256" s="2" t="str">
        <v>kanan</v>
      </c>
      <c r="K256" s="2"/>
      <c r="L256" s="2"/>
      <c r="O256" s="2" t="str">
        <v>tengah</v>
      </c>
      <c r="P256" s="2"/>
      <c r="Q256" s="2"/>
      <c r="T256" s="2" t="str">
        <v>tengah</v>
      </c>
      <c r="U256" s="2"/>
      <c r="V256" s="2"/>
    </row>
    <row r="257" spans="5:22">
      <c r="E257" s="2" t="str">
        <v>kanan</v>
      </c>
      <c r="F257" s="2"/>
      <c r="G257" s="2"/>
      <c r="J257" s="2" t="str">
        <v>tengah</v>
      </c>
      <c r="K257" s="2"/>
      <c r="L257" s="2"/>
      <c r="O257" s="2" t="str">
        <v>tengah</v>
      </c>
      <c r="P257" s="2"/>
      <c r="Q257" s="2"/>
      <c r="T257" s="2" t="str">
        <v>kanan</v>
      </c>
      <c r="U257" s="2"/>
      <c r="V257" s="2"/>
    </row>
    <row r="258" spans="5:22">
      <c r="E258" s="2" t="str">
        <v>kiri</v>
      </c>
      <c r="F258" s="2"/>
      <c r="G258" s="2"/>
      <c r="J258" s="2" t="str">
        <v>tengah</v>
      </c>
      <c r="K258" s="2"/>
      <c r="L258" s="2"/>
      <c r="O258" s="2" t="str">
        <v>kiri</v>
      </c>
      <c r="P258" s="2"/>
      <c r="Q258" s="2"/>
      <c r="T258" s="2" t="str">
        <v>tengah</v>
      </c>
      <c r="U258" s="2"/>
      <c r="V258" s="2"/>
    </row>
    <row r="259" spans="5:22">
      <c r="E259" s="2" t="str">
        <v>tengah</v>
      </c>
      <c r="F259" s="2"/>
      <c r="G259" s="2"/>
      <c r="J259" s="2" t="str">
        <v>kanan</v>
      </c>
      <c r="K259" s="2"/>
      <c r="L259" s="2"/>
      <c r="O259" s="2" t="str">
        <v>tengah</v>
      </c>
      <c r="P259" s="2"/>
      <c r="Q259" s="2"/>
      <c r="T259" s="2" t="str">
        <v>tengah</v>
      </c>
      <c r="U259" s="2"/>
      <c r="V259" s="2"/>
    </row>
    <row r="260" spans="5:22">
      <c r="E260" s="2" t="str">
        <v>tengah</v>
      </c>
      <c r="F260" s="2"/>
      <c r="G260" s="2"/>
      <c r="J260" s="2" t="str">
        <v>tengah</v>
      </c>
      <c r="K260" s="2"/>
      <c r="L260" s="2"/>
      <c r="O260" s="2" t="str">
        <v>tengah</v>
      </c>
      <c r="P260" s="2"/>
      <c r="Q260" s="2"/>
      <c r="T260" s="2" t="str">
        <v>kanan</v>
      </c>
      <c r="U260" s="2"/>
      <c r="V260" s="2"/>
    </row>
    <row r="261" spans="5:22">
      <c r="E261" s="2" t="str">
        <v>tengah</v>
      </c>
      <c r="F261" s="2"/>
      <c r="G261" s="2"/>
      <c r="J261" s="2" t="str">
        <v>kanan</v>
      </c>
      <c r="K261" s="2"/>
      <c r="L261" s="2"/>
      <c r="O261" s="2" t="str">
        <v>tengah</v>
      </c>
      <c r="P261" s="2"/>
      <c r="Q261" s="2"/>
      <c r="T261" s="2" t="str">
        <v>kanan</v>
      </c>
      <c r="U261" s="2"/>
      <c r="V261" s="2"/>
    </row>
    <row r="262" spans="5:22">
      <c r="E262" s="2" t="str">
        <v>tengah</v>
      </c>
      <c r="F262" s="2"/>
      <c r="G262" s="2"/>
      <c r="J262" s="2" t="str">
        <v>kiri</v>
      </c>
      <c r="K262" s="2"/>
      <c r="L262" s="2"/>
      <c r="O262" s="2" t="str">
        <v>tengah</v>
      </c>
      <c r="P262" s="2"/>
      <c r="Q262" s="2"/>
      <c r="T262" s="2" t="str">
        <v>tengah</v>
      </c>
      <c r="U262" s="2"/>
      <c r="V262" s="2"/>
    </row>
    <row r="263" spans="5:22">
      <c r="E263" s="2" t="str">
        <v>tengah</v>
      </c>
      <c r="F263" s="2"/>
      <c r="G263" s="2"/>
      <c r="J263" s="2" t="str">
        <v>kiri</v>
      </c>
      <c r="K263" s="2"/>
      <c r="L263" s="2"/>
      <c r="O263" s="2" t="str">
        <v>kanan</v>
      </c>
      <c r="P263" s="2"/>
      <c r="Q263" s="2"/>
      <c r="T263" s="2" t="str">
        <v>tengah</v>
      </c>
      <c r="U263" s="2"/>
      <c r="V263" s="2"/>
    </row>
    <row r="264" spans="5:22">
      <c r="E264" s="2" t="str">
        <v>tengah</v>
      </c>
      <c r="F264" s="2"/>
      <c r="G264" s="2"/>
      <c r="J264" s="2" t="str">
        <v>tengah</v>
      </c>
      <c r="K264" s="2"/>
      <c r="L264" s="2"/>
      <c r="O264" s="2" t="str">
        <v>kanan</v>
      </c>
      <c r="P264" s="2"/>
      <c r="Q264" s="2"/>
      <c r="T264" s="2" t="str">
        <v>kanan</v>
      </c>
      <c r="U264" s="2"/>
      <c r="V264" s="2"/>
    </row>
    <row r="265" spans="5:22">
      <c r="E265" s="2" t="str">
        <v>tengah</v>
      </c>
      <c r="F265" s="2"/>
      <c r="G265" s="2"/>
      <c r="J265" s="2" t="str">
        <v>tengah</v>
      </c>
      <c r="K265" s="2"/>
      <c r="L265" s="2"/>
      <c r="O265" s="2" t="str">
        <v>kanan</v>
      </c>
      <c r="P265" s="2"/>
      <c r="Q265" s="2"/>
      <c r="T265" s="2" t="str">
        <v>kanan</v>
      </c>
      <c r="U265" s="2"/>
      <c r="V265" s="2"/>
    </row>
    <row r="266" spans="5:22">
      <c r="E266" s="2" t="str">
        <v>kanan</v>
      </c>
      <c r="F266" s="2"/>
      <c r="G266" s="2"/>
      <c r="J266" s="2" t="str">
        <v>tengah</v>
      </c>
      <c r="K266" s="2"/>
      <c r="L266" s="2"/>
      <c r="O266" s="2" t="str">
        <v>tengah</v>
      </c>
      <c r="P266" s="2"/>
      <c r="Q266" s="2"/>
      <c r="T266" s="2" t="str">
        <v>kanan</v>
      </c>
      <c r="U266" s="2"/>
      <c r="V266" s="2"/>
    </row>
    <row r="267" spans="5:22">
      <c r="E267" s="2" t="str">
        <v>kiri</v>
      </c>
      <c r="F267" s="2"/>
      <c r="G267" s="2"/>
      <c r="J267" s="2" t="str">
        <v>tengah</v>
      </c>
      <c r="K267" s="2"/>
      <c r="L267" s="2"/>
      <c r="O267" s="2" t="str">
        <v>kiri</v>
      </c>
      <c r="P267" s="2"/>
      <c r="Q267" s="2"/>
      <c r="T267" s="2" t="str">
        <v>tengah</v>
      </c>
      <c r="U267" s="2"/>
      <c r="V267" s="2"/>
    </row>
    <row r="268" spans="5:22">
      <c r="E268" s="2" t="str">
        <v>tengah</v>
      </c>
      <c r="F268" s="2"/>
      <c r="G268" s="2"/>
      <c r="J268" s="2" t="str">
        <v>kiri</v>
      </c>
      <c r="K268" s="2"/>
      <c r="L268" s="2"/>
      <c r="O268" s="2" t="str">
        <v>tengah</v>
      </c>
      <c r="P268" s="2"/>
      <c r="Q268" s="2"/>
      <c r="T268" s="2" t="str">
        <v>tengah</v>
      </c>
      <c r="U268" s="2"/>
      <c r="V268" s="2"/>
    </row>
    <row r="269" spans="5:22">
      <c r="E269" s="2" t="str">
        <v>kanan</v>
      </c>
      <c r="F269" s="2"/>
      <c r="G269" s="2"/>
      <c r="J269" s="2" t="str">
        <v>tengah</v>
      </c>
      <c r="K269" s="2"/>
      <c r="L269" s="2"/>
      <c r="O269" s="2" t="str">
        <v>kiri</v>
      </c>
      <c r="P269" s="2"/>
      <c r="Q269" s="2"/>
      <c r="T269" s="2" t="str">
        <v>kanan</v>
      </c>
      <c r="U269" s="2"/>
      <c r="V269" s="2"/>
    </row>
    <row r="270" spans="5:22">
      <c r="E270" s="2" t="str">
        <v>tengah</v>
      </c>
      <c r="F270" s="2"/>
      <c r="G270" s="2"/>
      <c r="J270" s="2" t="str">
        <v>kanan</v>
      </c>
      <c r="K270" s="2"/>
      <c r="L270" s="2"/>
      <c r="O270" s="2" t="str">
        <v>tengah</v>
      </c>
      <c r="P270" s="2"/>
      <c r="Q270" s="2"/>
      <c r="T270" s="2" t="str">
        <v>kanan</v>
      </c>
      <c r="U270" s="2"/>
      <c r="V270" s="2"/>
    </row>
    <row r="271" spans="5:22">
      <c r="E271" s="2" t="str">
        <v>tengah</v>
      </c>
      <c r="F271" s="2"/>
      <c r="G271" s="2"/>
      <c r="J271" s="2" t="str">
        <v>tengah</v>
      </c>
      <c r="K271" s="2"/>
      <c r="L271" s="2"/>
      <c r="O271" s="2" t="str">
        <v>kiri</v>
      </c>
      <c r="P271" s="2"/>
      <c r="Q271" s="2"/>
      <c r="T271" s="2" t="str">
        <v>kanan</v>
      </c>
      <c r="U271" s="2"/>
      <c r="V271" s="2"/>
    </row>
    <row r="272" spans="5:22">
      <c r="E272" s="2" t="str">
        <v>tengah</v>
      </c>
      <c r="F272" s="2"/>
      <c r="G272" s="2"/>
      <c r="J272" s="2" t="str">
        <v>tengah</v>
      </c>
      <c r="K272" s="2"/>
      <c r="L272" s="2"/>
      <c r="O272" s="2" t="str">
        <v>tengah</v>
      </c>
      <c r="P272" s="2"/>
      <c r="Q272" s="2"/>
      <c r="T272" s="2" t="str">
        <v>tengah</v>
      </c>
      <c r="U272" s="2"/>
      <c r="V272" s="2"/>
    </row>
    <row r="273" spans="5:22">
      <c r="E273" s="2" t="str">
        <v>tengah</v>
      </c>
      <c r="F273" s="2"/>
      <c r="G273" s="2"/>
      <c r="J273" s="2" t="str">
        <v>tengah</v>
      </c>
      <c r="K273" s="2"/>
      <c r="L273" s="2"/>
      <c r="O273" s="2" t="str">
        <v>tengah</v>
      </c>
      <c r="P273" s="2"/>
      <c r="Q273" s="2"/>
      <c r="T273" s="2" t="str">
        <v>kanan</v>
      </c>
      <c r="U273" s="2"/>
      <c r="V273" s="2"/>
    </row>
    <row r="274" spans="5:22">
      <c r="E274" s="2" t="str">
        <v>tengah</v>
      </c>
      <c r="F274" s="2"/>
      <c r="G274" s="2"/>
      <c r="J274" s="2" t="str">
        <v>kanan</v>
      </c>
      <c r="K274" s="2"/>
      <c r="L274" s="2"/>
      <c r="O274" s="2" t="str">
        <v>tengah</v>
      </c>
      <c r="P274" s="2"/>
      <c r="Q274" s="2"/>
      <c r="T274" s="2" t="str">
        <v>kanan</v>
      </c>
      <c r="U274" s="2"/>
      <c r="V274" s="2"/>
    </row>
    <row r="275" spans="5:22">
      <c r="E275" s="2" t="str">
        <v>tengah</v>
      </c>
      <c r="F275" s="2"/>
      <c r="G275" s="2"/>
      <c r="J275" s="2" t="str">
        <v>kiri</v>
      </c>
      <c r="K275" s="2"/>
      <c r="L275" s="2"/>
      <c r="O275" s="2" t="str">
        <v>kanan</v>
      </c>
      <c r="P275" s="2"/>
      <c r="Q275" s="2"/>
      <c r="T275" s="2" t="str">
        <v>tengah</v>
      </c>
      <c r="U275" s="2"/>
      <c r="V275" s="2"/>
    </row>
    <row r="276" spans="5:22">
      <c r="E276" s="2" t="str">
        <v>kiri</v>
      </c>
      <c r="F276" s="2"/>
      <c r="G276" s="2"/>
      <c r="J276" s="2" t="str">
        <v>tengah</v>
      </c>
      <c r="K276" s="2"/>
      <c r="L276" s="2"/>
      <c r="O276" s="2" t="str">
        <v>tengah</v>
      </c>
      <c r="P276" s="2"/>
      <c r="Q276" s="2"/>
      <c r="T276" s="2" t="str">
        <v>kanan</v>
      </c>
      <c r="U276" s="2"/>
      <c r="V276" s="2"/>
    </row>
    <row r="277" spans="5:22">
      <c r="E277" s="2" t="str">
        <v>tengah</v>
      </c>
      <c r="F277" s="2"/>
      <c r="G277" s="2"/>
      <c r="J277" s="2" t="str">
        <v>tengah</v>
      </c>
      <c r="K277" s="2"/>
      <c r="L277" s="2"/>
      <c r="O277" s="2" t="str">
        <v>tengah</v>
      </c>
      <c r="P277" s="2"/>
      <c r="Q277" s="2"/>
      <c r="T277" s="2" t="str">
        <v>tengah</v>
      </c>
      <c r="U277" s="2"/>
      <c r="V277" s="2"/>
    </row>
    <row r="278" spans="5:22">
      <c r="E278" s="2" t="str">
        <v>tengah</v>
      </c>
      <c r="F278" s="2"/>
      <c r="G278" s="2"/>
      <c r="J278" s="2" t="str">
        <v>kiri</v>
      </c>
      <c r="K278" s="2"/>
      <c r="L278" s="2"/>
      <c r="O278" s="2" t="str">
        <v>kiri</v>
      </c>
      <c r="P278" s="2"/>
      <c r="Q278" s="2"/>
      <c r="T278" s="2" t="str">
        <v>tengah</v>
      </c>
      <c r="U278" s="2"/>
      <c r="V278" s="2"/>
    </row>
    <row r="279" spans="5:22">
      <c r="E279" s="2" t="str">
        <v>tengah</v>
      </c>
      <c r="F279" s="2"/>
      <c r="G279" s="2"/>
      <c r="J279" s="2" t="str">
        <v>kanan</v>
      </c>
      <c r="K279" s="2"/>
      <c r="L279" s="2"/>
      <c r="O279" s="2" t="str">
        <v>tengah</v>
      </c>
      <c r="P279" s="2"/>
      <c r="Q279" s="2"/>
      <c r="T279" s="2" t="str">
        <v>kanan</v>
      </c>
      <c r="U279" s="2"/>
      <c r="V279" s="2"/>
    </row>
    <row r="280" spans="5:22">
      <c r="E280" s="2" t="str">
        <v>tengah</v>
      </c>
      <c r="F280" s="2"/>
      <c r="G280" s="2"/>
      <c r="J280" s="2" t="str">
        <v>kiri</v>
      </c>
      <c r="K280" s="2"/>
      <c r="L280" s="2"/>
      <c r="O280" s="2" t="str">
        <v>tengah</v>
      </c>
      <c r="P280" s="2"/>
      <c r="Q280" s="2"/>
      <c r="T280" s="2" t="str">
        <v>tengah</v>
      </c>
      <c r="U280" s="2"/>
      <c r="V280" s="2"/>
    </row>
    <row r="281" spans="5:22">
      <c r="E281" s="2" t="str">
        <v>tengah</v>
      </c>
      <c r="F281" s="2"/>
      <c r="G281" s="2"/>
      <c r="J281" s="2" t="str">
        <v>tengah</v>
      </c>
      <c r="K281" s="2"/>
      <c r="L281" s="2"/>
      <c r="O281" s="2" t="str">
        <v>tengah</v>
      </c>
      <c r="P281" s="2"/>
      <c r="Q281" s="2"/>
      <c r="T281" s="2" t="str">
        <v>kanan</v>
      </c>
      <c r="U281" s="2"/>
      <c r="V281" s="2"/>
    </row>
    <row r="282" spans="5:22">
      <c r="E282" s="2" t="str">
        <v>tengah</v>
      </c>
      <c r="F282" s="2"/>
      <c r="G282" s="2"/>
      <c r="J282" s="2" t="str">
        <v>tengah</v>
      </c>
      <c r="K282" s="2"/>
      <c r="L282" s="2"/>
      <c r="O282" s="2" t="str">
        <v>tengah</v>
      </c>
      <c r="P282" s="2"/>
      <c r="Q282" s="2"/>
      <c r="T282" s="2" t="str">
        <v>kanan</v>
      </c>
      <c r="U282" s="2"/>
      <c r="V282" s="2"/>
    </row>
    <row r="283" spans="5:22">
      <c r="E283" s="2" t="str">
        <v>tengah</v>
      </c>
      <c r="F283" s="2"/>
      <c r="G283" s="2"/>
      <c r="J283" s="2" t="str">
        <v>tengah</v>
      </c>
      <c r="K283" s="2"/>
      <c r="L283" s="2"/>
      <c r="O283" s="2" t="str">
        <v>kiri</v>
      </c>
      <c r="P283" s="2"/>
      <c r="Q283" s="2"/>
      <c r="T283" s="2" t="str">
        <v>kanan</v>
      </c>
      <c r="U283" s="2"/>
      <c r="V283" s="2"/>
    </row>
    <row r="284" spans="5:22">
      <c r="E284" s="2" t="str">
        <v>kiri</v>
      </c>
      <c r="F284" s="2"/>
      <c r="G284" s="2"/>
      <c r="J284" s="2" t="str">
        <v>tengah</v>
      </c>
      <c r="K284" s="2"/>
      <c r="L284" s="2"/>
      <c r="O284" s="2" t="str">
        <v>tengah</v>
      </c>
      <c r="P284" s="2"/>
      <c r="Q284" s="2"/>
      <c r="T284" s="2" t="str">
        <v>tengah</v>
      </c>
      <c r="U284" s="2"/>
      <c r="V284" s="2"/>
    </row>
    <row r="285" spans="5:22">
      <c r="E285" s="2" t="str">
        <v>tengah</v>
      </c>
      <c r="F285" s="2"/>
      <c r="G285" s="2"/>
      <c r="J285" s="2" t="str">
        <v>kiri</v>
      </c>
      <c r="K285" s="2"/>
      <c r="L285" s="2"/>
      <c r="O285" s="2" t="str">
        <v>tengah</v>
      </c>
      <c r="P285" s="2"/>
      <c r="Q285" s="2"/>
      <c r="T285" s="2" t="str">
        <v>kanan</v>
      </c>
      <c r="U285" s="2"/>
      <c r="V285" s="2"/>
    </row>
    <row r="286" spans="5:22">
      <c r="E286" s="2" t="str">
        <v>tengah</v>
      </c>
      <c r="F286" s="2"/>
      <c r="G286" s="2"/>
      <c r="J286" s="2" t="str">
        <v>kanan</v>
      </c>
      <c r="K286" s="2"/>
      <c r="L286" s="2"/>
      <c r="O286" s="2" t="str">
        <v>tengah</v>
      </c>
      <c r="P286" s="2"/>
      <c r="Q286" s="2"/>
      <c r="T286" s="2" t="str">
        <v>tengah</v>
      </c>
      <c r="U286" s="2"/>
      <c r="V286" s="2"/>
    </row>
    <row r="287" spans="5:22">
      <c r="E287" s="2" t="str">
        <v>tengah</v>
      </c>
      <c r="F287" s="2"/>
      <c r="G287" s="2"/>
      <c r="J287" s="2" t="str">
        <v>kiri</v>
      </c>
      <c r="K287" s="2"/>
      <c r="L287" s="2"/>
      <c r="O287" s="2" t="str">
        <v>tengah</v>
      </c>
      <c r="P287" s="2"/>
      <c r="Q287" s="2"/>
      <c r="T287" s="2" t="str">
        <v>tengah</v>
      </c>
      <c r="U287" s="2"/>
      <c r="V287" s="2"/>
    </row>
    <row r="288" spans="5:22">
      <c r="E288" s="2" t="str">
        <v>tengah</v>
      </c>
      <c r="F288" s="2"/>
      <c r="G288" s="2"/>
      <c r="J288" s="2" t="str">
        <v>kiri</v>
      </c>
      <c r="K288" s="2"/>
      <c r="L288" s="2"/>
      <c r="O288" s="2" t="str">
        <v>tengah</v>
      </c>
      <c r="P288" s="2"/>
      <c r="Q288" s="2"/>
      <c r="T288" s="2" t="str">
        <v>tengah</v>
      </c>
      <c r="U288" s="2"/>
      <c r="V288" s="2"/>
    </row>
    <row r="289" spans="5:22">
      <c r="E289" s="2" t="str">
        <v>tengah</v>
      </c>
      <c r="F289" s="2"/>
      <c r="G289" s="2"/>
      <c r="J289" s="2" t="str">
        <v>tengah</v>
      </c>
      <c r="K289" s="2"/>
      <c r="L289" s="2"/>
      <c r="O289" s="2" t="str">
        <v>kanan</v>
      </c>
      <c r="P289" s="2"/>
      <c r="Q289" s="2"/>
      <c r="T289" s="2" t="str">
        <v>kanan</v>
      </c>
      <c r="U289" s="2"/>
      <c r="V289" s="2"/>
    </row>
    <row r="290" spans="5:22">
      <c r="E290" s="2" t="str">
        <v>tengah</v>
      </c>
      <c r="F290" s="2"/>
      <c r="G290" s="2"/>
      <c r="J290" s="2" t="str">
        <v>tengah</v>
      </c>
      <c r="K290" s="2"/>
      <c r="L290" s="2"/>
      <c r="O290" s="2" t="str">
        <v>tengah</v>
      </c>
      <c r="P290" s="2"/>
      <c r="Q290" s="2"/>
      <c r="T290" s="2" t="str">
        <v>tengah</v>
      </c>
      <c r="U290" s="2"/>
      <c r="V290" s="2"/>
    </row>
    <row r="291" spans="5:22">
      <c r="E291" s="2" t="str">
        <v>kanan</v>
      </c>
      <c r="F291" s="2"/>
      <c r="G291" s="2"/>
      <c r="J291" s="2" t="str">
        <v>tengah</v>
      </c>
      <c r="K291" s="2"/>
      <c r="L291" s="2"/>
      <c r="O291" s="2" t="str">
        <v>tengah</v>
      </c>
      <c r="P291" s="2"/>
      <c r="Q291" s="2"/>
      <c r="T291" s="2" t="str">
        <v>kanan</v>
      </c>
      <c r="U291" s="2"/>
      <c r="V291" s="2"/>
    </row>
    <row r="292" spans="5:22">
      <c r="E292" s="2" t="str">
        <v>tengah</v>
      </c>
      <c r="F292" s="2"/>
      <c r="G292" s="2"/>
      <c r="J292" s="2" t="str">
        <v>kiri</v>
      </c>
      <c r="K292" s="2"/>
      <c r="L292" s="2"/>
      <c r="O292" s="2" t="str">
        <v>tengah</v>
      </c>
      <c r="P292" s="2"/>
      <c r="Q292" s="2"/>
      <c r="T292" s="2" t="str">
        <v>kanan</v>
      </c>
      <c r="U292" s="2"/>
      <c r="V292" s="2"/>
    </row>
    <row r="293" spans="5:22">
      <c r="E293" s="2" t="str">
        <v>tengah</v>
      </c>
      <c r="F293" s="2"/>
      <c r="G293" s="2"/>
      <c r="J293" s="2" t="str">
        <v>kiri</v>
      </c>
      <c r="K293" s="2"/>
      <c r="L293" s="2"/>
      <c r="O293" s="2" t="str">
        <v>tengah</v>
      </c>
      <c r="P293" s="2"/>
      <c r="Q293" s="2"/>
      <c r="T293" s="2" t="str">
        <v>tengah</v>
      </c>
      <c r="U293" s="2"/>
      <c r="V293" s="2"/>
    </row>
    <row r="294" spans="5:22">
      <c r="E294" s="2" t="str">
        <v>kiri</v>
      </c>
      <c r="F294" s="2"/>
      <c r="G294" s="2"/>
      <c r="J294" s="2" t="str">
        <v>tengah</v>
      </c>
      <c r="K294" s="2"/>
      <c r="L294" s="2"/>
      <c r="O294" s="2" t="str">
        <v>tengah</v>
      </c>
      <c r="P294" s="2"/>
      <c r="Q294" s="2"/>
      <c r="T294" s="2" t="str">
        <v>tengah</v>
      </c>
      <c r="U294" s="2"/>
      <c r="V294" s="2"/>
    </row>
    <row r="295" spans="5:22">
      <c r="E295" s="2" t="str">
        <v>kiri</v>
      </c>
      <c r="F295" s="2"/>
      <c r="G295" s="2"/>
      <c r="J295" s="2" t="str">
        <v>kiri</v>
      </c>
      <c r="K295" s="2"/>
      <c r="L295" s="2"/>
      <c r="O295" s="2" t="str">
        <v>tengah</v>
      </c>
      <c r="P295" s="2"/>
      <c r="Q295" s="2"/>
      <c r="T295" s="2" t="str">
        <v>kanan</v>
      </c>
      <c r="U295" s="2"/>
      <c r="V295" s="2"/>
    </row>
    <row r="296" spans="5:22">
      <c r="E296" s="2" t="str">
        <v>kanan</v>
      </c>
      <c r="F296" s="2"/>
      <c r="G296" s="2"/>
      <c r="J296" s="2" t="str">
        <v>tengah</v>
      </c>
      <c r="K296" s="2"/>
      <c r="L296" s="2"/>
      <c r="O296" s="2" t="str">
        <v>tengah</v>
      </c>
      <c r="P296" s="2"/>
      <c r="Q296" s="2"/>
      <c r="T296" s="2" t="str">
        <v>tengah</v>
      </c>
      <c r="U296" s="2"/>
      <c r="V296" s="2"/>
    </row>
    <row r="297" spans="5:22">
      <c r="E297" s="2" t="str">
        <v>kiri</v>
      </c>
      <c r="F297" s="2"/>
      <c r="G297" s="2"/>
      <c r="J297" s="2" t="str">
        <v>kanan</v>
      </c>
      <c r="K297" s="2"/>
      <c r="L297" s="2"/>
      <c r="O297" s="2" t="str">
        <v>kiri</v>
      </c>
      <c r="P297" s="2"/>
      <c r="Q297" s="2"/>
      <c r="T297" s="2" t="str">
        <v>tengah</v>
      </c>
      <c r="U297" s="2"/>
      <c r="V297" s="2"/>
    </row>
    <row r="298" spans="5:22">
      <c r="E298" s="2" t="str">
        <v>tengah</v>
      </c>
      <c r="F298" s="2"/>
      <c r="G298" s="2"/>
      <c r="J298" s="2" t="str">
        <v>kanan</v>
      </c>
      <c r="K298" s="2"/>
      <c r="L298" s="2"/>
      <c r="O298" s="2" t="str">
        <v>kanan</v>
      </c>
      <c r="P298" s="2"/>
      <c r="Q298" s="2"/>
      <c r="T298" s="2" t="str">
        <v>tengah</v>
      </c>
      <c r="U298" s="2"/>
      <c r="V298" s="2"/>
    </row>
    <row r="299" spans="5:22">
      <c r="E299" s="2" t="str">
        <v>tengah</v>
      </c>
      <c r="F299" s="2"/>
      <c r="G299" s="2"/>
      <c r="J299" s="2" t="str">
        <v>tengah</v>
      </c>
      <c r="K299" s="2"/>
      <c r="L299" s="2"/>
      <c r="O299" s="2" t="str">
        <v>tengah</v>
      </c>
      <c r="P299" s="2"/>
      <c r="Q299" s="2"/>
      <c r="T299" s="2" t="str">
        <v>tengah</v>
      </c>
      <c r="U299" s="2"/>
      <c r="V299" s="2"/>
    </row>
    <row r="300" spans="5:22">
      <c r="E300" s="2" t="str">
        <v>kiri</v>
      </c>
      <c r="F300" s="2"/>
      <c r="G300" s="2"/>
      <c r="J300" s="2" t="str">
        <v>tengah</v>
      </c>
      <c r="K300" s="2"/>
      <c r="L300" s="2"/>
      <c r="O300" s="2" t="str">
        <v>kanan</v>
      </c>
      <c r="P300" s="2"/>
      <c r="Q300" s="2"/>
      <c r="T300" s="2" t="str">
        <v>kanan</v>
      </c>
      <c r="U300" s="2"/>
      <c r="V300" s="2"/>
    </row>
    <row r="301" spans="5:22">
      <c r="E301" s="2" t="str">
        <v>tengah</v>
      </c>
      <c r="F301" s="2"/>
      <c r="G301" s="2"/>
      <c r="J301" s="2" t="str">
        <v>kiri</v>
      </c>
      <c r="K301" s="2"/>
      <c r="L301" s="2"/>
      <c r="O301" s="2" t="str">
        <v>tengah</v>
      </c>
      <c r="P301" s="2"/>
      <c r="Q301" s="2"/>
      <c r="T301" s="2" t="str">
        <v>kanan</v>
      </c>
      <c r="U301" s="2"/>
      <c r="V301" s="2"/>
    </row>
    <row r="302" spans="5:22">
      <c r="E302" s="2" t="str">
        <v>tengah</v>
      </c>
      <c r="F302" s="2"/>
      <c r="G302" s="2"/>
      <c r="J302" s="2" t="str">
        <v>kiri</v>
      </c>
      <c r="K302" s="2"/>
      <c r="L302" s="2"/>
      <c r="O302" s="2" t="str">
        <v>kiri</v>
      </c>
      <c r="P302" s="2"/>
      <c r="Q302" s="2"/>
      <c r="T302" s="2" t="str">
        <v>kanan</v>
      </c>
      <c r="U302" s="2"/>
      <c r="V302" s="2"/>
    </row>
    <row r="303" spans="5:22">
      <c r="E303" s="2" t="str">
        <v>tengah</v>
      </c>
      <c r="F303" s="2"/>
      <c r="G303" s="2"/>
      <c r="J303" s="2" t="str">
        <v>kanan</v>
      </c>
      <c r="K303" s="2"/>
      <c r="L303" s="2"/>
      <c r="O303" s="2" t="str">
        <v>tengah</v>
      </c>
      <c r="P303" s="2"/>
      <c r="Q303" s="2"/>
      <c r="T303" s="2" t="str">
        <v>kanan</v>
      </c>
      <c r="U303" s="2"/>
      <c r="V303" s="2"/>
    </row>
    <row r="304" spans="5:22">
      <c r="E304" s="2" t="str">
        <v>tengah</v>
      </c>
      <c r="F304" s="2"/>
      <c r="G304" s="2"/>
      <c r="J304" s="2" t="str">
        <v>kanan</v>
      </c>
      <c r="K304" s="2"/>
      <c r="L304" s="2"/>
      <c r="O304" s="2" t="str">
        <v>tengah</v>
      </c>
      <c r="P304" s="2"/>
      <c r="Q304" s="2"/>
      <c r="T304" s="2" t="str">
        <v>kanan</v>
      </c>
      <c r="U304" s="2"/>
      <c r="V304" s="2"/>
    </row>
    <row r="305" spans="5:22">
      <c r="E305" s="2" t="str">
        <v>kanan</v>
      </c>
      <c r="F305" s="2"/>
      <c r="G305" s="2"/>
      <c r="J305" s="2" t="str">
        <v>kiri</v>
      </c>
      <c r="K305" s="2"/>
      <c r="L305" s="2"/>
      <c r="O305" s="2" t="str">
        <v>kanan</v>
      </c>
      <c r="P305" s="2"/>
      <c r="Q305" s="2"/>
      <c r="T305" s="2" t="str">
        <v>kanan</v>
      </c>
      <c r="U305" s="2"/>
      <c r="V305" s="2"/>
    </row>
    <row r="306" spans="5:22">
      <c r="E306" s="2" t="str">
        <v>kiri</v>
      </c>
      <c r="F306" s="2"/>
      <c r="G306" s="2"/>
      <c r="J306" s="2" t="str">
        <v>kiri</v>
      </c>
      <c r="K306" s="2"/>
      <c r="L306" s="2"/>
      <c r="O306" s="2" t="str">
        <v>tengah</v>
      </c>
      <c r="P306" s="2"/>
      <c r="Q306" s="2"/>
      <c r="T306" s="2" t="str">
        <v>kanan</v>
      </c>
      <c r="U306" s="2"/>
      <c r="V306" s="2"/>
    </row>
    <row r="307" spans="5:22">
      <c r="E307" s="2" t="str">
        <v>tengah</v>
      </c>
      <c r="F307" s="2"/>
      <c r="G307" s="2"/>
      <c r="J307" s="2" t="str">
        <v>tengah</v>
      </c>
      <c r="K307" s="2"/>
      <c r="L307" s="2"/>
      <c r="O307" s="2" t="str">
        <v>kiri</v>
      </c>
      <c r="P307" s="2"/>
      <c r="Q307" s="2"/>
      <c r="T307" s="2" t="str">
        <v>kanan</v>
      </c>
      <c r="U307" s="2"/>
      <c r="V307" s="2"/>
    </row>
    <row r="308" spans="5:22">
      <c r="E308" s="2" t="str">
        <v>kanan</v>
      </c>
      <c r="F308" s="2"/>
      <c r="G308" s="2"/>
      <c r="J308" s="2" t="str">
        <v>kanan</v>
      </c>
      <c r="K308" s="2"/>
      <c r="L308" s="2"/>
      <c r="O308" s="2" t="str">
        <v>tengah</v>
      </c>
      <c r="P308" s="2"/>
      <c r="Q308" s="2"/>
      <c r="T308" s="2" t="str">
        <v>tengah</v>
      </c>
      <c r="U308" s="2"/>
      <c r="V308" s="2"/>
    </row>
    <row r="309" spans="5:22">
      <c r="E309" s="2" t="str">
        <v>tengah</v>
      </c>
      <c r="F309" s="2"/>
      <c r="G309" s="2"/>
      <c r="J309" s="2" t="str">
        <v>tengah</v>
      </c>
      <c r="K309" s="2"/>
      <c r="L309" s="2"/>
      <c r="O309" s="2" t="str">
        <v>tengah</v>
      </c>
      <c r="P309" s="2"/>
      <c r="Q309" s="2"/>
      <c r="T309" s="2" t="str">
        <v>tengah</v>
      </c>
      <c r="U309" s="2"/>
      <c r="V309" s="2"/>
    </row>
    <row r="310" spans="5:22">
      <c r="E310" s="2" t="str">
        <v>kiri</v>
      </c>
      <c r="F310" s="2"/>
      <c r="G310" s="2"/>
      <c r="J310" s="2" t="str">
        <v>tengah</v>
      </c>
      <c r="K310" s="2"/>
      <c r="L310" s="2"/>
      <c r="O310" s="2" t="str">
        <v>kanan</v>
      </c>
      <c r="P310" s="2"/>
      <c r="Q310" s="2"/>
      <c r="T310" s="2" t="str">
        <v>tengah</v>
      </c>
      <c r="U310" s="2"/>
      <c r="V310" s="2"/>
    </row>
    <row r="311" spans="5:22">
      <c r="E311" s="2" t="str">
        <v>kiri</v>
      </c>
      <c r="F311" s="2"/>
      <c r="G311" s="2"/>
      <c r="J311" s="2" t="str">
        <v>kiri</v>
      </c>
      <c r="K311" s="2"/>
      <c r="L311" s="2"/>
      <c r="O311" s="2" t="str">
        <v>kanan</v>
      </c>
      <c r="P311" s="2"/>
      <c r="Q311" s="2"/>
      <c r="T311" s="2" t="str">
        <v>tengah</v>
      </c>
      <c r="U311" s="2"/>
      <c r="V311" s="2"/>
    </row>
    <row r="312" spans="5:22">
      <c r="E312" s="2" t="str">
        <v>kanan</v>
      </c>
      <c r="F312" s="2"/>
      <c r="G312" s="2"/>
      <c r="J312" s="2" t="str">
        <v>kiri</v>
      </c>
      <c r="K312" s="2"/>
      <c r="L312" s="2"/>
      <c r="O312" s="2" t="str">
        <v>kiri</v>
      </c>
      <c r="P312" s="2"/>
      <c r="Q312" s="2"/>
      <c r="T312" s="2" t="str">
        <v>tengah</v>
      </c>
      <c r="U312" s="2"/>
      <c r="V312" s="2"/>
    </row>
    <row r="313" spans="5:22">
      <c r="E313" s="2" t="str">
        <v>tengah</v>
      </c>
      <c r="F313" s="2"/>
      <c r="G313" s="2"/>
      <c r="J313" s="2" t="str">
        <v>tengah</v>
      </c>
      <c r="K313" s="2"/>
      <c r="L313" s="2"/>
      <c r="O313" s="2" t="str">
        <v>kanan</v>
      </c>
      <c r="P313" s="2"/>
      <c r="Q313" s="2"/>
      <c r="T313" s="2" t="str">
        <v>kanan</v>
      </c>
      <c r="U313" s="2"/>
      <c r="V313" s="2"/>
    </row>
    <row r="314" spans="5:22">
      <c r="E314" s="2" t="str">
        <v>kanan</v>
      </c>
      <c r="F314" s="2"/>
      <c r="G314" s="2"/>
      <c r="J314" s="2" t="str">
        <v>kanan</v>
      </c>
      <c r="K314" s="2"/>
      <c r="L314" s="2"/>
      <c r="O314" s="2" t="str">
        <v>tengah</v>
      </c>
      <c r="P314" s="2"/>
      <c r="Q314" s="2"/>
      <c r="T314" s="2" t="str">
        <v>tengah</v>
      </c>
      <c r="U314" s="2"/>
      <c r="V314" s="2"/>
    </row>
    <row r="315" spans="5:22">
      <c r="E315" s="2" t="str">
        <v>tengah</v>
      </c>
      <c r="F315" s="2"/>
      <c r="G315" s="2"/>
      <c r="J315" s="2" t="str">
        <v>kanan</v>
      </c>
      <c r="K315" s="2"/>
      <c r="L315" s="2"/>
      <c r="O315" s="2" t="str">
        <v>tengah</v>
      </c>
      <c r="P315" s="2"/>
      <c r="Q315" s="2"/>
      <c r="T315" s="2" t="str">
        <v>kanan</v>
      </c>
      <c r="U315" s="2"/>
      <c r="V315" s="2"/>
    </row>
    <row r="316" spans="5:22">
      <c r="E316" s="2" t="str">
        <v>kanan</v>
      </c>
      <c r="F316" s="2"/>
      <c r="G316" s="2"/>
      <c r="J316" s="2" t="str">
        <v>kiri</v>
      </c>
      <c r="K316" s="2"/>
      <c r="L316" s="2"/>
      <c r="O316" s="2" t="str">
        <v>tengah</v>
      </c>
      <c r="P316" s="2"/>
      <c r="Q316" s="2"/>
      <c r="T316" s="2" t="str">
        <v>tengah</v>
      </c>
      <c r="U316" s="2"/>
      <c r="V316" s="2"/>
    </row>
    <row r="317" spans="5:22">
      <c r="E317" s="2" t="str">
        <v>tengah</v>
      </c>
      <c r="F317" s="2"/>
      <c r="G317" s="2"/>
      <c r="J317" s="2" t="str">
        <v>tengah</v>
      </c>
      <c r="K317" s="2"/>
      <c r="L317" s="2"/>
      <c r="O317" s="2" t="str">
        <v>kanan</v>
      </c>
      <c r="P317" s="2"/>
      <c r="Q317" s="2"/>
      <c r="T317" s="2" t="str">
        <v>kanan</v>
      </c>
      <c r="U317" s="2"/>
      <c r="V317" s="2"/>
    </row>
    <row r="318" spans="5:22">
      <c r="E318" s="2" t="str">
        <v>tengah</v>
      </c>
      <c r="F318" s="2"/>
      <c r="G318" s="2"/>
      <c r="J318" s="2" t="str">
        <v>kiri</v>
      </c>
      <c r="K318" s="2"/>
      <c r="L318" s="2"/>
      <c r="O318" s="2" t="str">
        <v>tengah</v>
      </c>
      <c r="P318" s="2"/>
      <c r="Q318" s="2"/>
      <c r="T318" s="2" t="str">
        <v>kanan</v>
      </c>
      <c r="U318" s="2"/>
      <c r="V318" s="2"/>
    </row>
    <row r="319" spans="5:22">
      <c r="E319" s="2" t="str">
        <v>tengah</v>
      </c>
      <c r="F319" s="2"/>
      <c r="G319" s="2"/>
      <c r="J319" s="2" t="str">
        <v>kiri</v>
      </c>
      <c r="K319" s="2"/>
      <c r="L319" s="2"/>
      <c r="O319" s="2" t="str">
        <v>tengah</v>
      </c>
      <c r="P319" s="2"/>
      <c r="Q319" s="2"/>
      <c r="T319" s="2" t="str">
        <v>tengah</v>
      </c>
      <c r="U319" s="2"/>
      <c r="V319" s="2"/>
    </row>
    <row r="320" spans="5:22">
      <c r="E320" s="2" t="str">
        <v>kanan</v>
      </c>
      <c r="F320" s="2"/>
      <c r="G320" s="2"/>
      <c r="J320" s="2" t="str">
        <v>tengah</v>
      </c>
      <c r="K320" s="2"/>
      <c r="L320" s="2"/>
      <c r="O320" s="2" t="str">
        <v>tengah</v>
      </c>
      <c r="P320" s="2"/>
      <c r="Q320" s="2"/>
      <c r="T320" s="2" t="str">
        <v>tengah</v>
      </c>
      <c r="U320" s="2"/>
      <c r="V320" s="2"/>
    </row>
    <row r="321" spans="5:22">
      <c r="E321" s="2" t="str">
        <v>tengah</v>
      </c>
      <c r="F321" s="2"/>
      <c r="G321" s="2"/>
      <c r="J321" s="2" t="str">
        <v>kanan</v>
      </c>
      <c r="K321" s="2"/>
      <c r="L321" s="2"/>
      <c r="O321" s="2" t="str">
        <v>tengah</v>
      </c>
      <c r="P321" s="2"/>
      <c r="Q321" s="2"/>
      <c r="T321" s="2" t="str">
        <v>tengah</v>
      </c>
      <c r="U321" s="2"/>
      <c r="V321" s="2"/>
    </row>
    <row r="322" spans="5:22">
      <c r="E322" s="2" t="str">
        <v>tengah</v>
      </c>
      <c r="F322" s="2"/>
      <c r="G322" s="2"/>
      <c r="J322" s="2" t="str">
        <v>tengah</v>
      </c>
      <c r="K322" s="2"/>
      <c r="L322" s="2"/>
      <c r="O322" s="2" t="str">
        <v>tengah</v>
      </c>
      <c r="P322" s="2"/>
      <c r="Q322" s="2"/>
      <c r="T322" s="2" t="str">
        <v>kanan</v>
      </c>
      <c r="U322" s="2"/>
      <c r="V322" s="2"/>
    </row>
    <row r="323" spans="5:22">
      <c r="E323" s="2" t="str">
        <v>tengah</v>
      </c>
      <c r="F323" s="2"/>
      <c r="G323" s="2"/>
      <c r="J323" s="2" t="str">
        <v>kanan</v>
      </c>
      <c r="K323" s="2"/>
      <c r="L323" s="2"/>
      <c r="O323" s="2" t="str">
        <v>tengah</v>
      </c>
      <c r="P323" s="2"/>
      <c r="Q323" s="2"/>
      <c r="T323" s="2" t="str">
        <v>kanan</v>
      </c>
      <c r="U323" s="2"/>
      <c r="V323" s="2"/>
    </row>
    <row r="324" spans="5:22">
      <c r="E324" s="2" t="str">
        <v>kiri</v>
      </c>
      <c r="F324" s="2"/>
      <c r="G324" s="2"/>
      <c r="J324" s="2" t="str">
        <v>kiri</v>
      </c>
      <c r="K324" s="2"/>
      <c r="L324" s="2"/>
      <c r="O324" s="2" t="str">
        <v>kanan</v>
      </c>
      <c r="P324" s="2"/>
      <c r="Q324" s="2"/>
      <c r="T324" s="2" t="str">
        <v>kanan</v>
      </c>
      <c r="U324" s="2"/>
      <c r="V324" s="2"/>
    </row>
    <row r="325" spans="5:22">
      <c r="E325" s="2" t="str">
        <v>tengah</v>
      </c>
      <c r="F325" s="2"/>
      <c r="G325" s="2"/>
      <c r="J325" s="2" t="str">
        <v>tengah</v>
      </c>
      <c r="K325" s="2"/>
      <c r="L325" s="2"/>
      <c r="O325" s="2" t="str">
        <v>tengah</v>
      </c>
      <c r="P325" s="2"/>
      <c r="Q325" s="2"/>
      <c r="T325" s="2" t="str">
        <v>tengah</v>
      </c>
      <c r="U325" s="2"/>
      <c r="V325" s="2"/>
    </row>
    <row r="326" spans="5:22">
      <c r="E326" s="2" t="str">
        <v>tengah</v>
      </c>
      <c r="F326" s="2"/>
      <c r="G326" s="2"/>
      <c r="J326" s="2" t="str">
        <v>kanan</v>
      </c>
      <c r="K326" s="2"/>
      <c r="L326" s="2"/>
      <c r="O326" s="2" t="str">
        <v>tengah</v>
      </c>
      <c r="P326" s="2"/>
      <c r="Q326" s="2"/>
      <c r="T326" s="2" t="str">
        <v>tengah</v>
      </c>
      <c r="U326" s="2"/>
      <c r="V326" s="2"/>
    </row>
    <row r="327" spans="5:22">
      <c r="E327" s="2" t="str">
        <v>kiri</v>
      </c>
      <c r="F327" s="2"/>
      <c r="G327" s="2"/>
      <c r="J327" s="2" t="str">
        <v>kiri</v>
      </c>
      <c r="K327" s="2"/>
      <c r="L327" s="2"/>
      <c r="O327" s="2" t="str">
        <v>tengah</v>
      </c>
      <c r="P327" s="2"/>
      <c r="Q327" s="2"/>
      <c r="T327" s="2" t="str">
        <v>tengah</v>
      </c>
      <c r="U327" s="2"/>
      <c r="V327" s="2"/>
    </row>
    <row r="328" spans="5:22">
      <c r="E328" s="2" t="str">
        <v>tengah</v>
      </c>
      <c r="F328" s="2"/>
      <c r="G328" s="2"/>
      <c r="J328" s="2" t="str">
        <v>tengah</v>
      </c>
      <c r="K328" s="2"/>
      <c r="L328" s="2"/>
      <c r="O328" s="2" t="str">
        <v>tengah</v>
      </c>
      <c r="P328" s="2"/>
      <c r="Q328" s="2"/>
      <c r="T328" s="2" t="str">
        <v>kanan</v>
      </c>
      <c r="U328" s="2"/>
      <c r="V328" s="2"/>
    </row>
    <row r="329" spans="5:22">
      <c r="E329" s="2" t="str">
        <v>kiri</v>
      </c>
      <c r="F329" s="2"/>
      <c r="G329" s="2"/>
      <c r="J329" s="2" t="str">
        <v>tengah</v>
      </c>
      <c r="K329" s="2"/>
      <c r="L329" s="2"/>
      <c r="O329" s="2" t="str">
        <v>tengah</v>
      </c>
      <c r="P329" s="2"/>
      <c r="Q329" s="2"/>
      <c r="T329" s="2" t="str">
        <v>tengah</v>
      </c>
      <c r="U329" s="2"/>
      <c r="V329" s="2"/>
    </row>
    <row r="330" spans="5:22">
      <c r="E330" s="2" t="str">
        <v>kiri</v>
      </c>
      <c r="F330" s="2"/>
      <c r="G330" s="2"/>
      <c r="J330" s="2" t="str">
        <v>tengah</v>
      </c>
      <c r="K330" s="2"/>
      <c r="L330" s="2"/>
      <c r="O330" s="2" t="str">
        <v>tengah</v>
      </c>
      <c r="P330" s="2"/>
      <c r="Q330" s="2"/>
      <c r="T330" s="2" t="str">
        <v>kanan</v>
      </c>
      <c r="U330" s="2"/>
      <c r="V330" s="2"/>
    </row>
    <row r="331" spans="5:22">
      <c r="E331" s="2" t="str">
        <v>kiri</v>
      </c>
      <c r="F331" s="2"/>
      <c r="G331" s="2"/>
      <c r="J331" s="2" t="str">
        <v>kiri</v>
      </c>
      <c r="K331" s="2"/>
      <c r="L331" s="2"/>
      <c r="O331" s="2" t="str">
        <v>kanan</v>
      </c>
      <c r="P331" s="2"/>
      <c r="Q331" s="2"/>
      <c r="T331" s="2" t="str">
        <v>kanan</v>
      </c>
      <c r="U331" s="2"/>
      <c r="V331" s="2"/>
    </row>
    <row r="332" spans="5:22">
      <c r="E332" s="2" t="str">
        <v>tengah</v>
      </c>
      <c r="F332" s="2"/>
      <c r="G332" s="2"/>
      <c r="J332" s="2" t="str">
        <v>tengah</v>
      </c>
      <c r="K332" s="2"/>
      <c r="L332" s="2"/>
      <c r="O332" s="2" t="str">
        <v>tengah</v>
      </c>
      <c r="P332" s="2"/>
      <c r="Q332" s="2"/>
      <c r="T332" s="2" t="str">
        <v>tengah</v>
      </c>
      <c r="U332" s="2"/>
      <c r="V332" s="2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A5DD-F5AF-4DAD-9BE7-91F4BCC23C1D}">
  <dimension ref="A1:Q332"/>
  <sheetViews>
    <sheetView topLeftCell="G4" zoomScale="93" zoomScaleNormal="93" workbookViewId="0">
      <selection activeCell="R175" sqref="R175"/>
    </sheetView>
  </sheetViews>
  <sheetFormatPr defaultRowHeight="15"/>
  <cols>
    <col min="3" max="3" width="15.85546875" bestFit="1" customWidth="1"/>
    <col min="4" max="4" width="13.28515625" bestFit="1" customWidth="1"/>
    <col min="5" max="5" width="13.85546875" bestFit="1" customWidth="1"/>
    <col min="6" max="6" width="12" bestFit="1" customWidth="1"/>
    <col min="9" max="9" width="18.28515625" bestFit="1" customWidth="1"/>
    <col min="10" max="10" width="15.85546875" bestFit="1" customWidth="1"/>
    <col min="12" max="12" width="13.85546875" bestFit="1" customWidth="1"/>
    <col min="13" max="13" width="14.28515625" bestFit="1" customWidth="1"/>
    <col min="14" max="14" width="12.85546875" bestFit="1" customWidth="1"/>
    <col min="15" max="15" width="16.85546875" bestFit="1" customWidth="1"/>
  </cols>
  <sheetData>
    <row r="1" spans="1:17">
      <c r="A1" s="1" t="s">
        <v>171</v>
      </c>
      <c r="B1" s="1" t="s">
        <v>1</v>
      </c>
      <c r="C1" s="1" t="s">
        <v>2</v>
      </c>
      <c r="D1" s="1" t="s">
        <v>4</v>
      </c>
      <c r="E1" s="1" t="s">
        <v>5</v>
      </c>
      <c r="H1" s="2" t="s">
        <v>171</v>
      </c>
      <c r="I1" s="2" t="s">
        <v>1</v>
      </c>
      <c r="J1" s="2" t="s">
        <v>2</v>
      </c>
      <c r="K1" s="2" t="s">
        <v>4</v>
      </c>
      <c r="L1" s="2" t="s">
        <v>5</v>
      </c>
      <c r="O1" s="1" t="s">
        <v>173</v>
      </c>
      <c r="P1" s="3"/>
      <c r="Q1" s="3"/>
    </row>
    <row r="2" spans="1:17">
      <c r="A2" s="2">
        <f ca="1">RANDBETWEEN(2,164)</f>
        <v>129</v>
      </c>
      <c r="B2" s="2" cm="1">
        <f t="array" aca="1" ref="B2" ca="1">INDEX(Data_DBD!$B:$B,$A2)</f>
        <v>4</v>
      </c>
      <c r="C2" s="2" cm="1">
        <f t="array" aca="1" ref="C2" ca="1">INDEX(Data_DBD!$C:$C,$A2)</f>
        <v>3</v>
      </c>
      <c r="D2" s="2" cm="1">
        <f t="array" aca="1" ref="D2" ca="1">INDEX(Data_DBD!$E:$E,$A2)</f>
        <v>0</v>
      </c>
      <c r="E2" s="2" t="str" cm="1">
        <f t="array" aca="1" ref="E2" ca="1">INDEX(Data_DBD!$F:$F,$A2)</f>
        <v>Tinggi</v>
      </c>
      <c r="H2" s="2">
        <v>144</v>
      </c>
      <c r="I2" s="2">
        <v>61</v>
      </c>
      <c r="J2" s="2">
        <v>4</v>
      </c>
      <c r="K2" s="2">
        <v>1</v>
      </c>
      <c r="L2" s="2" t="s">
        <v>97</v>
      </c>
      <c r="O2" s="3" t="s">
        <v>97</v>
      </c>
      <c r="P2" s="3">
        <f>COUNTIF(L2:L164,"Tinggi")</f>
        <v>75</v>
      </c>
      <c r="Q2" s="3">
        <f>P2/163</f>
        <v>0.46012269938650308</v>
      </c>
    </row>
    <row r="3" spans="1:17">
      <c r="A3" s="2">
        <f t="shared" ref="A3:A66" ca="1" si="0">RANDBETWEEN(2,164)</f>
        <v>69</v>
      </c>
      <c r="B3" s="2" cm="1">
        <f t="array" aca="1" ref="B3" ca="1">INDEX(Data_DBD!$B:$B,$A3)</f>
        <v>24</v>
      </c>
      <c r="C3" s="2" cm="1">
        <f t="array" aca="1" ref="C3" ca="1">INDEX(Data_DBD!$C:$C,$A3)</f>
        <v>4</v>
      </c>
      <c r="D3" s="2" cm="1">
        <f t="array" aca="1" ref="D3" ca="1">INDEX(Data_DBD!$E:$E,$A3)</f>
        <v>1</v>
      </c>
      <c r="E3" s="2" t="str" cm="1">
        <f t="array" aca="1" ref="E3" ca="1">INDEX(Data_DBD!$F:$F,$A3)</f>
        <v>Sedang</v>
      </c>
      <c r="H3" s="2">
        <v>2</v>
      </c>
      <c r="I3" s="2">
        <v>34</v>
      </c>
      <c r="J3" s="2">
        <v>3</v>
      </c>
      <c r="K3" s="2">
        <v>0</v>
      </c>
      <c r="L3" s="2" t="s">
        <v>7</v>
      </c>
      <c r="O3" s="3" t="s">
        <v>7</v>
      </c>
      <c r="P3" s="3">
        <f>COUNTIF(L2:L164,"Sedang")</f>
        <v>79</v>
      </c>
      <c r="Q3" s="3">
        <f>P3/163</f>
        <v>0.48466257668711654</v>
      </c>
    </row>
    <row r="4" spans="1:17">
      <c r="A4" s="2">
        <f t="shared" ca="1" si="0"/>
        <v>116</v>
      </c>
      <c r="B4" s="2" cm="1">
        <f t="array" aca="1" ref="B4" ca="1">INDEX(Data_DBD!$B:$B,$A4)</f>
        <v>32</v>
      </c>
      <c r="C4" s="2" cm="1">
        <f t="array" aca="1" ref="C4" ca="1">INDEX(Data_DBD!$C:$C,$A4)</f>
        <v>4</v>
      </c>
      <c r="D4" s="2" cm="1">
        <f t="array" aca="1" ref="D4" ca="1">INDEX(Data_DBD!$E:$E,$A4)</f>
        <v>1</v>
      </c>
      <c r="E4" s="2" t="str" cm="1">
        <f t="array" aca="1" ref="E4" ca="1">INDEX(Data_DBD!$F:$F,$A4)</f>
        <v>Tinggi</v>
      </c>
      <c r="H4" s="2">
        <v>150</v>
      </c>
      <c r="I4" s="2">
        <v>61</v>
      </c>
      <c r="J4" s="2">
        <v>5</v>
      </c>
      <c r="K4" s="2">
        <v>1</v>
      </c>
      <c r="L4" s="2" t="s">
        <v>97</v>
      </c>
      <c r="O4" s="3" t="s">
        <v>20</v>
      </c>
      <c r="P4" s="3">
        <f>COUNTIF(L2:L164,"Rendah")</f>
        <v>9</v>
      </c>
      <c r="Q4" s="3">
        <f>P4/163</f>
        <v>5.5214723926380369E-2</v>
      </c>
    </row>
    <row r="5" spans="1:17">
      <c r="A5" s="2">
        <f t="shared" ca="1" si="0"/>
        <v>133</v>
      </c>
      <c r="B5" s="2" cm="1">
        <f t="array" aca="1" ref="B5" ca="1">INDEX(Data_DBD!$B:$B,$A5)</f>
        <v>6</v>
      </c>
      <c r="C5" s="2" cm="1">
        <f t="array" aca="1" ref="C5" ca="1">INDEX(Data_DBD!$C:$C,$A5)</f>
        <v>4</v>
      </c>
      <c r="D5" s="2" cm="1">
        <f t="array" aca="1" ref="D5" ca="1">INDEX(Data_DBD!$E:$E,$A5)</f>
        <v>0</v>
      </c>
      <c r="E5" s="2" t="str" cm="1">
        <f t="array" aca="1" ref="E5" ca="1">INDEX(Data_DBD!$F:$F,$A5)</f>
        <v>Tinggi</v>
      </c>
      <c r="H5" s="2">
        <v>22</v>
      </c>
      <c r="I5" s="2">
        <v>6</v>
      </c>
      <c r="J5" s="2">
        <v>3</v>
      </c>
      <c r="K5" s="2">
        <v>0</v>
      </c>
      <c r="L5" s="2" t="s">
        <v>7</v>
      </c>
      <c r="O5" s="4" t="s">
        <v>174</v>
      </c>
      <c r="P5">
        <f>-(IFERROR(Q2*LOG(Q2,2),0)+IFERROR(Q3*LOG(Q3,2),0)+IFERROR(Q4*LOG(Q4,2),0))</f>
        <v>1.2524741302668874</v>
      </c>
    </row>
    <row r="6" spans="1:17">
      <c r="A6" s="2">
        <f t="shared" ca="1" si="0"/>
        <v>46</v>
      </c>
      <c r="B6" s="2" cm="1">
        <f t="array" aca="1" ref="B6" ca="1">INDEX(Data_DBD!$B:$B,$A6)</f>
        <v>62</v>
      </c>
      <c r="C6" s="2" cm="1">
        <f t="array" aca="1" ref="C6" ca="1">INDEX(Data_DBD!$C:$C,$A6)</f>
        <v>2</v>
      </c>
      <c r="D6" s="2" cm="1">
        <f t="array" aca="1" ref="D6" ca="1">INDEX(Data_DBD!$E:$E,$A6)</f>
        <v>0</v>
      </c>
      <c r="E6" s="2" t="str" cm="1">
        <f t="array" aca="1" ref="E6" ca="1">INDEX(Data_DBD!$F:$F,$A6)</f>
        <v>Sedang</v>
      </c>
      <c r="H6" s="2">
        <v>27</v>
      </c>
      <c r="I6" s="2">
        <v>37</v>
      </c>
      <c r="J6" s="2">
        <v>4</v>
      </c>
      <c r="K6" s="2">
        <v>1</v>
      </c>
      <c r="L6" s="2" t="s">
        <v>7</v>
      </c>
    </row>
    <row r="7" spans="1:17">
      <c r="A7" s="2">
        <f t="shared" ca="1" si="0"/>
        <v>60</v>
      </c>
      <c r="B7" s="2" cm="1">
        <f t="array" aca="1" ref="B7" ca="1">INDEX(Data_DBD!$B:$B,$A7)</f>
        <v>68</v>
      </c>
      <c r="C7" s="2" cm="1">
        <f t="array" aca="1" ref="C7" ca="1">INDEX(Data_DBD!$C:$C,$A7)</f>
        <v>4</v>
      </c>
      <c r="D7" s="2" cm="1">
        <f t="array" aca="1" ref="D7" ca="1">INDEX(Data_DBD!$E:$E,$A7)</f>
        <v>0</v>
      </c>
      <c r="E7" s="2" t="str" cm="1">
        <f t="array" aca="1" ref="E7" ca="1">INDEX(Data_DBD!$F:$F,$A7)</f>
        <v>Sedang</v>
      </c>
      <c r="H7" s="2">
        <v>41</v>
      </c>
      <c r="I7" s="2">
        <v>8</v>
      </c>
      <c r="J7" s="2">
        <v>4</v>
      </c>
      <c r="K7" s="2">
        <v>0</v>
      </c>
      <c r="L7" s="2" t="s">
        <v>7</v>
      </c>
    </row>
    <row r="8" spans="1:17">
      <c r="A8" s="2">
        <f t="shared" ca="1" si="0"/>
        <v>144</v>
      </c>
      <c r="B8" s="2" cm="1">
        <f t="array" aca="1" ref="B8" ca="1">INDEX(Data_DBD!$B:$B,$A8)</f>
        <v>61</v>
      </c>
      <c r="C8" s="2" cm="1">
        <f t="array" aca="1" ref="C8" ca="1">INDEX(Data_DBD!$C:$C,$A8)</f>
        <v>4</v>
      </c>
      <c r="D8" s="2" cm="1">
        <f t="array" aca="1" ref="D8" ca="1">INDEX(Data_DBD!$E:$E,$A8)</f>
        <v>1</v>
      </c>
      <c r="E8" s="2" t="str" cm="1">
        <f t="array" aca="1" ref="E8" ca="1">INDEX(Data_DBD!$F:$F,$A8)</f>
        <v>Tinggi</v>
      </c>
      <c r="H8" s="2">
        <v>97</v>
      </c>
      <c r="I8" s="2">
        <v>16</v>
      </c>
      <c r="J8" s="2">
        <v>2</v>
      </c>
      <c r="K8" s="2">
        <v>1</v>
      </c>
      <c r="L8" s="2" t="s">
        <v>97</v>
      </c>
    </row>
    <row r="9" spans="1:17">
      <c r="A9" s="2">
        <f t="shared" ca="1" si="0"/>
        <v>37</v>
      </c>
      <c r="B9" s="2" cm="1">
        <f t="array" aca="1" ref="B9" ca="1">INDEX(Data_DBD!$B:$B,$A9)</f>
        <v>28</v>
      </c>
      <c r="C9" s="2" cm="1">
        <f t="array" aca="1" ref="C9" ca="1">INDEX(Data_DBD!$C:$C,$A9)</f>
        <v>4</v>
      </c>
      <c r="D9" s="2" cm="1">
        <f t="array" aca="1" ref="D9" ca="1">INDEX(Data_DBD!$E:$E,$A9)</f>
        <v>1</v>
      </c>
      <c r="E9" s="2" t="str" cm="1">
        <f t="array" aca="1" ref="E9" ca="1">INDEX(Data_DBD!$F:$F,$A9)</f>
        <v>Rendah</v>
      </c>
      <c r="H9" s="2">
        <v>2</v>
      </c>
      <c r="I9" s="2">
        <v>34</v>
      </c>
      <c r="J9" s="2">
        <v>3</v>
      </c>
      <c r="K9" s="2">
        <v>0</v>
      </c>
      <c r="L9" s="2" t="s">
        <v>7</v>
      </c>
    </row>
    <row r="10" spans="1:17">
      <c r="A10" s="2">
        <f t="shared" ca="1" si="0"/>
        <v>105</v>
      </c>
      <c r="B10" s="2" cm="1">
        <f t="array" aca="1" ref="B10" ca="1">INDEX(Data_DBD!$B:$B,$A10)</f>
        <v>61</v>
      </c>
      <c r="C10" s="2" cm="1">
        <f t="array" aca="1" ref="C10" ca="1">INDEX(Data_DBD!$C:$C,$A10)</f>
        <v>3</v>
      </c>
      <c r="D10" s="2" cm="1">
        <f t="array" aca="1" ref="D10" ca="1">INDEX(Data_DBD!$E:$E,$A10)</f>
        <v>1</v>
      </c>
      <c r="E10" s="2" t="str" cm="1">
        <f t="array" aca="1" ref="E10" ca="1">INDEX(Data_DBD!$F:$F,$A10)</f>
        <v>Tinggi</v>
      </c>
      <c r="H10" s="2">
        <v>69</v>
      </c>
      <c r="I10" s="2">
        <v>24</v>
      </c>
      <c r="J10" s="2">
        <v>4</v>
      </c>
      <c r="K10" s="2">
        <v>1</v>
      </c>
      <c r="L10" s="2" t="s">
        <v>7</v>
      </c>
    </row>
    <row r="11" spans="1:17">
      <c r="A11" s="2">
        <f t="shared" ca="1" si="0"/>
        <v>80</v>
      </c>
      <c r="B11" s="2" cm="1">
        <f t="array" aca="1" ref="B11" ca="1">INDEX(Data_DBD!$B:$B,$A11)</f>
        <v>27</v>
      </c>
      <c r="C11" s="2" cm="1">
        <f t="array" aca="1" ref="C11" ca="1">INDEX(Data_DBD!$C:$C,$A11)</f>
        <v>3</v>
      </c>
      <c r="D11" s="2" cm="1">
        <f t="array" aca="1" ref="D11" ca="1">INDEX(Data_DBD!$E:$E,$A11)</f>
        <v>1</v>
      </c>
      <c r="E11" s="2" t="str" cm="1">
        <f t="array" aca="1" ref="E11" ca="1">INDEX(Data_DBD!$F:$F,$A11)</f>
        <v>Sedang</v>
      </c>
      <c r="H11" s="2">
        <v>111</v>
      </c>
      <c r="I11" s="2">
        <v>25</v>
      </c>
      <c r="J11" s="2">
        <v>4</v>
      </c>
      <c r="K11" s="2">
        <v>0</v>
      </c>
      <c r="L11" s="2" t="s">
        <v>97</v>
      </c>
    </row>
    <row r="12" spans="1:17">
      <c r="A12" s="2">
        <f t="shared" ca="1" si="0"/>
        <v>19</v>
      </c>
      <c r="B12" s="2" cm="1">
        <f t="array" aca="1" ref="B12" ca="1">INDEX(Data_DBD!$B:$B,$A12)</f>
        <v>8</v>
      </c>
      <c r="C12" s="2" cm="1">
        <f t="array" aca="1" ref="C12" ca="1">INDEX(Data_DBD!$C:$C,$A12)</f>
        <v>4</v>
      </c>
      <c r="D12" s="2" cm="1">
        <f t="array" aca="1" ref="D12" ca="1">INDEX(Data_DBD!$E:$E,$A12)</f>
        <v>0</v>
      </c>
      <c r="E12" s="2" t="str" cm="1">
        <f t="array" aca="1" ref="E12" ca="1">INDEX(Data_DBD!$F:$F,$A12)</f>
        <v>Rendah</v>
      </c>
      <c r="H12" s="2">
        <v>93</v>
      </c>
      <c r="I12" s="2">
        <v>65</v>
      </c>
      <c r="J12" s="2">
        <v>4</v>
      </c>
      <c r="K12" s="2">
        <v>0</v>
      </c>
      <c r="L12" s="2" t="s">
        <v>97</v>
      </c>
    </row>
    <row r="13" spans="1:17">
      <c r="A13" s="2">
        <f t="shared" ca="1" si="0"/>
        <v>59</v>
      </c>
      <c r="B13" s="2" cm="1">
        <f t="array" aca="1" ref="B13" ca="1">INDEX(Data_DBD!$B:$B,$A13)</f>
        <v>28</v>
      </c>
      <c r="C13" s="2" cm="1">
        <f t="array" aca="1" ref="C13" ca="1">INDEX(Data_DBD!$C:$C,$A13)</f>
        <v>4</v>
      </c>
      <c r="D13" s="2" cm="1">
        <f t="array" aca="1" ref="D13" ca="1">INDEX(Data_DBD!$E:$E,$A13)</f>
        <v>0</v>
      </c>
      <c r="E13" s="2" t="str" cm="1">
        <f t="array" aca="1" ref="E13" ca="1">INDEX(Data_DBD!$F:$F,$A13)</f>
        <v>Sedang</v>
      </c>
      <c r="H13" s="2">
        <v>91</v>
      </c>
      <c r="I13" s="2">
        <v>35</v>
      </c>
      <c r="J13" s="2">
        <v>1</v>
      </c>
      <c r="K13" s="2">
        <v>1</v>
      </c>
      <c r="L13" s="2" t="s">
        <v>97</v>
      </c>
    </row>
    <row r="14" spans="1:17">
      <c r="A14" s="2">
        <f t="shared" ca="1" si="0"/>
        <v>28</v>
      </c>
      <c r="B14" s="2" cm="1">
        <f t="array" aca="1" ref="B14" ca="1">INDEX(Data_DBD!$B:$B,$A14)</f>
        <v>22</v>
      </c>
      <c r="C14" s="2" cm="1">
        <f t="array" aca="1" ref="C14" ca="1">INDEX(Data_DBD!$C:$C,$A14)</f>
        <v>2</v>
      </c>
      <c r="D14" s="2" cm="1">
        <f t="array" aca="1" ref="D14" ca="1">INDEX(Data_DBD!$E:$E,$A14)</f>
        <v>1</v>
      </c>
      <c r="E14" s="2" t="str" cm="1">
        <f t="array" aca="1" ref="E14" ca="1">INDEX(Data_DBD!$F:$F,$A14)</f>
        <v>Sedang</v>
      </c>
      <c r="H14" s="2">
        <v>118</v>
      </c>
      <c r="I14" s="2">
        <v>67</v>
      </c>
      <c r="J14" s="2">
        <v>4</v>
      </c>
      <c r="K14" s="2">
        <v>1</v>
      </c>
      <c r="L14" s="2" t="s">
        <v>97</v>
      </c>
    </row>
    <row r="15" spans="1:17">
      <c r="A15" s="2">
        <f t="shared" ca="1" si="0"/>
        <v>129</v>
      </c>
      <c r="B15" s="2" cm="1">
        <f t="array" aca="1" ref="B15" ca="1">INDEX(Data_DBD!$B:$B,$A15)</f>
        <v>4</v>
      </c>
      <c r="C15" s="2" cm="1">
        <f t="array" aca="1" ref="C15" ca="1">INDEX(Data_DBD!$C:$C,$A15)</f>
        <v>3</v>
      </c>
      <c r="D15" s="2" cm="1">
        <f t="array" aca="1" ref="D15" ca="1">INDEX(Data_DBD!$E:$E,$A15)</f>
        <v>0</v>
      </c>
      <c r="E15" s="2" t="str" cm="1">
        <f t="array" aca="1" ref="E15" ca="1">INDEX(Data_DBD!$F:$F,$A15)</f>
        <v>Tinggi</v>
      </c>
      <c r="H15" s="2">
        <v>65</v>
      </c>
      <c r="I15" s="2">
        <v>49</v>
      </c>
      <c r="J15" s="2">
        <v>3</v>
      </c>
      <c r="K15" s="2">
        <v>0</v>
      </c>
      <c r="L15" s="2" t="s">
        <v>7</v>
      </c>
    </row>
    <row r="16" spans="1:17">
      <c r="A16" s="2">
        <f t="shared" ca="1" si="0"/>
        <v>95</v>
      </c>
      <c r="B16" s="2" cm="1">
        <f t="array" aca="1" ref="B16" ca="1">INDEX(Data_DBD!$B:$B,$A16)</f>
        <v>11</v>
      </c>
      <c r="C16" s="2" cm="1">
        <f t="array" aca="1" ref="C16" ca="1">INDEX(Data_DBD!$C:$C,$A16)</f>
        <v>3</v>
      </c>
      <c r="D16" s="2" cm="1">
        <f t="array" aca="1" ref="D16" ca="1">INDEX(Data_DBD!$E:$E,$A16)</f>
        <v>1</v>
      </c>
      <c r="E16" s="2" t="str" cm="1">
        <f t="array" aca="1" ref="E16" ca="1">INDEX(Data_DBD!$F:$F,$A16)</f>
        <v>Tinggi</v>
      </c>
      <c r="H16" s="2">
        <v>93</v>
      </c>
      <c r="I16" s="2">
        <v>65</v>
      </c>
      <c r="J16" s="2">
        <v>4</v>
      </c>
      <c r="K16" s="2">
        <v>0</v>
      </c>
      <c r="L16" s="2" t="s">
        <v>97</v>
      </c>
    </row>
    <row r="17" spans="1:12">
      <c r="A17" s="2">
        <f t="shared" ca="1" si="0"/>
        <v>24</v>
      </c>
      <c r="B17" s="2" cm="1">
        <f t="array" aca="1" ref="B17" ca="1">INDEX(Data_DBD!$B:$B,$A17)</f>
        <v>60</v>
      </c>
      <c r="C17" s="2" cm="1">
        <f t="array" aca="1" ref="C17" ca="1">INDEX(Data_DBD!$C:$C,$A17)</f>
        <v>4</v>
      </c>
      <c r="D17" s="2" cm="1">
        <f t="array" aca="1" ref="D17" ca="1">INDEX(Data_DBD!$E:$E,$A17)</f>
        <v>0</v>
      </c>
      <c r="E17" s="2" t="str" cm="1">
        <f t="array" aca="1" ref="E17" ca="1">INDEX(Data_DBD!$F:$F,$A17)</f>
        <v>Sedang</v>
      </c>
      <c r="H17" s="2">
        <v>121</v>
      </c>
      <c r="I17" s="2">
        <v>82</v>
      </c>
      <c r="J17" s="2">
        <v>5</v>
      </c>
      <c r="K17" s="2">
        <v>1</v>
      </c>
      <c r="L17" s="2" t="s">
        <v>97</v>
      </c>
    </row>
    <row r="18" spans="1:12">
      <c r="A18" s="2">
        <f t="shared" ca="1" si="0"/>
        <v>156</v>
      </c>
      <c r="B18" s="2" cm="1">
        <f t="array" aca="1" ref="B18" ca="1">INDEX(Data_DBD!$B:$B,$A18)</f>
        <v>5</v>
      </c>
      <c r="C18" s="2" cm="1">
        <f t="array" aca="1" ref="C18" ca="1">INDEX(Data_DBD!$C:$C,$A18)</f>
        <v>2</v>
      </c>
      <c r="D18" s="2" cm="1">
        <f t="array" aca="1" ref="D18" ca="1">INDEX(Data_DBD!$E:$E,$A18)</f>
        <v>0</v>
      </c>
      <c r="E18" s="2" t="str" cm="1">
        <f t="array" aca="1" ref="E18" ca="1">INDEX(Data_DBD!$F:$F,$A18)</f>
        <v>Tinggi</v>
      </c>
      <c r="H18" s="2">
        <v>148</v>
      </c>
      <c r="I18" s="2">
        <v>55</v>
      </c>
      <c r="J18" s="2">
        <v>3</v>
      </c>
      <c r="K18" s="2">
        <v>1</v>
      </c>
      <c r="L18" s="2" t="s">
        <v>97</v>
      </c>
    </row>
    <row r="19" spans="1:12">
      <c r="A19" s="2">
        <f t="shared" ca="1" si="0"/>
        <v>159</v>
      </c>
      <c r="B19" s="2" cm="1">
        <f t="array" aca="1" ref="B19" ca="1">INDEX(Data_DBD!$B:$B,$A19)</f>
        <v>17</v>
      </c>
      <c r="C19" s="2" cm="1">
        <f t="array" aca="1" ref="C19" ca="1">INDEX(Data_DBD!$C:$C,$A19)</f>
        <v>2</v>
      </c>
      <c r="D19" s="2" cm="1">
        <f t="array" aca="1" ref="D19" ca="1">INDEX(Data_DBD!$E:$E,$A19)</f>
        <v>0</v>
      </c>
      <c r="E19" s="2" t="str" cm="1">
        <f t="array" aca="1" ref="E19" ca="1">INDEX(Data_DBD!$F:$F,$A19)</f>
        <v>Tinggi</v>
      </c>
      <c r="H19" s="2">
        <v>67</v>
      </c>
      <c r="I19" s="2">
        <v>21</v>
      </c>
      <c r="J19" s="2">
        <v>3</v>
      </c>
      <c r="K19" s="2">
        <v>1</v>
      </c>
      <c r="L19" s="2" t="s">
        <v>7</v>
      </c>
    </row>
    <row r="20" spans="1:12">
      <c r="A20" s="2">
        <f t="shared" ca="1" si="0"/>
        <v>11</v>
      </c>
      <c r="B20" s="2" cm="1">
        <f t="array" aca="1" ref="B20" ca="1">INDEX(Data_DBD!$B:$B,$A20)</f>
        <v>24</v>
      </c>
      <c r="C20" s="2" cm="1">
        <f t="array" aca="1" ref="C20" ca="1">INDEX(Data_DBD!$C:$C,$A20)</f>
        <v>5</v>
      </c>
      <c r="D20" s="2" cm="1">
        <f t="array" aca="1" ref="D20" ca="1">INDEX(Data_DBD!$E:$E,$A20)</f>
        <v>1</v>
      </c>
      <c r="E20" s="2" t="str" cm="1">
        <f t="array" aca="1" ref="E20" ca="1">INDEX(Data_DBD!$F:$F,$A20)</f>
        <v>Sedang</v>
      </c>
      <c r="H20" s="2">
        <v>5</v>
      </c>
      <c r="I20" s="2">
        <v>18</v>
      </c>
      <c r="J20" s="2">
        <v>2</v>
      </c>
      <c r="K20" s="2">
        <v>1</v>
      </c>
      <c r="L20" s="2" t="s">
        <v>7</v>
      </c>
    </row>
    <row r="21" spans="1:12">
      <c r="A21" s="2">
        <f t="shared" ca="1" si="0"/>
        <v>86</v>
      </c>
      <c r="B21" s="2" cm="1">
        <f t="array" aca="1" ref="B21" ca="1">INDEX(Data_DBD!$B:$B,$A21)</f>
        <v>23</v>
      </c>
      <c r="C21" s="2" cm="1">
        <f t="array" aca="1" ref="C21" ca="1">INDEX(Data_DBD!$C:$C,$A21)</f>
        <v>3</v>
      </c>
      <c r="D21" s="2" cm="1">
        <f t="array" aca="1" ref="D21" ca="1">INDEX(Data_DBD!$E:$E,$A21)</f>
        <v>0</v>
      </c>
      <c r="E21" s="2" t="str" cm="1">
        <f t="array" aca="1" ref="E21" ca="1">INDEX(Data_DBD!$F:$F,$A21)</f>
        <v>Sedang</v>
      </c>
      <c r="H21" s="2">
        <v>45</v>
      </c>
      <c r="I21" s="2">
        <v>75</v>
      </c>
      <c r="J21" s="2">
        <v>3</v>
      </c>
      <c r="K21" s="2">
        <v>1</v>
      </c>
      <c r="L21" s="2" t="s">
        <v>7</v>
      </c>
    </row>
    <row r="22" spans="1:12">
      <c r="A22" s="2">
        <f t="shared" ca="1" si="0"/>
        <v>76</v>
      </c>
      <c r="B22" s="2" cm="1">
        <f t="array" aca="1" ref="B22" ca="1">INDEX(Data_DBD!$B:$B,$A22)</f>
        <v>70</v>
      </c>
      <c r="C22" s="2" cm="1">
        <f t="array" aca="1" ref="C22" ca="1">INDEX(Data_DBD!$C:$C,$A22)</f>
        <v>2</v>
      </c>
      <c r="D22" s="2" cm="1">
        <f t="array" aca="1" ref="D22" ca="1">INDEX(Data_DBD!$E:$E,$A22)</f>
        <v>0</v>
      </c>
      <c r="E22" s="2" t="str" cm="1">
        <f t="array" aca="1" ref="E22" ca="1">INDEX(Data_DBD!$F:$F,$A22)</f>
        <v>Sedang</v>
      </c>
      <c r="H22" s="2">
        <v>159</v>
      </c>
      <c r="I22" s="2">
        <v>17</v>
      </c>
      <c r="J22" s="2">
        <v>2</v>
      </c>
      <c r="K22" s="2">
        <v>0</v>
      </c>
      <c r="L22" s="2" t="s">
        <v>97</v>
      </c>
    </row>
    <row r="23" spans="1:12">
      <c r="A23" s="2">
        <f t="shared" ca="1" si="0"/>
        <v>10</v>
      </c>
      <c r="B23" s="2" cm="1">
        <f t="array" aca="1" ref="B23" ca="1">INDEX(Data_DBD!$B:$B,$A23)</f>
        <v>18</v>
      </c>
      <c r="C23" s="2" cm="1">
        <f t="array" aca="1" ref="C23" ca="1">INDEX(Data_DBD!$C:$C,$A23)</f>
        <v>5</v>
      </c>
      <c r="D23" s="2" cm="1">
        <f t="array" aca="1" ref="D23" ca="1">INDEX(Data_DBD!$E:$E,$A23)</f>
        <v>0</v>
      </c>
      <c r="E23" s="2" t="str" cm="1">
        <f t="array" aca="1" ref="E23" ca="1">INDEX(Data_DBD!$F:$F,$A23)</f>
        <v>Sedang</v>
      </c>
      <c r="H23" s="2">
        <v>10</v>
      </c>
      <c r="I23" s="2">
        <v>18</v>
      </c>
      <c r="J23" s="2">
        <v>5</v>
      </c>
      <c r="K23" s="2">
        <v>0</v>
      </c>
      <c r="L23" s="2" t="s">
        <v>7</v>
      </c>
    </row>
    <row r="24" spans="1:12">
      <c r="A24" s="2">
        <f t="shared" ca="1" si="0"/>
        <v>127</v>
      </c>
      <c r="B24" s="2" cm="1">
        <f t="array" aca="1" ref="B24" ca="1">INDEX(Data_DBD!$B:$B,$A24)</f>
        <v>21</v>
      </c>
      <c r="C24" s="2" cm="1">
        <f t="array" aca="1" ref="C24" ca="1">INDEX(Data_DBD!$C:$C,$A24)</f>
        <v>2</v>
      </c>
      <c r="D24" s="2" cm="1">
        <f t="array" aca="1" ref="D24" ca="1">INDEX(Data_DBD!$E:$E,$A24)</f>
        <v>0</v>
      </c>
      <c r="E24" s="2" t="str" cm="1">
        <f t="array" aca="1" ref="E24" ca="1">INDEX(Data_DBD!$F:$F,$A24)</f>
        <v>Tinggi</v>
      </c>
      <c r="H24" s="2">
        <v>145</v>
      </c>
      <c r="I24" s="2">
        <v>28</v>
      </c>
      <c r="J24" s="2">
        <v>4</v>
      </c>
      <c r="K24" s="2">
        <v>1</v>
      </c>
      <c r="L24" s="2" t="s">
        <v>97</v>
      </c>
    </row>
    <row r="25" spans="1:12">
      <c r="A25" s="2">
        <f t="shared" ca="1" si="0"/>
        <v>38</v>
      </c>
      <c r="B25" s="2" cm="1">
        <f t="array" aca="1" ref="B25" ca="1">INDEX(Data_DBD!$B:$B,$A25)</f>
        <v>52</v>
      </c>
      <c r="C25" s="2" cm="1">
        <f t="array" aca="1" ref="C25" ca="1">INDEX(Data_DBD!$C:$C,$A25)</f>
        <v>3</v>
      </c>
      <c r="D25" s="2" cm="1">
        <f t="array" aca="1" ref="D25" ca="1">INDEX(Data_DBD!$E:$E,$A25)</f>
        <v>1</v>
      </c>
      <c r="E25" s="2" t="str" cm="1">
        <f t="array" aca="1" ref="E25" ca="1">INDEX(Data_DBD!$F:$F,$A25)</f>
        <v>Rendah</v>
      </c>
      <c r="H25" s="2">
        <v>11</v>
      </c>
      <c r="I25" s="2">
        <v>24</v>
      </c>
      <c r="J25" s="2">
        <v>5</v>
      </c>
      <c r="K25" s="2">
        <v>1</v>
      </c>
      <c r="L25" s="2" t="s">
        <v>7</v>
      </c>
    </row>
    <row r="26" spans="1:12">
      <c r="A26" s="2">
        <f t="shared" ca="1" si="0"/>
        <v>103</v>
      </c>
      <c r="B26" s="2" cm="1">
        <f t="array" aca="1" ref="B26" ca="1">INDEX(Data_DBD!$B:$B,$A26)</f>
        <v>22</v>
      </c>
      <c r="C26" s="2" cm="1">
        <f t="array" aca="1" ref="C26" ca="1">INDEX(Data_DBD!$C:$C,$A26)</f>
        <v>5</v>
      </c>
      <c r="D26" s="2" cm="1">
        <f t="array" aca="1" ref="D26" ca="1">INDEX(Data_DBD!$E:$E,$A26)</f>
        <v>0</v>
      </c>
      <c r="E26" s="2" t="str" cm="1">
        <f t="array" aca="1" ref="E26" ca="1">INDEX(Data_DBD!$F:$F,$A26)</f>
        <v>Tinggi</v>
      </c>
      <c r="H26" s="2">
        <v>126</v>
      </c>
      <c r="I26" s="2">
        <v>51</v>
      </c>
      <c r="J26" s="2">
        <v>3</v>
      </c>
      <c r="K26" s="2">
        <v>1</v>
      </c>
      <c r="L26" s="2" t="s">
        <v>97</v>
      </c>
    </row>
    <row r="27" spans="1:12">
      <c r="A27" s="2">
        <f t="shared" ca="1" si="0"/>
        <v>159</v>
      </c>
      <c r="B27" s="2" cm="1">
        <f t="array" aca="1" ref="B27" ca="1">INDEX(Data_DBD!$B:$B,$A27)</f>
        <v>17</v>
      </c>
      <c r="C27" s="2" cm="1">
        <f t="array" aca="1" ref="C27" ca="1">INDEX(Data_DBD!$C:$C,$A27)</f>
        <v>2</v>
      </c>
      <c r="D27" s="2" cm="1">
        <f t="array" aca="1" ref="D27" ca="1">INDEX(Data_DBD!$E:$E,$A27)</f>
        <v>0</v>
      </c>
      <c r="E27" s="2" t="str" cm="1">
        <f t="array" aca="1" ref="E27" ca="1">INDEX(Data_DBD!$F:$F,$A27)</f>
        <v>Tinggi</v>
      </c>
      <c r="H27" s="2">
        <v>157</v>
      </c>
      <c r="I27" s="2">
        <v>15</v>
      </c>
      <c r="J27" s="2">
        <v>4</v>
      </c>
      <c r="K27" s="2">
        <v>1</v>
      </c>
      <c r="L27" s="2" t="s">
        <v>97</v>
      </c>
    </row>
    <row r="28" spans="1:12">
      <c r="A28" s="2">
        <f t="shared" ca="1" si="0"/>
        <v>29</v>
      </c>
      <c r="B28" s="2" cm="1">
        <f t="array" aca="1" ref="B28" ca="1">INDEX(Data_DBD!$B:$B,$A28)</f>
        <v>19</v>
      </c>
      <c r="C28" s="2" cm="1">
        <f t="array" aca="1" ref="C28" ca="1">INDEX(Data_DBD!$C:$C,$A28)</f>
        <v>2</v>
      </c>
      <c r="D28" s="2" cm="1">
        <f t="array" aca="1" ref="D28" ca="1">INDEX(Data_DBD!$E:$E,$A28)</f>
        <v>1</v>
      </c>
      <c r="E28" s="2" t="str" cm="1">
        <f t="array" aca="1" ref="E28" ca="1">INDEX(Data_DBD!$F:$F,$A28)</f>
        <v>Sedang</v>
      </c>
      <c r="H28" s="2">
        <v>158</v>
      </c>
      <c r="I28" s="2">
        <v>5</v>
      </c>
      <c r="J28" s="2">
        <v>2</v>
      </c>
      <c r="K28" s="2">
        <v>0</v>
      </c>
      <c r="L28" s="2" t="s">
        <v>97</v>
      </c>
    </row>
    <row r="29" spans="1:12">
      <c r="A29" s="2">
        <f t="shared" ca="1" si="0"/>
        <v>49</v>
      </c>
      <c r="B29" s="2" cm="1">
        <f t="array" aca="1" ref="B29" ca="1">INDEX(Data_DBD!$B:$B,$A29)</f>
        <v>64</v>
      </c>
      <c r="C29" s="2" cm="1">
        <f t="array" aca="1" ref="C29" ca="1">INDEX(Data_DBD!$C:$C,$A29)</f>
        <v>5</v>
      </c>
      <c r="D29" s="2" cm="1">
        <f t="array" aca="1" ref="D29" ca="1">INDEX(Data_DBD!$E:$E,$A29)</f>
        <v>0</v>
      </c>
      <c r="E29" s="2" t="str" cm="1">
        <f t="array" aca="1" ref="E29" ca="1">INDEX(Data_DBD!$F:$F,$A29)</f>
        <v>Sedang</v>
      </c>
      <c r="H29" s="2">
        <v>150</v>
      </c>
      <c r="I29" s="2">
        <v>61</v>
      </c>
      <c r="J29" s="2">
        <v>5</v>
      </c>
      <c r="K29" s="2">
        <v>1</v>
      </c>
      <c r="L29" s="2" t="s">
        <v>97</v>
      </c>
    </row>
    <row r="30" spans="1:12">
      <c r="A30" s="2">
        <f t="shared" ca="1" si="0"/>
        <v>99</v>
      </c>
      <c r="B30" s="2" cm="1">
        <f t="array" aca="1" ref="B30" ca="1">INDEX(Data_DBD!$B:$B,$A30)</f>
        <v>4</v>
      </c>
      <c r="C30" s="2" cm="1">
        <f t="array" aca="1" ref="C30" ca="1">INDEX(Data_DBD!$C:$C,$A30)</f>
        <v>2</v>
      </c>
      <c r="D30" s="2" cm="1">
        <f t="array" aca="1" ref="D30" ca="1">INDEX(Data_DBD!$E:$E,$A30)</f>
        <v>1</v>
      </c>
      <c r="E30" s="2" t="str" cm="1">
        <f t="array" aca="1" ref="E30" ca="1">INDEX(Data_DBD!$F:$F,$A30)</f>
        <v>Tinggi</v>
      </c>
      <c r="H30" s="2">
        <v>27</v>
      </c>
      <c r="I30" s="2">
        <v>37</v>
      </c>
      <c r="J30" s="2">
        <v>4</v>
      </c>
      <c r="K30" s="2">
        <v>1</v>
      </c>
      <c r="L30" s="2" t="s">
        <v>7</v>
      </c>
    </row>
    <row r="31" spans="1:12">
      <c r="A31" s="2">
        <f t="shared" ca="1" si="0"/>
        <v>47</v>
      </c>
      <c r="B31" s="2" cm="1">
        <f t="array" aca="1" ref="B31" ca="1">INDEX(Data_DBD!$B:$B,$A31)</f>
        <v>19</v>
      </c>
      <c r="C31" s="2" cm="1">
        <f t="array" aca="1" ref="C31" ca="1">INDEX(Data_DBD!$C:$C,$A31)</f>
        <v>2</v>
      </c>
      <c r="D31" s="2" cm="1">
        <f t="array" aca="1" ref="D31" ca="1">INDEX(Data_DBD!$E:$E,$A31)</f>
        <v>0</v>
      </c>
      <c r="E31" s="2" t="str" cm="1">
        <f t="array" aca="1" ref="E31" ca="1">INDEX(Data_DBD!$F:$F,$A31)</f>
        <v>Sedang</v>
      </c>
      <c r="H31" s="2">
        <v>145</v>
      </c>
      <c r="I31" s="2">
        <v>28</v>
      </c>
      <c r="J31" s="2">
        <v>4</v>
      </c>
      <c r="K31" s="2">
        <v>1</v>
      </c>
      <c r="L31" s="2" t="s">
        <v>97</v>
      </c>
    </row>
    <row r="32" spans="1:12">
      <c r="A32" s="2">
        <f t="shared" ca="1" si="0"/>
        <v>56</v>
      </c>
      <c r="B32" s="2" cm="1">
        <f t="array" aca="1" ref="B32" ca="1">INDEX(Data_DBD!$B:$B,$A32)</f>
        <v>4</v>
      </c>
      <c r="C32" s="2" cm="1">
        <f t="array" aca="1" ref="C32" ca="1">INDEX(Data_DBD!$C:$C,$A32)</f>
        <v>3</v>
      </c>
      <c r="D32" s="2" cm="1">
        <f t="array" aca="1" ref="D32" ca="1">INDEX(Data_DBD!$E:$E,$A32)</f>
        <v>0</v>
      </c>
      <c r="E32" s="2" t="str" cm="1">
        <f t="array" aca="1" ref="E32" ca="1">INDEX(Data_DBD!$F:$F,$A32)</f>
        <v>Sedang</v>
      </c>
      <c r="H32" s="2">
        <v>104</v>
      </c>
      <c r="I32" s="2">
        <v>37</v>
      </c>
      <c r="J32" s="2">
        <v>4</v>
      </c>
      <c r="K32" s="2">
        <v>1</v>
      </c>
      <c r="L32" s="2" t="s">
        <v>97</v>
      </c>
    </row>
    <row r="33" spans="1:12">
      <c r="A33" s="2">
        <f t="shared" ca="1" si="0"/>
        <v>128</v>
      </c>
      <c r="B33" s="2" cm="1">
        <f t="array" aca="1" ref="B33" ca="1">INDEX(Data_DBD!$B:$B,$A33)</f>
        <v>38</v>
      </c>
      <c r="C33" s="2" cm="1">
        <f t="array" aca="1" ref="C33" ca="1">INDEX(Data_DBD!$C:$C,$A33)</f>
        <v>2</v>
      </c>
      <c r="D33" s="2" cm="1">
        <f t="array" aca="1" ref="D33" ca="1">INDEX(Data_DBD!$E:$E,$A33)</f>
        <v>0</v>
      </c>
      <c r="E33" s="2" t="str" cm="1">
        <f t="array" aca="1" ref="E33" ca="1">INDEX(Data_DBD!$F:$F,$A33)</f>
        <v>Tinggi</v>
      </c>
      <c r="H33" s="2">
        <v>53</v>
      </c>
      <c r="I33" s="2">
        <v>35</v>
      </c>
      <c r="J33" s="2">
        <v>4</v>
      </c>
      <c r="K33" s="2">
        <v>1</v>
      </c>
      <c r="L33" s="2" t="s">
        <v>7</v>
      </c>
    </row>
    <row r="34" spans="1:12">
      <c r="A34" s="2">
        <f t="shared" ca="1" si="0"/>
        <v>160</v>
      </c>
      <c r="B34" s="2" cm="1">
        <f t="array" aca="1" ref="B34" ca="1">INDEX(Data_DBD!$B:$B,$A34)</f>
        <v>16</v>
      </c>
      <c r="C34" s="2" cm="1">
        <f t="array" aca="1" ref="C34" ca="1">INDEX(Data_DBD!$C:$C,$A34)</f>
        <v>3</v>
      </c>
      <c r="D34" s="2" cm="1">
        <f t="array" aca="1" ref="D34" ca="1">INDEX(Data_DBD!$E:$E,$A34)</f>
        <v>0</v>
      </c>
      <c r="E34" s="2" t="str" cm="1">
        <f t="array" aca="1" ref="E34" ca="1">INDEX(Data_DBD!$F:$F,$A34)</f>
        <v>Tinggi</v>
      </c>
      <c r="H34" s="2">
        <v>44</v>
      </c>
      <c r="I34" s="2">
        <v>28</v>
      </c>
      <c r="J34" s="2">
        <v>5</v>
      </c>
      <c r="K34" s="2">
        <v>1</v>
      </c>
      <c r="L34" s="2" t="s">
        <v>7</v>
      </c>
    </row>
    <row r="35" spans="1:12">
      <c r="A35" s="2">
        <f t="shared" ca="1" si="0"/>
        <v>31</v>
      </c>
      <c r="B35" s="2" cm="1">
        <f t="array" aca="1" ref="B35" ca="1">INDEX(Data_DBD!$B:$B,$A35)</f>
        <v>64</v>
      </c>
      <c r="C35" s="2" cm="1">
        <f t="array" aca="1" ref="C35" ca="1">INDEX(Data_DBD!$C:$C,$A35)</f>
        <v>4</v>
      </c>
      <c r="D35" s="2" cm="1">
        <f t="array" aca="1" ref="D35" ca="1">INDEX(Data_DBD!$E:$E,$A35)</f>
        <v>1</v>
      </c>
      <c r="E35" s="2" t="str" cm="1">
        <f t="array" aca="1" ref="E35" ca="1">INDEX(Data_DBD!$F:$F,$A35)</f>
        <v>Sedang</v>
      </c>
      <c r="H35" s="2">
        <v>115</v>
      </c>
      <c r="I35" s="2">
        <v>52</v>
      </c>
      <c r="J35" s="2">
        <v>3</v>
      </c>
      <c r="K35" s="2">
        <v>1</v>
      </c>
      <c r="L35" s="2" t="s">
        <v>97</v>
      </c>
    </row>
    <row r="36" spans="1:12">
      <c r="A36" s="2">
        <f t="shared" ca="1" si="0"/>
        <v>74</v>
      </c>
      <c r="B36" s="2" cm="1">
        <f t="array" aca="1" ref="B36" ca="1">INDEX(Data_DBD!$B:$B,$A36)</f>
        <v>9</v>
      </c>
      <c r="C36" s="2" cm="1">
        <f t="array" aca="1" ref="C36" ca="1">INDEX(Data_DBD!$C:$C,$A36)</f>
        <v>4</v>
      </c>
      <c r="D36" s="2" cm="1">
        <f t="array" aca="1" ref="D36" ca="1">INDEX(Data_DBD!$E:$E,$A36)</f>
        <v>0</v>
      </c>
      <c r="E36" s="2" t="str" cm="1">
        <f t="array" aca="1" ref="E36" ca="1">INDEX(Data_DBD!$F:$F,$A36)</f>
        <v>Sedang</v>
      </c>
      <c r="H36" s="2">
        <v>127</v>
      </c>
      <c r="I36" s="2">
        <v>21</v>
      </c>
      <c r="J36" s="2">
        <v>2</v>
      </c>
      <c r="K36" s="2">
        <v>0</v>
      </c>
      <c r="L36" s="2" t="s">
        <v>97</v>
      </c>
    </row>
    <row r="37" spans="1:12">
      <c r="A37" s="2">
        <f t="shared" ca="1" si="0"/>
        <v>69</v>
      </c>
      <c r="B37" s="2" cm="1">
        <f t="array" aca="1" ref="B37" ca="1">INDEX(Data_DBD!$B:$B,$A37)</f>
        <v>24</v>
      </c>
      <c r="C37" s="2" cm="1">
        <f t="array" aca="1" ref="C37" ca="1">INDEX(Data_DBD!$C:$C,$A37)</f>
        <v>4</v>
      </c>
      <c r="D37" s="2" cm="1">
        <f t="array" aca="1" ref="D37" ca="1">INDEX(Data_DBD!$E:$E,$A37)</f>
        <v>1</v>
      </c>
      <c r="E37" s="2" t="str" cm="1">
        <f t="array" aca="1" ref="E37" ca="1">INDEX(Data_DBD!$F:$F,$A37)</f>
        <v>Sedang</v>
      </c>
      <c r="H37" s="2">
        <v>68</v>
      </c>
      <c r="I37" s="2">
        <v>44</v>
      </c>
      <c r="J37" s="2">
        <v>5</v>
      </c>
      <c r="K37" s="2">
        <v>0</v>
      </c>
      <c r="L37" s="2" t="s">
        <v>7</v>
      </c>
    </row>
    <row r="38" spans="1:12">
      <c r="A38" s="2">
        <f t="shared" ca="1" si="0"/>
        <v>130</v>
      </c>
      <c r="B38" s="2" cm="1">
        <f t="array" aca="1" ref="B38" ca="1">INDEX(Data_DBD!$B:$B,$A38)</f>
        <v>12</v>
      </c>
      <c r="C38" s="2" cm="1">
        <f t="array" aca="1" ref="C38" ca="1">INDEX(Data_DBD!$C:$C,$A38)</f>
        <v>4</v>
      </c>
      <c r="D38" s="2" cm="1">
        <f t="array" aca="1" ref="D38" ca="1">INDEX(Data_DBD!$E:$E,$A38)</f>
        <v>0</v>
      </c>
      <c r="E38" s="2" t="str" cm="1">
        <f t="array" aca="1" ref="E38" ca="1">INDEX(Data_DBD!$F:$F,$A38)</f>
        <v>Tinggi</v>
      </c>
      <c r="H38" s="2">
        <v>26</v>
      </c>
      <c r="I38" s="2">
        <v>75</v>
      </c>
      <c r="J38" s="2">
        <v>4</v>
      </c>
      <c r="K38" s="2">
        <v>1</v>
      </c>
      <c r="L38" s="2" t="s">
        <v>7</v>
      </c>
    </row>
    <row r="39" spans="1:12">
      <c r="A39" s="2">
        <f t="shared" ca="1" si="0"/>
        <v>55</v>
      </c>
      <c r="B39" s="2" cm="1">
        <f t="array" aca="1" ref="B39" ca="1">INDEX(Data_DBD!$B:$B,$A39)</f>
        <v>7</v>
      </c>
      <c r="C39" s="2" cm="1">
        <f t="array" aca="1" ref="C39" ca="1">INDEX(Data_DBD!$C:$C,$A39)</f>
        <v>4</v>
      </c>
      <c r="D39" s="2" cm="1">
        <f t="array" aca="1" ref="D39" ca="1">INDEX(Data_DBD!$E:$E,$A39)</f>
        <v>1</v>
      </c>
      <c r="E39" s="2" t="str" cm="1">
        <f t="array" aca="1" ref="E39" ca="1">INDEX(Data_DBD!$F:$F,$A39)</f>
        <v>Sedang</v>
      </c>
      <c r="H39" s="2">
        <v>157</v>
      </c>
      <c r="I39" s="2">
        <v>15</v>
      </c>
      <c r="J39" s="2">
        <v>4</v>
      </c>
      <c r="K39" s="2">
        <v>1</v>
      </c>
      <c r="L39" s="2" t="s">
        <v>97</v>
      </c>
    </row>
    <row r="40" spans="1:12">
      <c r="A40" s="2">
        <f t="shared" ca="1" si="0"/>
        <v>126</v>
      </c>
      <c r="B40" s="2" cm="1">
        <f t="array" aca="1" ref="B40" ca="1">INDEX(Data_DBD!$B:$B,$A40)</f>
        <v>51</v>
      </c>
      <c r="C40" s="2" cm="1">
        <f t="array" aca="1" ref="C40" ca="1">INDEX(Data_DBD!$C:$C,$A40)</f>
        <v>3</v>
      </c>
      <c r="D40" s="2" cm="1">
        <f t="array" aca="1" ref="D40" ca="1">INDEX(Data_DBD!$E:$E,$A40)</f>
        <v>1</v>
      </c>
      <c r="E40" s="2" t="str" cm="1">
        <f t="array" aca="1" ref="E40" ca="1">INDEX(Data_DBD!$F:$F,$A40)</f>
        <v>Tinggi</v>
      </c>
      <c r="H40" s="2">
        <v>10</v>
      </c>
      <c r="I40" s="2">
        <v>18</v>
      </c>
      <c r="J40" s="2">
        <v>5</v>
      </c>
      <c r="K40" s="2">
        <v>0</v>
      </c>
      <c r="L40" s="2" t="s">
        <v>7</v>
      </c>
    </row>
    <row r="41" spans="1:12">
      <c r="A41" s="2">
        <f t="shared" ca="1" si="0"/>
        <v>49</v>
      </c>
      <c r="B41" s="2" cm="1">
        <f t="array" aca="1" ref="B41" ca="1">INDEX(Data_DBD!$B:$B,$A41)</f>
        <v>64</v>
      </c>
      <c r="C41" s="2" cm="1">
        <f t="array" aca="1" ref="C41" ca="1">INDEX(Data_DBD!$C:$C,$A41)</f>
        <v>5</v>
      </c>
      <c r="D41" s="2" cm="1">
        <f t="array" aca="1" ref="D41" ca="1">INDEX(Data_DBD!$E:$E,$A41)</f>
        <v>0</v>
      </c>
      <c r="E41" s="2" t="str" cm="1">
        <f t="array" aca="1" ref="E41" ca="1">INDEX(Data_DBD!$F:$F,$A41)</f>
        <v>Sedang</v>
      </c>
      <c r="H41" s="2">
        <v>73</v>
      </c>
      <c r="I41" s="2">
        <v>15</v>
      </c>
      <c r="J41" s="2">
        <v>3</v>
      </c>
      <c r="K41" s="2">
        <v>1</v>
      </c>
      <c r="L41" s="2" t="s">
        <v>7</v>
      </c>
    </row>
    <row r="42" spans="1:12">
      <c r="A42" s="2">
        <f t="shared" ca="1" si="0"/>
        <v>62</v>
      </c>
      <c r="B42" s="2" cm="1">
        <f t="array" aca="1" ref="B42" ca="1">INDEX(Data_DBD!$B:$B,$A42)</f>
        <v>43</v>
      </c>
      <c r="C42" s="2" cm="1">
        <f t="array" aca="1" ref="C42" ca="1">INDEX(Data_DBD!$C:$C,$A42)</f>
        <v>4</v>
      </c>
      <c r="D42" s="2" cm="1">
        <f t="array" aca="1" ref="D42" ca="1">INDEX(Data_DBD!$E:$E,$A42)</f>
        <v>1</v>
      </c>
      <c r="E42" s="2" t="str" cm="1">
        <f t="array" aca="1" ref="E42" ca="1">INDEX(Data_DBD!$F:$F,$A42)</f>
        <v>Sedang</v>
      </c>
      <c r="H42" s="2">
        <v>133</v>
      </c>
      <c r="I42" s="2">
        <v>6</v>
      </c>
      <c r="J42" s="2">
        <v>4</v>
      </c>
      <c r="K42" s="2">
        <v>0</v>
      </c>
      <c r="L42" s="2" t="s">
        <v>97</v>
      </c>
    </row>
    <row r="43" spans="1:12">
      <c r="A43" s="2">
        <f t="shared" ca="1" si="0"/>
        <v>28</v>
      </c>
      <c r="B43" s="2" cm="1">
        <f t="array" aca="1" ref="B43" ca="1">INDEX(Data_DBD!$B:$B,$A43)</f>
        <v>22</v>
      </c>
      <c r="C43" s="2" cm="1">
        <f t="array" aca="1" ref="C43" ca="1">INDEX(Data_DBD!$C:$C,$A43)</f>
        <v>2</v>
      </c>
      <c r="D43" s="2" cm="1">
        <f t="array" aca="1" ref="D43" ca="1">INDEX(Data_DBD!$E:$E,$A43)</f>
        <v>1</v>
      </c>
      <c r="E43" s="2" t="str" cm="1">
        <f t="array" aca="1" ref="E43" ca="1">INDEX(Data_DBD!$F:$F,$A43)</f>
        <v>Sedang</v>
      </c>
      <c r="H43" s="2">
        <v>79</v>
      </c>
      <c r="I43" s="2">
        <v>29</v>
      </c>
      <c r="J43" s="2">
        <v>3</v>
      </c>
      <c r="K43" s="2">
        <v>0</v>
      </c>
      <c r="L43" s="2" t="s">
        <v>7</v>
      </c>
    </row>
    <row r="44" spans="1:12">
      <c r="A44" s="2">
        <f t="shared" ca="1" si="0"/>
        <v>59</v>
      </c>
      <c r="B44" s="2" cm="1">
        <f t="array" aca="1" ref="B44" ca="1">INDEX(Data_DBD!$B:$B,$A44)</f>
        <v>28</v>
      </c>
      <c r="C44" s="2" cm="1">
        <f t="array" aca="1" ref="C44" ca="1">INDEX(Data_DBD!$C:$C,$A44)</f>
        <v>4</v>
      </c>
      <c r="D44" s="2" cm="1">
        <f t="array" aca="1" ref="D44" ca="1">INDEX(Data_DBD!$E:$E,$A44)</f>
        <v>0</v>
      </c>
      <c r="E44" s="2" t="str" cm="1">
        <f t="array" aca="1" ref="E44" ca="1">INDEX(Data_DBD!$F:$F,$A44)</f>
        <v>Sedang</v>
      </c>
      <c r="H44" s="2">
        <v>61</v>
      </c>
      <c r="I44" s="2">
        <v>29</v>
      </c>
      <c r="J44" s="2">
        <v>3</v>
      </c>
      <c r="K44" s="2">
        <v>1</v>
      </c>
      <c r="L44" s="2" t="s">
        <v>7</v>
      </c>
    </row>
    <row r="45" spans="1:12">
      <c r="A45" s="2">
        <f t="shared" ca="1" si="0"/>
        <v>74</v>
      </c>
      <c r="B45" s="2" cm="1">
        <f t="array" aca="1" ref="B45" ca="1">INDEX(Data_DBD!$B:$B,$A45)</f>
        <v>9</v>
      </c>
      <c r="C45" s="2" cm="1">
        <f t="array" aca="1" ref="C45" ca="1">INDEX(Data_DBD!$C:$C,$A45)</f>
        <v>4</v>
      </c>
      <c r="D45" s="2" cm="1">
        <f t="array" aca="1" ref="D45" ca="1">INDEX(Data_DBD!$E:$E,$A45)</f>
        <v>0</v>
      </c>
      <c r="E45" s="2" t="str" cm="1">
        <f t="array" aca="1" ref="E45" ca="1">INDEX(Data_DBD!$F:$F,$A45)</f>
        <v>Sedang</v>
      </c>
      <c r="H45" s="2">
        <v>102</v>
      </c>
      <c r="I45" s="2">
        <v>41</v>
      </c>
      <c r="J45" s="2">
        <v>4</v>
      </c>
      <c r="K45" s="2">
        <v>0</v>
      </c>
      <c r="L45" s="2" t="s">
        <v>97</v>
      </c>
    </row>
    <row r="46" spans="1:12">
      <c r="A46" s="2">
        <f t="shared" ca="1" si="0"/>
        <v>133</v>
      </c>
      <c r="B46" s="2" cm="1">
        <f t="array" aca="1" ref="B46" ca="1">INDEX(Data_DBD!$B:$B,$A46)</f>
        <v>6</v>
      </c>
      <c r="C46" s="2" cm="1">
        <f t="array" aca="1" ref="C46" ca="1">INDEX(Data_DBD!$C:$C,$A46)</f>
        <v>4</v>
      </c>
      <c r="D46" s="2" cm="1">
        <f t="array" aca="1" ref="D46" ca="1">INDEX(Data_DBD!$E:$E,$A46)</f>
        <v>0</v>
      </c>
      <c r="E46" s="2" t="str" cm="1">
        <f t="array" aca="1" ref="E46" ca="1">INDEX(Data_DBD!$F:$F,$A46)</f>
        <v>Tinggi</v>
      </c>
      <c r="H46" s="2">
        <v>129</v>
      </c>
      <c r="I46" s="2">
        <v>4</v>
      </c>
      <c r="J46" s="2">
        <v>3</v>
      </c>
      <c r="K46" s="2">
        <v>0</v>
      </c>
      <c r="L46" s="2" t="s">
        <v>97</v>
      </c>
    </row>
    <row r="47" spans="1:12">
      <c r="A47" s="2">
        <f t="shared" ca="1" si="0"/>
        <v>119</v>
      </c>
      <c r="B47" s="2" cm="1">
        <f t="array" aca="1" ref="B47" ca="1">INDEX(Data_DBD!$B:$B,$A47)</f>
        <v>30</v>
      </c>
      <c r="C47" s="2" cm="1">
        <f t="array" aca="1" ref="C47" ca="1">INDEX(Data_DBD!$C:$C,$A47)</f>
        <v>7</v>
      </c>
      <c r="D47" s="2" cm="1">
        <f t="array" aca="1" ref="D47" ca="1">INDEX(Data_DBD!$E:$E,$A47)</f>
        <v>0</v>
      </c>
      <c r="E47" s="2" t="str" cm="1">
        <f t="array" aca="1" ref="E47" ca="1">INDEX(Data_DBD!$F:$F,$A47)</f>
        <v>Tinggi</v>
      </c>
      <c r="H47" s="2">
        <v>120</v>
      </c>
      <c r="I47" s="2">
        <v>26</v>
      </c>
      <c r="J47" s="2">
        <v>4</v>
      </c>
      <c r="K47" s="2">
        <v>1</v>
      </c>
      <c r="L47" s="2" t="s">
        <v>97</v>
      </c>
    </row>
    <row r="48" spans="1:12">
      <c r="A48" s="2">
        <f t="shared" ca="1" si="0"/>
        <v>103</v>
      </c>
      <c r="B48" s="2" cm="1">
        <f t="array" aca="1" ref="B48" ca="1">INDEX(Data_DBD!$B:$B,$A48)</f>
        <v>22</v>
      </c>
      <c r="C48" s="2" cm="1">
        <f t="array" aca="1" ref="C48" ca="1">INDEX(Data_DBD!$C:$C,$A48)</f>
        <v>5</v>
      </c>
      <c r="D48" s="2" cm="1">
        <f t="array" aca="1" ref="D48" ca="1">INDEX(Data_DBD!$E:$E,$A48)</f>
        <v>0</v>
      </c>
      <c r="E48" s="2" t="str" cm="1">
        <f t="array" aca="1" ref="E48" ca="1">INDEX(Data_DBD!$F:$F,$A48)</f>
        <v>Tinggi</v>
      </c>
      <c r="H48" s="2">
        <v>102</v>
      </c>
      <c r="I48" s="2">
        <v>41</v>
      </c>
      <c r="J48" s="2">
        <v>4</v>
      </c>
      <c r="K48" s="2">
        <v>0</v>
      </c>
      <c r="L48" s="2" t="s">
        <v>97</v>
      </c>
    </row>
    <row r="49" spans="1:12">
      <c r="A49" s="2">
        <f t="shared" ca="1" si="0"/>
        <v>3</v>
      </c>
      <c r="B49" s="2" cm="1">
        <f t="array" aca="1" ref="B49" ca="1">INDEX(Data_DBD!$B:$B,$A49)</f>
        <v>43</v>
      </c>
      <c r="C49" s="2" cm="1">
        <f t="array" aca="1" ref="C49" ca="1">INDEX(Data_DBD!$C:$C,$A49)</f>
        <v>3</v>
      </c>
      <c r="D49" s="2" cm="1">
        <f t="array" aca="1" ref="D49" ca="1">INDEX(Data_DBD!$E:$E,$A49)</f>
        <v>1</v>
      </c>
      <c r="E49" s="2" t="str" cm="1">
        <f t="array" aca="1" ref="E49" ca="1">INDEX(Data_DBD!$F:$F,$A49)</f>
        <v>Sedang</v>
      </c>
      <c r="H49" s="2">
        <v>30</v>
      </c>
      <c r="I49" s="2">
        <v>3</v>
      </c>
      <c r="J49" s="2">
        <v>2</v>
      </c>
      <c r="K49" s="2">
        <v>1</v>
      </c>
      <c r="L49" s="2" t="s">
        <v>7</v>
      </c>
    </row>
    <row r="50" spans="1:12">
      <c r="A50" s="2">
        <f t="shared" ca="1" si="0"/>
        <v>104</v>
      </c>
      <c r="B50" s="2" cm="1">
        <f t="array" aca="1" ref="B50" ca="1">INDEX(Data_DBD!$B:$B,$A50)</f>
        <v>37</v>
      </c>
      <c r="C50" s="2" cm="1">
        <f t="array" aca="1" ref="C50" ca="1">INDEX(Data_DBD!$C:$C,$A50)</f>
        <v>4</v>
      </c>
      <c r="D50" s="2" cm="1">
        <f t="array" aca="1" ref="D50" ca="1">INDEX(Data_DBD!$E:$E,$A50)</f>
        <v>1</v>
      </c>
      <c r="E50" s="2" t="str" cm="1">
        <f t="array" aca="1" ref="E50" ca="1">INDEX(Data_DBD!$F:$F,$A50)</f>
        <v>Tinggi</v>
      </c>
      <c r="H50" s="2">
        <v>152</v>
      </c>
      <c r="I50" s="2">
        <v>47</v>
      </c>
      <c r="J50" s="2">
        <v>3</v>
      </c>
      <c r="K50" s="2">
        <v>1</v>
      </c>
      <c r="L50" s="2" t="s">
        <v>97</v>
      </c>
    </row>
    <row r="51" spans="1:12">
      <c r="A51" s="2">
        <f t="shared" ca="1" si="0"/>
        <v>56</v>
      </c>
      <c r="B51" s="2" cm="1">
        <f t="array" aca="1" ref="B51" ca="1">INDEX(Data_DBD!$B:$B,$A51)</f>
        <v>4</v>
      </c>
      <c r="C51" s="2" cm="1">
        <f t="array" aca="1" ref="C51" ca="1">INDEX(Data_DBD!$C:$C,$A51)</f>
        <v>3</v>
      </c>
      <c r="D51" s="2" cm="1">
        <f t="array" aca="1" ref="D51" ca="1">INDEX(Data_DBD!$E:$E,$A51)</f>
        <v>0</v>
      </c>
      <c r="E51" s="2" t="str" cm="1">
        <f t="array" aca="1" ref="E51" ca="1">INDEX(Data_DBD!$F:$F,$A51)</f>
        <v>Sedang</v>
      </c>
      <c r="H51" s="2">
        <v>99</v>
      </c>
      <c r="I51" s="2">
        <v>4</v>
      </c>
      <c r="J51" s="2">
        <v>2</v>
      </c>
      <c r="K51" s="2">
        <v>1</v>
      </c>
      <c r="L51" s="2" t="s">
        <v>97</v>
      </c>
    </row>
    <row r="52" spans="1:12">
      <c r="A52" s="2">
        <f t="shared" ca="1" si="0"/>
        <v>16</v>
      </c>
      <c r="B52" s="2" cm="1">
        <f t="array" aca="1" ref="B52" ca="1">INDEX(Data_DBD!$B:$B,$A52)</f>
        <v>66</v>
      </c>
      <c r="C52" s="2" cm="1">
        <f t="array" aca="1" ref="C52" ca="1">INDEX(Data_DBD!$C:$C,$A52)</f>
        <v>5</v>
      </c>
      <c r="D52" s="2" cm="1">
        <f t="array" aca="1" ref="D52" ca="1">INDEX(Data_DBD!$E:$E,$A52)</f>
        <v>1</v>
      </c>
      <c r="E52" s="2" t="str" cm="1">
        <f t="array" aca="1" ref="E52" ca="1">INDEX(Data_DBD!$F:$F,$A52)</f>
        <v>Rendah</v>
      </c>
      <c r="H52" s="2">
        <v>136</v>
      </c>
      <c r="I52" s="2">
        <v>6</v>
      </c>
      <c r="J52" s="2">
        <v>2</v>
      </c>
      <c r="K52" s="2">
        <v>0</v>
      </c>
      <c r="L52" s="2" t="s">
        <v>97</v>
      </c>
    </row>
    <row r="53" spans="1:12">
      <c r="A53" s="2">
        <f t="shared" ca="1" si="0"/>
        <v>9</v>
      </c>
      <c r="B53" s="2" cm="1">
        <f t="array" aca="1" ref="B53" ca="1">INDEX(Data_DBD!$B:$B,$A53)</f>
        <v>16</v>
      </c>
      <c r="C53" s="2" cm="1">
        <f t="array" aca="1" ref="C53" ca="1">INDEX(Data_DBD!$C:$C,$A53)</f>
        <v>6</v>
      </c>
      <c r="D53" s="2" cm="1">
        <f t="array" aca="1" ref="D53" ca="1">INDEX(Data_DBD!$E:$E,$A53)</f>
        <v>1</v>
      </c>
      <c r="E53" s="2" t="str" cm="1">
        <f t="array" aca="1" ref="E53" ca="1">INDEX(Data_DBD!$F:$F,$A53)</f>
        <v>Sedang</v>
      </c>
      <c r="H53" s="2">
        <v>122</v>
      </c>
      <c r="I53" s="2">
        <v>28</v>
      </c>
      <c r="J53" s="2">
        <v>3</v>
      </c>
      <c r="K53" s="2">
        <v>1</v>
      </c>
      <c r="L53" s="2" t="s">
        <v>97</v>
      </c>
    </row>
    <row r="54" spans="1:12">
      <c r="A54" s="2">
        <f t="shared" ca="1" si="0"/>
        <v>80</v>
      </c>
      <c r="B54" s="2" cm="1">
        <f t="array" aca="1" ref="B54" ca="1">INDEX(Data_DBD!$B:$B,$A54)</f>
        <v>27</v>
      </c>
      <c r="C54" s="2" cm="1">
        <f t="array" aca="1" ref="C54" ca="1">INDEX(Data_DBD!$C:$C,$A54)</f>
        <v>3</v>
      </c>
      <c r="D54" s="2" cm="1">
        <f t="array" aca="1" ref="D54" ca="1">INDEX(Data_DBD!$E:$E,$A54)</f>
        <v>1</v>
      </c>
      <c r="E54" s="2" t="str" cm="1">
        <f t="array" aca="1" ref="E54" ca="1">INDEX(Data_DBD!$F:$F,$A54)</f>
        <v>Sedang</v>
      </c>
      <c r="H54" s="2">
        <v>111</v>
      </c>
      <c r="I54" s="2">
        <v>25</v>
      </c>
      <c r="J54" s="2">
        <v>4</v>
      </c>
      <c r="K54" s="2">
        <v>0</v>
      </c>
      <c r="L54" s="2" t="s">
        <v>97</v>
      </c>
    </row>
    <row r="55" spans="1:12">
      <c r="A55" s="2">
        <f t="shared" ca="1" si="0"/>
        <v>67</v>
      </c>
      <c r="B55" s="2" cm="1">
        <f t="array" aca="1" ref="B55" ca="1">INDEX(Data_DBD!$B:$B,$A55)</f>
        <v>21</v>
      </c>
      <c r="C55" s="2" cm="1">
        <f t="array" aca="1" ref="C55" ca="1">INDEX(Data_DBD!$C:$C,$A55)</f>
        <v>3</v>
      </c>
      <c r="D55" s="2" cm="1">
        <f t="array" aca="1" ref="D55" ca="1">INDEX(Data_DBD!$E:$E,$A55)</f>
        <v>1</v>
      </c>
      <c r="E55" s="2" t="str" cm="1">
        <f t="array" aca="1" ref="E55" ca="1">INDEX(Data_DBD!$F:$F,$A55)</f>
        <v>Sedang</v>
      </c>
      <c r="H55" s="2">
        <v>45</v>
      </c>
      <c r="I55" s="2">
        <v>75</v>
      </c>
      <c r="J55" s="2">
        <v>3</v>
      </c>
      <c r="K55" s="2">
        <v>1</v>
      </c>
      <c r="L55" s="2" t="s">
        <v>7</v>
      </c>
    </row>
    <row r="56" spans="1:12">
      <c r="A56" s="2">
        <f t="shared" ca="1" si="0"/>
        <v>72</v>
      </c>
      <c r="B56" s="2" cm="1">
        <f t="array" aca="1" ref="B56" ca="1">INDEX(Data_DBD!$B:$B,$A56)</f>
        <v>3</v>
      </c>
      <c r="C56" s="2" cm="1">
        <f t="array" aca="1" ref="C56" ca="1">INDEX(Data_DBD!$C:$C,$A56)</f>
        <v>5</v>
      </c>
      <c r="D56" s="2" cm="1">
        <f t="array" aca="1" ref="D56" ca="1">INDEX(Data_DBD!$E:$E,$A56)</f>
        <v>1</v>
      </c>
      <c r="E56" s="2" t="str" cm="1">
        <f t="array" aca="1" ref="E56" ca="1">INDEX(Data_DBD!$F:$F,$A56)</f>
        <v>Sedang</v>
      </c>
      <c r="H56" s="2">
        <v>87</v>
      </c>
      <c r="I56" s="2">
        <v>21</v>
      </c>
      <c r="J56" s="2">
        <v>3</v>
      </c>
      <c r="K56" s="2">
        <v>0</v>
      </c>
      <c r="L56" s="2" t="s">
        <v>7</v>
      </c>
    </row>
    <row r="57" spans="1:12">
      <c r="A57" s="2">
        <f t="shared" ca="1" si="0"/>
        <v>161</v>
      </c>
      <c r="B57" s="2" cm="1">
        <f t="array" aca="1" ref="B57" ca="1">INDEX(Data_DBD!$B:$B,$A57)</f>
        <v>12</v>
      </c>
      <c r="C57" s="2" cm="1">
        <f t="array" aca="1" ref="C57" ca="1">INDEX(Data_DBD!$C:$C,$A57)</f>
        <v>3</v>
      </c>
      <c r="D57" s="2" cm="1">
        <f t="array" aca="1" ref="D57" ca="1">INDEX(Data_DBD!$E:$E,$A57)</f>
        <v>1</v>
      </c>
      <c r="E57" s="2" t="str" cm="1">
        <f t="array" aca="1" ref="E57" ca="1">INDEX(Data_DBD!$F:$F,$A57)</f>
        <v>Tinggi</v>
      </c>
      <c r="H57" s="2">
        <v>63</v>
      </c>
      <c r="I57" s="2">
        <v>25</v>
      </c>
      <c r="J57" s="2">
        <v>3</v>
      </c>
      <c r="K57" s="2">
        <v>0</v>
      </c>
      <c r="L57" s="2" t="s">
        <v>7</v>
      </c>
    </row>
    <row r="58" spans="1:12">
      <c r="A58" s="2">
        <f t="shared" ca="1" si="0"/>
        <v>12</v>
      </c>
      <c r="B58" s="2" cm="1">
        <f t="array" aca="1" ref="B58" ca="1">INDEX(Data_DBD!$B:$B,$A58)</f>
        <v>23</v>
      </c>
      <c r="C58" s="2" cm="1">
        <f t="array" aca="1" ref="C58" ca="1">INDEX(Data_DBD!$C:$C,$A58)</f>
        <v>3</v>
      </c>
      <c r="D58" s="2" cm="1">
        <f t="array" aca="1" ref="D58" ca="1">INDEX(Data_DBD!$E:$E,$A58)</f>
        <v>0</v>
      </c>
      <c r="E58" s="2" t="str" cm="1">
        <f t="array" aca="1" ref="E58" ca="1">INDEX(Data_DBD!$F:$F,$A58)</f>
        <v>Sedang</v>
      </c>
      <c r="H58" s="2">
        <v>27</v>
      </c>
      <c r="I58" s="2">
        <v>37</v>
      </c>
      <c r="J58" s="2">
        <v>4</v>
      </c>
      <c r="K58" s="2">
        <v>1</v>
      </c>
      <c r="L58" s="2" t="s">
        <v>7</v>
      </c>
    </row>
    <row r="59" spans="1:12">
      <c r="A59" s="2">
        <f t="shared" ca="1" si="0"/>
        <v>58</v>
      </c>
      <c r="B59" s="2" cm="1">
        <f t="array" aca="1" ref="B59" ca="1">INDEX(Data_DBD!$B:$B,$A59)</f>
        <v>17</v>
      </c>
      <c r="C59" s="2" cm="1">
        <f t="array" aca="1" ref="C59" ca="1">INDEX(Data_DBD!$C:$C,$A59)</f>
        <v>3</v>
      </c>
      <c r="D59" s="2" cm="1">
        <f t="array" aca="1" ref="D59" ca="1">INDEX(Data_DBD!$E:$E,$A59)</f>
        <v>0</v>
      </c>
      <c r="E59" s="2" t="str" cm="1">
        <f t="array" aca="1" ref="E59" ca="1">INDEX(Data_DBD!$F:$F,$A59)</f>
        <v>Sedang</v>
      </c>
      <c r="H59" s="2">
        <v>76</v>
      </c>
      <c r="I59" s="2">
        <v>70</v>
      </c>
      <c r="J59" s="2">
        <v>2</v>
      </c>
      <c r="K59" s="2">
        <v>0</v>
      </c>
      <c r="L59" s="2" t="s">
        <v>7</v>
      </c>
    </row>
    <row r="60" spans="1:12">
      <c r="A60" s="2">
        <f t="shared" ca="1" si="0"/>
        <v>22</v>
      </c>
      <c r="B60" s="2" cm="1">
        <f t="array" aca="1" ref="B60" ca="1">INDEX(Data_DBD!$B:$B,$A60)</f>
        <v>6</v>
      </c>
      <c r="C60" s="2" cm="1">
        <f t="array" aca="1" ref="C60" ca="1">INDEX(Data_DBD!$C:$C,$A60)</f>
        <v>3</v>
      </c>
      <c r="D60" s="2" cm="1">
        <f t="array" aca="1" ref="D60" ca="1">INDEX(Data_DBD!$E:$E,$A60)</f>
        <v>0</v>
      </c>
      <c r="E60" s="2" t="str" cm="1">
        <f t="array" aca="1" ref="E60" ca="1">INDEX(Data_DBD!$F:$F,$A60)</f>
        <v>Sedang</v>
      </c>
      <c r="H60" s="2">
        <v>63</v>
      </c>
      <c r="I60" s="2">
        <v>25</v>
      </c>
      <c r="J60" s="2">
        <v>3</v>
      </c>
      <c r="K60" s="2">
        <v>0</v>
      </c>
      <c r="L60" s="2" t="s">
        <v>7</v>
      </c>
    </row>
    <row r="61" spans="1:12">
      <c r="A61" s="2">
        <f t="shared" ca="1" si="0"/>
        <v>67</v>
      </c>
      <c r="B61" s="2" cm="1">
        <f t="array" aca="1" ref="B61" ca="1">INDEX(Data_DBD!$B:$B,$A61)</f>
        <v>21</v>
      </c>
      <c r="C61" s="2" cm="1">
        <f t="array" aca="1" ref="C61" ca="1">INDEX(Data_DBD!$C:$C,$A61)</f>
        <v>3</v>
      </c>
      <c r="D61" s="2" cm="1">
        <f t="array" aca="1" ref="D61" ca="1">INDEX(Data_DBD!$E:$E,$A61)</f>
        <v>1</v>
      </c>
      <c r="E61" s="2" t="str" cm="1">
        <f t="array" aca="1" ref="E61" ca="1">INDEX(Data_DBD!$F:$F,$A61)</f>
        <v>Sedang</v>
      </c>
      <c r="H61" s="2">
        <v>122</v>
      </c>
      <c r="I61" s="2">
        <v>28</v>
      </c>
      <c r="J61" s="2">
        <v>3</v>
      </c>
      <c r="K61" s="2">
        <v>1</v>
      </c>
      <c r="L61" s="2" t="s">
        <v>97</v>
      </c>
    </row>
    <row r="62" spans="1:12">
      <c r="A62" s="2">
        <f t="shared" ca="1" si="0"/>
        <v>63</v>
      </c>
      <c r="B62" s="2" cm="1">
        <f t="array" aca="1" ref="B62" ca="1">INDEX(Data_DBD!$B:$B,$A62)</f>
        <v>25</v>
      </c>
      <c r="C62" s="2" cm="1">
        <f t="array" aca="1" ref="C62" ca="1">INDEX(Data_DBD!$C:$C,$A62)</f>
        <v>3</v>
      </c>
      <c r="D62" s="2" cm="1">
        <f t="array" aca="1" ref="D62" ca="1">INDEX(Data_DBD!$E:$E,$A62)</f>
        <v>0</v>
      </c>
      <c r="E62" s="2" t="str" cm="1">
        <f t="array" aca="1" ref="E62" ca="1">INDEX(Data_DBD!$F:$F,$A62)</f>
        <v>Sedang</v>
      </c>
      <c r="H62" s="2">
        <v>7</v>
      </c>
      <c r="I62" s="2">
        <v>12</v>
      </c>
      <c r="J62" s="2">
        <v>1</v>
      </c>
      <c r="K62" s="2">
        <v>1</v>
      </c>
      <c r="L62" s="2" t="s">
        <v>7</v>
      </c>
    </row>
    <row r="63" spans="1:12">
      <c r="A63" s="2">
        <f t="shared" ca="1" si="0"/>
        <v>59</v>
      </c>
      <c r="B63" s="2" cm="1">
        <f t="array" aca="1" ref="B63" ca="1">INDEX(Data_DBD!$B:$B,$A63)</f>
        <v>28</v>
      </c>
      <c r="C63" s="2" cm="1">
        <f t="array" aca="1" ref="C63" ca="1">INDEX(Data_DBD!$C:$C,$A63)</f>
        <v>4</v>
      </c>
      <c r="D63" s="2" cm="1">
        <f t="array" aca="1" ref="D63" ca="1">INDEX(Data_DBD!$E:$E,$A63)</f>
        <v>0</v>
      </c>
      <c r="E63" s="2" t="str" cm="1">
        <f t="array" aca="1" ref="E63" ca="1">INDEX(Data_DBD!$F:$F,$A63)</f>
        <v>Sedang</v>
      </c>
      <c r="H63" s="2">
        <v>157</v>
      </c>
      <c r="I63" s="2">
        <v>15</v>
      </c>
      <c r="J63" s="2">
        <v>4</v>
      </c>
      <c r="K63" s="2">
        <v>1</v>
      </c>
      <c r="L63" s="2" t="s">
        <v>97</v>
      </c>
    </row>
    <row r="64" spans="1:12">
      <c r="A64" s="2">
        <f t="shared" ca="1" si="0"/>
        <v>7</v>
      </c>
      <c r="B64" s="2" cm="1">
        <f t="array" aca="1" ref="B64" ca="1">INDEX(Data_DBD!$B:$B,$A64)</f>
        <v>12</v>
      </c>
      <c r="C64" s="2" cm="1">
        <f t="array" aca="1" ref="C64" ca="1">INDEX(Data_DBD!$C:$C,$A64)</f>
        <v>1</v>
      </c>
      <c r="D64" s="2" cm="1">
        <f t="array" aca="1" ref="D64" ca="1">INDEX(Data_DBD!$E:$E,$A64)</f>
        <v>1</v>
      </c>
      <c r="E64" s="2" t="str" cm="1">
        <f t="array" aca="1" ref="E64" ca="1">INDEX(Data_DBD!$F:$F,$A64)</f>
        <v>Sedang</v>
      </c>
      <c r="H64" s="2">
        <v>19</v>
      </c>
      <c r="I64" s="2">
        <v>8</v>
      </c>
      <c r="J64" s="2">
        <v>4</v>
      </c>
      <c r="K64" s="2">
        <v>0</v>
      </c>
      <c r="L64" s="2" t="s">
        <v>20</v>
      </c>
    </row>
    <row r="65" spans="1:12">
      <c r="A65" s="2">
        <f t="shared" ca="1" si="0"/>
        <v>134</v>
      </c>
      <c r="B65" s="2" cm="1">
        <f t="array" aca="1" ref="B65" ca="1">INDEX(Data_DBD!$B:$B,$A65)</f>
        <v>4</v>
      </c>
      <c r="C65" s="2" cm="1">
        <f t="array" aca="1" ref="C65" ca="1">INDEX(Data_DBD!$C:$C,$A65)</f>
        <v>2</v>
      </c>
      <c r="D65" s="2" cm="1">
        <f t="array" aca="1" ref="D65" ca="1">INDEX(Data_DBD!$E:$E,$A65)</f>
        <v>1</v>
      </c>
      <c r="E65" s="2" t="str" cm="1">
        <f t="array" aca="1" ref="E65" ca="1">INDEX(Data_DBD!$F:$F,$A65)</f>
        <v>Tinggi</v>
      </c>
      <c r="H65" s="2">
        <v>32</v>
      </c>
      <c r="I65" s="2">
        <v>54</v>
      </c>
      <c r="J65" s="2">
        <v>4</v>
      </c>
      <c r="K65" s="2">
        <v>0</v>
      </c>
      <c r="L65" s="2" t="s">
        <v>7</v>
      </c>
    </row>
    <row r="66" spans="1:12">
      <c r="A66" s="2">
        <f t="shared" ca="1" si="0"/>
        <v>58</v>
      </c>
      <c r="B66" s="2" cm="1">
        <f t="array" aca="1" ref="B66" ca="1">INDEX(Data_DBD!$B:$B,$A66)</f>
        <v>17</v>
      </c>
      <c r="C66" s="2" cm="1">
        <f t="array" aca="1" ref="C66" ca="1">INDEX(Data_DBD!$C:$C,$A66)</f>
        <v>3</v>
      </c>
      <c r="D66" s="2" cm="1">
        <f t="array" aca="1" ref="D66" ca="1">INDEX(Data_DBD!$E:$E,$A66)</f>
        <v>0</v>
      </c>
      <c r="E66" s="2" t="str" cm="1">
        <f t="array" aca="1" ref="E66" ca="1">INDEX(Data_DBD!$F:$F,$A66)</f>
        <v>Sedang</v>
      </c>
      <c r="H66" s="2">
        <v>126</v>
      </c>
      <c r="I66" s="2">
        <v>51</v>
      </c>
      <c r="J66" s="2">
        <v>3</v>
      </c>
      <c r="K66" s="2">
        <v>1</v>
      </c>
      <c r="L66" s="2" t="s">
        <v>97</v>
      </c>
    </row>
    <row r="67" spans="1:12">
      <c r="A67" s="2">
        <f t="shared" ref="A67:A130" ca="1" si="1">RANDBETWEEN(2,164)</f>
        <v>87</v>
      </c>
      <c r="B67" s="2" cm="1">
        <f t="array" aca="1" ref="B67" ca="1">INDEX(Data_DBD!$B:$B,$A67)</f>
        <v>21</v>
      </c>
      <c r="C67" s="2" cm="1">
        <f t="array" aca="1" ref="C67" ca="1">INDEX(Data_DBD!$C:$C,$A67)</f>
        <v>3</v>
      </c>
      <c r="D67" s="2" cm="1">
        <f t="array" aca="1" ref="D67" ca="1">INDEX(Data_DBD!$E:$E,$A67)</f>
        <v>0</v>
      </c>
      <c r="E67" s="2" t="str" cm="1">
        <f t="array" aca="1" ref="E67" ca="1">INDEX(Data_DBD!$F:$F,$A67)</f>
        <v>Sedang</v>
      </c>
      <c r="H67" s="2">
        <v>109</v>
      </c>
      <c r="I67" s="2">
        <v>40</v>
      </c>
      <c r="J67" s="2">
        <v>3</v>
      </c>
      <c r="K67" s="2">
        <v>1</v>
      </c>
      <c r="L67" s="2" t="s">
        <v>97</v>
      </c>
    </row>
    <row r="68" spans="1:12">
      <c r="A68" s="2">
        <f t="shared" ca="1" si="1"/>
        <v>4</v>
      </c>
      <c r="B68" s="2" cm="1">
        <f t="array" aca="1" ref="B68" ca="1">INDEX(Data_DBD!$B:$B,$A68)</f>
        <v>23</v>
      </c>
      <c r="C68" s="2" cm="1">
        <f t="array" aca="1" ref="C68" ca="1">INDEX(Data_DBD!$C:$C,$A68)</f>
        <v>5</v>
      </c>
      <c r="D68" s="2" cm="1">
        <f t="array" aca="1" ref="D68" ca="1">INDEX(Data_DBD!$E:$E,$A68)</f>
        <v>0</v>
      </c>
      <c r="E68" s="2" t="str" cm="1">
        <f t="array" aca="1" ref="E68" ca="1">INDEX(Data_DBD!$F:$F,$A68)</f>
        <v>Sedang</v>
      </c>
      <c r="H68" s="2">
        <v>79</v>
      </c>
      <c r="I68" s="2">
        <v>29</v>
      </c>
      <c r="J68" s="2">
        <v>3</v>
      </c>
      <c r="K68" s="2">
        <v>0</v>
      </c>
      <c r="L68" s="2" t="s">
        <v>7</v>
      </c>
    </row>
    <row r="69" spans="1:12">
      <c r="A69" s="2">
        <f t="shared" ca="1" si="1"/>
        <v>121</v>
      </c>
      <c r="B69" s="2" cm="1">
        <f t="array" aca="1" ref="B69" ca="1">INDEX(Data_DBD!$B:$B,$A69)</f>
        <v>82</v>
      </c>
      <c r="C69" s="2" cm="1">
        <f t="array" aca="1" ref="C69" ca="1">INDEX(Data_DBD!$C:$C,$A69)</f>
        <v>5</v>
      </c>
      <c r="D69" s="2" cm="1">
        <f t="array" aca="1" ref="D69" ca="1">INDEX(Data_DBD!$E:$E,$A69)</f>
        <v>1</v>
      </c>
      <c r="E69" s="2" t="str" cm="1">
        <f t="array" aca="1" ref="E69" ca="1">INDEX(Data_DBD!$F:$F,$A69)</f>
        <v>Tinggi</v>
      </c>
      <c r="H69" s="2">
        <v>144</v>
      </c>
      <c r="I69" s="2">
        <v>61</v>
      </c>
      <c r="J69" s="2">
        <v>4</v>
      </c>
      <c r="K69" s="2">
        <v>1</v>
      </c>
      <c r="L69" s="2" t="s">
        <v>97</v>
      </c>
    </row>
    <row r="70" spans="1:12">
      <c r="A70" s="2">
        <f t="shared" ca="1" si="1"/>
        <v>94</v>
      </c>
      <c r="B70" s="2" cm="1">
        <f t="array" aca="1" ref="B70" ca="1">INDEX(Data_DBD!$B:$B,$A70)</f>
        <v>12</v>
      </c>
      <c r="C70" s="2" cm="1">
        <f t="array" aca="1" ref="C70" ca="1">INDEX(Data_DBD!$C:$C,$A70)</f>
        <v>4</v>
      </c>
      <c r="D70" s="2" cm="1">
        <f t="array" aca="1" ref="D70" ca="1">INDEX(Data_DBD!$E:$E,$A70)</f>
        <v>0</v>
      </c>
      <c r="E70" s="2" t="str" cm="1">
        <f t="array" aca="1" ref="E70" ca="1">INDEX(Data_DBD!$F:$F,$A70)</f>
        <v>Tinggi</v>
      </c>
      <c r="H70" s="2">
        <v>110</v>
      </c>
      <c r="I70" s="2">
        <v>42</v>
      </c>
      <c r="J70" s="2">
        <v>2</v>
      </c>
      <c r="K70" s="2">
        <v>1</v>
      </c>
      <c r="L70" s="2" t="s">
        <v>97</v>
      </c>
    </row>
    <row r="71" spans="1:12">
      <c r="A71" s="2">
        <f t="shared" ca="1" si="1"/>
        <v>100</v>
      </c>
      <c r="B71" s="2" cm="1">
        <f t="array" aca="1" ref="B71" ca="1">INDEX(Data_DBD!$B:$B,$A71)</f>
        <v>19</v>
      </c>
      <c r="C71" s="2" cm="1">
        <f t="array" aca="1" ref="C71" ca="1">INDEX(Data_DBD!$C:$C,$A71)</f>
        <v>6</v>
      </c>
      <c r="D71" s="2" cm="1">
        <f t="array" aca="1" ref="D71" ca="1">INDEX(Data_DBD!$E:$E,$A71)</f>
        <v>0</v>
      </c>
      <c r="E71" s="2" t="str" cm="1">
        <f t="array" aca="1" ref="E71" ca="1">INDEX(Data_DBD!$F:$F,$A71)</f>
        <v>Tinggi</v>
      </c>
      <c r="H71" s="2">
        <v>131</v>
      </c>
      <c r="I71" s="2">
        <v>10</v>
      </c>
      <c r="J71" s="2">
        <v>2</v>
      </c>
      <c r="K71" s="2">
        <v>0</v>
      </c>
      <c r="L71" s="2" t="s">
        <v>97</v>
      </c>
    </row>
    <row r="72" spans="1:12">
      <c r="A72" s="2">
        <f t="shared" ca="1" si="1"/>
        <v>73</v>
      </c>
      <c r="B72" s="2" cm="1">
        <f t="array" aca="1" ref="B72" ca="1">INDEX(Data_DBD!$B:$B,$A72)</f>
        <v>15</v>
      </c>
      <c r="C72" s="2" cm="1">
        <f t="array" aca="1" ref="C72" ca="1">INDEX(Data_DBD!$C:$C,$A72)</f>
        <v>3</v>
      </c>
      <c r="D72" s="2" cm="1">
        <f t="array" aca="1" ref="D72" ca="1">INDEX(Data_DBD!$E:$E,$A72)</f>
        <v>1</v>
      </c>
      <c r="E72" s="2" t="str" cm="1">
        <f t="array" aca="1" ref="E72" ca="1">INDEX(Data_DBD!$F:$F,$A72)</f>
        <v>Sedang</v>
      </c>
      <c r="H72" s="2">
        <v>125</v>
      </c>
      <c r="I72" s="2">
        <v>39</v>
      </c>
      <c r="J72" s="2">
        <v>4</v>
      </c>
      <c r="K72" s="2">
        <v>0</v>
      </c>
      <c r="L72" s="2" t="s">
        <v>97</v>
      </c>
    </row>
    <row r="73" spans="1:12">
      <c r="A73" s="2">
        <f t="shared" ca="1" si="1"/>
        <v>129</v>
      </c>
      <c r="B73" s="2" cm="1">
        <f t="array" aca="1" ref="B73" ca="1">INDEX(Data_DBD!$B:$B,$A73)</f>
        <v>4</v>
      </c>
      <c r="C73" s="2" cm="1">
        <f t="array" aca="1" ref="C73" ca="1">INDEX(Data_DBD!$C:$C,$A73)</f>
        <v>3</v>
      </c>
      <c r="D73" s="2" cm="1">
        <f t="array" aca="1" ref="D73" ca="1">INDEX(Data_DBD!$E:$E,$A73)</f>
        <v>0</v>
      </c>
      <c r="E73" s="2" t="str" cm="1">
        <f t="array" aca="1" ref="E73" ca="1">INDEX(Data_DBD!$F:$F,$A73)</f>
        <v>Tinggi</v>
      </c>
      <c r="H73" s="2">
        <v>88</v>
      </c>
      <c r="I73" s="2">
        <v>20</v>
      </c>
      <c r="J73" s="2">
        <v>4</v>
      </c>
      <c r="K73" s="2">
        <v>1</v>
      </c>
      <c r="L73" s="2" t="s">
        <v>7</v>
      </c>
    </row>
    <row r="74" spans="1:12">
      <c r="A74" s="2">
        <f t="shared" ca="1" si="1"/>
        <v>30</v>
      </c>
      <c r="B74" s="2" cm="1">
        <f t="array" aca="1" ref="B74" ca="1">INDEX(Data_DBD!$B:$B,$A74)</f>
        <v>3</v>
      </c>
      <c r="C74" s="2" cm="1">
        <f t="array" aca="1" ref="C74" ca="1">INDEX(Data_DBD!$C:$C,$A74)</f>
        <v>2</v>
      </c>
      <c r="D74" s="2" cm="1">
        <f t="array" aca="1" ref="D74" ca="1">INDEX(Data_DBD!$E:$E,$A74)</f>
        <v>1</v>
      </c>
      <c r="E74" s="2" t="str" cm="1">
        <f t="array" aca="1" ref="E74" ca="1">INDEX(Data_DBD!$F:$F,$A74)</f>
        <v>Sedang</v>
      </c>
      <c r="H74" s="2">
        <v>77</v>
      </c>
      <c r="I74" s="2">
        <v>16</v>
      </c>
      <c r="J74" s="2">
        <v>4</v>
      </c>
      <c r="K74" s="2">
        <v>1</v>
      </c>
      <c r="L74" s="2" t="s">
        <v>7</v>
      </c>
    </row>
    <row r="75" spans="1:12">
      <c r="A75" s="2">
        <f t="shared" ca="1" si="1"/>
        <v>140</v>
      </c>
      <c r="B75" s="2" cm="1">
        <f t="array" aca="1" ref="B75" ca="1">INDEX(Data_DBD!$B:$B,$A75)</f>
        <v>74</v>
      </c>
      <c r="C75" s="2" cm="1">
        <f t="array" aca="1" ref="C75" ca="1">INDEX(Data_DBD!$C:$C,$A75)</f>
        <v>5</v>
      </c>
      <c r="D75" s="2" cm="1">
        <f t="array" aca="1" ref="D75" ca="1">INDEX(Data_DBD!$E:$E,$A75)</f>
        <v>1</v>
      </c>
      <c r="E75" s="2" t="str" cm="1">
        <f t="array" aca="1" ref="E75" ca="1">INDEX(Data_DBD!$F:$F,$A75)</f>
        <v>Tinggi</v>
      </c>
      <c r="H75" s="2">
        <v>137</v>
      </c>
      <c r="I75" s="2">
        <v>3</v>
      </c>
      <c r="J75" s="2">
        <v>1</v>
      </c>
      <c r="K75" s="2">
        <v>1</v>
      </c>
      <c r="L75" s="2" t="s">
        <v>97</v>
      </c>
    </row>
    <row r="76" spans="1:12">
      <c r="A76" s="2">
        <f t="shared" ca="1" si="1"/>
        <v>135</v>
      </c>
      <c r="B76" s="2" cm="1">
        <f t="array" aca="1" ref="B76" ca="1">INDEX(Data_DBD!$B:$B,$A76)</f>
        <v>10</v>
      </c>
      <c r="C76" s="2" cm="1">
        <f t="array" aca="1" ref="C76" ca="1">INDEX(Data_DBD!$C:$C,$A76)</f>
        <v>2</v>
      </c>
      <c r="D76" s="2" cm="1">
        <f t="array" aca="1" ref="D76" ca="1">INDEX(Data_DBD!$E:$E,$A76)</f>
        <v>0</v>
      </c>
      <c r="E76" s="2" t="str" cm="1">
        <f t="array" aca="1" ref="E76" ca="1">INDEX(Data_DBD!$F:$F,$A76)</f>
        <v>Tinggi</v>
      </c>
      <c r="H76" s="2">
        <v>10</v>
      </c>
      <c r="I76" s="2">
        <v>18</v>
      </c>
      <c r="J76" s="2">
        <v>5</v>
      </c>
      <c r="K76" s="2">
        <v>0</v>
      </c>
      <c r="L76" s="2" t="s">
        <v>7</v>
      </c>
    </row>
    <row r="77" spans="1:12">
      <c r="A77" s="2">
        <f t="shared" ca="1" si="1"/>
        <v>135</v>
      </c>
      <c r="B77" s="2" cm="1">
        <f t="array" aca="1" ref="B77" ca="1">INDEX(Data_DBD!$B:$B,$A77)</f>
        <v>10</v>
      </c>
      <c r="C77" s="2" cm="1">
        <f t="array" aca="1" ref="C77" ca="1">INDEX(Data_DBD!$C:$C,$A77)</f>
        <v>2</v>
      </c>
      <c r="D77" s="2" cm="1">
        <f t="array" aca="1" ref="D77" ca="1">INDEX(Data_DBD!$E:$E,$A77)</f>
        <v>0</v>
      </c>
      <c r="E77" s="2" t="str" cm="1">
        <f t="array" aca="1" ref="E77" ca="1">INDEX(Data_DBD!$F:$F,$A77)</f>
        <v>Tinggi</v>
      </c>
      <c r="H77" s="2">
        <v>51</v>
      </c>
      <c r="I77" s="2">
        <v>48</v>
      </c>
      <c r="J77" s="2">
        <v>4</v>
      </c>
      <c r="K77" s="2">
        <v>0</v>
      </c>
      <c r="L77" s="2" t="s">
        <v>7</v>
      </c>
    </row>
    <row r="78" spans="1:12">
      <c r="A78" s="2">
        <f t="shared" ca="1" si="1"/>
        <v>126</v>
      </c>
      <c r="B78" s="2" cm="1">
        <f t="array" aca="1" ref="B78" ca="1">INDEX(Data_DBD!$B:$B,$A78)</f>
        <v>51</v>
      </c>
      <c r="C78" s="2" cm="1">
        <f t="array" aca="1" ref="C78" ca="1">INDEX(Data_DBD!$C:$C,$A78)</f>
        <v>3</v>
      </c>
      <c r="D78" s="2" cm="1">
        <f t="array" aca="1" ref="D78" ca="1">INDEX(Data_DBD!$E:$E,$A78)</f>
        <v>1</v>
      </c>
      <c r="E78" s="2" t="str" cm="1">
        <f t="array" aca="1" ref="E78" ca="1">INDEX(Data_DBD!$F:$F,$A78)</f>
        <v>Tinggi</v>
      </c>
      <c r="H78" s="2">
        <v>86</v>
      </c>
      <c r="I78" s="2">
        <v>23</v>
      </c>
      <c r="J78" s="2">
        <v>3</v>
      </c>
      <c r="K78" s="2">
        <v>0</v>
      </c>
      <c r="L78" s="2" t="s">
        <v>7</v>
      </c>
    </row>
    <row r="79" spans="1:12">
      <c r="A79" s="2">
        <f t="shared" ca="1" si="1"/>
        <v>150</v>
      </c>
      <c r="B79" s="2" cm="1">
        <f t="array" aca="1" ref="B79" ca="1">INDEX(Data_DBD!$B:$B,$A79)</f>
        <v>61</v>
      </c>
      <c r="C79" s="2" cm="1">
        <f t="array" aca="1" ref="C79" ca="1">INDEX(Data_DBD!$C:$C,$A79)</f>
        <v>5</v>
      </c>
      <c r="D79" s="2" cm="1">
        <f t="array" aca="1" ref="D79" ca="1">INDEX(Data_DBD!$E:$E,$A79)</f>
        <v>1</v>
      </c>
      <c r="E79" s="2" t="str" cm="1">
        <f t="array" aca="1" ref="E79" ca="1">INDEX(Data_DBD!$F:$F,$A79)</f>
        <v>Tinggi</v>
      </c>
      <c r="H79" s="2">
        <v>146</v>
      </c>
      <c r="I79" s="2">
        <v>34</v>
      </c>
      <c r="J79" s="2">
        <v>2</v>
      </c>
      <c r="K79" s="2">
        <v>1</v>
      </c>
      <c r="L79" s="2" t="s">
        <v>97</v>
      </c>
    </row>
    <row r="80" spans="1:12">
      <c r="A80" s="2">
        <f t="shared" ca="1" si="1"/>
        <v>84</v>
      </c>
      <c r="B80" s="2" cm="1">
        <f t="array" aca="1" ref="B80" ca="1">INDEX(Data_DBD!$B:$B,$A80)</f>
        <v>42</v>
      </c>
      <c r="C80" s="2" cm="1">
        <f t="array" aca="1" ref="C80" ca="1">INDEX(Data_DBD!$C:$C,$A80)</f>
        <v>4</v>
      </c>
      <c r="D80" s="2" cm="1">
        <f t="array" aca="1" ref="D80" ca="1">INDEX(Data_DBD!$E:$E,$A80)</f>
        <v>1</v>
      </c>
      <c r="E80" s="2" t="str" cm="1">
        <f t="array" aca="1" ref="E80" ca="1">INDEX(Data_DBD!$F:$F,$A80)</f>
        <v>Sedang</v>
      </c>
      <c r="H80" s="2">
        <v>15</v>
      </c>
      <c r="I80" s="2">
        <v>21</v>
      </c>
      <c r="J80" s="2">
        <v>2</v>
      </c>
      <c r="K80" s="2">
        <v>0</v>
      </c>
      <c r="L80" s="2" t="s">
        <v>20</v>
      </c>
    </row>
    <row r="81" spans="1:12">
      <c r="A81" s="2">
        <f t="shared" ca="1" si="1"/>
        <v>32</v>
      </c>
      <c r="B81" s="2" cm="1">
        <f t="array" aca="1" ref="B81" ca="1">INDEX(Data_DBD!$B:$B,$A81)</f>
        <v>54</v>
      </c>
      <c r="C81" s="2" cm="1">
        <f t="array" aca="1" ref="C81" ca="1">INDEX(Data_DBD!$C:$C,$A81)</f>
        <v>4</v>
      </c>
      <c r="D81" s="2" cm="1">
        <f t="array" aca="1" ref="D81" ca="1">INDEX(Data_DBD!$E:$E,$A81)</f>
        <v>0</v>
      </c>
      <c r="E81" s="2" t="str" cm="1">
        <f t="array" aca="1" ref="E81" ca="1">INDEX(Data_DBD!$F:$F,$A81)</f>
        <v>Sedang</v>
      </c>
      <c r="H81" s="2">
        <v>151</v>
      </c>
      <c r="I81" s="2">
        <v>24</v>
      </c>
      <c r="J81" s="2">
        <v>3</v>
      </c>
      <c r="K81" s="2">
        <v>0</v>
      </c>
      <c r="L81" s="2" t="s">
        <v>97</v>
      </c>
    </row>
    <row r="82" spans="1:12">
      <c r="A82" s="2">
        <f t="shared" ca="1" si="1"/>
        <v>100</v>
      </c>
      <c r="B82" s="2" cm="1">
        <f t="array" aca="1" ref="B82" ca="1">INDEX(Data_DBD!$B:$B,$A82)</f>
        <v>19</v>
      </c>
      <c r="C82" s="2" cm="1">
        <f t="array" aca="1" ref="C82" ca="1">INDEX(Data_DBD!$C:$C,$A82)</f>
        <v>6</v>
      </c>
      <c r="D82" s="2" cm="1">
        <f t="array" aca="1" ref="D82" ca="1">INDEX(Data_DBD!$E:$E,$A82)</f>
        <v>0</v>
      </c>
      <c r="E82" s="2" t="str" cm="1">
        <f t="array" aca="1" ref="E82" ca="1">INDEX(Data_DBD!$F:$F,$A82)</f>
        <v>Tinggi</v>
      </c>
      <c r="H82" s="2">
        <v>56</v>
      </c>
      <c r="I82" s="2">
        <v>4</v>
      </c>
      <c r="J82" s="2">
        <v>3</v>
      </c>
      <c r="K82" s="2">
        <v>0</v>
      </c>
      <c r="L82" s="2" t="s">
        <v>7</v>
      </c>
    </row>
    <row r="83" spans="1:12">
      <c r="A83" s="2">
        <f t="shared" ca="1" si="1"/>
        <v>153</v>
      </c>
      <c r="B83" s="2" cm="1">
        <f t="array" aca="1" ref="B83" ca="1">INDEX(Data_DBD!$B:$B,$A83)</f>
        <v>73</v>
      </c>
      <c r="C83" s="2" cm="1">
        <f t="array" aca="1" ref="C83" ca="1">INDEX(Data_DBD!$C:$C,$A83)</f>
        <v>7</v>
      </c>
      <c r="D83" s="2" cm="1">
        <f t="array" aca="1" ref="D83" ca="1">INDEX(Data_DBD!$E:$E,$A83)</f>
        <v>1</v>
      </c>
      <c r="E83" s="2" t="str" cm="1">
        <f t="array" aca="1" ref="E83" ca="1">INDEX(Data_DBD!$F:$F,$A83)</f>
        <v>Tinggi</v>
      </c>
      <c r="H83" s="2">
        <v>70</v>
      </c>
      <c r="I83" s="2">
        <v>26</v>
      </c>
      <c r="J83" s="2">
        <v>3</v>
      </c>
      <c r="K83" s="2">
        <v>1</v>
      </c>
      <c r="L83" s="2" t="s">
        <v>7</v>
      </c>
    </row>
    <row r="84" spans="1:12">
      <c r="A84" s="2">
        <f t="shared" ca="1" si="1"/>
        <v>34</v>
      </c>
      <c r="B84" s="2" cm="1">
        <f t="array" aca="1" ref="B84" ca="1">INDEX(Data_DBD!$B:$B,$A84)</f>
        <v>55</v>
      </c>
      <c r="C84" s="2" cm="1">
        <f t="array" aca="1" ref="C84" ca="1">INDEX(Data_DBD!$C:$C,$A84)</f>
        <v>3</v>
      </c>
      <c r="D84" s="2" cm="1">
        <f t="array" aca="1" ref="D84" ca="1">INDEX(Data_DBD!$E:$E,$A84)</f>
        <v>0</v>
      </c>
      <c r="E84" s="2" t="str" cm="1">
        <f t="array" aca="1" ref="E84" ca="1">INDEX(Data_DBD!$F:$F,$A84)</f>
        <v>Sedang</v>
      </c>
      <c r="H84" s="2">
        <v>5</v>
      </c>
      <c r="I84" s="2">
        <v>18</v>
      </c>
      <c r="J84" s="2">
        <v>2</v>
      </c>
      <c r="K84" s="2">
        <v>1</v>
      </c>
      <c r="L84" s="2" t="s">
        <v>7</v>
      </c>
    </row>
    <row r="85" spans="1:12">
      <c r="A85" s="2">
        <f t="shared" ca="1" si="1"/>
        <v>48</v>
      </c>
      <c r="B85" s="2" cm="1">
        <f t="array" aca="1" ref="B85" ca="1">INDEX(Data_DBD!$B:$B,$A85)</f>
        <v>50</v>
      </c>
      <c r="C85" s="2" cm="1">
        <f t="array" aca="1" ref="C85" ca="1">INDEX(Data_DBD!$C:$C,$A85)</f>
        <v>5</v>
      </c>
      <c r="D85" s="2" cm="1">
        <f t="array" aca="1" ref="D85" ca="1">INDEX(Data_DBD!$E:$E,$A85)</f>
        <v>1</v>
      </c>
      <c r="E85" s="2" t="str" cm="1">
        <f t="array" aca="1" ref="E85" ca="1">INDEX(Data_DBD!$F:$F,$A85)</f>
        <v>Sedang</v>
      </c>
      <c r="H85" s="2">
        <v>66</v>
      </c>
      <c r="I85" s="2">
        <v>21</v>
      </c>
      <c r="J85" s="2">
        <v>5</v>
      </c>
      <c r="K85" s="2">
        <v>1</v>
      </c>
      <c r="L85" s="2" t="s">
        <v>7</v>
      </c>
    </row>
    <row r="86" spans="1:12">
      <c r="A86" s="2">
        <f t="shared" ca="1" si="1"/>
        <v>126</v>
      </c>
      <c r="B86" s="2" cm="1">
        <f t="array" aca="1" ref="B86" ca="1">INDEX(Data_DBD!$B:$B,$A86)</f>
        <v>51</v>
      </c>
      <c r="C86" s="2" cm="1">
        <f t="array" aca="1" ref="C86" ca="1">INDEX(Data_DBD!$C:$C,$A86)</f>
        <v>3</v>
      </c>
      <c r="D86" s="2" cm="1">
        <f t="array" aca="1" ref="D86" ca="1">INDEX(Data_DBD!$E:$E,$A86)</f>
        <v>1</v>
      </c>
      <c r="E86" s="2" t="str" cm="1">
        <f t="array" aca="1" ref="E86" ca="1">INDEX(Data_DBD!$F:$F,$A86)</f>
        <v>Tinggi</v>
      </c>
      <c r="H86" s="2">
        <v>164</v>
      </c>
      <c r="I86" s="2">
        <v>10</v>
      </c>
      <c r="J86" s="2">
        <v>6</v>
      </c>
      <c r="K86" s="2">
        <v>0</v>
      </c>
      <c r="L86" s="2" t="s">
        <v>20</v>
      </c>
    </row>
    <row r="87" spans="1:12">
      <c r="A87" s="2">
        <f t="shared" ca="1" si="1"/>
        <v>25</v>
      </c>
      <c r="B87" s="2" cm="1">
        <f t="array" aca="1" ref="B87" ca="1">INDEX(Data_DBD!$B:$B,$A87)</f>
        <v>81</v>
      </c>
      <c r="C87" s="2" cm="1">
        <f t="array" aca="1" ref="C87" ca="1">INDEX(Data_DBD!$C:$C,$A87)</f>
        <v>5</v>
      </c>
      <c r="D87" s="2" cm="1">
        <f t="array" aca="1" ref="D87" ca="1">INDEX(Data_DBD!$E:$E,$A87)</f>
        <v>0</v>
      </c>
      <c r="E87" s="2" t="str" cm="1">
        <f t="array" aca="1" ref="E87" ca="1">INDEX(Data_DBD!$F:$F,$A87)</f>
        <v>Sedang</v>
      </c>
      <c r="H87" s="2">
        <v>148</v>
      </c>
      <c r="I87" s="2">
        <v>55</v>
      </c>
      <c r="J87" s="2">
        <v>3</v>
      </c>
      <c r="K87" s="2">
        <v>1</v>
      </c>
      <c r="L87" s="2" t="s">
        <v>97</v>
      </c>
    </row>
    <row r="88" spans="1:12">
      <c r="A88" s="2">
        <f t="shared" ca="1" si="1"/>
        <v>135</v>
      </c>
      <c r="B88" s="2" cm="1">
        <f t="array" aca="1" ref="B88" ca="1">INDEX(Data_DBD!$B:$B,$A88)</f>
        <v>10</v>
      </c>
      <c r="C88" s="2" cm="1">
        <f t="array" aca="1" ref="C88" ca="1">INDEX(Data_DBD!$C:$C,$A88)</f>
        <v>2</v>
      </c>
      <c r="D88" s="2" cm="1">
        <f t="array" aca="1" ref="D88" ca="1">INDEX(Data_DBD!$E:$E,$A88)</f>
        <v>0</v>
      </c>
      <c r="E88" s="2" t="str" cm="1">
        <f t="array" aca="1" ref="E88" ca="1">INDEX(Data_DBD!$F:$F,$A88)</f>
        <v>Tinggi</v>
      </c>
      <c r="H88" s="2">
        <v>11</v>
      </c>
      <c r="I88" s="2">
        <v>24</v>
      </c>
      <c r="J88" s="2">
        <v>5</v>
      </c>
      <c r="K88" s="2">
        <v>1</v>
      </c>
      <c r="L88" s="2" t="s">
        <v>7</v>
      </c>
    </row>
    <row r="89" spans="1:12">
      <c r="A89" s="2">
        <f t="shared" ca="1" si="1"/>
        <v>7</v>
      </c>
      <c r="B89" s="2" cm="1">
        <f t="array" aca="1" ref="B89" ca="1">INDEX(Data_DBD!$B:$B,$A89)</f>
        <v>12</v>
      </c>
      <c r="C89" s="2" cm="1">
        <f t="array" aca="1" ref="C89" ca="1">INDEX(Data_DBD!$C:$C,$A89)</f>
        <v>1</v>
      </c>
      <c r="D89" s="2" cm="1">
        <f t="array" aca="1" ref="D89" ca="1">INDEX(Data_DBD!$E:$E,$A89)</f>
        <v>1</v>
      </c>
      <c r="E89" s="2" t="str" cm="1">
        <f t="array" aca="1" ref="E89" ca="1">INDEX(Data_DBD!$F:$F,$A89)</f>
        <v>Sedang</v>
      </c>
      <c r="H89" s="2">
        <v>97</v>
      </c>
      <c r="I89" s="2">
        <v>16</v>
      </c>
      <c r="J89" s="2">
        <v>2</v>
      </c>
      <c r="K89" s="2">
        <v>1</v>
      </c>
      <c r="L89" s="2" t="s">
        <v>97</v>
      </c>
    </row>
    <row r="90" spans="1:12">
      <c r="A90" s="2">
        <f t="shared" ca="1" si="1"/>
        <v>18</v>
      </c>
      <c r="B90" s="2" cm="1">
        <f t="array" aca="1" ref="B90" ca="1">INDEX(Data_DBD!$B:$B,$A90)</f>
        <v>49</v>
      </c>
      <c r="C90" s="2" cm="1">
        <f t="array" aca="1" ref="C90" ca="1">INDEX(Data_DBD!$C:$C,$A90)</f>
        <v>4</v>
      </c>
      <c r="D90" s="2" cm="1">
        <f t="array" aca="1" ref="D90" ca="1">INDEX(Data_DBD!$E:$E,$A90)</f>
        <v>1</v>
      </c>
      <c r="E90" s="2" t="str" cm="1">
        <f t="array" aca="1" ref="E90" ca="1">INDEX(Data_DBD!$F:$F,$A90)</f>
        <v>Rendah</v>
      </c>
      <c r="H90" s="2">
        <v>122</v>
      </c>
      <c r="I90" s="2">
        <v>28</v>
      </c>
      <c r="J90" s="2">
        <v>3</v>
      </c>
      <c r="K90" s="2">
        <v>1</v>
      </c>
      <c r="L90" s="2" t="s">
        <v>97</v>
      </c>
    </row>
    <row r="91" spans="1:12">
      <c r="A91" s="2">
        <f t="shared" ca="1" si="1"/>
        <v>54</v>
      </c>
      <c r="B91" s="2" cm="1">
        <f t="array" aca="1" ref="B91" ca="1">INDEX(Data_DBD!$B:$B,$A91)</f>
        <v>7</v>
      </c>
      <c r="C91" s="2" cm="1">
        <f t="array" aca="1" ref="C91" ca="1">INDEX(Data_DBD!$C:$C,$A91)</f>
        <v>3</v>
      </c>
      <c r="D91" s="2" cm="1">
        <f t="array" aca="1" ref="D91" ca="1">INDEX(Data_DBD!$E:$E,$A91)</f>
        <v>0</v>
      </c>
      <c r="E91" s="2" t="str" cm="1">
        <f t="array" aca="1" ref="E91" ca="1">INDEX(Data_DBD!$F:$F,$A91)</f>
        <v>Sedang</v>
      </c>
      <c r="H91" s="2">
        <v>107</v>
      </c>
      <c r="I91" s="2">
        <v>48</v>
      </c>
      <c r="J91" s="2">
        <v>5</v>
      </c>
      <c r="K91" s="2">
        <v>0</v>
      </c>
      <c r="L91" s="2" t="s">
        <v>97</v>
      </c>
    </row>
    <row r="92" spans="1:12">
      <c r="A92" s="2">
        <f t="shared" ca="1" si="1"/>
        <v>98</v>
      </c>
      <c r="B92" s="2" cm="1">
        <f t="array" aca="1" ref="B92" ca="1">INDEX(Data_DBD!$B:$B,$A92)</f>
        <v>16</v>
      </c>
      <c r="C92" s="2" cm="1">
        <f t="array" aca="1" ref="C92" ca="1">INDEX(Data_DBD!$C:$C,$A92)</f>
        <v>2</v>
      </c>
      <c r="D92" s="2" cm="1">
        <f t="array" aca="1" ref="D92" ca="1">INDEX(Data_DBD!$E:$E,$A92)</f>
        <v>1</v>
      </c>
      <c r="E92" s="2" t="str" cm="1">
        <f t="array" aca="1" ref="E92" ca="1">INDEX(Data_DBD!$F:$F,$A92)</f>
        <v>Tinggi</v>
      </c>
      <c r="H92" s="2">
        <v>162</v>
      </c>
      <c r="I92" s="2">
        <v>22</v>
      </c>
      <c r="J92" s="2">
        <v>3</v>
      </c>
      <c r="K92" s="2">
        <v>1</v>
      </c>
      <c r="L92" s="2" t="s">
        <v>20</v>
      </c>
    </row>
    <row r="93" spans="1:12">
      <c r="A93" s="2">
        <f t="shared" ca="1" si="1"/>
        <v>155</v>
      </c>
      <c r="B93" s="2" cm="1">
        <f t="array" aca="1" ref="B93" ca="1">INDEX(Data_DBD!$B:$B,$A93)</f>
        <v>19</v>
      </c>
      <c r="C93" s="2" cm="1">
        <f t="array" aca="1" ref="C93" ca="1">INDEX(Data_DBD!$C:$C,$A93)</f>
        <v>5</v>
      </c>
      <c r="D93" s="2" cm="1">
        <f t="array" aca="1" ref="D93" ca="1">INDEX(Data_DBD!$E:$E,$A93)</f>
        <v>1</v>
      </c>
      <c r="E93" s="2" t="str" cm="1">
        <f t="array" aca="1" ref="E93" ca="1">INDEX(Data_DBD!$F:$F,$A93)</f>
        <v>Tinggi</v>
      </c>
      <c r="H93" s="2">
        <v>21</v>
      </c>
      <c r="I93" s="2">
        <v>10</v>
      </c>
      <c r="J93" s="2">
        <v>5</v>
      </c>
      <c r="K93" s="2">
        <v>1</v>
      </c>
      <c r="L93" s="2" t="s">
        <v>7</v>
      </c>
    </row>
    <row r="94" spans="1:12">
      <c r="A94" s="2">
        <f t="shared" ca="1" si="1"/>
        <v>114</v>
      </c>
      <c r="B94" s="2" cm="1">
        <f t="array" aca="1" ref="B94" ca="1">INDEX(Data_DBD!$B:$B,$A94)</f>
        <v>14</v>
      </c>
      <c r="C94" s="2" cm="1">
        <f t="array" aca="1" ref="C94" ca="1">INDEX(Data_DBD!$C:$C,$A94)</f>
        <v>2</v>
      </c>
      <c r="D94" s="2" cm="1">
        <f t="array" aca="1" ref="D94" ca="1">INDEX(Data_DBD!$E:$E,$A94)</f>
        <v>1</v>
      </c>
      <c r="E94" s="2" t="str" cm="1">
        <f t="array" aca="1" ref="E94" ca="1">INDEX(Data_DBD!$F:$F,$A94)</f>
        <v>Tinggi</v>
      </c>
      <c r="H94" s="2">
        <v>22</v>
      </c>
      <c r="I94" s="2">
        <v>6</v>
      </c>
      <c r="J94" s="2">
        <v>3</v>
      </c>
      <c r="K94" s="2">
        <v>0</v>
      </c>
      <c r="L94" s="2" t="s">
        <v>7</v>
      </c>
    </row>
    <row r="95" spans="1:12">
      <c r="A95" s="2">
        <f t="shared" ca="1" si="1"/>
        <v>85</v>
      </c>
      <c r="B95" s="2" cm="1">
        <f t="array" aca="1" ref="B95" ca="1">INDEX(Data_DBD!$B:$B,$A95)</f>
        <v>27</v>
      </c>
      <c r="C95" s="2" cm="1">
        <f t="array" aca="1" ref="C95" ca="1">INDEX(Data_DBD!$C:$C,$A95)</f>
        <v>9</v>
      </c>
      <c r="D95" s="2" cm="1">
        <f t="array" aca="1" ref="D95" ca="1">INDEX(Data_DBD!$E:$E,$A95)</f>
        <v>0</v>
      </c>
      <c r="E95" s="2" t="str" cm="1">
        <f t="array" aca="1" ref="E95" ca="1">INDEX(Data_DBD!$F:$F,$A95)</f>
        <v>Sedang</v>
      </c>
      <c r="H95" s="2">
        <v>96</v>
      </c>
      <c r="I95" s="2">
        <v>56</v>
      </c>
      <c r="J95" s="2">
        <v>4</v>
      </c>
      <c r="K95" s="2">
        <v>0</v>
      </c>
      <c r="L95" s="2" t="s">
        <v>97</v>
      </c>
    </row>
    <row r="96" spans="1:12">
      <c r="A96" s="2">
        <f t="shared" ca="1" si="1"/>
        <v>86</v>
      </c>
      <c r="B96" s="2" cm="1">
        <f t="array" aca="1" ref="B96" ca="1">INDEX(Data_DBD!$B:$B,$A96)</f>
        <v>23</v>
      </c>
      <c r="C96" s="2" cm="1">
        <f t="array" aca="1" ref="C96" ca="1">INDEX(Data_DBD!$C:$C,$A96)</f>
        <v>3</v>
      </c>
      <c r="D96" s="2" cm="1">
        <f t="array" aca="1" ref="D96" ca="1">INDEX(Data_DBD!$E:$E,$A96)</f>
        <v>0</v>
      </c>
      <c r="E96" s="2" t="str" cm="1">
        <f t="array" aca="1" ref="E96" ca="1">INDEX(Data_DBD!$F:$F,$A96)</f>
        <v>Sedang</v>
      </c>
      <c r="H96" s="2">
        <v>92</v>
      </c>
      <c r="I96" s="2">
        <v>55</v>
      </c>
      <c r="J96" s="2">
        <v>7</v>
      </c>
      <c r="K96" s="2">
        <v>0</v>
      </c>
      <c r="L96" s="2" t="s">
        <v>97</v>
      </c>
    </row>
    <row r="97" spans="1:12">
      <c r="A97" s="2">
        <f t="shared" ca="1" si="1"/>
        <v>151</v>
      </c>
      <c r="B97" s="2" cm="1">
        <f t="array" aca="1" ref="B97" ca="1">INDEX(Data_DBD!$B:$B,$A97)</f>
        <v>24</v>
      </c>
      <c r="C97" s="2" cm="1">
        <f t="array" aca="1" ref="C97" ca="1">INDEX(Data_DBD!$C:$C,$A97)</f>
        <v>3</v>
      </c>
      <c r="D97" s="2" cm="1">
        <f t="array" aca="1" ref="D97" ca="1">INDEX(Data_DBD!$E:$E,$A97)</f>
        <v>0</v>
      </c>
      <c r="E97" s="2" t="str" cm="1">
        <f t="array" aca="1" ref="E97" ca="1">INDEX(Data_DBD!$F:$F,$A97)</f>
        <v>Tinggi</v>
      </c>
      <c r="H97" s="2">
        <v>158</v>
      </c>
      <c r="I97" s="2">
        <v>5</v>
      </c>
      <c r="J97" s="2">
        <v>2</v>
      </c>
      <c r="K97" s="2">
        <v>0</v>
      </c>
      <c r="L97" s="2" t="s">
        <v>97</v>
      </c>
    </row>
    <row r="98" spans="1:12">
      <c r="A98" s="2">
        <f t="shared" ca="1" si="1"/>
        <v>123</v>
      </c>
      <c r="B98" s="2" cm="1">
        <f t="array" aca="1" ref="B98" ca="1">INDEX(Data_DBD!$B:$B,$A98)</f>
        <v>22</v>
      </c>
      <c r="C98" s="2" cm="1">
        <f t="array" aca="1" ref="C98" ca="1">INDEX(Data_DBD!$C:$C,$A98)</f>
        <v>4</v>
      </c>
      <c r="D98" s="2" cm="1">
        <f t="array" aca="1" ref="D98" ca="1">INDEX(Data_DBD!$E:$E,$A98)</f>
        <v>0</v>
      </c>
      <c r="E98" s="2" t="str" cm="1">
        <f t="array" aca="1" ref="E98" ca="1">INDEX(Data_DBD!$F:$F,$A98)</f>
        <v>Tinggi</v>
      </c>
      <c r="H98" s="2">
        <v>113</v>
      </c>
      <c r="I98" s="2">
        <v>69</v>
      </c>
      <c r="J98" s="2">
        <v>1</v>
      </c>
      <c r="K98" s="2">
        <v>1</v>
      </c>
      <c r="L98" s="2" t="s">
        <v>97</v>
      </c>
    </row>
    <row r="99" spans="1:12">
      <c r="A99" s="2">
        <f t="shared" ca="1" si="1"/>
        <v>12</v>
      </c>
      <c r="B99" s="2" cm="1">
        <f t="array" aca="1" ref="B99" ca="1">INDEX(Data_DBD!$B:$B,$A99)</f>
        <v>23</v>
      </c>
      <c r="C99" s="2" cm="1">
        <f t="array" aca="1" ref="C99" ca="1">INDEX(Data_DBD!$C:$C,$A99)</f>
        <v>3</v>
      </c>
      <c r="D99" s="2" cm="1">
        <f t="array" aca="1" ref="D99" ca="1">INDEX(Data_DBD!$E:$E,$A99)</f>
        <v>0</v>
      </c>
      <c r="E99" s="2" t="str" cm="1">
        <f t="array" aca="1" ref="E99" ca="1">INDEX(Data_DBD!$F:$F,$A99)</f>
        <v>Sedang</v>
      </c>
      <c r="H99" s="2">
        <v>57</v>
      </c>
      <c r="I99" s="2">
        <v>2</v>
      </c>
      <c r="J99" s="2">
        <v>2</v>
      </c>
      <c r="K99" s="2">
        <v>1</v>
      </c>
      <c r="L99" s="2" t="s">
        <v>7</v>
      </c>
    </row>
    <row r="100" spans="1:12">
      <c r="A100" s="2">
        <f t="shared" ca="1" si="1"/>
        <v>118</v>
      </c>
      <c r="B100" s="2" cm="1">
        <f t="array" aca="1" ref="B100" ca="1">INDEX(Data_DBD!$B:$B,$A100)</f>
        <v>67</v>
      </c>
      <c r="C100" s="2" cm="1">
        <f t="array" aca="1" ref="C100" ca="1">INDEX(Data_DBD!$C:$C,$A100)</f>
        <v>4</v>
      </c>
      <c r="D100" s="2" cm="1">
        <f t="array" aca="1" ref="D100" ca="1">INDEX(Data_DBD!$E:$E,$A100)</f>
        <v>1</v>
      </c>
      <c r="E100" s="2" t="str" cm="1">
        <f t="array" aca="1" ref="E100" ca="1">INDEX(Data_DBD!$F:$F,$A100)</f>
        <v>Tinggi</v>
      </c>
      <c r="H100" s="2">
        <v>87</v>
      </c>
      <c r="I100" s="2">
        <v>21</v>
      </c>
      <c r="J100" s="2">
        <v>3</v>
      </c>
      <c r="K100" s="2">
        <v>0</v>
      </c>
      <c r="L100" s="2" t="s">
        <v>7</v>
      </c>
    </row>
    <row r="101" spans="1:12">
      <c r="A101" s="2">
        <f t="shared" ca="1" si="1"/>
        <v>157</v>
      </c>
      <c r="B101" s="2" cm="1">
        <f t="array" aca="1" ref="B101" ca="1">INDEX(Data_DBD!$B:$B,$A101)</f>
        <v>15</v>
      </c>
      <c r="C101" s="2" cm="1">
        <f t="array" aca="1" ref="C101" ca="1">INDEX(Data_DBD!$C:$C,$A101)</f>
        <v>4</v>
      </c>
      <c r="D101" s="2" cm="1">
        <f t="array" aca="1" ref="D101" ca="1">INDEX(Data_DBD!$E:$E,$A101)</f>
        <v>1</v>
      </c>
      <c r="E101" s="2" t="str" cm="1">
        <f t="array" aca="1" ref="E101" ca="1">INDEX(Data_DBD!$F:$F,$A101)</f>
        <v>Tinggi</v>
      </c>
      <c r="H101" s="2">
        <v>72</v>
      </c>
      <c r="I101" s="2">
        <v>3</v>
      </c>
      <c r="J101" s="2">
        <v>5</v>
      </c>
      <c r="K101" s="2">
        <v>1</v>
      </c>
      <c r="L101" s="2" t="s">
        <v>7</v>
      </c>
    </row>
    <row r="102" spans="1:12">
      <c r="A102" s="2">
        <f t="shared" ca="1" si="1"/>
        <v>80</v>
      </c>
      <c r="B102" s="2" cm="1">
        <f t="array" aca="1" ref="B102" ca="1">INDEX(Data_DBD!$B:$B,$A102)</f>
        <v>27</v>
      </c>
      <c r="C102" s="2" cm="1">
        <f t="array" aca="1" ref="C102" ca="1">INDEX(Data_DBD!$C:$C,$A102)</f>
        <v>3</v>
      </c>
      <c r="D102" s="2" cm="1">
        <f t="array" aca="1" ref="D102" ca="1">INDEX(Data_DBD!$E:$E,$A102)</f>
        <v>1</v>
      </c>
      <c r="E102" s="2" t="str" cm="1">
        <f t="array" aca="1" ref="E102" ca="1">INDEX(Data_DBD!$F:$F,$A102)</f>
        <v>Sedang</v>
      </c>
      <c r="H102" s="2">
        <v>50</v>
      </c>
      <c r="I102" s="2">
        <v>19</v>
      </c>
      <c r="J102" s="2">
        <v>5</v>
      </c>
      <c r="K102" s="2">
        <v>0</v>
      </c>
      <c r="L102" s="2" t="s">
        <v>7</v>
      </c>
    </row>
    <row r="103" spans="1:12">
      <c r="A103" s="2">
        <f t="shared" ca="1" si="1"/>
        <v>57</v>
      </c>
      <c r="B103" s="2" cm="1">
        <f t="array" aca="1" ref="B103" ca="1">INDEX(Data_DBD!$B:$B,$A103)</f>
        <v>2</v>
      </c>
      <c r="C103" s="2" cm="1">
        <f t="array" aca="1" ref="C103" ca="1">INDEX(Data_DBD!$C:$C,$A103)</f>
        <v>2</v>
      </c>
      <c r="D103" s="2" cm="1">
        <f t="array" aca="1" ref="D103" ca="1">INDEX(Data_DBD!$E:$E,$A103)</f>
        <v>1</v>
      </c>
      <c r="E103" s="2" t="str" cm="1">
        <f t="array" aca="1" ref="E103" ca="1">INDEX(Data_DBD!$F:$F,$A103)</f>
        <v>Sedang</v>
      </c>
      <c r="H103" s="2">
        <v>114</v>
      </c>
      <c r="I103" s="2">
        <v>14</v>
      </c>
      <c r="J103" s="2">
        <v>2</v>
      </c>
      <c r="K103" s="2">
        <v>1</v>
      </c>
      <c r="L103" s="2" t="s">
        <v>97</v>
      </c>
    </row>
    <row r="104" spans="1:12">
      <c r="A104" s="2">
        <f t="shared" ca="1" si="1"/>
        <v>146</v>
      </c>
      <c r="B104" s="2" cm="1">
        <f t="array" aca="1" ref="B104" ca="1">INDEX(Data_DBD!$B:$B,$A104)</f>
        <v>34</v>
      </c>
      <c r="C104" s="2" cm="1">
        <f t="array" aca="1" ref="C104" ca="1">INDEX(Data_DBD!$C:$C,$A104)</f>
        <v>2</v>
      </c>
      <c r="D104" s="2" cm="1">
        <f t="array" aca="1" ref="D104" ca="1">INDEX(Data_DBD!$E:$E,$A104)</f>
        <v>1</v>
      </c>
      <c r="E104" s="2" t="str" cm="1">
        <f t="array" aca="1" ref="E104" ca="1">INDEX(Data_DBD!$F:$F,$A104)</f>
        <v>Tinggi</v>
      </c>
      <c r="H104" s="2">
        <v>26</v>
      </c>
      <c r="I104" s="2">
        <v>75</v>
      </c>
      <c r="J104" s="2">
        <v>4</v>
      </c>
      <c r="K104" s="2">
        <v>1</v>
      </c>
      <c r="L104" s="2" t="s">
        <v>7</v>
      </c>
    </row>
    <row r="105" spans="1:12">
      <c r="A105" s="2">
        <f t="shared" ca="1" si="1"/>
        <v>117</v>
      </c>
      <c r="B105" s="2" cm="1">
        <f t="array" aca="1" ref="B105" ca="1">INDEX(Data_DBD!$B:$B,$A105)</f>
        <v>49</v>
      </c>
      <c r="C105" s="2" cm="1">
        <f t="array" aca="1" ref="C105" ca="1">INDEX(Data_DBD!$C:$C,$A105)</f>
        <v>4</v>
      </c>
      <c r="D105" s="2" cm="1">
        <f t="array" aca="1" ref="D105" ca="1">INDEX(Data_DBD!$E:$E,$A105)</f>
        <v>1</v>
      </c>
      <c r="E105" s="2" t="str" cm="1">
        <f t="array" aca="1" ref="E105" ca="1">INDEX(Data_DBD!$F:$F,$A105)</f>
        <v>Tinggi</v>
      </c>
      <c r="H105" s="2">
        <v>31</v>
      </c>
      <c r="I105" s="2">
        <v>64</v>
      </c>
      <c r="J105" s="2">
        <v>4</v>
      </c>
      <c r="K105" s="2">
        <v>1</v>
      </c>
      <c r="L105" s="2" t="s">
        <v>7</v>
      </c>
    </row>
    <row r="106" spans="1:12">
      <c r="A106" s="2">
        <f t="shared" ca="1" si="1"/>
        <v>20</v>
      </c>
      <c r="B106" s="2" cm="1">
        <f t="array" aca="1" ref="B106" ca="1">INDEX(Data_DBD!$B:$B,$A106)</f>
        <v>15</v>
      </c>
      <c r="C106" s="2" cm="1">
        <f t="array" aca="1" ref="C106" ca="1">INDEX(Data_DBD!$C:$C,$A106)</f>
        <v>5</v>
      </c>
      <c r="D106" s="2" cm="1">
        <f t="array" aca="1" ref="D106" ca="1">INDEX(Data_DBD!$E:$E,$A106)</f>
        <v>0</v>
      </c>
      <c r="E106" s="2" t="str" cm="1">
        <f t="array" aca="1" ref="E106" ca="1">INDEX(Data_DBD!$F:$F,$A106)</f>
        <v>Rendah</v>
      </c>
      <c r="H106" s="2">
        <v>15</v>
      </c>
      <c r="I106" s="2">
        <v>21</v>
      </c>
      <c r="J106" s="2">
        <v>2</v>
      </c>
      <c r="K106" s="2">
        <v>0</v>
      </c>
      <c r="L106" s="2" t="s">
        <v>20</v>
      </c>
    </row>
    <row r="107" spans="1:12">
      <c r="A107" s="2">
        <f t="shared" ca="1" si="1"/>
        <v>141</v>
      </c>
      <c r="B107" s="2" cm="1">
        <f t="array" aca="1" ref="B107" ca="1">INDEX(Data_DBD!$B:$B,$A107)</f>
        <v>36</v>
      </c>
      <c r="C107" s="2" cm="1">
        <f t="array" aca="1" ref="C107" ca="1">INDEX(Data_DBD!$C:$C,$A107)</f>
        <v>2</v>
      </c>
      <c r="D107" s="2" cm="1">
        <f t="array" aca="1" ref="D107" ca="1">INDEX(Data_DBD!$E:$E,$A107)</f>
        <v>0</v>
      </c>
      <c r="E107" s="2" t="str" cm="1">
        <f t="array" aca="1" ref="E107" ca="1">INDEX(Data_DBD!$F:$F,$A107)</f>
        <v>Tinggi</v>
      </c>
      <c r="H107" s="2">
        <v>107</v>
      </c>
      <c r="I107" s="2">
        <v>48</v>
      </c>
      <c r="J107" s="2">
        <v>5</v>
      </c>
      <c r="K107" s="2">
        <v>0</v>
      </c>
      <c r="L107" s="2" t="s">
        <v>97</v>
      </c>
    </row>
    <row r="108" spans="1:12">
      <c r="A108" s="2">
        <f t="shared" ca="1" si="1"/>
        <v>68</v>
      </c>
      <c r="B108" s="2" cm="1">
        <f t="array" aca="1" ref="B108" ca="1">INDEX(Data_DBD!$B:$B,$A108)</f>
        <v>44</v>
      </c>
      <c r="C108" s="2" cm="1">
        <f t="array" aca="1" ref="C108" ca="1">INDEX(Data_DBD!$C:$C,$A108)</f>
        <v>5</v>
      </c>
      <c r="D108" s="2" cm="1">
        <f t="array" aca="1" ref="D108" ca="1">INDEX(Data_DBD!$E:$E,$A108)</f>
        <v>0</v>
      </c>
      <c r="E108" s="2" t="str" cm="1">
        <f t="array" aca="1" ref="E108" ca="1">INDEX(Data_DBD!$F:$F,$A108)</f>
        <v>Sedang</v>
      </c>
      <c r="H108" s="2">
        <v>150</v>
      </c>
      <c r="I108" s="2">
        <v>61</v>
      </c>
      <c r="J108" s="2">
        <v>5</v>
      </c>
      <c r="K108" s="2">
        <v>1</v>
      </c>
      <c r="L108" s="2" t="s">
        <v>97</v>
      </c>
    </row>
    <row r="109" spans="1:12">
      <c r="A109" s="2">
        <f t="shared" ca="1" si="1"/>
        <v>127</v>
      </c>
      <c r="B109" s="2" cm="1">
        <f t="array" aca="1" ref="B109" ca="1">INDEX(Data_DBD!$B:$B,$A109)</f>
        <v>21</v>
      </c>
      <c r="C109" s="2" cm="1">
        <f t="array" aca="1" ref="C109" ca="1">INDEX(Data_DBD!$C:$C,$A109)</f>
        <v>2</v>
      </c>
      <c r="D109" s="2" cm="1">
        <f t="array" aca="1" ref="D109" ca="1">INDEX(Data_DBD!$E:$E,$A109)</f>
        <v>0</v>
      </c>
      <c r="E109" s="2" t="str" cm="1">
        <f t="array" aca="1" ref="E109" ca="1">INDEX(Data_DBD!$F:$F,$A109)</f>
        <v>Tinggi</v>
      </c>
      <c r="H109" s="2">
        <v>113</v>
      </c>
      <c r="I109" s="2">
        <v>69</v>
      </c>
      <c r="J109" s="2">
        <v>1</v>
      </c>
      <c r="K109" s="2">
        <v>1</v>
      </c>
      <c r="L109" s="2" t="s">
        <v>97</v>
      </c>
    </row>
    <row r="110" spans="1:12">
      <c r="A110" s="2">
        <f t="shared" ca="1" si="1"/>
        <v>155</v>
      </c>
      <c r="B110" s="2" cm="1">
        <f t="array" aca="1" ref="B110" ca="1">INDEX(Data_DBD!$B:$B,$A110)</f>
        <v>19</v>
      </c>
      <c r="C110" s="2" cm="1">
        <f t="array" aca="1" ref="C110" ca="1">INDEX(Data_DBD!$C:$C,$A110)</f>
        <v>5</v>
      </c>
      <c r="D110" s="2" cm="1">
        <f t="array" aca="1" ref="D110" ca="1">INDEX(Data_DBD!$E:$E,$A110)</f>
        <v>1</v>
      </c>
      <c r="E110" s="2" t="str" cm="1">
        <f t="array" aca="1" ref="E110" ca="1">INDEX(Data_DBD!$F:$F,$A110)</f>
        <v>Tinggi</v>
      </c>
      <c r="H110" s="2">
        <v>67</v>
      </c>
      <c r="I110" s="2">
        <v>21</v>
      </c>
      <c r="J110" s="2">
        <v>3</v>
      </c>
      <c r="K110" s="2">
        <v>1</v>
      </c>
      <c r="L110" s="2" t="s">
        <v>7</v>
      </c>
    </row>
    <row r="111" spans="1:12">
      <c r="A111" s="2">
        <f t="shared" ca="1" si="1"/>
        <v>40</v>
      </c>
      <c r="B111" s="2" cm="1">
        <f t="array" aca="1" ref="B111" ca="1">INDEX(Data_DBD!$B:$B,$A111)</f>
        <v>65</v>
      </c>
      <c r="C111" s="2" cm="1">
        <f t="array" aca="1" ref="C111" ca="1">INDEX(Data_DBD!$C:$C,$A111)</f>
        <v>3</v>
      </c>
      <c r="D111" s="2" cm="1">
        <f t="array" aca="1" ref="D111" ca="1">INDEX(Data_DBD!$E:$E,$A111)</f>
        <v>1</v>
      </c>
      <c r="E111" s="2" t="str" cm="1">
        <f t="array" aca="1" ref="E111" ca="1">INDEX(Data_DBD!$F:$F,$A111)</f>
        <v>Sedang</v>
      </c>
      <c r="H111" s="2">
        <v>125</v>
      </c>
      <c r="I111" s="2">
        <v>39</v>
      </c>
      <c r="J111" s="2">
        <v>4</v>
      </c>
      <c r="K111" s="2">
        <v>0</v>
      </c>
      <c r="L111" s="2" t="s">
        <v>97</v>
      </c>
    </row>
    <row r="112" spans="1:12">
      <c r="A112" s="2">
        <f t="shared" ca="1" si="1"/>
        <v>71</v>
      </c>
      <c r="B112" s="2" cm="1">
        <f t="array" aca="1" ref="B112" ca="1">INDEX(Data_DBD!$B:$B,$A112)</f>
        <v>84</v>
      </c>
      <c r="C112" s="2" cm="1">
        <f t="array" aca="1" ref="C112" ca="1">INDEX(Data_DBD!$C:$C,$A112)</f>
        <v>3</v>
      </c>
      <c r="D112" s="2" cm="1">
        <f t="array" aca="1" ref="D112" ca="1">INDEX(Data_DBD!$E:$E,$A112)</f>
        <v>0</v>
      </c>
      <c r="E112" s="2" t="str" cm="1">
        <f t="array" aca="1" ref="E112" ca="1">INDEX(Data_DBD!$F:$F,$A112)</f>
        <v>Sedang</v>
      </c>
      <c r="H112" s="2">
        <v>13</v>
      </c>
      <c r="I112" s="2">
        <v>47</v>
      </c>
      <c r="J112" s="2">
        <v>2</v>
      </c>
      <c r="K112" s="2">
        <v>0</v>
      </c>
      <c r="L112" s="2" t="s">
        <v>7</v>
      </c>
    </row>
    <row r="113" spans="1:12">
      <c r="A113" s="2">
        <f t="shared" ca="1" si="1"/>
        <v>154</v>
      </c>
      <c r="B113" s="2" cm="1">
        <f t="array" aca="1" ref="B113" ca="1">INDEX(Data_DBD!$B:$B,$A113)</f>
        <v>18</v>
      </c>
      <c r="C113" s="2" cm="1">
        <f t="array" aca="1" ref="C113" ca="1">INDEX(Data_DBD!$C:$C,$A113)</f>
        <v>5</v>
      </c>
      <c r="D113" s="2" cm="1">
        <f t="array" aca="1" ref="D113" ca="1">INDEX(Data_DBD!$E:$E,$A113)</f>
        <v>1</v>
      </c>
      <c r="E113" s="2" t="str" cm="1">
        <f t="array" aca="1" ref="E113" ca="1">INDEX(Data_DBD!$F:$F,$A113)</f>
        <v>Tinggi</v>
      </c>
      <c r="H113" s="2">
        <v>71</v>
      </c>
      <c r="I113" s="2">
        <v>84</v>
      </c>
      <c r="J113" s="2">
        <v>3</v>
      </c>
      <c r="K113" s="2">
        <v>0</v>
      </c>
      <c r="L113" s="2" t="s">
        <v>7</v>
      </c>
    </row>
    <row r="114" spans="1:12">
      <c r="A114" s="2">
        <f t="shared" ca="1" si="1"/>
        <v>94</v>
      </c>
      <c r="B114" s="2" cm="1">
        <f t="array" aca="1" ref="B114" ca="1">INDEX(Data_DBD!$B:$B,$A114)</f>
        <v>12</v>
      </c>
      <c r="C114" s="2" cm="1">
        <f t="array" aca="1" ref="C114" ca="1">INDEX(Data_DBD!$C:$C,$A114)</f>
        <v>4</v>
      </c>
      <c r="D114" s="2" cm="1">
        <f t="array" aca="1" ref="D114" ca="1">INDEX(Data_DBD!$E:$E,$A114)</f>
        <v>0</v>
      </c>
      <c r="E114" s="2" t="str" cm="1">
        <f t="array" aca="1" ref="E114" ca="1">INDEX(Data_DBD!$F:$F,$A114)</f>
        <v>Tinggi</v>
      </c>
      <c r="H114" s="2">
        <v>58</v>
      </c>
      <c r="I114" s="2">
        <v>17</v>
      </c>
      <c r="J114" s="2">
        <v>3</v>
      </c>
      <c r="K114" s="2">
        <v>0</v>
      </c>
      <c r="L114" s="2" t="s">
        <v>7</v>
      </c>
    </row>
    <row r="115" spans="1:12">
      <c r="A115" s="2">
        <f t="shared" ca="1" si="1"/>
        <v>80</v>
      </c>
      <c r="B115" s="2" cm="1">
        <f t="array" aca="1" ref="B115" ca="1">INDEX(Data_DBD!$B:$B,$A115)</f>
        <v>27</v>
      </c>
      <c r="C115" s="2" cm="1">
        <f t="array" aca="1" ref="C115" ca="1">INDEX(Data_DBD!$C:$C,$A115)</f>
        <v>3</v>
      </c>
      <c r="D115" s="2" cm="1">
        <f t="array" aca="1" ref="D115" ca="1">INDEX(Data_DBD!$E:$E,$A115)</f>
        <v>1</v>
      </c>
      <c r="E115" s="2" t="str" cm="1">
        <f t="array" aca="1" ref="E115" ca="1">INDEX(Data_DBD!$F:$F,$A115)</f>
        <v>Sedang</v>
      </c>
      <c r="H115" s="2">
        <v>132</v>
      </c>
      <c r="I115" s="2">
        <v>10</v>
      </c>
      <c r="J115" s="2">
        <v>3</v>
      </c>
      <c r="K115" s="2">
        <v>1</v>
      </c>
      <c r="L115" s="2" t="s">
        <v>97</v>
      </c>
    </row>
    <row r="116" spans="1:12">
      <c r="A116" s="2">
        <f t="shared" ca="1" si="1"/>
        <v>161</v>
      </c>
      <c r="B116" s="2" cm="1">
        <f t="array" aca="1" ref="B116" ca="1">INDEX(Data_DBD!$B:$B,$A116)</f>
        <v>12</v>
      </c>
      <c r="C116" s="2" cm="1">
        <f t="array" aca="1" ref="C116" ca="1">INDEX(Data_DBD!$C:$C,$A116)</f>
        <v>3</v>
      </c>
      <c r="D116" s="2" cm="1">
        <f t="array" aca="1" ref="D116" ca="1">INDEX(Data_DBD!$E:$E,$A116)</f>
        <v>1</v>
      </c>
      <c r="E116" s="2" t="str" cm="1">
        <f t="array" aca="1" ref="E116" ca="1">INDEX(Data_DBD!$F:$F,$A116)</f>
        <v>Tinggi</v>
      </c>
      <c r="H116" s="2">
        <v>137</v>
      </c>
      <c r="I116" s="2">
        <v>3</v>
      </c>
      <c r="J116" s="2">
        <v>1</v>
      </c>
      <c r="K116" s="2">
        <v>1</v>
      </c>
      <c r="L116" s="2" t="s">
        <v>97</v>
      </c>
    </row>
    <row r="117" spans="1:12">
      <c r="A117" s="2">
        <f t="shared" ca="1" si="1"/>
        <v>63</v>
      </c>
      <c r="B117" s="2" cm="1">
        <f t="array" aca="1" ref="B117" ca="1">INDEX(Data_DBD!$B:$B,$A117)</f>
        <v>25</v>
      </c>
      <c r="C117" s="2" cm="1">
        <f t="array" aca="1" ref="C117" ca="1">INDEX(Data_DBD!$C:$C,$A117)</f>
        <v>3</v>
      </c>
      <c r="D117" s="2" cm="1">
        <f t="array" aca="1" ref="D117" ca="1">INDEX(Data_DBD!$E:$E,$A117)</f>
        <v>0</v>
      </c>
      <c r="E117" s="2" t="str" cm="1">
        <f t="array" aca="1" ref="E117" ca="1">INDEX(Data_DBD!$F:$F,$A117)</f>
        <v>Sedang</v>
      </c>
      <c r="H117" s="2">
        <v>82</v>
      </c>
      <c r="I117" s="2">
        <v>28</v>
      </c>
      <c r="J117" s="2">
        <v>3</v>
      </c>
      <c r="K117" s="2">
        <v>1</v>
      </c>
      <c r="L117" s="2" t="s">
        <v>7</v>
      </c>
    </row>
    <row r="118" spans="1:12">
      <c r="A118" s="2">
        <f t="shared" ca="1" si="1"/>
        <v>28</v>
      </c>
      <c r="B118" s="2" cm="1">
        <f t="array" aca="1" ref="B118" ca="1">INDEX(Data_DBD!$B:$B,$A118)</f>
        <v>22</v>
      </c>
      <c r="C118" s="2" cm="1">
        <f t="array" aca="1" ref="C118" ca="1">INDEX(Data_DBD!$C:$C,$A118)</f>
        <v>2</v>
      </c>
      <c r="D118" s="2" cm="1">
        <f t="array" aca="1" ref="D118" ca="1">INDEX(Data_DBD!$E:$E,$A118)</f>
        <v>1</v>
      </c>
      <c r="E118" s="2" t="str" cm="1">
        <f t="array" aca="1" ref="E118" ca="1">INDEX(Data_DBD!$F:$F,$A118)</f>
        <v>Sedang</v>
      </c>
      <c r="H118" s="2">
        <v>97</v>
      </c>
      <c r="I118" s="2">
        <v>16</v>
      </c>
      <c r="J118" s="2">
        <v>2</v>
      </c>
      <c r="K118" s="2">
        <v>1</v>
      </c>
      <c r="L118" s="2" t="s">
        <v>97</v>
      </c>
    </row>
    <row r="119" spans="1:12">
      <c r="A119" s="2">
        <f t="shared" ca="1" si="1"/>
        <v>50</v>
      </c>
      <c r="B119" s="2" cm="1">
        <f t="array" aca="1" ref="B119" ca="1">INDEX(Data_DBD!$B:$B,$A119)</f>
        <v>19</v>
      </c>
      <c r="C119" s="2" cm="1">
        <f t="array" aca="1" ref="C119" ca="1">INDEX(Data_DBD!$C:$C,$A119)</f>
        <v>5</v>
      </c>
      <c r="D119" s="2" cm="1">
        <f t="array" aca="1" ref="D119" ca="1">INDEX(Data_DBD!$E:$E,$A119)</f>
        <v>0</v>
      </c>
      <c r="E119" s="2" t="str" cm="1">
        <f t="array" aca="1" ref="E119" ca="1">INDEX(Data_DBD!$F:$F,$A119)</f>
        <v>Sedang</v>
      </c>
      <c r="H119" s="2">
        <v>39</v>
      </c>
      <c r="I119" s="2">
        <v>12</v>
      </c>
      <c r="J119" s="2">
        <v>5</v>
      </c>
      <c r="K119" s="2">
        <v>1</v>
      </c>
      <c r="L119" s="2" t="s">
        <v>7</v>
      </c>
    </row>
    <row r="120" spans="1:12">
      <c r="A120" s="2">
        <f t="shared" ca="1" si="1"/>
        <v>81</v>
      </c>
      <c r="B120" s="2" cm="1">
        <f t="array" aca="1" ref="B120" ca="1">INDEX(Data_DBD!$B:$B,$A120)</f>
        <v>23</v>
      </c>
      <c r="C120" s="2" cm="1">
        <f t="array" aca="1" ref="C120" ca="1">INDEX(Data_DBD!$C:$C,$A120)</f>
        <v>5</v>
      </c>
      <c r="D120" s="2" cm="1">
        <f t="array" aca="1" ref="D120" ca="1">INDEX(Data_DBD!$E:$E,$A120)</f>
        <v>1</v>
      </c>
      <c r="E120" s="2" t="str" cm="1">
        <f t="array" aca="1" ref="E120" ca="1">INDEX(Data_DBD!$F:$F,$A120)</f>
        <v>Sedang</v>
      </c>
      <c r="H120" s="2">
        <v>47</v>
      </c>
      <c r="I120" s="2">
        <v>19</v>
      </c>
      <c r="J120" s="2">
        <v>2</v>
      </c>
      <c r="K120" s="2">
        <v>0</v>
      </c>
      <c r="L120" s="2" t="s">
        <v>7</v>
      </c>
    </row>
    <row r="121" spans="1:12">
      <c r="A121" s="2">
        <f t="shared" ca="1" si="1"/>
        <v>110</v>
      </c>
      <c r="B121" s="2" cm="1">
        <f t="array" aca="1" ref="B121" ca="1">INDEX(Data_DBD!$B:$B,$A121)</f>
        <v>42</v>
      </c>
      <c r="C121" s="2" cm="1">
        <f t="array" aca="1" ref="C121" ca="1">INDEX(Data_DBD!$C:$C,$A121)</f>
        <v>2</v>
      </c>
      <c r="D121" s="2" cm="1">
        <f t="array" aca="1" ref="D121" ca="1">INDEX(Data_DBD!$E:$E,$A121)</f>
        <v>1</v>
      </c>
      <c r="E121" s="2" t="str" cm="1">
        <f t="array" aca="1" ref="E121" ca="1">INDEX(Data_DBD!$F:$F,$A121)</f>
        <v>Tinggi</v>
      </c>
      <c r="H121" s="2">
        <v>87</v>
      </c>
      <c r="I121" s="2">
        <v>21</v>
      </c>
      <c r="J121" s="2">
        <v>3</v>
      </c>
      <c r="K121" s="2">
        <v>0</v>
      </c>
      <c r="L121" s="2" t="s">
        <v>7</v>
      </c>
    </row>
    <row r="122" spans="1:12">
      <c r="A122" s="2">
        <f t="shared" ca="1" si="1"/>
        <v>74</v>
      </c>
      <c r="B122" s="2" cm="1">
        <f t="array" aca="1" ref="B122" ca="1">INDEX(Data_DBD!$B:$B,$A122)</f>
        <v>9</v>
      </c>
      <c r="C122" s="2" cm="1">
        <f t="array" aca="1" ref="C122" ca="1">INDEX(Data_DBD!$C:$C,$A122)</f>
        <v>4</v>
      </c>
      <c r="D122" s="2" cm="1">
        <f t="array" aca="1" ref="D122" ca="1">INDEX(Data_DBD!$E:$E,$A122)</f>
        <v>0</v>
      </c>
      <c r="E122" s="2" t="str" cm="1">
        <f t="array" aca="1" ref="E122" ca="1">INDEX(Data_DBD!$F:$F,$A122)</f>
        <v>Sedang</v>
      </c>
      <c r="H122" s="2">
        <v>31</v>
      </c>
      <c r="I122" s="2">
        <v>64</v>
      </c>
      <c r="J122" s="2">
        <v>4</v>
      </c>
      <c r="K122" s="2">
        <v>1</v>
      </c>
      <c r="L122" s="2" t="s">
        <v>7</v>
      </c>
    </row>
    <row r="123" spans="1:12">
      <c r="A123" s="2">
        <f t="shared" ca="1" si="1"/>
        <v>22</v>
      </c>
      <c r="B123" s="2" cm="1">
        <f t="array" aca="1" ref="B123" ca="1">INDEX(Data_DBD!$B:$B,$A123)</f>
        <v>6</v>
      </c>
      <c r="C123" s="2" cm="1">
        <f t="array" aca="1" ref="C123" ca="1">INDEX(Data_DBD!$C:$C,$A123)</f>
        <v>3</v>
      </c>
      <c r="D123" s="2" cm="1">
        <f t="array" aca="1" ref="D123" ca="1">INDEX(Data_DBD!$E:$E,$A123)</f>
        <v>0</v>
      </c>
      <c r="E123" s="2" t="str" cm="1">
        <f t="array" aca="1" ref="E123" ca="1">INDEX(Data_DBD!$F:$F,$A123)</f>
        <v>Sedang</v>
      </c>
      <c r="H123" s="2">
        <v>78</v>
      </c>
      <c r="I123" s="2">
        <v>6</v>
      </c>
      <c r="J123" s="2">
        <v>3</v>
      </c>
      <c r="K123" s="2">
        <v>0</v>
      </c>
      <c r="L123" s="2" t="s">
        <v>7</v>
      </c>
    </row>
    <row r="124" spans="1:12">
      <c r="A124" s="2">
        <f t="shared" ca="1" si="1"/>
        <v>30</v>
      </c>
      <c r="B124" s="2" cm="1">
        <f t="array" aca="1" ref="B124" ca="1">INDEX(Data_DBD!$B:$B,$A124)</f>
        <v>3</v>
      </c>
      <c r="C124" s="2" cm="1">
        <f t="array" aca="1" ref="C124" ca="1">INDEX(Data_DBD!$C:$C,$A124)</f>
        <v>2</v>
      </c>
      <c r="D124" s="2" cm="1">
        <f t="array" aca="1" ref="D124" ca="1">INDEX(Data_DBD!$E:$E,$A124)</f>
        <v>1</v>
      </c>
      <c r="E124" s="2" t="str" cm="1">
        <f t="array" aca="1" ref="E124" ca="1">INDEX(Data_DBD!$F:$F,$A124)</f>
        <v>Sedang</v>
      </c>
      <c r="H124" s="2">
        <v>56</v>
      </c>
      <c r="I124" s="2">
        <v>4</v>
      </c>
      <c r="J124" s="2">
        <v>3</v>
      </c>
      <c r="K124" s="2">
        <v>0</v>
      </c>
      <c r="L124" s="2" t="s">
        <v>7</v>
      </c>
    </row>
    <row r="125" spans="1:12">
      <c r="A125" s="2">
        <f t="shared" ca="1" si="1"/>
        <v>92</v>
      </c>
      <c r="B125" s="2" cm="1">
        <f t="array" aca="1" ref="B125" ca="1">INDEX(Data_DBD!$B:$B,$A125)</f>
        <v>55</v>
      </c>
      <c r="C125" s="2" cm="1">
        <f t="array" aca="1" ref="C125" ca="1">INDEX(Data_DBD!$C:$C,$A125)</f>
        <v>7</v>
      </c>
      <c r="D125" s="2" cm="1">
        <f t="array" aca="1" ref="D125" ca="1">INDEX(Data_DBD!$E:$E,$A125)</f>
        <v>0</v>
      </c>
      <c r="E125" s="2" t="str" cm="1">
        <f t="array" aca="1" ref="E125" ca="1">INDEX(Data_DBD!$F:$F,$A125)</f>
        <v>Tinggi</v>
      </c>
      <c r="H125" s="2">
        <v>62</v>
      </c>
      <c r="I125" s="2">
        <v>43</v>
      </c>
      <c r="J125" s="2">
        <v>4</v>
      </c>
      <c r="K125" s="2">
        <v>1</v>
      </c>
      <c r="L125" s="2" t="s">
        <v>7</v>
      </c>
    </row>
    <row r="126" spans="1:12">
      <c r="A126" s="2">
        <f t="shared" ca="1" si="1"/>
        <v>3</v>
      </c>
      <c r="B126" s="2" cm="1">
        <f t="array" aca="1" ref="B126" ca="1">INDEX(Data_DBD!$B:$B,$A126)</f>
        <v>43</v>
      </c>
      <c r="C126" s="2" cm="1">
        <f t="array" aca="1" ref="C126" ca="1">INDEX(Data_DBD!$C:$C,$A126)</f>
        <v>3</v>
      </c>
      <c r="D126" s="2" cm="1">
        <f t="array" aca="1" ref="D126" ca="1">INDEX(Data_DBD!$E:$E,$A126)</f>
        <v>1</v>
      </c>
      <c r="E126" s="2" t="str" cm="1">
        <f t="array" aca="1" ref="E126" ca="1">INDEX(Data_DBD!$F:$F,$A126)</f>
        <v>Sedang</v>
      </c>
      <c r="H126" s="2">
        <v>70</v>
      </c>
      <c r="I126" s="2">
        <v>26</v>
      </c>
      <c r="J126" s="2">
        <v>3</v>
      </c>
      <c r="K126" s="2">
        <v>1</v>
      </c>
      <c r="L126" s="2" t="s">
        <v>7</v>
      </c>
    </row>
    <row r="127" spans="1:12">
      <c r="A127" s="2">
        <f t="shared" ca="1" si="1"/>
        <v>128</v>
      </c>
      <c r="B127" s="2" cm="1">
        <f t="array" aca="1" ref="B127" ca="1">INDEX(Data_DBD!$B:$B,$A127)</f>
        <v>38</v>
      </c>
      <c r="C127" s="2" cm="1">
        <f t="array" aca="1" ref="C127" ca="1">INDEX(Data_DBD!$C:$C,$A127)</f>
        <v>2</v>
      </c>
      <c r="D127" s="2" cm="1">
        <f t="array" aca="1" ref="D127" ca="1">INDEX(Data_DBD!$E:$E,$A127)</f>
        <v>0</v>
      </c>
      <c r="E127" s="2" t="str" cm="1">
        <f t="array" aca="1" ref="E127" ca="1">INDEX(Data_DBD!$F:$F,$A127)</f>
        <v>Tinggi</v>
      </c>
      <c r="H127" s="2">
        <v>100</v>
      </c>
      <c r="I127" s="2">
        <v>19</v>
      </c>
      <c r="J127" s="2">
        <v>6</v>
      </c>
      <c r="K127" s="2">
        <v>0</v>
      </c>
      <c r="L127" s="2" t="s">
        <v>97</v>
      </c>
    </row>
    <row r="128" spans="1:12">
      <c r="A128" s="2">
        <f t="shared" ca="1" si="1"/>
        <v>2</v>
      </c>
      <c r="B128" s="2" cm="1">
        <f t="array" aca="1" ref="B128" ca="1">INDEX(Data_DBD!$B:$B,$A128)</f>
        <v>34</v>
      </c>
      <c r="C128" s="2" cm="1">
        <f t="array" aca="1" ref="C128" ca="1">INDEX(Data_DBD!$C:$C,$A128)</f>
        <v>3</v>
      </c>
      <c r="D128" s="2" cm="1">
        <f t="array" aca="1" ref="D128" ca="1">INDEX(Data_DBD!$E:$E,$A128)</f>
        <v>0</v>
      </c>
      <c r="E128" s="2" t="str" cm="1">
        <f t="array" aca="1" ref="E128" ca="1">INDEX(Data_DBD!$F:$F,$A128)</f>
        <v>Sedang</v>
      </c>
      <c r="H128" s="2">
        <v>93</v>
      </c>
      <c r="I128" s="2">
        <v>65</v>
      </c>
      <c r="J128" s="2">
        <v>4</v>
      </c>
      <c r="K128" s="2">
        <v>0</v>
      </c>
      <c r="L128" s="2" t="s">
        <v>97</v>
      </c>
    </row>
    <row r="129" spans="1:12">
      <c r="A129" s="2">
        <f t="shared" ca="1" si="1"/>
        <v>4</v>
      </c>
      <c r="B129" s="2" cm="1">
        <f t="array" aca="1" ref="B129" ca="1">INDEX(Data_DBD!$B:$B,$A129)</f>
        <v>23</v>
      </c>
      <c r="C129" s="2" cm="1">
        <f t="array" aca="1" ref="C129" ca="1">INDEX(Data_DBD!$C:$C,$A129)</f>
        <v>5</v>
      </c>
      <c r="D129" s="2" cm="1">
        <f t="array" aca="1" ref="D129" ca="1">INDEX(Data_DBD!$E:$E,$A129)</f>
        <v>0</v>
      </c>
      <c r="E129" s="2" t="str" cm="1">
        <f t="array" aca="1" ref="E129" ca="1">INDEX(Data_DBD!$F:$F,$A129)</f>
        <v>Sedang</v>
      </c>
      <c r="H129" s="2">
        <v>48</v>
      </c>
      <c r="I129" s="2">
        <v>50</v>
      </c>
      <c r="J129" s="2">
        <v>5</v>
      </c>
      <c r="K129" s="2">
        <v>1</v>
      </c>
      <c r="L129" s="2" t="s">
        <v>7</v>
      </c>
    </row>
    <row r="130" spans="1:12">
      <c r="A130" s="2">
        <f t="shared" ca="1" si="1"/>
        <v>41</v>
      </c>
      <c r="B130" s="2" cm="1">
        <f t="array" aca="1" ref="B130" ca="1">INDEX(Data_DBD!$B:$B,$A130)</f>
        <v>8</v>
      </c>
      <c r="C130" s="2" cm="1">
        <f t="array" aca="1" ref="C130" ca="1">INDEX(Data_DBD!$C:$C,$A130)</f>
        <v>4</v>
      </c>
      <c r="D130" s="2" cm="1">
        <f t="array" aca="1" ref="D130" ca="1">INDEX(Data_DBD!$E:$E,$A130)</f>
        <v>0</v>
      </c>
      <c r="E130" s="2" t="str" cm="1">
        <f t="array" aca="1" ref="E130" ca="1">INDEX(Data_DBD!$F:$F,$A130)</f>
        <v>Sedang</v>
      </c>
      <c r="H130" s="2">
        <v>143</v>
      </c>
      <c r="I130" s="2">
        <v>20</v>
      </c>
      <c r="J130" s="2">
        <v>4</v>
      </c>
      <c r="K130" s="2">
        <v>1</v>
      </c>
      <c r="L130" s="2" t="s">
        <v>97</v>
      </c>
    </row>
    <row r="131" spans="1:12">
      <c r="A131" s="2">
        <f t="shared" ref="A131:A164" ca="1" si="2">RANDBETWEEN(2,164)</f>
        <v>119</v>
      </c>
      <c r="B131" s="2" cm="1">
        <f t="array" aca="1" ref="B131" ca="1">INDEX(Data_DBD!$B:$B,$A131)</f>
        <v>30</v>
      </c>
      <c r="C131" s="2" cm="1">
        <f t="array" aca="1" ref="C131" ca="1">INDEX(Data_DBD!$C:$C,$A131)</f>
        <v>7</v>
      </c>
      <c r="D131" s="2" cm="1">
        <f t="array" aca="1" ref="D131" ca="1">INDEX(Data_DBD!$E:$E,$A131)</f>
        <v>0</v>
      </c>
      <c r="E131" s="2" t="str" cm="1">
        <f t="array" aca="1" ref="E131" ca="1">INDEX(Data_DBD!$F:$F,$A131)</f>
        <v>Tinggi</v>
      </c>
      <c r="H131" s="2">
        <v>107</v>
      </c>
      <c r="I131" s="2">
        <v>48</v>
      </c>
      <c r="J131" s="2">
        <v>5</v>
      </c>
      <c r="K131" s="2">
        <v>0</v>
      </c>
      <c r="L131" s="2" t="s">
        <v>97</v>
      </c>
    </row>
    <row r="132" spans="1:12">
      <c r="A132" s="2">
        <f t="shared" ca="1" si="2"/>
        <v>77</v>
      </c>
      <c r="B132" s="2" cm="1">
        <f t="array" aca="1" ref="B132" ca="1">INDEX(Data_DBD!$B:$B,$A132)</f>
        <v>16</v>
      </c>
      <c r="C132" s="2" cm="1">
        <f t="array" aca="1" ref="C132" ca="1">INDEX(Data_DBD!$C:$C,$A132)</f>
        <v>4</v>
      </c>
      <c r="D132" s="2" cm="1">
        <f t="array" aca="1" ref="D132" ca="1">INDEX(Data_DBD!$E:$E,$A132)</f>
        <v>1</v>
      </c>
      <c r="E132" s="2" t="str" cm="1">
        <f t="array" aca="1" ref="E132" ca="1">INDEX(Data_DBD!$F:$F,$A132)</f>
        <v>Sedang</v>
      </c>
      <c r="H132" s="2">
        <v>122</v>
      </c>
      <c r="I132" s="2">
        <v>28</v>
      </c>
      <c r="J132" s="2">
        <v>3</v>
      </c>
      <c r="K132" s="2">
        <v>1</v>
      </c>
      <c r="L132" s="2" t="s">
        <v>97</v>
      </c>
    </row>
    <row r="133" spans="1:12">
      <c r="A133" s="2">
        <f t="shared" ca="1" si="2"/>
        <v>64</v>
      </c>
      <c r="B133" s="2" cm="1">
        <f t="array" aca="1" ref="B133" ca="1">INDEX(Data_DBD!$B:$B,$A133)</f>
        <v>35</v>
      </c>
      <c r="C133" s="2" cm="1">
        <f t="array" aca="1" ref="C133" ca="1">INDEX(Data_DBD!$C:$C,$A133)</f>
        <v>1</v>
      </c>
      <c r="D133" s="2" cm="1">
        <f t="array" aca="1" ref="D133" ca="1">INDEX(Data_DBD!$E:$E,$A133)</f>
        <v>0</v>
      </c>
      <c r="E133" s="2" t="str" cm="1">
        <f t="array" aca="1" ref="E133" ca="1">INDEX(Data_DBD!$F:$F,$A133)</f>
        <v>Sedang</v>
      </c>
      <c r="H133" s="2">
        <v>47</v>
      </c>
      <c r="I133" s="2">
        <v>19</v>
      </c>
      <c r="J133" s="2">
        <v>2</v>
      </c>
      <c r="K133" s="2">
        <v>0</v>
      </c>
      <c r="L133" s="2" t="s">
        <v>7</v>
      </c>
    </row>
    <row r="134" spans="1:12">
      <c r="A134" s="2">
        <f t="shared" ca="1" si="2"/>
        <v>142</v>
      </c>
      <c r="B134" s="2" cm="1">
        <f t="array" aca="1" ref="B134" ca="1">INDEX(Data_DBD!$B:$B,$A134)</f>
        <v>39</v>
      </c>
      <c r="C134" s="2" cm="1">
        <f t="array" aca="1" ref="C134" ca="1">INDEX(Data_DBD!$C:$C,$A134)</f>
        <v>2</v>
      </c>
      <c r="D134" s="2" cm="1">
        <f t="array" aca="1" ref="D134" ca="1">INDEX(Data_DBD!$E:$E,$A134)</f>
        <v>1</v>
      </c>
      <c r="E134" s="2" t="str" cm="1">
        <f t="array" aca="1" ref="E134" ca="1">INDEX(Data_DBD!$F:$F,$A134)</f>
        <v>Tinggi</v>
      </c>
      <c r="H134" s="2">
        <v>123</v>
      </c>
      <c r="I134" s="2">
        <v>22</v>
      </c>
      <c r="J134" s="2">
        <v>4</v>
      </c>
      <c r="K134" s="2">
        <v>0</v>
      </c>
      <c r="L134" s="2" t="s">
        <v>97</v>
      </c>
    </row>
    <row r="135" spans="1:12">
      <c r="A135" s="2">
        <f t="shared" ca="1" si="2"/>
        <v>96</v>
      </c>
      <c r="B135" s="2" cm="1">
        <f t="array" aca="1" ref="B135" ca="1">INDEX(Data_DBD!$B:$B,$A135)</f>
        <v>56</v>
      </c>
      <c r="C135" s="2" cm="1">
        <f t="array" aca="1" ref="C135" ca="1">INDEX(Data_DBD!$C:$C,$A135)</f>
        <v>4</v>
      </c>
      <c r="D135" s="2" cm="1">
        <f t="array" aca="1" ref="D135" ca="1">INDEX(Data_DBD!$E:$E,$A135)</f>
        <v>0</v>
      </c>
      <c r="E135" s="2" t="str" cm="1">
        <f t="array" aca="1" ref="E135" ca="1">INDEX(Data_DBD!$F:$F,$A135)</f>
        <v>Tinggi</v>
      </c>
      <c r="H135" s="2">
        <v>97</v>
      </c>
      <c r="I135" s="2">
        <v>16</v>
      </c>
      <c r="J135" s="2">
        <v>2</v>
      </c>
      <c r="K135" s="2">
        <v>1</v>
      </c>
      <c r="L135" s="2" t="s">
        <v>97</v>
      </c>
    </row>
    <row r="136" spans="1:12">
      <c r="A136" s="2">
        <f t="shared" ca="1" si="2"/>
        <v>81</v>
      </c>
      <c r="B136" s="2" cm="1">
        <f t="array" aca="1" ref="B136" ca="1">INDEX(Data_DBD!$B:$B,$A136)</f>
        <v>23</v>
      </c>
      <c r="C136" s="2" cm="1">
        <f t="array" aca="1" ref="C136" ca="1">INDEX(Data_DBD!$C:$C,$A136)</f>
        <v>5</v>
      </c>
      <c r="D136" s="2" cm="1">
        <f t="array" aca="1" ref="D136" ca="1">INDEX(Data_DBD!$E:$E,$A136)</f>
        <v>1</v>
      </c>
      <c r="E136" s="2" t="str" cm="1">
        <f t="array" aca="1" ref="E136" ca="1">INDEX(Data_DBD!$F:$F,$A136)</f>
        <v>Sedang</v>
      </c>
      <c r="H136" s="2">
        <v>106</v>
      </c>
      <c r="I136" s="2">
        <v>23</v>
      </c>
      <c r="J136" s="2">
        <v>3</v>
      </c>
      <c r="K136" s="2">
        <v>1</v>
      </c>
      <c r="L136" s="2" t="s">
        <v>97</v>
      </c>
    </row>
    <row r="137" spans="1:12">
      <c r="A137" s="2">
        <f t="shared" ca="1" si="2"/>
        <v>153</v>
      </c>
      <c r="B137" s="2" cm="1">
        <f t="array" aca="1" ref="B137" ca="1">INDEX(Data_DBD!$B:$B,$A137)</f>
        <v>73</v>
      </c>
      <c r="C137" s="2" cm="1">
        <f t="array" aca="1" ref="C137" ca="1">INDEX(Data_DBD!$C:$C,$A137)</f>
        <v>7</v>
      </c>
      <c r="D137" s="2" cm="1">
        <f t="array" aca="1" ref="D137" ca="1">INDEX(Data_DBD!$E:$E,$A137)</f>
        <v>1</v>
      </c>
      <c r="E137" s="2" t="str" cm="1">
        <f t="array" aca="1" ref="E137" ca="1">INDEX(Data_DBD!$F:$F,$A137)</f>
        <v>Tinggi</v>
      </c>
      <c r="H137" s="2">
        <v>10</v>
      </c>
      <c r="I137" s="2">
        <v>18</v>
      </c>
      <c r="J137" s="2">
        <v>5</v>
      </c>
      <c r="K137" s="2">
        <v>0</v>
      </c>
      <c r="L137" s="2" t="s">
        <v>7</v>
      </c>
    </row>
    <row r="138" spans="1:12">
      <c r="A138" s="2">
        <f t="shared" ca="1" si="2"/>
        <v>152</v>
      </c>
      <c r="B138" s="2" cm="1">
        <f t="array" aca="1" ref="B138" ca="1">INDEX(Data_DBD!$B:$B,$A138)</f>
        <v>47</v>
      </c>
      <c r="C138" s="2" cm="1">
        <f t="array" aca="1" ref="C138" ca="1">INDEX(Data_DBD!$C:$C,$A138)</f>
        <v>3</v>
      </c>
      <c r="D138" s="2" cm="1">
        <f t="array" aca="1" ref="D138" ca="1">INDEX(Data_DBD!$E:$E,$A138)</f>
        <v>1</v>
      </c>
      <c r="E138" s="2" t="str" cm="1">
        <f t="array" aca="1" ref="E138" ca="1">INDEX(Data_DBD!$F:$F,$A138)</f>
        <v>Tinggi</v>
      </c>
      <c r="H138" s="2">
        <v>155</v>
      </c>
      <c r="I138" s="2">
        <v>19</v>
      </c>
      <c r="J138" s="2">
        <v>5</v>
      </c>
      <c r="K138" s="2">
        <v>1</v>
      </c>
      <c r="L138" s="2" t="s">
        <v>97</v>
      </c>
    </row>
    <row r="139" spans="1:12">
      <c r="A139" s="2">
        <f t="shared" ca="1" si="2"/>
        <v>18</v>
      </c>
      <c r="B139" s="2" cm="1">
        <f t="array" aca="1" ref="B139" ca="1">INDEX(Data_DBD!$B:$B,$A139)</f>
        <v>49</v>
      </c>
      <c r="C139" s="2" cm="1">
        <f t="array" aca="1" ref="C139" ca="1">INDEX(Data_DBD!$C:$C,$A139)</f>
        <v>4</v>
      </c>
      <c r="D139" s="2" cm="1">
        <f t="array" aca="1" ref="D139" ca="1">INDEX(Data_DBD!$E:$E,$A139)</f>
        <v>1</v>
      </c>
      <c r="E139" s="2" t="str" cm="1">
        <f t="array" aca="1" ref="E139" ca="1">INDEX(Data_DBD!$F:$F,$A139)</f>
        <v>Rendah</v>
      </c>
      <c r="H139" s="2">
        <v>31</v>
      </c>
      <c r="I139" s="2">
        <v>64</v>
      </c>
      <c r="J139" s="2">
        <v>4</v>
      </c>
      <c r="K139" s="2">
        <v>1</v>
      </c>
      <c r="L139" s="2" t="s">
        <v>7</v>
      </c>
    </row>
    <row r="140" spans="1:12">
      <c r="A140" s="2">
        <f t="shared" ca="1" si="2"/>
        <v>6</v>
      </c>
      <c r="B140" s="2" cm="1">
        <f t="array" aca="1" ref="B140" ca="1">INDEX(Data_DBD!$B:$B,$A140)</f>
        <v>14</v>
      </c>
      <c r="C140" s="2" cm="1">
        <f t="array" aca="1" ref="C140" ca="1">INDEX(Data_DBD!$C:$C,$A140)</f>
        <v>4</v>
      </c>
      <c r="D140" s="2" cm="1">
        <f t="array" aca="1" ref="D140" ca="1">INDEX(Data_DBD!$E:$E,$A140)</f>
        <v>0</v>
      </c>
      <c r="E140" s="2" t="str" cm="1">
        <f t="array" aca="1" ref="E140" ca="1">INDEX(Data_DBD!$F:$F,$A140)</f>
        <v>Sedang</v>
      </c>
      <c r="H140" s="2">
        <v>163</v>
      </c>
      <c r="I140" s="2">
        <v>34</v>
      </c>
      <c r="J140" s="2">
        <v>4</v>
      </c>
      <c r="K140" s="2">
        <v>1</v>
      </c>
      <c r="L140" s="2" t="s">
        <v>20</v>
      </c>
    </row>
    <row r="141" spans="1:12">
      <c r="A141" s="2">
        <f t="shared" ca="1" si="2"/>
        <v>86</v>
      </c>
      <c r="B141" s="2" cm="1">
        <f t="array" aca="1" ref="B141" ca="1">INDEX(Data_DBD!$B:$B,$A141)</f>
        <v>23</v>
      </c>
      <c r="C141" s="2" cm="1">
        <f t="array" aca="1" ref="C141" ca="1">INDEX(Data_DBD!$C:$C,$A141)</f>
        <v>3</v>
      </c>
      <c r="D141" s="2" cm="1">
        <f t="array" aca="1" ref="D141" ca="1">INDEX(Data_DBD!$E:$E,$A141)</f>
        <v>0</v>
      </c>
      <c r="E141" s="2" t="str" cm="1">
        <f t="array" aca="1" ref="E141" ca="1">INDEX(Data_DBD!$F:$F,$A141)</f>
        <v>Sedang</v>
      </c>
      <c r="H141" s="2">
        <v>26</v>
      </c>
      <c r="I141" s="2">
        <v>75</v>
      </c>
      <c r="J141" s="2">
        <v>4</v>
      </c>
      <c r="K141" s="2">
        <v>1</v>
      </c>
      <c r="L141" s="2" t="s">
        <v>7</v>
      </c>
    </row>
    <row r="142" spans="1:12">
      <c r="A142" s="2">
        <f t="shared" ca="1" si="2"/>
        <v>34</v>
      </c>
      <c r="B142" s="2" cm="1">
        <f t="array" aca="1" ref="B142" ca="1">INDEX(Data_DBD!$B:$B,$A142)</f>
        <v>55</v>
      </c>
      <c r="C142" s="2" cm="1">
        <f t="array" aca="1" ref="C142" ca="1">INDEX(Data_DBD!$C:$C,$A142)</f>
        <v>3</v>
      </c>
      <c r="D142" s="2" cm="1">
        <f t="array" aca="1" ref="D142" ca="1">INDEX(Data_DBD!$E:$E,$A142)</f>
        <v>0</v>
      </c>
      <c r="E142" s="2" t="str" cm="1">
        <f t="array" aca="1" ref="E142" ca="1">INDEX(Data_DBD!$F:$F,$A142)</f>
        <v>Sedang</v>
      </c>
      <c r="H142" s="2">
        <v>90</v>
      </c>
      <c r="I142" s="2">
        <v>47</v>
      </c>
      <c r="J142" s="2">
        <v>3</v>
      </c>
      <c r="K142" s="2">
        <v>0</v>
      </c>
      <c r="L142" s="2" t="s">
        <v>97</v>
      </c>
    </row>
    <row r="143" spans="1:12">
      <c r="A143" s="2">
        <f t="shared" ca="1" si="2"/>
        <v>90</v>
      </c>
      <c r="B143" s="2" cm="1">
        <f t="array" aca="1" ref="B143" ca="1">INDEX(Data_DBD!$B:$B,$A143)</f>
        <v>47</v>
      </c>
      <c r="C143" s="2" cm="1">
        <f t="array" aca="1" ref="C143" ca="1">INDEX(Data_DBD!$C:$C,$A143)</f>
        <v>3</v>
      </c>
      <c r="D143" s="2" cm="1">
        <f t="array" aca="1" ref="D143" ca="1">INDEX(Data_DBD!$E:$E,$A143)</f>
        <v>0</v>
      </c>
      <c r="E143" s="2" t="str" cm="1">
        <f t="array" aca="1" ref="E143" ca="1">INDEX(Data_DBD!$F:$F,$A143)</f>
        <v>Tinggi</v>
      </c>
      <c r="H143" s="2">
        <v>59</v>
      </c>
      <c r="I143" s="2">
        <v>28</v>
      </c>
      <c r="J143" s="2">
        <v>4</v>
      </c>
      <c r="K143" s="2">
        <v>0</v>
      </c>
      <c r="L143" s="2" t="s">
        <v>7</v>
      </c>
    </row>
    <row r="144" spans="1:12">
      <c r="A144" s="2">
        <f t="shared" ca="1" si="2"/>
        <v>160</v>
      </c>
      <c r="B144" s="2" cm="1">
        <f t="array" aca="1" ref="B144" ca="1">INDEX(Data_DBD!$B:$B,$A144)</f>
        <v>16</v>
      </c>
      <c r="C144" s="2" cm="1">
        <f t="array" aca="1" ref="C144" ca="1">INDEX(Data_DBD!$C:$C,$A144)</f>
        <v>3</v>
      </c>
      <c r="D144" s="2" cm="1">
        <f t="array" aca="1" ref="D144" ca="1">INDEX(Data_DBD!$E:$E,$A144)</f>
        <v>0</v>
      </c>
      <c r="E144" s="2" t="str" cm="1">
        <f t="array" aca="1" ref="E144" ca="1">INDEX(Data_DBD!$F:$F,$A144)</f>
        <v>Tinggi</v>
      </c>
      <c r="H144" s="2">
        <v>76</v>
      </c>
      <c r="I144" s="2">
        <v>70</v>
      </c>
      <c r="J144" s="2">
        <v>2</v>
      </c>
      <c r="K144" s="2">
        <v>0</v>
      </c>
      <c r="L144" s="2" t="s">
        <v>7</v>
      </c>
    </row>
    <row r="145" spans="1:12">
      <c r="A145" s="2">
        <f t="shared" ca="1" si="2"/>
        <v>109</v>
      </c>
      <c r="B145" s="2" cm="1">
        <f t="array" aca="1" ref="B145" ca="1">INDEX(Data_DBD!$B:$B,$A145)</f>
        <v>40</v>
      </c>
      <c r="C145" s="2" cm="1">
        <f t="array" aca="1" ref="C145" ca="1">INDEX(Data_DBD!$C:$C,$A145)</f>
        <v>3</v>
      </c>
      <c r="D145" s="2" cm="1">
        <f t="array" aca="1" ref="D145" ca="1">INDEX(Data_DBD!$E:$E,$A145)</f>
        <v>1</v>
      </c>
      <c r="E145" s="2" t="str" cm="1">
        <f t="array" aca="1" ref="E145" ca="1">INDEX(Data_DBD!$F:$F,$A145)</f>
        <v>Tinggi</v>
      </c>
      <c r="H145" s="2">
        <v>144</v>
      </c>
      <c r="I145" s="2">
        <v>61</v>
      </c>
      <c r="J145" s="2">
        <v>4</v>
      </c>
      <c r="K145" s="2">
        <v>1</v>
      </c>
      <c r="L145" s="2" t="s">
        <v>97</v>
      </c>
    </row>
    <row r="146" spans="1:12">
      <c r="A146" s="2">
        <f t="shared" ca="1" si="2"/>
        <v>33</v>
      </c>
      <c r="B146" s="2" cm="1">
        <f t="array" aca="1" ref="B146" ca="1">INDEX(Data_DBD!$B:$B,$A146)</f>
        <v>19</v>
      </c>
      <c r="C146" s="2" cm="1">
        <f t="array" aca="1" ref="C146" ca="1">INDEX(Data_DBD!$C:$C,$A146)</f>
        <v>4</v>
      </c>
      <c r="D146" s="2" cm="1">
        <f t="array" aca="1" ref="D146" ca="1">INDEX(Data_DBD!$E:$E,$A146)</f>
        <v>1</v>
      </c>
      <c r="E146" s="2" t="str" cm="1">
        <f t="array" aca="1" ref="E146" ca="1">INDEX(Data_DBD!$F:$F,$A146)</f>
        <v>Sedang</v>
      </c>
      <c r="H146" s="2">
        <v>14</v>
      </c>
      <c r="I146" s="2">
        <v>49</v>
      </c>
      <c r="J146" s="2">
        <v>4</v>
      </c>
      <c r="K146" s="2">
        <v>1</v>
      </c>
      <c r="L146" s="2" t="s">
        <v>20</v>
      </c>
    </row>
    <row r="147" spans="1:12">
      <c r="A147" s="2">
        <f t="shared" ca="1" si="2"/>
        <v>23</v>
      </c>
      <c r="B147" s="2" cm="1">
        <f t="array" aca="1" ref="B147" ca="1">INDEX(Data_DBD!$B:$B,$A147)</f>
        <v>28</v>
      </c>
      <c r="C147" s="2" cm="1">
        <f t="array" aca="1" ref="C147" ca="1">INDEX(Data_DBD!$C:$C,$A147)</f>
        <v>4</v>
      </c>
      <c r="D147" s="2" cm="1">
        <f t="array" aca="1" ref="D147" ca="1">INDEX(Data_DBD!$E:$E,$A147)</f>
        <v>1</v>
      </c>
      <c r="E147" s="2" t="str" cm="1">
        <f t="array" aca="1" ref="E147" ca="1">INDEX(Data_DBD!$F:$F,$A147)</f>
        <v>Sedang</v>
      </c>
      <c r="H147" s="2">
        <v>47</v>
      </c>
      <c r="I147" s="2">
        <v>19</v>
      </c>
      <c r="J147" s="2">
        <v>2</v>
      </c>
      <c r="K147" s="2">
        <v>0</v>
      </c>
      <c r="L147" s="2" t="s">
        <v>7</v>
      </c>
    </row>
    <row r="148" spans="1:12">
      <c r="A148" s="2">
        <f t="shared" ca="1" si="2"/>
        <v>96</v>
      </c>
      <c r="B148" s="2" cm="1">
        <f t="array" aca="1" ref="B148" ca="1">INDEX(Data_DBD!$B:$B,$A148)</f>
        <v>56</v>
      </c>
      <c r="C148" s="2" cm="1">
        <f t="array" aca="1" ref="C148" ca="1">INDEX(Data_DBD!$C:$C,$A148)</f>
        <v>4</v>
      </c>
      <c r="D148" s="2" cm="1">
        <f t="array" aca="1" ref="D148" ca="1">INDEX(Data_DBD!$E:$E,$A148)</f>
        <v>0</v>
      </c>
      <c r="E148" s="2" t="str" cm="1">
        <f t="array" aca="1" ref="E148" ca="1">INDEX(Data_DBD!$F:$F,$A148)</f>
        <v>Tinggi</v>
      </c>
      <c r="H148" s="2">
        <v>139</v>
      </c>
      <c r="I148" s="2">
        <v>52</v>
      </c>
      <c r="J148" s="2">
        <v>7</v>
      </c>
      <c r="K148" s="2">
        <v>0</v>
      </c>
      <c r="L148" s="2" t="s">
        <v>97</v>
      </c>
    </row>
    <row r="149" spans="1:12">
      <c r="A149" s="2">
        <f t="shared" ca="1" si="2"/>
        <v>46</v>
      </c>
      <c r="B149" s="2" cm="1">
        <f t="array" aca="1" ref="B149" ca="1">INDEX(Data_DBD!$B:$B,$A149)</f>
        <v>62</v>
      </c>
      <c r="C149" s="2" cm="1">
        <f t="array" aca="1" ref="C149" ca="1">INDEX(Data_DBD!$C:$C,$A149)</f>
        <v>2</v>
      </c>
      <c r="D149" s="2" cm="1">
        <f t="array" aca="1" ref="D149" ca="1">INDEX(Data_DBD!$E:$E,$A149)</f>
        <v>0</v>
      </c>
      <c r="E149" s="2" t="str" cm="1">
        <f t="array" aca="1" ref="E149" ca="1">INDEX(Data_DBD!$F:$F,$A149)</f>
        <v>Sedang</v>
      </c>
      <c r="H149" s="2">
        <v>49</v>
      </c>
      <c r="I149" s="2">
        <v>64</v>
      </c>
      <c r="J149" s="2">
        <v>5</v>
      </c>
      <c r="K149" s="2">
        <v>0</v>
      </c>
      <c r="L149" s="2" t="s">
        <v>7</v>
      </c>
    </row>
    <row r="150" spans="1:12">
      <c r="A150" s="2">
        <f t="shared" ca="1" si="2"/>
        <v>25</v>
      </c>
      <c r="B150" s="2" cm="1">
        <f t="array" aca="1" ref="B150" ca="1">INDEX(Data_DBD!$B:$B,$A150)</f>
        <v>81</v>
      </c>
      <c r="C150" s="2" cm="1">
        <f t="array" aca="1" ref="C150" ca="1">INDEX(Data_DBD!$C:$C,$A150)</f>
        <v>5</v>
      </c>
      <c r="D150" s="2" cm="1">
        <f t="array" aca="1" ref="D150" ca="1">INDEX(Data_DBD!$E:$E,$A150)</f>
        <v>0</v>
      </c>
      <c r="E150" s="2" t="str" cm="1">
        <f t="array" aca="1" ref="E150" ca="1">INDEX(Data_DBD!$F:$F,$A150)</f>
        <v>Sedang</v>
      </c>
      <c r="H150" s="2">
        <v>17</v>
      </c>
      <c r="I150" s="2">
        <v>2</v>
      </c>
      <c r="J150" s="2">
        <v>3</v>
      </c>
      <c r="K150" s="2">
        <v>0</v>
      </c>
      <c r="L150" s="2" t="s">
        <v>20</v>
      </c>
    </row>
    <row r="151" spans="1:12">
      <c r="A151" s="2">
        <f t="shared" ca="1" si="2"/>
        <v>85</v>
      </c>
      <c r="B151" s="2" cm="1">
        <f t="array" aca="1" ref="B151" ca="1">INDEX(Data_DBD!$B:$B,$A151)</f>
        <v>27</v>
      </c>
      <c r="C151" s="2" cm="1">
        <f t="array" aca="1" ref="C151" ca="1">INDEX(Data_DBD!$C:$C,$A151)</f>
        <v>9</v>
      </c>
      <c r="D151" s="2" cm="1">
        <f t="array" aca="1" ref="D151" ca="1">INDEX(Data_DBD!$E:$E,$A151)</f>
        <v>0</v>
      </c>
      <c r="E151" s="2" t="str" cm="1">
        <f t="array" aca="1" ref="E151" ca="1">INDEX(Data_DBD!$F:$F,$A151)</f>
        <v>Sedang</v>
      </c>
      <c r="H151" s="2">
        <v>27</v>
      </c>
      <c r="I151" s="2">
        <v>37</v>
      </c>
      <c r="J151" s="2">
        <v>4</v>
      </c>
      <c r="K151" s="2">
        <v>1</v>
      </c>
      <c r="L151" s="2" t="s">
        <v>7</v>
      </c>
    </row>
    <row r="152" spans="1:12">
      <c r="A152" s="2">
        <f t="shared" ca="1" si="2"/>
        <v>79</v>
      </c>
      <c r="B152" s="2" cm="1">
        <f t="array" aca="1" ref="B152" ca="1">INDEX(Data_DBD!$B:$B,$A152)</f>
        <v>29</v>
      </c>
      <c r="C152" s="2" cm="1">
        <f t="array" aca="1" ref="C152" ca="1">INDEX(Data_DBD!$C:$C,$A152)</f>
        <v>3</v>
      </c>
      <c r="D152" s="2" cm="1">
        <f t="array" aca="1" ref="D152" ca="1">INDEX(Data_DBD!$E:$E,$A152)</f>
        <v>0</v>
      </c>
      <c r="E152" s="2" t="str" cm="1">
        <f t="array" aca="1" ref="E152" ca="1">INDEX(Data_DBD!$F:$F,$A152)</f>
        <v>Sedang</v>
      </c>
      <c r="H152" s="2">
        <v>117</v>
      </c>
      <c r="I152" s="2">
        <v>49</v>
      </c>
      <c r="J152" s="2">
        <v>4</v>
      </c>
      <c r="K152" s="2">
        <v>1</v>
      </c>
      <c r="L152" s="2" t="s">
        <v>97</v>
      </c>
    </row>
    <row r="153" spans="1:12">
      <c r="A153" s="2">
        <f t="shared" ca="1" si="2"/>
        <v>157</v>
      </c>
      <c r="B153" s="2" cm="1">
        <f t="array" aca="1" ref="B153" ca="1">INDEX(Data_DBD!$B:$B,$A153)</f>
        <v>15</v>
      </c>
      <c r="C153" s="2" cm="1">
        <f t="array" aca="1" ref="C153" ca="1">INDEX(Data_DBD!$C:$C,$A153)</f>
        <v>4</v>
      </c>
      <c r="D153" s="2" cm="1">
        <f t="array" aca="1" ref="D153" ca="1">INDEX(Data_DBD!$E:$E,$A153)</f>
        <v>1</v>
      </c>
      <c r="E153" s="2" t="str" cm="1">
        <f t="array" aca="1" ref="E153" ca="1">INDEX(Data_DBD!$F:$F,$A153)</f>
        <v>Tinggi</v>
      </c>
      <c r="H153" s="2">
        <v>26</v>
      </c>
      <c r="I153" s="2">
        <v>75</v>
      </c>
      <c r="J153" s="2">
        <v>4</v>
      </c>
      <c r="K153" s="2">
        <v>1</v>
      </c>
      <c r="L153" s="2" t="s">
        <v>7</v>
      </c>
    </row>
    <row r="154" spans="1:12">
      <c r="A154" s="2">
        <f t="shared" ca="1" si="2"/>
        <v>86</v>
      </c>
      <c r="B154" s="2" cm="1">
        <f t="array" aca="1" ref="B154" ca="1">INDEX(Data_DBD!$B:$B,$A154)</f>
        <v>23</v>
      </c>
      <c r="C154" s="2" cm="1">
        <f t="array" aca="1" ref="C154" ca="1">INDEX(Data_DBD!$C:$C,$A154)</f>
        <v>3</v>
      </c>
      <c r="D154" s="2" cm="1">
        <f t="array" aca="1" ref="D154" ca="1">INDEX(Data_DBD!$E:$E,$A154)</f>
        <v>0</v>
      </c>
      <c r="E154" s="2" t="str" cm="1">
        <f t="array" aca="1" ref="E154" ca="1">INDEX(Data_DBD!$F:$F,$A154)</f>
        <v>Sedang</v>
      </c>
      <c r="H154" s="2">
        <v>120</v>
      </c>
      <c r="I154" s="2">
        <v>26</v>
      </c>
      <c r="J154" s="2">
        <v>4</v>
      </c>
      <c r="K154" s="2">
        <v>1</v>
      </c>
      <c r="L154" s="2" t="s">
        <v>97</v>
      </c>
    </row>
    <row r="155" spans="1:12">
      <c r="A155" s="2">
        <f t="shared" ca="1" si="2"/>
        <v>47</v>
      </c>
      <c r="B155" s="2" cm="1">
        <f t="array" aca="1" ref="B155" ca="1">INDEX(Data_DBD!$B:$B,$A155)</f>
        <v>19</v>
      </c>
      <c r="C155" s="2" cm="1">
        <f t="array" aca="1" ref="C155" ca="1">INDEX(Data_DBD!$C:$C,$A155)</f>
        <v>2</v>
      </c>
      <c r="D155" s="2" cm="1">
        <f t="array" aca="1" ref="D155" ca="1">INDEX(Data_DBD!$E:$E,$A155)</f>
        <v>0</v>
      </c>
      <c r="E155" s="2" t="str" cm="1">
        <f t="array" aca="1" ref="E155" ca="1">INDEX(Data_DBD!$F:$F,$A155)</f>
        <v>Sedang</v>
      </c>
      <c r="H155" s="2">
        <v>120</v>
      </c>
      <c r="I155" s="2">
        <v>26</v>
      </c>
      <c r="J155" s="2">
        <v>4</v>
      </c>
      <c r="K155" s="2">
        <v>1</v>
      </c>
      <c r="L155" s="2" t="s">
        <v>97</v>
      </c>
    </row>
    <row r="156" spans="1:12">
      <c r="A156" s="2">
        <f t="shared" ca="1" si="2"/>
        <v>163</v>
      </c>
      <c r="B156" s="2" cm="1">
        <f t="array" aca="1" ref="B156" ca="1">INDEX(Data_DBD!$B:$B,$A156)</f>
        <v>34</v>
      </c>
      <c r="C156" s="2" cm="1">
        <f t="array" aca="1" ref="C156" ca="1">INDEX(Data_DBD!$C:$C,$A156)</f>
        <v>4</v>
      </c>
      <c r="D156" s="2" cm="1">
        <f t="array" aca="1" ref="D156" ca="1">INDEX(Data_DBD!$E:$E,$A156)</f>
        <v>1</v>
      </c>
      <c r="E156" s="2" t="str" cm="1">
        <f t="array" aca="1" ref="E156" ca="1">INDEX(Data_DBD!$F:$F,$A156)</f>
        <v>Rendah</v>
      </c>
      <c r="H156" s="2">
        <v>46</v>
      </c>
      <c r="I156" s="2">
        <v>62</v>
      </c>
      <c r="J156" s="2">
        <v>2</v>
      </c>
      <c r="K156" s="2">
        <v>0</v>
      </c>
      <c r="L156" s="2" t="s">
        <v>7</v>
      </c>
    </row>
    <row r="157" spans="1:12">
      <c r="A157" s="2">
        <f t="shared" ca="1" si="2"/>
        <v>84</v>
      </c>
      <c r="B157" s="2" cm="1">
        <f t="array" aca="1" ref="B157" ca="1">INDEX(Data_DBD!$B:$B,$A157)</f>
        <v>42</v>
      </c>
      <c r="C157" s="2" cm="1">
        <f t="array" aca="1" ref="C157" ca="1">INDEX(Data_DBD!$C:$C,$A157)</f>
        <v>4</v>
      </c>
      <c r="D157" s="2" cm="1">
        <f t="array" aca="1" ref="D157" ca="1">INDEX(Data_DBD!$E:$E,$A157)</f>
        <v>1</v>
      </c>
      <c r="E157" s="2" t="str" cm="1">
        <f t="array" aca="1" ref="E157" ca="1">INDEX(Data_DBD!$F:$F,$A157)</f>
        <v>Sedang</v>
      </c>
      <c r="H157" s="2">
        <v>63</v>
      </c>
      <c r="I157" s="2">
        <v>25</v>
      </c>
      <c r="J157" s="2">
        <v>3</v>
      </c>
      <c r="K157" s="2">
        <v>0</v>
      </c>
      <c r="L157" s="2" t="s">
        <v>7</v>
      </c>
    </row>
    <row r="158" spans="1:12">
      <c r="A158" s="2">
        <f t="shared" ca="1" si="2"/>
        <v>123</v>
      </c>
      <c r="B158" s="2" cm="1">
        <f t="array" aca="1" ref="B158" ca="1">INDEX(Data_DBD!$B:$B,$A158)</f>
        <v>22</v>
      </c>
      <c r="C158" s="2" cm="1">
        <f t="array" aca="1" ref="C158" ca="1">INDEX(Data_DBD!$C:$C,$A158)</f>
        <v>4</v>
      </c>
      <c r="D158" s="2" cm="1">
        <f t="array" aca="1" ref="D158" ca="1">INDEX(Data_DBD!$E:$E,$A158)</f>
        <v>0</v>
      </c>
      <c r="E158" s="2" t="str" cm="1">
        <f t="array" aca="1" ref="E158" ca="1">INDEX(Data_DBD!$F:$F,$A158)</f>
        <v>Tinggi</v>
      </c>
      <c r="H158" s="2">
        <v>110</v>
      </c>
      <c r="I158" s="2">
        <v>42</v>
      </c>
      <c r="J158" s="2">
        <v>2</v>
      </c>
      <c r="K158" s="2">
        <v>1</v>
      </c>
      <c r="L158" s="2" t="s">
        <v>97</v>
      </c>
    </row>
    <row r="159" spans="1:12">
      <c r="A159" s="2">
        <f t="shared" ca="1" si="2"/>
        <v>13</v>
      </c>
      <c r="B159" s="2" cm="1">
        <f t="array" aca="1" ref="B159" ca="1">INDEX(Data_DBD!$B:$B,$A159)</f>
        <v>47</v>
      </c>
      <c r="C159" s="2" cm="1">
        <f t="array" aca="1" ref="C159" ca="1">INDEX(Data_DBD!$C:$C,$A159)</f>
        <v>2</v>
      </c>
      <c r="D159" s="2" cm="1">
        <f t="array" aca="1" ref="D159" ca="1">INDEX(Data_DBD!$E:$E,$A159)</f>
        <v>0</v>
      </c>
      <c r="E159" s="2" t="str" cm="1">
        <f t="array" aca="1" ref="E159" ca="1">INDEX(Data_DBD!$F:$F,$A159)</f>
        <v>Sedang</v>
      </c>
      <c r="H159" s="2">
        <v>65</v>
      </c>
      <c r="I159" s="2">
        <v>49</v>
      </c>
      <c r="J159" s="2">
        <v>3</v>
      </c>
      <c r="K159" s="2">
        <v>0</v>
      </c>
      <c r="L159" s="2" t="s">
        <v>7</v>
      </c>
    </row>
    <row r="160" spans="1:12">
      <c r="A160" s="2">
        <f t="shared" ca="1" si="2"/>
        <v>129</v>
      </c>
      <c r="B160" s="2" cm="1">
        <f t="array" aca="1" ref="B160" ca="1">INDEX(Data_DBD!$B:$B,$A160)</f>
        <v>4</v>
      </c>
      <c r="C160" s="2" cm="1">
        <f t="array" aca="1" ref="C160" ca="1">INDEX(Data_DBD!$C:$C,$A160)</f>
        <v>3</v>
      </c>
      <c r="D160" s="2" cm="1">
        <f t="array" aca="1" ref="D160" ca="1">INDEX(Data_DBD!$E:$E,$A160)</f>
        <v>0</v>
      </c>
      <c r="E160" s="2" t="str" cm="1">
        <f t="array" aca="1" ref="E160" ca="1">INDEX(Data_DBD!$F:$F,$A160)</f>
        <v>Tinggi</v>
      </c>
      <c r="H160" s="2">
        <v>29</v>
      </c>
      <c r="I160" s="2">
        <v>19</v>
      </c>
      <c r="J160" s="2">
        <v>2</v>
      </c>
      <c r="K160" s="2">
        <v>1</v>
      </c>
      <c r="L160" s="2" t="s">
        <v>7</v>
      </c>
    </row>
    <row r="161" spans="1:15">
      <c r="A161" s="2">
        <f t="shared" ca="1" si="2"/>
        <v>158</v>
      </c>
      <c r="B161" s="2" cm="1">
        <f t="array" aca="1" ref="B161" ca="1">INDEX(Data_DBD!$B:$B,$A161)</f>
        <v>5</v>
      </c>
      <c r="C161" s="2" cm="1">
        <f t="array" aca="1" ref="C161" ca="1">INDEX(Data_DBD!$C:$C,$A161)</f>
        <v>2</v>
      </c>
      <c r="D161" s="2" cm="1">
        <f t="array" aca="1" ref="D161" ca="1">INDEX(Data_DBD!$E:$E,$A161)</f>
        <v>0</v>
      </c>
      <c r="E161" s="2" t="str" cm="1">
        <f t="array" aca="1" ref="E161" ca="1">INDEX(Data_DBD!$F:$F,$A161)</f>
        <v>Tinggi</v>
      </c>
      <c r="H161" s="2">
        <v>72</v>
      </c>
      <c r="I161" s="2">
        <v>3</v>
      </c>
      <c r="J161" s="2">
        <v>5</v>
      </c>
      <c r="K161" s="2">
        <v>1</v>
      </c>
      <c r="L161" s="2" t="s">
        <v>7</v>
      </c>
    </row>
    <row r="162" spans="1:15">
      <c r="A162" s="2">
        <f t="shared" ca="1" si="2"/>
        <v>128</v>
      </c>
      <c r="B162" s="2" cm="1">
        <f t="array" aca="1" ref="B162" ca="1">INDEX(Data_DBD!$B:$B,$A162)</f>
        <v>38</v>
      </c>
      <c r="C162" s="2" cm="1">
        <f t="array" aca="1" ref="C162" ca="1">INDEX(Data_DBD!$C:$C,$A162)</f>
        <v>2</v>
      </c>
      <c r="D162" s="2" cm="1">
        <f t="array" aca="1" ref="D162" ca="1">INDEX(Data_DBD!$E:$E,$A162)</f>
        <v>0</v>
      </c>
      <c r="E162" s="2" t="str" cm="1">
        <f t="array" aca="1" ref="E162" ca="1">INDEX(Data_DBD!$F:$F,$A162)</f>
        <v>Tinggi</v>
      </c>
      <c r="H162" s="2">
        <v>107</v>
      </c>
      <c r="I162" s="2">
        <v>48</v>
      </c>
      <c r="J162" s="2">
        <v>5</v>
      </c>
      <c r="K162" s="2">
        <v>0</v>
      </c>
      <c r="L162" s="2" t="s">
        <v>97</v>
      </c>
    </row>
    <row r="163" spans="1:15">
      <c r="A163" s="2">
        <f t="shared" ca="1" si="2"/>
        <v>108</v>
      </c>
      <c r="B163" s="2" cm="1">
        <f t="array" aca="1" ref="B163" ca="1">INDEX(Data_DBD!$B:$B,$A163)</f>
        <v>69</v>
      </c>
      <c r="C163" s="2" cm="1">
        <f t="array" aca="1" ref="C163" ca="1">INDEX(Data_DBD!$C:$C,$A163)</f>
        <v>7</v>
      </c>
      <c r="D163" s="2" cm="1">
        <f t="array" aca="1" ref="D163" ca="1">INDEX(Data_DBD!$E:$E,$A163)</f>
        <v>1</v>
      </c>
      <c r="E163" s="2" t="str" cm="1">
        <f t="array" aca="1" ref="E163" ca="1">INDEX(Data_DBD!$F:$F,$A163)</f>
        <v>Tinggi</v>
      </c>
      <c r="H163" s="2">
        <v>13</v>
      </c>
      <c r="I163" s="2">
        <v>47</v>
      </c>
      <c r="J163" s="2">
        <v>2</v>
      </c>
      <c r="K163" s="2">
        <v>0</v>
      </c>
      <c r="L163" s="2" t="s">
        <v>7</v>
      </c>
    </row>
    <row r="164" spans="1:15">
      <c r="A164" s="2">
        <f t="shared" ca="1" si="2"/>
        <v>67</v>
      </c>
      <c r="B164" s="2" cm="1">
        <f t="array" aca="1" ref="B164" ca="1">INDEX(Data_DBD!$B:$B,$A164)</f>
        <v>21</v>
      </c>
      <c r="C164" s="2" cm="1">
        <f t="array" aca="1" ref="C164" ca="1">INDEX(Data_DBD!$C:$C,$A164)</f>
        <v>3</v>
      </c>
      <c r="D164" s="2" cm="1">
        <f t="array" aca="1" ref="D164" ca="1">INDEX(Data_DBD!$E:$E,$A164)</f>
        <v>1</v>
      </c>
      <c r="E164" s="2" t="str" cm="1">
        <f t="array" aca="1" ref="E164" ca="1">INDEX(Data_DBD!$F:$F,$A164)</f>
        <v>Sedang</v>
      </c>
      <c r="H164" s="2">
        <v>163</v>
      </c>
      <c r="I164" s="2">
        <v>34</v>
      </c>
      <c r="J164" s="2">
        <v>4</v>
      </c>
      <c r="K164" s="2">
        <v>1</v>
      </c>
      <c r="L164" s="2" t="s">
        <v>20</v>
      </c>
    </row>
    <row r="165" spans="1:15">
      <c r="I165">
        <f>AVERAGE(I2:I164)</f>
        <v>33.030674846625764</v>
      </c>
      <c r="J165">
        <f>AVERAGE(J2:J164)</f>
        <v>3.4478527607361964</v>
      </c>
      <c r="K165">
        <f>AVERAGE(K2:K164)</f>
        <v>0.55828220858895705</v>
      </c>
    </row>
    <row r="166" spans="1:15">
      <c r="B166">
        <v>28</v>
      </c>
    </row>
    <row r="168" spans="1:15">
      <c r="E168" s="5" t="s">
        <v>175</v>
      </c>
      <c r="I168" s="5" t="s">
        <v>176</v>
      </c>
      <c r="M168" s="5" t="s">
        <v>178</v>
      </c>
    </row>
    <row r="169" spans="1:15">
      <c r="E169" s="2" t="s">
        <v>1</v>
      </c>
      <c r="F169" s="2">
        <f>AVERAGEIF($I$2:$I$164,"&lt;="&amp;$I$165)</f>
        <v>17.315217391304348</v>
      </c>
      <c r="G169" s="2">
        <f>AVERAGEIF($I$2:$I$164,"&gt;"&amp;$I$165)</f>
        <v>53.394366197183096</v>
      </c>
      <c r="I169" s="2" t="s">
        <v>179</v>
      </c>
      <c r="J169" s="2">
        <f>AVERAGEIF($J$2:$J$164,"&lt;="&amp;$J$165)</f>
        <v>2.4939759036144578</v>
      </c>
      <c r="K169" s="2">
        <f>AVERAGEIF($J$2:$J$164,"&gt;"&amp;$J$165)</f>
        <v>4.4375</v>
      </c>
      <c r="M169" s="2" t="s">
        <v>181</v>
      </c>
      <c r="N169" s="2">
        <f>AVERAGEIF($K$2:$K$164,"&lt;="&amp;$K$165)</f>
        <v>0</v>
      </c>
      <c r="O169" s="2">
        <f>AVERAGEIF($K$2:$K$164,"&gt;"&amp;$K$165)</f>
        <v>1</v>
      </c>
    </row>
    <row r="170" spans="1:15">
      <c r="E170" s="2" t="str" cm="1">
        <f t="array" ref="E170:E332">IF($I$2:$I$164&lt;$F$169,"kiri",IF($I$2:$I$164&lt;$G$169,"tengah","kanan"))</f>
        <v>kanan</v>
      </c>
      <c r="F170" s="2" t="s">
        <v>211</v>
      </c>
      <c r="G170" s="2"/>
      <c r="I170" s="2" t="str" cm="1">
        <f t="array" ref="I170:I332">IF($J$2:$J$164&lt;$J$169,"kiri",IF($J$2:$J$164&lt;$K$169,"tengah","kanan"))</f>
        <v>tengah</v>
      </c>
      <c r="J170" s="2" t="s">
        <v>194</v>
      </c>
      <c r="K170" s="2"/>
      <c r="M170" s="2" t="str" cm="1">
        <f t="array" ref="M170:M332">IF($K$2:$K$164&lt;$N$169,"kiri",IF($K$2:$K$164&lt;$O$169,"tengah","kanan"))</f>
        <v>kanan</v>
      </c>
      <c r="N170" s="2" t="s">
        <v>185</v>
      </c>
      <c r="O170" s="2"/>
    </row>
    <row r="171" spans="1:15">
      <c r="E171" s="2" t="str">
        <v>tengah</v>
      </c>
      <c r="F171" s="2">
        <f>COUNTIFS($E$170:$E$332,"Kanan",$L$2:$L$164,"Tinggi")</f>
        <v>17</v>
      </c>
      <c r="G171" s="2">
        <f>F171/32</f>
        <v>0.53125</v>
      </c>
      <c r="I171" s="2" t="str">
        <v>tengah</v>
      </c>
      <c r="J171" s="2">
        <f>COUNTIFS($I$170:$I$332,"Kanan",$L$2:$L$164,"Tinggi")</f>
        <v>12</v>
      </c>
      <c r="K171" s="2">
        <f>J171/29</f>
        <v>0.41379310344827586</v>
      </c>
      <c r="M171" s="2" t="str">
        <v>tengah</v>
      </c>
      <c r="N171" s="2">
        <f>COUNTIFS($M$170:$M$332,"Kanan",$L$2:$L$164,"Tinggi")</f>
        <v>47</v>
      </c>
      <c r="O171" s="2">
        <f>N171/91</f>
        <v>0.51648351648351654</v>
      </c>
    </row>
    <row r="172" spans="1:15">
      <c r="E172" s="2" t="str">
        <v>kanan</v>
      </c>
      <c r="F172" s="2">
        <f>COUNTIFS($E$170:$E$332,"Kanan",$L$2:$L$164,"Sedang")</f>
        <v>15</v>
      </c>
      <c r="G172" s="2">
        <f>F172/32</f>
        <v>0.46875</v>
      </c>
      <c r="I172" s="2" t="str">
        <v>kanan</v>
      </c>
      <c r="J172" s="2">
        <f>COUNTIFS($I$170:$I$332,"Kanan",$L$2:$L$164,"Sedang")</f>
        <v>16</v>
      </c>
      <c r="K172" s="2">
        <f>J172/29</f>
        <v>0.55172413793103448</v>
      </c>
      <c r="M172" s="2" t="str">
        <v>kanan</v>
      </c>
      <c r="N172" s="2">
        <f>COUNTIFS($M$170:$M$332,"Kanan",$L$2:$L$164,"Sedang")</f>
        <v>40</v>
      </c>
      <c r="O172" s="2">
        <f>N172/91</f>
        <v>0.43956043956043955</v>
      </c>
    </row>
    <row r="173" spans="1:15">
      <c r="E173" s="2" t="str">
        <v>kiri</v>
      </c>
      <c r="F173" s="2">
        <f>COUNTIFS($E$170:$E$332,"Kanan",$L$2:$L$164,"Rendah")</f>
        <v>0</v>
      </c>
      <c r="G173" s="2">
        <f>F173/32</f>
        <v>0</v>
      </c>
      <c r="I173" s="2" t="str">
        <v>tengah</v>
      </c>
      <c r="J173" s="2">
        <f>COUNTIFS($I$170:$I$332,"Kanan",$L$2:$L$164,"Rendah")</f>
        <v>1</v>
      </c>
      <c r="K173" s="2">
        <f>J173/29</f>
        <v>3.4482758620689655E-2</v>
      </c>
      <c r="M173" s="2" t="str">
        <v>tengah</v>
      </c>
      <c r="N173" s="2">
        <f>COUNTIFS($M$170:$M$332,"Kanan",$L$2:$L$164,"Rendah")</f>
        <v>4</v>
      </c>
      <c r="O173" s="2">
        <f>N173/91</f>
        <v>4.3956043956043959E-2</v>
      </c>
    </row>
    <row r="174" spans="1:15">
      <c r="E174" s="2" t="str">
        <v>tengah</v>
      </c>
      <c r="F174" s="2" t="s">
        <v>186</v>
      </c>
      <c r="G174" s="2">
        <f>-(IFERROR(G171*LOG(G171,2),0)+IFERROR(G172*LOG(G172,2),0)+IFERROR(G173*LOG(G173,2),0))</f>
        <v>0.99718039889426424</v>
      </c>
      <c r="I174" s="2" t="str">
        <v>tengah</v>
      </c>
      <c r="J174" s="2" t="s">
        <v>186</v>
      </c>
      <c r="K174" s="2">
        <f>-(IFERROR(K171*LOG(K171,2),0)+IFERROR(K172*LOG(K172,2),0)+IFERROR(K173*LOG(K173,2),0))</f>
        <v>1.1676516844843352</v>
      </c>
      <c r="M174" s="2" t="str">
        <v>kanan</v>
      </c>
      <c r="N174" s="2" t="s">
        <v>186</v>
      </c>
      <c r="O174" s="2">
        <f>-(IFERROR(O171*LOG(O171,2),0)+IFERROR(O172*LOG(O172,2),0)+IFERROR(O173*LOG(O173,2),0))</f>
        <v>1.2117199168542627</v>
      </c>
    </row>
    <row r="175" spans="1:15">
      <c r="E175" s="2" t="str">
        <v>kiri</v>
      </c>
      <c r="F175" s="2"/>
      <c r="G175" s="2">
        <f>SUM(F171:F173)/163</f>
        <v>0.19631901840490798</v>
      </c>
      <c r="I175" s="2" t="str">
        <v>tengah</v>
      </c>
      <c r="J175" s="2"/>
      <c r="K175" s="2">
        <f>SUM(J171:J173)/163</f>
        <v>0.17791411042944785</v>
      </c>
      <c r="M175" s="2" t="str">
        <v>tengah</v>
      </c>
      <c r="N175" s="2"/>
      <c r="O175" s="2">
        <f>SUM(N171:N173)/163</f>
        <v>0.55828220858895705</v>
      </c>
    </row>
    <row r="176" spans="1:15">
      <c r="E176" s="2" t="str">
        <v>kiri</v>
      </c>
      <c r="F176" s="2"/>
      <c r="G176" s="6">
        <f>G174*G175</f>
        <v>0.19576547708353653</v>
      </c>
      <c r="I176" s="2" t="str">
        <v>kiri</v>
      </c>
      <c r="J176" s="2"/>
      <c r="K176" s="6">
        <f>K174*K175</f>
        <v>0.20774171073647682</v>
      </c>
      <c r="M176" s="2" t="str">
        <v>kanan</v>
      </c>
      <c r="N176" s="2"/>
      <c r="O176" s="6">
        <f>O174*O175</f>
        <v>0.67648167137262516</v>
      </c>
    </row>
    <row r="177" spans="5:15">
      <c r="E177" s="2" t="str">
        <v>tengah</v>
      </c>
      <c r="F177" s="2"/>
      <c r="G177" s="2"/>
      <c r="I177" s="2" t="str">
        <v>tengah</v>
      </c>
      <c r="J177" s="2"/>
      <c r="K177" s="2"/>
      <c r="M177" s="2" t="str">
        <v>tengah</v>
      </c>
      <c r="N177" s="2"/>
      <c r="O177" s="2"/>
    </row>
    <row r="178" spans="5:15">
      <c r="E178" s="2" t="str">
        <v>tengah</v>
      </c>
      <c r="F178" s="2"/>
      <c r="G178" s="2"/>
      <c r="I178" s="2" t="str">
        <v>tengah</v>
      </c>
      <c r="J178" s="2"/>
      <c r="K178" s="2"/>
      <c r="M178" s="2" t="str">
        <v>kanan</v>
      </c>
      <c r="N178" s="2"/>
      <c r="O178" s="2"/>
    </row>
    <row r="179" spans="5:15">
      <c r="E179" s="2" t="str">
        <v>tengah</v>
      </c>
      <c r="F179" s="2" t="s">
        <v>212</v>
      </c>
      <c r="G179" s="2"/>
      <c r="I179" s="2" t="str">
        <v>tengah</v>
      </c>
      <c r="J179" s="2" t="s">
        <v>213</v>
      </c>
      <c r="K179" s="2"/>
      <c r="M179" s="2" t="str">
        <v>tengah</v>
      </c>
      <c r="N179" s="2" t="s">
        <v>190</v>
      </c>
      <c r="O179" s="2"/>
    </row>
    <row r="180" spans="5:15">
      <c r="E180" s="2" t="str">
        <v>kanan</v>
      </c>
      <c r="F180" s="2">
        <f>COUNTIFS($E$170:$E$332,"Kiri",$L$2:$L$164,"Tinggi")</f>
        <v>19</v>
      </c>
      <c r="G180" s="2">
        <f>F180/38</f>
        <v>0.5</v>
      </c>
      <c r="I180" s="2" t="str">
        <v>tengah</v>
      </c>
      <c r="J180" s="2">
        <f>COUNTIFS($I$170:$I$332,"Kiri",$L$2:$L$164,"Tinggi")</f>
        <v>20</v>
      </c>
      <c r="K180" s="2">
        <f>J180/36</f>
        <v>0.55555555555555558</v>
      </c>
      <c r="M180" s="2" t="str">
        <v>tengah</v>
      </c>
      <c r="N180" s="2">
        <f>COUNTIFS($M$170:$M$332,"Kiri",$L$2:$L$164,"Tinggi")</f>
        <v>0</v>
      </c>
      <c r="O180" s="2">
        <f>N180/78</f>
        <v>0</v>
      </c>
    </row>
    <row r="181" spans="5:15">
      <c r="E181" s="2" t="str">
        <v>tengah</v>
      </c>
      <c r="F181" s="2">
        <f>COUNTIFS($E$170:$E$332,"Kiri",$L$2:$L$164,"Sedang")</f>
        <v>16</v>
      </c>
      <c r="G181" s="2">
        <f>F181/38</f>
        <v>0.42105263157894735</v>
      </c>
      <c r="I181" s="2" t="str">
        <v>kiri</v>
      </c>
      <c r="J181" s="2">
        <f>COUNTIFS($I$170:$I$332,"Kiri",$L$2:$L$164,"Sedang")</f>
        <v>14</v>
      </c>
      <c r="K181" s="2">
        <f>J181/36</f>
        <v>0.3888888888888889</v>
      </c>
      <c r="M181" s="2" t="str">
        <v>kanan</v>
      </c>
      <c r="N181" s="2">
        <f>COUNTIFS($T$170:$T$332,"Kiri",$M$2:$M$164,"Sedang")</f>
        <v>0</v>
      </c>
      <c r="O181" s="2">
        <f>N181/78</f>
        <v>0</v>
      </c>
    </row>
    <row r="182" spans="5:15">
      <c r="E182" s="2" t="str">
        <v>kanan</v>
      </c>
      <c r="F182" s="2">
        <f>COUNTIFS($E$170:$E$332,"Kiri",$L$2:$L$164,"Rendah")</f>
        <v>3</v>
      </c>
      <c r="G182" s="2">
        <f>F182/38</f>
        <v>7.8947368421052627E-2</v>
      </c>
      <c r="I182" s="2" t="str">
        <v>tengah</v>
      </c>
      <c r="J182" s="2">
        <f>COUNTIFS($I$170:$I$332,"Kiri",$L$2:$L$164,"Rendah")</f>
        <v>2</v>
      </c>
      <c r="K182" s="2">
        <f>J182/36</f>
        <v>5.5555555555555552E-2</v>
      </c>
      <c r="M182" s="2" t="str">
        <v>kanan</v>
      </c>
      <c r="N182" s="2">
        <f>COUNTIFS($T$170:$T$332,"Kiri",$M$2:$M$164,"Rendah")</f>
        <v>0</v>
      </c>
      <c r="O182" s="2">
        <f>N182/78</f>
        <v>0</v>
      </c>
    </row>
    <row r="183" spans="5:15">
      <c r="E183" s="2" t="str">
        <v>tengah</v>
      </c>
      <c r="F183" s="2" t="s">
        <v>186</v>
      </c>
      <c r="G183" s="2">
        <f>-(IFERROR(G180*LOG(G180,2),0)+IFERROR(G181*LOG(G181,2),0)+IFERROR(G182*LOG(G182,2),0))</f>
        <v>1.3146246119280174</v>
      </c>
      <c r="I183" s="2" t="str">
        <v>tengah</v>
      </c>
      <c r="J183" s="2" t="s">
        <v>186</v>
      </c>
      <c r="K183" s="2">
        <f>-(IFERROR(K180*LOG(K180,2),0)+IFERROR(K181*LOG(K181,2),0)+IFERROR(K182*LOG(K182,2),0))</f>
        <v>1.2326602568158207</v>
      </c>
      <c r="M183" s="2" t="str">
        <v>tengah</v>
      </c>
      <c r="N183" s="2" t="s">
        <v>186</v>
      </c>
      <c r="O183" s="2">
        <f>-(IFERROR(O180*LOG(O180,2),0)+IFERROR(O181*LOG(O181,2),0)+IFERROR(O182*LOG(O182,2),0))</f>
        <v>0</v>
      </c>
    </row>
    <row r="184" spans="5:15">
      <c r="E184" s="2" t="str">
        <v>kanan</v>
      </c>
      <c r="F184" s="2"/>
      <c r="G184" s="2">
        <f>SUM(F180:F182)/163</f>
        <v>0.23312883435582821</v>
      </c>
      <c r="I184" s="2" t="str">
        <v>tengah</v>
      </c>
      <c r="J184" s="2"/>
      <c r="K184" s="2">
        <f>SUM(J180:J182)/163</f>
        <v>0.22085889570552147</v>
      </c>
      <c r="M184" s="2" t="str">
        <v>tengah</v>
      </c>
      <c r="N184" s="2"/>
      <c r="O184" s="2">
        <f>SUM(N180:N182)/163</f>
        <v>0</v>
      </c>
    </row>
    <row r="185" spans="5:15">
      <c r="E185" s="2" t="str">
        <v>kanan</v>
      </c>
      <c r="F185" s="2"/>
      <c r="G185" s="6">
        <f>G183*G184</f>
        <v>0.3064769033942617</v>
      </c>
      <c r="I185" s="2" t="str">
        <v>kanan</v>
      </c>
      <c r="J185" s="2"/>
      <c r="K185" s="6">
        <f>K183*K184</f>
        <v>0.27224398310042663</v>
      </c>
      <c r="M185" s="2" t="str">
        <v>kanan</v>
      </c>
      <c r="N185" s="2"/>
      <c r="O185" s="6">
        <f>O183*O184</f>
        <v>0</v>
      </c>
    </row>
    <row r="186" spans="5:15">
      <c r="E186" s="2" t="str">
        <v>kanan</v>
      </c>
      <c r="F186" s="2"/>
      <c r="G186" s="2"/>
      <c r="I186" s="2" t="str">
        <v>tengah</v>
      </c>
      <c r="J186" s="2"/>
      <c r="K186" s="2"/>
      <c r="M186" s="2" t="str">
        <v>kanan</v>
      </c>
      <c r="N186" s="2"/>
      <c r="O186" s="2"/>
    </row>
    <row r="187" spans="5:15">
      <c r="E187" s="2" t="str">
        <v>tengah</v>
      </c>
      <c r="F187" s="2"/>
      <c r="G187" s="2"/>
      <c r="I187" s="2" t="str">
        <v>tengah</v>
      </c>
      <c r="J187" s="2"/>
      <c r="K187" s="2"/>
      <c r="M187" s="2" t="str">
        <v>kanan</v>
      </c>
      <c r="N187" s="2"/>
      <c r="O187" s="2"/>
    </row>
    <row r="188" spans="5:15">
      <c r="E188" s="2" t="str">
        <v>tengah</v>
      </c>
      <c r="F188" s="2" t="s">
        <v>191</v>
      </c>
      <c r="G188" s="2"/>
      <c r="I188" s="2" t="str">
        <v>kiri</v>
      </c>
      <c r="J188" s="2" t="s">
        <v>191</v>
      </c>
      <c r="K188" s="2"/>
      <c r="M188" s="2" t="str">
        <v>kanan</v>
      </c>
      <c r="N188" s="2" t="s">
        <v>191</v>
      </c>
      <c r="O188" s="2"/>
    </row>
    <row r="189" spans="5:15">
      <c r="E189" s="2" t="str">
        <v>kanan</v>
      </c>
      <c r="F189" s="2">
        <f>COUNTIFS($E$170:$E$332,"Tengah",$L$2:$L$164,"Tinggi")</f>
        <v>39</v>
      </c>
      <c r="G189" s="2">
        <f>F189/93</f>
        <v>0.41935483870967744</v>
      </c>
      <c r="I189" s="2" t="str">
        <v>tengah</v>
      </c>
      <c r="J189" s="2">
        <f>COUNTIFS($I$170:$I$332,"Tengah",$L$2:$L$164,"Tinggi")</f>
        <v>43</v>
      </c>
      <c r="K189" s="2">
        <f>J189/98</f>
        <v>0.43877551020408162</v>
      </c>
      <c r="M189" s="2" t="str">
        <v>kanan</v>
      </c>
      <c r="N189" s="2">
        <f>COUNTIFS($M$170:$M$332,"Tengah",$L$2:$L$164,"Tinggi")</f>
        <v>28</v>
      </c>
      <c r="O189" s="2">
        <f>N189/72</f>
        <v>0.3888888888888889</v>
      </c>
    </row>
    <row r="190" spans="5:15">
      <c r="E190" s="2" t="str">
        <v>kiri</v>
      </c>
      <c r="F190" s="2">
        <f>COUNTIFS($E$170:$E$332,"Tengah",$L$2:$L$164,"Sedang")</f>
        <v>48</v>
      </c>
      <c r="G190" s="2">
        <f>F190/93</f>
        <v>0.5161290322580645</v>
      </c>
      <c r="I190" s="2" t="str">
        <v>kiri</v>
      </c>
      <c r="J190" s="2">
        <f>COUNTIFS($I$170:$I$332,"Tengah",$L$2:$L$164,"Sedang")</f>
        <v>49</v>
      </c>
      <c r="K190" s="2">
        <f>J190/98</f>
        <v>0.5</v>
      </c>
      <c r="M190" s="2" t="str">
        <v>tengah</v>
      </c>
      <c r="N190" s="2">
        <f>COUNTIFS($M$170:$M$332,"Tengah",$L$2:$L$164,"Sedang")</f>
        <v>39</v>
      </c>
      <c r="O190" s="2">
        <f>N190/72</f>
        <v>0.54166666666666663</v>
      </c>
    </row>
    <row r="191" spans="5:15">
      <c r="E191" s="2" t="str">
        <v>tengah</v>
      </c>
      <c r="F191" s="2">
        <f>COUNTIFS($E$170:$E$332,"Tengah",$L$2:$L$164,"Rendah")</f>
        <v>6</v>
      </c>
      <c r="G191" s="2">
        <f>F191/93</f>
        <v>6.4516129032258063E-2</v>
      </c>
      <c r="I191" s="2" t="str">
        <v>kanan</v>
      </c>
      <c r="J191" s="2">
        <f>COUNTIFS($I$170:$I$332,"Tengah",$L$2:$L$164,"Rendah")</f>
        <v>6</v>
      </c>
      <c r="K191" s="2">
        <f>J191/98</f>
        <v>6.1224489795918366E-2</v>
      </c>
      <c r="M191" s="2" t="str">
        <v>tengah</v>
      </c>
      <c r="N191" s="2">
        <f>COUNTIFS($M$170:$M$332,"Tengah",$L$2:$L$164,"Rendah")</f>
        <v>5</v>
      </c>
      <c r="O191" s="2">
        <f>N191/72</f>
        <v>6.9444444444444448E-2</v>
      </c>
    </row>
    <row r="192" spans="5:15">
      <c r="E192" s="2" t="str">
        <v>tengah</v>
      </c>
      <c r="F192" s="2" t="s">
        <v>186</v>
      </c>
      <c r="G192" s="2">
        <f>-(IFERROR(G189*LOG(G189,2),0)+IFERROR(G190*LOG(G190,2),0)+IFERROR(G191*LOG(G191,2),0))</f>
        <v>1.2733667511664173</v>
      </c>
      <c r="I192" s="2" t="str">
        <v>tengah</v>
      </c>
      <c r="J192" s="2" t="s">
        <v>186</v>
      </c>
      <c r="K192" s="2">
        <f>-(IFERROR(K189*LOG(K189,2),0)+IFERROR(K190*LOG(K190,2),0)+IFERROR(K191*LOG(K191,2),0))</f>
        <v>1.2681798255625312</v>
      </c>
      <c r="M192" s="2" t="str">
        <v>kanan</v>
      </c>
      <c r="N192" s="2" t="s">
        <v>186</v>
      </c>
      <c r="O192" s="2">
        <f>-(IFERROR(O189*LOG(O189,2),0)+IFERROR(O190*LOG(O190,2),0)+IFERROR(O191*LOG(O191,2),0))</f>
        <v>1.2762268788356819</v>
      </c>
    </row>
    <row r="193" spans="5:15">
      <c r="E193" s="2" t="str">
        <v>tengah</v>
      </c>
      <c r="F193" s="2"/>
      <c r="G193" s="2">
        <f>SUM(F189:F191)/163</f>
        <v>0.57055214723926384</v>
      </c>
      <c r="I193" s="2" t="str">
        <v>kanan</v>
      </c>
      <c r="J193" s="2"/>
      <c r="K193" s="2">
        <f>SUM(J189:J191)/163</f>
        <v>0.60122699386503065</v>
      </c>
      <c r="M193" s="2" t="str">
        <v>kanan</v>
      </c>
      <c r="N193" s="2"/>
      <c r="O193" s="2">
        <f>SUM(N189:N191)/163</f>
        <v>0.44171779141104295</v>
      </c>
    </row>
    <row r="194" spans="5:15">
      <c r="E194" s="2" t="str">
        <v>tengah</v>
      </c>
      <c r="F194" s="2"/>
      <c r="G194" s="6">
        <f>G192*G193</f>
        <v>0.72652213410108479</v>
      </c>
      <c r="I194" s="2" t="str">
        <v>tengah</v>
      </c>
      <c r="J194" s="2"/>
      <c r="K194" s="6">
        <f>K192*K193</f>
        <v>0.7624639442032396</v>
      </c>
      <c r="M194" s="2" t="str">
        <v>kanan</v>
      </c>
      <c r="N194" s="2"/>
      <c r="O194" s="6">
        <f>O192*O193</f>
        <v>0.56373211825870606</v>
      </c>
    </row>
    <row r="195" spans="5:15">
      <c r="E195" s="2" t="str">
        <v>kiri</v>
      </c>
      <c r="F195" s="2"/>
      <c r="G195" s="2"/>
      <c r="I195" s="2" t="str">
        <v>tengah</v>
      </c>
      <c r="J195" s="2"/>
      <c r="K195" s="2"/>
      <c r="M195" s="2" t="str">
        <v>kanan</v>
      </c>
      <c r="N195" s="2"/>
      <c r="O195" s="2"/>
    </row>
    <row r="196" spans="5:15">
      <c r="E196" s="2" t="str">
        <v>kiri</v>
      </c>
      <c r="F196" s="2" t="s">
        <v>192</v>
      </c>
      <c r="G196" s="2"/>
      <c r="I196" s="2" t="str">
        <v>kiri</v>
      </c>
      <c r="J196" s="2" t="s">
        <v>192</v>
      </c>
      <c r="K196" s="2"/>
      <c r="M196" s="2" t="str">
        <v>tengah</v>
      </c>
      <c r="N196" s="2" t="s">
        <v>192</v>
      </c>
      <c r="O196" s="2"/>
    </row>
    <row r="197" spans="5:15">
      <c r="E197" s="2" t="str">
        <v>kanan</v>
      </c>
      <c r="F197" s="7">
        <f>P5-(G176+G185+G194)</f>
        <v>2.3709615688004337E-2</v>
      </c>
      <c r="G197" s="2"/>
      <c r="I197" s="2" t="str">
        <v>kanan</v>
      </c>
      <c r="J197" s="7">
        <f>P5-(K176+K185+K194)</f>
        <v>1.0024492226744286E-2</v>
      </c>
      <c r="K197" s="2"/>
      <c r="M197" s="2" t="str">
        <v>kanan</v>
      </c>
      <c r="N197" s="7">
        <f>P5-(O176+O185+O194)</f>
        <v>1.2260340635556144E-2</v>
      </c>
      <c r="O197" s="2"/>
    </row>
    <row r="198" spans="5:15">
      <c r="E198" s="2" t="str">
        <v>tengah</v>
      </c>
      <c r="F198" s="2"/>
      <c r="G198" s="2"/>
      <c r="I198" s="2" t="str">
        <v>tengah</v>
      </c>
      <c r="J198" s="2"/>
      <c r="K198" s="2"/>
      <c r="M198" s="2" t="str">
        <v>kanan</v>
      </c>
      <c r="N198" s="2"/>
      <c r="O198" s="2"/>
    </row>
    <row r="199" spans="5:15">
      <c r="E199" s="2" t="str">
        <v>tengah</v>
      </c>
      <c r="F199" s="2"/>
      <c r="G199" s="2"/>
      <c r="I199" s="2" t="str">
        <v>tengah</v>
      </c>
      <c r="J199" s="2"/>
      <c r="K199" s="2"/>
      <c r="M199" s="2" t="str">
        <v>kanan</v>
      </c>
      <c r="N199" s="2"/>
      <c r="O199" s="2"/>
    </row>
    <row r="200" spans="5:15">
      <c r="E200" s="2" t="str">
        <v>tengah</v>
      </c>
      <c r="F200" s="2"/>
      <c r="G200" s="2"/>
      <c r="I200" s="2" t="str">
        <v>tengah</v>
      </c>
      <c r="J200" s="2"/>
      <c r="K200" s="2"/>
      <c r="M200" s="2" t="str">
        <v>kanan</v>
      </c>
      <c r="N200" s="2"/>
      <c r="O200" s="2"/>
    </row>
    <row r="201" spans="5:15">
      <c r="E201" s="2" t="str">
        <v>tengah</v>
      </c>
      <c r="F201" s="2"/>
      <c r="G201" s="2"/>
      <c r="I201" s="2" t="str">
        <v>tengah</v>
      </c>
      <c r="J201" s="2"/>
      <c r="K201" s="2"/>
      <c r="M201" s="2" t="str">
        <v>kanan</v>
      </c>
      <c r="N201" s="2"/>
      <c r="O201" s="2"/>
    </row>
    <row r="202" spans="5:15">
      <c r="E202" s="2" t="str">
        <v>tengah</v>
      </c>
      <c r="F202" s="2"/>
      <c r="G202" s="2"/>
      <c r="I202" s="2" t="str">
        <v>kanan</v>
      </c>
      <c r="J202" s="2"/>
      <c r="K202" s="2"/>
      <c r="M202" s="2" t="str">
        <v>kanan</v>
      </c>
      <c r="N202" s="2"/>
      <c r="O202" s="2"/>
    </row>
    <row r="203" spans="5:15">
      <c r="E203" s="2" t="str">
        <v>tengah</v>
      </c>
      <c r="F203" s="2"/>
      <c r="G203" s="2"/>
      <c r="I203" s="2" t="str">
        <v>tengah</v>
      </c>
      <c r="J203" s="2"/>
      <c r="K203" s="2"/>
      <c r="M203" s="2" t="str">
        <v>kanan</v>
      </c>
      <c r="N203" s="2"/>
      <c r="O203" s="2"/>
    </row>
    <row r="204" spans="5:15">
      <c r="E204" s="2" t="str">
        <v>tengah</v>
      </c>
      <c r="F204" s="2"/>
      <c r="G204" s="2"/>
      <c r="I204" s="2" t="str">
        <v>kiri</v>
      </c>
      <c r="J204" s="2"/>
      <c r="K204" s="2"/>
      <c r="M204" s="2" t="str">
        <v>tengah</v>
      </c>
      <c r="N204" s="2"/>
      <c r="O204" s="2"/>
    </row>
    <row r="205" spans="5:15">
      <c r="E205" s="2" t="str">
        <v>tengah</v>
      </c>
      <c r="F205" s="2"/>
      <c r="G205" s="2"/>
      <c r="I205" s="2" t="str">
        <v>kanan</v>
      </c>
      <c r="J205" s="2"/>
      <c r="K205" s="2"/>
      <c r="M205" s="2" t="str">
        <v>tengah</v>
      </c>
      <c r="N205" s="2"/>
      <c r="O205" s="2"/>
    </row>
    <row r="206" spans="5:15">
      <c r="E206" s="2" t="str">
        <v>kanan</v>
      </c>
      <c r="F206" s="2"/>
      <c r="G206" s="2"/>
      <c r="I206" s="2" t="str">
        <v>tengah</v>
      </c>
      <c r="J206" s="2"/>
      <c r="K206" s="2"/>
      <c r="M206" s="2" t="str">
        <v>kanan</v>
      </c>
      <c r="N206" s="2"/>
      <c r="O206" s="2"/>
    </row>
    <row r="207" spans="5:15">
      <c r="E207" s="2" t="str">
        <v>kiri</v>
      </c>
      <c r="F207" s="2"/>
      <c r="G207" s="2"/>
      <c r="I207" s="2" t="str">
        <v>tengah</v>
      </c>
      <c r="J207" s="2"/>
      <c r="K207" s="2"/>
      <c r="M207" s="2" t="str">
        <v>kanan</v>
      </c>
      <c r="N207" s="2"/>
      <c r="O207" s="2"/>
    </row>
    <row r="208" spans="5:15">
      <c r="E208" s="2" t="str">
        <v>tengah</v>
      </c>
      <c r="F208" s="2"/>
      <c r="G208" s="2"/>
      <c r="I208" s="2" t="str">
        <v>kanan</v>
      </c>
      <c r="J208" s="2"/>
      <c r="K208" s="2"/>
      <c r="M208" s="2" t="str">
        <v>tengah</v>
      </c>
      <c r="N208" s="2"/>
      <c r="O208" s="2"/>
    </row>
    <row r="209" spans="5:15">
      <c r="E209" s="2" t="str">
        <v>kiri</v>
      </c>
      <c r="F209" s="2"/>
      <c r="G209" s="2"/>
      <c r="I209" s="2" t="str">
        <v>tengah</v>
      </c>
      <c r="J209" s="2"/>
      <c r="K209" s="2"/>
      <c r="M209" s="2" t="str">
        <v>kanan</v>
      </c>
      <c r="N209" s="2"/>
      <c r="O209" s="2"/>
    </row>
    <row r="210" spans="5:15">
      <c r="E210" s="2" t="str">
        <v>kiri</v>
      </c>
      <c r="F210" s="2"/>
      <c r="G210" s="2"/>
      <c r="I210" s="2" t="str">
        <v>tengah</v>
      </c>
      <c r="J210" s="2"/>
      <c r="K210" s="2"/>
      <c r="M210" s="2" t="str">
        <v>tengah</v>
      </c>
      <c r="N210" s="2"/>
      <c r="O210" s="2"/>
    </row>
    <row r="211" spans="5:15">
      <c r="E211" s="2" t="str">
        <v>tengah</v>
      </c>
      <c r="F211" s="2"/>
      <c r="G211" s="2"/>
      <c r="I211" s="2" t="str">
        <v>tengah</v>
      </c>
      <c r="J211" s="2"/>
      <c r="K211" s="2"/>
      <c r="M211" s="2" t="str">
        <v>tengah</v>
      </c>
      <c r="N211" s="2"/>
      <c r="O211" s="2"/>
    </row>
    <row r="212" spans="5:15">
      <c r="E212" s="2" t="str">
        <v>tengah</v>
      </c>
      <c r="F212" s="2"/>
      <c r="G212" s="2"/>
      <c r="I212" s="2" t="str">
        <v>tengah</v>
      </c>
      <c r="J212" s="2"/>
      <c r="K212" s="2"/>
      <c r="M212" s="2" t="str">
        <v>kanan</v>
      </c>
      <c r="N212" s="2"/>
      <c r="O212" s="2"/>
    </row>
    <row r="213" spans="5:15">
      <c r="E213" s="2" t="str">
        <v>tengah</v>
      </c>
      <c r="F213" s="2"/>
      <c r="G213" s="2"/>
      <c r="I213" s="2" t="str">
        <v>tengah</v>
      </c>
      <c r="J213" s="2"/>
      <c r="K213" s="2"/>
      <c r="M213" s="2" t="str">
        <v>tengah</v>
      </c>
      <c r="N213" s="2"/>
      <c r="O213" s="2"/>
    </row>
    <row r="214" spans="5:15">
      <c r="E214" s="2" t="str">
        <v>kiri</v>
      </c>
      <c r="F214" s="2"/>
      <c r="G214" s="2"/>
      <c r="I214" s="2" t="str">
        <v>tengah</v>
      </c>
      <c r="J214" s="2"/>
      <c r="K214" s="2"/>
      <c r="M214" s="2" t="str">
        <v>tengah</v>
      </c>
      <c r="N214" s="2"/>
      <c r="O214" s="2"/>
    </row>
    <row r="215" spans="5:15">
      <c r="E215" s="2" t="str">
        <v>tengah</v>
      </c>
      <c r="F215" s="2"/>
      <c r="G215" s="2"/>
      <c r="I215" s="2" t="str">
        <v>tengah</v>
      </c>
      <c r="J215" s="2"/>
      <c r="K215" s="2"/>
      <c r="M215" s="2" t="str">
        <v>kanan</v>
      </c>
      <c r="N215" s="2"/>
      <c r="O215" s="2"/>
    </row>
    <row r="216" spans="5:15">
      <c r="E216" s="2" t="str">
        <v>tengah</v>
      </c>
      <c r="F216" s="2"/>
      <c r="G216" s="2"/>
      <c r="I216" s="2" t="str">
        <v>tengah</v>
      </c>
      <c r="J216" s="2"/>
      <c r="K216" s="2"/>
      <c r="M216" s="2" t="str">
        <v>tengah</v>
      </c>
      <c r="N216" s="2"/>
      <c r="O216" s="2"/>
    </row>
    <row r="217" spans="5:15">
      <c r="E217" s="2" t="str">
        <v>kiri</v>
      </c>
      <c r="F217" s="2"/>
      <c r="G217" s="2"/>
      <c r="I217" s="2" t="str">
        <v>kiri</v>
      </c>
      <c r="J217" s="2"/>
      <c r="K217" s="2"/>
      <c r="M217" s="2" t="str">
        <v>kanan</v>
      </c>
      <c r="N217" s="2"/>
      <c r="O217" s="2"/>
    </row>
    <row r="218" spans="5:15">
      <c r="E218" s="2" t="str">
        <v>tengah</v>
      </c>
      <c r="F218" s="2"/>
      <c r="G218" s="2"/>
      <c r="I218" s="2" t="str">
        <v>tengah</v>
      </c>
      <c r="J218" s="2"/>
      <c r="K218" s="2"/>
      <c r="M218" s="2" t="str">
        <v>kanan</v>
      </c>
      <c r="N218" s="2"/>
      <c r="O218" s="2"/>
    </row>
    <row r="219" spans="5:15">
      <c r="E219" s="2" t="str">
        <v>kiri</v>
      </c>
      <c r="F219" s="2"/>
      <c r="G219" s="2"/>
      <c r="I219" s="2" t="str">
        <v>kiri</v>
      </c>
      <c r="J219" s="2"/>
      <c r="K219" s="2"/>
      <c r="M219" s="2" t="str">
        <v>kanan</v>
      </c>
      <c r="N219" s="2"/>
      <c r="O219" s="2"/>
    </row>
    <row r="220" spans="5:15">
      <c r="E220" s="2" t="str">
        <v>kiri</v>
      </c>
      <c r="F220" s="2"/>
      <c r="G220" s="2"/>
      <c r="I220" s="2" t="str">
        <v>kiri</v>
      </c>
      <c r="J220" s="2"/>
      <c r="K220" s="2"/>
      <c r="M220" s="2" t="str">
        <v>tengah</v>
      </c>
      <c r="N220" s="2"/>
      <c r="O220" s="2"/>
    </row>
    <row r="221" spans="5:15">
      <c r="E221" s="2" t="str">
        <v>tengah</v>
      </c>
      <c r="F221" s="2"/>
      <c r="G221" s="2"/>
      <c r="I221" s="2" t="str">
        <v>tengah</v>
      </c>
      <c r="J221" s="2"/>
      <c r="K221" s="2"/>
      <c r="M221" s="2" t="str">
        <v>kanan</v>
      </c>
      <c r="N221" s="2"/>
      <c r="O221" s="2"/>
    </row>
    <row r="222" spans="5:15">
      <c r="E222" s="2" t="str">
        <v>tengah</v>
      </c>
      <c r="F222" s="2"/>
      <c r="G222" s="2"/>
      <c r="I222" s="2" t="str">
        <v>tengah</v>
      </c>
      <c r="J222" s="2"/>
      <c r="K222" s="2"/>
      <c r="M222" s="2" t="str">
        <v>tengah</v>
      </c>
      <c r="N222" s="2"/>
      <c r="O222" s="2"/>
    </row>
    <row r="223" spans="5:15">
      <c r="E223" s="2" t="str">
        <v>kanan</v>
      </c>
      <c r="F223" s="2"/>
      <c r="G223" s="2"/>
      <c r="I223" s="2" t="str">
        <v>tengah</v>
      </c>
      <c r="J223" s="2"/>
      <c r="K223" s="2"/>
      <c r="M223" s="2" t="str">
        <v>kanan</v>
      </c>
      <c r="N223" s="2"/>
      <c r="O223" s="2"/>
    </row>
    <row r="224" spans="5:15">
      <c r="E224" s="2" t="str">
        <v>tengah</v>
      </c>
      <c r="F224" s="2"/>
      <c r="G224" s="2"/>
      <c r="I224" s="2" t="str">
        <v>tengah</v>
      </c>
      <c r="J224" s="2"/>
      <c r="K224" s="2"/>
      <c r="M224" s="2" t="str">
        <v>tengah</v>
      </c>
      <c r="N224" s="2"/>
      <c r="O224" s="2"/>
    </row>
    <row r="225" spans="5:15">
      <c r="E225" s="2" t="str">
        <v>tengah</v>
      </c>
      <c r="F225" s="2"/>
      <c r="G225" s="2"/>
      <c r="I225" s="2" t="str">
        <v>tengah</v>
      </c>
      <c r="J225" s="2"/>
      <c r="K225" s="2"/>
      <c r="M225" s="2" t="str">
        <v>tengah</v>
      </c>
      <c r="N225" s="2"/>
      <c r="O225" s="2"/>
    </row>
    <row r="226" spans="5:15">
      <c r="E226" s="2" t="str">
        <v>tengah</v>
      </c>
      <c r="F226" s="2"/>
      <c r="G226" s="2"/>
      <c r="I226" s="2" t="str">
        <v>tengah</v>
      </c>
      <c r="J226" s="2"/>
      <c r="K226" s="2"/>
      <c r="M226" s="2" t="str">
        <v>kanan</v>
      </c>
      <c r="N226" s="2"/>
      <c r="O226" s="2"/>
    </row>
    <row r="227" spans="5:15">
      <c r="E227" s="2" t="str">
        <v>kanan</v>
      </c>
      <c r="F227" s="2"/>
      <c r="G227" s="2"/>
      <c r="I227" s="2" t="str">
        <v>kiri</v>
      </c>
      <c r="J227" s="2"/>
      <c r="K227" s="2"/>
      <c r="M227" s="2" t="str">
        <v>tengah</v>
      </c>
      <c r="N227" s="2"/>
      <c r="O227" s="2"/>
    </row>
    <row r="228" spans="5:15">
      <c r="E228" s="2" t="str">
        <v>tengah</v>
      </c>
      <c r="F228" s="2"/>
      <c r="G228" s="2"/>
      <c r="I228" s="2" t="str">
        <v>tengah</v>
      </c>
      <c r="J228" s="2"/>
      <c r="K228" s="2"/>
      <c r="M228" s="2" t="str">
        <v>tengah</v>
      </c>
      <c r="N228" s="2"/>
      <c r="O228" s="2"/>
    </row>
    <row r="229" spans="5:15">
      <c r="E229" s="2" t="str">
        <v>tengah</v>
      </c>
      <c r="F229" s="2"/>
      <c r="G229" s="2"/>
      <c r="I229" s="2" t="str">
        <v>tengah</v>
      </c>
      <c r="J229" s="2"/>
      <c r="K229" s="2"/>
      <c r="M229" s="2" t="str">
        <v>kanan</v>
      </c>
      <c r="N229" s="2"/>
      <c r="O229" s="2"/>
    </row>
    <row r="230" spans="5:15">
      <c r="E230" s="2" t="str">
        <v>kiri</v>
      </c>
      <c r="F230" s="2"/>
      <c r="G230" s="2"/>
      <c r="I230" s="2" t="str">
        <v>kiri</v>
      </c>
      <c r="J230" s="2"/>
      <c r="K230" s="2"/>
      <c r="M230" s="2" t="str">
        <v>kanan</v>
      </c>
      <c r="N230" s="2"/>
      <c r="O230" s="2"/>
    </row>
    <row r="231" spans="5:15">
      <c r="E231" s="2" t="str">
        <v>kiri</v>
      </c>
      <c r="F231" s="2"/>
      <c r="G231" s="2"/>
      <c r="I231" s="2" t="str">
        <v>tengah</v>
      </c>
      <c r="J231" s="2"/>
      <c r="K231" s="2"/>
      <c r="M231" s="2" t="str">
        <v>kanan</v>
      </c>
      <c r="N231" s="2"/>
      <c r="O231" s="2"/>
    </row>
    <row r="232" spans="5:15">
      <c r="E232" s="2" t="str">
        <v>kiri</v>
      </c>
      <c r="F232" s="2"/>
      <c r="G232" s="2"/>
      <c r="I232" s="2" t="str">
        <v>tengah</v>
      </c>
      <c r="J232" s="2"/>
      <c r="K232" s="2"/>
      <c r="M232" s="2" t="str">
        <v>tengah</v>
      </c>
      <c r="N232" s="2"/>
      <c r="O232" s="2"/>
    </row>
    <row r="233" spans="5:15">
      <c r="E233" s="2" t="str">
        <v>kanan</v>
      </c>
      <c r="F233" s="2"/>
      <c r="G233" s="2"/>
      <c r="I233" s="2" t="str">
        <v>tengah</v>
      </c>
      <c r="J233" s="2"/>
      <c r="K233" s="2"/>
      <c r="M233" s="2" t="str">
        <v>tengah</v>
      </c>
      <c r="N233" s="2"/>
      <c r="O233" s="2"/>
    </row>
    <row r="234" spans="5:15">
      <c r="E234" s="2" t="str">
        <v>tengah</v>
      </c>
      <c r="F234" s="2"/>
      <c r="G234" s="2"/>
      <c r="I234" s="2" t="str">
        <v>tengah</v>
      </c>
      <c r="J234" s="2"/>
      <c r="K234" s="2"/>
      <c r="M234" s="2" t="str">
        <v>kanan</v>
      </c>
      <c r="N234" s="2"/>
      <c r="O234" s="2"/>
    </row>
    <row r="235" spans="5:15">
      <c r="E235" s="2" t="str">
        <v>tengah</v>
      </c>
      <c r="F235" s="2"/>
      <c r="G235" s="2"/>
      <c r="I235" s="2" t="str">
        <v>tengah</v>
      </c>
      <c r="J235" s="2"/>
      <c r="K235" s="2"/>
      <c r="M235" s="2" t="str">
        <v>kanan</v>
      </c>
      <c r="N235" s="2"/>
      <c r="O235" s="2"/>
    </row>
    <row r="236" spans="5:15">
      <c r="E236" s="2" t="str">
        <v>tengah</v>
      </c>
      <c r="F236" s="2"/>
      <c r="G236" s="2"/>
      <c r="I236" s="2" t="str">
        <v>tengah</v>
      </c>
      <c r="J236" s="2"/>
      <c r="K236" s="2"/>
      <c r="M236" s="2" t="str">
        <v>tengah</v>
      </c>
      <c r="N236" s="2"/>
      <c r="O236" s="2"/>
    </row>
    <row r="237" spans="5:15">
      <c r="E237" s="2" t="str">
        <v>kanan</v>
      </c>
      <c r="F237" s="2"/>
      <c r="G237" s="2"/>
      <c r="I237" s="2" t="str">
        <v>tengah</v>
      </c>
      <c r="J237" s="2"/>
      <c r="K237" s="2"/>
      <c r="M237" s="2" t="str">
        <v>kanan</v>
      </c>
      <c r="N237" s="2"/>
      <c r="O237" s="2"/>
    </row>
    <row r="238" spans="5:15">
      <c r="E238" s="2" t="str">
        <v>tengah</v>
      </c>
      <c r="F238" s="2"/>
      <c r="G238" s="2"/>
      <c r="I238" s="2" t="str">
        <v>kiri</v>
      </c>
      <c r="J238" s="2"/>
      <c r="K238" s="2"/>
      <c r="M238" s="2" t="str">
        <v>kanan</v>
      </c>
      <c r="N238" s="2"/>
      <c r="O238" s="2"/>
    </row>
    <row r="239" spans="5:15">
      <c r="E239" s="2" t="str">
        <v>kiri</v>
      </c>
      <c r="F239" s="2"/>
      <c r="G239" s="2"/>
      <c r="I239" s="2" t="str">
        <v>kiri</v>
      </c>
      <c r="J239" s="2"/>
      <c r="K239" s="2"/>
      <c r="M239" s="2" t="str">
        <v>tengah</v>
      </c>
      <c r="N239" s="2"/>
      <c r="O239" s="2"/>
    </row>
    <row r="240" spans="5:15">
      <c r="E240" s="2" t="str">
        <v>tengah</v>
      </c>
      <c r="F240" s="2"/>
      <c r="G240" s="2"/>
      <c r="I240" s="2" t="str">
        <v>tengah</v>
      </c>
      <c r="J240" s="2"/>
      <c r="K240" s="2"/>
      <c r="M240" s="2" t="str">
        <v>tengah</v>
      </c>
      <c r="N240" s="2"/>
      <c r="O240" s="2"/>
    </row>
    <row r="241" spans="5:15">
      <c r="E241" s="2" t="str">
        <v>tengah</v>
      </c>
      <c r="F241" s="2"/>
      <c r="G241" s="2"/>
      <c r="I241" s="2" t="str">
        <v>tengah</v>
      </c>
      <c r="J241" s="2"/>
      <c r="K241" s="2"/>
      <c r="M241" s="2" t="str">
        <v>kanan</v>
      </c>
      <c r="N241" s="2"/>
      <c r="O241" s="2"/>
    </row>
    <row r="242" spans="5:15">
      <c r="E242" s="2" t="str">
        <v>kiri</v>
      </c>
      <c r="F242" s="2"/>
      <c r="G242" s="2"/>
      <c r="I242" s="2" t="str">
        <v>tengah</v>
      </c>
      <c r="J242" s="2"/>
      <c r="K242" s="2"/>
      <c r="M242" s="2" t="str">
        <v>kanan</v>
      </c>
      <c r="N242" s="2"/>
      <c r="O242" s="2"/>
    </row>
    <row r="243" spans="5:15">
      <c r="E243" s="2" t="str">
        <v>kiri</v>
      </c>
      <c r="F243" s="2"/>
      <c r="G243" s="2"/>
      <c r="I243" s="2" t="str">
        <v>kiri</v>
      </c>
      <c r="J243" s="2"/>
      <c r="K243" s="2"/>
      <c r="M243" s="2" t="str">
        <v>kanan</v>
      </c>
      <c r="N243" s="2"/>
      <c r="O243" s="2"/>
    </row>
    <row r="244" spans="5:15">
      <c r="E244" s="2" t="str">
        <v>tengah</v>
      </c>
      <c r="F244" s="2"/>
      <c r="G244" s="2"/>
      <c r="I244" s="2" t="str">
        <v>kanan</v>
      </c>
      <c r="J244" s="2"/>
      <c r="K244" s="2"/>
      <c r="M244" s="2" t="str">
        <v>tengah</v>
      </c>
      <c r="N244" s="2"/>
      <c r="O244" s="2"/>
    </row>
    <row r="245" spans="5:15">
      <c r="E245" s="2" t="str">
        <v>tengah</v>
      </c>
      <c r="F245" s="2"/>
      <c r="G245" s="2"/>
      <c r="I245" s="2" t="str">
        <v>tengah</v>
      </c>
      <c r="J245" s="2"/>
      <c r="K245" s="2"/>
      <c r="M245" s="2" t="str">
        <v>tengah</v>
      </c>
      <c r="N245" s="2"/>
      <c r="O245" s="2"/>
    </row>
    <row r="246" spans="5:15">
      <c r="E246" s="2" t="str">
        <v>tengah</v>
      </c>
      <c r="F246" s="2"/>
      <c r="G246" s="2"/>
      <c r="I246" s="2" t="str">
        <v>tengah</v>
      </c>
      <c r="J246" s="2"/>
      <c r="K246" s="2"/>
      <c r="M246" s="2" t="str">
        <v>tengah</v>
      </c>
      <c r="N246" s="2"/>
      <c r="O246" s="2"/>
    </row>
    <row r="247" spans="5:15">
      <c r="E247" s="2" t="str">
        <v>tengah</v>
      </c>
      <c r="F247" s="2"/>
      <c r="G247" s="2"/>
      <c r="I247" s="2" t="str">
        <v>kiri</v>
      </c>
      <c r="J247" s="2"/>
      <c r="K247" s="2"/>
      <c r="M247" s="2" t="str">
        <v>kanan</v>
      </c>
      <c r="N247" s="2"/>
      <c r="O247" s="2"/>
    </row>
    <row r="248" spans="5:15">
      <c r="E248" s="2" t="str">
        <v>tengah</v>
      </c>
      <c r="F248" s="2"/>
      <c r="G248" s="2"/>
      <c r="I248" s="2" t="str">
        <v>kiri</v>
      </c>
      <c r="J248" s="2"/>
      <c r="K248" s="2"/>
      <c r="M248" s="2" t="str">
        <v>tengah</v>
      </c>
      <c r="N248" s="2"/>
      <c r="O248" s="2"/>
    </row>
    <row r="249" spans="5:15">
      <c r="E249" s="2" t="str">
        <v>tengah</v>
      </c>
      <c r="F249" s="2"/>
      <c r="G249" s="2"/>
      <c r="I249" s="2" t="str">
        <v>tengah</v>
      </c>
      <c r="J249" s="2"/>
      <c r="K249" s="2"/>
      <c r="M249" s="2" t="str">
        <v>tengah</v>
      </c>
      <c r="N249" s="2"/>
      <c r="O249" s="2"/>
    </row>
    <row r="250" spans="5:15">
      <c r="E250" s="2" t="str">
        <v>kiri</v>
      </c>
      <c r="F250" s="2"/>
      <c r="G250" s="2"/>
      <c r="I250" s="2" t="str">
        <v>tengah</v>
      </c>
      <c r="J250" s="2"/>
      <c r="K250" s="2"/>
      <c r="M250" s="2" t="str">
        <v>tengah</v>
      </c>
      <c r="N250" s="2"/>
      <c r="O250" s="2"/>
    </row>
    <row r="251" spans="5:15">
      <c r="E251" s="2" t="str">
        <v>tengah</v>
      </c>
      <c r="F251" s="2"/>
      <c r="G251" s="2"/>
      <c r="I251" s="2" t="str">
        <v>tengah</v>
      </c>
      <c r="J251" s="2"/>
      <c r="K251" s="2"/>
      <c r="M251" s="2" t="str">
        <v>kanan</v>
      </c>
      <c r="N251" s="2"/>
      <c r="O251" s="2"/>
    </row>
    <row r="252" spans="5:15">
      <c r="E252" s="2" t="str">
        <v>tengah</v>
      </c>
      <c r="F252" s="2"/>
      <c r="G252" s="2"/>
      <c r="I252" s="2" t="str">
        <v>kiri</v>
      </c>
      <c r="J252" s="2"/>
      <c r="K252" s="2"/>
      <c r="M252" s="2" t="str">
        <v>kanan</v>
      </c>
      <c r="N252" s="2"/>
      <c r="O252" s="2"/>
    </row>
    <row r="253" spans="5:15">
      <c r="E253" s="2" t="str">
        <v>tengah</v>
      </c>
      <c r="F253" s="2"/>
      <c r="G253" s="2"/>
      <c r="I253" s="2" t="str">
        <v>kanan</v>
      </c>
      <c r="J253" s="2"/>
      <c r="K253" s="2"/>
      <c r="M253" s="2" t="str">
        <v>kanan</v>
      </c>
      <c r="N253" s="2"/>
      <c r="O253" s="2"/>
    </row>
    <row r="254" spans="5:15">
      <c r="E254" s="2" t="str">
        <v>kiri</v>
      </c>
      <c r="F254" s="2"/>
      <c r="G254" s="2"/>
      <c r="I254" s="2" t="str">
        <v>kanan</v>
      </c>
      <c r="J254" s="2"/>
      <c r="K254" s="2"/>
      <c r="M254" s="2" t="str">
        <v>tengah</v>
      </c>
      <c r="N254" s="2"/>
      <c r="O254" s="2"/>
    </row>
    <row r="255" spans="5:15">
      <c r="E255" s="2" t="str">
        <v>kanan</v>
      </c>
      <c r="F255" s="2"/>
      <c r="G255" s="2"/>
      <c r="I255" s="2" t="str">
        <v>tengah</v>
      </c>
      <c r="J255" s="2"/>
      <c r="K255" s="2"/>
      <c r="M255" s="2" t="str">
        <v>kanan</v>
      </c>
      <c r="N255" s="2"/>
      <c r="O255" s="2"/>
    </row>
    <row r="256" spans="5:15">
      <c r="E256" s="2" t="str">
        <v>tengah</v>
      </c>
      <c r="F256" s="2"/>
      <c r="G256" s="2"/>
      <c r="I256" s="2" t="str">
        <v>kanan</v>
      </c>
      <c r="J256" s="2"/>
      <c r="K256" s="2"/>
      <c r="M256" s="2" t="str">
        <v>kanan</v>
      </c>
      <c r="N256" s="2"/>
      <c r="O256" s="2"/>
    </row>
    <row r="257" spans="5:15">
      <c r="E257" s="2" t="str">
        <v>kiri</v>
      </c>
      <c r="F257" s="2"/>
      <c r="G257" s="2"/>
      <c r="I257" s="2" t="str">
        <v>kiri</v>
      </c>
      <c r="J257" s="2"/>
      <c r="K257" s="2"/>
      <c r="M257" s="2" t="str">
        <v>kanan</v>
      </c>
      <c r="N257" s="2"/>
      <c r="O257" s="2"/>
    </row>
    <row r="258" spans="5:15">
      <c r="E258" s="2" t="str">
        <v>tengah</v>
      </c>
      <c r="F258" s="2"/>
      <c r="G258" s="2"/>
      <c r="I258" s="2" t="str">
        <v>tengah</v>
      </c>
      <c r="J258" s="2"/>
      <c r="K258" s="2"/>
      <c r="M258" s="2" t="str">
        <v>kanan</v>
      </c>
      <c r="N258" s="2"/>
      <c r="O258" s="2"/>
    </row>
    <row r="259" spans="5:15">
      <c r="E259" s="2" t="str">
        <v>tengah</v>
      </c>
      <c r="F259" s="2"/>
      <c r="G259" s="2"/>
      <c r="I259" s="2" t="str">
        <v>kanan</v>
      </c>
      <c r="J259" s="2"/>
      <c r="K259" s="2"/>
      <c r="M259" s="2" t="str">
        <v>tengah</v>
      </c>
      <c r="N259" s="2"/>
      <c r="O259" s="2"/>
    </row>
    <row r="260" spans="5:15">
      <c r="E260" s="2" t="str">
        <v>tengah</v>
      </c>
      <c r="F260" s="2"/>
      <c r="G260" s="2"/>
      <c r="I260" s="2" t="str">
        <v>tengah</v>
      </c>
      <c r="J260" s="2"/>
      <c r="K260" s="2"/>
      <c r="M260" s="2" t="str">
        <v>kanan</v>
      </c>
      <c r="N260" s="2"/>
      <c r="O260" s="2"/>
    </row>
    <row r="261" spans="5:15">
      <c r="E261" s="2" t="str">
        <v>kiri</v>
      </c>
      <c r="F261" s="2"/>
      <c r="G261" s="2"/>
      <c r="I261" s="2" t="str">
        <v>kanan</v>
      </c>
      <c r="J261" s="2"/>
      <c r="K261" s="2"/>
      <c r="M261" s="2" t="str">
        <v>kanan</v>
      </c>
      <c r="N261" s="2"/>
      <c r="O261" s="2"/>
    </row>
    <row r="262" spans="5:15">
      <c r="E262" s="2" t="str">
        <v>kiri</v>
      </c>
      <c r="F262" s="2"/>
      <c r="G262" s="2"/>
      <c r="I262" s="2" t="str">
        <v>tengah</v>
      </c>
      <c r="J262" s="2"/>
      <c r="K262" s="2"/>
      <c r="M262" s="2" t="str">
        <v>tengah</v>
      </c>
      <c r="N262" s="2"/>
      <c r="O262" s="2"/>
    </row>
    <row r="263" spans="5:15">
      <c r="E263" s="2" t="str">
        <v>kanan</v>
      </c>
      <c r="F263" s="2"/>
      <c r="G263" s="2"/>
      <c r="I263" s="2" t="str">
        <v>tengah</v>
      </c>
      <c r="J263" s="2"/>
      <c r="K263" s="2"/>
      <c r="M263" s="2" t="str">
        <v>tengah</v>
      </c>
      <c r="N263" s="2"/>
      <c r="O263" s="2"/>
    </row>
    <row r="264" spans="5:15">
      <c r="E264" s="2" t="str">
        <v>kanan</v>
      </c>
      <c r="F264" s="2"/>
      <c r="G264" s="2"/>
      <c r="I264" s="2" t="str">
        <v>kanan</v>
      </c>
      <c r="J264" s="2"/>
      <c r="K264" s="2"/>
      <c r="M264" s="2" t="str">
        <v>tengah</v>
      </c>
      <c r="N264" s="2"/>
      <c r="O264" s="2"/>
    </row>
    <row r="265" spans="5:15">
      <c r="E265" s="2" t="str">
        <v>kiri</v>
      </c>
      <c r="F265" s="2"/>
      <c r="G265" s="2"/>
      <c r="I265" s="2" t="str">
        <v>kiri</v>
      </c>
      <c r="J265" s="2"/>
      <c r="K265" s="2"/>
      <c r="M265" s="2" t="str">
        <v>tengah</v>
      </c>
      <c r="N265" s="2"/>
      <c r="O265" s="2"/>
    </row>
    <row r="266" spans="5:15">
      <c r="E266" s="2" t="str">
        <v>kanan</v>
      </c>
      <c r="F266" s="2"/>
      <c r="G266" s="2"/>
      <c r="I266" s="2" t="str">
        <v>kiri</v>
      </c>
      <c r="J266" s="2"/>
      <c r="K266" s="2"/>
      <c r="M266" s="2" t="str">
        <v>kanan</v>
      </c>
      <c r="N266" s="2"/>
      <c r="O266" s="2"/>
    </row>
    <row r="267" spans="5:15">
      <c r="E267" s="2" t="str">
        <v>kiri</v>
      </c>
      <c r="F267" s="2"/>
      <c r="G267" s="2"/>
      <c r="I267" s="2" t="str">
        <v>kiri</v>
      </c>
      <c r="J267" s="2"/>
      <c r="K267" s="2"/>
      <c r="M267" s="2" t="str">
        <v>kanan</v>
      </c>
      <c r="N267" s="2"/>
      <c r="O267" s="2"/>
    </row>
    <row r="268" spans="5:15">
      <c r="E268" s="2" t="str">
        <v>tengah</v>
      </c>
      <c r="F268" s="2"/>
      <c r="G268" s="2"/>
      <c r="I268" s="2" t="str">
        <v>tengah</v>
      </c>
      <c r="J268" s="2"/>
      <c r="K268" s="2"/>
      <c r="M268" s="2" t="str">
        <v>tengah</v>
      </c>
      <c r="N268" s="2"/>
      <c r="O268" s="2"/>
    </row>
    <row r="269" spans="5:15">
      <c r="E269" s="2" t="str">
        <v>kiri</v>
      </c>
      <c r="F269" s="2"/>
      <c r="G269" s="2"/>
      <c r="I269" s="2" t="str">
        <v>kanan</v>
      </c>
      <c r="J269" s="2"/>
      <c r="K269" s="2"/>
      <c r="M269" s="2" t="str">
        <v>kanan</v>
      </c>
      <c r="N269" s="2"/>
      <c r="O269" s="2"/>
    </row>
    <row r="270" spans="5:15">
      <c r="E270" s="2" t="str">
        <v>tengah</v>
      </c>
      <c r="F270" s="2"/>
      <c r="G270" s="2"/>
      <c r="I270" s="2" t="str">
        <v>kanan</v>
      </c>
      <c r="J270" s="2"/>
      <c r="K270" s="2"/>
      <c r="M270" s="2" t="str">
        <v>tengah</v>
      </c>
      <c r="N270" s="2"/>
      <c r="O270" s="2"/>
    </row>
    <row r="271" spans="5:15">
      <c r="E271" s="2" t="str">
        <v>kiri</v>
      </c>
      <c r="F271" s="2"/>
      <c r="G271" s="2"/>
      <c r="I271" s="2" t="str">
        <v>kiri</v>
      </c>
      <c r="J271" s="2"/>
      <c r="K271" s="2"/>
      <c r="M271" s="2" t="str">
        <v>kanan</v>
      </c>
      <c r="N271" s="2"/>
      <c r="O271" s="2"/>
    </row>
    <row r="272" spans="5:15">
      <c r="E272" s="2" t="str">
        <v>kanan</v>
      </c>
      <c r="F272" s="2"/>
      <c r="G272" s="2"/>
      <c r="I272" s="2" t="str">
        <v>tengah</v>
      </c>
      <c r="J272" s="2"/>
      <c r="K272" s="2"/>
      <c r="M272" s="2" t="str">
        <v>kanan</v>
      </c>
      <c r="N272" s="2"/>
      <c r="O272" s="2"/>
    </row>
    <row r="273" spans="5:15">
      <c r="E273" s="2" t="str">
        <v>kanan</v>
      </c>
      <c r="F273" s="2"/>
      <c r="G273" s="2"/>
      <c r="I273" s="2" t="str">
        <v>tengah</v>
      </c>
      <c r="J273" s="2"/>
      <c r="K273" s="2"/>
      <c r="M273" s="2" t="str">
        <v>kanan</v>
      </c>
      <c r="N273" s="2"/>
      <c r="O273" s="2"/>
    </row>
    <row r="274" spans="5:15">
      <c r="E274" s="2" t="str">
        <v>tengah</v>
      </c>
      <c r="F274" s="2"/>
      <c r="G274" s="2"/>
      <c r="I274" s="2" t="str">
        <v>kiri</v>
      </c>
      <c r="J274" s="2"/>
      <c r="K274" s="2"/>
      <c r="M274" s="2" t="str">
        <v>tengah</v>
      </c>
      <c r="N274" s="2"/>
      <c r="O274" s="2"/>
    </row>
    <row r="275" spans="5:15">
      <c r="E275" s="2" t="str">
        <v>tengah</v>
      </c>
      <c r="F275" s="2"/>
      <c r="G275" s="2"/>
      <c r="I275" s="2" t="str">
        <v>kanan</v>
      </c>
      <c r="J275" s="2"/>
      <c r="K275" s="2"/>
      <c r="M275" s="2" t="str">
        <v>tengah</v>
      </c>
      <c r="N275" s="2"/>
      <c r="O275" s="2"/>
    </row>
    <row r="276" spans="5:15">
      <c r="E276" s="2" t="str">
        <v>kanan</v>
      </c>
      <c r="F276" s="2"/>
      <c r="G276" s="2"/>
      <c r="I276" s="2" t="str">
        <v>kanan</v>
      </c>
      <c r="J276" s="2"/>
      <c r="K276" s="2"/>
      <c r="M276" s="2" t="str">
        <v>kanan</v>
      </c>
      <c r="N276" s="2"/>
      <c r="O276" s="2"/>
    </row>
    <row r="277" spans="5:15">
      <c r="E277" s="2" t="str">
        <v>kanan</v>
      </c>
      <c r="F277" s="2"/>
      <c r="G277" s="2"/>
      <c r="I277" s="2" t="str">
        <v>kiri</v>
      </c>
      <c r="J277" s="2"/>
      <c r="K277" s="2"/>
      <c r="M277" s="2" t="str">
        <v>kanan</v>
      </c>
      <c r="N277" s="2"/>
      <c r="O277" s="2"/>
    </row>
    <row r="278" spans="5:15">
      <c r="E278" s="2" t="str">
        <v>tengah</v>
      </c>
      <c r="F278" s="2"/>
      <c r="G278" s="2"/>
      <c r="I278" s="2" t="str">
        <v>tengah</v>
      </c>
      <c r="J278" s="2"/>
      <c r="K278" s="2"/>
      <c r="M278" s="2" t="str">
        <v>kanan</v>
      </c>
      <c r="N278" s="2"/>
      <c r="O278" s="2"/>
    </row>
    <row r="279" spans="5:15">
      <c r="E279" s="2" t="str">
        <v>tengah</v>
      </c>
      <c r="F279" s="2"/>
      <c r="G279" s="2"/>
      <c r="I279" s="2" t="str">
        <v>tengah</v>
      </c>
      <c r="J279" s="2"/>
      <c r="K279" s="2"/>
      <c r="M279" s="2" t="str">
        <v>tengah</v>
      </c>
      <c r="N279" s="2"/>
      <c r="O279" s="2"/>
    </row>
    <row r="280" spans="5:15">
      <c r="E280" s="2" t="str">
        <v>tengah</v>
      </c>
      <c r="F280" s="2"/>
      <c r="G280" s="2"/>
      <c r="I280" s="2" t="str">
        <v>kiri</v>
      </c>
      <c r="J280" s="2"/>
      <c r="K280" s="2"/>
      <c r="M280" s="2" t="str">
        <v>tengah</v>
      </c>
      <c r="N280" s="2"/>
      <c r="O280" s="2"/>
    </row>
    <row r="281" spans="5:15">
      <c r="E281" s="2" t="str">
        <v>kanan</v>
      </c>
      <c r="F281" s="2"/>
      <c r="G281" s="2"/>
      <c r="I281" s="2" t="str">
        <v>tengah</v>
      </c>
      <c r="J281" s="2"/>
      <c r="K281" s="2"/>
      <c r="M281" s="2" t="str">
        <v>tengah</v>
      </c>
      <c r="N281" s="2"/>
      <c r="O281" s="2"/>
    </row>
    <row r="282" spans="5:15">
      <c r="E282" s="2" t="str">
        <v>kiri</v>
      </c>
      <c r="F282" s="2"/>
      <c r="G282" s="2"/>
      <c r="I282" s="2" t="str">
        <v>tengah</v>
      </c>
      <c r="J282" s="2"/>
      <c r="K282" s="2"/>
      <c r="M282" s="2" t="str">
        <v>tengah</v>
      </c>
      <c r="N282" s="2"/>
      <c r="O282" s="2"/>
    </row>
    <row r="283" spans="5:15">
      <c r="E283" s="2" t="str">
        <v>kiri</v>
      </c>
      <c r="F283" s="2"/>
      <c r="G283" s="2"/>
      <c r="I283" s="2" t="str">
        <v>tengah</v>
      </c>
      <c r="J283" s="2"/>
      <c r="K283" s="2"/>
      <c r="M283" s="2" t="str">
        <v>kanan</v>
      </c>
      <c r="N283" s="2"/>
      <c r="O283" s="2"/>
    </row>
    <row r="284" spans="5:15">
      <c r="E284" s="2" t="str">
        <v>kiri</v>
      </c>
      <c r="F284" s="2"/>
      <c r="G284" s="2"/>
      <c r="I284" s="2" t="str">
        <v>kiri</v>
      </c>
      <c r="J284" s="2"/>
      <c r="K284" s="2"/>
      <c r="M284" s="2" t="str">
        <v>kanan</v>
      </c>
      <c r="N284" s="2"/>
      <c r="O284" s="2"/>
    </row>
    <row r="285" spans="5:15">
      <c r="E285" s="2" t="str">
        <v>tengah</v>
      </c>
      <c r="F285" s="2"/>
      <c r="G285" s="2"/>
      <c r="I285" s="2" t="str">
        <v>tengah</v>
      </c>
      <c r="J285" s="2"/>
      <c r="K285" s="2"/>
      <c r="M285" s="2" t="str">
        <v>kanan</v>
      </c>
      <c r="N285" s="2"/>
      <c r="O285" s="2"/>
    </row>
    <row r="286" spans="5:15">
      <c r="E286" s="2" t="str">
        <v>kiri</v>
      </c>
      <c r="F286" s="2"/>
      <c r="G286" s="2"/>
      <c r="I286" s="2" t="str">
        <v>kiri</v>
      </c>
      <c r="J286" s="2"/>
      <c r="K286" s="2"/>
      <c r="M286" s="2" t="str">
        <v>kanan</v>
      </c>
      <c r="N286" s="2"/>
      <c r="O286" s="2"/>
    </row>
    <row r="287" spans="5:15">
      <c r="E287" s="2" t="str">
        <v>kiri</v>
      </c>
      <c r="F287" s="2"/>
      <c r="G287" s="2"/>
      <c r="I287" s="2" t="str">
        <v>kanan</v>
      </c>
      <c r="J287" s="2"/>
      <c r="K287" s="2"/>
      <c r="M287" s="2" t="str">
        <v>kanan</v>
      </c>
      <c r="N287" s="2"/>
      <c r="O287" s="2"/>
    </row>
    <row r="288" spans="5:15">
      <c r="E288" s="2" t="str">
        <v>tengah</v>
      </c>
      <c r="F288" s="2"/>
      <c r="G288" s="2"/>
      <c r="I288" s="2" t="str">
        <v>kiri</v>
      </c>
      <c r="J288" s="2"/>
      <c r="K288" s="2"/>
      <c r="M288" s="2" t="str">
        <v>tengah</v>
      </c>
      <c r="N288" s="2"/>
      <c r="O288" s="2"/>
    </row>
    <row r="289" spans="5:15">
      <c r="E289" s="2" t="str">
        <v>tengah</v>
      </c>
      <c r="F289" s="2"/>
      <c r="G289" s="2"/>
      <c r="I289" s="2" t="str">
        <v>tengah</v>
      </c>
      <c r="J289" s="2"/>
      <c r="K289" s="2"/>
      <c r="M289" s="2" t="str">
        <v>tengah</v>
      </c>
      <c r="N289" s="2"/>
      <c r="O289" s="2"/>
    </row>
    <row r="290" spans="5:15">
      <c r="E290" s="2" t="str">
        <v>kanan</v>
      </c>
      <c r="F290" s="2"/>
      <c r="G290" s="2"/>
      <c r="I290" s="2" t="str">
        <v>tengah</v>
      </c>
      <c r="J290" s="2"/>
      <c r="K290" s="2"/>
      <c r="M290" s="2" t="str">
        <v>kanan</v>
      </c>
      <c r="N290" s="2"/>
      <c r="O290" s="2"/>
    </row>
    <row r="291" spans="5:15">
      <c r="E291" s="2" t="str">
        <v>kiri</v>
      </c>
      <c r="F291" s="2"/>
      <c r="G291" s="2"/>
      <c r="I291" s="2" t="str">
        <v>tengah</v>
      </c>
      <c r="J291" s="2"/>
      <c r="K291" s="2"/>
      <c r="M291" s="2" t="str">
        <v>tengah</v>
      </c>
      <c r="N291" s="2"/>
      <c r="O291" s="2"/>
    </row>
    <row r="292" spans="5:15">
      <c r="E292" s="2" t="str">
        <v>kiri</v>
      </c>
      <c r="F292" s="2"/>
      <c r="G292" s="2"/>
      <c r="I292" s="2" t="str">
        <v>tengah</v>
      </c>
      <c r="J292" s="2"/>
      <c r="K292" s="2"/>
      <c r="M292" s="2" t="str">
        <v>tengah</v>
      </c>
      <c r="N292" s="2"/>
      <c r="O292" s="2"/>
    </row>
    <row r="293" spans="5:15">
      <c r="E293" s="2" t="str">
        <v>tengah</v>
      </c>
      <c r="F293" s="2"/>
      <c r="G293" s="2"/>
      <c r="I293" s="2" t="str">
        <v>tengah</v>
      </c>
      <c r="J293" s="2"/>
      <c r="K293" s="2"/>
      <c r="M293" s="2" t="str">
        <v>kanan</v>
      </c>
      <c r="N293" s="2"/>
      <c r="O293" s="2"/>
    </row>
    <row r="294" spans="5:15">
      <c r="E294" s="2" t="str">
        <v>tengah</v>
      </c>
      <c r="F294" s="2"/>
      <c r="G294" s="2"/>
      <c r="I294" s="2" t="str">
        <v>tengah</v>
      </c>
      <c r="J294" s="2"/>
      <c r="K294" s="2"/>
      <c r="M294" s="2" t="str">
        <v>kanan</v>
      </c>
      <c r="N294" s="2"/>
      <c r="O294" s="2"/>
    </row>
    <row r="295" spans="5:15">
      <c r="E295" s="2" t="str">
        <v>tengah</v>
      </c>
      <c r="F295" s="2"/>
      <c r="G295" s="2"/>
      <c r="I295" s="2" t="str">
        <v>kanan</v>
      </c>
      <c r="J295" s="2"/>
      <c r="K295" s="2"/>
      <c r="M295" s="2" t="str">
        <v>tengah</v>
      </c>
      <c r="N295" s="2"/>
      <c r="O295" s="2"/>
    </row>
    <row r="296" spans="5:15">
      <c r="E296" s="2" t="str">
        <v>kanan</v>
      </c>
      <c r="F296" s="2"/>
      <c r="G296" s="2"/>
      <c r="I296" s="2" t="str">
        <v>tengah</v>
      </c>
      <c r="J296" s="2"/>
      <c r="K296" s="2"/>
      <c r="M296" s="2" t="str">
        <v>tengah</v>
      </c>
      <c r="N296" s="2"/>
      <c r="O296" s="2"/>
    </row>
    <row r="297" spans="5:15">
      <c r="E297" s="2" t="str">
        <v>tengah</v>
      </c>
      <c r="F297" s="2"/>
      <c r="G297" s="2"/>
      <c r="I297" s="2" t="str">
        <v>kanan</v>
      </c>
      <c r="J297" s="2"/>
      <c r="K297" s="2"/>
      <c r="M297" s="2" t="str">
        <v>kanan</v>
      </c>
      <c r="N297" s="2"/>
      <c r="O297" s="2"/>
    </row>
    <row r="298" spans="5:15">
      <c r="E298" s="2" t="str">
        <v>tengah</v>
      </c>
      <c r="F298" s="2"/>
      <c r="G298" s="2"/>
      <c r="I298" s="2" t="str">
        <v>tengah</v>
      </c>
      <c r="J298" s="2"/>
      <c r="K298" s="2"/>
      <c r="M298" s="2" t="str">
        <v>kanan</v>
      </c>
      <c r="N298" s="2"/>
      <c r="O298" s="2"/>
    </row>
    <row r="299" spans="5:15">
      <c r="E299" s="2" t="str">
        <v>tengah</v>
      </c>
      <c r="F299" s="2"/>
      <c r="G299" s="2"/>
      <c r="I299" s="2" t="str">
        <v>kanan</v>
      </c>
      <c r="J299" s="2"/>
      <c r="K299" s="2"/>
      <c r="M299" s="2" t="str">
        <v>tengah</v>
      </c>
      <c r="N299" s="2"/>
      <c r="O299" s="2"/>
    </row>
    <row r="300" spans="5:15">
      <c r="E300" s="2" t="str">
        <v>tengah</v>
      </c>
      <c r="F300" s="2"/>
      <c r="G300" s="2"/>
      <c r="I300" s="2" t="str">
        <v>tengah</v>
      </c>
      <c r="J300" s="2"/>
      <c r="K300" s="2"/>
      <c r="M300" s="2" t="str">
        <v>kanan</v>
      </c>
      <c r="N300" s="2"/>
      <c r="O300" s="2"/>
    </row>
    <row r="301" spans="5:15">
      <c r="E301" s="2" t="str">
        <v>tengah</v>
      </c>
      <c r="F301" s="2"/>
      <c r="G301" s="2"/>
      <c r="I301" s="2" t="str">
        <v>kiri</v>
      </c>
      <c r="J301" s="2"/>
      <c r="K301" s="2"/>
      <c r="M301" s="2" t="str">
        <v>tengah</v>
      </c>
      <c r="N301" s="2"/>
      <c r="O301" s="2"/>
    </row>
    <row r="302" spans="5:15">
      <c r="E302" s="2" t="str">
        <v>tengah</v>
      </c>
      <c r="F302" s="2"/>
      <c r="G302" s="2"/>
      <c r="I302" s="2" t="str">
        <v>tengah</v>
      </c>
      <c r="J302" s="2"/>
      <c r="K302" s="2"/>
      <c r="M302" s="2" t="str">
        <v>tengah</v>
      </c>
      <c r="N302" s="2"/>
      <c r="O302" s="2"/>
    </row>
    <row r="303" spans="5:15">
      <c r="E303" s="2" t="str">
        <v>kiri</v>
      </c>
      <c r="F303" s="2"/>
      <c r="G303" s="2"/>
      <c r="I303" s="2" t="str">
        <v>kiri</v>
      </c>
      <c r="J303" s="2"/>
      <c r="K303" s="2"/>
      <c r="M303" s="2" t="str">
        <v>kanan</v>
      </c>
      <c r="N303" s="2"/>
      <c r="O303" s="2"/>
    </row>
    <row r="304" spans="5:15">
      <c r="E304" s="2" t="str">
        <v>tengah</v>
      </c>
      <c r="F304" s="2"/>
      <c r="G304" s="2"/>
      <c r="I304" s="2" t="str">
        <v>tengah</v>
      </c>
      <c r="J304" s="2"/>
      <c r="K304" s="2"/>
      <c r="M304" s="2" t="str">
        <v>kanan</v>
      </c>
      <c r="N304" s="2"/>
      <c r="O304" s="2"/>
    </row>
    <row r="305" spans="5:15">
      <c r="E305" s="2" t="str">
        <v>tengah</v>
      </c>
      <c r="F305" s="2"/>
      <c r="G305" s="2"/>
      <c r="I305" s="2" t="str">
        <v>kanan</v>
      </c>
      <c r="J305" s="2"/>
      <c r="K305" s="2"/>
      <c r="M305" s="2" t="str">
        <v>tengah</v>
      </c>
      <c r="N305" s="2"/>
      <c r="O305" s="2"/>
    </row>
    <row r="306" spans="5:15">
      <c r="E306" s="2" t="str">
        <v>tengah</v>
      </c>
      <c r="F306" s="2"/>
      <c r="G306" s="2"/>
      <c r="I306" s="2" t="str">
        <v>kanan</v>
      </c>
      <c r="J306" s="2"/>
      <c r="K306" s="2"/>
      <c r="M306" s="2" t="str">
        <v>kanan</v>
      </c>
      <c r="N306" s="2"/>
      <c r="O306" s="2"/>
    </row>
    <row r="307" spans="5:15">
      <c r="E307" s="2" t="str">
        <v>kanan</v>
      </c>
      <c r="F307" s="2"/>
      <c r="G307" s="2"/>
      <c r="I307" s="2" t="str">
        <v>tengah</v>
      </c>
      <c r="J307" s="2"/>
      <c r="K307" s="2"/>
      <c r="M307" s="2" t="str">
        <v>kanan</v>
      </c>
      <c r="N307" s="2"/>
      <c r="O307" s="2"/>
    </row>
    <row r="308" spans="5:15">
      <c r="E308" s="2" t="str">
        <v>tengah</v>
      </c>
      <c r="F308" s="2"/>
      <c r="G308" s="2"/>
      <c r="I308" s="2" t="str">
        <v>tengah</v>
      </c>
      <c r="J308" s="2"/>
      <c r="K308" s="2"/>
      <c r="M308" s="2" t="str">
        <v>kanan</v>
      </c>
      <c r="N308" s="2"/>
      <c r="O308" s="2"/>
    </row>
    <row r="309" spans="5:15">
      <c r="E309" s="2" t="str">
        <v>kanan</v>
      </c>
      <c r="F309" s="2"/>
      <c r="G309" s="2"/>
      <c r="I309" s="2" t="str">
        <v>tengah</v>
      </c>
      <c r="J309" s="2"/>
      <c r="K309" s="2"/>
      <c r="M309" s="2" t="str">
        <v>kanan</v>
      </c>
      <c r="N309" s="2"/>
      <c r="O309" s="2"/>
    </row>
    <row r="310" spans="5:15">
      <c r="E310" s="2" t="str">
        <v>tengah</v>
      </c>
      <c r="F310" s="2"/>
      <c r="G310" s="2"/>
      <c r="I310" s="2" t="str">
        <v>tengah</v>
      </c>
      <c r="J310" s="2"/>
      <c r="K310" s="2"/>
      <c r="M310" s="2" t="str">
        <v>tengah</v>
      </c>
      <c r="N310" s="2"/>
      <c r="O310" s="2"/>
    </row>
    <row r="311" spans="5:15">
      <c r="E311" s="2" t="str">
        <v>tengah</v>
      </c>
      <c r="F311" s="2"/>
      <c r="G311" s="2"/>
      <c r="I311" s="2" t="str">
        <v>tengah</v>
      </c>
      <c r="J311" s="2"/>
      <c r="K311" s="2"/>
      <c r="M311" s="2" t="str">
        <v>tengah</v>
      </c>
      <c r="N311" s="2"/>
      <c r="O311" s="2"/>
    </row>
    <row r="312" spans="5:15">
      <c r="E312" s="2" t="str">
        <v>kanan</v>
      </c>
      <c r="F312" s="2"/>
      <c r="G312" s="2"/>
      <c r="I312" s="2" t="str">
        <v>kiri</v>
      </c>
      <c r="J312" s="2"/>
      <c r="K312" s="2"/>
      <c r="M312" s="2" t="str">
        <v>tengah</v>
      </c>
      <c r="N312" s="2"/>
      <c r="O312" s="2"/>
    </row>
    <row r="313" spans="5:15">
      <c r="E313" s="2" t="str">
        <v>kanan</v>
      </c>
      <c r="F313" s="2"/>
      <c r="G313" s="2"/>
      <c r="I313" s="2" t="str">
        <v>tengah</v>
      </c>
      <c r="J313" s="2"/>
      <c r="K313" s="2"/>
      <c r="M313" s="2" t="str">
        <v>kanan</v>
      </c>
      <c r="N313" s="2"/>
      <c r="O313" s="2"/>
    </row>
    <row r="314" spans="5:15">
      <c r="E314" s="2" t="str">
        <v>tengah</v>
      </c>
      <c r="F314" s="2"/>
      <c r="G314" s="2"/>
      <c r="I314" s="2" t="str">
        <v>tengah</v>
      </c>
      <c r="J314" s="2"/>
      <c r="K314" s="2"/>
      <c r="M314" s="2" t="str">
        <v>kanan</v>
      </c>
      <c r="N314" s="2"/>
      <c r="O314" s="2"/>
    </row>
    <row r="315" spans="5:15">
      <c r="E315" s="2" t="str">
        <v>tengah</v>
      </c>
      <c r="F315" s="2"/>
      <c r="G315" s="2"/>
      <c r="I315" s="2" t="str">
        <v>kiri</v>
      </c>
      <c r="J315" s="2"/>
      <c r="K315" s="2"/>
      <c r="M315" s="2" t="str">
        <v>tengah</v>
      </c>
      <c r="N315" s="2"/>
      <c r="O315" s="2"/>
    </row>
    <row r="316" spans="5:15">
      <c r="E316" s="2" t="str">
        <v>tengah</v>
      </c>
      <c r="F316" s="2"/>
      <c r="G316" s="2"/>
      <c r="I316" s="2" t="str">
        <v>kanan</v>
      </c>
      <c r="J316" s="2"/>
      <c r="K316" s="2"/>
      <c r="M316" s="2" t="str">
        <v>tengah</v>
      </c>
      <c r="N316" s="2"/>
      <c r="O316" s="2"/>
    </row>
    <row r="317" spans="5:15">
      <c r="E317" s="2" t="str">
        <v>kanan</v>
      </c>
      <c r="F317" s="2"/>
      <c r="G317" s="2"/>
      <c r="I317" s="2" t="str">
        <v>kanan</v>
      </c>
      <c r="J317" s="2"/>
      <c r="K317" s="2"/>
      <c r="M317" s="2" t="str">
        <v>tengah</v>
      </c>
      <c r="N317" s="2"/>
      <c r="O317" s="2"/>
    </row>
    <row r="318" spans="5:15">
      <c r="E318" s="2" t="str">
        <v>kiri</v>
      </c>
      <c r="F318" s="2"/>
      <c r="G318" s="2"/>
      <c r="I318" s="2" t="str">
        <v>tengah</v>
      </c>
      <c r="J318" s="2"/>
      <c r="K318" s="2"/>
      <c r="M318" s="2" t="str">
        <v>tengah</v>
      </c>
      <c r="N318" s="2"/>
      <c r="O318" s="2"/>
    </row>
    <row r="319" spans="5:15">
      <c r="E319" s="2" t="str">
        <v>tengah</v>
      </c>
      <c r="F319" s="2"/>
      <c r="G319" s="2"/>
      <c r="I319" s="2" t="str">
        <v>tengah</v>
      </c>
      <c r="J319" s="2"/>
      <c r="K319" s="2"/>
      <c r="M319" s="2" t="str">
        <v>kanan</v>
      </c>
      <c r="N319" s="2"/>
      <c r="O319" s="2"/>
    </row>
    <row r="320" spans="5:15">
      <c r="E320" s="2" t="str">
        <v>tengah</v>
      </c>
      <c r="F320" s="2"/>
      <c r="G320" s="2"/>
      <c r="I320" s="2" t="str">
        <v>tengah</v>
      </c>
      <c r="J320" s="2"/>
      <c r="K320" s="2"/>
      <c r="M320" s="2" t="str">
        <v>kanan</v>
      </c>
      <c r="N320" s="2"/>
      <c r="O320" s="2"/>
    </row>
    <row r="321" spans="5:15">
      <c r="E321" s="2" t="str">
        <v>kanan</v>
      </c>
      <c r="F321" s="2"/>
      <c r="G321" s="2"/>
      <c r="I321" s="2" t="str">
        <v>tengah</v>
      </c>
      <c r="J321" s="2"/>
      <c r="K321" s="2"/>
      <c r="M321" s="2" t="str">
        <v>kanan</v>
      </c>
      <c r="N321" s="2"/>
      <c r="O321" s="2"/>
    </row>
    <row r="322" spans="5:15">
      <c r="E322" s="2" t="str">
        <v>tengah</v>
      </c>
      <c r="F322" s="2"/>
      <c r="G322" s="2"/>
      <c r="I322" s="2" t="str">
        <v>tengah</v>
      </c>
      <c r="J322" s="2"/>
      <c r="K322" s="2"/>
      <c r="M322" s="2" t="str">
        <v>kanan</v>
      </c>
      <c r="N322" s="2"/>
      <c r="O322" s="2"/>
    </row>
    <row r="323" spans="5:15">
      <c r="E323" s="2" t="str">
        <v>tengah</v>
      </c>
      <c r="F323" s="2"/>
      <c r="G323" s="2"/>
      <c r="I323" s="2" t="str">
        <v>tengah</v>
      </c>
      <c r="J323" s="2"/>
      <c r="K323" s="2"/>
      <c r="M323" s="2" t="str">
        <v>kanan</v>
      </c>
      <c r="N323" s="2"/>
      <c r="O323" s="2"/>
    </row>
    <row r="324" spans="5:15">
      <c r="E324" s="2" t="str">
        <v>kanan</v>
      </c>
      <c r="F324" s="2"/>
      <c r="G324" s="2"/>
      <c r="I324" s="2" t="str">
        <v>kiri</v>
      </c>
      <c r="J324" s="2"/>
      <c r="K324" s="2"/>
      <c r="M324" s="2" t="str">
        <v>tengah</v>
      </c>
      <c r="N324" s="2"/>
      <c r="O324" s="2"/>
    </row>
    <row r="325" spans="5:15">
      <c r="E325" s="2" t="str">
        <v>tengah</v>
      </c>
      <c r="F325" s="2"/>
      <c r="G325" s="2"/>
      <c r="I325" s="2" t="str">
        <v>tengah</v>
      </c>
      <c r="J325" s="2"/>
      <c r="K325" s="2"/>
      <c r="M325" s="2" t="str">
        <v>tengah</v>
      </c>
      <c r="N325" s="2"/>
      <c r="O325" s="2"/>
    </row>
    <row r="326" spans="5:15">
      <c r="E326" s="2" t="str">
        <v>tengah</v>
      </c>
      <c r="F326" s="2"/>
      <c r="G326" s="2"/>
      <c r="I326" s="2" t="str">
        <v>kiri</v>
      </c>
      <c r="J326" s="2"/>
      <c r="K326" s="2"/>
      <c r="M326" s="2" t="str">
        <v>kanan</v>
      </c>
      <c r="N326" s="2"/>
      <c r="O326" s="2"/>
    </row>
    <row r="327" spans="5:15">
      <c r="E327" s="2" t="str">
        <v>tengah</v>
      </c>
      <c r="F327" s="2"/>
      <c r="G327" s="2"/>
      <c r="I327" s="2" t="str">
        <v>tengah</v>
      </c>
      <c r="J327" s="2"/>
      <c r="K327" s="2"/>
      <c r="M327" s="2" t="str">
        <v>tengah</v>
      </c>
      <c r="N327" s="2"/>
      <c r="O327" s="2"/>
    </row>
    <row r="328" spans="5:15">
      <c r="E328" s="2" t="str">
        <v>tengah</v>
      </c>
      <c r="F328" s="2"/>
      <c r="G328" s="2"/>
      <c r="I328" s="2" t="str">
        <v>kiri</v>
      </c>
      <c r="J328" s="2"/>
      <c r="K328" s="2"/>
      <c r="M328" s="2" t="str">
        <v>kanan</v>
      </c>
      <c r="N328" s="2"/>
      <c r="O328" s="2"/>
    </row>
    <row r="329" spans="5:15">
      <c r="E329" s="2" t="str">
        <v>kiri</v>
      </c>
      <c r="F329" s="2"/>
      <c r="G329" s="2"/>
      <c r="I329" s="2" t="str">
        <v>kanan</v>
      </c>
      <c r="J329" s="2"/>
      <c r="K329" s="2"/>
      <c r="M329" s="2" t="str">
        <v>kanan</v>
      </c>
      <c r="N329" s="2"/>
      <c r="O329" s="2"/>
    </row>
    <row r="330" spans="5:15">
      <c r="E330" s="2" t="str">
        <v>tengah</v>
      </c>
      <c r="F330" s="2"/>
      <c r="G330" s="2"/>
      <c r="I330" s="2" t="str">
        <v>kanan</v>
      </c>
      <c r="J330" s="2"/>
      <c r="K330" s="2"/>
      <c r="M330" s="2" t="str">
        <v>tengah</v>
      </c>
      <c r="N330" s="2"/>
      <c r="O330" s="2"/>
    </row>
    <row r="331" spans="5:15">
      <c r="E331" s="2" t="str">
        <v>tengah</v>
      </c>
      <c r="F331" s="2"/>
      <c r="G331" s="2"/>
      <c r="I331" s="2" t="str">
        <v>kiri</v>
      </c>
      <c r="J331" s="2"/>
      <c r="K331" s="2"/>
      <c r="M331" s="2" t="str">
        <v>tengah</v>
      </c>
      <c r="N331" s="2"/>
      <c r="O331" s="2"/>
    </row>
    <row r="332" spans="5:15">
      <c r="E332" s="2" t="str">
        <v>tengah</v>
      </c>
      <c r="F332" s="2"/>
      <c r="G332" s="2"/>
      <c r="I332" s="2" t="str">
        <v>tengah</v>
      </c>
      <c r="J332" s="2"/>
      <c r="K332" s="2"/>
      <c r="M332" s="2" t="str">
        <v>kanan</v>
      </c>
      <c r="N332" s="2"/>
      <c r="O332" s="2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3CAE6-38CA-4FA1-868C-61C506F3EAA8}">
  <dimension ref="A1:Q332"/>
  <sheetViews>
    <sheetView topLeftCell="G124" zoomScale="96" zoomScaleNormal="96" workbookViewId="0">
      <selection activeCell="T165" sqref="T165"/>
    </sheetView>
  </sheetViews>
  <sheetFormatPr defaultRowHeight="15"/>
  <cols>
    <col min="2" max="2" width="15.85546875" bestFit="1" customWidth="1"/>
    <col min="3" max="3" width="13.28515625" bestFit="1" customWidth="1"/>
    <col min="4" max="4" width="13.85546875" bestFit="1" customWidth="1"/>
    <col min="9" max="9" width="15.85546875" bestFit="1" customWidth="1"/>
    <col min="10" max="10" width="13.28515625" bestFit="1" customWidth="1"/>
    <col min="11" max="11" width="13.85546875" bestFit="1" customWidth="1"/>
    <col min="13" max="13" width="14.28515625" bestFit="1" customWidth="1"/>
  </cols>
  <sheetData>
    <row r="1" spans="1:17">
      <c r="A1" s="1" t="s">
        <v>171</v>
      </c>
      <c r="B1" s="1" t="s">
        <v>2</v>
      </c>
      <c r="C1" s="1" t="s">
        <v>4</v>
      </c>
      <c r="D1" s="1" t="s">
        <v>5</v>
      </c>
      <c r="H1" s="2" t="s">
        <v>171</v>
      </c>
      <c r="I1" s="2" t="s">
        <v>2</v>
      </c>
      <c r="J1" s="2" t="s">
        <v>4</v>
      </c>
      <c r="K1" s="2" t="s">
        <v>5</v>
      </c>
      <c r="O1" s="1" t="s">
        <v>173</v>
      </c>
      <c r="P1" s="3"/>
      <c r="Q1" s="3"/>
    </row>
    <row r="2" spans="1:17">
      <c r="A2" s="2">
        <f ca="1">RANDBETWEEN(2,164)</f>
        <v>147</v>
      </c>
      <c r="B2" s="2" cm="1">
        <f t="array" aca="1" ref="B2" ca="1">INDEX(Data_DBD!$C:$C,$A2)</f>
        <v>10</v>
      </c>
      <c r="C2" s="2" cm="1">
        <f t="array" aca="1" ref="C2" ca="1">INDEX(Data_DBD!$E:$E,$A2)</f>
        <v>1</v>
      </c>
      <c r="D2" s="2" t="str" cm="1">
        <f t="array" aca="1" ref="D2" ca="1">INDEX(Data_DBD!$F:$F,$A2)</f>
        <v>Tinggi</v>
      </c>
      <c r="H2" s="2">
        <v>35</v>
      </c>
      <c r="I2" s="2">
        <v>3</v>
      </c>
      <c r="J2" s="2">
        <v>1</v>
      </c>
      <c r="K2" s="2" t="s">
        <v>20</v>
      </c>
      <c r="O2" s="3" t="s">
        <v>97</v>
      </c>
      <c r="P2" s="3">
        <f>COUNTIF(K2:K164,"Tinggi")</f>
        <v>73</v>
      </c>
      <c r="Q2" s="3">
        <f>P2/163</f>
        <v>0.44785276073619634</v>
      </c>
    </row>
    <row r="3" spans="1:17">
      <c r="A3" s="2">
        <f t="shared" ref="A3:A66" ca="1" si="0">RANDBETWEEN(2,164)</f>
        <v>45</v>
      </c>
      <c r="B3" s="2" cm="1">
        <f t="array" aca="1" ref="B3" ca="1">INDEX(Data_DBD!$C:$C,$A3)</f>
        <v>3</v>
      </c>
      <c r="C3" s="2" cm="1">
        <f t="array" aca="1" ref="C3" ca="1">INDEX(Data_DBD!$E:$E,$A3)</f>
        <v>1</v>
      </c>
      <c r="D3" s="2" t="str" cm="1">
        <f t="array" aca="1" ref="D3" ca="1">INDEX(Data_DBD!$F:$F,$A3)</f>
        <v>Sedang</v>
      </c>
      <c r="H3" s="2">
        <v>152</v>
      </c>
      <c r="I3" s="2">
        <v>3</v>
      </c>
      <c r="J3" s="2">
        <v>1</v>
      </c>
      <c r="K3" s="2" t="s">
        <v>97</v>
      </c>
      <c r="O3" s="3" t="s">
        <v>7</v>
      </c>
      <c r="P3" s="3">
        <f>COUNTIF(K2:K164,"Sedang")</f>
        <v>72</v>
      </c>
      <c r="Q3" s="3">
        <f>P3/163</f>
        <v>0.44171779141104295</v>
      </c>
    </row>
    <row r="4" spans="1:17">
      <c r="A4" s="2">
        <f t="shared" ca="1" si="0"/>
        <v>58</v>
      </c>
      <c r="B4" s="2" cm="1">
        <f t="array" aca="1" ref="B4" ca="1">INDEX(Data_DBD!$C:$C,$A4)</f>
        <v>3</v>
      </c>
      <c r="C4" s="2" cm="1">
        <f t="array" aca="1" ref="C4" ca="1">INDEX(Data_DBD!$E:$E,$A4)</f>
        <v>0</v>
      </c>
      <c r="D4" s="2" t="str" cm="1">
        <f t="array" aca="1" ref="D4" ca="1">INDEX(Data_DBD!$F:$F,$A4)</f>
        <v>Sedang</v>
      </c>
      <c r="H4" s="2">
        <v>87</v>
      </c>
      <c r="I4" s="2">
        <v>3</v>
      </c>
      <c r="J4" s="2">
        <v>0</v>
      </c>
      <c r="K4" s="2" t="s">
        <v>7</v>
      </c>
      <c r="O4" s="3" t="s">
        <v>20</v>
      </c>
      <c r="P4" s="3">
        <f>COUNTIF(K2:K164,"Rendah")</f>
        <v>18</v>
      </c>
      <c r="Q4" s="3">
        <f>P4/163</f>
        <v>0.11042944785276074</v>
      </c>
    </row>
    <row r="5" spans="1:17">
      <c r="A5" s="2">
        <f t="shared" ca="1" si="0"/>
        <v>119</v>
      </c>
      <c r="B5" s="2" cm="1">
        <f t="array" aca="1" ref="B5" ca="1">INDEX(Data_DBD!$C:$C,$A5)</f>
        <v>7</v>
      </c>
      <c r="C5" s="2" cm="1">
        <f t="array" aca="1" ref="C5" ca="1">INDEX(Data_DBD!$E:$E,$A5)</f>
        <v>0</v>
      </c>
      <c r="D5" s="2" t="str" cm="1">
        <f t="array" aca="1" ref="D5" ca="1">INDEX(Data_DBD!$F:$F,$A5)</f>
        <v>Tinggi</v>
      </c>
      <c r="H5" s="2">
        <v>125</v>
      </c>
      <c r="I5" s="2">
        <v>4</v>
      </c>
      <c r="J5" s="2">
        <v>0</v>
      </c>
      <c r="K5" s="2" t="s">
        <v>97</v>
      </c>
      <c r="O5" s="4" t="s">
        <v>174</v>
      </c>
      <c r="P5">
        <f>-(IFERROR(Q2*LOG(Q2,2),0)+IFERROR(Q3*LOG(Q3,2),0)+IFERROR(Q4*LOG(Q4,2),0))</f>
        <v>1.390749976758382</v>
      </c>
    </row>
    <row r="6" spans="1:17">
      <c r="A6" s="2">
        <f t="shared" ca="1" si="0"/>
        <v>138</v>
      </c>
      <c r="B6" s="2" cm="1">
        <f t="array" aca="1" ref="B6" ca="1">INDEX(Data_DBD!$C:$C,$A6)</f>
        <v>3</v>
      </c>
      <c r="C6" s="2" cm="1">
        <f t="array" aca="1" ref="C6" ca="1">INDEX(Data_DBD!$E:$E,$A6)</f>
        <v>1</v>
      </c>
      <c r="D6" s="2" t="str" cm="1">
        <f t="array" aca="1" ref="D6" ca="1">INDEX(Data_DBD!$F:$F,$A6)</f>
        <v>Tinggi</v>
      </c>
      <c r="H6" s="2">
        <v>50</v>
      </c>
      <c r="I6" s="2">
        <v>5</v>
      </c>
      <c r="J6" s="2">
        <v>0</v>
      </c>
      <c r="K6" s="2" t="s">
        <v>7</v>
      </c>
    </row>
    <row r="7" spans="1:17">
      <c r="A7" s="2">
        <f t="shared" ca="1" si="0"/>
        <v>46</v>
      </c>
      <c r="B7" s="2" cm="1">
        <f t="array" aca="1" ref="B7" ca="1">INDEX(Data_DBD!$C:$C,$A7)</f>
        <v>2</v>
      </c>
      <c r="C7" s="2" cm="1">
        <f t="array" aca="1" ref="C7" ca="1">INDEX(Data_DBD!$E:$E,$A7)</f>
        <v>0</v>
      </c>
      <c r="D7" s="2" t="str" cm="1">
        <f t="array" aca="1" ref="D7" ca="1">INDEX(Data_DBD!$F:$F,$A7)</f>
        <v>Sedang</v>
      </c>
      <c r="H7" s="2">
        <v>123</v>
      </c>
      <c r="I7" s="2">
        <v>4</v>
      </c>
      <c r="J7" s="2">
        <v>0</v>
      </c>
      <c r="K7" s="2" t="s">
        <v>97</v>
      </c>
    </row>
    <row r="8" spans="1:17">
      <c r="A8" s="2">
        <f t="shared" ca="1" si="0"/>
        <v>49</v>
      </c>
      <c r="B8" s="2" cm="1">
        <f t="array" aca="1" ref="B8" ca="1">INDEX(Data_DBD!$C:$C,$A8)</f>
        <v>5</v>
      </c>
      <c r="C8" s="2" cm="1">
        <f t="array" aca="1" ref="C8" ca="1">INDEX(Data_DBD!$E:$E,$A8)</f>
        <v>0</v>
      </c>
      <c r="D8" s="2" t="str" cm="1">
        <f t="array" aca="1" ref="D8" ca="1">INDEX(Data_DBD!$F:$F,$A8)</f>
        <v>Sedang</v>
      </c>
      <c r="H8" s="2">
        <v>6</v>
      </c>
      <c r="I8" s="2">
        <v>4</v>
      </c>
      <c r="J8" s="2">
        <v>0</v>
      </c>
      <c r="K8" s="2" t="s">
        <v>7</v>
      </c>
    </row>
    <row r="9" spans="1:17">
      <c r="A9" s="2">
        <f t="shared" ca="1" si="0"/>
        <v>79</v>
      </c>
      <c r="B9" s="2" cm="1">
        <f t="array" aca="1" ref="B9" ca="1">INDEX(Data_DBD!$C:$C,$A9)</f>
        <v>3</v>
      </c>
      <c r="C9" s="2" cm="1">
        <f t="array" aca="1" ref="C9" ca="1">INDEX(Data_DBD!$E:$E,$A9)</f>
        <v>0</v>
      </c>
      <c r="D9" s="2" t="str" cm="1">
        <f t="array" aca="1" ref="D9" ca="1">INDEX(Data_DBD!$F:$F,$A9)</f>
        <v>Sedang</v>
      </c>
      <c r="H9" s="2">
        <v>94</v>
      </c>
      <c r="I9" s="2">
        <v>4</v>
      </c>
      <c r="J9" s="2">
        <v>0</v>
      </c>
      <c r="K9" s="2" t="s">
        <v>97</v>
      </c>
    </row>
    <row r="10" spans="1:17">
      <c r="A10" s="2">
        <f t="shared" ca="1" si="0"/>
        <v>108</v>
      </c>
      <c r="B10" s="2" cm="1">
        <f t="array" aca="1" ref="B10" ca="1">INDEX(Data_DBD!$C:$C,$A10)</f>
        <v>7</v>
      </c>
      <c r="C10" s="2" cm="1">
        <f t="array" aca="1" ref="C10" ca="1">INDEX(Data_DBD!$E:$E,$A10)</f>
        <v>1</v>
      </c>
      <c r="D10" s="2" t="str" cm="1">
        <f t="array" aca="1" ref="D10" ca="1">INDEX(Data_DBD!$F:$F,$A10)</f>
        <v>Tinggi</v>
      </c>
      <c r="H10" s="2">
        <v>149</v>
      </c>
      <c r="I10" s="2">
        <v>5</v>
      </c>
      <c r="J10" s="2">
        <v>0</v>
      </c>
      <c r="K10" s="2" t="s">
        <v>97</v>
      </c>
    </row>
    <row r="11" spans="1:17">
      <c r="A11" s="2">
        <f t="shared" ca="1" si="0"/>
        <v>65</v>
      </c>
      <c r="B11" s="2" cm="1">
        <f t="array" aca="1" ref="B11" ca="1">INDEX(Data_DBD!$C:$C,$A11)</f>
        <v>3</v>
      </c>
      <c r="C11" s="2" cm="1">
        <f t="array" aca="1" ref="C11" ca="1">INDEX(Data_DBD!$E:$E,$A11)</f>
        <v>0</v>
      </c>
      <c r="D11" s="2" t="str" cm="1">
        <f t="array" aca="1" ref="D11" ca="1">INDEX(Data_DBD!$F:$F,$A11)</f>
        <v>Sedang</v>
      </c>
      <c r="H11" s="2">
        <v>20</v>
      </c>
      <c r="I11" s="2">
        <v>5</v>
      </c>
      <c r="J11" s="2">
        <v>0</v>
      </c>
      <c r="K11" s="2" t="s">
        <v>20</v>
      </c>
    </row>
    <row r="12" spans="1:17">
      <c r="A12" s="2">
        <f t="shared" ca="1" si="0"/>
        <v>58</v>
      </c>
      <c r="B12" s="2" cm="1">
        <f t="array" aca="1" ref="B12" ca="1">INDEX(Data_DBD!$C:$C,$A12)</f>
        <v>3</v>
      </c>
      <c r="C12" s="2" cm="1">
        <f t="array" aca="1" ref="C12" ca="1">INDEX(Data_DBD!$E:$E,$A12)</f>
        <v>0</v>
      </c>
      <c r="D12" s="2" t="str" cm="1">
        <f t="array" aca="1" ref="D12" ca="1">INDEX(Data_DBD!$F:$F,$A12)</f>
        <v>Sedang</v>
      </c>
      <c r="H12" s="2">
        <v>106</v>
      </c>
      <c r="I12" s="2">
        <v>3</v>
      </c>
      <c r="J12" s="2">
        <v>1</v>
      </c>
      <c r="K12" s="2" t="s">
        <v>97</v>
      </c>
    </row>
    <row r="13" spans="1:17">
      <c r="A13" s="2">
        <f t="shared" ca="1" si="0"/>
        <v>6</v>
      </c>
      <c r="B13" s="2" cm="1">
        <f t="array" aca="1" ref="B13" ca="1">INDEX(Data_DBD!$C:$C,$A13)</f>
        <v>4</v>
      </c>
      <c r="C13" s="2" cm="1">
        <f t="array" aca="1" ref="C13" ca="1">INDEX(Data_DBD!$E:$E,$A13)</f>
        <v>0</v>
      </c>
      <c r="D13" s="2" t="str" cm="1">
        <f t="array" aca="1" ref="D13" ca="1">INDEX(Data_DBD!$F:$F,$A13)</f>
        <v>Sedang</v>
      </c>
      <c r="H13" s="2">
        <v>156</v>
      </c>
      <c r="I13" s="2">
        <v>2</v>
      </c>
      <c r="J13" s="2">
        <v>0</v>
      </c>
      <c r="K13" s="2" t="s">
        <v>97</v>
      </c>
    </row>
    <row r="14" spans="1:17">
      <c r="A14" s="2">
        <f t="shared" ca="1" si="0"/>
        <v>61</v>
      </c>
      <c r="B14" s="2" cm="1">
        <f t="array" aca="1" ref="B14" ca="1">INDEX(Data_DBD!$C:$C,$A14)</f>
        <v>3</v>
      </c>
      <c r="C14" s="2" cm="1">
        <f t="array" aca="1" ref="C14" ca="1">INDEX(Data_DBD!$E:$E,$A14)</f>
        <v>1</v>
      </c>
      <c r="D14" s="2" t="str" cm="1">
        <f t="array" aca="1" ref="D14" ca="1">INDEX(Data_DBD!$F:$F,$A14)</f>
        <v>Sedang</v>
      </c>
      <c r="H14" s="2">
        <v>16</v>
      </c>
      <c r="I14" s="2">
        <v>5</v>
      </c>
      <c r="J14" s="2">
        <v>1</v>
      </c>
      <c r="K14" s="2" t="s">
        <v>20</v>
      </c>
    </row>
    <row r="15" spans="1:17">
      <c r="A15" s="2">
        <f t="shared" ca="1" si="0"/>
        <v>91</v>
      </c>
      <c r="B15" s="2" cm="1">
        <f t="array" aca="1" ref="B15" ca="1">INDEX(Data_DBD!$C:$C,$A15)</f>
        <v>1</v>
      </c>
      <c r="C15" s="2" cm="1">
        <f t="array" aca="1" ref="C15" ca="1">INDEX(Data_DBD!$E:$E,$A15)</f>
        <v>1</v>
      </c>
      <c r="D15" s="2" t="str" cm="1">
        <f t="array" aca="1" ref="D15" ca="1">INDEX(Data_DBD!$F:$F,$A15)</f>
        <v>Tinggi</v>
      </c>
      <c r="H15" s="2">
        <v>5</v>
      </c>
      <c r="I15" s="2">
        <v>2</v>
      </c>
      <c r="J15" s="2">
        <v>1</v>
      </c>
      <c r="K15" s="2" t="s">
        <v>7</v>
      </c>
    </row>
    <row r="16" spans="1:17">
      <c r="A16" s="2">
        <f t="shared" ca="1" si="0"/>
        <v>20</v>
      </c>
      <c r="B16" s="2" cm="1">
        <f t="array" aca="1" ref="B16" ca="1">INDEX(Data_DBD!$C:$C,$A16)</f>
        <v>5</v>
      </c>
      <c r="C16" s="2" cm="1">
        <f t="array" aca="1" ref="C16" ca="1">INDEX(Data_DBD!$E:$E,$A16)</f>
        <v>0</v>
      </c>
      <c r="D16" s="2" t="str" cm="1">
        <f t="array" aca="1" ref="D16" ca="1">INDEX(Data_DBD!$F:$F,$A16)</f>
        <v>Rendah</v>
      </c>
      <c r="H16" s="2">
        <v>98</v>
      </c>
      <c r="I16" s="2">
        <v>2</v>
      </c>
      <c r="J16" s="2">
        <v>1</v>
      </c>
      <c r="K16" s="2" t="s">
        <v>97</v>
      </c>
    </row>
    <row r="17" spans="1:11">
      <c r="A17" s="2">
        <f t="shared" ca="1" si="0"/>
        <v>119</v>
      </c>
      <c r="B17" s="2" cm="1">
        <f t="array" aca="1" ref="B17" ca="1">INDEX(Data_DBD!$C:$C,$A17)</f>
        <v>7</v>
      </c>
      <c r="C17" s="2" cm="1">
        <f t="array" aca="1" ref="C17" ca="1">INDEX(Data_DBD!$E:$E,$A17)</f>
        <v>0</v>
      </c>
      <c r="D17" s="2" t="str" cm="1">
        <f t="array" aca="1" ref="D17" ca="1">INDEX(Data_DBD!$F:$F,$A17)</f>
        <v>Tinggi</v>
      </c>
      <c r="H17" s="2">
        <v>8</v>
      </c>
      <c r="I17" s="2">
        <v>2</v>
      </c>
      <c r="J17" s="2">
        <v>0</v>
      </c>
      <c r="K17" s="2" t="s">
        <v>7</v>
      </c>
    </row>
    <row r="18" spans="1:11">
      <c r="A18" s="2">
        <f t="shared" ca="1" si="0"/>
        <v>33</v>
      </c>
      <c r="B18" s="2" cm="1">
        <f t="array" aca="1" ref="B18" ca="1">INDEX(Data_DBD!$C:$C,$A18)</f>
        <v>4</v>
      </c>
      <c r="C18" s="2" cm="1">
        <f t="array" aca="1" ref="C18" ca="1">INDEX(Data_DBD!$E:$E,$A18)</f>
        <v>1</v>
      </c>
      <c r="D18" s="2" t="str" cm="1">
        <f t="array" aca="1" ref="D18" ca="1">INDEX(Data_DBD!$F:$F,$A18)</f>
        <v>Sedang</v>
      </c>
      <c r="H18" s="2">
        <v>56</v>
      </c>
      <c r="I18" s="2">
        <v>3</v>
      </c>
      <c r="J18" s="2">
        <v>0</v>
      </c>
      <c r="K18" s="2" t="s">
        <v>7</v>
      </c>
    </row>
    <row r="19" spans="1:11">
      <c r="A19" s="2">
        <f t="shared" ca="1" si="0"/>
        <v>143</v>
      </c>
      <c r="B19" s="2" cm="1">
        <f t="array" aca="1" ref="B19" ca="1">INDEX(Data_DBD!$C:$C,$A19)</f>
        <v>4</v>
      </c>
      <c r="C19" s="2" cm="1">
        <f t="array" aca="1" ref="C19" ca="1">INDEX(Data_DBD!$E:$E,$A19)</f>
        <v>1</v>
      </c>
      <c r="D19" s="2" t="str" cm="1">
        <f t="array" aca="1" ref="D19" ca="1">INDEX(Data_DBD!$F:$F,$A19)</f>
        <v>Tinggi</v>
      </c>
      <c r="H19" s="2">
        <v>134</v>
      </c>
      <c r="I19" s="2">
        <v>2</v>
      </c>
      <c r="J19" s="2">
        <v>1</v>
      </c>
      <c r="K19" s="2" t="s">
        <v>97</v>
      </c>
    </row>
    <row r="20" spans="1:11">
      <c r="A20" s="2">
        <f t="shared" ca="1" si="0"/>
        <v>2</v>
      </c>
      <c r="B20" s="2" cm="1">
        <f t="array" aca="1" ref="B20" ca="1">INDEX(Data_DBD!$C:$C,$A20)</f>
        <v>3</v>
      </c>
      <c r="C20" s="2" cm="1">
        <f t="array" aca="1" ref="C20" ca="1">INDEX(Data_DBD!$E:$E,$A20)</f>
        <v>0</v>
      </c>
      <c r="D20" s="2" t="str" cm="1">
        <f t="array" aca="1" ref="D20" ca="1">INDEX(Data_DBD!$F:$F,$A20)</f>
        <v>Sedang</v>
      </c>
      <c r="H20" s="2">
        <v>65</v>
      </c>
      <c r="I20" s="2">
        <v>3</v>
      </c>
      <c r="J20" s="2">
        <v>0</v>
      </c>
      <c r="K20" s="2" t="s">
        <v>7</v>
      </c>
    </row>
    <row r="21" spans="1:11">
      <c r="A21" s="2">
        <f t="shared" ca="1" si="0"/>
        <v>131</v>
      </c>
      <c r="B21" s="2" cm="1">
        <f t="array" aca="1" ref="B21" ca="1">INDEX(Data_DBD!$C:$C,$A21)</f>
        <v>2</v>
      </c>
      <c r="C21" s="2" cm="1">
        <f t="array" aca="1" ref="C21" ca="1">INDEX(Data_DBD!$E:$E,$A21)</f>
        <v>0</v>
      </c>
      <c r="D21" s="2" t="str" cm="1">
        <f t="array" aca="1" ref="D21" ca="1">INDEX(Data_DBD!$F:$F,$A21)</f>
        <v>Tinggi</v>
      </c>
      <c r="H21" s="2">
        <v>130</v>
      </c>
      <c r="I21" s="2">
        <v>4</v>
      </c>
      <c r="J21" s="2">
        <v>0</v>
      </c>
      <c r="K21" s="2" t="s">
        <v>97</v>
      </c>
    </row>
    <row r="22" spans="1:11">
      <c r="A22" s="2">
        <f t="shared" ca="1" si="0"/>
        <v>157</v>
      </c>
      <c r="B22" s="2" cm="1">
        <f t="array" aca="1" ref="B22" ca="1">INDEX(Data_DBD!$C:$C,$A22)</f>
        <v>4</v>
      </c>
      <c r="C22" s="2" cm="1">
        <f t="array" aca="1" ref="C22" ca="1">INDEX(Data_DBD!$E:$E,$A22)</f>
        <v>1</v>
      </c>
      <c r="D22" s="2" t="str" cm="1">
        <f t="array" aca="1" ref="D22" ca="1">INDEX(Data_DBD!$F:$F,$A22)</f>
        <v>Tinggi</v>
      </c>
      <c r="H22" s="2">
        <v>19</v>
      </c>
      <c r="I22" s="2">
        <v>4</v>
      </c>
      <c r="J22" s="2">
        <v>0</v>
      </c>
      <c r="K22" s="2" t="s">
        <v>20</v>
      </c>
    </row>
    <row r="23" spans="1:11">
      <c r="A23" s="2">
        <f t="shared" ca="1" si="0"/>
        <v>14</v>
      </c>
      <c r="B23" s="2" cm="1">
        <f t="array" aca="1" ref="B23" ca="1">INDEX(Data_DBD!$C:$C,$A23)</f>
        <v>4</v>
      </c>
      <c r="C23" s="2" cm="1">
        <f t="array" aca="1" ref="C23" ca="1">INDEX(Data_DBD!$E:$E,$A23)</f>
        <v>1</v>
      </c>
      <c r="D23" s="2" t="str" cm="1">
        <f t="array" aca="1" ref="D23" ca="1">INDEX(Data_DBD!$F:$F,$A23)</f>
        <v>Rendah</v>
      </c>
      <c r="H23" s="2">
        <v>134</v>
      </c>
      <c r="I23" s="2">
        <v>2</v>
      </c>
      <c r="J23" s="2">
        <v>1</v>
      </c>
      <c r="K23" s="2" t="s">
        <v>97</v>
      </c>
    </row>
    <row r="24" spans="1:11">
      <c r="A24" s="2">
        <f t="shared" ca="1" si="0"/>
        <v>148</v>
      </c>
      <c r="B24" s="2" cm="1">
        <f t="array" aca="1" ref="B24" ca="1">INDEX(Data_DBD!$C:$C,$A24)</f>
        <v>3</v>
      </c>
      <c r="C24" s="2" cm="1">
        <f t="array" aca="1" ref="C24" ca="1">INDEX(Data_DBD!$E:$E,$A24)</f>
        <v>1</v>
      </c>
      <c r="D24" s="2" t="str" cm="1">
        <f t="array" aca="1" ref="D24" ca="1">INDEX(Data_DBD!$F:$F,$A24)</f>
        <v>Tinggi</v>
      </c>
      <c r="H24" s="2">
        <v>4</v>
      </c>
      <c r="I24" s="2">
        <v>5</v>
      </c>
      <c r="J24" s="2">
        <v>0</v>
      </c>
      <c r="K24" s="2" t="s">
        <v>7</v>
      </c>
    </row>
    <row r="25" spans="1:11">
      <c r="A25" s="2">
        <f t="shared" ca="1" si="0"/>
        <v>22</v>
      </c>
      <c r="B25" s="2" cm="1">
        <f t="array" aca="1" ref="B25" ca="1">INDEX(Data_DBD!$C:$C,$A25)</f>
        <v>3</v>
      </c>
      <c r="C25" s="2" cm="1">
        <f t="array" aca="1" ref="C25" ca="1">INDEX(Data_DBD!$E:$E,$A25)</f>
        <v>0</v>
      </c>
      <c r="D25" s="2" t="str" cm="1">
        <f t="array" aca="1" ref="D25" ca="1">INDEX(Data_DBD!$F:$F,$A25)</f>
        <v>Sedang</v>
      </c>
      <c r="H25" s="2">
        <v>151</v>
      </c>
      <c r="I25" s="2">
        <v>3</v>
      </c>
      <c r="J25" s="2">
        <v>0</v>
      </c>
      <c r="K25" s="2" t="s">
        <v>97</v>
      </c>
    </row>
    <row r="26" spans="1:11">
      <c r="A26" s="2">
        <f t="shared" ca="1" si="0"/>
        <v>70</v>
      </c>
      <c r="B26" s="2" cm="1">
        <f t="array" aca="1" ref="B26" ca="1">INDEX(Data_DBD!$C:$C,$A26)</f>
        <v>3</v>
      </c>
      <c r="C26" s="2" cm="1">
        <f t="array" aca="1" ref="C26" ca="1">INDEX(Data_DBD!$E:$E,$A26)</f>
        <v>1</v>
      </c>
      <c r="D26" s="2" t="str" cm="1">
        <f t="array" aca="1" ref="D26" ca="1">INDEX(Data_DBD!$F:$F,$A26)</f>
        <v>Sedang</v>
      </c>
      <c r="H26" s="2">
        <v>40</v>
      </c>
      <c r="I26" s="2">
        <v>3</v>
      </c>
      <c r="J26" s="2">
        <v>1</v>
      </c>
      <c r="K26" s="2" t="s">
        <v>7</v>
      </c>
    </row>
    <row r="27" spans="1:11">
      <c r="A27" s="2">
        <f t="shared" ca="1" si="0"/>
        <v>15</v>
      </c>
      <c r="B27" s="2" cm="1">
        <f t="array" aca="1" ref="B27" ca="1">INDEX(Data_DBD!$C:$C,$A27)</f>
        <v>2</v>
      </c>
      <c r="C27" s="2" cm="1">
        <f t="array" aca="1" ref="C27" ca="1">INDEX(Data_DBD!$E:$E,$A27)</f>
        <v>0</v>
      </c>
      <c r="D27" s="2" t="str" cm="1">
        <f t="array" aca="1" ref="D27" ca="1">INDEX(Data_DBD!$F:$F,$A27)</f>
        <v>Rendah</v>
      </c>
      <c r="H27" s="2">
        <v>56</v>
      </c>
      <c r="I27" s="2">
        <v>3</v>
      </c>
      <c r="J27" s="2">
        <v>0</v>
      </c>
      <c r="K27" s="2" t="s">
        <v>7</v>
      </c>
    </row>
    <row r="28" spans="1:11">
      <c r="A28" s="2">
        <f t="shared" ca="1" si="0"/>
        <v>69</v>
      </c>
      <c r="B28" s="2" cm="1">
        <f t="array" aca="1" ref="B28" ca="1">INDEX(Data_DBD!$C:$C,$A28)</f>
        <v>4</v>
      </c>
      <c r="C28" s="2" cm="1">
        <f t="array" aca="1" ref="C28" ca="1">INDEX(Data_DBD!$E:$E,$A28)</f>
        <v>1</v>
      </c>
      <c r="D28" s="2" t="str" cm="1">
        <f t="array" aca="1" ref="D28" ca="1">INDEX(Data_DBD!$F:$F,$A28)</f>
        <v>Sedang</v>
      </c>
      <c r="H28" s="2">
        <v>104</v>
      </c>
      <c r="I28" s="2">
        <v>4</v>
      </c>
      <c r="J28" s="2">
        <v>1</v>
      </c>
      <c r="K28" s="2" t="s">
        <v>97</v>
      </c>
    </row>
    <row r="29" spans="1:11">
      <c r="A29" s="2">
        <f t="shared" ca="1" si="0"/>
        <v>133</v>
      </c>
      <c r="B29" s="2" cm="1">
        <f t="array" aca="1" ref="B29" ca="1">INDEX(Data_DBD!$C:$C,$A29)</f>
        <v>4</v>
      </c>
      <c r="C29" s="2" cm="1">
        <f t="array" aca="1" ref="C29" ca="1">INDEX(Data_DBD!$E:$E,$A29)</f>
        <v>0</v>
      </c>
      <c r="D29" s="2" t="str" cm="1">
        <f t="array" aca="1" ref="D29" ca="1">INDEX(Data_DBD!$F:$F,$A29)</f>
        <v>Tinggi</v>
      </c>
      <c r="H29" s="2">
        <v>105</v>
      </c>
      <c r="I29" s="2">
        <v>3</v>
      </c>
      <c r="J29" s="2">
        <v>1</v>
      </c>
      <c r="K29" s="2" t="s">
        <v>97</v>
      </c>
    </row>
    <row r="30" spans="1:11">
      <c r="A30" s="2">
        <f t="shared" ca="1" si="0"/>
        <v>124</v>
      </c>
      <c r="B30" s="2" cm="1">
        <f t="array" aca="1" ref="B30" ca="1">INDEX(Data_DBD!$C:$C,$A30)</f>
        <v>3</v>
      </c>
      <c r="C30" s="2" cm="1">
        <f t="array" aca="1" ref="C30" ca="1">INDEX(Data_DBD!$E:$E,$A30)</f>
        <v>1</v>
      </c>
      <c r="D30" s="2" t="str" cm="1">
        <f t="array" aca="1" ref="D30" ca="1">INDEX(Data_DBD!$F:$F,$A30)</f>
        <v>Tinggi</v>
      </c>
      <c r="H30" s="2">
        <v>60</v>
      </c>
      <c r="I30" s="2">
        <v>4</v>
      </c>
      <c r="J30" s="2">
        <v>0</v>
      </c>
      <c r="K30" s="2" t="s">
        <v>7</v>
      </c>
    </row>
    <row r="31" spans="1:11">
      <c r="A31" s="2">
        <f t="shared" ca="1" si="0"/>
        <v>11</v>
      </c>
      <c r="B31" s="2" cm="1">
        <f t="array" aca="1" ref="B31" ca="1">INDEX(Data_DBD!$C:$C,$A31)</f>
        <v>5</v>
      </c>
      <c r="C31" s="2" cm="1">
        <f t="array" aca="1" ref="C31" ca="1">INDEX(Data_DBD!$E:$E,$A31)</f>
        <v>1</v>
      </c>
      <c r="D31" s="2" t="str" cm="1">
        <f t="array" aca="1" ref="D31" ca="1">INDEX(Data_DBD!$F:$F,$A31)</f>
        <v>Sedang</v>
      </c>
      <c r="H31" s="2">
        <v>30</v>
      </c>
      <c r="I31" s="2">
        <v>2</v>
      </c>
      <c r="J31" s="2">
        <v>1</v>
      </c>
      <c r="K31" s="2" t="s">
        <v>7</v>
      </c>
    </row>
    <row r="32" spans="1:11">
      <c r="A32" s="2">
        <f t="shared" ca="1" si="0"/>
        <v>96</v>
      </c>
      <c r="B32" s="2" cm="1">
        <f t="array" aca="1" ref="B32" ca="1">INDEX(Data_DBD!$C:$C,$A32)</f>
        <v>4</v>
      </c>
      <c r="C32" s="2" cm="1">
        <f t="array" aca="1" ref="C32" ca="1">INDEX(Data_DBD!$E:$E,$A32)</f>
        <v>0</v>
      </c>
      <c r="D32" s="2" t="str" cm="1">
        <f t="array" aca="1" ref="D32" ca="1">INDEX(Data_DBD!$F:$F,$A32)</f>
        <v>Tinggi</v>
      </c>
      <c r="H32" s="2">
        <v>99</v>
      </c>
      <c r="I32" s="2">
        <v>2</v>
      </c>
      <c r="J32" s="2">
        <v>1</v>
      </c>
      <c r="K32" s="2" t="s">
        <v>97</v>
      </c>
    </row>
    <row r="33" spans="1:11">
      <c r="A33" s="2">
        <f t="shared" ca="1" si="0"/>
        <v>89</v>
      </c>
      <c r="B33" s="2" cm="1">
        <f t="array" aca="1" ref="B33" ca="1">INDEX(Data_DBD!$C:$C,$A33)</f>
        <v>4</v>
      </c>
      <c r="C33" s="2" cm="1">
        <f t="array" aca="1" ref="C33" ca="1">INDEX(Data_DBD!$E:$E,$A33)</f>
        <v>0</v>
      </c>
      <c r="D33" s="2" t="str" cm="1">
        <f t="array" aca="1" ref="D33" ca="1">INDEX(Data_DBD!$F:$F,$A33)</f>
        <v>Sedang</v>
      </c>
      <c r="H33" s="2">
        <v>162</v>
      </c>
      <c r="I33" s="2">
        <v>3</v>
      </c>
      <c r="J33" s="2">
        <v>1</v>
      </c>
      <c r="K33" s="2" t="s">
        <v>20</v>
      </c>
    </row>
    <row r="34" spans="1:11">
      <c r="A34" s="2">
        <f t="shared" ca="1" si="0"/>
        <v>71</v>
      </c>
      <c r="B34" s="2" cm="1">
        <f t="array" aca="1" ref="B34" ca="1">INDEX(Data_DBD!$C:$C,$A34)</f>
        <v>3</v>
      </c>
      <c r="C34" s="2" cm="1">
        <f t="array" aca="1" ref="C34" ca="1">INDEX(Data_DBD!$E:$E,$A34)</f>
        <v>0</v>
      </c>
      <c r="D34" s="2" t="str" cm="1">
        <f t="array" aca="1" ref="D34" ca="1">INDEX(Data_DBD!$F:$F,$A34)</f>
        <v>Sedang</v>
      </c>
      <c r="H34" s="2">
        <v>131</v>
      </c>
      <c r="I34" s="2">
        <v>2</v>
      </c>
      <c r="J34" s="2">
        <v>0</v>
      </c>
      <c r="K34" s="2" t="s">
        <v>97</v>
      </c>
    </row>
    <row r="35" spans="1:11">
      <c r="A35" s="2">
        <f t="shared" ca="1" si="0"/>
        <v>77</v>
      </c>
      <c r="B35" s="2" cm="1">
        <f t="array" aca="1" ref="B35" ca="1">INDEX(Data_DBD!$C:$C,$A35)</f>
        <v>4</v>
      </c>
      <c r="C35" s="2" cm="1">
        <f t="array" aca="1" ref="C35" ca="1">INDEX(Data_DBD!$E:$E,$A35)</f>
        <v>1</v>
      </c>
      <c r="D35" s="2" t="str" cm="1">
        <f t="array" aca="1" ref="D35" ca="1">INDEX(Data_DBD!$F:$F,$A35)</f>
        <v>Sedang</v>
      </c>
      <c r="H35" s="2">
        <v>33</v>
      </c>
      <c r="I35" s="2">
        <v>4</v>
      </c>
      <c r="J35" s="2">
        <v>1</v>
      </c>
      <c r="K35" s="2" t="s">
        <v>7</v>
      </c>
    </row>
    <row r="36" spans="1:11">
      <c r="A36" s="2">
        <f t="shared" ca="1" si="0"/>
        <v>108</v>
      </c>
      <c r="B36" s="2" cm="1">
        <f t="array" aca="1" ref="B36" ca="1">INDEX(Data_DBD!$C:$C,$A36)</f>
        <v>7</v>
      </c>
      <c r="C36" s="2" cm="1">
        <f t="array" aca="1" ref="C36" ca="1">INDEX(Data_DBD!$E:$E,$A36)</f>
        <v>1</v>
      </c>
      <c r="D36" s="2" t="str" cm="1">
        <f t="array" aca="1" ref="D36" ca="1">INDEX(Data_DBD!$F:$F,$A36)</f>
        <v>Tinggi</v>
      </c>
      <c r="H36" s="2">
        <v>7</v>
      </c>
      <c r="I36" s="2">
        <v>1</v>
      </c>
      <c r="J36" s="2">
        <v>1</v>
      </c>
      <c r="K36" s="2" t="s">
        <v>7</v>
      </c>
    </row>
    <row r="37" spans="1:11">
      <c r="A37" s="2">
        <f t="shared" ca="1" si="0"/>
        <v>112</v>
      </c>
      <c r="B37" s="2" cm="1">
        <f t="array" aca="1" ref="B37" ca="1">INDEX(Data_DBD!$C:$C,$A37)</f>
        <v>3</v>
      </c>
      <c r="C37" s="2" cm="1">
        <f t="array" aca="1" ref="C37" ca="1">INDEX(Data_DBD!$E:$E,$A37)</f>
        <v>1</v>
      </c>
      <c r="D37" s="2" t="str" cm="1">
        <f t="array" aca="1" ref="D37" ca="1">INDEX(Data_DBD!$F:$F,$A37)</f>
        <v>Tinggi</v>
      </c>
      <c r="H37" s="2">
        <v>51</v>
      </c>
      <c r="I37" s="2">
        <v>4</v>
      </c>
      <c r="J37" s="2">
        <v>0</v>
      </c>
      <c r="K37" s="2" t="s">
        <v>7</v>
      </c>
    </row>
    <row r="38" spans="1:11">
      <c r="A38" s="2">
        <f t="shared" ca="1" si="0"/>
        <v>56</v>
      </c>
      <c r="B38" s="2" cm="1">
        <f t="array" aca="1" ref="B38" ca="1">INDEX(Data_DBD!$C:$C,$A38)</f>
        <v>3</v>
      </c>
      <c r="C38" s="2" cm="1">
        <f t="array" aca="1" ref="C38" ca="1">INDEX(Data_DBD!$E:$E,$A38)</f>
        <v>0</v>
      </c>
      <c r="D38" s="2" t="str" cm="1">
        <f t="array" aca="1" ref="D38" ca="1">INDEX(Data_DBD!$F:$F,$A38)</f>
        <v>Sedang</v>
      </c>
      <c r="H38" s="2">
        <v>5</v>
      </c>
      <c r="I38" s="2">
        <v>2</v>
      </c>
      <c r="J38" s="2">
        <v>1</v>
      </c>
      <c r="K38" s="2" t="s">
        <v>7</v>
      </c>
    </row>
    <row r="39" spans="1:11">
      <c r="A39" s="2">
        <f t="shared" ca="1" si="0"/>
        <v>48</v>
      </c>
      <c r="B39" s="2" cm="1">
        <f t="array" aca="1" ref="B39" ca="1">INDEX(Data_DBD!$C:$C,$A39)</f>
        <v>5</v>
      </c>
      <c r="C39" s="2" cm="1">
        <f t="array" aca="1" ref="C39" ca="1">INDEX(Data_DBD!$E:$E,$A39)</f>
        <v>1</v>
      </c>
      <c r="D39" s="2" t="str" cm="1">
        <f t="array" aca="1" ref="D39" ca="1">INDEX(Data_DBD!$F:$F,$A39)</f>
        <v>Sedang</v>
      </c>
      <c r="H39" s="2">
        <v>111</v>
      </c>
      <c r="I39" s="2">
        <v>4</v>
      </c>
      <c r="J39" s="2">
        <v>0</v>
      </c>
      <c r="K39" s="2" t="s">
        <v>97</v>
      </c>
    </row>
    <row r="40" spans="1:11">
      <c r="A40" s="2">
        <f t="shared" ca="1" si="0"/>
        <v>97</v>
      </c>
      <c r="B40" s="2" cm="1">
        <f t="array" aca="1" ref="B40" ca="1">INDEX(Data_DBD!$C:$C,$A40)</f>
        <v>2</v>
      </c>
      <c r="C40" s="2" cm="1">
        <f t="array" aca="1" ref="C40" ca="1">INDEX(Data_DBD!$E:$E,$A40)</f>
        <v>1</v>
      </c>
      <c r="D40" s="2" t="str" cm="1">
        <f t="array" aca="1" ref="D40" ca="1">INDEX(Data_DBD!$F:$F,$A40)</f>
        <v>Tinggi</v>
      </c>
      <c r="H40" s="2">
        <v>125</v>
      </c>
      <c r="I40" s="2">
        <v>4</v>
      </c>
      <c r="J40" s="2">
        <v>0</v>
      </c>
      <c r="K40" s="2" t="s">
        <v>97</v>
      </c>
    </row>
    <row r="41" spans="1:11">
      <c r="A41" s="2">
        <f t="shared" ca="1" si="0"/>
        <v>113</v>
      </c>
      <c r="B41" s="2" cm="1">
        <f t="array" aca="1" ref="B41" ca="1">INDEX(Data_DBD!$C:$C,$A41)</f>
        <v>1</v>
      </c>
      <c r="C41" s="2" cm="1">
        <f t="array" aca="1" ref="C41" ca="1">INDEX(Data_DBD!$E:$E,$A41)</f>
        <v>1</v>
      </c>
      <c r="D41" s="2" t="str" cm="1">
        <f t="array" aca="1" ref="D41" ca="1">INDEX(Data_DBD!$F:$F,$A41)</f>
        <v>Tinggi</v>
      </c>
      <c r="H41" s="2">
        <v>68</v>
      </c>
      <c r="I41" s="2">
        <v>5</v>
      </c>
      <c r="J41" s="2">
        <v>0</v>
      </c>
      <c r="K41" s="2" t="s">
        <v>7</v>
      </c>
    </row>
    <row r="42" spans="1:11">
      <c r="A42" s="2">
        <f t="shared" ca="1" si="0"/>
        <v>136</v>
      </c>
      <c r="B42" s="2" cm="1">
        <f t="array" aca="1" ref="B42" ca="1">INDEX(Data_DBD!$C:$C,$A42)</f>
        <v>2</v>
      </c>
      <c r="C42" s="2" cm="1">
        <f t="array" aca="1" ref="C42" ca="1">INDEX(Data_DBD!$E:$E,$A42)</f>
        <v>0</v>
      </c>
      <c r="D42" s="2" t="str" cm="1">
        <f t="array" aca="1" ref="D42" ca="1">INDEX(Data_DBD!$F:$F,$A42)</f>
        <v>Tinggi</v>
      </c>
      <c r="H42" s="2">
        <v>60</v>
      </c>
      <c r="I42" s="2">
        <v>4</v>
      </c>
      <c r="J42" s="2">
        <v>0</v>
      </c>
      <c r="K42" s="2" t="s">
        <v>7</v>
      </c>
    </row>
    <row r="43" spans="1:11">
      <c r="A43" s="2">
        <f t="shared" ca="1" si="0"/>
        <v>17</v>
      </c>
      <c r="B43" s="2" cm="1">
        <f t="array" aca="1" ref="B43" ca="1">INDEX(Data_DBD!$C:$C,$A43)</f>
        <v>3</v>
      </c>
      <c r="C43" s="2" cm="1">
        <f t="array" aca="1" ref="C43" ca="1">INDEX(Data_DBD!$E:$E,$A43)</f>
        <v>0</v>
      </c>
      <c r="D43" s="2" t="str" cm="1">
        <f t="array" aca="1" ref="D43" ca="1">INDEX(Data_DBD!$F:$F,$A43)</f>
        <v>Rendah</v>
      </c>
      <c r="H43" s="2">
        <v>156</v>
      </c>
      <c r="I43" s="2">
        <v>2</v>
      </c>
      <c r="J43" s="2">
        <v>0</v>
      </c>
      <c r="K43" s="2" t="s">
        <v>97</v>
      </c>
    </row>
    <row r="44" spans="1:11">
      <c r="A44" s="2">
        <f t="shared" ca="1" si="0"/>
        <v>26</v>
      </c>
      <c r="B44" s="2" cm="1">
        <f t="array" aca="1" ref="B44" ca="1">INDEX(Data_DBD!$C:$C,$A44)</f>
        <v>4</v>
      </c>
      <c r="C44" s="2" cm="1">
        <f t="array" aca="1" ref="C44" ca="1">INDEX(Data_DBD!$E:$E,$A44)</f>
        <v>1</v>
      </c>
      <c r="D44" s="2" t="str" cm="1">
        <f t="array" aca="1" ref="D44" ca="1">INDEX(Data_DBD!$F:$F,$A44)</f>
        <v>Sedang</v>
      </c>
      <c r="H44" s="2">
        <v>113</v>
      </c>
      <c r="I44" s="2">
        <v>1</v>
      </c>
      <c r="J44" s="2">
        <v>1</v>
      </c>
      <c r="K44" s="2" t="s">
        <v>97</v>
      </c>
    </row>
    <row r="45" spans="1:11">
      <c r="A45" s="2">
        <f t="shared" ca="1" si="0"/>
        <v>35</v>
      </c>
      <c r="B45" s="2" cm="1">
        <f t="array" aca="1" ref="B45" ca="1">INDEX(Data_DBD!$C:$C,$A45)</f>
        <v>3</v>
      </c>
      <c r="C45" s="2" cm="1">
        <f t="array" aca="1" ref="C45" ca="1">INDEX(Data_DBD!$E:$E,$A45)</f>
        <v>1</v>
      </c>
      <c r="D45" s="2" t="str" cm="1">
        <f t="array" aca="1" ref="D45" ca="1">INDEX(Data_DBD!$F:$F,$A45)</f>
        <v>Rendah</v>
      </c>
      <c r="H45" s="2">
        <v>70</v>
      </c>
      <c r="I45" s="2">
        <v>3</v>
      </c>
      <c r="J45" s="2">
        <v>1</v>
      </c>
      <c r="K45" s="2" t="s">
        <v>7</v>
      </c>
    </row>
    <row r="46" spans="1:11">
      <c r="A46" s="2">
        <f t="shared" ca="1" si="0"/>
        <v>90</v>
      </c>
      <c r="B46" s="2" cm="1">
        <f t="array" aca="1" ref="B46" ca="1">INDEX(Data_DBD!$C:$C,$A46)</f>
        <v>3</v>
      </c>
      <c r="C46" s="2" cm="1">
        <f t="array" aca="1" ref="C46" ca="1">INDEX(Data_DBD!$E:$E,$A46)</f>
        <v>0</v>
      </c>
      <c r="D46" s="2" t="str" cm="1">
        <f t="array" aca="1" ref="D46" ca="1">INDEX(Data_DBD!$F:$F,$A46)</f>
        <v>Tinggi</v>
      </c>
      <c r="H46" s="2">
        <v>44</v>
      </c>
      <c r="I46" s="2">
        <v>5</v>
      </c>
      <c r="J46" s="2">
        <v>1</v>
      </c>
      <c r="K46" s="2" t="s">
        <v>7</v>
      </c>
    </row>
    <row r="47" spans="1:11">
      <c r="A47" s="2">
        <f t="shared" ca="1" si="0"/>
        <v>76</v>
      </c>
      <c r="B47" s="2" cm="1">
        <f t="array" aca="1" ref="B47" ca="1">INDEX(Data_DBD!$C:$C,$A47)</f>
        <v>2</v>
      </c>
      <c r="C47" s="2" cm="1">
        <f t="array" aca="1" ref="C47" ca="1">INDEX(Data_DBD!$E:$E,$A47)</f>
        <v>0</v>
      </c>
      <c r="D47" s="2" t="str" cm="1">
        <f t="array" aca="1" ref="D47" ca="1">INDEX(Data_DBD!$F:$F,$A47)</f>
        <v>Sedang</v>
      </c>
      <c r="H47" s="2">
        <v>32</v>
      </c>
      <c r="I47" s="2">
        <v>4</v>
      </c>
      <c r="J47" s="2">
        <v>0</v>
      </c>
      <c r="K47" s="2" t="s">
        <v>7</v>
      </c>
    </row>
    <row r="48" spans="1:11">
      <c r="A48" s="2">
        <f t="shared" ca="1" si="0"/>
        <v>85</v>
      </c>
      <c r="B48" s="2" cm="1">
        <f t="array" aca="1" ref="B48" ca="1">INDEX(Data_DBD!$C:$C,$A48)</f>
        <v>9</v>
      </c>
      <c r="C48" s="2" cm="1">
        <f t="array" aca="1" ref="C48" ca="1">INDEX(Data_DBD!$E:$E,$A48)</f>
        <v>0</v>
      </c>
      <c r="D48" s="2" t="str" cm="1">
        <f t="array" aca="1" ref="D48" ca="1">INDEX(Data_DBD!$F:$F,$A48)</f>
        <v>Sedang</v>
      </c>
      <c r="H48" s="2">
        <v>26</v>
      </c>
      <c r="I48" s="2">
        <v>4</v>
      </c>
      <c r="J48" s="2">
        <v>1</v>
      </c>
      <c r="K48" s="2" t="s">
        <v>7</v>
      </c>
    </row>
    <row r="49" spans="1:11">
      <c r="A49" s="2">
        <f t="shared" ca="1" si="0"/>
        <v>81</v>
      </c>
      <c r="B49" s="2" cm="1">
        <f t="array" aca="1" ref="B49" ca="1">INDEX(Data_DBD!$C:$C,$A49)</f>
        <v>5</v>
      </c>
      <c r="C49" s="2" cm="1">
        <f t="array" aca="1" ref="C49" ca="1">INDEX(Data_DBD!$E:$E,$A49)</f>
        <v>1</v>
      </c>
      <c r="D49" s="2" t="str" cm="1">
        <f t="array" aca="1" ref="D49" ca="1">INDEX(Data_DBD!$F:$F,$A49)</f>
        <v>Sedang</v>
      </c>
      <c r="H49" s="2">
        <v>82</v>
      </c>
      <c r="I49" s="2">
        <v>3</v>
      </c>
      <c r="J49" s="2">
        <v>1</v>
      </c>
      <c r="K49" s="2" t="s">
        <v>7</v>
      </c>
    </row>
    <row r="50" spans="1:11">
      <c r="A50" s="2">
        <f t="shared" ca="1" si="0"/>
        <v>159</v>
      </c>
      <c r="B50" s="2" cm="1">
        <f t="array" aca="1" ref="B50" ca="1">INDEX(Data_DBD!$C:$C,$A50)</f>
        <v>2</v>
      </c>
      <c r="C50" s="2" cm="1">
        <f t="array" aca="1" ref="C50" ca="1">INDEX(Data_DBD!$E:$E,$A50)</f>
        <v>0</v>
      </c>
      <c r="D50" s="2" t="str" cm="1">
        <f t="array" aca="1" ref="D50" ca="1">INDEX(Data_DBD!$F:$F,$A50)</f>
        <v>Tinggi</v>
      </c>
      <c r="H50" s="2">
        <v>75</v>
      </c>
      <c r="I50" s="2">
        <v>2</v>
      </c>
      <c r="J50" s="2">
        <v>1</v>
      </c>
      <c r="K50" s="2" t="s">
        <v>7</v>
      </c>
    </row>
    <row r="51" spans="1:11">
      <c r="A51" s="2">
        <f t="shared" ca="1" si="0"/>
        <v>145</v>
      </c>
      <c r="B51" s="2" cm="1">
        <f t="array" aca="1" ref="B51" ca="1">INDEX(Data_DBD!$C:$C,$A51)</f>
        <v>4</v>
      </c>
      <c r="C51" s="2" cm="1">
        <f t="array" aca="1" ref="C51" ca="1">INDEX(Data_DBD!$E:$E,$A51)</f>
        <v>1</v>
      </c>
      <c r="D51" s="2" t="str" cm="1">
        <f t="array" aca="1" ref="D51" ca="1">INDEX(Data_DBD!$F:$F,$A51)</f>
        <v>Tinggi</v>
      </c>
      <c r="H51" s="2">
        <v>70</v>
      </c>
      <c r="I51" s="2">
        <v>3</v>
      </c>
      <c r="J51" s="2">
        <v>1</v>
      </c>
      <c r="K51" s="2" t="s">
        <v>7</v>
      </c>
    </row>
    <row r="52" spans="1:11">
      <c r="A52" s="2">
        <f t="shared" ca="1" si="0"/>
        <v>63</v>
      </c>
      <c r="B52" s="2" cm="1">
        <f t="array" aca="1" ref="B52" ca="1">INDEX(Data_DBD!$C:$C,$A52)</f>
        <v>3</v>
      </c>
      <c r="C52" s="2" cm="1">
        <f t="array" aca="1" ref="C52" ca="1">INDEX(Data_DBD!$E:$E,$A52)</f>
        <v>0</v>
      </c>
      <c r="D52" s="2" t="str" cm="1">
        <f t="array" aca="1" ref="D52" ca="1">INDEX(Data_DBD!$F:$F,$A52)</f>
        <v>Sedang</v>
      </c>
      <c r="H52" s="2">
        <v>110</v>
      </c>
      <c r="I52" s="2">
        <v>2</v>
      </c>
      <c r="J52" s="2">
        <v>1</v>
      </c>
      <c r="K52" s="2" t="s">
        <v>97</v>
      </c>
    </row>
    <row r="53" spans="1:11">
      <c r="A53" s="2">
        <f t="shared" ca="1" si="0"/>
        <v>158</v>
      </c>
      <c r="B53" s="2" cm="1">
        <f t="array" aca="1" ref="B53" ca="1">INDEX(Data_DBD!$C:$C,$A53)</f>
        <v>2</v>
      </c>
      <c r="C53" s="2" cm="1">
        <f t="array" aca="1" ref="C53" ca="1">INDEX(Data_DBD!$E:$E,$A53)</f>
        <v>0</v>
      </c>
      <c r="D53" s="2" t="str" cm="1">
        <f t="array" aca="1" ref="D53" ca="1">INDEX(Data_DBD!$F:$F,$A53)</f>
        <v>Tinggi</v>
      </c>
      <c r="H53" s="2">
        <v>98</v>
      </c>
      <c r="I53" s="2">
        <v>2</v>
      </c>
      <c r="J53" s="2">
        <v>1</v>
      </c>
      <c r="K53" s="2" t="s">
        <v>97</v>
      </c>
    </row>
    <row r="54" spans="1:11">
      <c r="A54" s="2">
        <f t="shared" ca="1" si="0"/>
        <v>158</v>
      </c>
      <c r="B54" s="2" cm="1">
        <f t="array" aca="1" ref="B54" ca="1">INDEX(Data_DBD!$C:$C,$A54)</f>
        <v>2</v>
      </c>
      <c r="C54" s="2" cm="1">
        <f t="array" aca="1" ref="C54" ca="1">INDEX(Data_DBD!$E:$E,$A54)</f>
        <v>0</v>
      </c>
      <c r="D54" s="2" t="str" cm="1">
        <f t="array" aca="1" ref="D54" ca="1">INDEX(Data_DBD!$F:$F,$A54)</f>
        <v>Tinggi</v>
      </c>
      <c r="H54" s="2">
        <v>6</v>
      </c>
      <c r="I54" s="2">
        <v>4</v>
      </c>
      <c r="J54" s="2">
        <v>0</v>
      </c>
      <c r="K54" s="2" t="s">
        <v>7</v>
      </c>
    </row>
    <row r="55" spans="1:11">
      <c r="A55" s="2">
        <f t="shared" ca="1" si="0"/>
        <v>86</v>
      </c>
      <c r="B55" s="2" cm="1">
        <f t="array" aca="1" ref="B55" ca="1">INDEX(Data_DBD!$C:$C,$A55)</f>
        <v>3</v>
      </c>
      <c r="C55" s="2" cm="1">
        <f t="array" aca="1" ref="C55" ca="1">INDEX(Data_DBD!$E:$E,$A55)</f>
        <v>0</v>
      </c>
      <c r="D55" s="2" t="str" cm="1">
        <f t="array" aca="1" ref="D55" ca="1">INDEX(Data_DBD!$F:$F,$A55)</f>
        <v>Sedang</v>
      </c>
      <c r="H55" s="2">
        <v>155</v>
      </c>
      <c r="I55" s="2">
        <v>5</v>
      </c>
      <c r="J55" s="2">
        <v>1</v>
      </c>
      <c r="K55" s="2" t="s">
        <v>97</v>
      </c>
    </row>
    <row r="56" spans="1:11">
      <c r="A56" s="2">
        <f t="shared" ca="1" si="0"/>
        <v>86</v>
      </c>
      <c r="B56" s="2" cm="1">
        <f t="array" aca="1" ref="B56" ca="1">INDEX(Data_DBD!$C:$C,$A56)</f>
        <v>3</v>
      </c>
      <c r="C56" s="2" cm="1">
        <f t="array" aca="1" ref="C56" ca="1">INDEX(Data_DBD!$E:$E,$A56)</f>
        <v>0</v>
      </c>
      <c r="D56" s="2" t="str" cm="1">
        <f t="array" aca="1" ref="D56" ca="1">INDEX(Data_DBD!$F:$F,$A56)</f>
        <v>Sedang</v>
      </c>
      <c r="H56" s="2">
        <v>148</v>
      </c>
      <c r="I56" s="2">
        <v>3</v>
      </c>
      <c r="J56" s="2">
        <v>1</v>
      </c>
      <c r="K56" s="2" t="s">
        <v>97</v>
      </c>
    </row>
    <row r="57" spans="1:11">
      <c r="A57" s="2">
        <f t="shared" ca="1" si="0"/>
        <v>84</v>
      </c>
      <c r="B57" s="2" cm="1">
        <f t="array" aca="1" ref="B57" ca="1">INDEX(Data_DBD!$C:$C,$A57)</f>
        <v>4</v>
      </c>
      <c r="C57" s="2" cm="1">
        <f t="array" aca="1" ref="C57" ca="1">INDEX(Data_DBD!$E:$E,$A57)</f>
        <v>1</v>
      </c>
      <c r="D57" s="2" t="str" cm="1">
        <f t="array" aca="1" ref="D57" ca="1">INDEX(Data_DBD!$F:$F,$A57)</f>
        <v>Sedang</v>
      </c>
      <c r="H57" s="2">
        <v>98</v>
      </c>
      <c r="I57" s="2">
        <v>2</v>
      </c>
      <c r="J57" s="2">
        <v>1</v>
      </c>
      <c r="K57" s="2" t="s">
        <v>97</v>
      </c>
    </row>
    <row r="58" spans="1:11">
      <c r="A58" s="2">
        <f t="shared" ca="1" si="0"/>
        <v>72</v>
      </c>
      <c r="B58" s="2" cm="1">
        <f t="array" aca="1" ref="B58" ca="1">INDEX(Data_DBD!$C:$C,$A58)</f>
        <v>5</v>
      </c>
      <c r="C58" s="2" cm="1">
        <f t="array" aca="1" ref="C58" ca="1">INDEX(Data_DBD!$E:$E,$A58)</f>
        <v>1</v>
      </c>
      <c r="D58" s="2" t="str" cm="1">
        <f t="array" aca="1" ref="D58" ca="1">INDEX(Data_DBD!$F:$F,$A58)</f>
        <v>Sedang</v>
      </c>
      <c r="H58" s="2">
        <v>129</v>
      </c>
      <c r="I58" s="2">
        <v>3</v>
      </c>
      <c r="J58" s="2">
        <v>0</v>
      </c>
      <c r="K58" s="2" t="s">
        <v>97</v>
      </c>
    </row>
    <row r="59" spans="1:11">
      <c r="A59" s="2">
        <f t="shared" ca="1" si="0"/>
        <v>143</v>
      </c>
      <c r="B59" s="2" cm="1">
        <f t="array" aca="1" ref="B59" ca="1">INDEX(Data_DBD!$C:$C,$A59)</f>
        <v>4</v>
      </c>
      <c r="C59" s="2" cm="1">
        <f t="array" aca="1" ref="C59" ca="1">INDEX(Data_DBD!$E:$E,$A59)</f>
        <v>1</v>
      </c>
      <c r="D59" s="2" t="str" cm="1">
        <f t="array" aca="1" ref="D59" ca="1">INDEX(Data_DBD!$F:$F,$A59)</f>
        <v>Tinggi</v>
      </c>
      <c r="H59" s="2">
        <v>144</v>
      </c>
      <c r="I59" s="2">
        <v>4</v>
      </c>
      <c r="J59" s="2">
        <v>1</v>
      </c>
      <c r="K59" s="2" t="s">
        <v>97</v>
      </c>
    </row>
    <row r="60" spans="1:11">
      <c r="A60" s="2">
        <f t="shared" ca="1" si="0"/>
        <v>26</v>
      </c>
      <c r="B60" s="2" cm="1">
        <f t="array" aca="1" ref="B60" ca="1">INDEX(Data_DBD!$C:$C,$A60)</f>
        <v>4</v>
      </c>
      <c r="C60" s="2" cm="1">
        <f t="array" aca="1" ref="C60" ca="1">INDEX(Data_DBD!$E:$E,$A60)</f>
        <v>1</v>
      </c>
      <c r="D60" s="2" t="str" cm="1">
        <f t="array" aca="1" ref="D60" ca="1">INDEX(Data_DBD!$F:$F,$A60)</f>
        <v>Sedang</v>
      </c>
      <c r="H60" s="2">
        <v>57</v>
      </c>
      <c r="I60" s="2">
        <v>2</v>
      </c>
      <c r="J60" s="2">
        <v>1</v>
      </c>
      <c r="K60" s="2" t="s">
        <v>7</v>
      </c>
    </row>
    <row r="61" spans="1:11">
      <c r="A61" s="2">
        <f t="shared" ca="1" si="0"/>
        <v>138</v>
      </c>
      <c r="B61" s="2" cm="1">
        <f t="array" aca="1" ref="B61" ca="1">INDEX(Data_DBD!$C:$C,$A61)</f>
        <v>3</v>
      </c>
      <c r="C61" s="2" cm="1">
        <f t="array" aca="1" ref="C61" ca="1">INDEX(Data_DBD!$E:$E,$A61)</f>
        <v>1</v>
      </c>
      <c r="D61" s="2" t="str" cm="1">
        <f t="array" aca="1" ref="D61" ca="1">INDEX(Data_DBD!$F:$F,$A61)</f>
        <v>Tinggi</v>
      </c>
      <c r="H61" s="2">
        <v>55</v>
      </c>
      <c r="I61" s="2">
        <v>4</v>
      </c>
      <c r="J61" s="2">
        <v>1</v>
      </c>
      <c r="K61" s="2" t="s">
        <v>7</v>
      </c>
    </row>
    <row r="62" spans="1:11">
      <c r="A62" s="2">
        <f t="shared" ca="1" si="0"/>
        <v>22</v>
      </c>
      <c r="B62" s="2" cm="1">
        <f t="array" aca="1" ref="B62" ca="1">INDEX(Data_DBD!$C:$C,$A62)</f>
        <v>3</v>
      </c>
      <c r="C62" s="2" cm="1">
        <f t="array" aca="1" ref="C62" ca="1">INDEX(Data_DBD!$E:$E,$A62)</f>
        <v>0</v>
      </c>
      <c r="D62" s="2" t="str" cm="1">
        <f t="array" aca="1" ref="D62" ca="1">INDEX(Data_DBD!$F:$F,$A62)</f>
        <v>Sedang</v>
      </c>
      <c r="H62" s="2">
        <v>68</v>
      </c>
      <c r="I62" s="2">
        <v>5</v>
      </c>
      <c r="J62" s="2">
        <v>0</v>
      </c>
      <c r="K62" s="2" t="s">
        <v>7</v>
      </c>
    </row>
    <row r="63" spans="1:11">
      <c r="A63" s="2">
        <f t="shared" ca="1" si="0"/>
        <v>127</v>
      </c>
      <c r="B63" s="2" cm="1">
        <f t="array" aca="1" ref="B63" ca="1">INDEX(Data_DBD!$C:$C,$A63)</f>
        <v>2</v>
      </c>
      <c r="C63" s="2" cm="1">
        <f t="array" aca="1" ref="C63" ca="1">INDEX(Data_DBD!$E:$E,$A63)</f>
        <v>0</v>
      </c>
      <c r="D63" s="2" t="str" cm="1">
        <f t="array" aca="1" ref="D63" ca="1">INDEX(Data_DBD!$F:$F,$A63)</f>
        <v>Tinggi</v>
      </c>
      <c r="H63" s="2">
        <v>161</v>
      </c>
      <c r="I63" s="2">
        <v>3</v>
      </c>
      <c r="J63" s="2">
        <v>1</v>
      </c>
      <c r="K63" s="2" t="s">
        <v>97</v>
      </c>
    </row>
    <row r="64" spans="1:11">
      <c r="A64" s="2">
        <f t="shared" ca="1" si="0"/>
        <v>131</v>
      </c>
      <c r="B64" s="2" cm="1">
        <f t="array" aca="1" ref="B64" ca="1">INDEX(Data_DBD!$C:$C,$A64)</f>
        <v>2</v>
      </c>
      <c r="C64" s="2" cm="1">
        <f t="array" aca="1" ref="C64" ca="1">INDEX(Data_DBD!$E:$E,$A64)</f>
        <v>0</v>
      </c>
      <c r="D64" s="2" t="str" cm="1">
        <f t="array" aca="1" ref="D64" ca="1">INDEX(Data_DBD!$F:$F,$A64)</f>
        <v>Tinggi</v>
      </c>
      <c r="H64" s="2">
        <v>16</v>
      </c>
      <c r="I64" s="2">
        <v>5</v>
      </c>
      <c r="J64" s="2">
        <v>1</v>
      </c>
      <c r="K64" s="2" t="s">
        <v>20</v>
      </c>
    </row>
    <row r="65" spans="1:11">
      <c r="A65" s="2">
        <f t="shared" ca="1" si="0"/>
        <v>158</v>
      </c>
      <c r="B65" s="2" cm="1">
        <f t="array" aca="1" ref="B65" ca="1">INDEX(Data_DBD!$C:$C,$A65)</f>
        <v>2</v>
      </c>
      <c r="C65" s="2" cm="1">
        <f t="array" aca="1" ref="C65" ca="1">INDEX(Data_DBD!$E:$E,$A65)</f>
        <v>0</v>
      </c>
      <c r="D65" s="2" t="str" cm="1">
        <f t="array" aca="1" ref="D65" ca="1">INDEX(Data_DBD!$F:$F,$A65)</f>
        <v>Tinggi</v>
      </c>
      <c r="H65" s="2">
        <v>94</v>
      </c>
      <c r="I65" s="2">
        <v>4</v>
      </c>
      <c r="J65" s="2">
        <v>0</v>
      </c>
      <c r="K65" s="2" t="s">
        <v>97</v>
      </c>
    </row>
    <row r="66" spans="1:11">
      <c r="A66" s="2">
        <f t="shared" ca="1" si="0"/>
        <v>52</v>
      </c>
      <c r="B66" s="2" cm="1">
        <f t="array" aca="1" ref="B66" ca="1">INDEX(Data_DBD!$C:$C,$A66)</f>
        <v>4</v>
      </c>
      <c r="C66" s="2" cm="1">
        <f t="array" aca="1" ref="C66" ca="1">INDEX(Data_DBD!$E:$E,$A66)</f>
        <v>1</v>
      </c>
      <c r="D66" s="2" t="str" cm="1">
        <f t="array" aca="1" ref="D66" ca="1">INDEX(Data_DBD!$F:$F,$A66)</f>
        <v>Sedang</v>
      </c>
      <c r="H66" s="2">
        <v>69</v>
      </c>
      <c r="I66" s="2">
        <v>4</v>
      </c>
      <c r="J66" s="2">
        <v>1</v>
      </c>
      <c r="K66" s="2" t="s">
        <v>7</v>
      </c>
    </row>
    <row r="67" spans="1:11">
      <c r="A67" s="2">
        <f t="shared" ref="A67:A130" ca="1" si="1">RANDBETWEEN(2,164)</f>
        <v>151</v>
      </c>
      <c r="B67" s="2" cm="1">
        <f t="array" aca="1" ref="B67" ca="1">INDEX(Data_DBD!$C:$C,$A67)</f>
        <v>3</v>
      </c>
      <c r="C67" s="2" cm="1">
        <f t="array" aca="1" ref="C67" ca="1">INDEX(Data_DBD!$E:$E,$A67)</f>
        <v>0</v>
      </c>
      <c r="D67" s="2" t="str" cm="1">
        <f t="array" aca="1" ref="D67" ca="1">INDEX(Data_DBD!$F:$F,$A67)</f>
        <v>Tinggi</v>
      </c>
      <c r="H67" s="2">
        <v>68</v>
      </c>
      <c r="I67" s="2">
        <v>5</v>
      </c>
      <c r="J67" s="2">
        <v>0</v>
      </c>
      <c r="K67" s="2" t="s">
        <v>7</v>
      </c>
    </row>
    <row r="68" spans="1:11">
      <c r="A68" s="2">
        <f t="shared" ca="1" si="1"/>
        <v>30</v>
      </c>
      <c r="B68" s="2" cm="1">
        <f t="array" aca="1" ref="B68" ca="1">INDEX(Data_DBD!$C:$C,$A68)</f>
        <v>2</v>
      </c>
      <c r="C68" s="2" cm="1">
        <f t="array" aca="1" ref="C68" ca="1">INDEX(Data_DBD!$E:$E,$A68)</f>
        <v>1</v>
      </c>
      <c r="D68" s="2" t="str" cm="1">
        <f t="array" aca="1" ref="D68" ca="1">INDEX(Data_DBD!$F:$F,$A68)</f>
        <v>Sedang</v>
      </c>
      <c r="H68" s="2">
        <v>160</v>
      </c>
      <c r="I68" s="2">
        <v>3</v>
      </c>
      <c r="J68" s="2">
        <v>0</v>
      </c>
      <c r="K68" s="2" t="s">
        <v>97</v>
      </c>
    </row>
    <row r="69" spans="1:11">
      <c r="A69" s="2">
        <f t="shared" ca="1" si="1"/>
        <v>75</v>
      </c>
      <c r="B69" s="2" cm="1">
        <f t="array" aca="1" ref="B69" ca="1">INDEX(Data_DBD!$C:$C,$A69)</f>
        <v>2</v>
      </c>
      <c r="C69" s="2" cm="1">
        <f t="array" aca="1" ref="C69" ca="1">INDEX(Data_DBD!$E:$E,$A69)</f>
        <v>1</v>
      </c>
      <c r="D69" s="2" t="str" cm="1">
        <f t="array" aca="1" ref="D69" ca="1">INDEX(Data_DBD!$F:$F,$A69)</f>
        <v>Sedang</v>
      </c>
      <c r="H69" s="2">
        <v>57</v>
      </c>
      <c r="I69" s="2">
        <v>2</v>
      </c>
      <c r="J69" s="2">
        <v>1</v>
      </c>
      <c r="K69" s="2" t="s">
        <v>7</v>
      </c>
    </row>
    <row r="70" spans="1:11">
      <c r="A70" s="2">
        <f t="shared" ca="1" si="1"/>
        <v>145</v>
      </c>
      <c r="B70" s="2" cm="1">
        <f t="array" aca="1" ref="B70" ca="1">INDEX(Data_DBD!$C:$C,$A70)</f>
        <v>4</v>
      </c>
      <c r="C70" s="2" cm="1">
        <f t="array" aca="1" ref="C70" ca="1">INDEX(Data_DBD!$E:$E,$A70)</f>
        <v>1</v>
      </c>
      <c r="D70" s="2" t="str" cm="1">
        <f t="array" aca="1" ref="D70" ca="1">INDEX(Data_DBD!$F:$F,$A70)</f>
        <v>Tinggi</v>
      </c>
      <c r="H70" s="2">
        <v>15</v>
      </c>
      <c r="I70" s="2">
        <v>2</v>
      </c>
      <c r="J70" s="2">
        <v>0</v>
      </c>
      <c r="K70" s="2" t="s">
        <v>20</v>
      </c>
    </row>
    <row r="71" spans="1:11">
      <c r="A71" s="2">
        <f t="shared" ca="1" si="1"/>
        <v>60</v>
      </c>
      <c r="B71" s="2" cm="1">
        <f t="array" aca="1" ref="B71" ca="1">INDEX(Data_DBD!$C:$C,$A71)</f>
        <v>4</v>
      </c>
      <c r="C71" s="2" cm="1">
        <f t="array" aca="1" ref="C71" ca="1">INDEX(Data_DBD!$E:$E,$A71)</f>
        <v>0</v>
      </c>
      <c r="D71" s="2" t="str" cm="1">
        <f t="array" aca="1" ref="D71" ca="1">INDEX(Data_DBD!$F:$F,$A71)</f>
        <v>Sedang</v>
      </c>
      <c r="H71" s="2">
        <v>62</v>
      </c>
      <c r="I71" s="2">
        <v>4</v>
      </c>
      <c r="J71" s="2">
        <v>1</v>
      </c>
      <c r="K71" s="2" t="s">
        <v>7</v>
      </c>
    </row>
    <row r="72" spans="1:11">
      <c r="A72" s="2">
        <f t="shared" ca="1" si="1"/>
        <v>79</v>
      </c>
      <c r="B72" s="2" cm="1">
        <f t="array" aca="1" ref="B72" ca="1">INDEX(Data_DBD!$C:$C,$A72)</f>
        <v>3</v>
      </c>
      <c r="C72" s="2" cm="1">
        <f t="array" aca="1" ref="C72" ca="1">INDEX(Data_DBD!$E:$E,$A72)</f>
        <v>0</v>
      </c>
      <c r="D72" s="2" t="str" cm="1">
        <f t="array" aca="1" ref="D72" ca="1">INDEX(Data_DBD!$F:$F,$A72)</f>
        <v>Sedang</v>
      </c>
      <c r="H72" s="2">
        <v>13</v>
      </c>
      <c r="I72" s="2">
        <v>2</v>
      </c>
      <c r="J72" s="2">
        <v>0</v>
      </c>
      <c r="K72" s="2" t="s">
        <v>7</v>
      </c>
    </row>
    <row r="73" spans="1:11">
      <c r="A73" s="2">
        <f t="shared" ca="1" si="1"/>
        <v>131</v>
      </c>
      <c r="B73" s="2" cm="1">
        <f t="array" aca="1" ref="B73" ca="1">INDEX(Data_DBD!$C:$C,$A73)</f>
        <v>2</v>
      </c>
      <c r="C73" s="2" cm="1">
        <f t="array" aca="1" ref="C73" ca="1">INDEX(Data_DBD!$E:$E,$A73)</f>
        <v>0</v>
      </c>
      <c r="D73" s="2" t="str" cm="1">
        <f t="array" aca="1" ref="D73" ca="1">INDEX(Data_DBD!$F:$F,$A73)</f>
        <v>Tinggi</v>
      </c>
      <c r="H73" s="2">
        <v>151</v>
      </c>
      <c r="I73" s="2">
        <v>3</v>
      </c>
      <c r="J73" s="2">
        <v>0</v>
      </c>
      <c r="K73" s="2" t="s">
        <v>97</v>
      </c>
    </row>
    <row r="74" spans="1:11">
      <c r="A74" s="2">
        <f t="shared" ca="1" si="1"/>
        <v>124</v>
      </c>
      <c r="B74" s="2" cm="1">
        <f t="array" aca="1" ref="B74" ca="1">INDEX(Data_DBD!$C:$C,$A74)</f>
        <v>3</v>
      </c>
      <c r="C74" s="2" cm="1">
        <f t="array" aca="1" ref="C74" ca="1">INDEX(Data_DBD!$E:$E,$A74)</f>
        <v>1</v>
      </c>
      <c r="D74" s="2" t="str" cm="1">
        <f t="array" aca="1" ref="D74" ca="1">INDEX(Data_DBD!$F:$F,$A74)</f>
        <v>Tinggi</v>
      </c>
      <c r="H74" s="2">
        <v>114</v>
      </c>
      <c r="I74" s="2">
        <v>2</v>
      </c>
      <c r="J74" s="2">
        <v>1</v>
      </c>
      <c r="K74" s="2" t="s">
        <v>97</v>
      </c>
    </row>
    <row r="75" spans="1:11">
      <c r="A75" s="2">
        <f t="shared" ca="1" si="1"/>
        <v>25</v>
      </c>
      <c r="B75" s="2" cm="1">
        <f t="array" aca="1" ref="B75" ca="1">INDEX(Data_DBD!$C:$C,$A75)</f>
        <v>5</v>
      </c>
      <c r="C75" s="2" cm="1">
        <f t="array" aca="1" ref="C75" ca="1">INDEX(Data_DBD!$E:$E,$A75)</f>
        <v>0</v>
      </c>
      <c r="D75" s="2" t="str" cm="1">
        <f t="array" aca="1" ref="D75" ca="1">INDEX(Data_DBD!$F:$F,$A75)</f>
        <v>Sedang</v>
      </c>
      <c r="H75" s="2">
        <v>5</v>
      </c>
      <c r="I75" s="2">
        <v>2</v>
      </c>
      <c r="J75" s="2">
        <v>1</v>
      </c>
      <c r="K75" s="2" t="s">
        <v>7</v>
      </c>
    </row>
    <row r="76" spans="1:11">
      <c r="A76" s="2">
        <f t="shared" ca="1" si="1"/>
        <v>46</v>
      </c>
      <c r="B76" s="2" cm="1">
        <f t="array" aca="1" ref="B76" ca="1">INDEX(Data_DBD!$C:$C,$A76)</f>
        <v>2</v>
      </c>
      <c r="C76" s="2" cm="1">
        <f t="array" aca="1" ref="C76" ca="1">INDEX(Data_DBD!$E:$E,$A76)</f>
        <v>0</v>
      </c>
      <c r="D76" s="2" t="str" cm="1">
        <f t="array" aca="1" ref="D76" ca="1">INDEX(Data_DBD!$F:$F,$A76)</f>
        <v>Sedang</v>
      </c>
      <c r="H76" s="2">
        <v>36</v>
      </c>
      <c r="I76" s="2">
        <v>1</v>
      </c>
      <c r="J76" s="2">
        <v>1</v>
      </c>
      <c r="K76" s="2" t="s">
        <v>20</v>
      </c>
    </row>
    <row r="77" spans="1:11">
      <c r="A77" s="2">
        <f t="shared" ca="1" si="1"/>
        <v>49</v>
      </c>
      <c r="B77" s="2" cm="1">
        <f t="array" aca="1" ref="B77" ca="1">INDEX(Data_DBD!$C:$C,$A77)</f>
        <v>5</v>
      </c>
      <c r="C77" s="2" cm="1">
        <f t="array" aca="1" ref="C77" ca="1">INDEX(Data_DBD!$E:$E,$A77)</f>
        <v>0</v>
      </c>
      <c r="D77" s="2" t="str" cm="1">
        <f t="array" aca="1" ref="D77" ca="1">INDEX(Data_DBD!$F:$F,$A77)</f>
        <v>Sedang</v>
      </c>
      <c r="H77" s="2">
        <v>44</v>
      </c>
      <c r="I77" s="2">
        <v>5</v>
      </c>
      <c r="J77" s="2">
        <v>1</v>
      </c>
      <c r="K77" s="2" t="s">
        <v>7</v>
      </c>
    </row>
    <row r="78" spans="1:11">
      <c r="A78" s="2">
        <f t="shared" ca="1" si="1"/>
        <v>105</v>
      </c>
      <c r="B78" s="2" cm="1">
        <f t="array" aca="1" ref="B78" ca="1">INDEX(Data_DBD!$C:$C,$A78)</f>
        <v>3</v>
      </c>
      <c r="C78" s="2" cm="1">
        <f t="array" aca="1" ref="C78" ca="1">INDEX(Data_DBD!$E:$E,$A78)</f>
        <v>1</v>
      </c>
      <c r="D78" s="2" t="str" cm="1">
        <f t="array" aca="1" ref="D78" ca="1">INDEX(Data_DBD!$F:$F,$A78)</f>
        <v>Tinggi</v>
      </c>
      <c r="H78" s="2">
        <v>45</v>
      </c>
      <c r="I78" s="2">
        <v>3</v>
      </c>
      <c r="J78" s="2">
        <v>1</v>
      </c>
      <c r="K78" s="2" t="s">
        <v>7</v>
      </c>
    </row>
    <row r="79" spans="1:11">
      <c r="A79" s="2">
        <f t="shared" ca="1" si="1"/>
        <v>93</v>
      </c>
      <c r="B79" s="2" cm="1">
        <f t="array" aca="1" ref="B79" ca="1">INDEX(Data_DBD!$C:$C,$A79)</f>
        <v>4</v>
      </c>
      <c r="C79" s="2" cm="1">
        <f t="array" aca="1" ref="C79" ca="1">INDEX(Data_DBD!$E:$E,$A79)</f>
        <v>0</v>
      </c>
      <c r="D79" s="2" t="str" cm="1">
        <f t="array" aca="1" ref="D79" ca="1">INDEX(Data_DBD!$F:$F,$A79)</f>
        <v>Tinggi</v>
      </c>
      <c r="H79" s="2">
        <v>121</v>
      </c>
      <c r="I79" s="2">
        <v>5</v>
      </c>
      <c r="J79" s="2">
        <v>1</v>
      </c>
      <c r="K79" s="2" t="s">
        <v>97</v>
      </c>
    </row>
    <row r="80" spans="1:11">
      <c r="A80" s="2">
        <f t="shared" ca="1" si="1"/>
        <v>67</v>
      </c>
      <c r="B80" s="2" cm="1">
        <f t="array" aca="1" ref="B80" ca="1">INDEX(Data_DBD!$C:$C,$A80)</f>
        <v>3</v>
      </c>
      <c r="C80" s="2" cm="1">
        <f t="array" aca="1" ref="C80" ca="1">INDEX(Data_DBD!$E:$E,$A80)</f>
        <v>1</v>
      </c>
      <c r="D80" s="2" t="str" cm="1">
        <f t="array" aca="1" ref="D80" ca="1">INDEX(Data_DBD!$F:$F,$A80)</f>
        <v>Sedang</v>
      </c>
      <c r="H80" s="2">
        <v>52</v>
      </c>
      <c r="I80" s="2">
        <v>4</v>
      </c>
      <c r="J80" s="2">
        <v>1</v>
      </c>
      <c r="K80" s="2" t="s">
        <v>7</v>
      </c>
    </row>
    <row r="81" spans="1:11">
      <c r="A81" s="2">
        <f t="shared" ca="1" si="1"/>
        <v>7</v>
      </c>
      <c r="B81" s="2" cm="1">
        <f t="array" aca="1" ref="B81" ca="1">INDEX(Data_DBD!$C:$C,$A81)</f>
        <v>1</v>
      </c>
      <c r="C81" s="2" cm="1">
        <f t="array" aca="1" ref="C81" ca="1">INDEX(Data_DBD!$E:$E,$A81)</f>
        <v>1</v>
      </c>
      <c r="D81" s="2" t="str" cm="1">
        <f t="array" aca="1" ref="D81" ca="1">INDEX(Data_DBD!$F:$F,$A81)</f>
        <v>Sedang</v>
      </c>
      <c r="H81" s="2">
        <v>123</v>
      </c>
      <c r="I81" s="2">
        <v>4</v>
      </c>
      <c r="J81" s="2">
        <v>0</v>
      </c>
      <c r="K81" s="2" t="s">
        <v>97</v>
      </c>
    </row>
    <row r="82" spans="1:11">
      <c r="A82" s="2">
        <f t="shared" ca="1" si="1"/>
        <v>23</v>
      </c>
      <c r="B82" s="2" cm="1">
        <f t="array" aca="1" ref="B82" ca="1">INDEX(Data_DBD!$C:$C,$A82)</f>
        <v>4</v>
      </c>
      <c r="C82" s="2" cm="1">
        <f t="array" aca="1" ref="C82" ca="1">INDEX(Data_DBD!$E:$E,$A82)</f>
        <v>1</v>
      </c>
      <c r="D82" s="2" t="str" cm="1">
        <f t="array" aca="1" ref="D82" ca="1">INDEX(Data_DBD!$F:$F,$A82)</f>
        <v>Sedang</v>
      </c>
      <c r="H82" s="2">
        <v>112</v>
      </c>
      <c r="I82" s="2">
        <v>3</v>
      </c>
      <c r="J82" s="2">
        <v>1</v>
      </c>
      <c r="K82" s="2" t="s">
        <v>97</v>
      </c>
    </row>
    <row r="83" spans="1:11">
      <c r="A83" s="2">
        <f t="shared" ca="1" si="1"/>
        <v>31</v>
      </c>
      <c r="B83" s="2" cm="1">
        <f t="array" aca="1" ref="B83" ca="1">INDEX(Data_DBD!$C:$C,$A83)</f>
        <v>4</v>
      </c>
      <c r="C83" s="2" cm="1">
        <f t="array" aca="1" ref="C83" ca="1">INDEX(Data_DBD!$E:$E,$A83)</f>
        <v>1</v>
      </c>
      <c r="D83" s="2" t="str" cm="1">
        <f t="array" aca="1" ref="D83" ca="1">INDEX(Data_DBD!$F:$F,$A83)</f>
        <v>Sedang</v>
      </c>
      <c r="H83" s="2">
        <v>11</v>
      </c>
      <c r="I83" s="2">
        <v>5</v>
      </c>
      <c r="J83" s="2">
        <v>1</v>
      </c>
      <c r="K83" s="2" t="s">
        <v>7</v>
      </c>
    </row>
    <row r="84" spans="1:11">
      <c r="A84" s="2">
        <f t="shared" ca="1" si="1"/>
        <v>16</v>
      </c>
      <c r="B84" s="2" cm="1">
        <f t="array" aca="1" ref="B84" ca="1">INDEX(Data_DBD!$C:$C,$A84)</f>
        <v>5</v>
      </c>
      <c r="C84" s="2" cm="1">
        <f t="array" aca="1" ref="C84" ca="1">INDEX(Data_DBD!$E:$E,$A84)</f>
        <v>1</v>
      </c>
      <c r="D84" s="2" t="str" cm="1">
        <f t="array" aca="1" ref="D84" ca="1">INDEX(Data_DBD!$F:$F,$A84)</f>
        <v>Rendah</v>
      </c>
      <c r="H84" s="2">
        <v>35</v>
      </c>
      <c r="I84" s="2">
        <v>3</v>
      </c>
      <c r="J84" s="2">
        <v>1</v>
      </c>
      <c r="K84" s="2" t="s">
        <v>20</v>
      </c>
    </row>
    <row r="85" spans="1:11">
      <c r="A85" s="2">
        <f t="shared" ca="1" si="1"/>
        <v>139</v>
      </c>
      <c r="B85" s="2" cm="1">
        <f t="array" aca="1" ref="B85" ca="1">INDEX(Data_DBD!$C:$C,$A85)</f>
        <v>7</v>
      </c>
      <c r="C85" s="2" cm="1">
        <f t="array" aca="1" ref="C85" ca="1">INDEX(Data_DBD!$E:$E,$A85)</f>
        <v>0</v>
      </c>
      <c r="D85" s="2" t="str" cm="1">
        <f t="array" aca="1" ref="D85" ca="1">INDEX(Data_DBD!$F:$F,$A85)</f>
        <v>Tinggi</v>
      </c>
      <c r="H85" s="2">
        <v>48</v>
      </c>
      <c r="I85" s="2">
        <v>5</v>
      </c>
      <c r="J85" s="2">
        <v>1</v>
      </c>
      <c r="K85" s="2" t="s">
        <v>7</v>
      </c>
    </row>
    <row r="86" spans="1:11">
      <c r="A86" s="2">
        <f t="shared" ca="1" si="1"/>
        <v>106</v>
      </c>
      <c r="B86" s="2" cm="1">
        <f t="array" aca="1" ref="B86" ca="1">INDEX(Data_DBD!$C:$C,$A86)</f>
        <v>3</v>
      </c>
      <c r="C86" s="2" cm="1">
        <f t="array" aca="1" ref="C86" ca="1">INDEX(Data_DBD!$E:$E,$A86)</f>
        <v>1</v>
      </c>
      <c r="D86" s="2" t="str" cm="1">
        <f t="array" aca="1" ref="D86" ca="1">INDEX(Data_DBD!$F:$F,$A86)</f>
        <v>Tinggi</v>
      </c>
      <c r="H86" s="2">
        <v>159</v>
      </c>
      <c r="I86" s="2">
        <v>2</v>
      </c>
      <c r="J86" s="2">
        <v>0</v>
      </c>
      <c r="K86" s="2" t="s">
        <v>97</v>
      </c>
    </row>
    <row r="87" spans="1:11">
      <c r="A87" s="2">
        <f t="shared" ca="1" si="1"/>
        <v>16</v>
      </c>
      <c r="B87" s="2" cm="1">
        <f t="array" aca="1" ref="B87" ca="1">INDEX(Data_DBD!$C:$C,$A87)</f>
        <v>5</v>
      </c>
      <c r="C87" s="2" cm="1">
        <f t="array" aca="1" ref="C87" ca="1">INDEX(Data_DBD!$E:$E,$A87)</f>
        <v>1</v>
      </c>
      <c r="D87" s="2" t="str" cm="1">
        <f t="array" aca="1" ref="D87" ca="1">INDEX(Data_DBD!$F:$F,$A87)</f>
        <v>Rendah</v>
      </c>
      <c r="H87" s="2">
        <v>155</v>
      </c>
      <c r="I87" s="2">
        <v>5</v>
      </c>
      <c r="J87" s="2">
        <v>1</v>
      </c>
      <c r="K87" s="2" t="s">
        <v>97</v>
      </c>
    </row>
    <row r="88" spans="1:11">
      <c r="A88" s="2">
        <f t="shared" ca="1" si="1"/>
        <v>72</v>
      </c>
      <c r="B88" s="2" cm="1">
        <f t="array" aca="1" ref="B88" ca="1">INDEX(Data_DBD!$C:$C,$A88)</f>
        <v>5</v>
      </c>
      <c r="C88" s="2" cm="1">
        <f t="array" aca="1" ref="C88" ca="1">INDEX(Data_DBD!$E:$E,$A88)</f>
        <v>1</v>
      </c>
      <c r="D88" s="2" t="str" cm="1">
        <f t="array" aca="1" ref="D88" ca="1">INDEX(Data_DBD!$F:$F,$A88)</f>
        <v>Sedang</v>
      </c>
      <c r="H88" s="2">
        <v>58</v>
      </c>
      <c r="I88" s="2">
        <v>3</v>
      </c>
      <c r="J88" s="2">
        <v>0</v>
      </c>
      <c r="K88" s="2" t="s">
        <v>7</v>
      </c>
    </row>
    <row r="89" spans="1:11">
      <c r="A89" s="2">
        <f t="shared" ca="1" si="1"/>
        <v>113</v>
      </c>
      <c r="B89" s="2" cm="1">
        <f t="array" aca="1" ref="B89" ca="1">INDEX(Data_DBD!$C:$C,$A89)</f>
        <v>1</v>
      </c>
      <c r="C89" s="2" cm="1">
        <f t="array" aca="1" ref="C89" ca="1">INDEX(Data_DBD!$E:$E,$A89)</f>
        <v>1</v>
      </c>
      <c r="D89" s="2" t="str" cm="1">
        <f t="array" aca="1" ref="D89" ca="1">INDEX(Data_DBD!$F:$F,$A89)</f>
        <v>Tinggi</v>
      </c>
      <c r="H89" s="2">
        <v>102</v>
      </c>
      <c r="I89" s="2">
        <v>4</v>
      </c>
      <c r="J89" s="2">
        <v>0</v>
      </c>
      <c r="K89" s="2" t="s">
        <v>97</v>
      </c>
    </row>
    <row r="90" spans="1:11">
      <c r="A90" s="2">
        <f t="shared" ca="1" si="1"/>
        <v>150</v>
      </c>
      <c r="B90" s="2" cm="1">
        <f t="array" aca="1" ref="B90" ca="1">INDEX(Data_DBD!$C:$C,$A90)</f>
        <v>5</v>
      </c>
      <c r="C90" s="2" cm="1">
        <f t="array" aca="1" ref="C90" ca="1">INDEX(Data_DBD!$E:$E,$A90)</f>
        <v>1</v>
      </c>
      <c r="D90" s="2" t="str" cm="1">
        <f t="array" aca="1" ref="D90" ca="1">INDEX(Data_DBD!$F:$F,$A90)</f>
        <v>Tinggi</v>
      </c>
      <c r="H90" s="2">
        <v>75</v>
      </c>
      <c r="I90" s="2">
        <v>2</v>
      </c>
      <c r="J90" s="2">
        <v>1</v>
      </c>
      <c r="K90" s="2" t="s">
        <v>7</v>
      </c>
    </row>
    <row r="91" spans="1:11">
      <c r="A91" s="2">
        <f t="shared" ca="1" si="1"/>
        <v>124</v>
      </c>
      <c r="B91" s="2" cm="1">
        <f t="array" aca="1" ref="B91" ca="1">INDEX(Data_DBD!$C:$C,$A91)</f>
        <v>3</v>
      </c>
      <c r="C91" s="2" cm="1">
        <f t="array" aca="1" ref="C91" ca="1">INDEX(Data_DBD!$E:$E,$A91)</f>
        <v>1</v>
      </c>
      <c r="D91" s="2" t="str" cm="1">
        <f t="array" aca="1" ref="D91" ca="1">INDEX(Data_DBD!$F:$F,$A91)</f>
        <v>Tinggi</v>
      </c>
      <c r="H91" s="2">
        <v>8</v>
      </c>
      <c r="I91" s="2">
        <v>2</v>
      </c>
      <c r="J91" s="2">
        <v>0</v>
      </c>
      <c r="K91" s="2" t="s">
        <v>7</v>
      </c>
    </row>
    <row r="92" spans="1:11">
      <c r="A92" s="2">
        <f t="shared" ca="1" si="1"/>
        <v>70</v>
      </c>
      <c r="B92" s="2" cm="1">
        <f t="array" aca="1" ref="B92" ca="1">INDEX(Data_DBD!$C:$C,$A92)</f>
        <v>3</v>
      </c>
      <c r="C92" s="2" cm="1">
        <f t="array" aca="1" ref="C92" ca="1">INDEX(Data_DBD!$E:$E,$A92)</f>
        <v>1</v>
      </c>
      <c r="D92" s="2" t="str" cm="1">
        <f t="array" aca="1" ref="D92" ca="1">INDEX(Data_DBD!$F:$F,$A92)</f>
        <v>Sedang</v>
      </c>
      <c r="H92" s="2">
        <v>64</v>
      </c>
      <c r="I92" s="2">
        <v>1</v>
      </c>
      <c r="J92" s="2">
        <v>0</v>
      </c>
      <c r="K92" s="2" t="s">
        <v>7</v>
      </c>
    </row>
    <row r="93" spans="1:11">
      <c r="A93" s="2">
        <f t="shared" ca="1" si="1"/>
        <v>24</v>
      </c>
      <c r="B93" s="2" cm="1">
        <f t="array" aca="1" ref="B93" ca="1">INDEX(Data_DBD!$C:$C,$A93)</f>
        <v>4</v>
      </c>
      <c r="C93" s="2" cm="1">
        <f t="array" aca="1" ref="C93" ca="1">INDEX(Data_DBD!$E:$E,$A93)</f>
        <v>0</v>
      </c>
      <c r="D93" s="2" t="str" cm="1">
        <f t="array" aca="1" ref="D93" ca="1">INDEX(Data_DBD!$F:$F,$A93)</f>
        <v>Sedang</v>
      </c>
      <c r="H93" s="2">
        <v>160</v>
      </c>
      <c r="I93" s="2">
        <v>3</v>
      </c>
      <c r="J93" s="2">
        <v>0</v>
      </c>
      <c r="K93" s="2" t="s">
        <v>97</v>
      </c>
    </row>
    <row r="94" spans="1:11">
      <c r="A94" s="2">
        <f t="shared" ca="1" si="1"/>
        <v>46</v>
      </c>
      <c r="B94" s="2" cm="1">
        <f t="array" aca="1" ref="B94" ca="1">INDEX(Data_DBD!$C:$C,$A94)</f>
        <v>2</v>
      </c>
      <c r="C94" s="2" cm="1">
        <f t="array" aca="1" ref="C94" ca="1">INDEX(Data_DBD!$E:$E,$A94)</f>
        <v>0</v>
      </c>
      <c r="D94" s="2" t="str" cm="1">
        <f t="array" aca="1" ref="D94" ca="1">INDEX(Data_DBD!$F:$F,$A94)</f>
        <v>Sedang</v>
      </c>
      <c r="H94" s="2">
        <v>115</v>
      </c>
      <c r="I94" s="2">
        <v>3</v>
      </c>
      <c r="J94" s="2">
        <v>1</v>
      </c>
      <c r="K94" s="2" t="s">
        <v>97</v>
      </c>
    </row>
    <row r="95" spans="1:11">
      <c r="A95" s="2">
        <f t="shared" ca="1" si="1"/>
        <v>103</v>
      </c>
      <c r="B95" s="2" cm="1">
        <f t="array" aca="1" ref="B95" ca="1">INDEX(Data_DBD!$C:$C,$A95)</f>
        <v>5</v>
      </c>
      <c r="C95" s="2" cm="1">
        <f t="array" aca="1" ref="C95" ca="1">INDEX(Data_DBD!$E:$E,$A95)</f>
        <v>0</v>
      </c>
      <c r="D95" s="2" t="str" cm="1">
        <f t="array" aca="1" ref="D95" ca="1">INDEX(Data_DBD!$F:$F,$A95)</f>
        <v>Tinggi</v>
      </c>
      <c r="H95" s="2">
        <v>88</v>
      </c>
      <c r="I95" s="2">
        <v>4</v>
      </c>
      <c r="J95" s="2">
        <v>1</v>
      </c>
      <c r="K95" s="2" t="s">
        <v>7</v>
      </c>
    </row>
    <row r="96" spans="1:11">
      <c r="A96" s="2">
        <f t="shared" ca="1" si="1"/>
        <v>130</v>
      </c>
      <c r="B96" s="2" cm="1">
        <f t="array" aca="1" ref="B96" ca="1">INDEX(Data_DBD!$C:$C,$A96)</f>
        <v>4</v>
      </c>
      <c r="C96" s="2" cm="1">
        <f t="array" aca="1" ref="C96" ca="1">INDEX(Data_DBD!$E:$E,$A96)</f>
        <v>0</v>
      </c>
      <c r="D96" s="2" t="str" cm="1">
        <f t="array" aca="1" ref="D96" ca="1">INDEX(Data_DBD!$F:$F,$A96)</f>
        <v>Tinggi</v>
      </c>
      <c r="H96" s="2">
        <v>126</v>
      </c>
      <c r="I96" s="2">
        <v>3</v>
      </c>
      <c r="J96" s="2">
        <v>1</v>
      </c>
      <c r="K96" s="2" t="s">
        <v>97</v>
      </c>
    </row>
    <row r="97" spans="1:11">
      <c r="A97" s="2">
        <f t="shared" ca="1" si="1"/>
        <v>62</v>
      </c>
      <c r="B97" s="2" cm="1">
        <f t="array" aca="1" ref="B97" ca="1">INDEX(Data_DBD!$C:$C,$A97)</f>
        <v>4</v>
      </c>
      <c r="C97" s="2" cm="1">
        <f t="array" aca="1" ref="C97" ca="1">INDEX(Data_DBD!$E:$E,$A97)</f>
        <v>1</v>
      </c>
      <c r="D97" s="2" t="str" cm="1">
        <f t="array" aca="1" ref="D97" ca="1">INDEX(Data_DBD!$F:$F,$A97)</f>
        <v>Sedang</v>
      </c>
      <c r="H97" s="2">
        <v>141</v>
      </c>
      <c r="I97" s="2">
        <v>2</v>
      </c>
      <c r="J97" s="2">
        <v>0</v>
      </c>
      <c r="K97" s="2" t="s">
        <v>97</v>
      </c>
    </row>
    <row r="98" spans="1:11">
      <c r="A98" s="2">
        <f t="shared" ca="1" si="1"/>
        <v>82</v>
      </c>
      <c r="B98" s="2" cm="1">
        <f t="array" aca="1" ref="B98" ca="1">INDEX(Data_DBD!$C:$C,$A98)</f>
        <v>3</v>
      </c>
      <c r="C98" s="2" cm="1">
        <f t="array" aca="1" ref="C98" ca="1">INDEX(Data_DBD!$E:$E,$A98)</f>
        <v>1</v>
      </c>
      <c r="D98" s="2" t="str" cm="1">
        <f t="array" aca="1" ref="D98" ca="1">INDEX(Data_DBD!$F:$F,$A98)</f>
        <v>Sedang</v>
      </c>
      <c r="H98" s="2">
        <v>108</v>
      </c>
      <c r="I98" s="2">
        <v>7</v>
      </c>
      <c r="J98" s="2">
        <v>1</v>
      </c>
      <c r="K98" s="2" t="s">
        <v>97</v>
      </c>
    </row>
    <row r="99" spans="1:11">
      <c r="A99" s="2">
        <f t="shared" ca="1" si="1"/>
        <v>20</v>
      </c>
      <c r="B99" s="2" cm="1">
        <f t="array" aca="1" ref="B99" ca="1">INDEX(Data_DBD!$C:$C,$A99)</f>
        <v>5</v>
      </c>
      <c r="C99" s="2" cm="1">
        <f t="array" aca="1" ref="C99" ca="1">INDEX(Data_DBD!$E:$E,$A99)</f>
        <v>0</v>
      </c>
      <c r="D99" s="2" t="str" cm="1">
        <f t="array" aca="1" ref="D99" ca="1">INDEX(Data_DBD!$F:$F,$A99)</f>
        <v>Rendah</v>
      </c>
      <c r="H99" s="2">
        <v>14</v>
      </c>
      <c r="I99" s="2">
        <v>4</v>
      </c>
      <c r="J99" s="2">
        <v>1</v>
      </c>
      <c r="K99" s="2" t="s">
        <v>20</v>
      </c>
    </row>
    <row r="100" spans="1:11">
      <c r="A100" s="2">
        <f t="shared" ca="1" si="1"/>
        <v>137</v>
      </c>
      <c r="B100" s="2" cm="1">
        <f t="array" aca="1" ref="B100" ca="1">INDEX(Data_DBD!$C:$C,$A100)</f>
        <v>1</v>
      </c>
      <c r="C100" s="2" cm="1">
        <f t="array" aca="1" ref="C100" ca="1">INDEX(Data_DBD!$E:$E,$A100)</f>
        <v>1</v>
      </c>
      <c r="D100" s="2" t="str" cm="1">
        <f t="array" aca="1" ref="D100" ca="1">INDEX(Data_DBD!$F:$F,$A100)</f>
        <v>Tinggi</v>
      </c>
      <c r="H100" s="2">
        <v>93</v>
      </c>
      <c r="I100" s="2">
        <v>4</v>
      </c>
      <c r="J100" s="2">
        <v>0</v>
      </c>
      <c r="K100" s="2" t="s">
        <v>97</v>
      </c>
    </row>
    <row r="101" spans="1:11">
      <c r="A101" s="2">
        <f t="shared" ca="1" si="1"/>
        <v>103</v>
      </c>
      <c r="B101" s="2" cm="1">
        <f t="array" aca="1" ref="B101" ca="1">INDEX(Data_DBD!$C:$C,$A101)</f>
        <v>5</v>
      </c>
      <c r="C101" s="2" cm="1">
        <f t="array" aca="1" ref="C101" ca="1">INDEX(Data_DBD!$E:$E,$A101)</f>
        <v>0</v>
      </c>
      <c r="D101" s="2" t="str" cm="1">
        <f t="array" aca="1" ref="D101" ca="1">INDEX(Data_DBD!$F:$F,$A101)</f>
        <v>Tinggi</v>
      </c>
      <c r="H101" s="2">
        <v>120</v>
      </c>
      <c r="I101" s="2">
        <v>4</v>
      </c>
      <c r="J101" s="2">
        <v>1</v>
      </c>
      <c r="K101" s="2" t="s">
        <v>97</v>
      </c>
    </row>
    <row r="102" spans="1:11">
      <c r="A102" s="2">
        <f t="shared" ca="1" si="1"/>
        <v>120</v>
      </c>
      <c r="B102" s="2" cm="1">
        <f t="array" aca="1" ref="B102" ca="1">INDEX(Data_DBD!$C:$C,$A102)</f>
        <v>4</v>
      </c>
      <c r="C102" s="2" cm="1">
        <f t="array" aca="1" ref="C102" ca="1">INDEX(Data_DBD!$E:$E,$A102)</f>
        <v>1</v>
      </c>
      <c r="D102" s="2" t="str" cm="1">
        <f t="array" aca="1" ref="D102" ca="1">INDEX(Data_DBD!$F:$F,$A102)</f>
        <v>Tinggi</v>
      </c>
      <c r="H102" s="2">
        <v>18</v>
      </c>
      <c r="I102" s="2">
        <v>4</v>
      </c>
      <c r="J102" s="2">
        <v>1</v>
      </c>
      <c r="K102" s="2" t="s">
        <v>20</v>
      </c>
    </row>
    <row r="103" spans="1:11">
      <c r="A103" s="2">
        <f t="shared" ca="1" si="1"/>
        <v>29</v>
      </c>
      <c r="B103" s="2" cm="1">
        <f t="array" aca="1" ref="B103" ca="1">INDEX(Data_DBD!$C:$C,$A103)</f>
        <v>2</v>
      </c>
      <c r="C103" s="2" cm="1">
        <f t="array" aca="1" ref="C103" ca="1">INDEX(Data_DBD!$E:$E,$A103)</f>
        <v>1</v>
      </c>
      <c r="D103" s="2" t="str" cm="1">
        <f t="array" aca="1" ref="D103" ca="1">INDEX(Data_DBD!$F:$F,$A103)</f>
        <v>Sedang</v>
      </c>
      <c r="H103" s="2">
        <v>145</v>
      </c>
      <c r="I103" s="2">
        <v>4</v>
      </c>
      <c r="J103" s="2">
        <v>1</v>
      </c>
      <c r="K103" s="2" t="s">
        <v>97</v>
      </c>
    </row>
    <row r="104" spans="1:11">
      <c r="A104" s="2">
        <f t="shared" ca="1" si="1"/>
        <v>151</v>
      </c>
      <c r="B104" s="2" cm="1">
        <f t="array" aca="1" ref="B104" ca="1">INDEX(Data_DBD!$C:$C,$A104)</f>
        <v>3</v>
      </c>
      <c r="C104" s="2" cm="1">
        <f t="array" aca="1" ref="C104" ca="1">INDEX(Data_DBD!$E:$E,$A104)</f>
        <v>0</v>
      </c>
      <c r="D104" s="2" t="str" cm="1">
        <f t="array" aca="1" ref="D104" ca="1">INDEX(Data_DBD!$F:$F,$A104)</f>
        <v>Tinggi</v>
      </c>
      <c r="H104" s="2">
        <v>58</v>
      </c>
      <c r="I104" s="2">
        <v>3</v>
      </c>
      <c r="J104" s="2">
        <v>0</v>
      </c>
      <c r="K104" s="2" t="s">
        <v>7</v>
      </c>
    </row>
    <row r="105" spans="1:11">
      <c r="A105" s="2">
        <f t="shared" ca="1" si="1"/>
        <v>63</v>
      </c>
      <c r="B105" s="2" cm="1">
        <f t="array" aca="1" ref="B105" ca="1">INDEX(Data_DBD!$C:$C,$A105)</f>
        <v>3</v>
      </c>
      <c r="C105" s="2" cm="1">
        <f t="array" aca="1" ref="C105" ca="1">INDEX(Data_DBD!$E:$E,$A105)</f>
        <v>0</v>
      </c>
      <c r="D105" s="2" t="str" cm="1">
        <f t="array" aca="1" ref="D105" ca="1">INDEX(Data_DBD!$F:$F,$A105)</f>
        <v>Sedang</v>
      </c>
      <c r="H105" s="2">
        <v>73</v>
      </c>
      <c r="I105" s="2">
        <v>3</v>
      </c>
      <c r="J105" s="2">
        <v>1</v>
      </c>
      <c r="K105" s="2" t="s">
        <v>7</v>
      </c>
    </row>
    <row r="106" spans="1:11">
      <c r="A106" s="2">
        <f t="shared" ca="1" si="1"/>
        <v>115</v>
      </c>
      <c r="B106" s="2" cm="1">
        <f t="array" aca="1" ref="B106" ca="1">INDEX(Data_DBD!$C:$C,$A106)</f>
        <v>3</v>
      </c>
      <c r="C106" s="2" cm="1">
        <f t="array" aca="1" ref="C106" ca="1">INDEX(Data_DBD!$E:$E,$A106)</f>
        <v>1</v>
      </c>
      <c r="D106" s="2" t="str" cm="1">
        <f t="array" aca="1" ref="D106" ca="1">INDEX(Data_DBD!$F:$F,$A106)</f>
        <v>Tinggi</v>
      </c>
      <c r="H106" s="2">
        <v>114</v>
      </c>
      <c r="I106" s="2">
        <v>2</v>
      </c>
      <c r="J106" s="2">
        <v>1</v>
      </c>
      <c r="K106" s="2" t="s">
        <v>97</v>
      </c>
    </row>
    <row r="107" spans="1:11">
      <c r="A107" s="2">
        <f t="shared" ca="1" si="1"/>
        <v>129</v>
      </c>
      <c r="B107" s="2" cm="1">
        <f t="array" aca="1" ref="B107" ca="1">INDEX(Data_DBD!$C:$C,$A107)</f>
        <v>3</v>
      </c>
      <c r="C107" s="2" cm="1">
        <f t="array" aca="1" ref="C107" ca="1">INDEX(Data_DBD!$E:$E,$A107)</f>
        <v>0</v>
      </c>
      <c r="D107" s="2" t="str" cm="1">
        <f t="array" aca="1" ref="D107" ca="1">INDEX(Data_DBD!$F:$F,$A107)</f>
        <v>Tinggi</v>
      </c>
      <c r="H107" s="2">
        <v>15</v>
      </c>
      <c r="I107" s="2">
        <v>2</v>
      </c>
      <c r="J107" s="2">
        <v>0</v>
      </c>
      <c r="K107" s="2" t="s">
        <v>20</v>
      </c>
    </row>
    <row r="108" spans="1:11">
      <c r="A108" s="2">
        <f t="shared" ca="1" si="1"/>
        <v>160</v>
      </c>
      <c r="B108" s="2" cm="1">
        <f t="array" aca="1" ref="B108" ca="1">INDEX(Data_DBD!$C:$C,$A108)</f>
        <v>3</v>
      </c>
      <c r="C108" s="2" cm="1">
        <f t="array" aca="1" ref="C108" ca="1">INDEX(Data_DBD!$E:$E,$A108)</f>
        <v>0</v>
      </c>
      <c r="D108" s="2" t="str" cm="1">
        <f t="array" aca="1" ref="D108" ca="1">INDEX(Data_DBD!$F:$F,$A108)</f>
        <v>Tinggi</v>
      </c>
      <c r="H108" s="2">
        <v>110</v>
      </c>
      <c r="I108" s="2">
        <v>2</v>
      </c>
      <c r="J108" s="2">
        <v>1</v>
      </c>
      <c r="K108" s="2" t="s">
        <v>97</v>
      </c>
    </row>
    <row r="109" spans="1:11">
      <c r="A109" s="2">
        <f t="shared" ca="1" si="1"/>
        <v>93</v>
      </c>
      <c r="B109" s="2" cm="1">
        <f t="array" aca="1" ref="B109" ca="1">INDEX(Data_DBD!$C:$C,$A109)</f>
        <v>4</v>
      </c>
      <c r="C109" s="2" cm="1">
        <f t="array" aca="1" ref="C109" ca="1">INDEX(Data_DBD!$E:$E,$A109)</f>
        <v>0</v>
      </c>
      <c r="D109" s="2" t="str" cm="1">
        <f t="array" aca="1" ref="D109" ca="1">INDEX(Data_DBD!$F:$F,$A109)</f>
        <v>Tinggi</v>
      </c>
      <c r="H109" s="2">
        <v>80</v>
      </c>
      <c r="I109" s="2">
        <v>3</v>
      </c>
      <c r="J109" s="2">
        <v>1</v>
      </c>
      <c r="K109" s="2" t="s">
        <v>7</v>
      </c>
    </row>
    <row r="110" spans="1:11">
      <c r="A110" s="2">
        <f t="shared" ca="1" si="1"/>
        <v>13</v>
      </c>
      <c r="B110" s="2" cm="1">
        <f t="array" aca="1" ref="B110" ca="1">INDEX(Data_DBD!$C:$C,$A110)</f>
        <v>2</v>
      </c>
      <c r="C110" s="2" cm="1">
        <f t="array" aca="1" ref="C110" ca="1">INDEX(Data_DBD!$E:$E,$A110)</f>
        <v>0</v>
      </c>
      <c r="D110" s="2" t="str" cm="1">
        <f t="array" aca="1" ref="D110" ca="1">INDEX(Data_DBD!$F:$F,$A110)</f>
        <v>Sedang</v>
      </c>
      <c r="H110" s="2">
        <v>86</v>
      </c>
      <c r="I110" s="2">
        <v>3</v>
      </c>
      <c r="J110" s="2">
        <v>0</v>
      </c>
      <c r="K110" s="2" t="s">
        <v>7</v>
      </c>
    </row>
    <row r="111" spans="1:11">
      <c r="A111" s="2">
        <f t="shared" ca="1" si="1"/>
        <v>117</v>
      </c>
      <c r="B111" s="2" cm="1">
        <f t="array" aca="1" ref="B111" ca="1">INDEX(Data_DBD!$C:$C,$A111)</f>
        <v>4</v>
      </c>
      <c r="C111" s="2" cm="1">
        <f t="array" aca="1" ref="C111" ca="1">INDEX(Data_DBD!$E:$E,$A111)</f>
        <v>1</v>
      </c>
      <c r="D111" s="2" t="str" cm="1">
        <f t="array" aca="1" ref="D111" ca="1">INDEX(Data_DBD!$F:$F,$A111)</f>
        <v>Tinggi</v>
      </c>
      <c r="H111" s="2">
        <v>33</v>
      </c>
      <c r="I111" s="2">
        <v>4</v>
      </c>
      <c r="J111" s="2">
        <v>1</v>
      </c>
      <c r="K111" s="2" t="s">
        <v>7</v>
      </c>
    </row>
    <row r="112" spans="1:11">
      <c r="A112" s="2">
        <f t="shared" ca="1" si="1"/>
        <v>31</v>
      </c>
      <c r="B112" s="2" cm="1">
        <f t="array" aca="1" ref="B112" ca="1">INDEX(Data_DBD!$C:$C,$A112)</f>
        <v>4</v>
      </c>
      <c r="C112" s="2" cm="1">
        <f t="array" aca="1" ref="C112" ca="1">INDEX(Data_DBD!$E:$E,$A112)</f>
        <v>1</v>
      </c>
      <c r="D112" s="2" t="str" cm="1">
        <f t="array" aca="1" ref="D112" ca="1">INDEX(Data_DBD!$F:$F,$A112)</f>
        <v>Sedang</v>
      </c>
      <c r="H112" s="2">
        <v>43</v>
      </c>
      <c r="I112" s="2">
        <v>4</v>
      </c>
      <c r="J112" s="2">
        <v>0</v>
      </c>
      <c r="K112" s="2" t="s">
        <v>7</v>
      </c>
    </row>
    <row r="113" spans="1:11">
      <c r="A113" s="2">
        <f t="shared" ca="1" si="1"/>
        <v>33</v>
      </c>
      <c r="B113" s="2" cm="1">
        <f t="array" aca="1" ref="B113" ca="1">INDEX(Data_DBD!$C:$C,$A113)</f>
        <v>4</v>
      </c>
      <c r="C113" s="2" cm="1">
        <f t="array" aca="1" ref="C113" ca="1">INDEX(Data_DBD!$E:$E,$A113)</f>
        <v>1</v>
      </c>
      <c r="D113" s="2" t="str" cm="1">
        <f t="array" aca="1" ref="D113" ca="1">INDEX(Data_DBD!$F:$F,$A113)</f>
        <v>Sedang</v>
      </c>
      <c r="H113" s="2">
        <v>118</v>
      </c>
      <c r="I113" s="2">
        <v>4</v>
      </c>
      <c r="J113" s="2">
        <v>1</v>
      </c>
      <c r="K113" s="2" t="s">
        <v>97</v>
      </c>
    </row>
    <row r="114" spans="1:11">
      <c r="A114" s="2">
        <f t="shared" ca="1" si="1"/>
        <v>149</v>
      </c>
      <c r="B114" s="2" cm="1">
        <f t="array" aca="1" ref="B114" ca="1">INDEX(Data_DBD!$C:$C,$A114)</f>
        <v>5</v>
      </c>
      <c r="C114" s="2" cm="1">
        <f t="array" aca="1" ref="C114" ca="1">INDEX(Data_DBD!$E:$E,$A114)</f>
        <v>0</v>
      </c>
      <c r="D114" s="2" t="str" cm="1">
        <f t="array" aca="1" ref="D114" ca="1">INDEX(Data_DBD!$F:$F,$A114)</f>
        <v>Tinggi</v>
      </c>
      <c r="H114" s="2">
        <v>69</v>
      </c>
      <c r="I114" s="2">
        <v>4</v>
      </c>
      <c r="J114" s="2">
        <v>1</v>
      </c>
      <c r="K114" s="2" t="s">
        <v>7</v>
      </c>
    </row>
    <row r="115" spans="1:11">
      <c r="A115" s="2">
        <f t="shared" ca="1" si="1"/>
        <v>10</v>
      </c>
      <c r="B115" s="2" cm="1">
        <f t="array" aca="1" ref="B115" ca="1">INDEX(Data_DBD!$C:$C,$A115)</f>
        <v>5</v>
      </c>
      <c r="C115" s="2" cm="1">
        <f t="array" aca="1" ref="C115" ca="1">INDEX(Data_DBD!$E:$E,$A115)</f>
        <v>0</v>
      </c>
      <c r="D115" s="2" t="str" cm="1">
        <f t="array" aca="1" ref="D115" ca="1">INDEX(Data_DBD!$F:$F,$A115)</f>
        <v>Sedang</v>
      </c>
      <c r="H115" s="2">
        <v>27</v>
      </c>
      <c r="I115" s="2">
        <v>4</v>
      </c>
      <c r="J115" s="2">
        <v>1</v>
      </c>
      <c r="K115" s="2" t="s">
        <v>7</v>
      </c>
    </row>
    <row r="116" spans="1:11">
      <c r="A116" s="2">
        <f t="shared" ca="1" si="1"/>
        <v>59</v>
      </c>
      <c r="B116" s="2" cm="1">
        <f t="array" aca="1" ref="B116" ca="1">INDEX(Data_DBD!$C:$C,$A116)</f>
        <v>4</v>
      </c>
      <c r="C116" s="2" cm="1">
        <f t="array" aca="1" ref="C116" ca="1">INDEX(Data_DBD!$E:$E,$A116)</f>
        <v>0</v>
      </c>
      <c r="D116" s="2" t="str" cm="1">
        <f t="array" aca="1" ref="D116" ca="1">INDEX(Data_DBD!$F:$F,$A116)</f>
        <v>Sedang</v>
      </c>
      <c r="H116" s="2">
        <v>39</v>
      </c>
      <c r="I116" s="2">
        <v>5</v>
      </c>
      <c r="J116" s="2">
        <v>1</v>
      </c>
      <c r="K116" s="2" t="s">
        <v>7</v>
      </c>
    </row>
    <row r="117" spans="1:11">
      <c r="A117" s="2">
        <f t="shared" ca="1" si="1"/>
        <v>3</v>
      </c>
      <c r="B117" s="2" cm="1">
        <f t="array" aca="1" ref="B117" ca="1">INDEX(Data_DBD!$C:$C,$A117)</f>
        <v>3</v>
      </c>
      <c r="C117" s="2" cm="1">
        <f t="array" aca="1" ref="C117" ca="1">INDEX(Data_DBD!$E:$E,$A117)</f>
        <v>1</v>
      </c>
      <c r="D117" s="2" t="str" cm="1">
        <f t="array" aca="1" ref="D117" ca="1">INDEX(Data_DBD!$F:$F,$A117)</f>
        <v>Sedang</v>
      </c>
      <c r="H117" s="2">
        <v>40</v>
      </c>
      <c r="I117" s="2">
        <v>3</v>
      </c>
      <c r="J117" s="2">
        <v>1</v>
      </c>
      <c r="K117" s="2" t="s">
        <v>7</v>
      </c>
    </row>
    <row r="118" spans="1:11">
      <c r="A118" s="2">
        <f t="shared" ca="1" si="1"/>
        <v>68</v>
      </c>
      <c r="B118" s="2" cm="1">
        <f t="array" aca="1" ref="B118" ca="1">INDEX(Data_DBD!$C:$C,$A118)</f>
        <v>5</v>
      </c>
      <c r="C118" s="2" cm="1">
        <f t="array" aca="1" ref="C118" ca="1">INDEX(Data_DBD!$E:$E,$A118)</f>
        <v>0</v>
      </c>
      <c r="D118" s="2" t="str" cm="1">
        <f t="array" aca="1" ref="D118" ca="1">INDEX(Data_DBD!$F:$F,$A118)</f>
        <v>Sedang</v>
      </c>
      <c r="H118" s="2">
        <v>112</v>
      </c>
      <c r="I118" s="2">
        <v>3</v>
      </c>
      <c r="J118" s="2">
        <v>1</v>
      </c>
      <c r="K118" s="2" t="s">
        <v>97</v>
      </c>
    </row>
    <row r="119" spans="1:11">
      <c r="A119" s="2">
        <f t="shared" ca="1" si="1"/>
        <v>19</v>
      </c>
      <c r="B119" s="2" cm="1">
        <f t="array" aca="1" ref="B119" ca="1">INDEX(Data_DBD!$C:$C,$A119)</f>
        <v>4</v>
      </c>
      <c r="C119" s="2" cm="1">
        <f t="array" aca="1" ref="C119" ca="1">INDEX(Data_DBD!$E:$E,$A119)</f>
        <v>0</v>
      </c>
      <c r="D119" s="2" t="str" cm="1">
        <f t="array" aca="1" ref="D119" ca="1">INDEX(Data_DBD!$F:$F,$A119)</f>
        <v>Rendah</v>
      </c>
      <c r="H119" s="2">
        <v>119</v>
      </c>
      <c r="I119" s="2">
        <v>7</v>
      </c>
      <c r="J119" s="2">
        <v>0</v>
      </c>
      <c r="K119" s="2" t="s">
        <v>97</v>
      </c>
    </row>
    <row r="120" spans="1:11">
      <c r="A120" s="2">
        <f t="shared" ca="1" si="1"/>
        <v>87</v>
      </c>
      <c r="B120" s="2" cm="1">
        <f t="array" aca="1" ref="B120" ca="1">INDEX(Data_DBD!$C:$C,$A120)</f>
        <v>3</v>
      </c>
      <c r="C120" s="2" cm="1">
        <f t="array" aca="1" ref="C120" ca="1">INDEX(Data_DBD!$E:$E,$A120)</f>
        <v>0</v>
      </c>
      <c r="D120" s="2" t="str" cm="1">
        <f t="array" aca="1" ref="D120" ca="1">INDEX(Data_DBD!$F:$F,$A120)</f>
        <v>Sedang</v>
      </c>
      <c r="H120" s="2">
        <v>101</v>
      </c>
      <c r="I120" s="2">
        <v>5</v>
      </c>
      <c r="J120" s="2">
        <v>0</v>
      </c>
      <c r="K120" s="2" t="s">
        <v>97</v>
      </c>
    </row>
    <row r="121" spans="1:11">
      <c r="A121" s="2">
        <f t="shared" ca="1" si="1"/>
        <v>13</v>
      </c>
      <c r="B121" s="2" cm="1">
        <f t="array" aca="1" ref="B121" ca="1">INDEX(Data_DBD!$C:$C,$A121)</f>
        <v>2</v>
      </c>
      <c r="C121" s="2" cm="1">
        <f t="array" aca="1" ref="C121" ca="1">INDEX(Data_DBD!$E:$E,$A121)</f>
        <v>0</v>
      </c>
      <c r="D121" s="2" t="str" cm="1">
        <f t="array" aca="1" ref="D121" ca="1">INDEX(Data_DBD!$F:$F,$A121)</f>
        <v>Sedang</v>
      </c>
      <c r="H121" s="2">
        <v>88</v>
      </c>
      <c r="I121" s="2">
        <v>4</v>
      </c>
      <c r="J121" s="2">
        <v>1</v>
      </c>
      <c r="K121" s="2" t="s">
        <v>7</v>
      </c>
    </row>
    <row r="122" spans="1:11">
      <c r="A122" s="2">
        <f t="shared" ca="1" si="1"/>
        <v>109</v>
      </c>
      <c r="B122" s="2" cm="1">
        <f t="array" aca="1" ref="B122" ca="1">INDEX(Data_DBD!$C:$C,$A122)</f>
        <v>3</v>
      </c>
      <c r="C122" s="2" cm="1">
        <f t="array" aca="1" ref="C122" ca="1">INDEX(Data_DBD!$E:$E,$A122)</f>
        <v>1</v>
      </c>
      <c r="D122" s="2" t="str" cm="1">
        <f t="array" aca="1" ref="D122" ca="1">INDEX(Data_DBD!$F:$F,$A122)</f>
        <v>Tinggi</v>
      </c>
      <c r="H122" s="2">
        <v>144</v>
      </c>
      <c r="I122" s="2">
        <v>4</v>
      </c>
      <c r="J122" s="2">
        <v>1</v>
      </c>
      <c r="K122" s="2" t="s">
        <v>97</v>
      </c>
    </row>
    <row r="123" spans="1:11">
      <c r="A123" s="2">
        <f t="shared" ca="1" si="1"/>
        <v>159</v>
      </c>
      <c r="B123" s="2" cm="1">
        <f t="array" aca="1" ref="B123" ca="1">INDEX(Data_DBD!$C:$C,$A123)</f>
        <v>2</v>
      </c>
      <c r="C123" s="2" cm="1">
        <f t="array" aca="1" ref="C123" ca="1">INDEX(Data_DBD!$E:$E,$A123)</f>
        <v>0</v>
      </c>
      <c r="D123" s="2" t="str" cm="1">
        <f t="array" aca="1" ref="D123" ca="1">INDEX(Data_DBD!$F:$F,$A123)</f>
        <v>Tinggi</v>
      </c>
      <c r="H123" s="2">
        <v>78</v>
      </c>
      <c r="I123" s="2">
        <v>3</v>
      </c>
      <c r="J123" s="2">
        <v>0</v>
      </c>
      <c r="K123" s="2" t="s">
        <v>7</v>
      </c>
    </row>
    <row r="124" spans="1:11">
      <c r="A124" s="2">
        <f t="shared" ca="1" si="1"/>
        <v>36</v>
      </c>
      <c r="B124" s="2" cm="1">
        <f t="array" aca="1" ref="B124" ca="1">INDEX(Data_DBD!$C:$C,$A124)</f>
        <v>1</v>
      </c>
      <c r="C124" s="2" cm="1">
        <f t="array" aca="1" ref="C124" ca="1">INDEX(Data_DBD!$E:$E,$A124)</f>
        <v>1</v>
      </c>
      <c r="D124" s="2" t="str" cm="1">
        <f t="array" aca="1" ref="D124" ca="1">INDEX(Data_DBD!$F:$F,$A124)</f>
        <v>Rendah</v>
      </c>
      <c r="H124" s="2">
        <v>44</v>
      </c>
      <c r="I124" s="2">
        <v>5</v>
      </c>
      <c r="J124" s="2">
        <v>1</v>
      </c>
      <c r="K124" s="2" t="s">
        <v>7</v>
      </c>
    </row>
    <row r="125" spans="1:11">
      <c r="A125" s="2">
        <f t="shared" ca="1" si="1"/>
        <v>85</v>
      </c>
      <c r="B125" s="2" cm="1">
        <f t="array" aca="1" ref="B125" ca="1">INDEX(Data_DBD!$C:$C,$A125)</f>
        <v>9</v>
      </c>
      <c r="C125" s="2" cm="1">
        <f t="array" aca="1" ref="C125" ca="1">INDEX(Data_DBD!$E:$E,$A125)</f>
        <v>0</v>
      </c>
      <c r="D125" s="2" t="str" cm="1">
        <f t="array" aca="1" ref="D125" ca="1">INDEX(Data_DBD!$F:$F,$A125)</f>
        <v>Sedang</v>
      </c>
      <c r="H125" s="2">
        <v>61</v>
      </c>
      <c r="I125" s="2">
        <v>3</v>
      </c>
      <c r="J125" s="2">
        <v>1</v>
      </c>
      <c r="K125" s="2" t="s">
        <v>7</v>
      </c>
    </row>
    <row r="126" spans="1:11">
      <c r="A126" s="2">
        <f t="shared" ca="1" si="1"/>
        <v>104</v>
      </c>
      <c r="B126" s="2" cm="1">
        <f t="array" aca="1" ref="B126" ca="1">INDEX(Data_DBD!$C:$C,$A126)</f>
        <v>4</v>
      </c>
      <c r="C126" s="2" cm="1">
        <f t="array" aca="1" ref="C126" ca="1">INDEX(Data_DBD!$E:$E,$A126)</f>
        <v>1</v>
      </c>
      <c r="D126" s="2" t="str" cm="1">
        <f t="array" aca="1" ref="D126" ca="1">INDEX(Data_DBD!$F:$F,$A126)</f>
        <v>Tinggi</v>
      </c>
      <c r="H126" s="2">
        <v>71</v>
      </c>
      <c r="I126" s="2">
        <v>3</v>
      </c>
      <c r="J126" s="2">
        <v>0</v>
      </c>
      <c r="K126" s="2" t="s">
        <v>7</v>
      </c>
    </row>
    <row r="127" spans="1:11">
      <c r="A127" s="2">
        <f t="shared" ca="1" si="1"/>
        <v>63</v>
      </c>
      <c r="B127" s="2" cm="1">
        <f t="array" aca="1" ref="B127" ca="1">INDEX(Data_DBD!$C:$C,$A127)</f>
        <v>3</v>
      </c>
      <c r="C127" s="2" cm="1">
        <f t="array" aca="1" ref="C127" ca="1">INDEX(Data_DBD!$E:$E,$A127)</f>
        <v>0</v>
      </c>
      <c r="D127" s="2" t="str" cm="1">
        <f t="array" aca="1" ref="D127" ca="1">INDEX(Data_DBD!$F:$F,$A127)</f>
        <v>Sedang</v>
      </c>
      <c r="H127" s="2">
        <v>105</v>
      </c>
      <c r="I127" s="2">
        <v>3</v>
      </c>
      <c r="J127" s="2">
        <v>1</v>
      </c>
      <c r="K127" s="2" t="s">
        <v>97</v>
      </c>
    </row>
    <row r="128" spans="1:11">
      <c r="A128" s="2">
        <f t="shared" ca="1" si="1"/>
        <v>8</v>
      </c>
      <c r="B128" s="2" cm="1">
        <f t="array" aca="1" ref="B128" ca="1">INDEX(Data_DBD!$C:$C,$A128)</f>
        <v>2</v>
      </c>
      <c r="C128" s="2" cm="1">
        <f t="array" aca="1" ref="C128" ca="1">INDEX(Data_DBD!$E:$E,$A128)</f>
        <v>0</v>
      </c>
      <c r="D128" s="2" t="str" cm="1">
        <f t="array" aca="1" ref="D128" ca="1">INDEX(Data_DBD!$F:$F,$A128)</f>
        <v>Sedang</v>
      </c>
      <c r="H128" s="2">
        <v>14</v>
      </c>
      <c r="I128" s="2">
        <v>4</v>
      </c>
      <c r="J128" s="2">
        <v>1</v>
      </c>
      <c r="K128" s="2" t="s">
        <v>20</v>
      </c>
    </row>
    <row r="129" spans="1:11">
      <c r="A129" s="2">
        <f t="shared" ca="1" si="1"/>
        <v>164</v>
      </c>
      <c r="B129" s="2" cm="1">
        <f t="array" aca="1" ref="B129" ca="1">INDEX(Data_DBD!$C:$C,$A129)</f>
        <v>6</v>
      </c>
      <c r="C129" s="2" cm="1">
        <f t="array" aca="1" ref="C129" ca="1">INDEX(Data_DBD!$E:$E,$A129)</f>
        <v>0</v>
      </c>
      <c r="D129" s="2" t="str" cm="1">
        <f t="array" aca="1" ref="D129" ca="1">INDEX(Data_DBD!$F:$F,$A129)</f>
        <v>Rendah</v>
      </c>
      <c r="H129" s="2">
        <v>145</v>
      </c>
      <c r="I129" s="2">
        <v>4</v>
      </c>
      <c r="J129" s="2">
        <v>1</v>
      </c>
      <c r="K129" s="2" t="s">
        <v>97</v>
      </c>
    </row>
    <row r="130" spans="1:11">
      <c r="A130" s="2">
        <f t="shared" ca="1" si="1"/>
        <v>11</v>
      </c>
      <c r="B130" s="2" cm="1">
        <f t="array" aca="1" ref="B130" ca="1">INDEX(Data_DBD!$C:$C,$A130)</f>
        <v>5</v>
      </c>
      <c r="C130" s="2" cm="1">
        <f t="array" aca="1" ref="C130" ca="1">INDEX(Data_DBD!$E:$E,$A130)</f>
        <v>1</v>
      </c>
      <c r="D130" s="2" t="str" cm="1">
        <f t="array" aca="1" ref="D130" ca="1">INDEX(Data_DBD!$F:$F,$A130)</f>
        <v>Sedang</v>
      </c>
      <c r="H130" s="2">
        <v>131</v>
      </c>
      <c r="I130" s="2">
        <v>2</v>
      </c>
      <c r="J130" s="2">
        <v>0</v>
      </c>
      <c r="K130" s="2" t="s">
        <v>97</v>
      </c>
    </row>
    <row r="131" spans="1:11">
      <c r="A131" s="2">
        <f t="shared" ref="A131:A164" ca="1" si="2">RANDBETWEEN(2,164)</f>
        <v>10</v>
      </c>
      <c r="B131" s="2" cm="1">
        <f t="array" aca="1" ref="B131" ca="1">INDEX(Data_DBD!$C:$C,$A131)</f>
        <v>5</v>
      </c>
      <c r="C131" s="2" cm="1">
        <f t="array" aca="1" ref="C131" ca="1">INDEX(Data_DBD!$E:$E,$A131)</f>
        <v>0</v>
      </c>
      <c r="D131" s="2" t="str" cm="1">
        <f t="array" aca="1" ref="D131" ca="1">INDEX(Data_DBD!$F:$F,$A131)</f>
        <v>Sedang</v>
      </c>
      <c r="H131" s="2">
        <v>158</v>
      </c>
      <c r="I131" s="2">
        <v>2</v>
      </c>
      <c r="J131" s="2">
        <v>0</v>
      </c>
      <c r="K131" s="2" t="s">
        <v>97</v>
      </c>
    </row>
    <row r="132" spans="1:11">
      <c r="A132" s="2">
        <f t="shared" ca="1" si="2"/>
        <v>15</v>
      </c>
      <c r="B132" s="2" cm="1">
        <f t="array" aca="1" ref="B132" ca="1">INDEX(Data_DBD!$C:$C,$A132)</f>
        <v>2</v>
      </c>
      <c r="C132" s="2" cm="1">
        <f t="array" aca="1" ref="C132" ca="1">INDEX(Data_DBD!$E:$E,$A132)</f>
        <v>0</v>
      </c>
      <c r="D132" s="2" t="str" cm="1">
        <f t="array" aca="1" ref="D132" ca="1">INDEX(Data_DBD!$F:$F,$A132)</f>
        <v>Rendah</v>
      </c>
      <c r="H132" s="2">
        <v>40</v>
      </c>
      <c r="I132" s="2">
        <v>3</v>
      </c>
      <c r="J132" s="2">
        <v>1</v>
      </c>
      <c r="K132" s="2" t="s">
        <v>7</v>
      </c>
    </row>
    <row r="133" spans="1:11">
      <c r="A133" s="2">
        <f t="shared" ca="1" si="2"/>
        <v>45</v>
      </c>
      <c r="B133" s="2" cm="1">
        <f t="array" aca="1" ref="B133" ca="1">INDEX(Data_DBD!$C:$C,$A133)</f>
        <v>3</v>
      </c>
      <c r="C133" s="2" cm="1">
        <f t="array" aca="1" ref="C133" ca="1">INDEX(Data_DBD!$E:$E,$A133)</f>
        <v>1</v>
      </c>
      <c r="D133" s="2" t="str" cm="1">
        <f t="array" aca="1" ref="D133" ca="1">INDEX(Data_DBD!$F:$F,$A133)</f>
        <v>Sedang</v>
      </c>
      <c r="H133" s="2">
        <v>106</v>
      </c>
      <c r="I133" s="2">
        <v>3</v>
      </c>
      <c r="J133" s="2">
        <v>1</v>
      </c>
      <c r="K133" s="2" t="s">
        <v>97</v>
      </c>
    </row>
    <row r="134" spans="1:11">
      <c r="A134" s="2">
        <f t="shared" ca="1" si="2"/>
        <v>156</v>
      </c>
      <c r="B134" s="2" cm="1">
        <f t="array" aca="1" ref="B134" ca="1">INDEX(Data_DBD!$C:$C,$A134)</f>
        <v>2</v>
      </c>
      <c r="C134" s="2" cm="1">
        <f t="array" aca="1" ref="C134" ca="1">INDEX(Data_DBD!$E:$E,$A134)</f>
        <v>0</v>
      </c>
      <c r="D134" s="2" t="str" cm="1">
        <f t="array" aca="1" ref="D134" ca="1">INDEX(Data_DBD!$F:$F,$A134)</f>
        <v>Tinggi</v>
      </c>
      <c r="H134" s="2">
        <v>76</v>
      </c>
      <c r="I134" s="2">
        <v>2</v>
      </c>
      <c r="J134" s="2">
        <v>0</v>
      </c>
      <c r="K134" s="2" t="s">
        <v>7</v>
      </c>
    </row>
    <row r="135" spans="1:11">
      <c r="A135" s="2">
        <f t="shared" ca="1" si="2"/>
        <v>81</v>
      </c>
      <c r="B135" s="2" cm="1">
        <f t="array" aca="1" ref="B135" ca="1">INDEX(Data_DBD!$C:$C,$A135)</f>
        <v>5</v>
      </c>
      <c r="C135" s="2" cm="1">
        <f t="array" aca="1" ref="C135" ca="1">INDEX(Data_DBD!$E:$E,$A135)</f>
        <v>1</v>
      </c>
      <c r="D135" s="2" t="str" cm="1">
        <f t="array" aca="1" ref="D135" ca="1">INDEX(Data_DBD!$F:$F,$A135)</f>
        <v>Sedang</v>
      </c>
      <c r="H135" s="2">
        <v>83</v>
      </c>
      <c r="I135" s="2">
        <v>3</v>
      </c>
      <c r="J135" s="2">
        <v>0</v>
      </c>
      <c r="K135" s="2" t="s">
        <v>7</v>
      </c>
    </row>
    <row r="136" spans="1:11">
      <c r="A136" s="2">
        <f t="shared" ca="1" si="2"/>
        <v>75</v>
      </c>
      <c r="B136" s="2" cm="1">
        <f t="array" aca="1" ref="B136" ca="1">INDEX(Data_DBD!$C:$C,$A136)</f>
        <v>2</v>
      </c>
      <c r="C136" s="2" cm="1">
        <f t="array" aca="1" ref="C136" ca="1">INDEX(Data_DBD!$E:$E,$A136)</f>
        <v>1</v>
      </c>
      <c r="D136" s="2" t="str" cm="1">
        <f t="array" aca="1" ref="D136" ca="1">INDEX(Data_DBD!$F:$F,$A136)</f>
        <v>Sedang</v>
      </c>
      <c r="H136" s="2">
        <v>47</v>
      </c>
      <c r="I136" s="2">
        <v>2</v>
      </c>
      <c r="J136" s="2">
        <v>0</v>
      </c>
      <c r="K136" s="2" t="s">
        <v>7</v>
      </c>
    </row>
    <row r="137" spans="1:11">
      <c r="A137" s="2">
        <f t="shared" ca="1" si="2"/>
        <v>20</v>
      </c>
      <c r="B137" s="2" cm="1">
        <f t="array" aca="1" ref="B137" ca="1">INDEX(Data_DBD!$C:$C,$A137)</f>
        <v>5</v>
      </c>
      <c r="C137" s="2" cm="1">
        <f t="array" aca="1" ref="C137" ca="1">INDEX(Data_DBD!$E:$E,$A137)</f>
        <v>0</v>
      </c>
      <c r="D137" s="2" t="str" cm="1">
        <f t="array" aca="1" ref="D137" ca="1">INDEX(Data_DBD!$F:$F,$A137)</f>
        <v>Rendah</v>
      </c>
      <c r="H137" s="2">
        <v>7</v>
      </c>
      <c r="I137" s="2">
        <v>1</v>
      </c>
      <c r="J137" s="2">
        <v>1</v>
      </c>
      <c r="K137" s="2" t="s">
        <v>7</v>
      </c>
    </row>
    <row r="138" spans="1:11">
      <c r="A138" s="2">
        <f t="shared" ca="1" si="2"/>
        <v>162</v>
      </c>
      <c r="B138" s="2" cm="1">
        <f t="array" aca="1" ref="B138" ca="1">INDEX(Data_DBD!$C:$C,$A138)</f>
        <v>3</v>
      </c>
      <c r="C138" s="2" cm="1">
        <f t="array" aca="1" ref="C138" ca="1">INDEX(Data_DBD!$E:$E,$A138)</f>
        <v>1</v>
      </c>
      <c r="D138" s="2" t="str" cm="1">
        <f t="array" aca="1" ref="D138" ca="1">INDEX(Data_DBD!$F:$F,$A138)</f>
        <v>Rendah</v>
      </c>
      <c r="H138" s="2">
        <v>70</v>
      </c>
      <c r="I138" s="2">
        <v>3</v>
      </c>
      <c r="J138" s="2">
        <v>1</v>
      </c>
      <c r="K138" s="2" t="s">
        <v>7</v>
      </c>
    </row>
    <row r="139" spans="1:11">
      <c r="A139" s="2">
        <f t="shared" ca="1" si="2"/>
        <v>49</v>
      </c>
      <c r="B139" s="2" cm="1">
        <f t="array" aca="1" ref="B139" ca="1">INDEX(Data_DBD!$C:$C,$A139)</f>
        <v>5</v>
      </c>
      <c r="C139" s="2" cm="1">
        <f t="array" aca="1" ref="C139" ca="1">INDEX(Data_DBD!$E:$E,$A139)</f>
        <v>0</v>
      </c>
      <c r="D139" s="2" t="str" cm="1">
        <f t="array" aca="1" ref="D139" ca="1">INDEX(Data_DBD!$F:$F,$A139)</f>
        <v>Sedang</v>
      </c>
      <c r="H139" s="2">
        <v>61</v>
      </c>
      <c r="I139" s="2">
        <v>3</v>
      </c>
      <c r="J139" s="2">
        <v>1</v>
      </c>
      <c r="K139" s="2" t="s">
        <v>7</v>
      </c>
    </row>
    <row r="140" spans="1:11">
      <c r="A140" s="2">
        <f t="shared" ca="1" si="2"/>
        <v>81</v>
      </c>
      <c r="B140" s="2" cm="1">
        <f t="array" aca="1" ref="B140" ca="1">INDEX(Data_DBD!$C:$C,$A140)</f>
        <v>5</v>
      </c>
      <c r="C140" s="2" cm="1">
        <f t="array" aca="1" ref="C140" ca="1">INDEX(Data_DBD!$E:$E,$A140)</f>
        <v>1</v>
      </c>
      <c r="D140" s="2" t="str" cm="1">
        <f t="array" aca="1" ref="D140" ca="1">INDEX(Data_DBD!$F:$F,$A140)</f>
        <v>Sedang</v>
      </c>
      <c r="H140" s="2">
        <v>163</v>
      </c>
      <c r="I140" s="2">
        <v>4</v>
      </c>
      <c r="J140" s="2">
        <v>1</v>
      </c>
      <c r="K140" s="2" t="s">
        <v>20</v>
      </c>
    </row>
    <row r="141" spans="1:11">
      <c r="A141" s="2">
        <f t="shared" ca="1" si="2"/>
        <v>25</v>
      </c>
      <c r="B141" s="2" cm="1">
        <f t="array" aca="1" ref="B141" ca="1">INDEX(Data_DBD!$C:$C,$A141)</f>
        <v>5</v>
      </c>
      <c r="C141" s="2" cm="1">
        <f t="array" aca="1" ref="C141" ca="1">INDEX(Data_DBD!$E:$E,$A141)</f>
        <v>0</v>
      </c>
      <c r="D141" s="2" t="str" cm="1">
        <f t="array" aca="1" ref="D141" ca="1">INDEX(Data_DBD!$F:$F,$A141)</f>
        <v>Sedang</v>
      </c>
      <c r="H141" s="2">
        <v>137</v>
      </c>
      <c r="I141" s="2">
        <v>1</v>
      </c>
      <c r="J141" s="2">
        <v>1</v>
      </c>
      <c r="K141" s="2" t="s">
        <v>97</v>
      </c>
    </row>
    <row r="142" spans="1:11">
      <c r="A142" s="2">
        <f t="shared" ca="1" si="2"/>
        <v>132</v>
      </c>
      <c r="B142" s="2" cm="1">
        <f t="array" aca="1" ref="B142" ca="1">INDEX(Data_DBD!$C:$C,$A142)</f>
        <v>3</v>
      </c>
      <c r="C142" s="2" cm="1">
        <f t="array" aca="1" ref="C142" ca="1">INDEX(Data_DBD!$E:$E,$A142)</f>
        <v>1</v>
      </c>
      <c r="D142" s="2" t="str" cm="1">
        <f t="array" aca="1" ref="D142" ca="1">INDEX(Data_DBD!$F:$F,$A142)</f>
        <v>Tinggi</v>
      </c>
      <c r="H142" s="2">
        <v>139</v>
      </c>
      <c r="I142" s="2">
        <v>7</v>
      </c>
      <c r="J142" s="2">
        <v>0</v>
      </c>
      <c r="K142" s="2" t="s">
        <v>97</v>
      </c>
    </row>
    <row r="143" spans="1:11">
      <c r="A143" s="2">
        <f t="shared" ca="1" si="2"/>
        <v>47</v>
      </c>
      <c r="B143" s="2" cm="1">
        <f t="array" aca="1" ref="B143" ca="1">INDEX(Data_DBD!$C:$C,$A143)</f>
        <v>2</v>
      </c>
      <c r="C143" s="2" cm="1">
        <f t="array" aca="1" ref="C143" ca="1">INDEX(Data_DBD!$E:$E,$A143)</f>
        <v>0</v>
      </c>
      <c r="D143" s="2" t="str" cm="1">
        <f t="array" aca="1" ref="D143" ca="1">INDEX(Data_DBD!$F:$F,$A143)</f>
        <v>Sedang</v>
      </c>
      <c r="H143" s="2">
        <v>86</v>
      </c>
      <c r="I143" s="2">
        <v>3</v>
      </c>
      <c r="J143" s="2">
        <v>0</v>
      </c>
      <c r="K143" s="2" t="s">
        <v>7</v>
      </c>
    </row>
    <row r="144" spans="1:11">
      <c r="A144" s="2">
        <f t="shared" ca="1" si="2"/>
        <v>5</v>
      </c>
      <c r="B144" s="2" cm="1">
        <f t="array" aca="1" ref="B144" ca="1">INDEX(Data_DBD!$C:$C,$A144)</f>
        <v>2</v>
      </c>
      <c r="C144" s="2" cm="1">
        <f t="array" aca="1" ref="C144" ca="1">INDEX(Data_DBD!$E:$E,$A144)</f>
        <v>1</v>
      </c>
      <c r="D144" s="2" t="str" cm="1">
        <f t="array" aca="1" ref="D144" ca="1">INDEX(Data_DBD!$F:$F,$A144)</f>
        <v>Sedang</v>
      </c>
      <c r="H144" s="2">
        <v>93</v>
      </c>
      <c r="I144" s="2">
        <v>4</v>
      </c>
      <c r="J144" s="2">
        <v>0</v>
      </c>
      <c r="K144" s="2" t="s">
        <v>97</v>
      </c>
    </row>
    <row r="145" spans="1:11">
      <c r="A145" s="2">
        <f t="shared" ca="1" si="2"/>
        <v>17</v>
      </c>
      <c r="B145" s="2" cm="1">
        <f t="array" aca="1" ref="B145" ca="1">INDEX(Data_DBD!$C:$C,$A145)</f>
        <v>3</v>
      </c>
      <c r="C145" s="2" cm="1">
        <f t="array" aca="1" ref="C145" ca="1">INDEX(Data_DBD!$E:$E,$A145)</f>
        <v>0</v>
      </c>
      <c r="D145" s="2" t="str" cm="1">
        <f t="array" aca="1" ref="D145" ca="1">INDEX(Data_DBD!$F:$F,$A145)</f>
        <v>Rendah</v>
      </c>
      <c r="H145" s="2">
        <v>104</v>
      </c>
      <c r="I145" s="2">
        <v>4</v>
      </c>
      <c r="J145" s="2">
        <v>1</v>
      </c>
      <c r="K145" s="2" t="s">
        <v>97</v>
      </c>
    </row>
    <row r="146" spans="1:11">
      <c r="A146" s="2">
        <f t="shared" ca="1" si="2"/>
        <v>74</v>
      </c>
      <c r="B146" s="2" cm="1">
        <f t="array" aca="1" ref="B146" ca="1">INDEX(Data_DBD!$C:$C,$A146)</f>
        <v>4</v>
      </c>
      <c r="C146" s="2" cm="1">
        <f t="array" aca="1" ref="C146" ca="1">INDEX(Data_DBD!$E:$E,$A146)</f>
        <v>0</v>
      </c>
      <c r="D146" s="2" t="str" cm="1">
        <f t="array" aca="1" ref="D146" ca="1">INDEX(Data_DBD!$F:$F,$A146)</f>
        <v>Sedang</v>
      </c>
      <c r="H146" s="2">
        <v>15</v>
      </c>
      <c r="I146" s="2">
        <v>2</v>
      </c>
      <c r="J146" s="2">
        <v>0</v>
      </c>
      <c r="K146" s="2" t="s">
        <v>20</v>
      </c>
    </row>
    <row r="147" spans="1:11">
      <c r="A147" s="2">
        <f t="shared" ca="1" si="2"/>
        <v>118</v>
      </c>
      <c r="B147" s="2" cm="1">
        <f t="array" aca="1" ref="B147" ca="1">INDEX(Data_DBD!$C:$C,$A147)</f>
        <v>4</v>
      </c>
      <c r="C147" s="2" cm="1">
        <f t="array" aca="1" ref="C147" ca="1">INDEX(Data_DBD!$E:$E,$A147)</f>
        <v>1</v>
      </c>
      <c r="D147" s="2" t="str" cm="1">
        <f t="array" aca="1" ref="D147" ca="1">INDEX(Data_DBD!$F:$F,$A147)</f>
        <v>Tinggi</v>
      </c>
      <c r="H147" s="2">
        <v>35</v>
      </c>
      <c r="I147" s="2">
        <v>3</v>
      </c>
      <c r="J147" s="2">
        <v>1</v>
      </c>
      <c r="K147" s="2" t="s">
        <v>20</v>
      </c>
    </row>
    <row r="148" spans="1:11">
      <c r="A148" s="2">
        <f t="shared" ca="1" si="2"/>
        <v>82</v>
      </c>
      <c r="B148" s="2" cm="1">
        <f t="array" aca="1" ref="B148" ca="1">INDEX(Data_DBD!$C:$C,$A148)</f>
        <v>3</v>
      </c>
      <c r="C148" s="2" cm="1">
        <f t="array" aca="1" ref="C148" ca="1">INDEX(Data_DBD!$E:$E,$A148)</f>
        <v>1</v>
      </c>
      <c r="D148" s="2" t="str" cm="1">
        <f t="array" aca="1" ref="D148" ca="1">INDEX(Data_DBD!$F:$F,$A148)</f>
        <v>Sedang</v>
      </c>
      <c r="H148" s="2">
        <v>7</v>
      </c>
      <c r="I148" s="2">
        <v>1</v>
      </c>
      <c r="J148" s="2">
        <v>1</v>
      </c>
      <c r="K148" s="2" t="s">
        <v>7</v>
      </c>
    </row>
    <row r="149" spans="1:11">
      <c r="A149" s="2">
        <f t="shared" ca="1" si="2"/>
        <v>149</v>
      </c>
      <c r="B149" s="2" cm="1">
        <f t="array" aca="1" ref="B149" ca="1">INDEX(Data_DBD!$C:$C,$A149)</f>
        <v>5</v>
      </c>
      <c r="C149" s="2" cm="1">
        <f t="array" aca="1" ref="C149" ca="1">INDEX(Data_DBD!$E:$E,$A149)</f>
        <v>0</v>
      </c>
      <c r="D149" s="2" t="str" cm="1">
        <f t="array" aca="1" ref="D149" ca="1">INDEX(Data_DBD!$F:$F,$A149)</f>
        <v>Tinggi</v>
      </c>
      <c r="H149" s="2">
        <v>95</v>
      </c>
      <c r="I149" s="2">
        <v>3</v>
      </c>
      <c r="J149" s="2">
        <v>1</v>
      </c>
      <c r="K149" s="2" t="s">
        <v>97</v>
      </c>
    </row>
    <row r="150" spans="1:11">
      <c r="A150" s="2">
        <f t="shared" ca="1" si="2"/>
        <v>67</v>
      </c>
      <c r="B150" s="2" cm="1">
        <f t="array" aca="1" ref="B150" ca="1">INDEX(Data_DBD!$C:$C,$A150)</f>
        <v>3</v>
      </c>
      <c r="C150" s="2" cm="1">
        <f t="array" aca="1" ref="C150" ca="1">INDEX(Data_DBD!$E:$E,$A150)</f>
        <v>1</v>
      </c>
      <c r="D150" s="2" t="str" cm="1">
        <f t="array" aca="1" ref="D150" ca="1">INDEX(Data_DBD!$F:$F,$A150)</f>
        <v>Sedang</v>
      </c>
      <c r="H150" s="2">
        <v>10</v>
      </c>
      <c r="I150" s="2">
        <v>5</v>
      </c>
      <c r="J150" s="2">
        <v>0</v>
      </c>
      <c r="K150" s="2" t="s">
        <v>7</v>
      </c>
    </row>
    <row r="151" spans="1:11">
      <c r="A151" s="2">
        <f t="shared" ca="1" si="2"/>
        <v>153</v>
      </c>
      <c r="B151" s="2" cm="1">
        <f t="array" aca="1" ref="B151" ca="1">INDEX(Data_DBD!$C:$C,$A151)</f>
        <v>7</v>
      </c>
      <c r="C151" s="2" cm="1">
        <f t="array" aca="1" ref="C151" ca="1">INDEX(Data_DBD!$E:$E,$A151)</f>
        <v>1</v>
      </c>
      <c r="D151" s="2" t="str" cm="1">
        <f t="array" aca="1" ref="D151" ca="1">INDEX(Data_DBD!$F:$F,$A151)</f>
        <v>Tinggi</v>
      </c>
      <c r="H151" s="2">
        <v>151</v>
      </c>
      <c r="I151" s="2">
        <v>3</v>
      </c>
      <c r="J151" s="2">
        <v>0</v>
      </c>
      <c r="K151" s="2" t="s">
        <v>97</v>
      </c>
    </row>
    <row r="152" spans="1:11">
      <c r="A152" s="2">
        <f t="shared" ca="1" si="2"/>
        <v>35</v>
      </c>
      <c r="B152" s="2" cm="1">
        <f t="array" aca="1" ref="B152" ca="1">INDEX(Data_DBD!$C:$C,$A152)</f>
        <v>3</v>
      </c>
      <c r="C152" s="2" cm="1">
        <f t="array" aca="1" ref="C152" ca="1">INDEX(Data_DBD!$E:$E,$A152)</f>
        <v>1</v>
      </c>
      <c r="D152" s="2" t="str" cm="1">
        <f t="array" aca="1" ref="D152" ca="1">INDEX(Data_DBD!$F:$F,$A152)</f>
        <v>Rendah</v>
      </c>
      <c r="H152" s="2">
        <v>110</v>
      </c>
      <c r="I152" s="2">
        <v>2</v>
      </c>
      <c r="J152" s="2">
        <v>1</v>
      </c>
      <c r="K152" s="2" t="s">
        <v>97</v>
      </c>
    </row>
    <row r="153" spans="1:11">
      <c r="A153" s="2">
        <f t="shared" ca="1" si="2"/>
        <v>126</v>
      </c>
      <c r="B153" s="2" cm="1">
        <f t="array" aca="1" ref="B153" ca="1">INDEX(Data_DBD!$C:$C,$A153)</f>
        <v>3</v>
      </c>
      <c r="C153" s="2" cm="1">
        <f t="array" aca="1" ref="C153" ca="1">INDEX(Data_DBD!$E:$E,$A153)</f>
        <v>1</v>
      </c>
      <c r="D153" s="2" t="str" cm="1">
        <f t="array" aca="1" ref="D153" ca="1">INDEX(Data_DBD!$F:$F,$A153)</f>
        <v>Tinggi</v>
      </c>
      <c r="H153" s="2">
        <v>108</v>
      </c>
      <c r="I153" s="2">
        <v>7</v>
      </c>
      <c r="J153" s="2">
        <v>1</v>
      </c>
      <c r="K153" s="2" t="s">
        <v>97</v>
      </c>
    </row>
    <row r="154" spans="1:11">
      <c r="A154" s="2">
        <f t="shared" ca="1" si="2"/>
        <v>135</v>
      </c>
      <c r="B154" s="2" cm="1">
        <f t="array" aca="1" ref="B154" ca="1">INDEX(Data_DBD!$C:$C,$A154)</f>
        <v>2</v>
      </c>
      <c r="C154" s="2" cm="1">
        <f t="array" aca="1" ref="C154" ca="1">INDEX(Data_DBD!$E:$E,$A154)</f>
        <v>0</v>
      </c>
      <c r="D154" s="2" t="str" cm="1">
        <f t="array" aca="1" ref="D154" ca="1">INDEX(Data_DBD!$F:$F,$A154)</f>
        <v>Tinggi</v>
      </c>
      <c r="H154" s="2">
        <v>164</v>
      </c>
      <c r="I154" s="2">
        <v>6</v>
      </c>
      <c r="J154" s="2">
        <v>0</v>
      </c>
      <c r="K154" s="2" t="s">
        <v>20</v>
      </c>
    </row>
    <row r="155" spans="1:11">
      <c r="A155" s="2">
        <f t="shared" ca="1" si="2"/>
        <v>11</v>
      </c>
      <c r="B155" s="2" cm="1">
        <f t="array" aca="1" ref="B155" ca="1">INDEX(Data_DBD!$C:$C,$A155)</f>
        <v>5</v>
      </c>
      <c r="C155" s="2" cm="1">
        <f t="array" aca="1" ref="C155" ca="1">INDEX(Data_DBD!$E:$E,$A155)</f>
        <v>1</v>
      </c>
      <c r="D155" s="2" t="str" cm="1">
        <f t="array" aca="1" ref="D155" ca="1">INDEX(Data_DBD!$F:$F,$A155)</f>
        <v>Sedang</v>
      </c>
      <c r="H155" s="2">
        <v>47</v>
      </c>
      <c r="I155" s="2">
        <v>2</v>
      </c>
      <c r="J155" s="2">
        <v>0</v>
      </c>
      <c r="K155" s="2" t="s">
        <v>7</v>
      </c>
    </row>
    <row r="156" spans="1:11">
      <c r="A156" s="2">
        <f t="shared" ca="1" si="2"/>
        <v>43</v>
      </c>
      <c r="B156" s="2" cm="1">
        <f t="array" aca="1" ref="B156" ca="1">INDEX(Data_DBD!$C:$C,$A156)</f>
        <v>4</v>
      </c>
      <c r="C156" s="2" cm="1">
        <f t="array" aca="1" ref="C156" ca="1">INDEX(Data_DBD!$E:$E,$A156)</f>
        <v>0</v>
      </c>
      <c r="D156" s="2" t="str" cm="1">
        <f t="array" aca="1" ref="D156" ca="1">INDEX(Data_DBD!$F:$F,$A156)</f>
        <v>Sedang</v>
      </c>
      <c r="H156" s="2">
        <v>18</v>
      </c>
      <c r="I156" s="2">
        <v>4</v>
      </c>
      <c r="J156" s="2">
        <v>1</v>
      </c>
      <c r="K156" s="2" t="s">
        <v>20</v>
      </c>
    </row>
    <row r="157" spans="1:11">
      <c r="A157" s="2">
        <f t="shared" ca="1" si="2"/>
        <v>88</v>
      </c>
      <c r="B157" s="2" cm="1">
        <f t="array" aca="1" ref="B157" ca="1">INDEX(Data_DBD!$C:$C,$A157)</f>
        <v>4</v>
      </c>
      <c r="C157" s="2" cm="1">
        <f t="array" aca="1" ref="C157" ca="1">INDEX(Data_DBD!$E:$E,$A157)</f>
        <v>1</v>
      </c>
      <c r="D157" s="2" t="str" cm="1">
        <f t="array" aca="1" ref="D157" ca="1">INDEX(Data_DBD!$F:$F,$A157)</f>
        <v>Sedang</v>
      </c>
      <c r="H157" s="2">
        <v>10</v>
      </c>
      <c r="I157" s="2">
        <v>5</v>
      </c>
      <c r="J157" s="2">
        <v>0</v>
      </c>
      <c r="K157" s="2" t="s">
        <v>7</v>
      </c>
    </row>
    <row r="158" spans="1:11">
      <c r="A158" s="2">
        <f t="shared" ca="1" si="2"/>
        <v>162</v>
      </c>
      <c r="B158" s="2" cm="1">
        <f t="array" aca="1" ref="B158" ca="1">INDEX(Data_DBD!$C:$C,$A158)</f>
        <v>3</v>
      </c>
      <c r="C158" s="2" cm="1">
        <f t="array" aca="1" ref="C158" ca="1">INDEX(Data_DBD!$E:$E,$A158)</f>
        <v>1</v>
      </c>
      <c r="D158" s="2" t="str" cm="1">
        <f t="array" aca="1" ref="D158" ca="1">INDEX(Data_DBD!$F:$F,$A158)</f>
        <v>Rendah</v>
      </c>
      <c r="H158" s="2">
        <v>129</v>
      </c>
      <c r="I158" s="2">
        <v>3</v>
      </c>
      <c r="J158" s="2">
        <v>0</v>
      </c>
      <c r="K158" s="2" t="s">
        <v>97</v>
      </c>
    </row>
    <row r="159" spans="1:11">
      <c r="A159" s="2">
        <f t="shared" ca="1" si="2"/>
        <v>5</v>
      </c>
      <c r="B159" s="2" cm="1">
        <f t="array" aca="1" ref="B159" ca="1">INDEX(Data_DBD!$C:$C,$A159)</f>
        <v>2</v>
      </c>
      <c r="C159" s="2" cm="1">
        <f t="array" aca="1" ref="C159" ca="1">INDEX(Data_DBD!$E:$E,$A159)</f>
        <v>1</v>
      </c>
      <c r="D159" s="2" t="str" cm="1">
        <f t="array" aca="1" ref="D159" ca="1">INDEX(Data_DBD!$F:$F,$A159)</f>
        <v>Sedang</v>
      </c>
      <c r="H159" s="2">
        <v>94</v>
      </c>
      <c r="I159" s="2">
        <v>4</v>
      </c>
      <c r="J159" s="2">
        <v>0</v>
      </c>
      <c r="K159" s="2" t="s">
        <v>97</v>
      </c>
    </row>
    <row r="160" spans="1:11">
      <c r="A160" s="2">
        <f t="shared" ca="1" si="2"/>
        <v>61</v>
      </c>
      <c r="B160" s="2" cm="1">
        <f t="array" aca="1" ref="B160" ca="1">INDEX(Data_DBD!$C:$C,$A160)</f>
        <v>3</v>
      </c>
      <c r="C160" s="2" cm="1">
        <f t="array" aca="1" ref="C160" ca="1">INDEX(Data_DBD!$E:$E,$A160)</f>
        <v>1</v>
      </c>
      <c r="D160" s="2" t="str" cm="1">
        <f t="array" aca="1" ref="D160" ca="1">INDEX(Data_DBD!$F:$F,$A160)</f>
        <v>Sedang</v>
      </c>
      <c r="H160" s="2">
        <v>155</v>
      </c>
      <c r="I160" s="2">
        <v>5</v>
      </c>
      <c r="J160" s="2">
        <v>1</v>
      </c>
      <c r="K160" s="2" t="s">
        <v>97</v>
      </c>
    </row>
    <row r="161" spans="1:15">
      <c r="A161" s="2">
        <f t="shared" ca="1" si="2"/>
        <v>51</v>
      </c>
      <c r="B161" s="2" cm="1">
        <f t="array" aca="1" ref="B161" ca="1">INDEX(Data_DBD!$C:$C,$A161)</f>
        <v>4</v>
      </c>
      <c r="C161" s="2" cm="1">
        <f t="array" aca="1" ref="C161" ca="1">INDEX(Data_DBD!$E:$E,$A161)</f>
        <v>0</v>
      </c>
      <c r="D161" s="2" t="str" cm="1">
        <f t="array" aca="1" ref="D161" ca="1">INDEX(Data_DBD!$F:$F,$A161)</f>
        <v>Sedang</v>
      </c>
      <c r="H161" s="2">
        <v>111</v>
      </c>
      <c r="I161" s="2">
        <v>4</v>
      </c>
      <c r="J161" s="2">
        <v>0</v>
      </c>
      <c r="K161" s="2" t="s">
        <v>97</v>
      </c>
    </row>
    <row r="162" spans="1:15">
      <c r="A162" s="2">
        <f t="shared" ca="1" si="2"/>
        <v>110</v>
      </c>
      <c r="B162" s="2" cm="1">
        <f t="array" aca="1" ref="B162" ca="1">INDEX(Data_DBD!$C:$C,$A162)</f>
        <v>2</v>
      </c>
      <c r="C162" s="2" cm="1">
        <f t="array" aca="1" ref="C162" ca="1">INDEX(Data_DBD!$E:$E,$A162)</f>
        <v>1</v>
      </c>
      <c r="D162" s="2" t="str" cm="1">
        <f t="array" aca="1" ref="D162" ca="1">INDEX(Data_DBD!$F:$F,$A162)</f>
        <v>Tinggi</v>
      </c>
      <c r="H162" s="2">
        <v>157</v>
      </c>
      <c r="I162" s="2">
        <v>4</v>
      </c>
      <c r="J162" s="2">
        <v>1</v>
      </c>
      <c r="K162" s="2" t="s">
        <v>97</v>
      </c>
    </row>
    <row r="163" spans="1:15">
      <c r="A163" s="2">
        <f t="shared" ca="1" si="2"/>
        <v>120</v>
      </c>
      <c r="B163" s="2" cm="1">
        <f t="array" aca="1" ref="B163" ca="1">INDEX(Data_DBD!$C:$C,$A163)</f>
        <v>4</v>
      </c>
      <c r="C163" s="2" cm="1">
        <f t="array" aca="1" ref="C163" ca="1">INDEX(Data_DBD!$E:$E,$A163)</f>
        <v>1</v>
      </c>
      <c r="D163" s="2" t="str" cm="1">
        <f t="array" aca="1" ref="D163" ca="1">INDEX(Data_DBD!$F:$F,$A163)</f>
        <v>Tinggi</v>
      </c>
      <c r="H163" s="2">
        <v>120</v>
      </c>
      <c r="I163" s="2">
        <v>4</v>
      </c>
      <c r="J163" s="2">
        <v>1</v>
      </c>
      <c r="K163" s="2" t="s">
        <v>97</v>
      </c>
    </row>
    <row r="164" spans="1:15">
      <c r="A164" s="2">
        <f t="shared" ca="1" si="2"/>
        <v>156</v>
      </c>
      <c r="B164" s="2" cm="1">
        <f t="array" aca="1" ref="B164" ca="1">INDEX(Data_DBD!$C:$C,$A164)</f>
        <v>2</v>
      </c>
      <c r="C164" s="2" cm="1">
        <f t="array" aca="1" ref="C164" ca="1">INDEX(Data_DBD!$E:$E,$A164)</f>
        <v>0</v>
      </c>
      <c r="D164" s="2" t="str" cm="1">
        <f t="array" aca="1" ref="D164" ca="1">INDEX(Data_DBD!$F:$F,$A164)</f>
        <v>Tinggi</v>
      </c>
      <c r="H164" s="2">
        <v>132</v>
      </c>
      <c r="I164" s="2">
        <v>3</v>
      </c>
      <c r="J164" s="2">
        <v>1</v>
      </c>
      <c r="K164" s="2" t="s">
        <v>97</v>
      </c>
    </row>
    <row r="165" spans="1:15">
      <c r="I165">
        <f>AVERAGE(I2:I164)</f>
        <v>3.3742331288343559</v>
      </c>
      <c r="J165">
        <f>AVERAGE(J2:J164)</f>
        <v>0.57668711656441718</v>
      </c>
    </row>
    <row r="166" spans="1:15">
      <c r="B166">
        <v>55</v>
      </c>
    </row>
    <row r="168" spans="1:15">
      <c r="I168" s="5" t="s">
        <v>176</v>
      </c>
      <c r="M168" s="5" t="s">
        <v>178</v>
      </c>
    </row>
    <row r="169" spans="1:15">
      <c r="I169" s="2" t="s">
        <v>179</v>
      </c>
      <c r="J169" s="2">
        <f>AVERAGEIF($I$2:$I$164,"&lt;="&amp;$I$165)</f>
        <v>2.4494382022471912</v>
      </c>
      <c r="K169" s="2">
        <f>AVERAGEIF($I$2:$I$164,"&gt;"&amp;$I$165)</f>
        <v>4.4864864864864868</v>
      </c>
      <c r="M169" s="2" t="s">
        <v>181</v>
      </c>
      <c r="N169" s="2">
        <f>AVERAGEIF($J$2:$J$164,"&lt;="&amp;$J$165)</f>
        <v>0</v>
      </c>
      <c r="O169" s="2">
        <f>AVERAGEIF($J$2:$J$164,"&gt;"&amp;$J$165)</f>
        <v>1</v>
      </c>
    </row>
    <row r="170" spans="1:15">
      <c r="I170" s="2" t="str" cm="1">
        <f t="array" ref="I170:I332">IF($I$2:$I$164&lt;$J$169,"kiri",IF($I$2:$I$164&lt;$K$169,"tengah","kanan"))</f>
        <v>tengah</v>
      </c>
      <c r="J170" s="2" t="s">
        <v>214</v>
      </c>
      <c r="K170" s="2"/>
      <c r="M170" s="2" t="str" cm="1">
        <f t="array" ref="M170:M332">IF($J$2:$J$164&lt;$N$169,"kiri",IF($J$2:$J$164&lt;$O$169,"tengah","kanan"))</f>
        <v>kanan</v>
      </c>
      <c r="N170" s="2" t="s">
        <v>185</v>
      </c>
      <c r="O170" s="2"/>
    </row>
    <row r="171" spans="1:15">
      <c r="I171" s="2" t="str">
        <v>tengah</v>
      </c>
      <c r="J171" s="2">
        <f>COUNTIFS($I$170:$I$332,"Kanan",$K$2:$K$164,"Tinggi")</f>
        <v>10</v>
      </c>
      <c r="K171" s="2">
        <f>J171/27</f>
        <v>0.37037037037037035</v>
      </c>
      <c r="M171" s="2" t="str">
        <v>kanan</v>
      </c>
      <c r="N171" s="2">
        <f>COUNTIFS($M$170:$M$332,"Kanan",$K$2:$K$164,"Tinggi")</f>
        <v>42</v>
      </c>
      <c r="O171" s="2">
        <f>N171/94</f>
        <v>0.44680851063829785</v>
      </c>
    </row>
    <row r="172" spans="1:15">
      <c r="I172" s="2" t="str">
        <v>tengah</v>
      </c>
      <c r="J172" s="2">
        <f>COUNTIFS($I$170:$I$332,"Kanan",$K$2:$K$164,"Sedang")</f>
        <v>13</v>
      </c>
      <c r="K172" s="2">
        <f>J172/27</f>
        <v>0.48148148148148145</v>
      </c>
      <c r="M172" s="2" t="str">
        <v>tengah</v>
      </c>
      <c r="N172" s="2">
        <f>COUNTIFS($M$170:$M$332,"Kanan",$K$2:$K$164,"Sedang")</f>
        <v>40</v>
      </c>
      <c r="O172" s="2">
        <f>N172/94</f>
        <v>0.42553191489361702</v>
      </c>
    </row>
    <row r="173" spans="1:15">
      <c r="I173" s="2" t="str">
        <v>tengah</v>
      </c>
      <c r="J173" s="2">
        <f>COUNTIFS($I$170:$I$332,"Kanan",$K$2:$K$164,"Rendah")</f>
        <v>4</v>
      </c>
      <c r="K173" s="2">
        <f>J173/27</f>
        <v>0.14814814814814814</v>
      </c>
      <c r="M173" s="2" t="str">
        <v>tengah</v>
      </c>
      <c r="N173" s="2">
        <f>COUNTIFS($M$170:$M$332,"Kanan",$K$2:$K$164,"Rendah")</f>
        <v>12</v>
      </c>
      <c r="O173" s="2">
        <f>N173/94</f>
        <v>0.1276595744680851</v>
      </c>
    </row>
    <row r="174" spans="1:15">
      <c r="I174" s="2" t="str">
        <v>kanan</v>
      </c>
      <c r="J174" s="2" t="s">
        <v>186</v>
      </c>
      <c r="K174" s="2">
        <f>-(IFERROR(K171*LOG(K171,2),0)+IFERROR(K172*LOG(K172,2),0)+IFERROR(K173*LOG(K173,2),0))</f>
        <v>1.4465542693965121</v>
      </c>
      <c r="M174" s="2" t="str">
        <v>tengah</v>
      </c>
      <c r="N174" s="2" t="s">
        <v>186</v>
      </c>
      <c r="O174" s="2">
        <f>-(IFERROR(O171*LOG(O171,2),0)+IFERROR(O172*LOG(O172,2),0)+IFERROR(O173*LOG(O173,2),0))</f>
        <v>1.4229504946472511</v>
      </c>
    </row>
    <row r="175" spans="1:15">
      <c r="I175" s="2" t="str">
        <v>tengah</v>
      </c>
      <c r="J175" s="2"/>
      <c r="K175" s="2">
        <f>SUM(J171:J173)/163</f>
        <v>0.16564417177914109</v>
      </c>
      <c r="M175" s="2" t="str">
        <v>tengah</v>
      </c>
      <c r="N175" s="2"/>
      <c r="O175" s="2">
        <f>SUM(N171:N173)/163</f>
        <v>0.57668711656441718</v>
      </c>
    </row>
    <row r="176" spans="1:15">
      <c r="I176" s="2" t="str">
        <v>tengah</v>
      </c>
      <c r="J176" s="2"/>
      <c r="K176" s="6">
        <f>K174*K175</f>
        <v>0.23961328388776579</v>
      </c>
      <c r="M176" s="2" t="str">
        <v>tengah</v>
      </c>
      <c r="N176" s="2"/>
      <c r="O176" s="6">
        <f>O174*O175</f>
        <v>0.82059721777203443</v>
      </c>
    </row>
    <row r="177" spans="9:15">
      <c r="I177" s="2" t="str">
        <v>tengah</v>
      </c>
      <c r="J177" s="2"/>
      <c r="K177" s="2"/>
      <c r="M177" s="2" t="str">
        <v>tengah</v>
      </c>
      <c r="N177" s="2"/>
      <c r="O177" s="2"/>
    </row>
    <row r="178" spans="9:15">
      <c r="I178" s="2" t="str">
        <v>kanan</v>
      </c>
      <c r="J178" s="2"/>
      <c r="K178" s="2"/>
      <c r="M178" s="2" t="str">
        <v>tengah</v>
      </c>
      <c r="N178" s="2"/>
      <c r="O178" s="2"/>
    </row>
    <row r="179" spans="9:15">
      <c r="I179" s="2" t="str">
        <v>kanan</v>
      </c>
      <c r="J179" s="2" t="s">
        <v>198</v>
      </c>
      <c r="K179" s="2"/>
      <c r="M179" s="2" t="str">
        <v>tengah</v>
      </c>
      <c r="N179" s="2" t="s">
        <v>190</v>
      </c>
      <c r="O179" s="2"/>
    </row>
    <row r="180" spans="9:15">
      <c r="I180" s="2" t="str">
        <v>tengah</v>
      </c>
      <c r="J180" s="2">
        <f>COUNTIFS($I$170:$I$332,"Kiri",$K$2:$K$164,"Tinggi")</f>
        <v>20</v>
      </c>
      <c r="K180" s="2">
        <f>J180/42</f>
        <v>0.47619047619047616</v>
      </c>
      <c r="M180" s="2" t="str">
        <v>kanan</v>
      </c>
      <c r="N180" s="2">
        <f ca="1">COUNTIFS($N$170:$N$332,"Kiri",$K$2:$K$164,"Tinggi")</f>
        <v>0</v>
      </c>
      <c r="O180" s="2">
        <f ca="1">N180/57</f>
        <v>0</v>
      </c>
    </row>
    <row r="181" spans="9:15">
      <c r="I181" s="2" t="str">
        <v>kiri</v>
      </c>
      <c r="J181" s="2">
        <f>COUNTIFS($I$170:$I$332,"Kiri",$K$2:$K$164,"Sedang")</f>
        <v>18</v>
      </c>
      <c r="K181" s="2">
        <f>J181/42</f>
        <v>0.42857142857142855</v>
      </c>
      <c r="M181" s="2" t="str">
        <v>tengah</v>
      </c>
      <c r="N181" s="2">
        <f ca="1">COUNTIFS($N$170:$N$332,"Kiri",$K$2:$K$164,"Sedang")</f>
        <v>0</v>
      </c>
      <c r="O181" s="2">
        <f ca="1">N181/57</f>
        <v>0</v>
      </c>
    </row>
    <row r="182" spans="9:15">
      <c r="I182" s="2" t="str">
        <v>kanan</v>
      </c>
      <c r="J182" s="2">
        <f>COUNTIFS($I$170:$I$332,"Kiri",$K$2:$K$164,"Rendah")</f>
        <v>4</v>
      </c>
      <c r="K182" s="2">
        <f>J182/42</f>
        <v>9.5238095238095233E-2</v>
      </c>
      <c r="M182" s="2" t="str">
        <v>kanan</v>
      </c>
      <c r="N182" s="2">
        <f ca="1">COUNTIFS($N$170:$N$332,"Kiri",$K$2:$K$164,"Rendah")</f>
        <v>0</v>
      </c>
      <c r="O182" s="2">
        <f ca="1">N182/57</f>
        <v>0</v>
      </c>
    </row>
    <row r="183" spans="9:15">
      <c r="I183" s="2" t="str">
        <v>kiri</v>
      </c>
      <c r="J183" s="2" t="s">
        <v>186</v>
      </c>
      <c r="K183" s="2">
        <f>-(IFERROR(K180*LOG(K180,2),0)+IFERROR(K181*LOG(K181,2),0)+IFERROR(K182*LOG(K182,2),0))</f>
        <v>1.3566695198333112</v>
      </c>
      <c r="M183" s="2" t="str">
        <v>kanan</v>
      </c>
      <c r="N183" s="2" t="s">
        <v>186</v>
      </c>
      <c r="O183" s="2">
        <f ca="1">-(IFERROR(O180*LOG(O180,2),0)+IFERROR(O181*LOG(O181,2),0)+IFERROR(O182*LOG(O182,2),0))</f>
        <v>0</v>
      </c>
    </row>
    <row r="184" spans="9:15">
      <c r="I184" s="2" t="str">
        <v>kiri</v>
      </c>
      <c r="J184" s="2"/>
      <c r="K184" s="2">
        <f>SUM(J180:J182)/163</f>
        <v>0.25766871165644173</v>
      </c>
      <c r="M184" s="2" t="str">
        <v>kanan</v>
      </c>
      <c r="N184" s="2"/>
      <c r="O184" s="2">
        <f ca="1">SUM(N180:N182)/163</f>
        <v>0</v>
      </c>
    </row>
    <row r="185" spans="9:15">
      <c r="I185" s="2" t="str">
        <v>kiri</v>
      </c>
      <c r="J185" s="2"/>
      <c r="K185" s="6">
        <f>K183*K184</f>
        <v>0.34957128731901271</v>
      </c>
      <c r="M185" s="2" t="str">
        <v>tengah</v>
      </c>
      <c r="N185" s="2"/>
      <c r="O185" s="6">
        <f ca="1">O183*O184</f>
        <v>0</v>
      </c>
    </row>
    <row r="186" spans="9:15">
      <c r="I186" s="2" t="str">
        <v>tengah</v>
      </c>
      <c r="J186" s="2"/>
      <c r="K186" s="2"/>
      <c r="M186" s="2" t="str">
        <v>tengah</v>
      </c>
      <c r="N186" s="2"/>
      <c r="O186" s="2"/>
    </row>
    <row r="187" spans="9:15">
      <c r="I187" s="2" t="str">
        <v>kiri</v>
      </c>
      <c r="J187" s="2"/>
      <c r="K187" s="2"/>
      <c r="M187" s="2" t="str">
        <v>kanan</v>
      </c>
      <c r="N187" s="2"/>
      <c r="O187" s="2"/>
    </row>
    <row r="188" spans="9:15">
      <c r="I188" s="2" t="str">
        <v>tengah</v>
      </c>
      <c r="J188" s="2" t="s">
        <v>191</v>
      </c>
      <c r="K188" s="2"/>
      <c r="M188" s="2" t="str">
        <v>tengah</v>
      </c>
      <c r="N188" s="2" t="s">
        <v>191</v>
      </c>
      <c r="O188" s="2"/>
    </row>
    <row r="189" spans="9:15">
      <c r="I189" s="2" t="str">
        <v>tengah</v>
      </c>
      <c r="J189" s="2">
        <f>COUNTIFS($I$170:$I$332,"Tengah",$K$2:$K$164,"Tinggi")</f>
        <v>43</v>
      </c>
      <c r="K189" s="2">
        <f>J189/94</f>
        <v>0.45744680851063829</v>
      </c>
      <c r="M189" s="2" t="str">
        <v>tengah</v>
      </c>
      <c r="N189" s="2">
        <f>COUNTIFS($M$170:$M$332,"Tengah",$K$2:$K$164,"Tinggi")</f>
        <v>31</v>
      </c>
      <c r="O189" s="2">
        <f>N189/69</f>
        <v>0.44927536231884058</v>
      </c>
    </row>
    <row r="190" spans="9:15">
      <c r="I190" s="2" t="str">
        <v>tengah</v>
      </c>
      <c r="J190" s="2">
        <f>COUNTIFS($I$170:$I$332,"Tengah",$K$2:$K$164,"Sedang")</f>
        <v>41</v>
      </c>
      <c r="K190" s="2">
        <f>J190/94</f>
        <v>0.43617021276595747</v>
      </c>
      <c r="M190" s="2" t="str">
        <v>tengah</v>
      </c>
      <c r="N190" s="2">
        <f>COUNTIFS($M$170:$M$332,"Tengah",$K$2:$K$164,"Sedang")</f>
        <v>32</v>
      </c>
      <c r="O190" s="2">
        <f>N190/69</f>
        <v>0.46376811594202899</v>
      </c>
    </row>
    <row r="191" spans="9:15">
      <c r="I191" s="2" t="str">
        <v>kiri</v>
      </c>
      <c r="J191" s="2">
        <f>COUNTIFS($I$170:$I$332,"Tengah",$K$2:$K$164,"Rendah")</f>
        <v>10</v>
      </c>
      <c r="K191" s="2">
        <f>J191/94</f>
        <v>0.10638297872340426</v>
      </c>
      <c r="M191" s="2" t="str">
        <v>kanan</v>
      </c>
      <c r="N191" s="2">
        <f>COUNTIFS($M$170:$M$332,"Tengah",$K$2:$K$164,"Rendah")</f>
        <v>6</v>
      </c>
      <c r="O191" s="2">
        <f>N191/69</f>
        <v>8.6956521739130432E-2</v>
      </c>
    </row>
    <row r="192" spans="9:15">
      <c r="I192" s="2" t="str">
        <v>kanan</v>
      </c>
      <c r="J192" s="2" t="s">
        <v>186</v>
      </c>
      <c r="K192" s="2">
        <f>-(IFERROR(K189*LOG(K189,2),0)+IFERROR(K190*LOG(K190,2),0)+IFERROR(K191*LOG(K191,2),0))</f>
        <v>1.3821601539073687</v>
      </c>
      <c r="M192" s="2" t="str">
        <v>tengah</v>
      </c>
      <c r="N192" s="2" t="s">
        <v>186</v>
      </c>
      <c r="O192" s="2">
        <f>-(IFERROR(O189*LOG(O189,2),0)+IFERROR(O190*LOG(O190,2),0)+IFERROR(O191*LOG(O191,2),0))</f>
        <v>1.3391061868315013</v>
      </c>
    </row>
    <row r="193" spans="9:15">
      <c r="I193" s="2" t="str">
        <v>tengah</v>
      </c>
      <c r="J193" s="2"/>
      <c r="K193" s="2">
        <f>SUM(J189:J191)/163</f>
        <v>0.57668711656441718</v>
      </c>
      <c r="M193" s="2" t="str">
        <v>tengah</v>
      </c>
      <c r="N193" s="2"/>
      <c r="O193" s="2">
        <f>SUM(N189:N191)/163</f>
        <v>0.42331288343558282</v>
      </c>
    </row>
    <row r="194" spans="9:15">
      <c r="I194" s="2" t="str">
        <v>tengah</v>
      </c>
      <c r="J194" s="2"/>
      <c r="K194" s="6">
        <f>K192*K193</f>
        <v>0.79707395378707147</v>
      </c>
      <c r="M194" s="2" t="str">
        <v>kanan</v>
      </c>
      <c r="N194" s="2"/>
      <c r="O194" s="6">
        <f>O192*O193</f>
        <v>0.56686090117407106</v>
      </c>
    </row>
    <row r="195" spans="9:15">
      <c r="I195" s="2" t="str">
        <v>tengah</v>
      </c>
      <c r="J195" s="2"/>
      <c r="K195" s="2"/>
      <c r="M195" s="2" t="str">
        <v>tengah</v>
      </c>
      <c r="N195" s="2"/>
      <c r="O195" s="2"/>
    </row>
    <row r="196" spans="9:15">
      <c r="I196" s="2" t="str">
        <v>tengah</v>
      </c>
      <c r="J196" s="2" t="s">
        <v>192</v>
      </c>
      <c r="K196" s="2"/>
      <c r="M196" s="2" t="str">
        <v>kanan</v>
      </c>
      <c r="N196" s="2" t="s">
        <v>192</v>
      </c>
      <c r="O196" s="2"/>
    </row>
    <row r="197" spans="9:15">
      <c r="I197" s="2" t="str">
        <v>tengah</v>
      </c>
      <c r="J197" s="7">
        <f>P5-(K176+K185+K194)</f>
        <v>4.4914517645320284E-3</v>
      </c>
      <c r="K197" s="2"/>
      <c r="M197" s="2" t="str">
        <v>kanan</v>
      </c>
      <c r="N197" s="7">
        <f ca="1">P5-(O176+O185+O194)</f>
        <v>0</v>
      </c>
      <c r="O197" s="2"/>
    </row>
    <row r="198" spans="9:15">
      <c r="I198" s="2" t="str">
        <v>tengah</v>
      </c>
      <c r="J198" s="2"/>
      <c r="K198" s="2"/>
      <c r="M198" s="2" t="str">
        <v>tengah</v>
      </c>
      <c r="N198" s="2"/>
      <c r="O198" s="2"/>
    </row>
    <row r="199" spans="9:15">
      <c r="I199" s="2" t="str">
        <v>kiri</v>
      </c>
      <c r="J199" s="2"/>
      <c r="K199" s="2"/>
      <c r="M199" s="2" t="str">
        <v>kanan</v>
      </c>
      <c r="N199" s="2"/>
      <c r="O199" s="2"/>
    </row>
    <row r="200" spans="9:15">
      <c r="I200" s="2" t="str">
        <v>kiri</v>
      </c>
      <c r="J200" s="2"/>
      <c r="K200" s="2"/>
      <c r="M200" s="2" t="str">
        <v>kanan</v>
      </c>
      <c r="N200" s="2"/>
      <c r="O200" s="2"/>
    </row>
    <row r="201" spans="9:15">
      <c r="I201" s="2" t="str">
        <v>tengah</v>
      </c>
      <c r="J201" s="2"/>
      <c r="K201" s="2"/>
      <c r="M201" s="2" t="str">
        <v>kanan</v>
      </c>
      <c r="N201" s="2"/>
      <c r="O201" s="2"/>
    </row>
    <row r="202" spans="9:15">
      <c r="I202" s="2" t="str">
        <v>kiri</v>
      </c>
      <c r="J202" s="2"/>
      <c r="K202" s="2"/>
      <c r="M202" s="2" t="str">
        <v>tengah</v>
      </c>
      <c r="N202" s="2"/>
      <c r="O202" s="2"/>
    </row>
    <row r="203" spans="9:15">
      <c r="I203" s="2" t="str">
        <v>tengah</v>
      </c>
      <c r="J203" s="2"/>
      <c r="K203" s="2"/>
      <c r="M203" s="2" t="str">
        <v>kanan</v>
      </c>
      <c r="N203" s="2"/>
      <c r="O203" s="2"/>
    </row>
    <row r="204" spans="9:15">
      <c r="I204" s="2" t="str">
        <v>kiri</v>
      </c>
      <c r="J204" s="2"/>
      <c r="K204" s="2"/>
      <c r="M204" s="2" t="str">
        <v>kanan</v>
      </c>
      <c r="N204" s="2"/>
      <c r="O204" s="2"/>
    </row>
    <row r="205" spans="9:15">
      <c r="I205" s="2" t="str">
        <v>tengah</v>
      </c>
      <c r="J205" s="2"/>
      <c r="K205" s="2"/>
      <c r="M205" s="2" t="str">
        <v>tengah</v>
      </c>
      <c r="N205" s="2"/>
      <c r="O205" s="2"/>
    </row>
    <row r="206" spans="9:15">
      <c r="I206" s="2" t="str">
        <v>kiri</v>
      </c>
      <c r="J206" s="2"/>
      <c r="K206" s="2"/>
      <c r="M206" s="2" t="str">
        <v>kanan</v>
      </c>
      <c r="N206" s="2"/>
      <c r="O206" s="2"/>
    </row>
    <row r="207" spans="9:15">
      <c r="I207" s="2" t="str">
        <v>tengah</v>
      </c>
      <c r="J207" s="2"/>
      <c r="K207" s="2"/>
      <c r="M207" s="2" t="str">
        <v>tengah</v>
      </c>
      <c r="N207" s="2"/>
      <c r="O207" s="2"/>
    </row>
    <row r="208" spans="9:15">
      <c r="I208" s="2" t="str">
        <v>tengah</v>
      </c>
      <c r="J208" s="2"/>
      <c r="K208" s="2"/>
      <c r="M208" s="2" t="str">
        <v>tengah</v>
      </c>
      <c r="N208" s="2"/>
      <c r="O208" s="2"/>
    </row>
    <row r="209" spans="9:15">
      <c r="I209" s="2" t="str">
        <v>kanan</v>
      </c>
      <c r="J209" s="2"/>
      <c r="K209" s="2"/>
      <c r="M209" s="2" t="str">
        <v>tengah</v>
      </c>
      <c r="N209" s="2"/>
      <c r="O209" s="2"/>
    </row>
    <row r="210" spans="9:15">
      <c r="I210" s="2" t="str">
        <v>tengah</v>
      </c>
      <c r="J210" s="2"/>
      <c r="K210" s="2"/>
      <c r="M210" s="2" t="str">
        <v>tengah</v>
      </c>
      <c r="N210" s="2"/>
      <c r="O210" s="2"/>
    </row>
    <row r="211" spans="9:15">
      <c r="I211" s="2" t="str">
        <v>kiri</v>
      </c>
      <c r="J211" s="2"/>
      <c r="K211" s="2"/>
      <c r="M211" s="2" t="str">
        <v>tengah</v>
      </c>
      <c r="N211" s="2"/>
      <c r="O211" s="2"/>
    </row>
    <row r="212" spans="9:15">
      <c r="I212" s="2" t="str">
        <v>kiri</v>
      </c>
      <c r="J212" s="2"/>
      <c r="K212" s="2"/>
      <c r="M212" s="2" t="str">
        <v>kanan</v>
      </c>
      <c r="N212" s="2"/>
      <c r="O212" s="2"/>
    </row>
    <row r="213" spans="9:15">
      <c r="I213" s="2" t="str">
        <v>tengah</v>
      </c>
      <c r="J213" s="2"/>
      <c r="K213" s="2"/>
      <c r="M213" s="2" t="str">
        <v>kanan</v>
      </c>
      <c r="N213" s="2"/>
      <c r="O213" s="2"/>
    </row>
    <row r="214" spans="9:15">
      <c r="I214" s="2" t="str">
        <v>kanan</v>
      </c>
      <c r="J214" s="2"/>
      <c r="K214" s="2"/>
      <c r="M214" s="2" t="str">
        <v>kanan</v>
      </c>
      <c r="N214" s="2"/>
      <c r="O214" s="2"/>
    </row>
    <row r="215" spans="9:15">
      <c r="I215" s="2" t="str">
        <v>tengah</v>
      </c>
      <c r="J215" s="2"/>
      <c r="K215" s="2"/>
      <c r="M215" s="2" t="str">
        <v>tengah</v>
      </c>
      <c r="N215" s="2"/>
      <c r="O215" s="2"/>
    </row>
    <row r="216" spans="9:15">
      <c r="I216" s="2" t="str">
        <v>tengah</v>
      </c>
      <c r="J216" s="2"/>
      <c r="K216" s="2"/>
      <c r="M216" s="2" t="str">
        <v>kanan</v>
      </c>
      <c r="N216" s="2"/>
      <c r="O216" s="2"/>
    </row>
    <row r="217" spans="9:15">
      <c r="I217" s="2" t="str">
        <v>tengah</v>
      </c>
      <c r="J217" s="2"/>
      <c r="K217" s="2"/>
      <c r="M217" s="2" t="str">
        <v>kanan</v>
      </c>
      <c r="N217" s="2"/>
      <c r="O217" s="2"/>
    </row>
    <row r="218" spans="9:15">
      <c r="I218" s="2" t="str">
        <v>kiri</v>
      </c>
      <c r="J218" s="2"/>
      <c r="K218" s="2"/>
      <c r="M218" s="2" t="str">
        <v>kanan</v>
      </c>
      <c r="N218" s="2"/>
      <c r="O218" s="2"/>
    </row>
    <row r="219" spans="9:15">
      <c r="I219" s="2" t="str">
        <v>tengah</v>
      </c>
      <c r="J219" s="2"/>
      <c r="K219" s="2"/>
      <c r="M219" s="2" t="str">
        <v>kanan</v>
      </c>
      <c r="N219" s="2"/>
      <c r="O219" s="2"/>
    </row>
    <row r="220" spans="9:15">
      <c r="I220" s="2" t="str">
        <v>kiri</v>
      </c>
      <c r="J220" s="2"/>
      <c r="K220" s="2"/>
      <c r="M220" s="2" t="str">
        <v>kanan</v>
      </c>
      <c r="N220" s="2"/>
      <c r="O220" s="2"/>
    </row>
    <row r="221" spans="9:15">
      <c r="I221" s="2" t="str">
        <v>kiri</v>
      </c>
      <c r="J221" s="2"/>
      <c r="K221" s="2"/>
      <c r="M221" s="2" t="str">
        <v>kanan</v>
      </c>
      <c r="N221" s="2"/>
      <c r="O221" s="2"/>
    </row>
    <row r="222" spans="9:15">
      <c r="I222" s="2" t="str">
        <v>tengah</v>
      </c>
      <c r="J222" s="2"/>
      <c r="K222" s="2"/>
      <c r="M222" s="2" t="str">
        <v>tengah</v>
      </c>
      <c r="N222" s="2"/>
      <c r="O222" s="2"/>
    </row>
    <row r="223" spans="9:15">
      <c r="I223" s="2" t="str">
        <v>kanan</v>
      </c>
      <c r="J223" s="2"/>
      <c r="K223" s="2"/>
      <c r="M223" s="2" t="str">
        <v>kanan</v>
      </c>
      <c r="N223" s="2"/>
      <c r="O223" s="2"/>
    </row>
    <row r="224" spans="9:15">
      <c r="I224" s="2" t="str">
        <v>tengah</v>
      </c>
      <c r="J224" s="2"/>
      <c r="K224" s="2"/>
      <c r="M224" s="2" t="str">
        <v>kanan</v>
      </c>
      <c r="N224" s="2"/>
      <c r="O224" s="2"/>
    </row>
    <row r="225" spans="9:15">
      <c r="I225" s="2" t="str">
        <v>kiri</v>
      </c>
      <c r="J225" s="2"/>
      <c r="K225" s="2"/>
      <c r="M225" s="2" t="str">
        <v>kanan</v>
      </c>
      <c r="N225" s="2"/>
      <c r="O225" s="2"/>
    </row>
    <row r="226" spans="9:15">
      <c r="I226" s="2" t="str">
        <v>tengah</v>
      </c>
      <c r="J226" s="2"/>
      <c r="K226" s="2"/>
      <c r="M226" s="2" t="str">
        <v>tengah</v>
      </c>
      <c r="N226" s="2"/>
      <c r="O226" s="2"/>
    </row>
    <row r="227" spans="9:15">
      <c r="I227" s="2" t="str">
        <v>tengah</v>
      </c>
      <c r="J227" s="2"/>
      <c r="K227" s="2"/>
      <c r="M227" s="2" t="str">
        <v>kanan</v>
      </c>
      <c r="N227" s="2"/>
      <c r="O227" s="2"/>
    </row>
    <row r="228" spans="9:15">
      <c r="I228" s="2" t="str">
        <v>kiri</v>
      </c>
      <c r="J228" s="2"/>
      <c r="K228" s="2"/>
      <c r="M228" s="2" t="str">
        <v>kanan</v>
      </c>
      <c r="N228" s="2"/>
      <c r="O228" s="2"/>
    </row>
    <row r="229" spans="9:15">
      <c r="I229" s="2" t="str">
        <v>tengah</v>
      </c>
      <c r="J229" s="2"/>
      <c r="K229" s="2"/>
      <c r="M229" s="2" t="str">
        <v>kanan</v>
      </c>
      <c r="N229" s="2"/>
      <c r="O229" s="2"/>
    </row>
    <row r="230" spans="9:15">
      <c r="I230" s="2" t="str">
        <v>kanan</v>
      </c>
      <c r="J230" s="2"/>
      <c r="K230" s="2"/>
      <c r="M230" s="2" t="str">
        <v>tengah</v>
      </c>
      <c r="N230" s="2"/>
      <c r="O230" s="2"/>
    </row>
    <row r="231" spans="9:15">
      <c r="I231" s="2" t="str">
        <v>tengah</v>
      </c>
      <c r="J231" s="2"/>
      <c r="K231" s="2"/>
      <c r="M231" s="2" t="str">
        <v>kanan</v>
      </c>
      <c r="N231" s="2"/>
      <c r="O231" s="2"/>
    </row>
    <row r="232" spans="9:15">
      <c r="I232" s="2" t="str">
        <v>kanan</v>
      </c>
      <c r="J232" s="2"/>
      <c r="K232" s="2"/>
      <c r="M232" s="2" t="str">
        <v>kanan</v>
      </c>
      <c r="N232" s="2"/>
      <c r="O232" s="2"/>
    </row>
    <row r="233" spans="9:15">
      <c r="I233" s="2" t="str">
        <v>tengah</v>
      </c>
      <c r="J233" s="2"/>
      <c r="K233" s="2"/>
      <c r="M233" s="2" t="str">
        <v>tengah</v>
      </c>
      <c r="N233" s="2"/>
      <c r="O233" s="2"/>
    </row>
    <row r="234" spans="9:15">
      <c r="I234" s="2" t="str">
        <v>tengah</v>
      </c>
      <c r="J234" s="2"/>
      <c r="K234" s="2"/>
      <c r="M234" s="2" t="str">
        <v>kanan</v>
      </c>
      <c r="N234" s="2"/>
      <c r="O234" s="2"/>
    </row>
    <row r="235" spans="9:15">
      <c r="I235" s="2" t="str">
        <v>kanan</v>
      </c>
      <c r="J235" s="2"/>
      <c r="K235" s="2"/>
      <c r="M235" s="2" t="str">
        <v>tengah</v>
      </c>
      <c r="N235" s="2"/>
      <c r="O235" s="2"/>
    </row>
    <row r="236" spans="9:15">
      <c r="I236" s="2" t="str">
        <v>tengah</v>
      </c>
      <c r="J236" s="2"/>
      <c r="K236" s="2"/>
      <c r="M236" s="2" t="str">
        <v>tengah</v>
      </c>
      <c r="N236" s="2"/>
      <c r="O236" s="2"/>
    </row>
    <row r="237" spans="9:15">
      <c r="I237" s="2" t="str">
        <v>kiri</v>
      </c>
      <c r="J237" s="2"/>
      <c r="K237" s="2"/>
      <c r="M237" s="2" t="str">
        <v>kanan</v>
      </c>
      <c r="N237" s="2"/>
      <c r="O237" s="2"/>
    </row>
    <row r="238" spans="9:15">
      <c r="I238" s="2" t="str">
        <v>kiri</v>
      </c>
      <c r="J238" s="2"/>
      <c r="K238" s="2"/>
      <c r="M238" s="2" t="str">
        <v>tengah</v>
      </c>
      <c r="N238" s="2"/>
      <c r="O238" s="2"/>
    </row>
    <row r="239" spans="9:15">
      <c r="I239" s="2" t="str">
        <v>tengah</v>
      </c>
      <c r="J239" s="2"/>
      <c r="K239" s="2"/>
      <c r="M239" s="2" t="str">
        <v>kanan</v>
      </c>
      <c r="N239" s="2"/>
      <c r="O239" s="2"/>
    </row>
    <row r="240" spans="9:15">
      <c r="I240" s="2" t="str">
        <v>kiri</v>
      </c>
      <c r="J240" s="2"/>
      <c r="K240" s="2"/>
      <c r="M240" s="2" t="str">
        <v>tengah</v>
      </c>
      <c r="N240" s="2"/>
      <c r="O240" s="2"/>
    </row>
    <row r="241" spans="9:15">
      <c r="I241" s="2" t="str">
        <v>tengah</v>
      </c>
      <c r="J241" s="2"/>
      <c r="K241" s="2"/>
      <c r="M241" s="2" t="str">
        <v>tengah</v>
      </c>
      <c r="N241" s="2"/>
      <c r="O241" s="2"/>
    </row>
    <row r="242" spans="9:15">
      <c r="I242" s="2" t="str">
        <v>kiri</v>
      </c>
      <c r="J242" s="2"/>
      <c r="K242" s="2"/>
      <c r="M242" s="2" t="str">
        <v>kanan</v>
      </c>
      <c r="N242" s="2"/>
      <c r="O242" s="2"/>
    </row>
    <row r="243" spans="9:15">
      <c r="I243" s="2" t="str">
        <v>kiri</v>
      </c>
      <c r="J243" s="2"/>
      <c r="K243" s="2"/>
      <c r="M243" s="2" t="str">
        <v>kanan</v>
      </c>
      <c r="N243" s="2"/>
      <c r="O243" s="2"/>
    </row>
    <row r="244" spans="9:15">
      <c r="I244" s="2" t="str">
        <v>kiri</v>
      </c>
      <c r="J244" s="2"/>
      <c r="K244" s="2"/>
      <c r="M244" s="2" t="str">
        <v>kanan</v>
      </c>
      <c r="N244" s="2"/>
      <c r="O244" s="2"/>
    </row>
    <row r="245" spans="9:15">
      <c r="I245" s="2" t="str">
        <v>kanan</v>
      </c>
      <c r="J245" s="2"/>
      <c r="K245" s="2"/>
      <c r="M245" s="2" t="str">
        <v>kanan</v>
      </c>
      <c r="N245" s="2"/>
      <c r="O245" s="2"/>
    </row>
    <row r="246" spans="9:15">
      <c r="I246" s="2" t="str">
        <v>tengah</v>
      </c>
      <c r="J246" s="2"/>
      <c r="K246" s="2"/>
      <c r="M246" s="2" t="str">
        <v>kanan</v>
      </c>
      <c r="N246" s="2"/>
      <c r="O246" s="2"/>
    </row>
    <row r="247" spans="9:15">
      <c r="I247" s="2" t="str">
        <v>kanan</v>
      </c>
      <c r="J247" s="2"/>
      <c r="K247" s="2"/>
      <c r="M247" s="2" t="str">
        <v>kanan</v>
      </c>
      <c r="N247" s="2"/>
      <c r="O247" s="2"/>
    </row>
    <row r="248" spans="9:15">
      <c r="I248" s="2" t="str">
        <v>tengah</v>
      </c>
      <c r="J248" s="2"/>
      <c r="K248" s="2"/>
      <c r="M248" s="2" t="str">
        <v>kanan</v>
      </c>
      <c r="N248" s="2"/>
      <c r="O248" s="2"/>
    </row>
    <row r="249" spans="9:15">
      <c r="I249" s="2" t="str">
        <v>tengah</v>
      </c>
      <c r="J249" s="2"/>
      <c r="K249" s="2"/>
      <c r="M249" s="2" t="str">
        <v>tengah</v>
      </c>
      <c r="N249" s="2"/>
      <c r="O249" s="2"/>
    </row>
    <row r="250" spans="9:15">
      <c r="I250" s="2" t="str">
        <v>tengah</v>
      </c>
      <c r="J250" s="2"/>
      <c r="K250" s="2"/>
      <c r="M250" s="2" t="str">
        <v>kanan</v>
      </c>
      <c r="N250" s="2"/>
      <c r="O250" s="2"/>
    </row>
    <row r="251" spans="9:15">
      <c r="I251" s="2" t="str">
        <v>kanan</v>
      </c>
      <c r="J251" s="2"/>
      <c r="K251" s="2"/>
      <c r="M251" s="2" t="str">
        <v>kanan</v>
      </c>
      <c r="N251" s="2"/>
      <c r="O251" s="2"/>
    </row>
    <row r="252" spans="9:15">
      <c r="I252" s="2" t="str">
        <v>tengah</v>
      </c>
      <c r="J252" s="2"/>
      <c r="K252" s="2"/>
      <c r="M252" s="2" t="str">
        <v>kanan</v>
      </c>
      <c r="N252" s="2"/>
      <c r="O252" s="2"/>
    </row>
    <row r="253" spans="9:15">
      <c r="I253" s="2" t="str">
        <v>kanan</v>
      </c>
      <c r="J253" s="2"/>
      <c r="K253" s="2"/>
      <c r="M253" s="2" t="str">
        <v>kanan</v>
      </c>
      <c r="N253" s="2"/>
      <c r="O253" s="2"/>
    </row>
    <row r="254" spans="9:15">
      <c r="I254" s="2" t="str">
        <v>kiri</v>
      </c>
      <c r="J254" s="2"/>
      <c r="K254" s="2"/>
      <c r="M254" s="2" t="str">
        <v>tengah</v>
      </c>
      <c r="N254" s="2"/>
      <c r="O254" s="2"/>
    </row>
    <row r="255" spans="9:15">
      <c r="I255" s="2" t="str">
        <v>kanan</v>
      </c>
      <c r="J255" s="2"/>
      <c r="K255" s="2"/>
      <c r="M255" s="2" t="str">
        <v>kanan</v>
      </c>
      <c r="N255" s="2"/>
      <c r="O255" s="2"/>
    </row>
    <row r="256" spans="9:15">
      <c r="I256" s="2" t="str">
        <v>tengah</v>
      </c>
      <c r="J256" s="2"/>
      <c r="K256" s="2"/>
      <c r="M256" s="2" t="str">
        <v>tengah</v>
      </c>
      <c r="N256" s="2"/>
      <c r="O256" s="2"/>
    </row>
    <row r="257" spans="9:15">
      <c r="I257" s="2" t="str">
        <v>tengah</v>
      </c>
      <c r="J257" s="2"/>
      <c r="K257" s="2"/>
      <c r="M257" s="2" t="str">
        <v>tengah</v>
      </c>
      <c r="N257" s="2"/>
      <c r="O257" s="2"/>
    </row>
    <row r="258" spans="9:15">
      <c r="I258" s="2" t="str">
        <v>kiri</v>
      </c>
      <c r="J258" s="2"/>
      <c r="K258" s="2"/>
      <c r="M258" s="2" t="str">
        <v>kanan</v>
      </c>
      <c r="N258" s="2"/>
      <c r="O258" s="2"/>
    </row>
    <row r="259" spans="9:15">
      <c r="I259" s="2" t="str">
        <v>kiri</v>
      </c>
      <c r="J259" s="2"/>
      <c r="K259" s="2"/>
      <c r="M259" s="2" t="str">
        <v>tengah</v>
      </c>
      <c r="N259" s="2"/>
      <c r="O259" s="2"/>
    </row>
    <row r="260" spans="9:15">
      <c r="I260" s="2" t="str">
        <v>kiri</v>
      </c>
      <c r="J260" s="2"/>
      <c r="K260" s="2"/>
      <c r="M260" s="2" t="str">
        <v>tengah</v>
      </c>
      <c r="N260" s="2"/>
      <c r="O260" s="2"/>
    </row>
    <row r="261" spans="9:15">
      <c r="I261" s="2" t="str">
        <v>tengah</v>
      </c>
      <c r="J261" s="2"/>
      <c r="K261" s="2"/>
      <c r="M261" s="2" t="str">
        <v>tengah</v>
      </c>
      <c r="N261" s="2"/>
      <c r="O261" s="2"/>
    </row>
    <row r="262" spans="9:15">
      <c r="I262" s="2" t="str">
        <v>tengah</v>
      </c>
      <c r="J262" s="2"/>
      <c r="K262" s="2"/>
      <c r="M262" s="2" t="str">
        <v>kanan</v>
      </c>
      <c r="N262" s="2"/>
      <c r="O262" s="2"/>
    </row>
    <row r="263" spans="9:15">
      <c r="I263" s="2" t="str">
        <v>tengah</v>
      </c>
      <c r="J263" s="2"/>
      <c r="K263" s="2"/>
      <c r="M263" s="2" t="str">
        <v>kanan</v>
      </c>
      <c r="N263" s="2"/>
      <c r="O263" s="2"/>
    </row>
    <row r="264" spans="9:15">
      <c r="I264" s="2" t="str">
        <v>tengah</v>
      </c>
      <c r="J264" s="2"/>
      <c r="K264" s="2"/>
      <c r="M264" s="2" t="str">
        <v>kanan</v>
      </c>
      <c r="N264" s="2"/>
      <c r="O264" s="2"/>
    </row>
    <row r="265" spans="9:15">
      <c r="I265" s="2" t="str">
        <v>kiri</v>
      </c>
      <c r="J265" s="2"/>
      <c r="K265" s="2"/>
      <c r="M265" s="2" t="str">
        <v>tengah</v>
      </c>
      <c r="N265" s="2"/>
      <c r="O265" s="2"/>
    </row>
    <row r="266" spans="9:15">
      <c r="I266" s="2" t="str">
        <v>kanan</v>
      </c>
      <c r="J266" s="2"/>
      <c r="K266" s="2"/>
      <c r="M266" s="2" t="str">
        <v>kanan</v>
      </c>
      <c r="N266" s="2"/>
      <c r="O266" s="2"/>
    </row>
    <row r="267" spans="9:15">
      <c r="I267" s="2" t="str">
        <v>tengah</v>
      </c>
      <c r="J267" s="2"/>
      <c r="K267" s="2"/>
      <c r="M267" s="2" t="str">
        <v>kanan</v>
      </c>
      <c r="N267" s="2"/>
      <c r="O267" s="2"/>
    </row>
    <row r="268" spans="9:15">
      <c r="I268" s="2" t="str">
        <v>tengah</v>
      </c>
      <c r="J268" s="2"/>
      <c r="K268" s="2"/>
      <c r="M268" s="2" t="str">
        <v>tengah</v>
      </c>
      <c r="N268" s="2"/>
      <c r="O268" s="2"/>
    </row>
    <row r="269" spans="9:15">
      <c r="I269" s="2" t="str">
        <v>tengah</v>
      </c>
      <c r="J269" s="2"/>
      <c r="K269" s="2"/>
      <c r="M269" s="2" t="str">
        <v>kanan</v>
      </c>
      <c r="N269" s="2"/>
      <c r="O269" s="2"/>
    </row>
    <row r="270" spans="9:15">
      <c r="I270" s="2" t="str">
        <v>tengah</v>
      </c>
      <c r="J270" s="2"/>
      <c r="K270" s="2"/>
      <c r="M270" s="2" t="str">
        <v>kanan</v>
      </c>
      <c r="N270" s="2"/>
      <c r="O270" s="2"/>
    </row>
    <row r="271" spans="9:15">
      <c r="I271" s="2" t="str">
        <v>tengah</v>
      </c>
      <c r="J271" s="2"/>
      <c r="K271" s="2"/>
      <c r="M271" s="2" t="str">
        <v>kanan</v>
      </c>
      <c r="N271" s="2"/>
      <c r="O271" s="2"/>
    </row>
    <row r="272" spans="9:15">
      <c r="I272" s="2" t="str">
        <v>tengah</v>
      </c>
      <c r="J272" s="2"/>
      <c r="K272" s="2"/>
      <c r="M272" s="2" t="str">
        <v>tengah</v>
      </c>
      <c r="N272" s="2"/>
      <c r="O272" s="2"/>
    </row>
    <row r="273" spans="9:15">
      <c r="I273" s="2" t="str">
        <v>tengah</v>
      </c>
      <c r="J273" s="2"/>
      <c r="K273" s="2"/>
      <c r="M273" s="2" t="str">
        <v>kanan</v>
      </c>
      <c r="N273" s="2"/>
      <c r="O273" s="2"/>
    </row>
    <row r="274" spans="9:15">
      <c r="I274" s="2" t="str">
        <v>kiri</v>
      </c>
      <c r="J274" s="2"/>
      <c r="K274" s="2"/>
      <c r="M274" s="2" t="str">
        <v>kanan</v>
      </c>
      <c r="N274" s="2"/>
      <c r="O274" s="2"/>
    </row>
    <row r="275" spans="9:15">
      <c r="I275" s="2" t="str">
        <v>kiri</v>
      </c>
      <c r="J275" s="2"/>
      <c r="K275" s="2"/>
      <c r="M275" s="2" t="str">
        <v>tengah</v>
      </c>
      <c r="N275" s="2"/>
      <c r="O275" s="2"/>
    </row>
    <row r="276" spans="9:15">
      <c r="I276" s="2" t="str">
        <v>kiri</v>
      </c>
      <c r="J276" s="2"/>
      <c r="K276" s="2"/>
      <c r="M276" s="2" t="str">
        <v>kanan</v>
      </c>
      <c r="N276" s="2"/>
      <c r="O276" s="2"/>
    </row>
    <row r="277" spans="9:15">
      <c r="I277" s="2" t="str">
        <v>tengah</v>
      </c>
      <c r="J277" s="2"/>
      <c r="K277" s="2"/>
      <c r="M277" s="2" t="str">
        <v>kanan</v>
      </c>
      <c r="N277" s="2"/>
      <c r="O277" s="2"/>
    </row>
    <row r="278" spans="9:15">
      <c r="I278" s="2" t="str">
        <v>tengah</v>
      </c>
      <c r="J278" s="2"/>
      <c r="K278" s="2"/>
      <c r="M278" s="2" t="str">
        <v>tengah</v>
      </c>
      <c r="N278" s="2"/>
      <c r="O278" s="2"/>
    </row>
    <row r="279" spans="9:15">
      <c r="I279" s="2" t="str">
        <v>tengah</v>
      </c>
      <c r="J279" s="2"/>
      <c r="K279" s="2"/>
      <c r="M279" s="2" t="str">
        <v>kanan</v>
      </c>
      <c r="N279" s="2"/>
      <c r="O279" s="2"/>
    </row>
    <row r="280" spans="9:15">
      <c r="I280" s="2" t="str">
        <v>tengah</v>
      </c>
      <c r="J280" s="2"/>
      <c r="K280" s="2"/>
      <c r="M280" s="2" t="str">
        <v>tengah</v>
      </c>
      <c r="N280" s="2"/>
      <c r="O280" s="2"/>
    </row>
    <row r="281" spans="9:15">
      <c r="I281" s="2" t="str">
        <v>tengah</v>
      </c>
      <c r="J281" s="2"/>
      <c r="K281" s="2"/>
      <c r="M281" s="2" t="str">
        <v>kanan</v>
      </c>
      <c r="N281" s="2"/>
      <c r="O281" s="2"/>
    </row>
    <row r="282" spans="9:15">
      <c r="I282" s="2" t="str">
        <v>tengah</v>
      </c>
      <c r="J282" s="2"/>
      <c r="K282" s="2"/>
      <c r="M282" s="2" t="str">
        <v>kanan</v>
      </c>
      <c r="N282" s="2"/>
      <c r="O282" s="2"/>
    </row>
    <row r="283" spans="9:15">
      <c r="I283" s="2" t="str">
        <v>tengah</v>
      </c>
      <c r="J283" s="2"/>
      <c r="K283" s="2"/>
      <c r="M283" s="2" t="str">
        <v>kanan</v>
      </c>
      <c r="N283" s="2"/>
      <c r="O283" s="2"/>
    </row>
    <row r="284" spans="9:15">
      <c r="I284" s="2" t="str">
        <v>kanan</v>
      </c>
      <c r="J284" s="2"/>
      <c r="K284" s="2"/>
      <c r="M284" s="2" t="str">
        <v>kanan</v>
      </c>
      <c r="N284" s="2"/>
      <c r="O284" s="2"/>
    </row>
    <row r="285" spans="9:15">
      <c r="I285" s="2" t="str">
        <v>tengah</v>
      </c>
      <c r="J285" s="2"/>
      <c r="K285" s="2"/>
      <c r="M285" s="2" t="str">
        <v>kanan</v>
      </c>
      <c r="N285" s="2"/>
      <c r="O285" s="2"/>
    </row>
    <row r="286" spans="9:15">
      <c r="I286" s="2" t="str">
        <v>tengah</v>
      </c>
      <c r="J286" s="2"/>
      <c r="K286" s="2"/>
      <c r="M286" s="2" t="str">
        <v>kanan</v>
      </c>
      <c r="N286" s="2"/>
      <c r="O286" s="2"/>
    </row>
    <row r="287" spans="9:15">
      <c r="I287" s="2" t="str">
        <v>kanan</v>
      </c>
      <c r="J287" s="2"/>
      <c r="K287" s="2"/>
      <c r="M287" s="2" t="str">
        <v>tengah</v>
      </c>
      <c r="N287" s="2"/>
      <c r="O287" s="2"/>
    </row>
    <row r="288" spans="9:15">
      <c r="I288" s="2" t="str">
        <v>kanan</v>
      </c>
      <c r="J288" s="2"/>
      <c r="K288" s="2"/>
      <c r="M288" s="2" t="str">
        <v>tengah</v>
      </c>
      <c r="N288" s="2"/>
      <c r="O288" s="2"/>
    </row>
    <row r="289" spans="9:15">
      <c r="I289" s="2" t="str">
        <v>tengah</v>
      </c>
      <c r="J289" s="2"/>
      <c r="K289" s="2"/>
      <c r="M289" s="2" t="str">
        <v>kanan</v>
      </c>
      <c r="N289" s="2"/>
      <c r="O289" s="2"/>
    </row>
    <row r="290" spans="9:15">
      <c r="I290" s="2" t="str">
        <v>tengah</v>
      </c>
      <c r="J290" s="2"/>
      <c r="K290" s="2"/>
      <c r="M290" s="2" t="str">
        <v>kanan</v>
      </c>
      <c r="N290" s="2"/>
      <c r="O290" s="2"/>
    </row>
    <row r="291" spans="9:15">
      <c r="I291" s="2" t="str">
        <v>tengah</v>
      </c>
      <c r="J291" s="2"/>
      <c r="K291" s="2"/>
      <c r="M291" s="2" t="str">
        <v>tengah</v>
      </c>
      <c r="N291" s="2"/>
      <c r="O291" s="2"/>
    </row>
    <row r="292" spans="9:15">
      <c r="I292" s="2" t="str">
        <v>kanan</v>
      </c>
      <c r="J292" s="2"/>
      <c r="K292" s="2"/>
      <c r="M292" s="2" t="str">
        <v>kanan</v>
      </c>
      <c r="N292" s="2"/>
      <c r="O292" s="2"/>
    </row>
    <row r="293" spans="9:15">
      <c r="I293" s="2" t="str">
        <v>tengah</v>
      </c>
      <c r="J293" s="2"/>
      <c r="K293" s="2"/>
      <c r="M293" s="2" t="str">
        <v>kanan</v>
      </c>
      <c r="N293" s="2"/>
      <c r="O293" s="2"/>
    </row>
    <row r="294" spans="9:15">
      <c r="I294" s="2" t="str">
        <v>tengah</v>
      </c>
      <c r="J294" s="2"/>
      <c r="K294" s="2"/>
      <c r="M294" s="2" t="str">
        <v>tengah</v>
      </c>
      <c r="N294" s="2"/>
      <c r="O294" s="2"/>
    </row>
    <row r="295" spans="9:15">
      <c r="I295" s="2" t="str">
        <v>tengah</v>
      </c>
      <c r="J295" s="2"/>
      <c r="K295" s="2"/>
      <c r="M295" s="2" t="str">
        <v>kanan</v>
      </c>
      <c r="N295" s="2"/>
      <c r="O295" s="2"/>
    </row>
    <row r="296" spans="9:15">
      <c r="I296" s="2" t="str">
        <v>tengah</v>
      </c>
      <c r="J296" s="2"/>
      <c r="K296" s="2"/>
      <c r="M296" s="2" t="str">
        <v>kanan</v>
      </c>
      <c r="N296" s="2"/>
      <c r="O296" s="2"/>
    </row>
    <row r="297" spans="9:15">
      <c r="I297" s="2" t="str">
        <v>tengah</v>
      </c>
      <c r="J297" s="2"/>
      <c r="K297" s="2"/>
      <c r="M297" s="2" t="str">
        <v>kanan</v>
      </c>
      <c r="N297" s="2"/>
      <c r="O297" s="2"/>
    </row>
    <row r="298" spans="9:15">
      <c r="I298" s="2" t="str">
        <v>kiri</v>
      </c>
      <c r="J298" s="2"/>
      <c r="K298" s="2"/>
      <c r="M298" s="2" t="str">
        <v>tengah</v>
      </c>
      <c r="N298" s="2"/>
      <c r="O298" s="2"/>
    </row>
    <row r="299" spans="9:15">
      <c r="I299" s="2" t="str">
        <v>kiri</v>
      </c>
      <c r="J299" s="2"/>
      <c r="K299" s="2"/>
      <c r="M299" s="2" t="str">
        <v>tengah</v>
      </c>
      <c r="N299" s="2"/>
      <c r="O299" s="2"/>
    </row>
    <row r="300" spans="9:15">
      <c r="I300" s="2" t="str">
        <v>tengah</v>
      </c>
      <c r="J300" s="2"/>
      <c r="K300" s="2"/>
      <c r="M300" s="2" t="str">
        <v>kanan</v>
      </c>
      <c r="N300" s="2"/>
      <c r="O300" s="2"/>
    </row>
    <row r="301" spans="9:15">
      <c r="I301" s="2" t="str">
        <v>tengah</v>
      </c>
      <c r="J301" s="2"/>
      <c r="K301" s="2"/>
      <c r="M301" s="2" t="str">
        <v>kanan</v>
      </c>
      <c r="N301" s="2"/>
      <c r="O301" s="2"/>
    </row>
    <row r="302" spans="9:15">
      <c r="I302" s="2" t="str">
        <v>kiri</v>
      </c>
      <c r="J302" s="2"/>
      <c r="K302" s="2"/>
      <c r="M302" s="2" t="str">
        <v>tengah</v>
      </c>
      <c r="N302" s="2"/>
      <c r="O302" s="2"/>
    </row>
    <row r="303" spans="9:15">
      <c r="I303" s="2" t="str">
        <v>tengah</v>
      </c>
      <c r="J303" s="2"/>
      <c r="K303" s="2"/>
      <c r="M303" s="2" t="str">
        <v>tengah</v>
      </c>
      <c r="N303" s="2"/>
      <c r="O303" s="2"/>
    </row>
    <row r="304" spans="9:15">
      <c r="I304" s="2" t="str">
        <v>kiri</v>
      </c>
      <c r="J304" s="2"/>
      <c r="K304" s="2"/>
      <c r="M304" s="2" t="str">
        <v>tengah</v>
      </c>
      <c r="N304" s="2"/>
      <c r="O304" s="2"/>
    </row>
    <row r="305" spans="9:15">
      <c r="I305" s="2" t="str">
        <v>kiri</v>
      </c>
      <c r="J305" s="2"/>
      <c r="K305" s="2"/>
      <c r="M305" s="2" t="str">
        <v>kanan</v>
      </c>
      <c r="N305" s="2"/>
      <c r="O305" s="2"/>
    </row>
    <row r="306" spans="9:15">
      <c r="I306" s="2" t="str">
        <v>tengah</v>
      </c>
      <c r="J306" s="2"/>
      <c r="K306" s="2"/>
      <c r="M306" s="2" t="str">
        <v>kanan</v>
      </c>
      <c r="N306" s="2"/>
      <c r="O306" s="2"/>
    </row>
    <row r="307" spans="9:15">
      <c r="I307" s="2" t="str">
        <v>tengah</v>
      </c>
      <c r="J307" s="2"/>
      <c r="K307" s="2"/>
      <c r="M307" s="2" t="str">
        <v>kanan</v>
      </c>
      <c r="N307" s="2"/>
      <c r="O307" s="2"/>
    </row>
    <row r="308" spans="9:15">
      <c r="I308" s="2" t="str">
        <v>tengah</v>
      </c>
      <c r="J308" s="2"/>
      <c r="K308" s="2"/>
      <c r="M308" s="2" t="str">
        <v>kanan</v>
      </c>
      <c r="N308" s="2"/>
      <c r="O308" s="2"/>
    </row>
    <row r="309" spans="9:15">
      <c r="I309" s="2" t="str">
        <v>kiri</v>
      </c>
      <c r="J309" s="2"/>
      <c r="K309" s="2"/>
      <c r="M309" s="2" t="str">
        <v>kanan</v>
      </c>
      <c r="N309" s="2"/>
      <c r="O309" s="2"/>
    </row>
    <row r="310" spans="9:15">
      <c r="I310" s="2" t="str">
        <v>kanan</v>
      </c>
      <c r="J310" s="2"/>
      <c r="K310" s="2"/>
      <c r="M310" s="2" t="str">
        <v>tengah</v>
      </c>
      <c r="N310" s="2"/>
      <c r="O310" s="2"/>
    </row>
    <row r="311" spans="9:15">
      <c r="I311" s="2" t="str">
        <v>tengah</v>
      </c>
      <c r="J311" s="2"/>
      <c r="K311" s="2"/>
      <c r="M311" s="2" t="str">
        <v>tengah</v>
      </c>
      <c r="N311" s="2"/>
      <c r="O311" s="2"/>
    </row>
    <row r="312" spans="9:15">
      <c r="I312" s="2" t="str">
        <v>tengah</v>
      </c>
      <c r="J312" s="2"/>
      <c r="K312" s="2"/>
      <c r="M312" s="2" t="str">
        <v>tengah</v>
      </c>
      <c r="N312" s="2"/>
      <c r="O312" s="2"/>
    </row>
    <row r="313" spans="9:15">
      <c r="I313" s="2" t="str">
        <v>tengah</v>
      </c>
      <c r="J313" s="2"/>
      <c r="K313" s="2"/>
      <c r="M313" s="2" t="str">
        <v>kanan</v>
      </c>
      <c r="N313" s="2"/>
      <c r="O313" s="2"/>
    </row>
    <row r="314" spans="9:15">
      <c r="I314" s="2" t="str">
        <v>kiri</v>
      </c>
      <c r="J314" s="2"/>
      <c r="K314" s="2"/>
      <c r="M314" s="2" t="str">
        <v>tengah</v>
      </c>
      <c r="N314" s="2"/>
      <c r="O314" s="2"/>
    </row>
    <row r="315" spans="9:15">
      <c r="I315" s="2" t="str">
        <v>tengah</v>
      </c>
      <c r="J315" s="2"/>
      <c r="K315" s="2"/>
      <c r="M315" s="2" t="str">
        <v>kanan</v>
      </c>
      <c r="N315" s="2"/>
      <c r="O315" s="2"/>
    </row>
    <row r="316" spans="9:15">
      <c r="I316" s="2" t="str">
        <v>kiri</v>
      </c>
      <c r="J316" s="2"/>
      <c r="K316" s="2"/>
      <c r="M316" s="2" t="str">
        <v>kanan</v>
      </c>
      <c r="N316" s="2"/>
      <c r="O316" s="2"/>
    </row>
    <row r="317" spans="9:15">
      <c r="I317" s="2" t="str">
        <v>tengah</v>
      </c>
      <c r="J317" s="2"/>
      <c r="K317" s="2"/>
      <c r="M317" s="2" t="str">
        <v>kanan</v>
      </c>
      <c r="N317" s="2"/>
      <c r="O317" s="2"/>
    </row>
    <row r="318" spans="9:15">
      <c r="I318" s="2" t="str">
        <v>kanan</v>
      </c>
      <c r="J318" s="2"/>
      <c r="K318" s="2"/>
      <c r="M318" s="2" t="str">
        <v>tengah</v>
      </c>
      <c r="N318" s="2"/>
      <c r="O318" s="2"/>
    </row>
    <row r="319" spans="9:15">
      <c r="I319" s="2" t="str">
        <v>tengah</v>
      </c>
      <c r="J319" s="2"/>
      <c r="K319" s="2"/>
      <c r="M319" s="2" t="str">
        <v>tengah</v>
      </c>
      <c r="N319" s="2"/>
      <c r="O319" s="2"/>
    </row>
    <row r="320" spans="9:15">
      <c r="I320" s="2" t="str">
        <v>kiri</v>
      </c>
      <c r="J320" s="2"/>
      <c r="K320" s="2"/>
      <c r="M320" s="2" t="str">
        <v>kanan</v>
      </c>
      <c r="N320" s="2"/>
      <c r="O320" s="2"/>
    </row>
    <row r="321" spans="9:15">
      <c r="I321" s="2" t="str">
        <v>kanan</v>
      </c>
      <c r="J321" s="2"/>
      <c r="K321" s="2"/>
      <c r="M321" s="2" t="str">
        <v>kanan</v>
      </c>
      <c r="N321" s="2"/>
      <c r="O321" s="2"/>
    </row>
    <row r="322" spans="9:15">
      <c r="I322" s="2" t="str">
        <v>kanan</v>
      </c>
      <c r="J322" s="2"/>
      <c r="K322" s="2"/>
      <c r="M322" s="2" t="str">
        <v>tengah</v>
      </c>
      <c r="N322" s="2"/>
      <c r="O322" s="2"/>
    </row>
    <row r="323" spans="9:15">
      <c r="I323" s="2" t="str">
        <v>kiri</v>
      </c>
      <c r="J323" s="2"/>
      <c r="K323" s="2"/>
      <c r="M323" s="2" t="str">
        <v>tengah</v>
      </c>
      <c r="N323" s="2"/>
      <c r="O323" s="2"/>
    </row>
    <row r="324" spans="9:15">
      <c r="I324" s="2" t="str">
        <v>tengah</v>
      </c>
      <c r="J324" s="2"/>
      <c r="K324" s="2"/>
      <c r="M324" s="2" t="str">
        <v>kanan</v>
      </c>
      <c r="N324" s="2"/>
      <c r="O324" s="2"/>
    </row>
    <row r="325" spans="9:15">
      <c r="I325" s="2" t="str">
        <v>kanan</v>
      </c>
      <c r="J325" s="2"/>
      <c r="K325" s="2"/>
      <c r="M325" s="2" t="str">
        <v>tengah</v>
      </c>
      <c r="N325" s="2"/>
      <c r="O325" s="2"/>
    </row>
    <row r="326" spans="9:15">
      <c r="I326" s="2" t="str">
        <v>tengah</v>
      </c>
      <c r="J326" s="2"/>
      <c r="K326" s="2"/>
      <c r="M326" s="2" t="str">
        <v>tengah</v>
      </c>
      <c r="N326" s="2"/>
      <c r="O326" s="2"/>
    </row>
    <row r="327" spans="9:15">
      <c r="I327" s="2" t="str">
        <v>tengah</v>
      </c>
      <c r="J327" s="2"/>
      <c r="K327" s="2"/>
      <c r="M327" s="2" t="str">
        <v>tengah</v>
      </c>
      <c r="N327" s="2"/>
      <c r="O327" s="2"/>
    </row>
    <row r="328" spans="9:15">
      <c r="I328" s="2" t="str">
        <v>kanan</v>
      </c>
      <c r="J328" s="2"/>
      <c r="K328" s="2"/>
      <c r="M328" s="2" t="str">
        <v>kanan</v>
      </c>
      <c r="N328" s="2"/>
      <c r="O328" s="2"/>
    </row>
    <row r="329" spans="9:15">
      <c r="I329" s="2" t="str">
        <v>tengah</v>
      </c>
      <c r="J329" s="2"/>
      <c r="K329" s="2"/>
      <c r="M329" s="2" t="str">
        <v>tengah</v>
      </c>
      <c r="N329" s="2"/>
      <c r="O329" s="2"/>
    </row>
    <row r="330" spans="9:15">
      <c r="I330" s="2" t="str">
        <v>tengah</v>
      </c>
      <c r="J330" s="2"/>
      <c r="K330" s="2"/>
      <c r="M330" s="2" t="str">
        <v>kanan</v>
      </c>
      <c r="N330" s="2"/>
      <c r="O330" s="2"/>
    </row>
    <row r="331" spans="9:15">
      <c r="I331" s="2" t="str">
        <v>tengah</v>
      </c>
      <c r="J331" s="2"/>
      <c r="K331" s="2"/>
      <c r="M331" s="2" t="str">
        <v>kanan</v>
      </c>
      <c r="N331" s="2"/>
      <c r="O331" s="2"/>
    </row>
    <row r="332" spans="9:15">
      <c r="I332" s="2" t="str">
        <v>tengah</v>
      </c>
      <c r="J332" s="2"/>
      <c r="K332" s="2"/>
      <c r="M332" s="2" t="str">
        <v>kanan</v>
      </c>
      <c r="N332" s="2"/>
      <c r="O332" s="2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7639F-4D6E-44EC-96AE-4EF85384E738}">
  <dimension ref="A1:K332"/>
  <sheetViews>
    <sheetView topLeftCell="G160" zoomScale="95" zoomScaleNormal="95" workbookViewId="0">
      <selection activeCell="I170" sqref="I170"/>
    </sheetView>
  </sheetViews>
  <sheetFormatPr defaultRowHeight="15"/>
  <cols>
    <col min="2" max="2" width="13.28515625" bestFit="1" customWidth="1"/>
    <col min="3" max="3" width="13.85546875" bestFit="1" customWidth="1"/>
    <col min="5" max="5" width="14.28515625" bestFit="1" customWidth="1"/>
    <col min="6" max="6" width="13.28515625" bestFit="1" customWidth="1"/>
    <col min="7" max="7" width="13.85546875" bestFit="1" customWidth="1"/>
    <col min="9" max="9" width="16.140625" bestFit="1" customWidth="1"/>
  </cols>
  <sheetData>
    <row r="1" spans="1:11">
      <c r="A1" s="1" t="s">
        <v>171</v>
      </c>
      <c r="B1" s="1" t="s">
        <v>4</v>
      </c>
      <c r="C1" s="1" t="s">
        <v>5</v>
      </c>
      <c r="E1" s="1" t="s">
        <v>171</v>
      </c>
      <c r="F1" s="1" t="s">
        <v>4</v>
      </c>
      <c r="G1" s="1" t="s">
        <v>5</v>
      </c>
      <c r="I1" s="1" t="s">
        <v>173</v>
      </c>
      <c r="J1" s="3"/>
      <c r="K1" s="3"/>
    </row>
    <row r="2" spans="1:11">
      <c r="A2" s="2">
        <f ca="1">RANDBETWEEN(2,164)</f>
        <v>60</v>
      </c>
      <c r="B2" s="2" cm="1">
        <f t="array" aca="1" ref="B2" ca="1">INDEX(Data_DBD!$E:$E,$A2)</f>
        <v>0</v>
      </c>
      <c r="C2" s="2" t="str" cm="1">
        <f t="array" aca="1" ref="C2" ca="1">INDEX(Data_DBD!$F:$F,$A2)</f>
        <v>Sedang</v>
      </c>
      <c r="E2" s="2">
        <v>140</v>
      </c>
      <c r="F2" s="2">
        <v>1</v>
      </c>
      <c r="G2" s="2" t="s">
        <v>97</v>
      </c>
      <c r="I2" s="3" t="s">
        <v>97</v>
      </c>
      <c r="J2" s="3">
        <f>COUNTIF(G2:G164,"Tinggi")</f>
        <v>62</v>
      </c>
      <c r="K2" s="3">
        <f>J2/163</f>
        <v>0.38036809815950923</v>
      </c>
    </row>
    <row r="3" spans="1:11">
      <c r="A3" s="2">
        <f t="shared" ref="A3:A66" ca="1" si="0">RANDBETWEEN(2,164)</f>
        <v>21</v>
      </c>
      <c r="B3" s="2" cm="1">
        <f t="array" aca="1" ref="B3" ca="1">INDEX(Data_DBD!$E:$E,$A3)</f>
        <v>1</v>
      </c>
      <c r="C3" s="2" t="str" cm="1">
        <f t="array" aca="1" ref="C3" ca="1">INDEX(Data_DBD!$F:$F,$A3)</f>
        <v>Sedang</v>
      </c>
      <c r="E3" s="2">
        <v>64</v>
      </c>
      <c r="F3" s="2">
        <v>0</v>
      </c>
      <c r="G3" s="2" t="s">
        <v>7</v>
      </c>
      <c r="I3" s="3" t="s">
        <v>7</v>
      </c>
      <c r="J3" s="3">
        <f>COUNTIF(G2:G164,"Sedang")</f>
        <v>83</v>
      </c>
      <c r="K3" s="3">
        <f>J3/163</f>
        <v>0.50920245398773001</v>
      </c>
    </row>
    <row r="4" spans="1:11">
      <c r="A4" s="2">
        <f t="shared" ca="1" si="0"/>
        <v>22</v>
      </c>
      <c r="B4" s="2" cm="1">
        <f t="array" aca="1" ref="B4" ca="1">INDEX(Data_DBD!$E:$E,$A4)</f>
        <v>0</v>
      </c>
      <c r="C4" s="2" t="str" cm="1">
        <f t="array" aca="1" ref="C4" ca="1">INDEX(Data_DBD!$F:$F,$A4)</f>
        <v>Sedang</v>
      </c>
      <c r="E4" s="2">
        <v>122</v>
      </c>
      <c r="F4" s="2">
        <v>1</v>
      </c>
      <c r="G4" s="2" t="s">
        <v>97</v>
      </c>
      <c r="I4" s="3" t="s">
        <v>20</v>
      </c>
      <c r="J4" s="3">
        <f>COUNTIF(G2:G164,"Rendah")</f>
        <v>18</v>
      </c>
      <c r="K4" s="3">
        <f>J4/163</f>
        <v>0.11042944785276074</v>
      </c>
    </row>
    <row r="5" spans="1:11">
      <c r="A5" s="2">
        <f t="shared" ca="1" si="0"/>
        <v>59</v>
      </c>
      <c r="B5" s="2" cm="1">
        <f t="array" aca="1" ref="B5" ca="1">INDEX(Data_DBD!$E:$E,$A5)</f>
        <v>0</v>
      </c>
      <c r="C5" s="2" t="str" cm="1">
        <f t="array" aca="1" ref="C5" ca="1">INDEX(Data_DBD!$F:$F,$A5)</f>
        <v>Sedang</v>
      </c>
      <c r="E5" s="2">
        <v>15</v>
      </c>
      <c r="F5" s="2">
        <v>0</v>
      </c>
      <c r="G5" s="2" t="s">
        <v>20</v>
      </c>
      <c r="I5" s="4" t="s">
        <v>174</v>
      </c>
      <c r="J5">
        <f>-(IFERROR(K2*LOG(K2,2),0)+IFERROR(K3*LOG(K3,2),0)+IFERROR(K4*LOG(K4,2),0))</f>
        <v>1.3772735893737609</v>
      </c>
    </row>
    <row r="6" spans="1:11">
      <c r="A6" s="2">
        <f t="shared" ca="1" si="0"/>
        <v>61</v>
      </c>
      <c r="B6" s="2" cm="1">
        <f t="array" aca="1" ref="B6" ca="1">INDEX(Data_DBD!$E:$E,$A6)</f>
        <v>1</v>
      </c>
      <c r="C6" s="2" t="str" cm="1">
        <f t="array" aca="1" ref="C6" ca="1">INDEX(Data_DBD!$F:$F,$A6)</f>
        <v>Sedang</v>
      </c>
      <c r="E6" s="2">
        <v>38</v>
      </c>
      <c r="F6" s="2">
        <v>1</v>
      </c>
      <c r="G6" s="2" t="s">
        <v>20</v>
      </c>
    </row>
    <row r="7" spans="1:11">
      <c r="A7" s="2">
        <f t="shared" ca="1" si="0"/>
        <v>111</v>
      </c>
      <c r="B7" s="2" cm="1">
        <f t="array" aca="1" ref="B7" ca="1">INDEX(Data_DBD!$E:$E,$A7)</f>
        <v>0</v>
      </c>
      <c r="C7" s="2" t="str" cm="1">
        <f t="array" aca="1" ref="C7" ca="1">INDEX(Data_DBD!$F:$F,$A7)</f>
        <v>Tinggi</v>
      </c>
      <c r="E7" s="2">
        <v>77</v>
      </c>
      <c r="F7" s="2">
        <v>1</v>
      </c>
      <c r="G7" s="2" t="s">
        <v>7</v>
      </c>
    </row>
    <row r="8" spans="1:11">
      <c r="A8" s="2">
        <f t="shared" ca="1" si="0"/>
        <v>82</v>
      </c>
      <c r="B8" s="2" cm="1">
        <f t="array" aca="1" ref="B8" ca="1">INDEX(Data_DBD!$E:$E,$A8)</f>
        <v>1</v>
      </c>
      <c r="C8" s="2" t="str" cm="1">
        <f t="array" aca="1" ref="C8" ca="1">INDEX(Data_DBD!$F:$F,$A8)</f>
        <v>Sedang</v>
      </c>
      <c r="E8" s="2">
        <v>42</v>
      </c>
      <c r="F8" s="2">
        <v>1</v>
      </c>
      <c r="G8" s="2" t="s">
        <v>7</v>
      </c>
    </row>
    <row r="9" spans="1:11">
      <c r="A9" s="2">
        <f t="shared" ca="1" si="0"/>
        <v>108</v>
      </c>
      <c r="B9" s="2" cm="1">
        <f t="array" aca="1" ref="B9" ca="1">INDEX(Data_DBD!$E:$E,$A9)</f>
        <v>1</v>
      </c>
      <c r="C9" s="2" t="str" cm="1">
        <f t="array" aca="1" ref="C9" ca="1">INDEX(Data_DBD!$F:$F,$A9)</f>
        <v>Tinggi</v>
      </c>
      <c r="E9" s="2">
        <v>117</v>
      </c>
      <c r="F9" s="2">
        <v>1</v>
      </c>
      <c r="G9" s="2" t="s">
        <v>97</v>
      </c>
    </row>
    <row r="10" spans="1:11">
      <c r="A10" s="2">
        <f t="shared" ca="1" si="0"/>
        <v>27</v>
      </c>
      <c r="B10" s="2" cm="1">
        <f t="array" aca="1" ref="B10" ca="1">INDEX(Data_DBD!$E:$E,$A10)</f>
        <v>1</v>
      </c>
      <c r="C10" s="2" t="str" cm="1">
        <f t="array" aca="1" ref="C10" ca="1">INDEX(Data_DBD!$F:$F,$A10)</f>
        <v>Sedang</v>
      </c>
      <c r="E10" s="2">
        <v>131</v>
      </c>
      <c r="F10" s="2">
        <v>0</v>
      </c>
      <c r="G10" s="2" t="s">
        <v>97</v>
      </c>
    </row>
    <row r="11" spans="1:11">
      <c r="A11" s="2">
        <f t="shared" ca="1" si="0"/>
        <v>19</v>
      </c>
      <c r="B11" s="2" cm="1">
        <f t="array" aca="1" ref="B11" ca="1">INDEX(Data_DBD!$E:$E,$A11)</f>
        <v>0</v>
      </c>
      <c r="C11" s="2" t="str" cm="1">
        <f t="array" aca="1" ref="C11" ca="1">INDEX(Data_DBD!$F:$F,$A11)</f>
        <v>Rendah</v>
      </c>
      <c r="E11" s="2">
        <v>16</v>
      </c>
      <c r="F11" s="2">
        <v>1</v>
      </c>
      <c r="G11" s="2" t="s">
        <v>20</v>
      </c>
    </row>
    <row r="12" spans="1:11">
      <c r="A12" s="2">
        <f t="shared" ca="1" si="0"/>
        <v>29</v>
      </c>
      <c r="B12" s="2" cm="1">
        <f t="array" aca="1" ref="B12" ca="1">INDEX(Data_DBD!$E:$E,$A12)</f>
        <v>1</v>
      </c>
      <c r="C12" s="2" t="str" cm="1">
        <f t="array" aca="1" ref="C12" ca="1">INDEX(Data_DBD!$F:$F,$A12)</f>
        <v>Sedang</v>
      </c>
      <c r="E12" s="2">
        <v>95</v>
      </c>
      <c r="F12" s="2">
        <v>1</v>
      </c>
      <c r="G12" s="2" t="s">
        <v>97</v>
      </c>
    </row>
    <row r="13" spans="1:11">
      <c r="A13" s="2">
        <f t="shared" ca="1" si="0"/>
        <v>9</v>
      </c>
      <c r="B13" s="2" cm="1">
        <f t="array" aca="1" ref="B13" ca="1">INDEX(Data_DBD!$E:$E,$A13)</f>
        <v>1</v>
      </c>
      <c r="C13" s="2" t="str" cm="1">
        <f t="array" aca="1" ref="C13" ca="1">INDEX(Data_DBD!$F:$F,$A13)</f>
        <v>Sedang</v>
      </c>
      <c r="E13" s="2">
        <v>72</v>
      </c>
      <c r="F13" s="2">
        <v>1</v>
      </c>
      <c r="G13" s="2" t="s">
        <v>7</v>
      </c>
    </row>
    <row r="14" spans="1:11">
      <c r="A14" s="2">
        <f t="shared" ca="1" si="0"/>
        <v>3</v>
      </c>
      <c r="B14" s="2" cm="1">
        <f t="array" aca="1" ref="B14" ca="1">INDEX(Data_DBD!$E:$E,$A14)</f>
        <v>1</v>
      </c>
      <c r="C14" s="2" t="str" cm="1">
        <f t="array" aca="1" ref="C14" ca="1">INDEX(Data_DBD!$F:$F,$A14)</f>
        <v>Sedang</v>
      </c>
      <c r="E14" s="2">
        <v>28</v>
      </c>
      <c r="F14" s="2">
        <v>1</v>
      </c>
      <c r="G14" s="2" t="s">
        <v>7</v>
      </c>
    </row>
    <row r="15" spans="1:11">
      <c r="A15" s="2">
        <f t="shared" ca="1" si="0"/>
        <v>126</v>
      </c>
      <c r="B15" s="2" cm="1">
        <f t="array" aca="1" ref="B15" ca="1">INDEX(Data_DBD!$E:$E,$A15)</f>
        <v>1</v>
      </c>
      <c r="C15" s="2" t="str" cm="1">
        <f t="array" aca="1" ref="C15" ca="1">INDEX(Data_DBD!$F:$F,$A15)</f>
        <v>Tinggi</v>
      </c>
      <c r="E15" s="2">
        <v>64</v>
      </c>
      <c r="F15" s="2">
        <v>0</v>
      </c>
      <c r="G15" s="2" t="s">
        <v>7</v>
      </c>
    </row>
    <row r="16" spans="1:11">
      <c r="A16" s="2">
        <f t="shared" ca="1" si="0"/>
        <v>103</v>
      </c>
      <c r="B16" s="2" cm="1">
        <f t="array" aca="1" ref="B16" ca="1">INDEX(Data_DBD!$E:$E,$A16)</f>
        <v>0</v>
      </c>
      <c r="C16" s="2" t="str" cm="1">
        <f t="array" aca="1" ref="C16" ca="1">INDEX(Data_DBD!$F:$F,$A16)</f>
        <v>Tinggi</v>
      </c>
      <c r="E16" s="2">
        <v>100</v>
      </c>
      <c r="F16" s="2">
        <v>0</v>
      </c>
      <c r="G16" s="2" t="s">
        <v>97</v>
      </c>
    </row>
    <row r="17" spans="1:7">
      <c r="A17" s="2">
        <f t="shared" ca="1" si="0"/>
        <v>27</v>
      </c>
      <c r="B17" s="2" cm="1">
        <f t="array" aca="1" ref="B17" ca="1">INDEX(Data_DBD!$E:$E,$A17)</f>
        <v>1</v>
      </c>
      <c r="C17" s="2" t="str" cm="1">
        <f t="array" aca="1" ref="C17" ca="1">INDEX(Data_DBD!$F:$F,$A17)</f>
        <v>Sedang</v>
      </c>
      <c r="E17" s="2">
        <v>85</v>
      </c>
      <c r="F17" s="2">
        <v>0</v>
      </c>
      <c r="G17" s="2" t="s">
        <v>7</v>
      </c>
    </row>
    <row r="18" spans="1:7">
      <c r="A18" s="2">
        <f t="shared" ca="1" si="0"/>
        <v>100</v>
      </c>
      <c r="B18" s="2" cm="1">
        <f t="array" aca="1" ref="B18" ca="1">INDEX(Data_DBD!$E:$E,$A18)</f>
        <v>0</v>
      </c>
      <c r="C18" s="2" t="str" cm="1">
        <f t="array" aca="1" ref="C18" ca="1">INDEX(Data_DBD!$F:$F,$A18)</f>
        <v>Tinggi</v>
      </c>
      <c r="E18" s="2">
        <v>29</v>
      </c>
      <c r="F18" s="2">
        <v>1</v>
      </c>
      <c r="G18" s="2" t="s">
        <v>7</v>
      </c>
    </row>
    <row r="19" spans="1:7">
      <c r="A19" s="2">
        <f t="shared" ca="1" si="0"/>
        <v>68</v>
      </c>
      <c r="B19" s="2" cm="1">
        <f t="array" aca="1" ref="B19" ca="1">INDEX(Data_DBD!$E:$E,$A19)</f>
        <v>0</v>
      </c>
      <c r="C19" s="2" t="str" cm="1">
        <f t="array" aca="1" ref="C19" ca="1">INDEX(Data_DBD!$F:$F,$A19)</f>
        <v>Sedang</v>
      </c>
      <c r="E19" s="2">
        <v>64</v>
      </c>
      <c r="F19" s="2">
        <v>0</v>
      </c>
      <c r="G19" s="2" t="s">
        <v>7</v>
      </c>
    </row>
    <row r="20" spans="1:7">
      <c r="A20" s="2">
        <f t="shared" ca="1" si="0"/>
        <v>27</v>
      </c>
      <c r="B20" s="2" cm="1">
        <f t="array" aca="1" ref="B20" ca="1">INDEX(Data_DBD!$E:$E,$A20)</f>
        <v>1</v>
      </c>
      <c r="C20" s="2" t="str" cm="1">
        <f t="array" aca="1" ref="C20" ca="1">INDEX(Data_DBD!$F:$F,$A20)</f>
        <v>Sedang</v>
      </c>
      <c r="E20" s="2">
        <v>46</v>
      </c>
      <c r="F20" s="2">
        <v>0</v>
      </c>
      <c r="G20" s="2" t="s">
        <v>7</v>
      </c>
    </row>
    <row r="21" spans="1:7">
      <c r="A21" s="2">
        <f t="shared" ca="1" si="0"/>
        <v>82</v>
      </c>
      <c r="B21" s="2" cm="1">
        <f t="array" aca="1" ref="B21" ca="1">INDEX(Data_DBD!$E:$E,$A21)</f>
        <v>1</v>
      </c>
      <c r="C21" s="2" t="str" cm="1">
        <f t="array" aca="1" ref="C21" ca="1">INDEX(Data_DBD!$F:$F,$A21)</f>
        <v>Sedang</v>
      </c>
      <c r="E21" s="2">
        <v>126</v>
      </c>
      <c r="F21" s="2">
        <v>1</v>
      </c>
      <c r="G21" s="2" t="s">
        <v>97</v>
      </c>
    </row>
    <row r="22" spans="1:7">
      <c r="A22" s="2">
        <f t="shared" ca="1" si="0"/>
        <v>12</v>
      </c>
      <c r="B22" s="2" cm="1">
        <f t="array" aca="1" ref="B22" ca="1">INDEX(Data_DBD!$E:$E,$A22)</f>
        <v>0</v>
      </c>
      <c r="C22" s="2" t="str" cm="1">
        <f t="array" aca="1" ref="C22" ca="1">INDEX(Data_DBD!$F:$F,$A22)</f>
        <v>Sedang</v>
      </c>
      <c r="E22" s="2">
        <v>93</v>
      </c>
      <c r="F22" s="2">
        <v>0</v>
      </c>
      <c r="G22" s="2" t="s">
        <v>97</v>
      </c>
    </row>
    <row r="23" spans="1:7">
      <c r="A23" s="2">
        <f t="shared" ca="1" si="0"/>
        <v>135</v>
      </c>
      <c r="B23" s="2" cm="1">
        <f t="array" aca="1" ref="B23" ca="1">INDEX(Data_DBD!$E:$E,$A23)</f>
        <v>0</v>
      </c>
      <c r="C23" s="2" t="str" cm="1">
        <f t="array" aca="1" ref="C23" ca="1">INDEX(Data_DBD!$F:$F,$A23)</f>
        <v>Tinggi</v>
      </c>
      <c r="E23" s="2">
        <v>54</v>
      </c>
      <c r="F23" s="2">
        <v>0</v>
      </c>
      <c r="G23" s="2" t="s">
        <v>7</v>
      </c>
    </row>
    <row r="24" spans="1:7">
      <c r="A24" s="2">
        <f t="shared" ca="1" si="0"/>
        <v>82</v>
      </c>
      <c r="B24" s="2" cm="1">
        <f t="array" aca="1" ref="B24" ca="1">INDEX(Data_DBD!$E:$E,$A24)</f>
        <v>1</v>
      </c>
      <c r="C24" s="2" t="str" cm="1">
        <f t="array" aca="1" ref="C24" ca="1">INDEX(Data_DBD!$F:$F,$A24)</f>
        <v>Sedang</v>
      </c>
      <c r="E24" s="2">
        <v>116</v>
      </c>
      <c r="F24" s="2">
        <v>1</v>
      </c>
      <c r="G24" s="2" t="s">
        <v>97</v>
      </c>
    </row>
    <row r="25" spans="1:7">
      <c r="A25" s="2">
        <f t="shared" ca="1" si="0"/>
        <v>133</v>
      </c>
      <c r="B25" s="2" cm="1">
        <f t="array" aca="1" ref="B25" ca="1">INDEX(Data_DBD!$E:$E,$A25)</f>
        <v>0</v>
      </c>
      <c r="C25" s="2" t="str" cm="1">
        <f t="array" aca="1" ref="C25" ca="1">INDEX(Data_DBD!$F:$F,$A25)</f>
        <v>Tinggi</v>
      </c>
      <c r="E25" s="2">
        <v>45</v>
      </c>
      <c r="F25" s="2">
        <v>1</v>
      </c>
      <c r="G25" s="2" t="s">
        <v>7</v>
      </c>
    </row>
    <row r="26" spans="1:7">
      <c r="A26" s="2">
        <f t="shared" ca="1" si="0"/>
        <v>154</v>
      </c>
      <c r="B26" s="2" cm="1">
        <f t="array" aca="1" ref="B26" ca="1">INDEX(Data_DBD!$E:$E,$A26)</f>
        <v>1</v>
      </c>
      <c r="C26" s="2" t="str" cm="1">
        <f t="array" aca="1" ref="C26" ca="1">INDEX(Data_DBD!$F:$F,$A26)</f>
        <v>Tinggi</v>
      </c>
      <c r="E26" s="2">
        <v>123</v>
      </c>
      <c r="F26" s="2">
        <v>0</v>
      </c>
      <c r="G26" s="2" t="s">
        <v>97</v>
      </c>
    </row>
    <row r="27" spans="1:7">
      <c r="A27" s="2">
        <f t="shared" ca="1" si="0"/>
        <v>67</v>
      </c>
      <c r="B27" s="2" cm="1">
        <f t="array" aca="1" ref="B27" ca="1">INDEX(Data_DBD!$E:$E,$A27)</f>
        <v>1</v>
      </c>
      <c r="C27" s="2" t="str" cm="1">
        <f t="array" aca="1" ref="C27" ca="1">INDEX(Data_DBD!$F:$F,$A27)</f>
        <v>Sedang</v>
      </c>
      <c r="E27" s="2">
        <v>6</v>
      </c>
      <c r="F27" s="2">
        <v>0</v>
      </c>
      <c r="G27" s="2" t="s">
        <v>7</v>
      </c>
    </row>
    <row r="28" spans="1:7">
      <c r="A28" s="2">
        <f t="shared" ca="1" si="0"/>
        <v>94</v>
      </c>
      <c r="B28" s="2" cm="1">
        <f t="array" aca="1" ref="B28" ca="1">INDEX(Data_DBD!$E:$E,$A28)</f>
        <v>0</v>
      </c>
      <c r="C28" s="2" t="str" cm="1">
        <f t="array" aca="1" ref="C28" ca="1">INDEX(Data_DBD!$F:$F,$A28)</f>
        <v>Tinggi</v>
      </c>
      <c r="E28" s="2">
        <v>42</v>
      </c>
      <c r="F28" s="2">
        <v>1</v>
      </c>
      <c r="G28" s="2" t="s">
        <v>7</v>
      </c>
    </row>
    <row r="29" spans="1:7">
      <c r="A29" s="2">
        <f t="shared" ca="1" si="0"/>
        <v>89</v>
      </c>
      <c r="B29" s="2" cm="1">
        <f t="array" aca="1" ref="B29" ca="1">INDEX(Data_DBD!$E:$E,$A29)</f>
        <v>0</v>
      </c>
      <c r="C29" s="2" t="str" cm="1">
        <f t="array" aca="1" ref="C29" ca="1">INDEX(Data_DBD!$F:$F,$A29)</f>
        <v>Sedang</v>
      </c>
      <c r="E29" s="2">
        <v>31</v>
      </c>
      <c r="F29" s="2">
        <v>1</v>
      </c>
      <c r="G29" s="2" t="s">
        <v>7</v>
      </c>
    </row>
    <row r="30" spans="1:7">
      <c r="A30" s="2">
        <f t="shared" ca="1" si="0"/>
        <v>131</v>
      </c>
      <c r="B30" s="2" cm="1">
        <f t="array" aca="1" ref="B30" ca="1">INDEX(Data_DBD!$E:$E,$A30)</f>
        <v>0</v>
      </c>
      <c r="C30" s="2" t="str" cm="1">
        <f t="array" aca="1" ref="C30" ca="1">INDEX(Data_DBD!$F:$F,$A30)</f>
        <v>Tinggi</v>
      </c>
      <c r="E30" s="2">
        <v>162</v>
      </c>
      <c r="F30" s="2">
        <v>1</v>
      </c>
      <c r="G30" s="2" t="s">
        <v>20</v>
      </c>
    </row>
    <row r="31" spans="1:7">
      <c r="A31" s="2">
        <f t="shared" ca="1" si="0"/>
        <v>145</v>
      </c>
      <c r="B31" s="2" cm="1">
        <f t="array" aca="1" ref="B31" ca="1">INDEX(Data_DBD!$E:$E,$A31)</f>
        <v>1</v>
      </c>
      <c r="C31" s="2" t="str" cm="1">
        <f t="array" aca="1" ref="C31" ca="1">INDEX(Data_DBD!$F:$F,$A31)</f>
        <v>Tinggi</v>
      </c>
      <c r="E31" s="2">
        <v>128</v>
      </c>
      <c r="F31" s="2">
        <v>0</v>
      </c>
      <c r="G31" s="2" t="s">
        <v>97</v>
      </c>
    </row>
    <row r="32" spans="1:7">
      <c r="A32" s="2">
        <f t="shared" ca="1" si="0"/>
        <v>145</v>
      </c>
      <c r="B32" s="2" cm="1">
        <f t="array" aca="1" ref="B32" ca="1">INDEX(Data_DBD!$E:$E,$A32)</f>
        <v>1</v>
      </c>
      <c r="C32" s="2" t="str" cm="1">
        <f t="array" aca="1" ref="C32" ca="1">INDEX(Data_DBD!$F:$F,$A32)</f>
        <v>Tinggi</v>
      </c>
      <c r="E32" s="2">
        <v>105</v>
      </c>
      <c r="F32" s="2">
        <v>1</v>
      </c>
      <c r="G32" s="2" t="s">
        <v>97</v>
      </c>
    </row>
    <row r="33" spans="1:7">
      <c r="A33" s="2">
        <f t="shared" ca="1" si="0"/>
        <v>123</v>
      </c>
      <c r="B33" s="2" cm="1">
        <f t="array" aca="1" ref="B33" ca="1">INDEX(Data_DBD!$E:$E,$A33)</f>
        <v>0</v>
      </c>
      <c r="C33" s="2" t="str" cm="1">
        <f t="array" aca="1" ref="C33" ca="1">INDEX(Data_DBD!$F:$F,$A33)</f>
        <v>Tinggi</v>
      </c>
      <c r="E33" s="2">
        <v>117</v>
      </c>
      <c r="F33" s="2">
        <v>1</v>
      </c>
      <c r="G33" s="2" t="s">
        <v>97</v>
      </c>
    </row>
    <row r="34" spans="1:7">
      <c r="A34" s="2">
        <f t="shared" ca="1" si="0"/>
        <v>138</v>
      </c>
      <c r="B34" s="2" cm="1">
        <f t="array" aca="1" ref="B34" ca="1">INDEX(Data_DBD!$E:$E,$A34)</f>
        <v>1</v>
      </c>
      <c r="C34" s="2" t="str" cm="1">
        <f t="array" aca="1" ref="C34" ca="1">INDEX(Data_DBD!$F:$F,$A34)</f>
        <v>Tinggi</v>
      </c>
      <c r="E34" s="2">
        <v>39</v>
      </c>
      <c r="F34" s="2">
        <v>1</v>
      </c>
      <c r="G34" s="2" t="s">
        <v>7</v>
      </c>
    </row>
    <row r="35" spans="1:7">
      <c r="A35" s="2">
        <f t="shared" ca="1" si="0"/>
        <v>152</v>
      </c>
      <c r="B35" s="2" cm="1">
        <f t="array" aca="1" ref="B35" ca="1">INDEX(Data_DBD!$E:$E,$A35)</f>
        <v>1</v>
      </c>
      <c r="C35" s="2" t="str" cm="1">
        <f t="array" aca="1" ref="C35" ca="1">INDEX(Data_DBD!$F:$F,$A35)</f>
        <v>Tinggi</v>
      </c>
      <c r="E35" s="2">
        <v>76</v>
      </c>
      <c r="F35" s="2">
        <v>0</v>
      </c>
      <c r="G35" s="2" t="s">
        <v>7</v>
      </c>
    </row>
    <row r="36" spans="1:7">
      <c r="A36" s="2">
        <f t="shared" ca="1" si="0"/>
        <v>94</v>
      </c>
      <c r="B36" s="2" cm="1">
        <f t="array" aca="1" ref="B36" ca="1">INDEX(Data_DBD!$E:$E,$A36)</f>
        <v>0</v>
      </c>
      <c r="C36" s="2" t="str" cm="1">
        <f t="array" aca="1" ref="C36" ca="1">INDEX(Data_DBD!$F:$F,$A36)</f>
        <v>Tinggi</v>
      </c>
      <c r="E36" s="2">
        <v>56</v>
      </c>
      <c r="F36" s="2">
        <v>0</v>
      </c>
      <c r="G36" s="2" t="s">
        <v>7</v>
      </c>
    </row>
    <row r="37" spans="1:7">
      <c r="A37" s="2">
        <f t="shared" ca="1" si="0"/>
        <v>107</v>
      </c>
      <c r="B37" s="2" cm="1">
        <f t="array" aca="1" ref="B37" ca="1">INDEX(Data_DBD!$E:$E,$A37)</f>
        <v>0</v>
      </c>
      <c r="C37" s="2" t="str" cm="1">
        <f t="array" aca="1" ref="C37" ca="1">INDEX(Data_DBD!$F:$F,$A37)</f>
        <v>Tinggi</v>
      </c>
      <c r="E37" s="2">
        <v>30</v>
      </c>
      <c r="F37" s="2">
        <v>1</v>
      </c>
      <c r="G37" s="2" t="s">
        <v>7</v>
      </c>
    </row>
    <row r="38" spans="1:7">
      <c r="A38" s="2">
        <f t="shared" ca="1" si="0"/>
        <v>25</v>
      </c>
      <c r="B38" s="2" cm="1">
        <f t="array" aca="1" ref="B38" ca="1">INDEX(Data_DBD!$E:$E,$A38)</f>
        <v>0</v>
      </c>
      <c r="C38" s="2" t="str" cm="1">
        <f t="array" aca="1" ref="C38" ca="1">INDEX(Data_DBD!$F:$F,$A38)</f>
        <v>Sedang</v>
      </c>
      <c r="E38" s="2">
        <v>33</v>
      </c>
      <c r="F38" s="2">
        <v>1</v>
      </c>
      <c r="G38" s="2" t="s">
        <v>7</v>
      </c>
    </row>
    <row r="39" spans="1:7">
      <c r="A39" s="2">
        <f t="shared" ca="1" si="0"/>
        <v>151</v>
      </c>
      <c r="B39" s="2" cm="1">
        <f t="array" aca="1" ref="B39" ca="1">INDEX(Data_DBD!$E:$E,$A39)</f>
        <v>0</v>
      </c>
      <c r="C39" s="2" t="str" cm="1">
        <f t="array" aca="1" ref="C39" ca="1">INDEX(Data_DBD!$F:$F,$A39)</f>
        <v>Tinggi</v>
      </c>
      <c r="E39" s="2">
        <v>89</v>
      </c>
      <c r="F39" s="2">
        <v>0</v>
      </c>
      <c r="G39" s="2" t="s">
        <v>7</v>
      </c>
    </row>
    <row r="40" spans="1:7">
      <c r="A40" s="2">
        <f t="shared" ca="1" si="0"/>
        <v>135</v>
      </c>
      <c r="B40" s="2" cm="1">
        <f t="array" aca="1" ref="B40" ca="1">INDEX(Data_DBD!$E:$E,$A40)</f>
        <v>0</v>
      </c>
      <c r="C40" s="2" t="str" cm="1">
        <f t="array" aca="1" ref="C40" ca="1">INDEX(Data_DBD!$F:$F,$A40)</f>
        <v>Tinggi</v>
      </c>
      <c r="E40" s="2">
        <v>120</v>
      </c>
      <c r="F40" s="2">
        <v>1</v>
      </c>
      <c r="G40" s="2" t="s">
        <v>97</v>
      </c>
    </row>
    <row r="41" spans="1:7">
      <c r="A41" s="2">
        <f t="shared" ca="1" si="0"/>
        <v>18</v>
      </c>
      <c r="B41" s="2" cm="1">
        <f t="array" aca="1" ref="B41" ca="1">INDEX(Data_DBD!$E:$E,$A41)</f>
        <v>1</v>
      </c>
      <c r="C41" s="2" t="str" cm="1">
        <f t="array" aca="1" ref="C41" ca="1">INDEX(Data_DBD!$F:$F,$A41)</f>
        <v>Rendah</v>
      </c>
      <c r="E41" s="2">
        <v>29</v>
      </c>
      <c r="F41" s="2">
        <v>1</v>
      </c>
      <c r="G41" s="2" t="s">
        <v>7</v>
      </c>
    </row>
    <row r="42" spans="1:7">
      <c r="A42" s="2">
        <f t="shared" ca="1" si="0"/>
        <v>111</v>
      </c>
      <c r="B42" s="2" cm="1">
        <f t="array" aca="1" ref="B42" ca="1">INDEX(Data_DBD!$E:$E,$A42)</f>
        <v>0</v>
      </c>
      <c r="C42" s="2" t="str" cm="1">
        <f t="array" aca="1" ref="C42" ca="1">INDEX(Data_DBD!$F:$F,$A42)</f>
        <v>Tinggi</v>
      </c>
      <c r="E42" s="2">
        <v>93</v>
      </c>
      <c r="F42" s="2">
        <v>0</v>
      </c>
      <c r="G42" s="2" t="s">
        <v>97</v>
      </c>
    </row>
    <row r="43" spans="1:7">
      <c r="A43" s="2">
        <f t="shared" ca="1" si="0"/>
        <v>17</v>
      </c>
      <c r="B43" s="2" cm="1">
        <f t="array" aca="1" ref="B43" ca="1">INDEX(Data_DBD!$E:$E,$A43)</f>
        <v>0</v>
      </c>
      <c r="C43" s="2" t="str" cm="1">
        <f t="array" aca="1" ref="C43" ca="1">INDEX(Data_DBD!$F:$F,$A43)</f>
        <v>Rendah</v>
      </c>
      <c r="E43" s="2">
        <v>37</v>
      </c>
      <c r="F43" s="2">
        <v>1</v>
      </c>
      <c r="G43" s="2" t="s">
        <v>20</v>
      </c>
    </row>
    <row r="44" spans="1:7">
      <c r="A44" s="2">
        <f t="shared" ca="1" si="0"/>
        <v>140</v>
      </c>
      <c r="B44" s="2" cm="1">
        <f t="array" aca="1" ref="B44" ca="1">INDEX(Data_DBD!$E:$E,$A44)</f>
        <v>1</v>
      </c>
      <c r="C44" s="2" t="str" cm="1">
        <f t="array" aca="1" ref="C44" ca="1">INDEX(Data_DBD!$F:$F,$A44)</f>
        <v>Tinggi</v>
      </c>
      <c r="E44" s="2">
        <v>46</v>
      </c>
      <c r="F44" s="2">
        <v>0</v>
      </c>
      <c r="G44" s="2" t="s">
        <v>7</v>
      </c>
    </row>
    <row r="45" spans="1:7">
      <c r="A45" s="2">
        <f t="shared" ca="1" si="0"/>
        <v>153</v>
      </c>
      <c r="B45" s="2" cm="1">
        <f t="array" aca="1" ref="B45" ca="1">INDEX(Data_DBD!$E:$E,$A45)</f>
        <v>1</v>
      </c>
      <c r="C45" s="2" t="str" cm="1">
        <f t="array" aca="1" ref="C45" ca="1">INDEX(Data_DBD!$F:$F,$A45)</f>
        <v>Tinggi</v>
      </c>
      <c r="E45" s="2">
        <v>26</v>
      </c>
      <c r="F45" s="2">
        <v>1</v>
      </c>
      <c r="G45" s="2" t="s">
        <v>7</v>
      </c>
    </row>
    <row r="46" spans="1:7">
      <c r="A46" s="2">
        <f t="shared" ca="1" si="0"/>
        <v>110</v>
      </c>
      <c r="B46" s="2" cm="1">
        <f t="array" aca="1" ref="B46" ca="1">INDEX(Data_DBD!$E:$E,$A46)</f>
        <v>1</v>
      </c>
      <c r="C46" s="2" t="str" cm="1">
        <f t="array" aca="1" ref="C46" ca="1">INDEX(Data_DBD!$F:$F,$A46)</f>
        <v>Tinggi</v>
      </c>
      <c r="E46" s="2">
        <v>141</v>
      </c>
      <c r="F46" s="2">
        <v>0</v>
      </c>
      <c r="G46" s="2" t="s">
        <v>97</v>
      </c>
    </row>
    <row r="47" spans="1:7">
      <c r="A47" s="2">
        <f t="shared" ca="1" si="0"/>
        <v>29</v>
      </c>
      <c r="B47" s="2" cm="1">
        <f t="array" aca="1" ref="B47" ca="1">INDEX(Data_DBD!$E:$E,$A47)</f>
        <v>1</v>
      </c>
      <c r="C47" s="2" t="str" cm="1">
        <f t="array" aca="1" ref="C47" ca="1">INDEX(Data_DBD!$F:$F,$A47)</f>
        <v>Sedang</v>
      </c>
      <c r="E47" s="2">
        <v>90</v>
      </c>
      <c r="F47" s="2">
        <v>0</v>
      </c>
      <c r="G47" s="2" t="s">
        <v>97</v>
      </c>
    </row>
    <row r="48" spans="1:7">
      <c r="A48" s="2">
        <f t="shared" ca="1" si="0"/>
        <v>35</v>
      </c>
      <c r="B48" s="2" cm="1">
        <f t="array" aca="1" ref="B48" ca="1">INDEX(Data_DBD!$E:$E,$A48)</f>
        <v>1</v>
      </c>
      <c r="C48" s="2" t="str" cm="1">
        <f t="array" aca="1" ref="C48" ca="1">INDEX(Data_DBD!$F:$F,$A48)</f>
        <v>Rendah</v>
      </c>
      <c r="E48" s="2">
        <v>80</v>
      </c>
      <c r="F48" s="2">
        <v>1</v>
      </c>
      <c r="G48" s="2" t="s">
        <v>7</v>
      </c>
    </row>
    <row r="49" spans="1:7">
      <c r="A49" s="2">
        <f t="shared" ca="1" si="0"/>
        <v>15</v>
      </c>
      <c r="B49" s="2" cm="1">
        <f t="array" aca="1" ref="B49" ca="1">INDEX(Data_DBD!$E:$E,$A49)</f>
        <v>0</v>
      </c>
      <c r="C49" s="2" t="str" cm="1">
        <f t="array" aca="1" ref="C49" ca="1">INDEX(Data_DBD!$F:$F,$A49)</f>
        <v>Rendah</v>
      </c>
      <c r="E49" s="2">
        <v>76</v>
      </c>
      <c r="F49" s="2">
        <v>0</v>
      </c>
      <c r="G49" s="2" t="s">
        <v>7</v>
      </c>
    </row>
    <row r="50" spans="1:7">
      <c r="A50" s="2">
        <f t="shared" ca="1" si="0"/>
        <v>8</v>
      </c>
      <c r="B50" s="2" cm="1">
        <f t="array" aca="1" ref="B50" ca="1">INDEX(Data_DBD!$E:$E,$A50)</f>
        <v>0</v>
      </c>
      <c r="C50" s="2" t="str" cm="1">
        <f t="array" aca="1" ref="C50" ca="1">INDEX(Data_DBD!$F:$F,$A50)</f>
        <v>Sedang</v>
      </c>
      <c r="E50" s="2">
        <v>159</v>
      </c>
      <c r="F50" s="2">
        <v>0</v>
      </c>
      <c r="G50" s="2" t="s">
        <v>97</v>
      </c>
    </row>
    <row r="51" spans="1:7">
      <c r="A51" s="2">
        <f t="shared" ca="1" si="0"/>
        <v>103</v>
      </c>
      <c r="B51" s="2" cm="1">
        <f t="array" aca="1" ref="B51" ca="1">INDEX(Data_DBD!$E:$E,$A51)</f>
        <v>0</v>
      </c>
      <c r="C51" s="2" t="str" cm="1">
        <f t="array" aca="1" ref="C51" ca="1">INDEX(Data_DBD!$F:$F,$A51)</f>
        <v>Tinggi</v>
      </c>
      <c r="E51" s="2">
        <v>86</v>
      </c>
      <c r="F51" s="2">
        <v>0</v>
      </c>
      <c r="G51" s="2" t="s">
        <v>7</v>
      </c>
    </row>
    <row r="52" spans="1:7">
      <c r="A52" s="2">
        <f t="shared" ca="1" si="0"/>
        <v>103</v>
      </c>
      <c r="B52" s="2" cm="1">
        <f t="array" aca="1" ref="B52" ca="1">INDEX(Data_DBD!$E:$E,$A52)</f>
        <v>0</v>
      </c>
      <c r="C52" s="2" t="str" cm="1">
        <f t="array" aca="1" ref="C52" ca="1">INDEX(Data_DBD!$F:$F,$A52)</f>
        <v>Tinggi</v>
      </c>
      <c r="E52" s="2">
        <v>69</v>
      </c>
      <c r="F52" s="2">
        <v>1</v>
      </c>
      <c r="G52" s="2" t="s">
        <v>7</v>
      </c>
    </row>
    <row r="53" spans="1:7">
      <c r="A53" s="2">
        <f t="shared" ca="1" si="0"/>
        <v>67</v>
      </c>
      <c r="B53" s="2" cm="1">
        <f t="array" aca="1" ref="B53" ca="1">INDEX(Data_DBD!$E:$E,$A53)</f>
        <v>1</v>
      </c>
      <c r="C53" s="2" t="str" cm="1">
        <f t="array" aca="1" ref="C53" ca="1">INDEX(Data_DBD!$F:$F,$A53)</f>
        <v>Sedang</v>
      </c>
      <c r="E53" s="2">
        <v>60</v>
      </c>
      <c r="F53" s="2">
        <v>0</v>
      </c>
      <c r="G53" s="2" t="s">
        <v>7</v>
      </c>
    </row>
    <row r="54" spans="1:7">
      <c r="A54" s="2">
        <f t="shared" ca="1" si="0"/>
        <v>40</v>
      </c>
      <c r="B54" s="2" cm="1">
        <f t="array" aca="1" ref="B54" ca="1">INDEX(Data_DBD!$E:$E,$A54)</f>
        <v>1</v>
      </c>
      <c r="C54" s="2" t="str" cm="1">
        <f t="array" aca="1" ref="C54" ca="1">INDEX(Data_DBD!$F:$F,$A54)</f>
        <v>Sedang</v>
      </c>
      <c r="E54" s="2">
        <v>73</v>
      </c>
      <c r="F54" s="2">
        <v>1</v>
      </c>
      <c r="G54" s="2" t="s">
        <v>7</v>
      </c>
    </row>
    <row r="55" spans="1:7">
      <c r="A55" s="2">
        <f t="shared" ca="1" si="0"/>
        <v>67</v>
      </c>
      <c r="B55" s="2" cm="1">
        <f t="array" aca="1" ref="B55" ca="1">INDEX(Data_DBD!$E:$E,$A55)</f>
        <v>1</v>
      </c>
      <c r="C55" s="2" t="str" cm="1">
        <f t="array" aca="1" ref="C55" ca="1">INDEX(Data_DBD!$F:$F,$A55)</f>
        <v>Sedang</v>
      </c>
      <c r="E55" s="2">
        <v>73</v>
      </c>
      <c r="F55" s="2">
        <v>1</v>
      </c>
      <c r="G55" s="2" t="s">
        <v>7</v>
      </c>
    </row>
    <row r="56" spans="1:7">
      <c r="A56" s="2">
        <f t="shared" ca="1" si="0"/>
        <v>104</v>
      </c>
      <c r="B56" s="2" cm="1">
        <f t="array" aca="1" ref="B56" ca="1">INDEX(Data_DBD!$E:$E,$A56)</f>
        <v>1</v>
      </c>
      <c r="C56" s="2" t="str" cm="1">
        <f t="array" aca="1" ref="C56" ca="1">INDEX(Data_DBD!$F:$F,$A56)</f>
        <v>Tinggi</v>
      </c>
      <c r="E56" s="2">
        <v>69</v>
      </c>
      <c r="F56" s="2">
        <v>1</v>
      </c>
      <c r="G56" s="2" t="s">
        <v>7</v>
      </c>
    </row>
    <row r="57" spans="1:7">
      <c r="A57" s="2">
        <f t="shared" ca="1" si="0"/>
        <v>91</v>
      </c>
      <c r="B57" s="2" cm="1">
        <f t="array" aca="1" ref="B57" ca="1">INDEX(Data_DBD!$E:$E,$A57)</f>
        <v>1</v>
      </c>
      <c r="C57" s="2" t="str" cm="1">
        <f t="array" aca="1" ref="C57" ca="1">INDEX(Data_DBD!$F:$F,$A57)</f>
        <v>Tinggi</v>
      </c>
      <c r="E57" s="2">
        <v>95</v>
      </c>
      <c r="F57" s="2">
        <v>1</v>
      </c>
      <c r="G57" s="2" t="s">
        <v>97</v>
      </c>
    </row>
    <row r="58" spans="1:7">
      <c r="A58" s="2">
        <f t="shared" ca="1" si="0"/>
        <v>15</v>
      </c>
      <c r="B58" s="2" cm="1">
        <f t="array" aca="1" ref="B58" ca="1">INDEX(Data_DBD!$E:$E,$A58)</f>
        <v>0</v>
      </c>
      <c r="C58" s="2" t="str" cm="1">
        <f t="array" aca="1" ref="C58" ca="1">INDEX(Data_DBD!$F:$F,$A58)</f>
        <v>Rendah</v>
      </c>
      <c r="E58" s="2">
        <v>113</v>
      </c>
      <c r="F58" s="2">
        <v>1</v>
      </c>
      <c r="G58" s="2" t="s">
        <v>97</v>
      </c>
    </row>
    <row r="59" spans="1:7">
      <c r="A59" s="2">
        <f t="shared" ca="1" si="0"/>
        <v>155</v>
      </c>
      <c r="B59" s="2" cm="1">
        <f t="array" aca="1" ref="B59" ca="1">INDEX(Data_DBD!$E:$E,$A59)</f>
        <v>1</v>
      </c>
      <c r="C59" s="2" t="str" cm="1">
        <f t="array" aca="1" ref="C59" ca="1">INDEX(Data_DBD!$F:$F,$A59)</f>
        <v>Tinggi</v>
      </c>
      <c r="E59" s="2">
        <v>47</v>
      </c>
      <c r="F59" s="2">
        <v>0</v>
      </c>
      <c r="G59" s="2" t="s">
        <v>7</v>
      </c>
    </row>
    <row r="60" spans="1:7">
      <c r="A60" s="2">
        <f t="shared" ca="1" si="0"/>
        <v>44</v>
      </c>
      <c r="B60" s="2" cm="1">
        <f t="array" aca="1" ref="B60" ca="1">INDEX(Data_DBD!$E:$E,$A60)</f>
        <v>1</v>
      </c>
      <c r="C60" s="2" t="str" cm="1">
        <f t="array" aca="1" ref="C60" ca="1">INDEX(Data_DBD!$F:$F,$A60)</f>
        <v>Sedang</v>
      </c>
      <c r="E60" s="2">
        <v>83</v>
      </c>
      <c r="F60" s="2">
        <v>0</v>
      </c>
      <c r="G60" s="2" t="s">
        <v>7</v>
      </c>
    </row>
    <row r="61" spans="1:7">
      <c r="A61" s="2">
        <f t="shared" ca="1" si="0"/>
        <v>42</v>
      </c>
      <c r="B61" s="2" cm="1">
        <f t="array" aca="1" ref="B61" ca="1">INDEX(Data_DBD!$E:$E,$A61)</f>
        <v>1</v>
      </c>
      <c r="C61" s="2" t="str" cm="1">
        <f t="array" aca="1" ref="C61" ca="1">INDEX(Data_DBD!$F:$F,$A61)</f>
        <v>Sedang</v>
      </c>
      <c r="E61" s="2">
        <v>45</v>
      </c>
      <c r="F61" s="2">
        <v>1</v>
      </c>
      <c r="G61" s="2" t="s">
        <v>7</v>
      </c>
    </row>
    <row r="62" spans="1:7">
      <c r="A62" s="2">
        <f t="shared" ca="1" si="0"/>
        <v>67</v>
      </c>
      <c r="B62" s="2" cm="1">
        <f t="array" aca="1" ref="B62" ca="1">INDEX(Data_DBD!$E:$E,$A62)</f>
        <v>1</v>
      </c>
      <c r="C62" s="2" t="str" cm="1">
        <f t="array" aca="1" ref="C62" ca="1">INDEX(Data_DBD!$F:$F,$A62)</f>
        <v>Sedang</v>
      </c>
      <c r="E62" s="2">
        <v>135</v>
      </c>
      <c r="F62" s="2">
        <v>0</v>
      </c>
      <c r="G62" s="2" t="s">
        <v>97</v>
      </c>
    </row>
    <row r="63" spans="1:7">
      <c r="A63" s="2">
        <f t="shared" ca="1" si="0"/>
        <v>73</v>
      </c>
      <c r="B63" s="2" cm="1">
        <f t="array" aca="1" ref="B63" ca="1">INDEX(Data_DBD!$E:$E,$A63)</f>
        <v>1</v>
      </c>
      <c r="C63" s="2" t="str" cm="1">
        <f t="array" aca="1" ref="C63" ca="1">INDEX(Data_DBD!$F:$F,$A63)</f>
        <v>Sedang</v>
      </c>
      <c r="E63" s="2">
        <v>133</v>
      </c>
      <c r="F63" s="2">
        <v>0</v>
      </c>
      <c r="G63" s="2" t="s">
        <v>97</v>
      </c>
    </row>
    <row r="64" spans="1:7">
      <c r="A64" s="2">
        <f t="shared" ca="1" si="0"/>
        <v>144</v>
      </c>
      <c r="B64" s="2" cm="1">
        <f t="array" aca="1" ref="B64" ca="1">INDEX(Data_DBD!$E:$E,$A64)</f>
        <v>1</v>
      </c>
      <c r="C64" s="2" t="str" cm="1">
        <f t="array" aca="1" ref="C64" ca="1">INDEX(Data_DBD!$F:$F,$A64)</f>
        <v>Tinggi</v>
      </c>
      <c r="E64" s="2">
        <v>41</v>
      </c>
      <c r="F64" s="2">
        <v>0</v>
      </c>
      <c r="G64" s="2" t="s">
        <v>7</v>
      </c>
    </row>
    <row r="65" spans="1:7">
      <c r="A65" s="2">
        <f t="shared" ca="1" si="0"/>
        <v>160</v>
      </c>
      <c r="B65" s="2" cm="1">
        <f t="array" aca="1" ref="B65" ca="1">INDEX(Data_DBD!$E:$E,$A65)</f>
        <v>0</v>
      </c>
      <c r="C65" s="2" t="str" cm="1">
        <f t="array" aca="1" ref="C65" ca="1">INDEX(Data_DBD!$F:$F,$A65)</f>
        <v>Tinggi</v>
      </c>
      <c r="E65" s="2">
        <v>109</v>
      </c>
      <c r="F65" s="2">
        <v>1</v>
      </c>
      <c r="G65" s="2" t="s">
        <v>97</v>
      </c>
    </row>
    <row r="66" spans="1:7">
      <c r="A66" s="2">
        <f t="shared" ca="1" si="0"/>
        <v>81</v>
      </c>
      <c r="B66" s="2" cm="1">
        <f t="array" aca="1" ref="B66" ca="1">INDEX(Data_DBD!$E:$E,$A66)</f>
        <v>1</v>
      </c>
      <c r="C66" s="2" t="str" cm="1">
        <f t="array" aca="1" ref="C66" ca="1">INDEX(Data_DBD!$F:$F,$A66)</f>
        <v>Sedang</v>
      </c>
      <c r="E66" s="2">
        <v>161</v>
      </c>
      <c r="F66" s="2">
        <v>1</v>
      </c>
      <c r="G66" s="2" t="s">
        <v>97</v>
      </c>
    </row>
    <row r="67" spans="1:7">
      <c r="A67" s="2">
        <f t="shared" ref="A67:A130" ca="1" si="1">RANDBETWEEN(2,164)</f>
        <v>33</v>
      </c>
      <c r="B67" s="2" cm="1">
        <f t="array" aca="1" ref="B67" ca="1">INDEX(Data_DBD!$E:$E,$A67)</f>
        <v>1</v>
      </c>
      <c r="C67" s="2" t="str" cm="1">
        <f t="array" aca="1" ref="C67" ca="1">INDEX(Data_DBD!$F:$F,$A67)</f>
        <v>Sedang</v>
      </c>
      <c r="E67" s="2">
        <v>36</v>
      </c>
      <c r="F67" s="2">
        <v>1</v>
      </c>
      <c r="G67" s="2" t="s">
        <v>20</v>
      </c>
    </row>
    <row r="68" spans="1:7">
      <c r="A68" s="2">
        <f t="shared" ca="1" si="1"/>
        <v>40</v>
      </c>
      <c r="B68" s="2" cm="1">
        <f t="array" aca="1" ref="B68" ca="1">INDEX(Data_DBD!$E:$E,$A68)</f>
        <v>1</v>
      </c>
      <c r="C68" s="2" t="str" cm="1">
        <f t="array" aca="1" ref="C68" ca="1">INDEX(Data_DBD!$F:$F,$A68)</f>
        <v>Sedang</v>
      </c>
      <c r="E68" s="2">
        <v>106</v>
      </c>
      <c r="F68" s="2">
        <v>1</v>
      </c>
      <c r="G68" s="2" t="s">
        <v>97</v>
      </c>
    </row>
    <row r="69" spans="1:7">
      <c r="A69" s="2">
        <f t="shared" ca="1" si="1"/>
        <v>115</v>
      </c>
      <c r="B69" s="2" cm="1">
        <f t="array" aca="1" ref="B69" ca="1">INDEX(Data_DBD!$E:$E,$A69)</f>
        <v>1</v>
      </c>
      <c r="C69" s="2" t="str" cm="1">
        <f t="array" aca="1" ref="C69" ca="1">INDEX(Data_DBD!$F:$F,$A69)</f>
        <v>Tinggi</v>
      </c>
      <c r="E69" s="2">
        <v>50</v>
      </c>
      <c r="F69" s="2">
        <v>0</v>
      </c>
      <c r="G69" s="2" t="s">
        <v>7</v>
      </c>
    </row>
    <row r="70" spans="1:7">
      <c r="A70" s="2">
        <f t="shared" ca="1" si="1"/>
        <v>60</v>
      </c>
      <c r="B70" s="2" cm="1">
        <f t="array" aca="1" ref="B70" ca="1">INDEX(Data_DBD!$E:$E,$A70)</f>
        <v>0</v>
      </c>
      <c r="C70" s="2" t="str" cm="1">
        <f t="array" aca="1" ref="C70" ca="1">INDEX(Data_DBD!$F:$F,$A70)</f>
        <v>Sedang</v>
      </c>
      <c r="E70" s="2">
        <v>71</v>
      </c>
      <c r="F70" s="2">
        <v>0</v>
      </c>
      <c r="G70" s="2" t="s">
        <v>7</v>
      </c>
    </row>
    <row r="71" spans="1:7">
      <c r="A71" s="2">
        <f t="shared" ca="1" si="1"/>
        <v>114</v>
      </c>
      <c r="B71" s="2" cm="1">
        <f t="array" aca="1" ref="B71" ca="1">INDEX(Data_DBD!$E:$E,$A71)</f>
        <v>1</v>
      </c>
      <c r="C71" s="2" t="str" cm="1">
        <f t="array" aca="1" ref="C71" ca="1">INDEX(Data_DBD!$F:$F,$A71)</f>
        <v>Tinggi</v>
      </c>
      <c r="E71" s="2">
        <v>161</v>
      </c>
      <c r="F71" s="2">
        <v>1</v>
      </c>
      <c r="G71" s="2" t="s">
        <v>97</v>
      </c>
    </row>
    <row r="72" spans="1:7">
      <c r="A72" s="2">
        <f t="shared" ca="1" si="1"/>
        <v>154</v>
      </c>
      <c r="B72" s="2" cm="1">
        <f t="array" aca="1" ref="B72" ca="1">INDEX(Data_DBD!$E:$E,$A72)</f>
        <v>1</v>
      </c>
      <c r="C72" s="2" t="str" cm="1">
        <f t="array" aca="1" ref="C72" ca="1">INDEX(Data_DBD!$F:$F,$A72)</f>
        <v>Tinggi</v>
      </c>
      <c r="E72" s="2">
        <v>62</v>
      </c>
      <c r="F72" s="2">
        <v>1</v>
      </c>
      <c r="G72" s="2" t="s">
        <v>7</v>
      </c>
    </row>
    <row r="73" spans="1:7">
      <c r="A73" s="2">
        <f t="shared" ca="1" si="1"/>
        <v>6</v>
      </c>
      <c r="B73" s="2" cm="1">
        <f t="array" aca="1" ref="B73" ca="1">INDEX(Data_DBD!$E:$E,$A73)</f>
        <v>0</v>
      </c>
      <c r="C73" s="2" t="str" cm="1">
        <f t="array" aca="1" ref="C73" ca="1">INDEX(Data_DBD!$F:$F,$A73)</f>
        <v>Sedang</v>
      </c>
      <c r="E73" s="2">
        <v>83</v>
      </c>
      <c r="F73" s="2">
        <v>0</v>
      </c>
      <c r="G73" s="2" t="s">
        <v>7</v>
      </c>
    </row>
    <row r="74" spans="1:7">
      <c r="A74" s="2">
        <f t="shared" ca="1" si="1"/>
        <v>11</v>
      </c>
      <c r="B74" s="2" cm="1">
        <f t="array" aca="1" ref="B74" ca="1">INDEX(Data_DBD!$E:$E,$A74)</f>
        <v>1</v>
      </c>
      <c r="C74" s="2" t="str" cm="1">
        <f t="array" aca="1" ref="C74" ca="1">INDEX(Data_DBD!$F:$F,$A74)</f>
        <v>Sedang</v>
      </c>
      <c r="E74" s="2">
        <v>130</v>
      </c>
      <c r="F74" s="2">
        <v>0</v>
      </c>
      <c r="G74" s="2" t="s">
        <v>97</v>
      </c>
    </row>
    <row r="75" spans="1:7">
      <c r="A75" s="2">
        <f t="shared" ca="1" si="1"/>
        <v>101</v>
      </c>
      <c r="B75" s="2" cm="1">
        <f t="array" aca="1" ref="B75" ca="1">INDEX(Data_DBD!$E:$E,$A75)</f>
        <v>0</v>
      </c>
      <c r="C75" s="2" t="str" cm="1">
        <f t="array" aca="1" ref="C75" ca="1">INDEX(Data_DBD!$F:$F,$A75)</f>
        <v>Tinggi</v>
      </c>
      <c r="E75" s="2">
        <v>72</v>
      </c>
      <c r="F75" s="2">
        <v>1</v>
      </c>
      <c r="G75" s="2" t="s">
        <v>7</v>
      </c>
    </row>
    <row r="76" spans="1:7">
      <c r="A76" s="2">
        <f t="shared" ca="1" si="1"/>
        <v>71</v>
      </c>
      <c r="B76" s="2" cm="1">
        <f t="array" aca="1" ref="B76" ca="1">INDEX(Data_DBD!$E:$E,$A76)</f>
        <v>0</v>
      </c>
      <c r="C76" s="2" t="str" cm="1">
        <f t="array" aca="1" ref="C76" ca="1">INDEX(Data_DBD!$F:$F,$A76)</f>
        <v>Sedang</v>
      </c>
      <c r="E76" s="2">
        <v>127</v>
      </c>
      <c r="F76" s="2">
        <v>0</v>
      </c>
      <c r="G76" s="2" t="s">
        <v>97</v>
      </c>
    </row>
    <row r="77" spans="1:7">
      <c r="A77" s="2">
        <f t="shared" ca="1" si="1"/>
        <v>121</v>
      </c>
      <c r="B77" s="2" cm="1">
        <f t="array" aca="1" ref="B77" ca="1">INDEX(Data_DBD!$E:$E,$A77)</f>
        <v>1</v>
      </c>
      <c r="C77" s="2" t="str" cm="1">
        <f t="array" aca="1" ref="C77" ca="1">INDEX(Data_DBD!$F:$F,$A77)</f>
        <v>Tinggi</v>
      </c>
      <c r="E77" s="2">
        <v>84</v>
      </c>
      <c r="F77" s="2">
        <v>1</v>
      </c>
      <c r="G77" s="2" t="s">
        <v>7</v>
      </c>
    </row>
    <row r="78" spans="1:7">
      <c r="A78" s="2">
        <f t="shared" ca="1" si="1"/>
        <v>75</v>
      </c>
      <c r="B78" s="2" cm="1">
        <f t="array" aca="1" ref="B78" ca="1">INDEX(Data_DBD!$E:$E,$A78)</f>
        <v>1</v>
      </c>
      <c r="C78" s="2" t="str" cm="1">
        <f t="array" aca="1" ref="C78" ca="1">INDEX(Data_DBD!$F:$F,$A78)</f>
        <v>Sedang</v>
      </c>
      <c r="E78" s="2">
        <v>134</v>
      </c>
      <c r="F78" s="2">
        <v>1</v>
      </c>
      <c r="G78" s="2" t="s">
        <v>97</v>
      </c>
    </row>
    <row r="79" spans="1:7">
      <c r="A79" s="2">
        <f t="shared" ca="1" si="1"/>
        <v>86</v>
      </c>
      <c r="B79" s="2" cm="1">
        <f t="array" aca="1" ref="B79" ca="1">INDEX(Data_DBD!$E:$E,$A79)</f>
        <v>0</v>
      </c>
      <c r="C79" s="2" t="str" cm="1">
        <f t="array" aca="1" ref="C79" ca="1">INDEX(Data_DBD!$F:$F,$A79)</f>
        <v>Sedang</v>
      </c>
      <c r="E79" s="2">
        <v>32</v>
      </c>
      <c r="F79" s="2">
        <v>0</v>
      </c>
      <c r="G79" s="2" t="s">
        <v>7</v>
      </c>
    </row>
    <row r="80" spans="1:7">
      <c r="A80" s="2">
        <f t="shared" ca="1" si="1"/>
        <v>36</v>
      </c>
      <c r="B80" s="2" cm="1">
        <f t="array" aca="1" ref="B80" ca="1">INDEX(Data_DBD!$E:$E,$A80)</f>
        <v>1</v>
      </c>
      <c r="C80" s="2" t="str" cm="1">
        <f t="array" aca="1" ref="C80" ca="1">INDEX(Data_DBD!$F:$F,$A80)</f>
        <v>Rendah</v>
      </c>
      <c r="E80" s="2">
        <v>38</v>
      </c>
      <c r="F80" s="2">
        <v>1</v>
      </c>
      <c r="G80" s="2" t="s">
        <v>20</v>
      </c>
    </row>
    <row r="81" spans="1:7">
      <c r="A81" s="2">
        <f t="shared" ca="1" si="1"/>
        <v>153</v>
      </c>
      <c r="B81" s="2" cm="1">
        <f t="array" aca="1" ref="B81" ca="1">INDEX(Data_DBD!$E:$E,$A81)</f>
        <v>1</v>
      </c>
      <c r="C81" s="2" t="str" cm="1">
        <f t="array" aca="1" ref="C81" ca="1">INDEX(Data_DBD!$F:$F,$A81)</f>
        <v>Tinggi</v>
      </c>
      <c r="E81" s="2">
        <v>128</v>
      </c>
      <c r="F81" s="2">
        <v>0</v>
      </c>
      <c r="G81" s="2" t="s">
        <v>97</v>
      </c>
    </row>
    <row r="82" spans="1:7">
      <c r="A82" s="2">
        <f t="shared" ca="1" si="1"/>
        <v>97</v>
      </c>
      <c r="B82" s="2" cm="1">
        <f t="array" aca="1" ref="B82" ca="1">INDEX(Data_DBD!$E:$E,$A82)</f>
        <v>1</v>
      </c>
      <c r="C82" s="2" t="str" cm="1">
        <f t="array" aca="1" ref="C82" ca="1">INDEX(Data_DBD!$F:$F,$A82)</f>
        <v>Tinggi</v>
      </c>
      <c r="E82" s="2">
        <v>156</v>
      </c>
      <c r="F82" s="2">
        <v>0</v>
      </c>
      <c r="G82" s="2" t="s">
        <v>97</v>
      </c>
    </row>
    <row r="83" spans="1:7">
      <c r="A83" s="2">
        <f t="shared" ca="1" si="1"/>
        <v>61</v>
      </c>
      <c r="B83" s="2" cm="1">
        <f t="array" aca="1" ref="B83" ca="1">INDEX(Data_DBD!$E:$E,$A83)</f>
        <v>1</v>
      </c>
      <c r="C83" s="2" t="str" cm="1">
        <f t="array" aca="1" ref="C83" ca="1">INDEX(Data_DBD!$F:$F,$A83)</f>
        <v>Sedang</v>
      </c>
      <c r="E83" s="2">
        <v>27</v>
      </c>
      <c r="F83" s="2">
        <v>1</v>
      </c>
      <c r="G83" s="2" t="s">
        <v>7</v>
      </c>
    </row>
    <row r="84" spans="1:7">
      <c r="A84" s="2">
        <f t="shared" ca="1" si="1"/>
        <v>28</v>
      </c>
      <c r="B84" s="2" cm="1">
        <f t="array" aca="1" ref="B84" ca="1">INDEX(Data_DBD!$E:$E,$A84)</f>
        <v>1</v>
      </c>
      <c r="C84" s="2" t="str" cm="1">
        <f t="array" aca="1" ref="C84" ca="1">INDEX(Data_DBD!$F:$F,$A84)</f>
        <v>Sedang</v>
      </c>
      <c r="E84" s="2">
        <v>78</v>
      </c>
      <c r="F84" s="2">
        <v>0</v>
      </c>
      <c r="G84" s="2" t="s">
        <v>7</v>
      </c>
    </row>
    <row r="85" spans="1:7">
      <c r="A85" s="2">
        <f t="shared" ca="1" si="1"/>
        <v>14</v>
      </c>
      <c r="B85" s="2" cm="1">
        <f t="array" aca="1" ref="B85" ca="1">INDEX(Data_DBD!$E:$E,$A85)</f>
        <v>1</v>
      </c>
      <c r="C85" s="2" t="str" cm="1">
        <f t="array" aca="1" ref="C85" ca="1">INDEX(Data_DBD!$F:$F,$A85)</f>
        <v>Rendah</v>
      </c>
      <c r="E85" s="2">
        <v>142</v>
      </c>
      <c r="F85" s="2">
        <v>1</v>
      </c>
      <c r="G85" s="2" t="s">
        <v>97</v>
      </c>
    </row>
    <row r="86" spans="1:7">
      <c r="A86" s="2">
        <f t="shared" ca="1" si="1"/>
        <v>84</v>
      </c>
      <c r="B86" s="2" cm="1">
        <f t="array" aca="1" ref="B86" ca="1">INDEX(Data_DBD!$E:$E,$A86)</f>
        <v>1</v>
      </c>
      <c r="C86" s="2" t="str" cm="1">
        <f t="array" aca="1" ref="C86" ca="1">INDEX(Data_DBD!$F:$F,$A86)</f>
        <v>Sedang</v>
      </c>
      <c r="E86" s="2">
        <v>51</v>
      </c>
      <c r="F86" s="2">
        <v>0</v>
      </c>
      <c r="G86" s="2" t="s">
        <v>7</v>
      </c>
    </row>
    <row r="87" spans="1:7">
      <c r="A87" s="2">
        <f t="shared" ca="1" si="1"/>
        <v>107</v>
      </c>
      <c r="B87" s="2" cm="1">
        <f t="array" aca="1" ref="B87" ca="1">INDEX(Data_DBD!$E:$E,$A87)</f>
        <v>0</v>
      </c>
      <c r="C87" s="2" t="str" cm="1">
        <f t="array" aca="1" ref="C87" ca="1">INDEX(Data_DBD!$F:$F,$A87)</f>
        <v>Tinggi</v>
      </c>
      <c r="E87" s="2">
        <v>151</v>
      </c>
      <c r="F87" s="2">
        <v>0</v>
      </c>
      <c r="G87" s="2" t="s">
        <v>97</v>
      </c>
    </row>
    <row r="88" spans="1:7">
      <c r="A88" s="2">
        <f t="shared" ca="1" si="1"/>
        <v>33</v>
      </c>
      <c r="B88" s="2" cm="1">
        <f t="array" aca="1" ref="B88" ca="1">INDEX(Data_DBD!$E:$E,$A88)</f>
        <v>1</v>
      </c>
      <c r="C88" s="2" t="str" cm="1">
        <f t="array" aca="1" ref="C88" ca="1">INDEX(Data_DBD!$F:$F,$A88)</f>
        <v>Sedang</v>
      </c>
      <c r="E88" s="2">
        <v>120</v>
      </c>
      <c r="F88" s="2">
        <v>1</v>
      </c>
      <c r="G88" s="2" t="s">
        <v>97</v>
      </c>
    </row>
    <row r="89" spans="1:7">
      <c r="A89" s="2">
        <f t="shared" ca="1" si="1"/>
        <v>26</v>
      </c>
      <c r="B89" s="2" cm="1">
        <f t="array" aca="1" ref="B89" ca="1">INDEX(Data_DBD!$E:$E,$A89)</f>
        <v>1</v>
      </c>
      <c r="C89" s="2" t="str" cm="1">
        <f t="array" aca="1" ref="C89" ca="1">INDEX(Data_DBD!$F:$F,$A89)</f>
        <v>Sedang</v>
      </c>
      <c r="E89" s="2">
        <v>34</v>
      </c>
      <c r="F89" s="2">
        <v>0</v>
      </c>
      <c r="G89" s="2" t="s">
        <v>7</v>
      </c>
    </row>
    <row r="90" spans="1:7">
      <c r="A90" s="2">
        <f t="shared" ca="1" si="1"/>
        <v>77</v>
      </c>
      <c r="B90" s="2" cm="1">
        <f t="array" aca="1" ref="B90" ca="1">INDEX(Data_DBD!$E:$E,$A90)</f>
        <v>1</v>
      </c>
      <c r="C90" s="2" t="str" cm="1">
        <f t="array" aca="1" ref="C90" ca="1">INDEX(Data_DBD!$F:$F,$A90)</f>
        <v>Sedang</v>
      </c>
      <c r="E90" s="2">
        <v>137</v>
      </c>
      <c r="F90" s="2">
        <v>1</v>
      </c>
      <c r="G90" s="2" t="s">
        <v>97</v>
      </c>
    </row>
    <row r="91" spans="1:7">
      <c r="A91" s="2">
        <f t="shared" ca="1" si="1"/>
        <v>133</v>
      </c>
      <c r="B91" s="2" cm="1">
        <f t="array" aca="1" ref="B91" ca="1">INDEX(Data_DBD!$E:$E,$A91)</f>
        <v>0</v>
      </c>
      <c r="C91" s="2" t="str" cm="1">
        <f t="array" aca="1" ref="C91" ca="1">INDEX(Data_DBD!$F:$F,$A91)</f>
        <v>Tinggi</v>
      </c>
      <c r="E91" s="2">
        <v>2</v>
      </c>
      <c r="F91" s="2">
        <v>0</v>
      </c>
      <c r="G91" s="2" t="s">
        <v>7</v>
      </c>
    </row>
    <row r="92" spans="1:7">
      <c r="A92" s="2">
        <f t="shared" ca="1" si="1"/>
        <v>59</v>
      </c>
      <c r="B92" s="2" cm="1">
        <f t="array" aca="1" ref="B92" ca="1">INDEX(Data_DBD!$E:$E,$A92)</f>
        <v>0</v>
      </c>
      <c r="C92" s="2" t="str" cm="1">
        <f t="array" aca="1" ref="C92" ca="1">INDEX(Data_DBD!$F:$F,$A92)</f>
        <v>Sedang</v>
      </c>
      <c r="E92" s="2">
        <v>137</v>
      </c>
      <c r="F92" s="2">
        <v>1</v>
      </c>
      <c r="G92" s="2" t="s">
        <v>97</v>
      </c>
    </row>
    <row r="93" spans="1:7">
      <c r="A93" s="2">
        <f t="shared" ca="1" si="1"/>
        <v>120</v>
      </c>
      <c r="B93" s="2" cm="1">
        <f t="array" aca="1" ref="B93" ca="1">INDEX(Data_DBD!$E:$E,$A93)</f>
        <v>1</v>
      </c>
      <c r="C93" s="2" t="str" cm="1">
        <f t="array" aca="1" ref="C93" ca="1">INDEX(Data_DBD!$F:$F,$A93)</f>
        <v>Tinggi</v>
      </c>
      <c r="E93" s="2">
        <v>45</v>
      </c>
      <c r="F93" s="2">
        <v>1</v>
      </c>
      <c r="G93" s="2" t="s">
        <v>7</v>
      </c>
    </row>
    <row r="94" spans="1:7">
      <c r="A94" s="2">
        <f t="shared" ca="1" si="1"/>
        <v>164</v>
      </c>
      <c r="B94" s="2" cm="1">
        <f t="array" aca="1" ref="B94" ca="1">INDEX(Data_DBD!$E:$E,$A94)</f>
        <v>0</v>
      </c>
      <c r="C94" s="2" t="str" cm="1">
        <f t="array" aca="1" ref="C94" ca="1">INDEX(Data_DBD!$F:$F,$A94)</f>
        <v>Rendah</v>
      </c>
      <c r="E94" s="2">
        <v>164</v>
      </c>
      <c r="F94" s="2">
        <v>0</v>
      </c>
      <c r="G94" s="2" t="s">
        <v>20</v>
      </c>
    </row>
    <row r="95" spans="1:7">
      <c r="A95" s="2">
        <f t="shared" ca="1" si="1"/>
        <v>89</v>
      </c>
      <c r="B95" s="2" cm="1">
        <f t="array" aca="1" ref="B95" ca="1">INDEX(Data_DBD!$E:$E,$A95)</f>
        <v>0</v>
      </c>
      <c r="C95" s="2" t="str" cm="1">
        <f t="array" aca="1" ref="C95" ca="1">INDEX(Data_DBD!$F:$F,$A95)</f>
        <v>Sedang</v>
      </c>
      <c r="E95" s="2">
        <v>110</v>
      </c>
      <c r="F95" s="2">
        <v>1</v>
      </c>
      <c r="G95" s="2" t="s">
        <v>97</v>
      </c>
    </row>
    <row r="96" spans="1:7">
      <c r="A96" s="2">
        <f t="shared" ca="1" si="1"/>
        <v>124</v>
      </c>
      <c r="B96" s="2" cm="1">
        <f t="array" aca="1" ref="B96" ca="1">INDEX(Data_DBD!$E:$E,$A96)</f>
        <v>1</v>
      </c>
      <c r="C96" s="2" t="str" cm="1">
        <f t="array" aca="1" ref="C96" ca="1">INDEX(Data_DBD!$F:$F,$A96)</f>
        <v>Tinggi</v>
      </c>
      <c r="E96" s="2">
        <v>20</v>
      </c>
      <c r="F96" s="2">
        <v>0</v>
      </c>
      <c r="G96" s="2" t="s">
        <v>20</v>
      </c>
    </row>
    <row r="97" spans="1:7">
      <c r="A97" s="2">
        <f t="shared" ca="1" si="1"/>
        <v>75</v>
      </c>
      <c r="B97" s="2" cm="1">
        <f t="array" aca="1" ref="B97" ca="1">INDEX(Data_DBD!$E:$E,$A97)</f>
        <v>1</v>
      </c>
      <c r="C97" s="2" t="str" cm="1">
        <f t="array" aca="1" ref="C97" ca="1">INDEX(Data_DBD!$F:$F,$A97)</f>
        <v>Sedang</v>
      </c>
      <c r="E97" s="2">
        <v>68</v>
      </c>
      <c r="F97" s="2">
        <v>0</v>
      </c>
      <c r="G97" s="2" t="s">
        <v>7</v>
      </c>
    </row>
    <row r="98" spans="1:7">
      <c r="A98" s="2">
        <f t="shared" ca="1" si="1"/>
        <v>13</v>
      </c>
      <c r="B98" s="2" cm="1">
        <f t="array" aca="1" ref="B98" ca="1">INDEX(Data_DBD!$E:$E,$A98)</f>
        <v>0</v>
      </c>
      <c r="C98" s="2" t="str" cm="1">
        <f t="array" aca="1" ref="C98" ca="1">INDEX(Data_DBD!$F:$F,$A98)</f>
        <v>Sedang</v>
      </c>
      <c r="E98" s="2">
        <v>89</v>
      </c>
      <c r="F98" s="2">
        <v>0</v>
      </c>
      <c r="G98" s="2" t="s">
        <v>7</v>
      </c>
    </row>
    <row r="99" spans="1:7">
      <c r="A99" s="2">
        <f t="shared" ca="1" si="1"/>
        <v>97</v>
      </c>
      <c r="B99" s="2" cm="1">
        <f t="array" aca="1" ref="B99" ca="1">INDEX(Data_DBD!$E:$E,$A99)</f>
        <v>1</v>
      </c>
      <c r="C99" s="2" t="str" cm="1">
        <f t="array" aca="1" ref="C99" ca="1">INDEX(Data_DBD!$F:$F,$A99)</f>
        <v>Tinggi</v>
      </c>
      <c r="E99" s="2">
        <v>23</v>
      </c>
      <c r="F99" s="2">
        <v>1</v>
      </c>
      <c r="G99" s="2" t="s">
        <v>7</v>
      </c>
    </row>
    <row r="100" spans="1:7">
      <c r="A100" s="2">
        <f t="shared" ca="1" si="1"/>
        <v>102</v>
      </c>
      <c r="B100" s="2" cm="1">
        <f t="array" aca="1" ref="B100" ca="1">INDEX(Data_DBD!$E:$E,$A100)</f>
        <v>0</v>
      </c>
      <c r="C100" s="2" t="str" cm="1">
        <f t="array" aca="1" ref="C100" ca="1">INDEX(Data_DBD!$F:$F,$A100)</f>
        <v>Tinggi</v>
      </c>
      <c r="E100" s="2">
        <v>82</v>
      </c>
      <c r="F100" s="2">
        <v>1</v>
      </c>
      <c r="G100" s="2" t="s">
        <v>7</v>
      </c>
    </row>
    <row r="101" spans="1:7">
      <c r="A101" s="2">
        <f t="shared" ca="1" si="1"/>
        <v>19</v>
      </c>
      <c r="B101" s="2" cm="1">
        <f t="array" aca="1" ref="B101" ca="1">INDEX(Data_DBD!$E:$E,$A101)</f>
        <v>0</v>
      </c>
      <c r="C101" s="2" t="str" cm="1">
        <f t="array" aca="1" ref="C101" ca="1">INDEX(Data_DBD!$F:$F,$A101)</f>
        <v>Rendah</v>
      </c>
      <c r="E101" s="2">
        <v>82</v>
      </c>
      <c r="F101" s="2">
        <v>1</v>
      </c>
      <c r="G101" s="2" t="s">
        <v>7</v>
      </c>
    </row>
    <row r="102" spans="1:7">
      <c r="A102" s="2">
        <f t="shared" ca="1" si="1"/>
        <v>17</v>
      </c>
      <c r="B102" s="2" cm="1">
        <f t="array" aca="1" ref="B102" ca="1">INDEX(Data_DBD!$E:$E,$A102)</f>
        <v>0</v>
      </c>
      <c r="C102" s="2" t="str" cm="1">
        <f t="array" aca="1" ref="C102" ca="1">INDEX(Data_DBD!$F:$F,$A102)</f>
        <v>Rendah</v>
      </c>
      <c r="E102" s="2">
        <v>94</v>
      </c>
      <c r="F102" s="2">
        <v>0</v>
      </c>
      <c r="G102" s="2" t="s">
        <v>97</v>
      </c>
    </row>
    <row r="103" spans="1:7">
      <c r="A103" s="2">
        <f t="shared" ca="1" si="1"/>
        <v>28</v>
      </c>
      <c r="B103" s="2" cm="1">
        <f t="array" aca="1" ref="B103" ca="1">INDEX(Data_DBD!$E:$E,$A103)</f>
        <v>1</v>
      </c>
      <c r="C103" s="2" t="str" cm="1">
        <f t="array" aca="1" ref="C103" ca="1">INDEX(Data_DBD!$F:$F,$A103)</f>
        <v>Sedang</v>
      </c>
      <c r="E103" s="2">
        <v>40</v>
      </c>
      <c r="F103" s="2">
        <v>1</v>
      </c>
      <c r="G103" s="2" t="s">
        <v>7</v>
      </c>
    </row>
    <row r="104" spans="1:7">
      <c r="A104" s="2">
        <f t="shared" ca="1" si="1"/>
        <v>131</v>
      </c>
      <c r="B104" s="2" cm="1">
        <f t="array" aca="1" ref="B104" ca="1">INDEX(Data_DBD!$E:$E,$A104)</f>
        <v>0</v>
      </c>
      <c r="C104" s="2" t="str" cm="1">
        <f t="array" aca="1" ref="C104" ca="1">INDEX(Data_DBD!$F:$F,$A104)</f>
        <v>Tinggi</v>
      </c>
      <c r="E104" s="2">
        <v>32</v>
      </c>
      <c r="F104" s="2">
        <v>0</v>
      </c>
      <c r="G104" s="2" t="s">
        <v>7</v>
      </c>
    </row>
    <row r="105" spans="1:7">
      <c r="A105" s="2">
        <f t="shared" ca="1" si="1"/>
        <v>107</v>
      </c>
      <c r="B105" s="2" cm="1">
        <f t="array" aca="1" ref="B105" ca="1">INDEX(Data_DBD!$E:$E,$A105)</f>
        <v>0</v>
      </c>
      <c r="C105" s="2" t="str" cm="1">
        <f t="array" aca="1" ref="C105" ca="1">INDEX(Data_DBD!$F:$F,$A105)</f>
        <v>Tinggi</v>
      </c>
      <c r="E105" s="2">
        <v>15</v>
      </c>
      <c r="F105" s="2">
        <v>0</v>
      </c>
      <c r="G105" s="2" t="s">
        <v>20</v>
      </c>
    </row>
    <row r="106" spans="1:7">
      <c r="A106" s="2">
        <f t="shared" ca="1" si="1"/>
        <v>158</v>
      </c>
      <c r="B106" s="2" cm="1">
        <f t="array" aca="1" ref="B106" ca="1">INDEX(Data_DBD!$E:$E,$A106)</f>
        <v>0</v>
      </c>
      <c r="C106" s="2" t="str" cm="1">
        <f t="array" aca="1" ref="C106" ca="1">INDEX(Data_DBD!$F:$F,$A106)</f>
        <v>Tinggi</v>
      </c>
      <c r="E106" s="2">
        <v>77</v>
      </c>
      <c r="F106" s="2">
        <v>1</v>
      </c>
      <c r="G106" s="2" t="s">
        <v>7</v>
      </c>
    </row>
    <row r="107" spans="1:7">
      <c r="A107" s="2">
        <f t="shared" ca="1" si="1"/>
        <v>99</v>
      </c>
      <c r="B107" s="2" cm="1">
        <f t="array" aca="1" ref="B107" ca="1">INDEX(Data_DBD!$E:$E,$A107)</f>
        <v>1</v>
      </c>
      <c r="C107" s="2" t="str" cm="1">
        <f t="array" aca="1" ref="C107" ca="1">INDEX(Data_DBD!$F:$F,$A107)</f>
        <v>Tinggi</v>
      </c>
      <c r="E107" s="2">
        <v>87</v>
      </c>
      <c r="F107" s="2">
        <v>0</v>
      </c>
      <c r="G107" s="2" t="s">
        <v>7</v>
      </c>
    </row>
    <row r="108" spans="1:7">
      <c r="A108" s="2">
        <f t="shared" ca="1" si="1"/>
        <v>149</v>
      </c>
      <c r="B108" s="2" cm="1">
        <f t="array" aca="1" ref="B108" ca="1">INDEX(Data_DBD!$E:$E,$A108)</f>
        <v>0</v>
      </c>
      <c r="C108" s="2" t="str" cm="1">
        <f t="array" aca="1" ref="C108" ca="1">INDEX(Data_DBD!$F:$F,$A108)</f>
        <v>Tinggi</v>
      </c>
      <c r="E108" s="2">
        <v>148</v>
      </c>
      <c r="F108" s="2">
        <v>1</v>
      </c>
      <c r="G108" s="2" t="s">
        <v>97</v>
      </c>
    </row>
    <row r="109" spans="1:7">
      <c r="A109" s="2">
        <f t="shared" ca="1" si="1"/>
        <v>125</v>
      </c>
      <c r="B109" s="2" cm="1">
        <f t="array" aca="1" ref="B109" ca="1">INDEX(Data_DBD!$E:$E,$A109)</f>
        <v>0</v>
      </c>
      <c r="C109" s="2" t="str" cm="1">
        <f t="array" aca="1" ref="C109" ca="1">INDEX(Data_DBD!$F:$F,$A109)</f>
        <v>Tinggi</v>
      </c>
      <c r="E109" s="2">
        <v>7</v>
      </c>
      <c r="F109" s="2">
        <v>1</v>
      </c>
      <c r="G109" s="2" t="s">
        <v>7</v>
      </c>
    </row>
    <row r="110" spans="1:7">
      <c r="A110" s="2">
        <f t="shared" ca="1" si="1"/>
        <v>149</v>
      </c>
      <c r="B110" s="2" cm="1">
        <f t="array" aca="1" ref="B110" ca="1">INDEX(Data_DBD!$E:$E,$A110)</f>
        <v>0</v>
      </c>
      <c r="C110" s="2" t="str" cm="1">
        <f t="array" aca="1" ref="C110" ca="1">INDEX(Data_DBD!$F:$F,$A110)</f>
        <v>Tinggi</v>
      </c>
      <c r="E110" s="2">
        <v>74</v>
      </c>
      <c r="F110" s="2">
        <v>0</v>
      </c>
      <c r="G110" s="2" t="s">
        <v>7</v>
      </c>
    </row>
    <row r="111" spans="1:7">
      <c r="A111" s="2">
        <f t="shared" ca="1" si="1"/>
        <v>103</v>
      </c>
      <c r="B111" s="2" cm="1">
        <f t="array" aca="1" ref="B111" ca="1">INDEX(Data_DBD!$E:$E,$A111)</f>
        <v>0</v>
      </c>
      <c r="C111" s="2" t="str" cm="1">
        <f t="array" aca="1" ref="C111" ca="1">INDEX(Data_DBD!$F:$F,$A111)</f>
        <v>Tinggi</v>
      </c>
      <c r="E111" s="2">
        <v>14</v>
      </c>
      <c r="F111" s="2">
        <v>1</v>
      </c>
      <c r="G111" s="2" t="s">
        <v>20</v>
      </c>
    </row>
    <row r="112" spans="1:7">
      <c r="A112" s="2">
        <f t="shared" ca="1" si="1"/>
        <v>77</v>
      </c>
      <c r="B112" s="2" cm="1">
        <f t="array" aca="1" ref="B112" ca="1">INDEX(Data_DBD!$E:$E,$A112)</f>
        <v>1</v>
      </c>
      <c r="C112" s="2" t="str" cm="1">
        <f t="array" aca="1" ref="C112" ca="1">INDEX(Data_DBD!$F:$F,$A112)</f>
        <v>Sedang</v>
      </c>
      <c r="E112" s="2">
        <v>26</v>
      </c>
      <c r="F112" s="2">
        <v>1</v>
      </c>
      <c r="G112" s="2" t="s">
        <v>7</v>
      </c>
    </row>
    <row r="113" spans="1:7">
      <c r="A113" s="2">
        <f t="shared" ca="1" si="1"/>
        <v>129</v>
      </c>
      <c r="B113" s="2" cm="1">
        <f t="array" aca="1" ref="B113" ca="1">INDEX(Data_DBD!$E:$E,$A113)</f>
        <v>0</v>
      </c>
      <c r="C113" s="2" t="str" cm="1">
        <f t="array" aca="1" ref="C113" ca="1">INDEX(Data_DBD!$F:$F,$A113)</f>
        <v>Tinggi</v>
      </c>
      <c r="E113" s="2">
        <v>129</v>
      </c>
      <c r="F113" s="2">
        <v>0</v>
      </c>
      <c r="G113" s="2" t="s">
        <v>97</v>
      </c>
    </row>
    <row r="114" spans="1:7">
      <c r="A114" s="2">
        <f t="shared" ca="1" si="1"/>
        <v>38</v>
      </c>
      <c r="B114" s="2" cm="1">
        <f t="array" aca="1" ref="B114" ca="1">INDEX(Data_DBD!$E:$E,$A114)</f>
        <v>1</v>
      </c>
      <c r="C114" s="2" t="str" cm="1">
        <f t="array" aca="1" ref="C114" ca="1">INDEX(Data_DBD!$F:$F,$A114)</f>
        <v>Rendah</v>
      </c>
      <c r="E114" s="2">
        <v>159</v>
      </c>
      <c r="F114" s="2">
        <v>0</v>
      </c>
      <c r="G114" s="2" t="s">
        <v>97</v>
      </c>
    </row>
    <row r="115" spans="1:7">
      <c r="A115" s="2">
        <f t="shared" ca="1" si="1"/>
        <v>30</v>
      </c>
      <c r="B115" s="2" cm="1">
        <f t="array" aca="1" ref="B115" ca="1">INDEX(Data_DBD!$E:$E,$A115)</f>
        <v>1</v>
      </c>
      <c r="C115" s="2" t="str" cm="1">
        <f t="array" aca="1" ref="C115" ca="1">INDEX(Data_DBD!$F:$F,$A115)</f>
        <v>Sedang</v>
      </c>
      <c r="E115" s="2">
        <v>46</v>
      </c>
      <c r="F115" s="2">
        <v>0</v>
      </c>
      <c r="G115" s="2" t="s">
        <v>7</v>
      </c>
    </row>
    <row r="116" spans="1:7">
      <c r="A116" s="2">
        <f t="shared" ca="1" si="1"/>
        <v>76</v>
      </c>
      <c r="B116" s="2" cm="1">
        <f t="array" aca="1" ref="B116" ca="1">INDEX(Data_DBD!$E:$E,$A116)</f>
        <v>0</v>
      </c>
      <c r="C116" s="2" t="str" cm="1">
        <f t="array" aca="1" ref="C116" ca="1">INDEX(Data_DBD!$F:$F,$A116)</f>
        <v>Sedang</v>
      </c>
      <c r="E116" s="2">
        <v>37</v>
      </c>
      <c r="F116" s="2">
        <v>1</v>
      </c>
      <c r="G116" s="2" t="s">
        <v>20</v>
      </c>
    </row>
    <row r="117" spans="1:7">
      <c r="A117" s="2">
        <f t="shared" ca="1" si="1"/>
        <v>110</v>
      </c>
      <c r="B117" s="2" cm="1">
        <f t="array" aca="1" ref="B117" ca="1">INDEX(Data_DBD!$E:$E,$A117)</f>
        <v>1</v>
      </c>
      <c r="C117" s="2" t="str" cm="1">
        <f t="array" aca="1" ref="C117" ca="1">INDEX(Data_DBD!$F:$F,$A117)</f>
        <v>Tinggi</v>
      </c>
      <c r="E117" s="2">
        <v>66</v>
      </c>
      <c r="F117" s="2">
        <v>1</v>
      </c>
      <c r="G117" s="2" t="s">
        <v>7</v>
      </c>
    </row>
    <row r="118" spans="1:7">
      <c r="A118" s="2">
        <f t="shared" ca="1" si="1"/>
        <v>42</v>
      </c>
      <c r="B118" s="2" cm="1">
        <f t="array" aca="1" ref="B118" ca="1">INDEX(Data_DBD!$E:$E,$A118)</f>
        <v>1</v>
      </c>
      <c r="C118" s="2" t="str" cm="1">
        <f t="array" aca="1" ref="C118" ca="1">INDEX(Data_DBD!$F:$F,$A118)</f>
        <v>Sedang</v>
      </c>
      <c r="E118" s="2">
        <v>104</v>
      </c>
      <c r="F118" s="2">
        <v>1</v>
      </c>
      <c r="G118" s="2" t="s">
        <v>97</v>
      </c>
    </row>
    <row r="119" spans="1:7">
      <c r="A119" s="2">
        <f t="shared" ca="1" si="1"/>
        <v>157</v>
      </c>
      <c r="B119" s="2" cm="1">
        <f t="array" aca="1" ref="B119" ca="1">INDEX(Data_DBD!$E:$E,$A119)</f>
        <v>1</v>
      </c>
      <c r="C119" s="2" t="str" cm="1">
        <f t="array" aca="1" ref="C119" ca="1">INDEX(Data_DBD!$F:$F,$A119)</f>
        <v>Tinggi</v>
      </c>
      <c r="E119" s="2">
        <v>113</v>
      </c>
      <c r="F119" s="2">
        <v>1</v>
      </c>
      <c r="G119" s="2" t="s">
        <v>97</v>
      </c>
    </row>
    <row r="120" spans="1:7">
      <c r="A120" s="2">
        <f t="shared" ca="1" si="1"/>
        <v>82</v>
      </c>
      <c r="B120" s="2" cm="1">
        <f t="array" aca="1" ref="B120" ca="1">INDEX(Data_DBD!$E:$E,$A120)</f>
        <v>1</v>
      </c>
      <c r="C120" s="2" t="str" cm="1">
        <f t="array" aca="1" ref="C120" ca="1">INDEX(Data_DBD!$F:$F,$A120)</f>
        <v>Sedang</v>
      </c>
      <c r="E120" s="2">
        <v>30</v>
      </c>
      <c r="F120" s="2">
        <v>1</v>
      </c>
      <c r="G120" s="2" t="s">
        <v>7</v>
      </c>
    </row>
    <row r="121" spans="1:7">
      <c r="A121" s="2">
        <f t="shared" ca="1" si="1"/>
        <v>124</v>
      </c>
      <c r="B121" s="2" cm="1">
        <f t="array" aca="1" ref="B121" ca="1">INDEX(Data_DBD!$E:$E,$A121)</f>
        <v>1</v>
      </c>
      <c r="C121" s="2" t="str" cm="1">
        <f t="array" aca="1" ref="C121" ca="1">INDEX(Data_DBD!$F:$F,$A121)</f>
        <v>Tinggi</v>
      </c>
      <c r="E121" s="2">
        <v>43</v>
      </c>
      <c r="F121" s="2">
        <v>0</v>
      </c>
      <c r="G121" s="2" t="s">
        <v>7</v>
      </c>
    </row>
    <row r="122" spans="1:7">
      <c r="A122" s="2">
        <f t="shared" ca="1" si="1"/>
        <v>19</v>
      </c>
      <c r="B122" s="2" cm="1">
        <f t="array" aca="1" ref="B122" ca="1">INDEX(Data_DBD!$E:$E,$A122)</f>
        <v>0</v>
      </c>
      <c r="C122" s="2" t="str" cm="1">
        <f t="array" aca="1" ref="C122" ca="1">INDEX(Data_DBD!$F:$F,$A122)</f>
        <v>Rendah</v>
      </c>
      <c r="E122" s="2">
        <v>142</v>
      </c>
      <c r="F122" s="2">
        <v>1</v>
      </c>
      <c r="G122" s="2" t="s">
        <v>97</v>
      </c>
    </row>
    <row r="123" spans="1:7">
      <c r="A123" s="2">
        <f t="shared" ca="1" si="1"/>
        <v>99</v>
      </c>
      <c r="B123" s="2" cm="1">
        <f t="array" aca="1" ref="B123" ca="1">INDEX(Data_DBD!$E:$E,$A123)</f>
        <v>1</v>
      </c>
      <c r="C123" s="2" t="str" cm="1">
        <f t="array" aca="1" ref="C123" ca="1">INDEX(Data_DBD!$F:$F,$A123)</f>
        <v>Tinggi</v>
      </c>
      <c r="E123" s="2">
        <v>39</v>
      </c>
      <c r="F123" s="2">
        <v>1</v>
      </c>
      <c r="G123" s="2" t="s">
        <v>7</v>
      </c>
    </row>
    <row r="124" spans="1:7">
      <c r="A124" s="2">
        <f t="shared" ca="1" si="1"/>
        <v>131</v>
      </c>
      <c r="B124" s="2" cm="1">
        <f t="array" aca="1" ref="B124" ca="1">INDEX(Data_DBD!$E:$E,$A124)</f>
        <v>0</v>
      </c>
      <c r="C124" s="2" t="str" cm="1">
        <f t="array" aca="1" ref="C124" ca="1">INDEX(Data_DBD!$F:$F,$A124)</f>
        <v>Tinggi</v>
      </c>
      <c r="E124" s="2">
        <v>140</v>
      </c>
      <c r="F124" s="2">
        <v>1</v>
      </c>
      <c r="G124" s="2" t="s">
        <v>97</v>
      </c>
    </row>
    <row r="125" spans="1:7">
      <c r="A125" s="2">
        <f t="shared" ca="1" si="1"/>
        <v>8</v>
      </c>
      <c r="B125" s="2" cm="1">
        <f t="array" aca="1" ref="B125" ca="1">INDEX(Data_DBD!$E:$E,$A125)</f>
        <v>0</v>
      </c>
      <c r="C125" s="2" t="str" cm="1">
        <f t="array" aca="1" ref="C125" ca="1">INDEX(Data_DBD!$F:$F,$A125)</f>
        <v>Sedang</v>
      </c>
      <c r="E125" s="2">
        <v>119</v>
      </c>
      <c r="F125" s="2">
        <v>0</v>
      </c>
      <c r="G125" s="2" t="s">
        <v>97</v>
      </c>
    </row>
    <row r="126" spans="1:7">
      <c r="A126" s="2">
        <f t="shared" ca="1" si="1"/>
        <v>7</v>
      </c>
      <c r="B126" s="2" cm="1">
        <f t="array" aca="1" ref="B126" ca="1">INDEX(Data_DBD!$E:$E,$A126)</f>
        <v>1</v>
      </c>
      <c r="C126" s="2" t="str" cm="1">
        <f t="array" aca="1" ref="C126" ca="1">INDEX(Data_DBD!$F:$F,$A126)</f>
        <v>Sedang</v>
      </c>
      <c r="E126" s="2">
        <v>25</v>
      </c>
      <c r="F126" s="2">
        <v>0</v>
      </c>
      <c r="G126" s="2" t="s">
        <v>7</v>
      </c>
    </row>
    <row r="127" spans="1:7">
      <c r="A127" s="2">
        <f t="shared" ca="1" si="1"/>
        <v>126</v>
      </c>
      <c r="B127" s="2" cm="1">
        <f t="array" aca="1" ref="B127" ca="1">INDEX(Data_DBD!$E:$E,$A127)</f>
        <v>1</v>
      </c>
      <c r="C127" s="2" t="str" cm="1">
        <f t="array" aca="1" ref="C127" ca="1">INDEX(Data_DBD!$F:$F,$A127)</f>
        <v>Tinggi</v>
      </c>
      <c r="E127" s="2">
        <v>97</v>
      </c>
      <c r="F127" s="2">
        <v>1</v>
      </c>
      <c r="G127" s="2" t="s">
        <v>97</v>
      </c>
    </row>
    <row r="128" spans="1:7">
      <c r="A128" s="2">
        <f t="shared" ca="1" si="1"/>
        <v>18</v>
      </c>
      <c r="B128" s="2" cm="1">
        <f t="array" aca="1" ref="B128" ca="1">INDEX(Data_DBD!$E:$E,$A128)</f>
        <v>1</v>
      </c>
      <c r="C128" s="2" t="str" cm="1">
        <f t="array" aca="1" ref="C128" ca="1">INDEX(Data_DBD!$F:$F,$A128)</f>
        <v>Rendah</v>
      </c>
      <c r="E128" s="2">
        <v>112</v>
      </c>
      <c r="F128" s="2">
        <v>1</v>
      </c>
      <c r="G128" s="2" t="s">
        <v>97</v>
      </c>
    </row>
    <row r="129" spans="1:7">
      <c r="A129" s="2">
        <f t="shared" ca="1" si="1"/>
        <v>71</v>
      </c>
      <c r="B129" s="2" cm="1">
        <f t="array" aca="1" ref="B129" ca="1">INDEX(Data_DBD!$E:$E,$A129)</f>
        <v>0</v>
      </c>
      <c r="C129" s="2" t="str" cm="1">
        <f t="array" aca="1" ref="C129" ca="1">INDEX(Data_DBD!$F:$F,$A129)</f>
        <v>Sedang</v>
      </c>
      <c r="E129" s="2">
        <v>66</v>
      </c>
      <c r="F129" s="2">
        <v>1</v>
      </c>
      <c r="G129" s="2" t="s">
        <v>7</v>
      </c>
    </row>
    <row r="130" spans="1:7">
      <c r="A130" s="2">
        <f t="shared" ca="1" si="1"/>
        <v>84</v>
      </c>
      <c r="B130" s="2" cm="1">
        <f t="array" aca="1" ref="B130" ca="1">INDEX(Data_DBD!$E:$E,$A130)</f>
        <v>1</v>
      </c>
      <c r="C130" s="2" t="str" cm="1">
        <f t="array" aca="1" ref="C130" ca="1">INDEX(Data_DBD!$F:$F,$A130)</f>
        <v>Sedang</v>
      </c>
      <c r="E130" s="2">
        <v>90</v>
      </c>
      <c r="F130" s="2">
        <v>0</v>
      </c>
      <c r="G130" s="2" t="s">
        <v>97</v>
      </c>
    </row>
    <row r="131" spans="1:7">
      <c r="A131" s="2">
        <f t="shared" ref="A131:A164" ca="1" si="2">RANDBETWEEN(2,164)</f>
        <v>11</v>
      </c>
      <c r="B131" s="2" cm="1">
        <f t="array" aca="1" ref="B131" ca="1">INDEX(Data_DBD!$E:$E,$A131)</f>
        <v>1</v>
      </c>
      <c r="C131" s="2" t="str" cm="1">
        <f t="array" aca="1" ref="C131" ca="1">INDEX(Data_DBD!$F:$F,$A131)</f>
        <v>Sedang</v>
      </c>
      <c r="E131" s="2">
        <v>11</v>
      </c>
      <c r="F131" s="2">
        <v>1</v>
      </c>
      <c r="G131" s="2" t="s">
        <v>7</v>
      </c>
    </row>
    <row r="132" spans="1:7">
      <c r="A132" s="2">
        <f t="shared" ca="1" si="2"/>
        <v>14</v>
      </c>
      <c r="B132" s="2" cm="1">
        <f t="array" aca="1" ref="B132" ca="1">INDEX(Data_DBD!$E:$E,$A132)</f>
        <v>1</v>
      </c>
      <c r="C132" s="2" t="str" cm="1">
        <f t="array" aca="1" ref="C132" ca="1">INDEX(Data_DBD!$F:$F,$A132)</f>
        <v>Rendah</v>
      </c>
      <c r="E132" s="2">
        <v>31</v>
      </c>
      <c r="F132" s="2">
        <v>1</v>
      </c>
      <c r="G132" s="2" t="s">
        <v>7</v>
      </c>
    </row>
    <row r="133" spans="1:7">
      <c r="A133" s="2">
        <f t="shared" ca="1" si="2"/>
        <v>151</v>
      </c>
      <c r="B133" s="2" cm="1">
        <f t="array" aca="1" ref="B133" ca="1">INDEX(Data_DBD!$E:$E,$A133)</f>
        <v>0</v>
      </c>
      <c r="C133" s="2" t="str" cm="1">
        <f t="array" aca="1" ref="C133" ca="1">INDEX(Data_DBD!$F:$F,$A133)</f>
        <v>Tinggi</v>
      </c>
      <c r="E133" s="2">
        <v>47</v>
      </c>
      <c r="F133" s="2">
        <v>0</v>
      </c>
      <c r="G133" s="2" t="s">
        <v>7</v>
      </c>
    </row>
    <row r="134" spans="1:7">
      <c r="A134" s="2">
        <f t="shared" ca="1" si="2"/>
        <v>37</v>
      </c>
      <c r="B134" s="2" cm="1">
        <f t="array" aca="1" ref="B134" ca="1">INDEX(Data_DBD!$E:$E,$A134)</f>
        <v>1</v>
      </c>
      <c r="C134" s="2" t="str" cm="1">
        <f t="array" aca="1" ref="C134" ca="1">INDEX(Data_DBD!$F:$F,$A134)</f>
        <v>Rendah</v>
      </c>
      <c r="E134" s="2">
        <v>37</v>
      </c>
      <c r="F134" s="2">
        <v>1</v>
      </c>
      <c r="G134" s="2" t="s">
        <v>20</v>
      </c>
    </row>
    <row r="135" spans="1:7">
      <c r="A135" s="2">
        <f t="shared" ca="1" si="2"/>
        <v>94</v>
      </c>
      <c r="B135" s="2" cm="1">
        <f t="array" aca="1" ref="B135" ca="1">INDEX(Data_DBD!$E:$E,$A135)</f>
        <v>0</v>
      </c>
      <c r="C135" s="2" t="str" cm="1">
        <f t="array" aca="1" ref="C135" ca="1">INDEX(Data_DBD!$F:$F,$A135)</f>
        <v>Tinggi</v>
      </c>
      <c r="E135" s="2">
        <v>85</v>
      </c>
      <c r="F135" s="2">
        <v>0</v>
      </c>
      <c r="G135" s="2" t="s">
        <v>7</v>
      </c>
    </row>
    <row r="136" spans="1:7">
      <c r="A136" s="2">
        <f t="shared" ca="1" si="2"/>
        <v>16</v>
      </c>
      <c r="B136" s="2" cm="1">
        <f t="array" aca="1" ref="B136" ca="1">INDEX(Data_DBD!$E:$E,$A136)</f>
        <v>1</v>
      </c>
      <c r="C136" s="2" t="str" cm="1">
        <f t="array" aca="1" ref="C136" ca="1">INDEX(Data_DBD!$F:$F,$A136)</f>
        <v>Rendah</v>
      </c>
      <c r="E136" s="2">
        <v>26</v>
      </c>
      <c r="F136" s="2">
        <v>1</v>
      </c>
      <c r="G136" s="2" t="s">
        <v>7</v>
      </c>
    </row>
    <row r="137" spans="1:7">
      <c r="A137" s="2">
        <f t="shared" ca="1" si="2"/>
        <v>113</v>
      </c>
      <c r="B137" s="2" cm="1">
        <f t="array" aca="1" ref="B137" ca="1">INDEX(Data_DBD!$E:$E,$A137)</f>
        <v>1</v>
      </c>
      <c r="C137" s="2" t="str" cm="1">
        <f t="array" aca="1" ref="C137" ca="1">INDEX(Data_DBD!$F:$F,$A137)</f>
        <v>Tinggi</v>
      </c>
      <c r="E137" s="2">
        <v>113</v>
      </c>
      <c r="F137" s="2">
        <v>1</v>
      </c>
      <c r="G137" s="2" t="s">
        <v>97</v>
      </c>
    </row>
    <row r="138" spans="1:7">
      <c r="A138" s="2">
        <f t="shared" ca="1" si="2"/>
        <v>72</v>
      </c>
      <c r="B138" s="2" cm="1">
        <f t="array" aca="1" ref="B138" ca="1">INDEX(Data_DBD!$E:$E,$A138)</f>
        <v>1</v>
      </c>
      <c r="C138" s="2" t="str" cm="1">
        <f t="array" aca="1" ref="C138" ca="1">INDEX(Data_DBD!$F:$F,$A138)</f>
        <v>Sedang</v>
      </c>
      <c r="E138" s="2">
        <v>140</v>
      </c>
      <c r="F138" s="2">
        <v>1</v>
      </c>
      <c r="G138" s="2" t="s">
        <v>97</v>
      </c>
    </row>
    <row r="139" spans="1:7">
      <c r="A139" s="2">
        <f t="shared" ca="1" si="2"/>
        <v>94</v>
      </c>
      <c r="B139" s="2" cm="1">
        <f t="array" aca="1" ref="B139" ca="1">INDEX(Data_DBD!$E:$E,$A139)</f>
        <v>0</v>
      </c>
      <c r="C139" s="2" t="str" cm="1">
        <f t="array" aca="1" ref="C139" ca="1">INDEX(Data_DBD!$F:$F,$A139)</f>
        <v>Tinggi</v>
      </c>
      <c r="E139" s="2">
        <v>15</v>
      </c>
      <c r="F139" s="2">
        <v>0</v>
      </c>
      <c r="G139" s="2" t="s">
        <v>20</v>
      </c>
    </row>
    <row r="140" spans="1:7">
      <c r="A140" s="2">
        <f t="shared" ca="1" si="2"/>
        <v>11</v>
      </c>
      <c r="B140" s="2" cm="1">
        <f t="array" aca="1" ref="B140" ca="1">INDEX(Data_DBD!$E:$E,$A140)</f>
        <v>1</v>
      </c>
      <c r="C140" s="2" t="str" cm="1">
        <f t="array" aca="1" ref="C140" ca="1">INDEX(Data_DBD!$F:$F,$A140)</f>
        <v>Sedang</v>
      </c>
      <c r="E140" s="2">
        <v>63</v>
      </c>
      <c r="F140" s="2">
        <v>0</v>
      </c>
      <c r="G140" s="2" t="s">
        <v>7</v>
      </c>
    </row>
    <row r="141" spans="1:7">
      <c r="A141" s="2">
        <f t="shared" ca="1" si="2"/>
        <v>162</v>
      </c>
      <c r="B141" s="2" cm="1">
        <f t="array" aca="1" ref="B141" ca="1">INDEX(Data_DBD!$E:$E,$A141)</f>
        <v>1</v>
      </c>
      <c r="C141" s="2" t="str" cm="1">
        <f t="array" aca="1" ref="C141" ca="1">INDEX(Data_DBD!$F:$F,$A141)</f>
        <v>Rendah</v>
      </c>
      <c r="E141" s="2">
        <v>38</v>
      </c>
      <c r="F141" s="2">
        <v>1</v>
      </c>
      <c r="G141" s="2" t="s">
        <v>20</v>
      </c>
    </row>
    <row r="142" spans="1:7">
      <c r="A142" s="2">
        <f t="shared" ca="1" si="2"/>
        <v>140</v>
      </c>
      <c r="B142" s="2" cm="1">
        <f t="array" aca="1" ref="B142" ca="1">INDEX(Data_DBD!$E:$E,$A142)</f>
        <v>1</v>
      </c>
      <c r="C142" s="2" t="str" cm="1">
        <f t="array" aca="1" ref="C142" ca="1">INDEX(Data_DBD!$F:$F,$A142)</f>
        <v>Tinggi</v>
      </c>
      <c r="E142" s="2">
        <v>40</v>
      </c>
      <c r="F142" s="2">
        <v>1</v>
      </c>
      <c r="G142" s="2" t="s">
        <v>7</v>
      </c>
    </row>
    <row r="143" spans="1:7">
      <c r="A143" s="2">
        <f t="shared" ca="1" si="2"/>
        <v>57</v>
      </c>
      <c r="B143" s="2" cm="1">
        <f t="array" aca="1" ref="B143" ca="1">INDEX(Data_DBD!$E:$E,$A143)</f>
        <v>1</v>
      </c>
      <c r="C143" s="2" t="str" cm="1">
        <f t="array" aca="1" ref="C143" ca="1">INDEX(Data_DBD!$F:$F,$A143)</f>
        <v>Sedang</v>
      </c>
      <c r="E143" s="2">
        <v>151</v>
      </c>
      <c r="F143" s="2">
        <v>0</v>
      </c>
      <c r="G143" s="2" t="s">
        <v>97</v>
      </c>
    </row>
    <row r="144" spans="1:7">
      <c r="A144" s="2">
        <f t="shared" ca="1" si="2"/>
        <v>150</v>
      </c>
      <c r="B144" s="2" cm="1">
        <f t="array" aca="1" ref="B144" ca="1">INDEX(Data_DBD!$E:$E,$A144)</f>
        <v>1</v>
      </c>
      <c r="C144" s="2" t="str" cm="1">
        <f t="array" aca="1" ref="C144" ca="1">INDEX(Data_DBD!$F:$F,$A144)</f>
        <v>Tinggi</v>
      </c>
      <c r="E144" s="2">
        <v>110</v>
      </c>
      <c r="F144" s="2">
        <v>1</v>
      </c>
      <c r="G144" s="2" t="s">
        <v>97</v>
      </c>
    </row>
    <row r="145" spans="1:7">
      <c r="A145" s="2">
        <f t="shared" ca="1" si="2"/>
        <v>106</v>
      </c>
      <c r="B145" s="2" cm="1">
        <f t="array" aca="1" ref="B145" ca="1">INDEX(Data_DBD!$E:$E,$A145)</f>
        <v>1</v>
      </c>
      <c r="C145" s="2" t="str" cm="1">
        <f t="array" aca="1" ref="C145" ca="1">INDEX(Data_DBD!$F:$F,$A145)</f>
        <v>Tinggi</v>
      </c>
      <c r="E145" s="2">
        <v>39</v>
      </c>
      <c r="F145" s="2">
        <v>1</v>
      </c>
      <c r="G145" s="2" t="s">
        <v>7</v>
      </c>
    </row>
    <row r="146" spans="1:7">
      <c r="A146" s="2">
        <f t="shared" ca="1" si="2"/>
        <v>118</v>
      </c>
      <c r="B146" s="2" cm="1">
        <f t="array" aca="1" ref="B146" ca="1">INDEX(Data_DBD!$E:$E,$A146)</f>
        <v>1</v>
      </c>
      <c r="C146" s="2" t="str" cm="1">
        <f t="array" aca="1" ref="C146" ca="1">INDEX(Data_DBD!$F:$F,$A146)</f>
        <v>Tinggi</v>
      </c>
      <c r="E146" s="2">
        <v>100</v>
      </c>
      <c r="F146" s="2">
        <v>0</v>
      </c>
      <c r="G146" s="2" t="s">
        <v>97</v>
      </c>
    </row>
    <row r="147" spans="1:7">
      <c r="A147" s="2">
        <f t="shared" ca="1" si="2"/>
        <v>24</v>
      </c>
      <c r="B147" s="2" cm="1">
        <f t="array" aca="1" ref="B147" ca="1">INDEX(Data_DBD!$E:$E,$A147)</f>
        <v>0</v>
      </c>
      <c r="C147" s="2" t="str" cm="1">
        <f t="array" aca="1" ref="C147" ca="1">INDEX(Data_DBD!$F:$F,$A147)</f>
        <v>Sedang</v>
      </c>
      <c r="E147" s="2">
        <v>57</v>
      </c>
      <c r="F147" s="2">
        <v>1</v>
      </c>
      <c r="G147" s="2" t="s">
        <v>7</v>
      </c>
    </row>
    <row r="148" spans="1:7">
      <c r="A148" s="2">
        <f t="shared" ca="1" si="2"/>
        <v>68</v>
      </c>
      <c r="B148" s="2" cm="1">
        <f t="array" aca="1" ref="B148" ca="1">INDEX(Data_DBD!$E:$E,$A148)</f>
        <v>0</v>
      </c>
      <c r="C148" s="2" t="str" cm="1">
        <f t="array" aca="1" ref="C148" ca="1">INDEX(Data_DBD!$F:$F,$A148)</f>
        <v>Sedang</v>
      </c>
      <c r="E148" s="2">
        <v>74</v>
      </c>
      <c r="F148" s="2">
        <v>0</v>
      </c>
      <c r="G148" s="2" t="s">
        <v>7</v>
      </c>
    </row>
    <row r="149" spans="1:7">
      <c r="A149" s="2">
        <f t="shared" ca="1" si="2"/>
        <v>54</v>
      </c>
      <c r="B149" s="2" cm="1">
        <f t="array" aca="1" ref="B149" ca="1">INDEX(Data_DBD!$E:$E,$A149)</f>
        <v>0</v>
      </c>
      <c r="C149" s="2" t="str" cm="1">
        <f t="array" aca="1" ref="C149" ca="1">INDEX(Data_DBD!$F:$F,$A149)</f>
        <v>Sedang</v>
      </c>
      <c r="E149" s="2">
        <v>85</v>
      </c>
      <c r="F149" s="2">
        <v>0</v>
      </c>
      <c r="G149" s="2" t="s">
        <v>7</v>
      </c>
    </row>
    <row r="150" spans="1:7">
      <c r="A150" s="2">
        <f t="shared" ca="1" si="2"/>
        <v>56</v>
      </c>
      <c r="B150" s="2" cm="1">
        <f t="array" aca="1" ref="B150" ca="1">INDEX(Data_DBD!$E:$E,$A150)</f>
        <v>0</v>
      </c>
      <c r="C150" s="2" t="str" cm="1">
        <f t="array" aca="1" ref="C150" ca="1">INDEX(Data_DBD!$F:$F,$A150)</f>
        <v>Sedang</v>
      </c>
      <c r="E150" s="2">
        <v>53</v>
      </c>
      <c r="F150" s="2">
        <v>1</v>
      </c>
      <c r="G150" s="2" t="s">
        <v>7</v>
      </c>
    </row>
    <row r="151" spans="1:7">
      <c r="A151" s="2">
        <f t="shared" ca="1" si="2"/>
        <v>55</v>
      </c>
      <c r="B151" s="2" cm="1">
        <f t="array" aca="1" ref="B151" ca="1">INDEX(Data_DBD!$E:$E,$A151)</f>
        <v>1</v>
      </c>
      <c r="C151" s="2" t="str" cm="1">
        <f t="array" aca="1" ref="C151" ca="1">INDEX(Data_DBD!$F:$F,$A151)</f>
        <v>Sedang</v>
      </c>
      <c r="E151" s="2">
        <v>119</v>
      </c>
      <c r="F151" s="2">
        <v>0</v>
      </c>
      <c r="G151" s="2" t="s">
        <v>97</v>
      </c>
    </row>
    <row r="152" spans="1:7">
      <c r="A152" s="2">
        <f t="shared" ca="1" si="2"/>
        <v>109</v>
      </c>
      <c r="B152" s="2" cm="1">
        <f t="array" aca="1" ref="B152" ca="1">INDEX(Data_DBD!$E:$E,$A152)</f>
        <v>1</v>
      </c>
      <c r="C152" s="2" t="str" cm="1">
        <f t="array" aca="1" ref="C152" ca="1">INDEX(Data_DBD!$F:$F,$A152)</f>
        <v>Tinggi</v>
      </c>
      <c r="E152" s="2">
        <v>136</v>
      </c>
      <c r="F152" s="2">
        <v>0</v>
      </c>
      <c r="G152" s="2" t="s">
        <v>97</v>
      </c>
    </row>
    <row r="153" spans="1:7">
      <c r="A153" s="2">
        <f t="shared" ca="1" si="2"/>
        <v>91</v>
      </c>
      <c r="B153" s="2" cm="1">
        <f t="array" aca="1" ref="B153" ca="1">INDEX(Data_DBD!$E:$E,$A153)</f>
        <v>1</v>
      </c>
      <c r="C153" s="2" t="str" cm="1">
        <f t="array" aca="1" ref="C153" ca="1">INDEX(Data_DBD!$F:$F,$A153)</f>
        <v>Tinggi</v>
      </c>
      <c r="E153" s="2">
        <v>62</v>
      </c>
      <c r="F153" s="2">
        <v>1</v>
      </c>
      <c r="G153" s="2" t="s">
        <v>7</v>
      </c>
    </row>
    <row r="154" spans="1:7">
      <c r="A154" s="2">
        <f t="shared" ca="1" si="2"/>
        <v>5</v>
      </c>
      <c r="B154" s="2" cm="1">
        <f t="array" aca="1" ref="B154" ca="1">INDEX(Data_DBD!$E:$E,$A154)</f>
        <v>1</v>
      </c>
      <c r="C154" s="2" t="str" cm="1">
        <f t="array" aca="1" ref="C154" ca="1">INDEX(Data_DBD!$F:$F,$A154)</f>
        <v>Sedang</v>
      </c>
      <c r="E154" s="2">
        <v>15</v>
      </c>
      <c r="F154" s="2">
        <v>0</v>
      </c>
      <c r="G154" s="2" t="s">
        <v>20</v>
      </c>
    </row>
    <row r="155" spans="1:7">
      <c r="A155" s="2">
        <f t="shared" ca="1" si="2"/>
        <v>64</v>
      </c>
      <c r="B155" s="2" cm="1">
        <f t="array" aca="1" ref="B155" ca="1">INDEX(Data_DBD!$E:$E,$A155)</f>
        <v>0</v>
      </c>
      <c r="C155" s="2" t="str" cm="1">
        <f t="array" aca="1" ref="C155" ca="1">INDEX(Data_DBD!$F:$F,$A155)</f>
        <v>Sedang</v>
      </c>
      <c r="E155" s="2">
        <v>104</v>
      </c>
      <c r="F155" s="2">
        <v>1</v>
      </c>
      <c r="G155" s="2" t="s">
        <v>97</v>
      </c>
    </row>
    <row r="156" spans="1:7">
      <c r="A156" s="2">
        <f t="shared" ca="1" si="2"/>
        <v>17</v>
      </c>
      <c r="B156" s="2" cm="1">
        <f t="array" aca="1" ref="B156" ca="1">INDEX(Data_DBD!$E:$E,$A156)</f>
        <v>0</v>
      </c>
      <c r="C156" s="2" t="str" cm="1">
        <f t="array" aca="1" ref="C156" ca="1">INDEX(Data_DBD!$F:$F,$A156)</f>
        <v>Rendah</v>
      </c>
      <c r="E156" s="2">
        <v>114</v>
      </c>
      <c r="F156" s="2">
        <v>1</v>
      </c>
      <c r="G156" s="2" t="s">
        <v>97</v>
      </c>
    </row>
    <row r="157" spans="1:7">
      <c r="A157" s="2">
        <f t="shared" ca="1" si="2"/>
        <v>64</v>
      </c>
      <c r="B157" s="2" cm="1">
        <f t="array" aca="1" ref="B157" ca="1">INDEX(Data_DBD!$E:$E,$A157)</f>
        <v>0</v>
      </c>
      <c r="C157" s="2" t="str" cm="1">
        <f t="array" aca="1" ref="C157" ca="1">INDEX(Data_DBD!$F:$F,$A157)</f>
        <v>Sedang</v>
      </c>
      <c r="E157" s="2">
        <v>164</v>
      </c>
      <c r="F157" s="2">
        <v>0</v>
      </c>
      <c r="G157" s="2" t="s">
        <v>20</v>
      </c>
    </row>
    <row r="158" spans="1:7">
      <c r="A158" s="2">
        <f t="shared" ca="1" si="2"/>
        <v>4</v>
      </c>
      <c r="B158" s="2" cm="1">
        <f t="array" aca="1" ref="B158" ca="1">INDEX(Data_DBD!$E:$E,$A158)</f>
        <v>0</v>
      </c>
      <c r="C158" s="2" t="str" cm="1">
        <f t="array" aca="1" ref="C158" ca="1">INDEX(Data_DBD!$F:$F,$A158)</f>
        <v>Sedang</v>
      </c>
      <c r="E158" s="2">
        <v>136</v>
      </c>
      <c r="F158" s="2">
        <v>0</v>
      </c>
      <c r="G158" s="2" t="s">
        <v>97</v>
      </c>
    </row>
    <row r="159" spans="1:7">
      <c r="A159" s="2">
        <f t="shared" ca="1" si="2"/>
        <v>17</v>
      </c>
      <c r="B159" s="2" cm="1">
        <f t="array" aca="1" ref="B159" ca="1">INDEX(Data_DBD!$E:$E,$A159)</f>
        <v>0</v>
      </c>
      <c r="C159" s="2" t="str" cm="1">
        <f t="array" aca="1" ref="C159" ca="1">INDEX(Data_DBD!$F:$F,$A159)</f>
        <v>Rendah</v>
      </c>
      <c r="E159" s="2">
        <v>150</v>
      </c>
      <c r="F159" s="2">
        <v>1</v>
      </c>
      <c r="G159" s="2" t="s">
        <v>97</v>
      </c>
    </row>
    <row r="160" spans="1:7">
      <c r="A160" s="2">
        <f t="shared" ca="1" si="2"/>
        <v>55</v>
      </c>
      <c r="B160" s="2" cm="1">
        <f t="array" aca="1" ref="B160" ca="1">INDEX(Data_DBD!$E:$E,$A160)</f>
        <v>1</v>
      </c>
      <c r="C160" s="2" t="str" cm="1">
        <f t="array" aca="1" ref="C160" ca="1">INDEX(Data_DBD!$F:$F,$A160)</f>
        <v>Sedang</v>
      </c>
      <c r="E160" s="2">
        <v>6</v>
      </c>
      <c r="F160" s="2">
        <v>0</v>
      </c>
      <c r="G160" s="2" t="s">
        <v>7</v>
      </c>
    </row>
    <row r="161" spans="1:7">
      <c r="A161" s="2">
        <f t="shared" ca="1" si="2"/>
        <v>77</v>
      </c>
      <c r="B161" s="2" cm="1">
        <f t="array" aca="1" ref="B161" ca="1">INDEX(Data_DBD!$E:$E,$A161)</f>
        <v>1</v>
      </c>
      <c r="C161" s="2" t="str" cm="1">
        <f t="array" aca="1" ref="C161" ca="1">INDEX(Data_DBD!$F:$F,$A161)</f>
        <v>Sedang</v>
      </c>
      <c r="E161" s="2">
        <v>137</v>
      </c>
      <c r="F161" s="2">
        <v>1</v>
      </c>
      <c r="G161" s="2" t="s">
        <v>97</v>
      </c>
    </row>
    <row r="162" spans="1:7">
      <c r="A162" s="2">
        <f t="shared" ca="1" si="2"/>
        <v>116</v>
      </c>
      <c r="B162" s="2" cm="1">
        <f t="array" aca="1" ref="B162" ca="1">INDEX(Data_DBD!$E:$E,$A162)</f>
        <v>1</v>
      </c>
      <c r="C162" s="2" t="str" cm="1">
        <f t="array" aca="1" ref="C162" ca="1">INDEX(Data_DBD!$F:$F,$A162)</f>
        <v>Tinggi</v>
      </c>
      <c r="E162" s="2">
        <v>20</v>
      </c>
      <c r="F162" s="2">
        <v>0</v>
      </c>
      <c r="G162" s="2" t="s">
        <v>20</v>
      </c>
    </row>
    <row r="163" spans="1:7">
      <c r="A163" s="2">
        <f t="shared" ca="1" si="2"/>
        <v>136</v>
      </c>
      <c r="B163" s="2" cm="1">
        <f t="array" aca="1" ref="B163" ca="1">INDEX(Data_DBD!$E:$E,$A163)</f>
        <v>0</v>
      </c>
      <c r="C163" s="2" t="str" cm="1">
        <f t="array" aca="1" ref="C163" ca="1">INDEX(Data_DBD!$F:$F,$A163)</f>
        <v>Tinggi</v>
      </c>
      <c r="E163" s="2">
        <v>74</v>
      </c>
      <c r="F163" s="2">
        <v>0</v>
      </c>
      <c r="G163" s="2" t="s">
        <v>7</v>
      </c>
    </row>
    <row r="164" spans="1:7">
      <c r="A164" s="2">
        <f t="shared" ca="1" si="2"/>
        <v>34</v>
      </c>
      <c r="B164" s="2" cm="1">
        <f t="array" aca="1" ref="B164" ca="1">INDEX(Data_DBD!$E:$E,$A164)</f>
        <v>0</v>
      </c>
      <c r="C164" s="2" t="str" cm="1">
        <f t="array" aca="1" ref="C164" ca="1">INDEX(Data_DBD!$F:$F,$A164)</f>
        <v>Sedang</v>
      </c>
      <c r="E164" s="2">
        <v>136</v>
      </c>
      <c r="F164" s="2">
        <v>0</v>
      </c>
      <c r="G164" s="2" t="s">
        <v>97</v>
      </c>
    </row>
    <row r="165" spans="1:7">
      <c r="F165" s="10">
        <f>AVERAGE(F2:F164)</f>
        <v>0.53987730061349692</v>
      </c>
    </row>
    <row r="166" spans="1:7">
      <c r="B166">
        <v>2</v>
      </c>
    </row>
    <row r="168" spans="1:7">
      <c r="E168" s="5" t="s">
        <v>178</v>
      </c>
    </row>
    <row r="169" spans="1:7">
      <c r="E169" s="2" t="s">
        <v>181</v>
      </c>
      <c r="F169" s="2">
        <f>AVERAGEIF($F$2:$F$164,"&lt;="&amp;$F$165)</f>
        <v>0</v>
      </c>
      <c r="G169" s="2">
        <f>AVERAGEIF($F$2:$F$164,"&gt;"&amp;$F$165)</f>
        <v>1</v>
      </c>
    </row>
    <row r="170" spans="1:7">
      <c r="E170" s="2" t="str" cm="1">
        <f t="array" ref="E170:E332">IF($F$2:$F$164&lt;$F$169,"kiri",IF($F$2:$F$164&lt;$G$169,"tengah","kanan"))</f>
        <v>kanan</v>
      </c>
      <c r="F170" s="2" t="s">
        <v>185</v>
      </c>
      <c r="G170" s="2"/>
    </row>
    <row r="171" spans="1:7">
      <c r="E171" s="2" t="str">
        <v>tengah</v>
      </c>
      <c r="F171" s="2">
        <f>COUNTIFS($E$170:$E$332,"Kanan",$G$2:$G$164,"Tinggi")</f>
        <v>35</v>
      </c>
      <c r="G171" s="2">
        <f>F171/88</f>
        <v>0.39772727272727271</v>
      </c>
    </row>
    <row r="172" spans="1:7">
      <c r="E172" s="2" t="str">
        <v>kanan</v>
      </c>
      <c r="F172" s="2">
        <f>COUNTIFS($E$170:$E$332,"Kanan",$G$2:$G$164,"Sedang")</f>
        <v>43</v>
      </c>
      <c r="G172" s="2">
        <f>F172/88</f>
        <v>0.48863636363636365</v>
      </c>
    </row>
    <row r="173" spans="1:7">
      <c r="E173" s="2" t="str">
        <v>tengah</v>
      </c>
      <c r="F173" s="2">
        <f>COUNTIFS($E$170:$E$332,"Kanan",$G$2:$G$164,"Rendah")</f>
        <v>10</v>
      </c>
      <c r="G173" s="2">
        <f>F173/88</f>
        <v>0.11363636363636363</v>
      </c>
    </row>
    <row r="174" spans="1:7">
      <c r="E174" s="2" t="str">
        <v>kanan</v>
      </c>
      <c r="F174" s="2" t="s">
        <v>186</v>
      </c>
      <c r="G174" s="2">
        <f>-(IFERROR(G171*LOG(G171,2),0)+IFERROR(G172*LOG(G172,2),0)+IFERROR(G173*LOG(G173,2),0))</f>
        <v>1.3904137664311875</v>
      </c>
    </row>
    <row r="175" spans="1:7">
      <c r="E175" s="2" t="str">
        <v>kanan</v>
      </c>
      <c r="F175" s="2"/>
      <c r="G175" s="2">
        <f>SUM(F171:F173)/163</f>
        <v>0.53987730061349692</v>
      </c>
    </row>
    <row r="176" spans="1:7">
      <c r="E176" s="2" t="str">
        <v>kanan</v>
      </c>
      <c r="F176" s="2"/>
      <c r="G176" s="6">
        <f>G174*G175</f>
        <v>0.75065283095671476</v>
      </c>
    </row>
    <row r="177" spans="5:7">
      <c r="E177" s="2" t="str">
        <v>kanan</v>
      </c>
      <c r="F177" s="2"/>
      <c r="G177" s="2"/>
    </row>
    <row r="178" spans="5:7">
      <c r="E178" s="2" t="str">
        <v>tengah</v>
      </c>
      <c r="F178" s="2"/>
      <c r="G178" s="2"/>
    </row>
    <row r="179" spans="5:7">
      <c r="E179" s="2" t="str">
        <v>kanan</v>
      </c>
      <c r="F179" s="2" t="s">
        <v>190</v>
      </c>
      <c r="G179" s="2"/>
    </row>
    <row r="180" spans="5:7">
      <c r="E180" s="2" t="str">
        <v>kanan</v>
      </c>
      <c r="F180" s="2">
        <f>COUNTIFS($E$170:$E$332,"Kiri",$G$2:$G$164,"Tinggi")</f>
        <v>0</v>
      </c>
      <c r="G180" s="2">
        <f>F180/88</f>
        <v>0</v>
      </c>
    </row>
    <row r="181" spans="5:7">
      <c r="E181" s="2" t="str">
        <v>kanan</v>
      </c>
      <c r="F181" s="2">
        <f>COUNTIFS($E$170:$E$332,"Kiri",$G$2:$G$164,"Sedang")</f>
        <v>0</v>
      </c>
      <c r="G181" s="2">
        <f>F181/88</f>
        <v>0</v>
      </c>
    </row>
    <row r="182" spans="5:7">
      <c r="E182" s="2" t="str">
        <v>kanan</v>
      </c>
      <c r="F182" s="2">
        <f>COUNTIFS($E$170:$E$332,"Kiri",$G$2:$G$164,"Rendah")</f>
        <v>0</v>
      </c>
      <c r="G182" s="2">
        <f>F182/88</f>
        <v>0</v>
      </c>
    </row>
    <row r="183" spans="5:7">
      <c r="E183" s="2" t="str">
        <v>tengah</v>
      </c>
      <c r="F183" s="2" t="s">
        <v>186</v>
      </c>
      <c r="G183" s="2">
        <f>-(IFERROR(G180*LOG(G180,2),0)+IFERROR(G181*LOG(G181,2),0)+IFERROR(G182*LOG(G182,2),0))</f>
        <v>0</v>
      </c>
    </row>
    <row r="184" spans="5:7">
      <c r="E184" s="2" t="str">
        <v>tengah</v>
      </c>
      <c r="F184" s="2"/>
      <c r="G184" s="2">
        <f>SUM(F180:F182)/163</f>
        <v>0</v>
      </c>
    </row>
    <row r="185" spans="5:7">
      <c r="E185" s="2" t="str">
        <v>tengah</v>
      </c>
      <c r="F185" s="2"/>
      <c r="G185" s="6">
        <f>G183*G184</f>
        <v>0</v>
      </c>
    </row>
    <row r="186" spans="5:7">
      <c r="E186" s="2" t="str">
        <v>kanan</v>
      </c>
      <c r="F186" s="2"/>
      <c r="G186" s="2"/>
    </row>
    <row r="187" spans="5:7">
      <c r="E187" s="2" t="str">
        <v>tengah</v>
      </c>
      <c r="F187" s="2"/>
      <c r="G187" s="2"/>
    </row>
    <row r="188" spans="5:7">
      <c r="E188" s="2" t="str">
        <v>tengah</v>
      </c>
      <c r="F188" s="2" t="s">
        <v>191</v>
      </c>
      <c r="G188" s="2"/>
    </row>
    <row r="189" spans="5:7">
      <c r="E189" s="2" t="str">
        <v>kanan</v>
      </c>
      <c r="F189" s="2">
        <f>COUNTIFS($E$170:$E$332,"Tengah",$G$2:$G$164,"Tinggi")</f>
        <v>27</v>
      </c>
      <c r="G189" s="2">
        <f>F189/75</f>
        <v>0.36</v>
      </c>
    </row>
    <row r="190" spans="5:7">
      <c r="E190" s="2" t="str">
        <v>tengah</v>
      </c>
      <c r="F190" s="2">
        <f>COUNTIFS($E$170:$E$332,"Tengah",$G$2:$G$164,"Sedang")</f>
        <v>40</v>
      </c>
      <c r="G190" s="2">
        <f>F190/75</f>
        <v>0.53333333333333333</v>
      </c>
    </row>
    <row r="191" spans="5:7">
      <c r="E191" s="2" t="str">
        <v>tengah</v>
      </c>
      <c r="F191" s="2">
        <f>COUNTIFS($E$170:$E$332,"Tengah",$G$2:$G$164,"Rendah")</f>
        <v>8</v>
      </c>
      <c r="G191" s="2">
        <f>F191/75</f>
        <v>0.10666666666666667</v>
      </c>
    </row>
    <row r="192" spans="5:7">
      <c r="E192" s="2" t="str">
        <v>kanan</v>
      </c>
      <c r="F192" s="2" t="s">
        <v>186</v>
      </c>
      <c r="G192" s="2">
        <f>-(IFERROR(G189*LOG(G189,2),0)+IFERROR(G190*LOG(G190,2),0)+IFERROR(G191*LOG(G191,2),0))</f>
        <v>1.358697539110439</v>
      </c>
    </row>
    <row r="193" spans="5:7">
      <c r="E193" s="2" t="str">
        <v>kanan</v>
      </c>
      <c r="F193" s="2"/>
      <c r="G193" s="2">
        <f>SUM(F189:F191)/163</f>
        <v>0.46012269938650308</v>
      </c>
    </row>
    <row r="194" spans="5:7">
      <c r="E194" s="2" t="str">
        <v>tengah</v>
      </c>
      <c r="F194" s="2"/>
      <c r="G194" s="6">
        <f>G192*G193</f>
        <v>0.62516757934529399</v>
      </c>
    </row>
    <row r="195" spans="5:7">
      <c r="E195" s="2" t="str">
        <v>tengah</v>
      </c>
      <c r="F195" s="2"/>
      <c r="G195" s="2"/>
    </row>
    <row r="196" spans="5:7">
      <c r="E196" s="2" t="str">
        <v>kanan</v>
      </c>
      <c r="F196" s="2" t="s">
        <v>192</v>
      </c>
      <c r="G196" s="2"/>
    </row>
    <row r="197" spans="5:7">
      <c r="E197" s="2" t="str">
        <v>kanan</v>
      </c>
      <c r="F197" s="7">
        <f>J5-(G176+G185+G194)</f>
        <v>1.4531790717520199E-3</v>
      </c>
      <c r="G197" s="2"/>
    </row>
    <row r="198" spans="5:7">
      <c r="E198" s="2" t="str">
        <v>kanan</v>
      </c>
      <c r="F198" s="2"/>
      <c r="G198" s="2"/>
    </row>
    <row r="199" spans="5:7">
      <c r="E199" s="2" t="str">
        <v>tengah</v>
      </c>
      <c r="F199" s="2"/>
      <c r="G199" s="2"/>
    </row>
    <row r="200" spans="5:7">
      <c r="E200" s="2" t="str">
        <v>kanan</v>
      </c>
      <c r="F200" s="2"/>
      <c r="G200" s="2"/>
    </row>
    <row r="201" spans="5:7">
      <c r="E201" s="2" t="str">
        <v>kanan</v>
      </c>
      <c r="F201" s="2"/>
      <c r="G201" s="2"/>
    </row>
    <row r="202" spans="5:7">
      <c r="E202" s="2" t="str">
        <v>kanan</v>
      </c>
      <c r="F202" s="2"/>
      <c r="G202" s="2"/>
    </row>
    <row r="203" spans="5:7">
      <c r="E203" s="2" t="str">
        <v>tengah</v>
      </c>
      <c r="F203" s="2"/>
      <c r="G203" s="2"/>
    </row>
    <row r="204" spans="5:7">
      <c r="E204" s="2" t="str">
        <v>tengah</v>
      </c>
      <c r="F204" s="2"/>
      <c r="G204" s="2"/>
    </row>
    <row r="205" spans="5:7">
      <c r="E205" s="2" t="str">
        <v>kanan</v>
      </c>
      <c r="F205" s="2"/>
      <c r="G205" s="2"/>
    </row>
    <row r="206" spans="5:7">
      <c r="E206" s="2" t="str">
        <v>kanan</v>
      </c>
      <c r="F206" s="2"/>
      <c r="G206" s="2"/>
    </row>
    <row r="207" spans="5:7">
      <c r="E207" s="2" t="str">
        <v>tengah</v>
      </c>
      <c r="F207" s="2"/>
      <c r="G207" s="2"/>
    </row>
    <row r="208" spans="5:7">
      <c r="E208" s="2" t="str">
        <v>kanan</v>
      </c>
      <c r="F208" s="2"/>
      <c r="G208" s="2"/>
    </row>
    <row r="209" spans="5:7">
      <c r="E209" s="2" t="str">
        <v>kanan</v>
      </c>
      <c r="F209" s="2"/>
      <c r="G209" s="2"/>
    </row>
    <row r="210" spans="5:7">
      <c r="E210" s="2" t="str">
        <v>tengah</v>
      </c>
      <c r="F210" s="2"/>
      <c r="G210" s="2"/>
    </row>
    <row r="211" spans="5:7">
      <c r="E211" s="2" t="str">
        <v>kanan</v>
      </c>
      <c r="F211" s="2"/>
      <c r="G211" s="2"/>
    </row>
    <row r="212" spans="5:7">
      <c r="E212" s="2" t="str">
        <v>tengah</v>
      </c>
      <c r="F212" s="2"/>
      <c r="G212" s="2"/>
    </row>
    <row r="213" spans="5:7">
      <c r="E213" s="2" t="str">
        <v>kanan</v>
      </c>
      <c r="F213" s="2"/>
      <c r="G213" s="2"/>
    </row>
    <row r="214" spans="5:7">
      <c r="E214" s="2" t="str">
        <v>tengah</v>
      </c>
      <c r="F214" s="2"/>
      <c r="G214" s="2"/>
    </row>
    <row r="215" spans="5:7">
      <c r="E215" s="2" t="str">
        <v>tengah</v>
      </c>
      <c r="F215" s="2"/>
      <c r="G215" s="2"/>
    </row>
    <row r="216" spans="5:7">
      <c r="E216" s="2" t="str">
        <v>kanan</v>
      </c>
      <c r="F216" s="2"/>
      <c r="G216" s="2"/>
    </row>
    <row r="217" spans="5:7">
      <c r="E217" s="2" t="str">
        <v>tengah</v>
      </c>
      <c r="F217" s="2"/>
      <c r="G217" s="2"/>
    </row>
    <row r="218" spans="5:7">
      <c r="E218" s="2" t="str">
        <v>tengah</v>
      </c>
      <c r="F218" s="2"/>
      <c r="G218" s="2"/>
    </row>
    <row r="219" spans="5:7">
      <c r="E219" s="2" t="str">
        <v>tengah</v>
      </c>
      <c r="F219" s="2"/>
      <c r="G219" s="2"/>
    </row>
    <row r="220" spans="5:7">
      <c r="E220" s="2" t="str">
        <v>kanan</v>
      </c>
      <c r="F220" s="2"/>
      <c r="G220" s="2"/>
    </row>
    <row r="221" spans="5:7">
      <c r="E221" s="2" t="str">
        <v>tengah</v>
      </c>
      <c r="F221" s="2"/>
      <c r="G221" s="2"/>
    </row>
    <row r="222" spans="5:7">
      <c r="E222" s="2" t="str">
        <v>kanan</v>
      </c>
      <c r="F222" s="2"/>
      <c r="G222" s="2"/>
    </row>
    <row r="223" spans="5:7">
      <c r="E223" s="2" t="str">
        <v>kanan</v>
      </c>
      <c r="F223" s="2"/>
      <c r="G223" s="2"/>
    </row>
    <row r="224" spans="5:7">
      <c r="E224" s="2" t="str">
        <v>kanan</v>
      </c>
      <c r="F224" s="2"/>
      <c r="G224" s="2"/>
    </row>
    <row r="225" spans="5:7">
      <c r="E225" s="2" t="str">
        <v>kanan</v>
      </c>
      <c r="F225" s="2"/>
      <c r="G225" s="2"/>
    </row>
    <row r="226" spans="5:7">
      <c r="E226" s="2" t="str">
        <v>kanan</v>
      </c>
      <c r="F226" s="2"/>
      <c r="G226" s="2"/>
    </row>
    <row r="227" spans="5:7">
      <c r="E227" s="2" t="str">
        <v>tengah</v>
      </c>
      <c r="F227" s="2"/>
      <c r="G227" s="2"/>
    </row>
    <row r="228" spans="5:7">
      <c r="E228" s="2" t="str">
        <v>tengah</v>
      </c>
      <c r="F228" s="2"/>
      <c r="G228" s="2"/>
    </row>
    <row r="229" spans="5:7">
      <c r="E229" s="2" t="str">
        <v>kanan</v>
      </c>
      <c r="F229" s="2"/>
      <c r="G229" s="2"/>
    </row>
    <row r="230" spans="5:7">
      <c r="E230" s="2" t="str">
        <v>tengah</v>
      </c>
      <c r="F230" s="2"/>
      <c r="G230" s="2"/>
    </row>
    <row r="231" spans="5:7">
      <c r="E231" s="2" t="str">
        <v>tengah</v>
      </c>
      <c r="F231" s="2"/>
      <c r="G231" s="2"/>
    </row>
    <row r="232" spans="5:7">
      <c r="E232" s="2" t="str">
        <v>tengah</v>
      </c>
      <c r="F232" s="2"/>
      <c r="G232" s="2"/>
    </row>
    <row r="233" spans="5:7">
      <c r="E233" s="2" t="str">
        <v>kanan</v>
      </c>
      <c r="F233" s="2"/>
      <c r="G233" s="2"/>
    </row>
    <row r="234" spans="5:7">
      <c r="E234" s="2" t="str">
        <v>kanan</v>
      </c>
      <c r="F234" s="2"/>
      <c r="G234" s="2"/>
    </row>
    <row r="235" spans="5:7">
      <c r="E235" s="2" t="str">
        <v>kanan</v>
      </c>
      <c r="F235" s="2"/>
      <c r="G235" s="2"/>
    </row>
    <row r="236" spans="5:7">
      <c r="E236" s="2" t="str">
        <v>kanan</v>
      </c>
      <c r="F236" s="2"/>
      <c r="G236" s="2"/>
    </row>
    <row r="237" spans="5:7">
      <c r="E237" s="2" t="str">
        <v>tengah</v>
      </c>
      <c r="F237" s="2"/>
      <c r="G237" s="2"/>
    </row>
    <row r="238" spans="5:7">
      <c r="E238" s="2" t="str">
        <v>tengah</v>
      </c>
      <c r="F238" s="2"/>
      <c r="G238" s="2"/>
    </row>
    <row r="239" spans="5:7">
      <c r="E239" s="2" t="str">
        <v>kanan</v>
      </c>
      <c r="F239" s="2"/>
      <c r="G239" s="2"/>
    </row>
    <row r="240" spans="5:7">
      <c r="E240" s="2" t="str">
        <v>kanan</v>
      </c>
      <c r="F240" s="2"/>
      <c r="G240" s="2"/>
    </row>
    <row r="241" spans="5:7">
      <c r="E241" s="2" t="str">
        <v>tengah</v>
      </c>
      <c r="F241" s="2"/>
      <c r="G241" s="2"/>
    </row>
    <row r="242" spans="5:7">
      <c r="E242" s="2" t="str">
        <v>tengah</v>
      </c>
      <c r="F242" s="2"/>
      <c r="G242" s="2"/>
    </row>
    <row r="243" spans="5:7">
      <c r="E243" s="2" t="str">
        <v>kanan</v>
      </c>
      <c r="F243" s="2"/>
      <c r="G243" s="2"/>
    </row>
    <row r="244" spans="5:7">
      <c r="E244" s="2" t="str">
        <v>tengah</v>
      </c>
      <c r="F244" s="2"/>
      <c r="G244" s="2"/>
    </row>
    <row r="245" spans="5:7">
      <c r="E245" s="2" t="str">
        <v>kanan</v>
      </c>
      <c r="F245" s="2"/>
      <c r="G245" s="2"/>
    </row>
    <row r="246" spans="5:7">
      <c r="E246" s="2" t="str">
        <v>kanan</v>
      </c>
      <c r="F246" s="2"/>
      <c r="G246" s="2"/>
    </row>
    <row r="247" spans="5:7">
      <c r="E247" s="2" t="str">
        <v>tengah</v>
      </c>
      <c r="F247" s="2"/>
      <c r="G247" s="2"/>
    </row>
    <row r="248" spans="5:7">
      <c r="E248" s="2" t="str">
        <v>kanan</v>
      </c>
      <c r="F248" s="2"/>
      <c r="G248" s="2"/>
    </row>
    <row r="249" spans="5:7">
      <c r="E249" s="2" t="str">
        <v>tengah</v>
      </c>
      <c r="F249" s="2"/>
      <c r="G249" s="2"/>
    </row>
    <row r="250" spans="5:7">
      <c r="E250" s="2" t="str">
        <v>tengah</v>
      </c>
      <c r="F250" s="2"/>
      <c r="G250" s="2"/>
    </row>
    <row r="251" spans="5:7">
      <c r="E251" s="2" t="str">
        <v>kanan</v>
      </c>
      <c r="F251" s="2"/>
      <c r="G251" s="2"/>
    </row>
    <row r="252" spans="5:7">
      <c r="E252" s="2" t="str">
        <v>tengah</v>
      </c>
      <c r="F252" s="2"/>
      <c r="G252" s="2"/>
    </row>
    <row r="253" spans="5:7">
      <c r="E253" s="2" t="str">
        <v>kanan</v>
      </c>
      <c r="F253" s="2"/>
      <c r="G253" s="2"/>
    </row>
    <row r="254" spans="5:7">
      <c r="E254" s="2" t="str">
        <v>tengah</v>
      </c>
      <c r="F254" s="2"/>
      <c r="G254" s="2"/>
    </row>
    <row r="255" spans="5:7">
      <c r="E255" s="2" t="str">
        <v>tengah</v>
      </c>
      <c r="F255" s="2"/>
      <c r="G255" s="2"/>
    </row>
    <row r="256" spans="5:7">
      <c r="E256" s="2" t="str">
        <v>kanan</v>
      </c>
      <c r="F256" s="2"/>
      <c r="G256" s="2"/>
    </row>
    <row r="257" spans="5:7">
      <c r="E257" s="2" t="str">
        <v>tengah</v>
      </c>
      <c r="F257" s="2"/>
      <c r="G257" s="2"/>
    </row>
    <row r="258" spans="5:7">
      <c r="E258" s="2" t="str">
        <v>kanan</v>
      </c>
      <c r="F258" s="2"/>
      <c r="G258" s="2"/>
    </row>
    <row r="259" spans="5:7">
      <c r="E259" s="2" t="str">
        <v>tengah</v>
      </c>
      <c r="F259" s="2"/>
      <c r="G259" s="2"/>
    </row>
    <row r="260" spans="5:7">
      <c r="E260" s="2" t="str">
        <v>kanan</v>
      </c>
      <c r="F260" s="2"/>
      <c r="G260" s="2"/>
    </row>
    <row r="261" spans="5:7">
      <c r="E261" s="2" t="str">
        <v>kanan</v>
      </c>
      <c r="F261" s="2"/>
      <c r="G261" s="2"/>
    </row>
    <row r="262" spans="5:7">
      <c r="E262" s="2" t="str">
        <v>tengah</v>
      </c>
      <c r="F262" s="2"/>
      <c r="G262" s="2"/>
    </row>
    <row r="263" spans="5:7">
      <c r="E263" s="2" t="str">
        <v>kanan</v>
      </c>
      <c r="F263" s="2"/>
      <c r="G263" s="2"/>
    </row>
    <row r="264" spans="5:7">
      <c r="E264" s="2" t="str">
        <v>tengah</v>
      </c>
      <c r="F264" s="2"/>
      <c r="G264" s="2"/>
    </row>
    <row r="265" spans="5:7">
      <c r="E265" s="2" t="str">
        <v>tengah</v>
      </c>
      <c r="F265" s="2"/>
      <c r="G265" s="2"/>
    </row>
    <row r="266" spans="5:7">
      <c r="E266" s="2" t="str">
        <v>tengah</v>
      </c>
      <c r="F266" s="2"/>
      <c r="G266" s="2"/>
    </row>
    <row r="267" spans="5:7">
      <c r="E267" s="2" t="str">
        <v>kanan</v>
      </c>
      <c r="F267" s="2"/>
      <c r="G267" s="2"/>
    </row>
    <row r="268" spans="5:7">
      <c r="E268" s="2" t="str">
        <v>kanan</v>
      </c>
      <c r="F268" s="2"/>
      <c r="G268" s="2"/>
    </row>
    <row r="269" spans="5:7">
      <c r="E269" s="2" t="str">
        <v>kanan</v>
      </c>
      <c r="F269" s="2"/>
      <c r="G269" s="2"/>
    </row>
    <row r="270" spans="5:7">
      <c r="E270" s="2" t="str">
        <v>tengah</v>
      </c>
      <c r="F270" s="2"/>
      <c r="G270" s="2"/>
    </row>
    <row r="271" spans="5:7">
      <c r="E271" s="2" t="str">
        <v>kanan</v>
      </c>
      <c r="F271" s="2"/>
      <c r="G271" s="2"/>
    </row>
    <row r="272" spans="5:7">
      <c r="E272" s="2" t="str">
        <v>tengah</v>
      </c>
      <c r="F272" s="2"/>
      <c r="G272" s="2"/>
    </row>
    <row r="273" spans="5:7">
      <c r="E273" s="2" t="str">
        <v>tengah</v>
      </c>
      <c r="F273" s="2"/>
      <c r="G273" s="2"/>
    </row>
    <row r="274" spans="5:7">
      <c r="E274" s="2" t="str">
        <v>kanan</v>
      </c>
      <c r="F274" s="2"/>
      <c r="G274" s="2"/>
    </row>
    <row r="275" spans="5:7">
      <c r="E275" s="2" t="str">
        <v>tengah</v>
      </c>
      <c r="F275" s="2"/>
      <c r="G275" s="2"/>
    </row>
    <row r="276" spans="5:7">
      <c r="E276" s="2" t="str">
        <v>kanan</v>
      </c>
      <c r="F276" s="2"/>
      <c r="G276" s="2"/>
    </row>
    <row r="277" spans="5:7">
      <c r="E277" s="2" t="str">
        <v>kanan</v>
      </c>
      <c r="F277" s="2"/>
      <c r="G277" s="2"/>
    </row>
    <row r="278" spans="5:7">
      <c r="E278" s="2" t="str">
        <v>tengah</v>
      </c>
      <c r="F278" s="2"/>
      <c r="G278" s="2"/>
    </row>
    <row r="279" spans="5:7">
      <c r="E279" s="2" t="str">
        <v>kanan</v>
      </c>
      <c r="F279" s="2"/>
      <c r="G279" s="2"/>
    </row>
    <row r="280" spans="5:7">
      <c r="E280" s="2" t="str">
        <v>kanan</v>
      </c>
      <c r="F280" s="2"/>
      <c r="G280" s="2"/>
    </row>
    <row r="281" spans="5:7">
      <c r="E281" s="2" t="str">
        <v>tengah</v>
      </c>
      <c r="F281" s="2"/>
      <c r="G281" s="2"/>
    </row>
    <row r="282" spans="5:7">
      <c r="E282" s="2" t="str">
        <v>tengah</v>
      </c>
      <c r="F282" s="2"/>
      <c r="G282" s="2"/>
    </row>
    <row r="283" spans="5:7">
      <c r="E283" s="2" t="str">
        <v>tengah</v>
      </c>
      <c r="F283" s="2"/>
      <c r="G283" s="2"/>
    </row>
    <row r="284" spans="5:7">
      <c r="E284" s="2" t="str">
        <v>kanan</v>
      </c>
      <c r="F284" s="2"/>
      <c r="G284" s="2"/>
    </row>
    <row r="285" spans="5:7">
      <c r="E285" s="2" t="str">
        <v>kanan</v>
      </c>
      <c r="F285" s="2"/>
      <c r="G285" s="2"/>
    </row>
    <row r="286" spans="5:7">
      <c r="E286" s="2" t="str">
        <v>kanan</v>
      </c>
      <c r="F286" s="2"/>
      <c r="G286" s="2"/>
    </row>
    <row r="287" spans="5:7">
      <c r="E287" s="2" t="str">
        <v>kanan</v>
      </c>
      <c r="F287" s="2"/>
      <c r="G287" s="2"/>
    </row>
    <row r="288" spans="5:7">
      <c r="E288" s="2" t="str">
        <v>kanan</v>
      </c>
      <c r="F288" s="2"/>
      <c r="G288" s="2"/>
    </row>
    <row r="289" spans="5:7">
      <c r="E289" s="2" t="str">
        <v>tengah</v>
      </c>
      <c r="F289" s="2"/>
      <c r="G289" s="2"/>
    </row>
    <row r="290" spans="5:7">
      <c r="E290" s="2" t="str">
        <v>kanan</v>
      </c>
      <c r="F290" s="2"/>
      <c r="G290" s="2"/>
    </row>
    <row r="291" spans="5:7">
      <c r="E291" s="2" t="str">
        <v>kanan</v>
      </c>
      <c r="F291" s="2"/>
      <c r="G291" s="2"/>
    </row>
    <row r="292" spans="5:7">
      <c r="E292" s="2" t="str">
        <v>kanan</v>
      </c>
      <c r="F292" s="2"/>
      <c r="G292" s="2"/>
    </row>
    <row r="293" spans="5:7">
      <c r="E293" s="2" t="str">
        <v>tengah</v>
      </c>
      <c r="F293" s="2"/>
      <c r="G293" s="2"/>
    </row>
    <row r="294" spans="5:7">
      <c r="E294" s="2" t="str">
        <v>tengah</v>
      </c>
      <c r="F294" s="2"/>
      <c r="G294" s="2"/>
    </row>
    <row r="295" spans="5:7">
      <c r="E295" s="2" t="str">
        <v>kanan</v>
      </c>
      <c r="F295" s="2"/>
      <c r="G295" s="2"/>
    </row>
    <row r="296" spans="5:7">
      <c r="E296" s="2" t="str">
        <v>kanan</v>
      </c>
      <c r="F296" s="2"/>
      <c r="G296" s="2"/>
    </row>
    <row r="297" spans="5:7">
      <c r="E297" s="2" t="str">
        <v>kanan</v>
      </c>
      <c r="F297" s="2"/>
      <c r="G297" s="2"/>
    </row>
    <row r="298" spans="5:7">
      <c r="E298" s="2" t="str">
        <v>tengah</v>
      </c>
      <c r="F298" s="2"/>
      <c r="G298" s="2"/>
    </row>
    <row r="299" spans="5:7">
      <c r="E299" s="2" t="str">
        <v>kanan</v>
      </c>
      <c r="F299" s="2"/>
      <c r="G299" s="2"/>
    </row>
    <row r="300" spans="5:7">
      <c r="E300" s="2" t="str">
        <v>kanan</v>
      </c>
      <c r="F300" s="2"/>
      <c r="G300" s="2"/>
    </row>
    <row r="301" spans="5:7">
      <c r="E301" s="2" t="str">
        <v>tengah</v>
      </c>
      <c r="F301" s="2"/>
      <c r="G301" s="2"/>
    </row>
    <row r="302" spans="5:7">
      <c r="E302" s="2" t="str">
        <v>kanan</v>
      </c>
      <c r="F302" s="2"/>
      <c r="G302" s="2"/>
    </row>
    <row r="303" spans="5:7">
      <c r="E303" s="2" t="str">
        <v>tengah</v>
      </c>
      <c r="F303" s="2"/>
      <c r="G303" s="2"/>
    </row>
    <row r="304" spans="5:7">
      <c r="E304" s="2" t="str">
        <v>kanan</v>
      </c>
      <c r="F304" s="2"/>
      <c r="G304" s="2"/>
    </row>
    <row r="305" spans="5:7">
      <c r="E305" s="2" t="str">
        <v>kanan</v>
      </c>
      <c r="F305" s="2"/>
      <c r="G305" s="2"/>
    </row>
    <row r="306" spans="5:7">
      <c r="E306" s="2" t="str">
        <v>kanan</v>
      </c>
      <c r="F306" s="2"/>
      <c r="G306" s="2"/>
    </row>
    <row r="307" spans="5:7">
      <c r="E307" s="2" t="str">
        <v>tengah</v>
      </c>
      <c r="F307" s="2"/>
      <c r="G307" s="2"/>
    </row>
    <row r="308" spans="5:7">
      <c r="E308" s="2" t="str">
        <v>tengah</v>
      </c>
      <c r="F308" s="2"/>
      <c r="G308" s="2"/>
    </row>
    <row r="309" spans="5:7">
      <c r="E309" s="2" t="str">
        <v>kanan</v>
      </c>
      <c r="F309" s="2"/>
      <c r="G309" s="2"/>
    </row>
    <row r="310" spans="5:7">
      <c r="E310" s="2" t="str">
        <v>kanan</v>
      </c>
      <c r="F310" s="2"/>
      <c r="G310" s="2"/>
    </row>
    <row r="311" spans="5:7">
      <c r="E311" s="2" t="str">
        <v>tengah</v>
      </c>
      <c r="F311" s="2"/>
      <c r="G311" s="2"/>
    </row>
    <row r="312" spans="5:7">
      <c r="E312" s="2" t="str">
        <v>kanan</v>
      </c>
      <c r="F312" s="2"/>
      <c r="G312" s="2"/>
    </row>
    <row r="313" spans="5:7">
      <c r="E313" s="2" t="str">
        <v>kanan</v>
      </c>
      <c r="F313" s="2"/>
      <c r="G313" s="2"/>
    </row>
    <row r="314" spans="5:7">
      <c r="E314" s="2" t="str">
        <v>tengah</v>
      </c>
      <c r="F314" s="2"/>
      <c r="G314" s="2"/>
    </row>
    <row r="315" spans="5:7">
      <c r="E315" s="2" t="str">
        <v>kanan</v>
      </c>
      <c r="F315" s="2"/>
      <c r="G315" s="2"/>
    </row>
    <row r="316" spans="5:7">
      <c r="E316" s="2" t="str">
        <v>tengah</v>
      </c>
      <c r="F316" s="2"/>
      <c r="G316" s="2"/>
    </row>
    <row r="317" spans="5:7">
      <c r="E317" s="2" t="str">
        <v>tengah</v>
      </c>
      <c r="F317" s="2"/>
      <c r="G317" s="2"/>
    </row>
    <row r="318" spans="5:7">
      <c r="E318" s="2" t="str">
        <v>kanan</v>
      </c>
      <c r="F318" s="2"/>
      <c r="G318" s="2"/>
    </row>
    <row r="319" spans="5:7">
      <c r="E319" s="2" t="str">
        <v>tengah</v>
      </c>
      <c r="F319" s="2"/>
      <c r="G319" s="2"/>
    </row>
    <row r="320" spans="5:7">
      <c r="E320" s="2" t="str">
        <v>tengah</v>
      </c>
      <c r="F320" s="2"/>
      <c r="G320" s="2"/>
    </row>
    <row r="321" spans="5:7">
      <c r="E321" s="2" t="str">
        <v>kanan</v>
      </c>
      <c r="F321" s="2"/>
      <c r="G321" s="2"/>
    </row>
    <row r="322" spans="5:7">
      <c r="E322" s="2" t="str">
        <v>tengah</v>
      </c>
      <c r="F322" s="2"/>
      <c r="G322" s="2"/>
    </row>
    <row r="323" spans="5:7">
      <c r="E323" s="2" t="str">
        <v>kanan</v>
      </c>
      <c r="F323" s="2"/>
      <c r="G323" s="2"/>
    </row>
    <row r="324" spans="5:7">
      <c r="E324" s="2" t="str">
        <v>kanan</v>
      </c>
      <c r="F324" s="2"/>
      <c r="G324" s="2"/>
    </row>
    <row r="325" spans="5:7">
      <c r="E325" s="2" t="str">
        <v>tengah</v>
      </c>
      <c r="F325" s="2"/>
      <c r="G325" s="2"/>
    </row>
    <row r="326" spans="5:7">
      <c r="E326" s="2" t="str">
        <v>tengah</v>
      </c>
      <c r="F326" s="2"/>
      <c r="G326" s="2"/>
    </row>
    <row r="327" spans="5:7">
      <c r="E327" s="2" t="str">
        <v>kanan</v>
      </c>
      <c r="F327" s="2"/>
      <c r="G327" s="2"/>
    </row>
    <row r="328" spans="5:7">
      <c r="E328" s="2" t="str">
        <v>tengah</v>
      </c>
      <c r="F328" s="2"/>
      <c r="G328" s="2"/>
    </row>
    <row r="329" spans="5:7">
      <c r="E329" s="2" t="str">
        <v>kanan</v>
      </c>
      <c r="F329" s="2"/>
      <c r="G329" s="2"/>
    </row>
    <row r="330" spans="5:7">
      <c r="E330" s="2" t="str">
        <v>tengah</v>
      </c>
      <c r="F330" s="2"/>
      <c r="G330" s="2"/>
    </row>
    <row r="331" spans="5:7">
      <c r="E331" s="2" t="str">
        <v>tengah</v>
      </c>
      <c r="F331" s="2"/>
      <c r="G331" s="2"/>
    </row>
    <row r="332" spans="5:7">
      <c r="E332" s="2" t="str">
        <v>tengah</v>
      </c>
      <c r="F332" s="2"/>
      <c r="G332" s="2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415CF-57D6-4BE3-9DBF-0CCF1EB2E763}">
  <dimension ref="A1:V332"/>
  <sheetViews>
    <sheetView topLeftCell="M154" zoomScale="93" zoomScaleNormal="93" workbookViewId="0">
      <selection activeCell="Y158" sqref="Y158"/>
    </sheetView>
  </sheetViews>
  <sheetFormatPr defaultRowHeight="15"/>
  <cols>
    <col min="3" max="3" width="15.85546875" bestFit="1" customWidth="1"/>
    <col min="4" max="4" width="22" bestFit="1" customWidth="1"/>
    <col min="5" max="5" width="13.28515625" bestFit="1" customWidth="1"/>
    <col min="6" max="6" width="13.85546875" bestFit="1" customWidth="1"/>
    <col min="10" max="10" width="15.85546875" bestFit="1" customWidth="1"/>
    <col min="11" max="11" width="22" bestFit="1" customWidth="1"/>
    <col min="12" max="12" width="13.28515625" bestFit="1" customWidth="1"/>
    <col min="13" max="13" width="13.85546875" bestFit="1" customWidth="1"/>
    <col min="15" max="15" width="26.42578125" bestFit="1" customWidth="1"/>
    <col min="16" max="16" width="13.140625" bestFit="1" customWidth="1"/>
  </cols>
  <sheetData>
    <row r="1" spans="1:17">
      <c r="A1" s="1" t="s">
        <v>171</v>
      </c>
      <c r="B1" s="1" t="s">
        <v>1</v>
      </c>
      <c r="C1" s="1" t="s">
        <v>2</v>
      </c>
      <c r="D1" s="1" t="s">
        <v>172</v>
      </c>
      <c r="E1" s="1" t="s">
        <v>4</v>
      </c>
      <c r="F1" s="1" t="s">
        <v>5</v>
      </c>
      <c r="H1" s="2" t="s">
        <v>171</v>
      </c>
      <c r="I1" s="2" t="s">
        <v>1</v>
      </c>
      <c r="J1" s="2" t="s">
        <v>2</v>
      </c>
      <c r="K1" s="2" t="s">
        <v>172</v>
      </c>
      <c r="L1" s="2" t="s">
        <v>4</v>
      </c>
      <c r="M1" s="2" t="s">
        <v>5</v>
      </c>
      <c r="O1" s="1" t="s">
        <v>173</v>
      </c>
      <c r="P1" s="3"/>
      <c r="Q1" s="3"/>
    </row>
    <row r="2" spans="1:17">
      <c r="A2" s="2">
        <f ca="1">RANDBETWEEN(2,164)</f>
        <v>152</v>
      </c>
      <c r="B2" s="2" cm="1">
        <f t="array" aca="1" ref="B2" ca="1">INDEX(Data_DBD!$B:$B,$A2)</f>
        <v>47</v>
      </c>
      <c r="C2" s="2" cm="1">
        <f t="array" aca="1" ref="C2" ca="1">INDEX(Data_DBD!$C:$C,$A2)</f>
        <v>3</v>
      </c>
      <c r="D2" s="2" cm="1">
        <f t="array" aca="1" ref="D2" ca="1">INDEX(Data_DBD!$D:$D,$A2)</f>
        <v>21</v>
      </c>
      <c r="E2" s="2" cm="1">
        <f t="array" aca="1" ref="E2" ca="1">INDEX(Data_DBD!$E:$E,$A2)</f>
        <v>1</v>
      </c>
      <c r="F2" s="2" t="str" cm="1">
        <f t="array" aca="1" ref="F2" ca="1">INDEX(Data_DBD!$F:$F,$A2)</f>
        <v>Tinggi</v>
      </c>
      <c r="H2" s="2">
        <v>98</v>
      </c>
      <c r="I2" s="2">
        <v>16</v>
      </c>
      <c r="J2" s="2">
        <v>2</v>
      </c>
      <c r="K2" s="2">
        <v>18</v>
      </c>
      <c r="L2" s="2">
        <v>1</v>
      </c>
      <c r="M2" s="2" t="s">
        <v>97</v>
      </c>
      <c r="O2" s="3" t="s">
        <v>97</v>
      </c>
      <c r="P2" s="3">
        <f>COUNTIF(M2:M164,"Tinggi")</f>
        <v>73</v>
      </c>
      <c r="Q2" s="3">
        <f>P2/163</f>
        <v>0.44785276073619634</v>
      </c>
    </row>
    <row r="3" spans="1:17">
      <c r="A3" s="2">
        <f t="shared" ref="A3:A66" ca="1" si="0">RANDBETWEEN(2,164)</f>
        <v>12</v>
      </c>
      <c r="B3" s="2" cm="1">
        <f t="array" aca="1" ref="B3" ca="1">INDEX(Data_DBD!$B:$B,$A3)</f>
        <v>23</v>
      </c>
      <c r="C3" s="2" cm="1">
        <f t="array" aca="1" ref="C3" ca="1">INDEX(Data_DBD!$C:$C,$A3)</f>
        <v>3</v>
      </c>
      <c r="D3" s="2" cm="1">
        <f t="array" aca="1" ref="D3" ca="1">INDEX(Data_DBD!$D:$D,$A3)</f>
        <v>12</v>
      </c>
      <c r="E3" s="2" cm="1">
        <f t="array" aca="1" ref="E3" ca="1">INDEX(Data_DBD!$E:$E,$A3)</f>
        <v>0</v>
      </c>
      <c r="F3" s="2" t="str" cm="1">
        <f t="array" aca="1" ref="F3" ca="1">INDEX(Data_DBD!$F:$F,$A3)</f>
        <v>Sedang</v>
      </c>
      <c r="H3" s="2">
        <v>109</v>
      </c>
      <c r="I3" s="2">
        <v>40</v>
      </c>
      <c r="J3" s="2">
        <v>3</v>
      </c>
      <c r="K3" s="2">
        <v>33</v>
      </c>
      <c r="L3" s="2">
        <v>1</v>
      </c>
      <c r="M3" s="2" t="s">
        <v>97</v>
      </c>
      <c r="O3" s="3" t="s">
        <v>7</v>
      </c>
      <c r="P3" s="3">
        <f>COUNTIF(M2:M164,"Sedang")</f>
        <v>72</v>
      </c>
      <c r="Q3" s="3">
        <f>P3/163</f>
        <v>0.44171779141104295</v>
      </c>
    </row>
    <row r="4" spans="1:17">
      <c r="A4" s="2">
        <f t="shared" ca="1" si="0"/>
        <v>93</v>
      </c>
      <c r="B4" s="2" cm="1">
        <f t="array" aca="1" ref="B4" ca="1">INDEX(Data_DBD!$B:$B,$A4)</f>
        <v>65</v>
      </c>
      <c r="C4" s="2" cm="1">
        <f t="array" aca="1" ref="C4" ca="1">INDEX(Data_DBD!$C:$C,$A4)</f>
        <v>4</v>
      </c>
      <c r="D4" s="2" cm="1">
        <f t="array" aca="1" ref="D4" ca="1">INDEX(Data_DBD!$D:$D,$A4)</f>
        <v>18</v>
      </c>
      <c r="E4" s="2" cm="1">
        <f t="array" aca="1" ref="E4" ca="1">INDEX(Data_DBD!$E:$E,$A4)</f>
        <v>0</v>
      </c>
      <c r="F4" s="2" t="str" cm="1">
        <f t="array" aca="1" ref="F4" ca="1">INDEX(Data_DBD!$F:$F,$A4)</f>
        <v>Tinggi</v>
      </c>
      <c r="H4" s="2">
        <v>38</v>
      </c>
      <c r="I4" s="2">
        <v>52</v>
      </c>
      <c r="J4" s="2">
        <v>3</v>
      </c>
      <c r="K4" s="2">
        <v>4</v>
      </c>
      <c r="L4" s="2">
        <v>1</v>
      </c>
      <c r="M4" s="2" t="s">
        <v>20</v>
      </c>
      <c r="O4" s="3" t="s">
        <v>20</v>
      </c>
      <c r="P4" s="3">
        <f>COUNTIF(M2:M164,"Rendah")</f>
        <v>18</v>
      </c>
      <c r="Q4" s="3">
        <f>P4/163</f>
        <v>0.11042944785276074</v>
      </c>
    </row>
    <row r="5" spans="1:17">
      <c r="A5" s="2">
        <f t="shared" ca="1" si="0"/>
        <v>93</v>
      </c>
      <c r="B5" s="2" cm="1">
        <f t="array" aca="1" ref="B5" ca="1">INDEX(Data_DBD!$B:$B,$A5)</f>
        <v>65</v>
      </c>
      <c r="C5" s="2" cm="1">
        <f t="array" aca="1" ref="C5" ca="1">INDEX(Data_DBD!$C:$C,$A5)</f>
        <v>4</v>
      </c>
      <c r="D5" s="2" cm="1">
        <f t="array" aca="1" ref="D5" ca="1">INDEX(Data_DBD!$D:$D,$A5)</f>
        <v>18</v>
      </c>
      <c r="E5" s="2" cm="1">
        <f t="array" aca="1" ref="E5" ca="1">INDEX(Data_DBD!$E:$E,$A5)</f>
        <v>0</v>
      </c>
      <c r="F5" s="2" t="str" cm="1">
        <f t="array" aca="1" ref="F5" ca="1">INDEX(Data_DBD!$F:$F,$A5)</f>
        <v>Tinggi</v>
      </c>
      <c r="H5" s="2">
        <v>116</v>
      </c>
      <c r="I5" s="2">
        <v>32</v>
      </c>
      <c r="J5" s="2">
        <v>4</v>
      </c>
      <c r="K5" s="2">
        <v>33</v>
      </c>
      <c r="L5" s="2">
        <v>1</v>
      </c>
      <c r="M5" s="2" t="s">
        <v>97</v>
      </c>
      <c r="O5" s="4" t="s">
        <v>174</v>
      </c>
      <c r="P5">
        <f>-(IFERROR(Q2*LOG(Q2,2),0)+IFERROR(Q3*LOG(Q3,2),0)+IFERROR(Q4*LOG(Q4,2),0))</f>
        <v>1.390749976758382</v>
      </c>
    </row>
    <row r="6" spans="1:17">
      <c r="A6" s="2">
        <f t="shared" ca="1" si="0"/>
        <v>87</v>
      </c>
      <c r="B6" s="2" cm="1">
        <f t="array" aca="1" ref="B6" ca="1">INDEX(Data_DBD!$B:$B,$A6)</f>
        <v>21</v>
      </c>
      <c r="C6" s="2" cm="1">
        <f t="array" aca="1" ref="C6" ca="1">INDEX(Data_DBD!$C:$C,$A6)</f>
        <v>3</v>
      </c>
      <c r="D6" s="2" cm="1">
        <f t="array" aca="1" ref="D6" ca="1">INDEX(Data_DBD!$D:$D,$A6)</f>
        <v>13</v>
      </c>
      <c r="E6" s="2" cm="1">
        <f t="array" aca="1" ref="E6" ca="1">INDEX(Data_DBD!$E:$E,$A6)</f>
        <v>0</v>
      </c>
      <c r="F6" s="2" t="str" cm="1">
        <f t="array" aca="1" ref="F6" ca="1">INDEX(Data_DBD!$F:$F,$A6)</f>
        <v>Sedang</v>
      </c>
      <c r="H6" s="2">
        <v>126</v>
      </c>
      <c r="I6" s="2">
        <v>51</v>
      </c>
      <c r="J6" s="2">
        <v>3</v>
      </c>
      <c r="K6" s="2">
        <v>33</v>
      </c>
      <c r="L6" s="2">
        <v>1</v>
      </c>
      <c r="M6" s="2" t="s">
        <v>97</v>
      </c>
    </row>
    <row r="7" spans="1:17">
      <c r="A7" s="2">
        <f t="shared" ca="1" si="0"/>
        <v>145</v>
      </c>
      <c r="B7" s="2" cm="1">
        <f t="array" aca="1" ref="B7" ca="1">INDEX(Data_DBD!$B:$B,$A7)</f>
        <v>28</v>
      </c>
      <c r="C7" s="2" cm="1">
        <f t="array" aca="1" ref="C7" ca="1">INDEX(Data_DBD!$C:$C,$A7)</f>
        <v>4</v>
      </c>
      <c r="D7" s="2" cm="1">
        <f t="array" aca="1" ref="D7" ca="1">INDEX(Data_DBD!$D:$D,$A7)</f>
        <v>21</v>
      </c>
      <c r="E7" s="2" cm="1">
        <f t="array" aca="1" ref="E7" ca="1">INDEX(Data_DBD!$E:$E,$A7)</f>
        <v>1</v>
      </c>
      <c r="F7" s="2" t="str" cm="1">
        <f t="array" aca="1" ref="F7" ca="1">INDEX(Data_DBD!$F:$F,$A7)</f>
        <v>Tinggi</v>
      </c>
      <c r="H7" s="2">
        <v>156</v>
      </c>
      <c r="I7" s="2">
        <v>5</v>
      </c>
      <c r="J7" s="2">
        <v>2</v>
      </c>
      <c r="K7" s="2">
        <v>21</v>
      </c>
      <c r="L7" s="2">
        <v>0</v>
      </c>
      <c r="M7" s="2" t="s">
        <v>97</v>
      </c>
    </row>
    <row r="8" spans="1:17">
      <c r="A8" s="2">
        <f t="shared" ca="1" si="0"/>
        <v>69</v>
      </c>
      <c r="B8" s="2" cm="1">
        <f t="array" aca="1" ref="B8" ca="1">INDEX(Data_DBD!$B:$B,$A8)</f>
        <v>24</v>
      </c>
      <c r="C8" s="2" cm="1">
        <f t="array" aca="1" ref="C8" ca="1">INDEX(Data_DBD!$C:$C,$A8)</f>
        <v>4</v>
      </c>
      <c r="D8" s="2" cm="1">
        <f t="array" aca="1" ref="D8" ca="1">INDEX(Data_DBD!$D:$D,$A8)</f>
        <v>10</v>
      </c>
      <c r="E8" s="2" cm="1">
        <f t="array" aca="1" ref="E8" ca="1">INDEX(Data_DBD!$E:$E,$A8)</f>
        <v>1</v>
      </c>
      <c r="F8" s="2" t="str" cm="1">
        <f t="array" aca="1" ref="F8" ca="1">INDEX(Data_DBD!$F:$F,$A8)</f>
        <v>Sedang</v>
      </c>
      <c r="H8" s="2">
        <v>90</v>
      </c>
      <c r="I8" s="2">
        <v>47</v>
      </c>
      <c r="J8" s="2">
        <v>3</v>
      </c>
      <c r="K8" s="2">
        <v>18</v>
      </c>
      <c r="L8" s="2">
        <v>0</v>
      </c>
      <c r="M8" s="2" t="s">
        <v>97</v>
      </c>
    </row>
    <row r="9" spans="1:17">
      <c r="A9" s="2">
        <f t="shared" ca="1" si="0"/>
        <v>15</v>
      </c>
      <c r="B9" s="2" cm="1">
        <f t="array" aca="1" ref="B9" ca="1">INDEX(Data_DBD!$B:$B,$A9)</f>
        <v>21</v>
      </c>
      <c r="C9" s="2" cm="1">
        <f t="array" aca="1" ref="C9" ca="1">INDEX(Data_DBD!$C:$C,$A9)</f>
        <v>2</v>
      </c>
      <c r="D9" s="2" cm="1">
        <f t="array" aca="1" ref="D9" ca="1">INDEX(Data_DBD!$D:$D,$A9)</f>
        <v>7</v>
      </c>
      <c r="E9" s="2" cm="1">
        <f t="array" aca="1" ref="E9" ca="1">INDEX(Data_DBD!$E:$E,$A9)</f>
        <v>0</v>
      </c>
      <c r="F9" s="2" t="str" cm="1">
        <f t="array" aca="1" ref="F9" ca="1">INDEX(Data_DBD!$F:$F,$A9)</f>
        <v>Rendah</v>
      </c>
      <c r="H9" s="2">
        <v>82</v>
      </c>
      <c r="I9" s="2">
        <v>28</v>
      </c>
      <c r="J9" s="2">
        <v>3</v>
      </c>
      <c r="K9" s="2">
        <v>13</v>
      </c>
      <c r="L9" s="2">
        <v>1</v>
      </c>
      <c r="M9" s="2" t="s">
        <v>7</v>
      </c>
    </row>
    <row r="10" spans="1:17">
      <c r="A10" s="2">
        <f t="shared" ca="1" si="0"/>
        <v>126</v>
      </c>
      <c r="B10" s="2" cm="1">
        <f t="array" aca="1" ref="B10" ca="1">INDEX(Data_DBD!$B:$B,$A10)</f>
        <v>51</v>
      </c>
      <c r="C10" s="2" cm="1">
        <f t="array" aca="1" ref="C10" ca="1">INDEX(Data_DBD!$C:$C,$A10)</f>
        <v>3</v>
      </c>
      <c r="D10" s="2" cm="1">
        <f t="array" aca="1" ref="D10" ca="1">INDEX(Data_DBD!$D:$D,$A10)</f>
        <v>33</v>
      </c>
      <c r="E10" s="2" cm="1">
        <f t="array" aca="1" ref="E10" ca="1">INDEX(Data_DBD!$E:$E,$A10)</f>
        <v>1</v>
      </c>
      <c r="F10" s="2" t="str" cm="1">
        <f t="array" aca="1" ref="F10" ca="1">INDEX(Data_DBD!$F:$F,$A10)</f>
        <v>Tinggi</v>
      </c>
      <c r="H10" s="2">
        <v>65</v>
      </c>
      <c r="I10" s="2">
        <v>49</v>
      </c>
      <c r="J10" s="2">
        <v>3</v>
      </c>
      <c r="K10" s="2">
        <v>15</v>
      </c>
      <c r="L10" s="2">
        <v>0</v>
      </c>
      <c r="M10" s="2" t="s">
        <v>7</v>
      </c>
    </row>
    <row r="11" spans="1:17">
      <c r="A11" s="2">
        <f t="shared" ca="1" si="0"/>
        <v>124</v>
      </c>
      <c r="B11" s="2" cm="1">
        <f t="array" aca="1" ref="B11" ca="1">INDEX(Data_DBD!$B:$B,$A11)</f>
        <v>24</v>
      </c>
      <c r="C11" s="2" cm="1">
        <f t="array" aca="1" ref="C11" ca="1">INDEX(Data_DBD!$C:$C,$A11)</f>
        <v>3</v>
      </c>
      <c r="D11" s="2" cm="1">
        <f t="array" aca="1" ref="D11" ca="1">INDEX(Data_DBD!$D:$D,$A11)</f>
        <v>33</v>
      </c>
      <c r="E11" s="2" cm="1">
        <f t="array" aca="1" ref="E11" ca="1">INDEX(Data_DBD!$E:$E,$A11)</f>
        <v>1</v>
      </c>
      <c r="F11" s="2" t="str" cm="1">
        <f t="array" aca="1" ref="F11" ca="1">INDEX(Data_DBD!$F:$F,$A11)</f>
        <v>Tinggi</v>
      </c>
      <c r="H11" s="2">
        <v>128</v>
      </c>
      <c r="I11" s="2">
        <v>38</v>
      </c>
      <c r="J11" s="2">
        <v>2</v>
      </c>
      <c r="K11" s="2">
        <v>33</v>
      </c>
      <c r="L11" s="2">
        <v>0</v>
      </c>
      <c r="M11" s="2" t="s">
        <v>97</v>
      </c>
    </row>
    <row r="12" spans="1:17">
      <c r="A12" s="2">
        <f t="shared" ca="1" si="0"/>
        <v>155</v>
      </c>
      <c r="B12" s="2" cm="1">
        <f t="array" aca="1" ref="B12" ca="1">INDEX(Data_DBD!$B:$B,$A12)</f>
        <v>19</v>
      </c>
      <c r="C12" s="2" cm="1">
        <f t="array" aca="1" ref="C12" ca="1">INDEX(Data_DBD!$C:$C,$A12)</f>
        <v>5</v>
      </c>
      <c r="D12" s="2" cm="1">
        <f t="array" aca="1" ref="D12" ca="1">INDEX(Data_DBD!$D:$D,$A12)</f>
        <v>21</v>
      </c>
      <c r="E12" s="2" cm="1">
        <f t="array" aca="1" ref="E12" ca="1">INDEX(Data_DBD!$E:$E,$A12)</f>
        <v>1</v>
      </c>
      <c r="F12" s="2" t="str" cm="1">
        <f t="array" aca="1" ref="F12" ca="1">INDEX(Data_DBD!$F:$F,$A12)</f>
        <v>Tinggi</v>
      </c>
      <c r="H12" s="2">
        <v>26</v>
      </c>
      <c r="I12" s="2">
        <v>75</v>
      </c>
      <c r="J12" s="2">
        <v>4</v>
      </c>
      <c r="K12" s="2">
        <v>14</v>
      </c>
      <c r="L12" s="2">
        <v>1</v>
      </c>
      <c r="M12" s="2" t="s">
        <v>7</v>
      </c>
    </row>
    <row r="13" spans="1:17">
      <c r="A13" s="2">
        <f t="shared" ca="1" si="0"/>
        <v>117</v>
      </c>
      <c r="B13" s="2" cm="1">
        <f t="array" aca="1" ref="B13" ca="1">INDEX(Data_DBD!$B:$B,$A13)</f>
        <v>49</v>
      </c>
      <c r="C13" s="2" cm="1">
        <f t="array" aca="1" ref="C13" ca="1">INDEX(Data_DBD!$C:$C,$A13)</f>
        <v>4</v>
      </c>
      <c r="D13" s="2" cm="1">
        <f t="array" aca="1" ref="D13" ca="1">INDEX(Data_DBD!$D:$D,$A13)</f>
        <v>33</v>
      </c>
      <c r="E13" s="2" cm="1">
        <f t="array" aca="1" ref="E13" ca="1">INDEX(Data_DBD!$E:$E,$A13)</f>
        <v>1</v>
      </c>
      <c r="F13" s="2" t="str" cm="1">
        <f t="array" aca="1" ref="F13" ca="1">INDEX(Data_DBD!$F:$F,$A13)</f>
        <v>Tinggi</v>
      </c>
      <c r="H13" s="2">
        <v>148</v>
      </c>
      <c r="I13" s="2">
        <v>55</v>
      </c>
      <c r="J13" s="2">
        <v>3</v>
      </c>
      <c r="K13" s="2">
        <v>21</v>
      </c>
      <c r="L13" s="2">
        <v>1</v>
      </c>
      <c r="M13" s="2" t="s">
        <v>97</v>
      </c>
    </row>
    <row r="14" spans="1:17">
      <c r="A14" s="2">
        <f t="shared" ca="1" si="0"/>
        <v>111</v>
      </c>
      <c r="B14" s="2" cm="1">
        <f t="array" aca="1" ref="B14" ca="1">INDEX(Data_DBD!$B:$B,$A14)</f>
        <v>25</v>
      </c>
      <c r="C14" s="2" cm="1">
        <f t="array" aca="1" ref="C14" ca="1">INDEX(Data_DBD!$C:$C,$A14)</f>
        <v>4</v>
      </c>
      <c r="D14" s="2" cm="1">
        <f t="array" aca="1" ref="D14" ca="1">INDEX(Data_DBD!$D:$D,$A14)</f>
        <v>33</v>
      </c>
      <c r="E14" s="2" cm="1">
        <f t="array" aca="1" ref="E14" ca="1">INDEX(Data_DBD!$E:$E,$A14)</f>
        <v>0</v>
      </c>
      <c r="F14" s="2" t="str" cm="1">
        <f t="array" aca="1" ref="F14" ca="1">INDEX(Data_DBD!$F:$F,$A14)</f>
        <v>Tinggi</v>
      </c>
      <c r="H14" s="2">
        <v>156</v>
      </c>
      <c r="I14" s="2">
        <v>5</v>
      </c>
      <c r="J14" s="2">
        <v>2</v>
      </c>
      <c r="K14" s="2">
        <v>21</v>
      </c>
      <c r="L14" s="2">
        <v>0</v>
      </c>
      <c r="M14" s="2" t="s">
        <v>97</v>
      </c>
    </row>
    <row r="15" spans="1:17">
      <c r="A15" s="2">
        <f t="shared" ca="1" si="0"/>
        <v>143</v>
      </c>
      <c r="B15" s="2" cm="1">
        <f t="array" aca="1" ref="B15" ca="1">INDEX(Data_DBD!$B:$B,$A15)</f>
        <v>20</v>
      </c>
      <c r="C15" s="2" cm="1">
        <f t="array" aca="1" ref="C15" ca="1">INDEX(Data_DBD!$C:$C,$A15)</f>
        <v>4</v>
      </c>
      <c r="D15" s="2" cm="1">
        <f t="array" aca="1" ref="D15" ca="1">INDEX(Data_DBD!$D:$D,$A15)</f>
        <v>21</v>
      </c>
      <c r="E15" s="2" cm="1">
        <f t="array" aca="1" ref="E15" ca="1">INDEX(Data_DBD!$E:$E,$A15)</f>
        <v>1</v>
      </c>
      <c r="F15" s="2" t="str" cm="1">
        <f t="array" aca="1" ref="F15" ca="1">INDEX(Data_DBD!$F:$F,$A15)</f>
        <v>Tinggi</v>
      </c>
      <c r="H15" s="2">
        <v>102</v>
      </c>
      <c r="I15" s="2">
        <v>41</v>
      </c>
      <c r="J15" s="2">
        <v>4</v>
      </c>
      <c r="K15" s="2">
        <v>18</v>
      </c>
      <c r="L15" s="2">
        <v>0</v>
      </c>
      <c r="M15" s="2" t="s">
        <v>97</v>
      </c>
    </row>
    <row r="16" spans="1:17">
      <c r="A16" s="2">
        <f t="shared" ca="1" si="0"/>
        <v>128</v>
      </c>
      <c r="B16" s="2" cm="1">
        <f t="array" aca="1" ref="B16" ca="1">INDEX(Data_DBD!$B:$B,$A16)</f>
        <v>38</v>
      </c>
      <c r="C16" s="2" cm="1">
        <f t="array" aca="1" ref="C16" ca="1">INDEX(Data_DBD!$C:$C,$A16)</f>
        <v>2</v>
      </c>
      <c r="D16" s="2" cm="1">
        <f t="array" aca="1" ref="D16" ca="1">INDEX(Data_DBD!$D:$D,$A16)</f>
        <v>33</v>
      </c>
      <c r="E16" s="2" cm="1">
        <f t="array" aca="1" ref="E16" ca="1">INDEX(Data_DBD!$E:$E,$A16)</f>
        <v>0</v>
      </c>
      <c r="F16" s="2" t="str" cm="1">
        <f t="array" aca="1" ref="F16" ca="1">INDEX(Data_DBD!$F:$F,$A16)</f>
        <v>Tinggi</v>
      </c>
      <c r="H16" s="2">
        <v>88</v>
      </c>
      <c r="I16" s="2">
        <v>20</v>
      </c>
      <c r="J16" s="2">
        <v>4</v>
      </c>
      <c r="K16" s="2">
        <v>13</v>
      </c>
      <c r="L16" s="2">
        <v>1</v>
      </c>
      <c r="M16" s="2" t="s">
        <v>7</v>
      </c>
    </row>
    <row r="17" spans="1:13">
      <c r="A17" s="2">
        <f t="shared" ca="1" si="0"/>
        <v>78</v>
      </c>
      <c r="B17" s="2" cm="1">
        <f t="array" aca="1" ref="B17" ca="1">INDEX(Data_DBD!$B:$B,$A17)</f>
        <v>6</v>
      </c>
      <c r="C17" s="2" cm="1">
        <f t="array" aca="1" ref="C17" ca="1">INDEX(Data_DBD!$C:$C,$A17)</f>
        <v>3</v>
      </c>
      <c r="D17" s="2" cm="1">
        <f t="array" aca="1" ref="D17" ca="1">INDEX(Data_DBD!$D:$D,$A17)</f>
        <v>13</v>
      </c>
      <c r="E17" s="2" cm="1">
        <f t="array" aca="1" ref="E17" ca="1">INDEX(Data_DBD!$E:$E,$A17)</f>
        <v>0</v>
      </c>
      <c r="F17" s="2" t="str" cm="1">
        <f t="array" aca="1" ref="F17" ca="1">INDEX(Data_DBD!$F:$F,$A17)</f>
        <v>Sedang</v>
      </c>
      <c r="H17" s="2">
        <v>111</v>
      </c>
      <c r="I17" s="2">
        <v>25</v>
      </c>
      <c r="J17" s="2">
        <v>4</v>
      </c>
      <c r="K17" s="2">
        <v>33</v>
      </c>
      <c r="L17" s="2">
        <v>0</v>
      </c>
      <c r="M17" s="2" t="s">
        <v>97</v>
      </c>
    </row>
    <row r="18" spans="1:13">
      <c r="A18" s="2">
        <f t="shared" ca="1" si="0"/>
        <v>22</v>
      </c>
      <c r="B18" s="2" cm="1">
        <f t="array" aca="1" ref="B18" ca="1">INDEX(Data_DBD!$B:$B,$A18)</f>
        <v>6</v>
      </c>
      <c r="C18" s="2" cm="1">
        <f t="array" aca="1" ref="C18" ca="1">INDEX(Data_DBD!$C:$C,$A18)</f>
        <v>3</v>
      </c>
      <c r="D18" s="2" cm="1">
        <f t="array" aca="1" ref="D18" ca="1">INDEX(Data_DBD!$D:$D,$A18)</f>
        <v>14</v>
      </c>
      <c r="E18" s="2" cm="1">
        <f t="array" aca="1" ref="E18" ca="1">INDEX(Data_DBD!$E:$E,$A18)</f>
        <v>0</v>
      </c>
      <c r="F18" s="2" t="str" cm="1">
        <f t="array" aca="1" ref="F18" ca="1">INDEX(Data_DBD!$F:$F,$A18)</f>
        <v>Sedang</v>
      </c>
      <c r="H18" s="2">
        <v>76</v>
      </c>
      <c r="I18" s="2">
        <v>70</v>
      </c>
      <c r="J18" s="2">
        <v>2</v>
      </c>
      <c r="K18" s="2">
        <v>10</v>
      </c>
      <c r="L18" s="2">
        <v>0</v>
      </c>
      <c r="M18" s="2" t="s">
        <v>7</v>
      </c>
    </row>
    <row r="19" spans="1:13">
      <c r="A19" s="2">
        <f t="shared" ca="1" si="0"/>
        <v>59</v>
      </c>
      <c r="B19" s="2" cm="1">
        <f t="array" aca="1" ref="B19" ca="1">INDEX(Data_DBD!$B:$B,$A19)</f>
        <v>28</v>
      </c>
      <c r="C19" s="2" cm="1">
        <f t="array" aca="1" ref="C19" ca="1">INDEX(Data_DBD!$C:$C,$A19)</f>
        <v>4</v>
      </c>
      <c r="D19" s="2" cm="1">
        <f t="array" aca="1" ref="D19" ca="1">INDEX(Data_DBD!$D:$D,$A19)</f>
        <v>15</v>
      </c>
      <c r="E19" s="2" cm="1">
        <f t="array" aca="1" ref="E19" ca="1">INDEX(Data_DBD!$E:$E,$A19)</f>
        <v>0</v>
      </c>
      <c r="F19" s="2" t="str" cm="1">
        <f t="array" aca="1" ref="F19" ca="1">INDEX(Data_DBD!$F:$F,$A19)</f>
        <v>Sedang</v>
      </c>
      <c r="H19" s="2">
        <v>43</v>
      </c>
      <c r="I19" s="2">
        <v>15</v>
      </c>
      <c r="J19" s="2">
        <v>4</v>
      </c>
      <c r="K19" s="2">
        <v>13</v>
      </c>
      <c r="L19" s="2">
        <v>0</v>
      </c>
      <c r="M19" s="2" t="s">
        <v>7</v>
      </c>
    </row>
    <row r="20" spans="1:13">
      <c r="A20" s="2">
        <f t="shared" ca="1" si="0"/>
        <v>98</v>
      </c>
      <c r="B20" s="2" cm="1">
        <f t="array" aca="1" ref="B20" ca="1">INDEX(Data_DBD!$B:$B,$A20)</f>
        <v>16</v>
      </c>
      <c r="C20" s="2" cm="1">
        <f t="array" aca="1" ref="C20" ca="1">INDEX(Data_DBD!$C:$C,$A20)</f>
        <v>2</v>
      </c>
      <c r="D20" s="2" cm="1">
        <f t="array" aca="1" ref="D20" ca="1">INDEX(Data_DBD!$D:$D,$A20)</f>
        <v>18</v>
      </c>
      <c r="E20" s="2" cm="1">
        <f t="array" aca="1" ref="E20" ca="1">INDEX(Data_DBD!$E:$E,$A20)</f>
        <v>1</v>
      </c>
      <c r="F20" s="2" t="str" cm="1">
        <f t="array" aca="1" ref="F20" ca="1">INDEX(Data_DBD!$F:$F,$A20)</f>
        <v>Tinggi</v>
      </c>
      <c r="H20" s="2">
        <v>26</v>
      </c>
      <c r="I20" s="2">
        <v>75</v>
      </c>
      <c r="J20" s="2">
        <v>4</v>
      </c>
      <c r="K20" s="2">
        <v>14</v>
      </c>
      <c r="L20" s="2">
        <v>1</v>
      </c>
      <c r="M20" s="2" t="s">
        <v>7</v>
      </c>
    </row>
    <row r="21" spans="1:13">
      <c r="A21" s="2">
        <f t="shared" ca="1" si="0"/>
        <v>114</v>
      </c>
      <c r="B21" s="2" cm="1">
        <f t="array" aca="1" ref="B21" ca="1">INDEX(Data_DBD!$B:$B,$A21)</f>
        <v>14</v>
      </c>
      <c r="C21" s="2" cm="1">
        <f t="array" aca="1" ref="C21" ca="1">INDEX(Data_DBD!$C:$C,$A21)</f>
        <v>2</v>
      </c>
      <c r="D21" s="2" cm="1">
        <f t="array" aca="1" ref="D21" ca="1">INDEX(Data_DBD!$D:$D,$A21)</f>
        <v>33</v>
      </c>
      <c r="E21" s="2" cm="1">
        <f t="array" aca="1" ref="E21" ca="1">INDEX(Data_DBD!$E:$E,$A21)</f>
        <v>1</v>
      </c>
      <c r="F21" s="2" t="str" cm="1">
        <f t="array" aca="1" ref="F21" ca="1">INDEX(Data_DBD!$F:$F,$A21)</f>
        <v>Tinggi</v>
      </c>
      <c r="H21" s="2">
        <v>83</v>
      </c>
      <c r="I21" s="2">
        <v>50</v>
      </c>
      <c r="J21" s="2">
        <v>3</v>
      </c>
      <c r="K21" s="2">
        <v>13</v>
      </c>
      <c r="L21" s="2">
        <v>0</v>
      </c>
      <c r="M21" s="2" t="s">
        <v>7</v>
      </c>
    </row>
    <row r="22" spans="1:13">
      <c r="A22" s="2">
        <f t="shared" ca="1" si="0"/>
        <v>13</v>
      </c>
      <c r="B22" s="2" cm="1">
        <f t="array" aca="1" ref="B22" ca="1">INDEX(Data_DBD!$B:$B,$A22)</f>
        <v>47</v>
      </c>
      <c r="C22" s="2" cm="1">
        <f t="array" aca="1" ref="C22" ca="1">INDEX(Data_DBD!$C:$C,$A22)</f>
        <v>2</v>
      </c>
      <c r="D22" s="2" cm="1">
        <f t="array" aca="1" ref="D22" ca="1">INDEX(Data_DBD!$D:$D,$A22)</f>
        <v>12</v>
      </c>
      <c r="E22" s="2" cm="1">
        <f t="array" aca="1" ref="E22" ca="1">INDEX(Data_DBD!$E:$E,$A22)</f>
        <v>0</v>
      </c>
      <c r="F22" s="2" t="str" cm="1">
        <f t="array" aca="1" ref="F22" ca="1">INDEX(Data_DBD!$F:$F,$A22)</f>
        <v>Sedang</v>
      </c>
      <c r="H22" s="2">
        <v>84</v>
      </c>
      <c r="I22" s="2">
        <v>42</v>
      </c>
      <c r="J22" s="2">
        <v>4</v>
      </c>
      <c r="K22" s="2">
        <v>13</v>
      </c>
      <c r="L22" s="2">
        <v>1</v>
      </c>
      <c r="M22" s="2" t="s">
        <v>7</v>
      </c>
    </row>
    <row r="23" spans="1:13">
      <c r="A23" s="2">
        <f t="shared" ca="1" si="0"/>
        <v>122</v>
      </c>
      <c r="B23" s="2" cm="1">
        <f t="array" aca="1" ref="B23" ca="1">INDEX(Data_DBD!$B:$B,$A23)</f>
        <v>28</v>
      </c>
      <c r="C23" s="2" cm="1">
        <f t="array" aca="1" ref="C23" ca="1">INDEX(Data_DBD!$C:$C,$A23)</f>
        <v>3</v>
      </c>
      <c r="D23" s="2" cm="1">
        <f t="array" aca="1" ref="D23" ca="1">INDEX(Data_DBD!$D:$D,$A23)</f>
        <v>33</v>
      </c>
      <c r="E23" s="2" cm="1">
        <f t="array" aca="1" ref="E23" ca="1">INDEX(Data_DBD!$E:$E,$A23)</f>
        <v>1</v>
      </c>
      <c r="F23" s="2" t="str" cm="1">
        <f t="array" aca="1" ref="F23" ca="1">INDEX(Data_DBD!$F:$F,$A23)</f>
        <v>Tinggi</v>
      </c>
      <c r="H23" s="2">
        <v>12</v>
      </c>
      <c r="I23" s="2">
        <v>23</v>
      </c>
      <c r="J23" s="2">
        <v>3</v>
      </c>
      <c r="K23" s="2">
        <v>12</v>
      </c>
      <c r="L23" s="2">
        <v>0</v>
      </c>
      <c r="M23" s="2" t="s">
        <v>7</v>
      </c>
    </row>
    <row r="24" spans="1:13">
      <c r="A24" s="2">
        <f t="shared" ca="1" si="0"/>
        <v>79</v>
      </c>
      <c r="B24" s="2" cm="1">
        <f t="array" aca="1" ref="B24" ca="1">INDEX(Data_DBD!$B:$B,$A24)</f>
        <v>29</v>
      </c>
      <c r="C24" s="2" cm="1">
        <f t="array" aca="1" ref="C24" ca="1">INDEX(Data_DBD!$C:$C,$A24)</f>
        <v>3</v>
      </c>
      <c r="D24" s="2" cm="1">
        <f t="array" aca="1" ref="D24" ca="1">INDEX(Data_DBD!$D:$D,$A24)</f>
        <v>13</v>
      </c>
      <c r="E24" s="2" cm="1">
        <f t="array" aca="1" ref="E24" ca="1">INDEX(Data_DBD!$E:$E,$A24)</f>
        <v>0</v>
      </c>
      <c r="F24" s="2" t="str" cm="1">
        <f t="array" aca="1" ref="F24" ca="1">INDEX(Data_DBD!$F:$F,$A24)</f>
        <v>Sedang</v>
      </c>
      <c r="H24" s="2">
        <v>43</v>
      </c>
      <c r="I24" s="2">
        <v>15</v>
      </c>
      <c r="J24" s="2">
        <v>4</v>
      </c>
      <c r="K24" s="2">
        <v>13</v>
      </c>
      <c r="L24" s="2">
        <v>0</v>
      </c>
      <c r="M24" s="2" t="s">
        <v>7</v>
      </c>
    </row>
    <row r="25" spans="1:13">
      <c r="A25" s="2">
        <f t="shared" ca="1" si="0"/>
        <v>105</v>
      </c>
      <c r="B25" s="2" cm="1">
        <f t="array" aca="1" ref="B25" ca="1">INDEX(Data_DBD!$B:$B,$A25)</f>
        <v>61</v>
      </c>
      <c r="C25" s="2" cm="1">
        <f t="array" aca="1" ref="C25" ca="1">INDEX(Data_DBD!$C:$C,$A25)</f>
        <v>3</v>
      </c>
      <c r="D25" s="2" cm="1">
        <f t="array" aca="1" ref="D25" ca="1">INDEX(Data_DBD!$D:$D,$A25)</f>
        <v>18</v>
      </c>
      <c r="E25" s="2" cm="1">
        <f t="array" aca="1" ref="E25" ca="1">INDEX(Data_DBD!$E:$E,$A25)</f>
        <v>1</v>
      </c>
      <c r="F25" s="2" t="str" cm="1">
        <f t="array" aca="1" ref="F25" ca="1">INDEX(Data_DBD!$F:$F,$A25)</f>
        <v>Tinggi</v>
      </c>
      <c r="H25" s="2">
        <v>90</v>
      </c>
      <c r="I25" s="2">
        <v>47</v>
      </c>
      <c r="J25" s="2">
        <v>3</v>
      </c>
      <c r="K25" s="2">
        <v>18</v>
      </c>
      <c r="L25" s="2">
        <v>0</v>
      </c>
      <c r="M25" s="2" t="s">
        <v>97</v>
      </c>
    </row>
    <row r="26" spans="1:13">
      <c r="A26" s="2">
        <f t="shared" ca="1" si="0"/>
        <v>152</v>
      </c>
      <c r="B26" s="2" cm="1">
        <f t="array" aca="1" ref="B26" ca="1">INDEX(Data_DBD!$B:$B,$A26)</f>
        <v>47</v>
      </c>
      <c r="C26" s="2" cm="1">
        <f t="array" aca="1" ref="C26" ca="1">INDEX(Data_DBD!$C:$C,$A26)</f>
        <v>3</v>
      </c>
      <c r="D26" s="2" cm="1">
        <f t="array" aca="1" ref="D26" ca="1">INDEX(Data_DBD!$D:$D,$A26)</f>
        <v>21</v>
      </c>
      <c r="E26" s="2" cm="1">
        <f t="array" aca="1" ref="E26" ca="1">INDEX(Data_DBD!$E:$E,$A26)</f>
        <v>1</v>
      </c>
      <c r="F26" s="2" t="str" cm="1">
        <f t="array" aca="1" ref="F26" ca="1">INDEX(Data_DBD!$F:$F,$A26)</f>
        <v>Tinggi</v>
      </c>
      <c r="H26" s="2">
        <v>16</v>
      </c>
      <c r="I26" s="2">
        <v>66</v>
      </c>
      <c r="J26" s="2">
        <v>5</v>
      </c>
      <c r="K26" s="2">
        <v>7</v>
      </c>
      <c r="L26" s="2">
        <v>1</v>
      </c>
      <c r="M26" s="2" t="s">
        <v>20</v>
      </c>
    </row>
    <row r="27" spans="1:13">
      <c r="A27" s="2">
        <f t="shared" ca="1" si="0"/>
        <v>108</v>
      </c>
      <c r="B27" s="2" cm="1">
        <f t="array" aca="1" ref="B27" ca="1">INDEX(Data_DBD!$B:$B,$A27)</f>
        <v>69</v>
      </c>
      <c r="C27" s="2" cm="1">
        <f t="array" aca="1" ref="C27" ca="1">INDEX(Data_DBD!$C:$C,$A27)</f>
        <v>7</v>
      </c>
      <c r="D27" s="2" cm="1">
        <f t="array" aca="1" ref="D27" ca="1">INDEX(Data_DBD!$D:$D,$A27)</f>
        <v>33</v>
      </c>
      <c r="E27" s="2" cm="1">
        <f t="array" aca="1" ref="E27" ca="1">INDEX(Data_DBD!$E:$E,$A27)</f>
        <v>1</v>
      </c>
      <c r="F27" s="2" t="str" cm="1">
        <f t="array" aca="1" ref="F27" ca="1">INDEX(Data_DBD!$F:$F,$A27)</f>
        <v>Tinggi</v>
      </c>
      <c r="H27" s="2">
        <v>29</v>
      </c>
      <c r="I27" s="2">
        <v>19</v>
      </c>
      <c r="J27" s="2">
        <v>2</v>
      </c>
      <c r="K27" s="2">
        <v>14</v>
      </c>
      <c r="L27" s="2">
        <v>1</v>
      </c>
      <c r="M27" s="2" t="s">
        <v>7</v>
      </c>
    </row>
    <row r="28" spans="1:13">
      <c r="A28" s="2">
        <f t="shared" ca="1" si="0"/>
        <v>17</v>
      </c>
      <c r="B28" s="2" cm="1">
        <f t="array" aca="1" ref="B28" ca="1">INDEX(Data_DBD!$B:$B,$A28)</f>
        <v>2</v>
      </c>
      <c r="C28" s="2" cm="1">
        <f t="array" aca="1" ref="C28" ca="1">INDEX(Data_DBD!$C:$C,$A28)</f>
        <v>3</v>
      </c>
      <c r="D28" s="2" cm="1">
        <f t="array" aca="1" ref="D28" ca="1">INDEX(Data_DBD!$D:$D,$A28)</f>
        <v>7</v>
      </c>
      <c r="E28" s="2" cm="1">
        <f t="array" aca="1" ref="E28" ca="1">INDEX(Data_DBD!$E:$E,$A28)</f>
        <v>0</v>
      </c>
      <c r="F28" s="2" t="str" cm="1">
        <f t="array" aca="1" ref="F28" ca="1">INDEX(Data_DBD!$F:$F,$A28)</f>
        <v>Rendah</v>
      </c>
      <c r="H28" s="2">
        <v>29</v>
      </c>
      <c r="I28" s="2">
        <v>19</v>
      </c>
      <c r="J28" s="2">
        <v>2</v>
      </c>
      <c r="K28" s="2">
        <v>14</v>
      </c>
      <c r="L28" s="2">
        <v>1</v>
      </c>
      <c r="M28" s="2" t="s">
        <v>7</v>
      </c>
    </row>
    <row r="29" spans="1:13">
      <c r="A29" s="2">
        <f t="shared" ca="1" si="0"/>
        <v>121</v>
      </c>
      <c r="B29" s="2" cm="1">
        <f t="array" aca="1" ref="B29" ca="1">INDEX(Data_DBD!$B:$B,$A29)</f>
        <v>82</v>
      </c>
      <c r="C29" s="2" cm="1">
        <f t="array" aca="1" ref="C29" ca="1">INDEX(Data_DBD!$C:$C,$A29)</f>
        <v>5</v>
      </c>
      <c r="D29" s="2" cm="1">
        <f t="array" aca="1" ref="D29" ca="1">INDEX(Data_DBD!$D:$D,$A29)</f>
        <v>33</v>
      </c>
      <c r="E29" s="2" cm="1">
        <f t="array" aca="1" ref="E29" ca="1">INDEX(Data_DBD!$E:$E,$A29)</f>
        <v>1</v>
      </c>
      <c r="F29" s="2" t="str" cm="1">
        <f t="array" aca="1" ref="F29" ca="1">INDEX(Data_DBD!$F:$F,$A29)</f>
        <v>Tinggi</v>
      </c>
      <c r="H29" s="2">
        <v>162</v>
      </c>
      <c r="I29" s="2">
        <v>22</v>
      </c>
      <c r="J29" s="2">
        <v>3</v>
      </c>
      <c r="K29" s="2">
        <v>3</v>
      </c>
      <c r="L29" s="2">
        <v>1</v>
      </c>
      <c r="M29" s="2" t="s">
        <v>20</v>
      </c>
    </row>
    <row r="30" spans="1:13">
      <c r="A30" s="2">
        <f t="shared" ca="1" si="0"/>
        <v>47</v>
      </c>
      <c r="B30" s="2" cm="1">
        <f t="array" aca="1" ref="B30" ca="1">INDEX(Data_DBD!$B:$B,$A30)</f>
        <v>19</v>
      </c>
      <c r="C30" s="2" cm="1">
        <f t="array" aca="1" ref="C30" ca="1">INDEX(Data_DBD!$C:$C,$A30)</f>
        <v>2</v>
      </c>
      <c r="D30" s="2" cm="1">
        <f t="array" aca="1" ref="D30" ca="1">INDEX(Data_DBD!$D:$D,$A30)</f>
        <v>13</v>
      </c>
      <c r="E30" s="2" cm="1">
        <f t="array" aca="1" ref="E30" ca="1">INDEX(Data_DBD!$E:$E,$A30)</f>
        <v>0</v>
      </c>
      <c r="F30" s="2" t="str" cm="1">
        <f t="array" aca="1" ref="F30" ca="1">INDEX(Data_DBD!$F:$F,$A30)</f>
        <v>Sedang</v>
      </c>
      <c r="H30" s="2">
        <v>31</v>
      </c>
      <c r="I30" s="2">
        <v>64</v>
      </c>
      <c r="J30" s="2">
        <v>4</v>
      </c>
      <c r="K30" s="2">
        <v>14</v>
      </c>
      <c r="L30" s="2">
        <v>1</v>
      </c>
      <c r="M30" s="2" t="s">
        <v>7</v>
      </c>
    </row>
    <row r="31" spans="1:13">
      <c r="A31" s="2">
        <f t="shared" ca="1" si="0"/>
        <v>39</v>
      </c>
      <c r="B31" s="2" cm="1">
        <f t="array" aca="1" ref="B31" ca="1">INDEX(Data_DBD!$B:$B,$A31)</f>
        <v>12</v>
      </c>
      <c r="C31" s="2" cm="1">
        <f t="array" aca="1" ref="C31" ca="1">INDEX(Data_DBD!$C:$C,$A31)</f>
        <v>5</v>
      </c>
      <c r="D31" s="2" cm="1">
        <f t="array" aca="1" ref="D31" ca="1">INDEX(Data_DBD!$D:$D,$A31)</f>
        <v>13</v>
      </c>
      <c r="E31" s="2" cm="1">
        <f t="array" aca="1" ref="E31" ca="1">INDEX(Data_DBD!$E:$E,$A31)</f>
        <v>1</v>
      </c>
      <c r="F31" s="2" t="str" cm="1">
        <f t="array" aca="1" ref="F31" ca="1">INDEX(Data_DBD!$F:$F,$A31)</f>
        <v>Sedang</v>
      </c>
      <c r="H31" s="2">
        <v>88</v>
      </c>
      <c r="I31" s="2">
        <v>20</v>
      </c>
      <c r="J31" s="2">
        <v>4</v>
      </c>
      <c r="K31" s="2">
        <v>13</v>
      </c>
      <c r="L31" s="2">
        <v>1</v>
      </c>
      <c r="M31" s="2" t="s">
        <v>7</v>
      </c>
    </row>
    <row r="32" spans="1:13">
      <c r="A32" s="2">
        <f t="shared" ca="1" si="0"/>
        <v>5</v>
      </c>
      <c r="B32" s="2" cm="1">
        <f t="array" aca="1" ref="B32" ca="1">INDEX(Data_DBD!$B:$B,$A32)</f>
        <v>18</v>
      </c>
      <c r="C32" s="2" cm="1">
        <f t="array" aca="1" ref="C32" ca="1">INDEX(Data_DBD!$C:$C,$A32)</f>
        <v>2</v>
      </c>
      <c r="D32" s="2" cm="1">
        <f t="array" aca="1" ref="D32" ca="1">INDEX(Data_DBD!$D:$D,$A32)</f>
        <v>12</v>
      </c>
      <c r="E32" s="2" cm="1">
        <f t="array" aca="1" ref="E32" ca="1">INDEX(Data_DBD!$E:$E,$A32)</f>
        <v>1</v>
      </c>
      <c r="F32" s="2" t="str" cm="1">
        <f t="array" aca="1" ref="F32" ca="1">INDEX(Data_DBD!$F:$F,$A32)</f>
        <v>Sedang</v>
      </c>
      <c r="H32" s="2">
        <v>127</v>
      </c>
      <c r="I32" s="2">
        <v>21</v>
      </c>
      <c r="J32" s="2">
        <v>2</v>
      </c>
      <c r="K32" s="2">
        <v>33</v>
      </c>
      <c r="L32" s="2">
        <v>0</v>
      </c>
      <c r="M32" s="2" t="s">
        <v>97</v>
      </c>
    </row>
    <row r="33" spans="1:13">
      <c r="A33" s="2">
        <f t="shared" ca="1" si="0"/>
        <v>94</v>
      </c>
      <c r="B33" s="2" cm="1">
        <f t="array" aca="1" ref="B33" ca="1">INDEX(Data_DBD!$B:$B,$A33)</f>
        <v>12</v>
      </c>
      <c r="C33" s="2" cm="1">
        <f t="array" aca="1" ref="C33" ca="1">INDEX(Data_DBD!$C:$C,$A33)</f>
        <v>4</v>
      </c>
      <c r="D33" s="2" cm="1">
        <f t="array" aca="1" ref="D33" ca="1">INDEX(Data_DBD!$D:$D,$A33)</f>
        <v>18</v>
      </c>
      <c r="E33" s="2" cm="1">
        <f t="array" aca="1" ref="E33" ca="1">INDEX(Data_DBD!$E:$E,$A33)</f>
        <v>0</v>
      </c>
      <c r="F33" s="2" t="str" cm="1">
        <f t="array" aca="1" ref="F33" ca="1">INDEX(Data_DBD!$F:$F,$A33)</f>
        <v>Tinggi</v>
      </c>
      <c r="H33" s="2">
        <v>58</v>
      </c>
      <c r="I33" s="2">
        <v>17</v>
      </c>
      <c r="J33" s="2">
        <v>3</v>
      </c>
      <c r="K33" s="2">
        <v>15</v>
      </c>
      <c r="L33" s="2">
        <v>0</v>
      </c>
      <c r="M33" s="2" t="s">
        <v>7</v>
      </c>
    </row>
    <row r="34" spans="1:13">
      <c r="A34" s="2">
        <f t="shared" ca="1" si="0"/>
        <v>86</v>
      </c>
      <c r="B34" s="2" cm="1">
        <f t="array" aca="1" ref="B34" ca="1">INDEX(Data_DBD!$B:$B,$A34)</f>
        <v>23</v>
      </c>
      <c r="C34" s="2" cm="1">
        <f t="array" aca="1" ref="C34" ca="1">INDEX(Data_DBD!$C:$C,$A34)</f>
        <v>3</v>
      </c>
      <c r="D34" s="2" cm="1">
        <f t="array" aca="1" ref="D34" ca="1">INDEX(Data_DBD!$D:$D,$A34)</f>
        <v>13</v>
      </c>
      <c r="E34" s="2" cm="1">
        <f t="array" aca="1" ref="E34" ca="1">INDEX(Data_DBD!$E:$E,$A34)</f>
        <v>0</v>
      </c>
      <c r="F34" s="2" t="str" cm="1">
        <f t="array" aca="1" ref="F34" ca="1">INDEX(Data_DBD!$F:$F,$A34)</f>
        <v>Sedang</v>
      </c>
      <c r="H34" s="2">
        <v>15</v>
      </c>
      <c r="I34" s="2">
        <v>21</v>
      </c>
      <c r="J34" s="2">
        <v>2</v>
      </c>
      <c r="K34" s="2">
        <v>7</v>
      </c>
      <c r="L34" s="2">
        <v>0</v>
      </c>
      <c r="M34" s="2" t="s">
        <v>20</v>
      </c>
    </row>
    <row r="35" spans="1:13">
      <c r="A35" s="2">
        <f t="shared" ca="1" si="0"/>
        <v>11</v>
      </c>
      <c r="B35" s="2" cm="1">
        <f t="array" aca="1" ref="B35" ca="1">INDEX(Data_DBD!$B:$B,$A35)</f>
        <v>24</v>
      </c>
      <c r="C35" s="2" cm="1">
        <f t="array" aca="1" ref="C35" ca="1">INDEX(Data_DBD!$C:$C,$A35)</f>
        <v>5</v>
      </c>
      <c r="D35" s="2" cm="1">
        <f t="array" aca="1" ref="D35" ca="1">INDEX(Data_DBD!$D:$D,$A35)</f>
        <v>12</v>
      </c>
      <c r="E35" s="2" cm="1">
        <f t="array" aca="1" ref="E35" ca="1">INDEX(Data_DBD!$E:$E,$A35)</f>
        <v>1</v>
      </c>
      <c r="F35" s="2" t="str" cm="1">
        <f t="array" aca="1" ref="F35" ca="1">INDEX(Data_DBD!$F:$F,$A35)</f>
        <v>Sedang</v>
      </c>
      <c r="H35" s="2">
        <v>60</v>
      </c>
      <c r="I35" s="2">
        <v>68</v>
      </c>
      <c r="J35" s="2">
        <v>4</v>
      </c>
      <c r="K35" s="2">
        <v>15</v>
      </c>
      <c r="L35" s="2">
        <v>0</v>
      </c>
      <c r="M35" s="2" t="s">
        <v>7</v>
      </c>
    </row>
    <row r="36" spans="1:13">
      <c r="A36" s="2">
        <f t="shared" ca="1" si="0"/>
        <v>109</v>
      </c>
      <c r="B36" s="2" cm="1">
        <f t="array" aca="1" ref="B36" ca="1">INDEX(Data_DBD!$B:$B,$A36)</f>
        <v>40</v>
      </c>
      <c r="C36" s="2" cm="1">
        <f t="array" aca="1" ref="C36" ca="1">INDEX(Data_DBD!$C:$C,$A36)</f>
        <v>3</v>
      </c>
      <c r="D36" s="2" cm="1">
        <f t="array" aca="1" ref="D36" ca="1">INDEX(Data_DBD!$D:$D,$A36)</f>
        <v>33</v>
      </c>
      <c r="E36" s="2" cm="1">
        <f t="array" aca="1" ref="E36" ca="1">INDEX(Data_DBD!$E:$E,$A36)</f>
        <v>1</v>
      </c>
      <c r="F36" s="2" t="str" cm="1">
        <f t="array" aca="1" ref="F36" ca="1">INDEX(Data_DBD!$F:$F,$A36)</f>
        <v>Tinggi</v>
      </c>
      <c r="H36" s="2">
        <v>157</v>
      </c>
      <c r="I36" s="2">
        <v>15</v>
      </c>
      <c r="J36" s="2">
        <v>4</v>
      </c>
      <c r="K36" s="2">
        <v>21</v>
      </c>
      <c r="L36" s="2">
        <v>1</v>
      </c>
      <c r="M36" s="2" t="s">
        <v>97</v>
      </c>
    </row>
    <row r="37" spans="1:13">
      <c r="A37" s="2">
        <f t="shared" ca="1" si="0"/>
        <v>151</v>
      </c>
      <c r="B37" s="2" cm="1">
        <f t="array" aca="1" ref="B37" ca="1">INDEX(Data_DBD!$B:$B,$A37)</f>
        <v>24</v>
      </c>
      <c r="C37" s="2" cm="1">
        <f t="array" aca="1" ref="C37" ca="1">INDEX(Data_DBD!$C:$C,$A37)</f>
        <v>3</v>
      </c>
      <c r="D37" s="2" cm="1">
        <f t="array" aca="1" ref="D37" ca="1">INDEX(Data_DBD!$D:$D,$A37)</f>
        <v>21</v>
      </c>
      <c r="E37" s="2" cm="1">
        <f t="array" aca="1" ref="E37" ca="1">INDEX(Data_DBD!$E:$E,$A37)</f>
        <v>0</v>
      </c>
      <c r="F37" s="2" t="str" cm="1">
        <f t="array" aca="1" ref="F37" ca="1">INDEX(Data_DBD!$F:$F,$A37)</f>
        <v>Tinggi</v>
      </c>
      <c r="H37" s="2">
        <v>95</v>
      </c>
      <c r="I37" s="2">
        <v>11</v>
      </c>
      <c r="J37" s="2">
        <v>3</v>
      </c>
      <c r="K37" s="2">
        <v>18</v>
      </c>
      <c r="L37" s="2">
        <v>1</v>
      </c>
      <c r="M37" s="2" t="s">
        <v>97</v>
      </c>
    </row>
    <row r="38" spans="1:13">
      <c r="A38" s="2">
        <f t="shared" ca="1" si="0"/>
        <v>120</v>
      </c>
      <c r="B38" s="2" cm="1">
        <f t="array" aca="1" ref="B38" ca="1">INDEX(Data_DBD!$B:$B,$A38)</f>
        <v>26</v>
      </c>
      <c r="C38" s="2" cm="1">
        <f t="array" aca="1" ref="C38" ca="1">INDEX(Data_DBD!$C:$C,$A38)</f>
        <v>4</v>
      </c>
      <c r="D38" s="2" cm="1">
        <f t="array" aca="1" ref="D38" ca="1">INDEX(Data_DBD!$D:$D,$A38)</f>
        <v>33</v>
      </c>
      <c r="E38" s="2" cm="1">
        <f t="array" aca="1" ref="E38" ca="1">INDEX(Data_DBD!$E:$E,$A38)</f>
        <v>1</v>
      </c>
      <c r="F38" s="2" t="str" cm="1">
        <f t="array" aca="1" ref="F38" ca="1">INDEX(Data_DBD!$F:$F,$A38)</f>
        <v>Tinggi</v>
      </c>
      <c r="H38" s="2">
        <v>55</v>
      </c>
      <c r="I38" s="2">
        <v>7</v>
      </c>
      <c r="J38" s="2">
        <v>4</v>
      </c>
      <c r="K38" s="2">
        <v>15</v>
      </c>
      <c r="L38" s="2">
        <v>1</v>
      </c>
      <c r="M38" s="2" t="s">
        <v>7</v>
      </c>
    </row>
    <row r="39" spans="1:13">
      <c r="A39" s="2">
        <f t="shared" ca="1" si="0"/>
        <v>8</v>
      </c>
      <c r="B39" s="2" cm="1">
        <f t="array" aca="1" ref="B39" ca="1">INDEX(Data_DBD!$B:$B,$A39)</f>
        <v>4</v>
      </c>
      <c r="C39" s="2" cm="1">
        <f t="array" aca="1" ref="C39" ca="1">INDEX(Data_DBD!$C:$C,$A39)</f>
        <v>2</v>
      </c>
      <c r="D39" s="2" cm="1">
        <f t="array" aca="1" ref="D39" ca="1">INDEX(Data_DBD!$D:$D,$A39)</f>
        <v>12</v>
      </c>
      <c r="E39" s="2" cm="1">
        <f t="array" aca="1" ref="E39" ca="1">INDEX(Data_DBD!$E:$E,$A39)</f>
        <v>0</v>
      </c>
      <c r="F39" s="2" t="str" cm="1">
        <f t="array" aca="1" ref="F39" ca="1">INDEX(Data_DBD!$F:$F,$A39)</f>
        <v>Sedang</v>
      </c>
      <c r="H39" s="2">
        <v>110</v>
      </c>
      <c r="I39" s="2">
        <v>42</v>
      </c>
      <c r="J39" s="2">
        <v>2</v>
      </c>
      <c r="K39" s="2">
        <v>33</v>
      </c>
      <c r="L39" s="2">
        <v>1</v>
      </c>
      <c r="M39" s="2" t="s">
        <v>97</v>
      </c>
    </row>
    <row r="40" spans="1:13">
      <c r="A40" s="2">
        <f t="shared" ca="1" si="0"/>
        <v>109</v>
      </c>
      <c r="B40" s="2" cm="1">
        <f t="array" aca="1" ref="B40" ca="1">INDEX(Data_DBD!$B:$B,$A40)</f>
        <v>40</v>
      </c>
      <c r="C40" s="2" cm="1">
        <f t="array" aca="1" ref="C40" ca="1">INDEX(Data_DBD!$C:$C,$A40)</f>
        <v>3</v>
      </c>
      <c r="D40" s="2" cm="1">
        <f t="array" aca="1" ref="D40" ca="1">INDEX(Data_DBD!$D:$D,$A40)</f>
        <v>33</v>
      </c>
      <c r="E40" s="2" cm="1">
        <f t="array" aca="1" ref="E40" ca="1">INDEX(Data_DBD!$E:$E,$A40)</f>
        <v>1</v>
      </c>
      <c r="F40" s="2" t="str" cm="1">
        <f t="array" aca="1" ref="F40" ca="1">INDEX(Data_DBD!$F:$F,$A40)</f>
        <v>Tinggi</v>
      </c>
      <c r="H40" s="2">
        <v>159</v>
      </c>
      <c r="I40" s="2">
        <v>17</v>
      </c>
      <c r="J40" s="2">
        <v>2</v>
      </c>
      <c r="K40" s="2">
        <v>21</v>
      </c>
      <c r="L40" s="2">
        <v>0</v>
      </c>
      <c r="M40" s="2" t="s">
        <v>97</v>
      </c>
    </row>
    <row r="41" spans="1:13">
      <c r="A41" s="2">
        <f t="shared" ca="1" si="0"/>
        <v>46</v>
      </c>
      <c r="B41" s="2" cm="1">
        <f t="array" aca="1" ref="B41" ca="1">INDEX(Data_DBD!$B:$B,$A41)</f>
        <v>62</v>
      </c>
      <c r="C41" s="2" cm="1">
        <f t="array" aca="1" ref="C41" ca="1">INDEX(Data_DBD!$C:$C,$A41)</f>
        <v>2</v>
      </c>
      <c r="D41" s="2" cm="1">
        <f t="array" aca="1" ref="D41" ca="1">INDEX(Data_DBD!$D:$D,$A41)</f>
        <v>13</v>
      </c>
      <c r="E41" s="2" cm="1">
        <f t="array" aca="1" ref="E41" ca="1">INDEX(Data_DBD!$E:$E,$A41)</f>
        <v>0</v>
      </c>
      <c r="F41" s="2" t="str" cm="1">
        <f t="array" aca="1" ref="F41" ca="1">INDEX(Data_DBD!$F:$F,$A41)</f>
        <v>Sedang</v>
      </c>
      <c r="H41" s="2">
        <v>102</v>
      </c>
      <c r="I41" s="2">
        <v>41</v>
      </c>
      <c r="J41" s="2">
        <v>4</v>
      </c>
      <c r="K41" s="2">
        <v>18</v>
      </c>
      <c r="L41" s="2">
        <v>0</v>
      </c>
      <c r="M41" s="2" t="s">
        <v>97</v>
      </c>
    </row>
    <row r="42" spans="1:13">
      <c r="A42" s="2">
        <f t="shared" ca="1" si="0"/>
        <v>77</v>
      </c>
      <c r="B42" s="2" cm="1">
        <f t="array" aca="1" ref="B42" ca="1">INDEX(Data_DBD!$B:$B,$A42)</f>
        <v>16</v>
      </c>
      <c r="C42" s="2" cm="1">
        <f t="array" aca="1" ref="C42" ca="1">INDEX(Data_DBD!$C:$C,$A42)</f>
        <v>4</v>
      </c>
      <c r="D42" s="2" cm="1">
        <f t="array" aca="1" ref="D42" ca="1">INDEX(Data_DBD!$D:$D,$A42)</f>
        <v>13</v>
      </c>
      <c r="E42" s="2" cm="1">
        <f t="array" aca="1" ref="E42" ca="1">INDEX(Data_DBD!$E:$E,$A42)</f>
        <v>1</v>
      </c>
      <c r="F42" s="2" t="str" cm="1">
        <f t="array" aca="1" ref="F42" ca="1">INDEX(Data_DBD!$F:$F,$A42)</f>
        <v>Sedang</v>
      </c>
      <c r="H42" s="2">
        <v>146</v>
      </c>
      <c r="I42" s="2">
        <v>34</v>
      </c>
      <c r="J42" s="2">
        <v>2</v>
      </c>
      <c r="K42" s="2">
        <v>21</v>
      </c>
      <c r="L42" s="2">
        <v>1</v>
      </c>
      <c r="M42" s="2" t="s">
        <v>97</v>
      </c>
    </row>
    <row r="43" spans="1:13">
      <c r="A43" s="2">
        <f t="shared" ca="1" si="0"/>
        <v>23</v>
      </c>
      <c r="B43" s="2" cm="1">
        <f t="array" aca="1" ref="B43" ca="1">INDEX(Data_DBD!$B:$B,$A43)</f>
        <v>28</v>
      </c>
      <c r="C43" s="2" cm="1">
        <f t="array" aca="1" ref="C43" ca="1">INDEX(Data_DBD!$C:$C,$A43)</f>
        <v>4</v>
      </c>
      <c r="D43" s="2" cm="1">
        <f t="array" aca="1" ref="D43" ca="1">INDEX(Data_DBD!$D:$D,$A43)</f>
        <v>14</v>
      </c>
      <c r="E43" s="2" cm="1">
        <f t="array" aca="1" ref="E43" ca="1">INDEX(Data_DBD!$E:$E,$A43)</f>
        <v>1</v>
      </c>
      <c r="F43" s="2" t="str" cm="1">
        <f t="array" aca="1" ref="F43" ca="1">INDEX(Data_DBD!$F:$F,$A43)</f>
        <v>Sedang</v>
      </c>
      <c r="H43" s="2">
        <v>86</v>
      </c>
      <c r="I43" s="2">
        <v>23</v>
      </c>
      <c r="J43" s="2">
        <v>3</v>
      </c>
      <c r="K43" s="2">
        <v>13</v>
      </c>
      <c r="L43" s="2">
        <v>0</v>
      </c>
      <c r="M43" s="2" t="s">
        <v>7</v>
      </c>
    </row>
    <row r="44" spans="1:13">
      <c r="A44" s="2">
        <f t="shared" ca="1" si="0"/>
        <v>87</v>
      </c>
      <c r="B44" s="2" cm="1">
        <f t="array" aca="1" ref="B44" ca="1">INDEX(Data_DBD!$B:$B,$A44)</f>
        <v>21</v>
      </c>
      <c r="C44" s="2" cm="1">
        <f t="array" aca="1" ref="C44" ca="1">INDEX(Data_DBD!$C:$C,$A44)</f>
        <v>3</v>
      </c>
      <c r="D44" s="2" cm="1">
        <f t="array" aca="1" ref="D44" ca="1">INDEX(Data_DBD!$D:$D,$A44)</f>
        <v>13</v>
      </c>
      <c r="E44" s="2" cm="1">
        <f t="array" aca="1" ref="E44" ca="1">INDEX(Data_DBD!$E:$E,$A44)</f>
        <v>0</v>
      </c>
      <c r="F44" s="2" t="str" cm="1">
        <f t="array" aca="1" ref="F44" ca="1">INDEX(Data_DBD!$F:$F,$A44)</f>
        <v>Sedang</v>
      </c>
      <c r="H44" s="2">
        <v>90</v>
      </c>
      <c r="I44" s="2">
        <v>47</v>
      </c>
      <c r="J44" s="2">
        <v>3</v>
      </c>
      <c r="K44" s="2">
        <v>18</v>
      </c>
      <c r="L44" s="2">
        <v>0</v>
      </c>
      <c r="M44" s="2" t="s">
        <v>97</v>
      </c>
    </row>
    <row r="45" spans="1:13">
      <c r="A45" s="2">
        <f t="shared" ca="1" si="0"/>
        <v>128</v>
      </c>
      <c r="B45" s="2" cm="1">
        <f t="array" aca="1" ref="B45" ca="1">INDEX(Data_DBD!$B:$B,$A45)</f>
        <v>38</v>
      </c>
      <c r="C45" s="2" cm="1">
        <f t="array" aca="1" ref="C45" ca="1">INDEX(Data_DBD!$C:$C,$A45)</f>
        <v>2</v>
      </c>
      <c r="D45" s="2" cm="1">
        <f t="array" aca="1" ref="D45" ca="1">INDEX(Data_DBD!$D:$D,$A45)</f>
        <v>33</v>
      </c>
      <c r="E45" s="2" cm="1">
        <f t="array" aca="1" ref="E45" ca="1">INDEX(Data_DBD!$E:$E,$A45)</f>
        <v>0</v>
      </c>
      <c r="F45" s="2" t="str" cm="1">
        <f t="array" aca="1" ref="F45" ca="1">INDEX(Data_DBD!$F:$F,$A45)</f>
        <v>Tinggi</v>
      </c>
      <c r="H45" s="2">
        <v>67</v>
      </c>
      <c r="I45" s="2">
        <v>21</v>
      </c>
      <c r="J45" s="2">
        <v>3</v>
      </c>
      <c r="K45" s="2">
        <v>10</v>
      </c>
      <c r="L45" s="2">
        <v>1</v>
      </c>
      <c r="M45" s="2" t="s">
        <v>7</v>
      </c>
    </row>
    <row r="46" spans="1:13">
      <c r="A46" s="2">
        <f t="shared" ca="1" si="0"/>
        <v>13</v>
      </c>
      <c r="B46" s="2" cm="1">
        <f t="array" aca="1" ref="B46" ca="1">INDEX(Data_DBD!$B:$B,$A46)</f>
        <v>47</v>
      </c>
      <c r="C46" s="2" cm="1">
        <f t="array" aca="1" ref="C46" ca="1">INDEX(Data_DBD!$C:$C,$A46)</f>
        <v>2</v>
      </c>
      <c r="D46" s="2" cm="1">
        <f t="array" aca="1" ref="D46" ca="1">INDEX(Data_DBD!$D:$D,$A46)</f>
        <v>12</v>
      </c>
      <c r="E46" s="2" cm="1">
        <f t="array" aca="1" ref="E46" ca="1">INDEX(Data_DBD!$E:$E,$A46)</f>
        <v>0</v>
      </c>
      <c r="F46" s="2" t="str" cm="1">
        <f t="array" aca="1" ref="F46" ca="1">INDEX(Data_DBD!$F:$F,$A46)</f>
        <v>Sedang</v>
      </c>
      <c r="H46" s="2">
        <v>85</v>
      </c>
      <c r="I46" s="2">
        <v>27</v>
      </c>
      <c r="J46" s="2">
        <v>9</v>
      </c>
      <c r="K46" s="2">
        <v>13</v>
      </c>
      <c r="L46" s="2">
        <v>0</v>
      </c>
      <c r="M46" s="2" t="s">
        <v>7</v>
      </c>
    </row>
    <row r="47" spans="1:13">
      <c r="A47" s="2">
        <f t="shared" ca="1" si="0"/>
        <v>66</v>
      </c>
      <c r="B47" s="2" cm="1">
        <f t="array" aca="1" ref="B47" ca="1">INDEX(Data_DBD!$B:$B,$A47)</f>
        <v>21</v>
      </c>
      <c r="C47" s="2" cm="1">
        <f t="array" aca="1" ref="C47" ca="1">INDEX(Data_DBD!$C:$C,$A47)</f>
        <v>5</v>
      </c>
      <c r="D47" s="2" cm="1">
        <f t="array" aca="1" ref="D47" ca="1">INDEX(Data_DBD!$D:$D,$A47)</f>
        <v>15</v>
      </c>
      <c r="E47" s="2" cm="1">
        <f t="array" aca="1" ref="E47" ca="1">INDEX(Data_DBD!$E:$E,$A47)</f>
        <v>1</v>
      </c>
      <c r="F47" s="2" t="str" cm="1">
        <f t="array" aca="1" ref="F47" ca="1">INDEX(Data_DBD!$F:$F,$A47)</f>
        <v>Sedang</v>
      </c>
      <c r="H47" s="2">
        <v>22</v>
      </c>
      <c r="I47" s="2">
        <v>6</v>
      </c>
      <c r="J47" s="2">
        <v>3</v>
      </c>
      <c r="K47" s="2">
        <v>14</v>
      </c>
      <c r="L47" s="2">
        <v>0</v>
      </c>
      <c r="M47" s="2" t="s">
        <v>7</v>
      </c>
    </row>
    <row r="48" spans="1:13">
      <c r="A48" s="2">
        <f t="shared" ca="1" si="0"/>
        <v>124</v>
      </c>
      <c r="B48" s="2" cm="1">
        <f t="array" aca="1" ref="B48" ca="1">INDEX(Data_DBD!$B:$B,$A48)</f>
        <v>24</v>
      </c>
      <c r="C48" s="2" cm="1">
        <f t="array" aca="1" ref="C48" ca="1">INDEX(Data_DBD!$C:$C,$A48)</f>
        <v>3</v>
      </c>
      <c r="D48" s="2" cm="1">
        <f t="array" aca="1" ref="D48" ca="1">INDEX(Data_DBD!$D:$D,$A48)</f>
        <v>33</v>
      </c>
      <c r="E48" s="2" cm="1">
        <f t="array" aca="1" ref="E48" ca="1">INDEX(Data_DBD!$E:$E,$A48)</f>
        <v>1</v>
      </c>
      <c r="F48" s="2" t="str" cm="1">
        <f t="array" aca="1" ref="F48" ca="1">INDEX(Data_DBD!$F:$F,$A48)</f>
        <v>Tinggi</v>
      </c>
      <c r="H48" s="2">
        <v>163</v>
      </c>
      <c r="I48" s="2">
        <v>34</v>
      </c>
      <c r="J48" s="2">
        <v>4</v>
      </c>
      <c r="K48" s="2">
        <v>3</v>
      </c>
      <c r="L48" s="2">
        <v>1</v>
      </c>
      <c r="M48" s="2" t="s">
        <v>20</v>
      </c>
    </row>
    <row r="49" spans="1:13">
      <c r="A49" s="2">
        <f t="shared" ca="1" si="0"/>
        <v>92</v>
      </c>
      <c r="B49" s="2" cm="1">
        <f t="array" aca="1" ref="B49" ca="1">INDEX(Data_DBD!$B:$B,$A49)</f>
        <v>55</v>
      </c>
      <c r="C49" s="2" cm="1">
        <f t="array" aca="1" ref="C49" ca="1">INDEX(Data_DBD!$C:$C,$A49)</f>
        <v>7</v>
      </c>
      <c r="D49" s="2" cm="1">
        <f t="array" aca="1" ref="D49" ca="1">INDEX(Data_DBD!$D:$D,$A49)</f>
        <v>18</v>
      </c>
      <c r="E49" s="2" cm="1">
        <f t="array" aca="1" ref="E49" ca="1">INDEX(Data_DBD!$E:$E,$A49)</f>
        <v>0</v>
      </c>
      <c r="F49" s="2" t="str" cm="1">
        <f t="array" aca="1" ref="F49" ca="1">INDEX(Data_DBD!$F:$F,$A49)</f>
        <v>Tinggi</v>
      </c>
      <c r="H49" s="2">
        <v>150</v>
      </c>
      <c r="I49" s="2">
        <v>61</v>
      </c>
      <c r="J49" s="2">
        <v>5</v>
      </c>
      <c r="K49" s="2">
        <v>21</v>
      </c>
      <c r="L49" s="2">
        <v>1</v>
      </c>
      <c r="M49" s="2" t="s">
        <v>97</v>
      </c>
    </row>
    <row r="50" spans="1:13">
      <c r="A50" s="2">
        <f t="shared" ca="1" si="0"/>
        <v>40</v>
      </c>
      <c r="B50" s="2" cm="1">
        <f t="array" aca="1" ref="B50" ca="1">INDEX(Data_DBD!$B:$B,$A50)</f>
        <v>65</v>
      </c>
      <c r="C50" s="2" cm="1">
        <f t="array" aca="1" ref="C50" ca="1">INDEX(Data_DBD!$C:$C,$A50)</f>
        <v>3</v>
      </c>
      <c r="D50" s="2" cm="1">
        <f t="array" aca="1" ref="D50" ca="1">INDEX(Data_DBD!$D:$D,$A50)</f>
        <v>13</v>
      </c>
      <c r="E50" s="2" cm="1">
        <f t="array" aca="1" ref="E50" ca="1">INDEX(Data_DBD!$E:$E,$A50)</f>
        <v>1</v>
      </c>
      <c r="F50" s="2" t="str" cm="1">
        <f t="array" aca="1" ref="F50" ca="1">INDEX(Data_DBD!$F:$F,$A50)</f>
        <v>Sedang</v>
      </c>
      <c r="H50" s="2">
        <v>2</v>
      </c>
      <c r="I50" s="2">
        <v>34</v>
      </c>
      <c r="J50" s="2">
        <v>3</v>
      </c>
      <c r="K50" s="2">
        <v>12</v>
      </c>
      <c r="L50" s="2">
        <v>0</v>
      </c>
      <c r="M50" s="2" t="s">
        <v>7</v>
      </c>
    </row>
    <row r="51" spans="1:13">
      <c r="A51" s="2">
        <f t="shared" ca="1" si="0"/>
        <v>19</v>
      </c>
      <c r="B51" s="2" cm="1">
        <f t="array" aca="1" ref="B51" ca="1">INDEX(Data_DBD!$B:$B,$A51)</f>
        <v>8</v>
      </c>
      <c r="C51" s="2" cm="1">
        <f t="array" aca="1" ref="C51" ca="1">INDEX(Data_DBD!$C:$C,$A51)</f>
        <v>4</v>
      </c>
      <c r="D51" s="2" cm="1">
        <f t="array" aca="1" ref="D51" ca="1">INDEX(Data_DBD!$D:$D,$A51)</f>
        <v>7</v>
      </c>
      <c r="E51" s="2" cm="1">
        <f t="array" aca="1" ref="E51" ca="1">INDEX(Data_DBD!$E:$E,$A51)</f>
        <v>0</v>
      </c>
      <c r="F51" s="2" t="str" cm="1">
        <f t="array" aca="1" ref="F51" ca="1">INDEX(Data_DBD!$F:$F,$A51)</f>
        <v>Rendah</v>
      </c>
      <c r="H51" s="2">
        <v>132</v>
      </c>
      <c r="I51" s="2">
        <v>10</v>
      </c>
      <c r="J51" s="2">
        <v>3</v>
      </c>
      <c r="K51" s="2">
        <v>33</v>
      </c>
      <c r="L51" s="2">
        <v>1</v>
      </c>
      <c r="M51" s="2" t="s">
        <v>97</v>
      </c>
    </row>
    <row r="52" spans="1:13">
      <c r="A52" s="2">
        <f t="shared" ca="1" si="0"/>
        <v>38</v>
      </c>
      <c r="B52" s="2" cm="1">
        <f t="array" aca="1" ref="B52" ca="1">INDEX(Data_DBD!$B:$B,$A52)</f>
        <v>52</v>
      </c>
      <c r="C52" s="2" cm="1">
        <f t="array" aca="1" ref="C52" ca="1">INDEX(Data_DBD!$C:$C,$A52)</f>
        <v>3</v>
      </c>
      <c r="D52" s="2" cm="1">
        <f t="array" aca="1" ref="D52" ca="1">INDEX(Data_DBD!$D:$D,$A52)</f>
        <v>4</v>
      </c>
      <c r="E52" s="2" cm="1">
        <f t="array" aca="1" ref="E52" ca="1">INDEX(Data_DBD!$E:$E,$A52)</f>
        <v>1</v>
      </c>
      <c r="F52" s="2" t="str" cm="1">
        <f t="array" aca="1" ref="F52" ca="1">INDEX(Data_DBD!$F:$F,$A52)</f>
        <v>Rendah</v>
      </c>
      <c r="H52" s="2">
        <v>9</v>
      </c>
      <c r="I52" s="2">
        <v>16</v>
      </c>
      <c r="J52" s="2">
        <v>6</v>
      </c>
      <c r="K52" s="2">
        <v>12</v>
      </c>
      <c r="L52" s="2">
        <v>1</v>
      </c>
      <c r="M52" s="2" t="s">
        <v>7</v>
      </c>
    </row>
    <row r="53" spans="1:13">
      <c r="A53" s="2">
        <f t="shared" ca="1" si="0"/>
        <v>99</v>
      </c>
      <c r="B53" s="2" cm="1">
        <f t="array" aca="1" ref="B53" ca="1">INDEX(Data_DBD!$B:$B,$A53)</f>
        <v>4</v>
      </c>
      <c r="C53" s="2" cm="1">
        <f t="array" aca="1" ref="C53" ca="1">INDEX(Data_DBD!$C:$C,$A53)</f>
        <v>2</v>
      </c>
      <c r="D53" s="2" cm="1">
        <f t="array" aca="1" ref="D53" ca="1">INDEX(Data_DBD!$D:$D,$A53)</f>
        <v>18</v>
      </c>
      <c r="E53" s="2" cm="1">
        <f t="array" aca="1" ref="E53" ca="1">INDEX(Data_DBD!$E:$E,$A53)</f>
        <v>1</v>
      </c>
      <c r="F53" s="2" t="str" cm="1">
        <f t="array" aca="1" ref="F53" ca="1">INDEX(Data_DBD!$F:$F,$A53)</f>
        <v>Tinggi</v>
      </c>
      <c r="H53" s="2">
        <v>148</v>
      </c>
      <c r="I53" s="2">
        <v>55</v>
      </c>
      <c r="J53" s="2">
        <v>3</v>
      </c>
      <c r="K53" s="2">
        <v>21</v>
      </c>
      <c r="L53" s="2">
        <v>1</v>
      </c>
      <c r="M53" s="2" t="s">
        <v>97</v>
      </c>
    </row>
    <row r="54" spans="1:13">
      <c r="A54" s="2">
        <f t="shared" ca="1" si="0"/>
        <v>98</v>
      </c>
      <c r="B54" s="2" cm="1">
        <f t="array" aca="1" ref="B54" ca="1">INDEX(Data_DBD!$B:$B,$A54)</f>
        <v>16</v>
      </c>
      <c r="C54" s="2" cm="1">
        <f t="array" aca="1" ref="C54" ca="1">INDEX(Data_DBD!$C:$C,$A54)</f>
        <v>2</v>
      </c>
      <c r="D54" s="2" cm="1">
        <f t="array" aca="1" ref="D54" ca="1">INDEX(Data_DBD!$D:$D,$A54)</f>
        <v>18</v>
      </c>
      <c r="E54" s="2" cm="1">
        <f t="array" aca="1" ref="E54" ca="1">INDEX(Data_DBD!$E:$E,$A54)</f>
        <v>1</v>
      </c>
      <c r="F54" s="2" t="str" cm="1">
        <f t="array" aca="1" ref="F54" ca="1">INDEX(Data_DBD!$F:$F,$A54)</f>
        <v>Tinggi</v>
      </c>
      <c r="H54" s="2">
        <v>12</v>
      </c>
      <c r="I54" s="2">
        <v>23</v>
      </c>
      <c r="J54" s="2">
        <v>3</v>
      </c>
      <c r="K54" s="2">
        <v>12</v>
      </c>
      <c r="L54" s="2">
        <v>0</v>
      </c>
      <c r="M54" s="2" t="s">
        <v>7</v>
      </c>
    </row>
    <row r="55" spans="1:13">
      <c r="A55" s="2">
        <f t="shared" ca="1" si="0"/>
        <v>88</v>
      </c>
      <c r="B55" s="2" cm="1">
        <f t="array" aca="1" ref="B55" ca="1">INDEX(Data_DBD!$B:$B,$A55)</f>
        <v>20</v>
      </c>
      <c r="C55" s="2" cm="1">
        <f t="array" aca="1" ref="C55" ca="1">INDEX(Data_DBD!$C:$C,$A55)</f>
        <v>4</v>
      </c>
      <c r="D55" s="2" cm="1">
        <f t="array" aca="1" ref="D55" ca="1">INDEX(Data_DBD!$D:$D,$A55)</f>
        <v>13</v>
      </c>
      <c r="E55" s="2" cm="1">
        <f t="array" aca="1" ref="E55" ca="1">INDEX(Data_DBD!$E:$E,$A55)</f>
        <v>1</v>
      </c>
      <c r="F55" s="2" t="str" cm="1">
        <f t="array" aca="1" ref="F55" ca="1">INDEX(Data_DBD!$F:$F,$A55)</f>
        <v>Sedang</v>
      </c>
      <c r="H55" s="2">
        <v>64</v>
      </c>
      <c r="I55" s="2">
        <v>35</v>
      </c>
      <c r="J55" s="2">
        <v>1</v>
      </c>
      <c r="K55" s="2">
        <v>15</v>
      </c>
      <c r="L55" s="2">
        <v>0</v>
      </c>
      <c r="M55" s="2" t="s">
        <v>7</v>
      </c>
    </row>
    <row r="56" spans="1:13">
      <c r="A56" s="2">
        <f t="shared" ca="1" si="0"/>
        <v>111</v>
      </c>
      <c r="B56" s="2" cm="1">
        <f t="array" aca="1" ref="B56" ca="1">INDEX(Data_DBD!$B:$B,$A56)</f>
        <v>25</v>
      </c>
      <c r="C56" s="2" cm="1">
        <f t="array" aca="1" ref="C56" ca="1">INDEX(Data_DBD!$C:$C,$A56)</f>
        <v>4</v>
      </c>
      <c r="D56" s="2" cm="1">
        <f t="array" aca="1" ref="D56" ca="1">INDEX(Data_DBD!$D:$D,$A56)</f>
        <v>33</v>
      </c>
      <c r="E56" s="2" cm="1">
        <f t="array" aca="1" ref="E56" ca="1">INDEX(Data_DBD!$E:$E,$A56)</f>
        <v>0</v>
      </c>
      <c r="F56" s="2" t="str" cm="1">
        <f t="array" aca="1" ref="F56" ca="1">INDEX(Data_DBD!$F:$F,$A56)</f>
        <v>Tinggi</v>
      </c>
      <c r="H56" s="2">
        <v>123</v>
      </c>
      <c r="I56" s="2">
        <v>22</v>
      </c>
      <c r="J56" s="2">
        <v>4</v>
      </c>
      <c r="K56" s="2">
        <v>33</v>
      </c>
      <c r="L56" s="2">
        <v>0</v>
      </c>
      <c r="M56" s="2" t="s">
        <v>97</v>
      </c>
    </row>
    <row r="57" spans="1:13">
      <c r="A57" s="2">
        <f t="shared" ca="1" si="0"/>
        <v>33</v>
      </c>
      <c r="B57" s="2" cm="1">
        <f t="array" aca="1" ref="B57" ca="1">INDEX(Data_DBD!$B:$B,$A57)</f>
        <v>19</v>
      </c>
      <c r="C57" s="2" cm="1">
        <f t="array" aca="1" ref="C57" ca="1">INDEX(Data_DBD!$C:$C,$A57)</f>
        <v>4</v>
      </c>
      <c r="D57" s="2" cm="1">
        <f t="array" aca="1" ref="D57" ca="1">INDEX(Data_DBD!$D:$D,$A57)</f>
        <v>14</v>
      </c>
      <c r="E57" s="2" cm="1">
        <f t="array" aca="1" ref="E57" ca="1">INDEX(Data_DBD!$E:$E,$A57)</f>
        <v>1</v>
      </c>
      <c r="F57" s="2" t="str" cm="1">
        <f t="array" aca="1" ref="F57" ca="1">INDEX(Data_DBD!$F:$F,$A57)</f>
        <v>Sedang</v>
      </c>
      <c r="H57" s="2">
        <v>56</v>
      </c>
      <c r="I57" s="2">
        <v>4</v>
      </c>
      <c r="J57" s="2">
        <v>3</v>
      </c>
      <c r="K57" s="2">
        <v>15</v>
      </c>
      <c r="L57" s="2">
        <v>0</v>
      </c>
      <c r="M57" s="2" t="s">
        <v>7</v>
      </c>
    </row>
    <row r="58" spans="1:13">
      <c r="A58" s="2">
        <f t="shared" ca="1" si="0"/>
        <v>64</v>
      </c>
      <c r="B58" s="2" cm="1">
        <f t="array" aca="1" ref="B58" ca="1">INDEX(Data_DBD!$B:$B,$A58)</f>
        <v>35</v>
      </c>
      <c r="C58" s="2" cm="1">
        <f t="array" aca="1" ref="C58" ca="1">INDEX(Data_DBD!$C:$C,$A58)</f>
        <v>1</v>
      </c>
      <c r="D58" s="2" cm="1">
        <f t="array" aca="1" ref="D58" ca="1">INDEX(Data_DBD!$D:$D,$A58)</f>
        <v>15</v>
      </c>
      <c r="E58" s="2" cm="1">
        <f t="array" aca="1" ref="E58" ca="1">INDEX(Data_DBD!$E:$E,$A58)</f>
        <v>0</v>
      </c>
      <c r="F58" s="2" t="str" cm="1">
        <f t="array" aca="1" ref="F58" ca="1">INDEX(Data_DBD!$F:$F,$A58)</f>
        <v>Sedang</v>
      </c>
      <c r="H58" s="2">
        <v>12</v>
      </c>
      <c r="I58" s="2">
        <v>23</v>
      </c>
      <c r="J58" s="2">
        <v>3</v>
      </c>
      <c r="K58" s="2">
        <v>12</v>
      </c>
      <c r="L58" s="2">
        <v>0</v>
      </c>
      <c r="M58" s="2" t="s">
        <v>7</v>
      </c>
    </row>
    <row r="59" spans="1:13">
      <c r="A59" s="2">
        <f t="shared" ca="1" si="0"/>
        <v>43</v>
      </c>
      <c r="B59" s="2" cm="1">
        <f t="array" aca="1" ref="B59" ca="1">INDEX(Data_DBD!$B:$B,$A59)</f>
        <v>15</v>
      </c>
      <c r="C59" s="2" cm="1">
        <f t="array" aca="1" ref="C59" ca="1">INDEX(Data_DBD!$C:$C,$A59)</f>
        <v>4</v>
      </c>
      <c r="D59" s="2" cm="1">
        <f t="array" aca="1" ref="D59" ca="1">INDEX(Data_DBD!$D:$D,$A59)</f>
        <v>13</v>
      </c>
      <c r="E59" s="2" cm="1">
        <f t="array" aca="1" ref="E59" ca="1">INDEX(Data_DBD!$E:$E,$A59)</f>
        <v>0</v>
      </c>
      <c r="F59" s="2" t="str" cm="1">
        <f t="array" aca="1" ref="F59" ca="1">INDEX(Data_DBD!$F:$F,$A59)</f>
        <v>Sedang</v>
      </c>
      <c r="H59" s="2">
        <v>52</v>
      </c>
      <c r="I59" s="2">
        <v>59</v>
      </c>
      <c r="J59" s="2">
        <v>4</v>
      </c>
      <c r="K59" s="2">
        <v>15</v>
      </c>
      <c r="L59" s="2">
        <v>1</v>
      </c>
      <c r="M59" s="2" t="s">
        <v>7</v>
      </c>
    </row>
    <row r="60" spans="1:13">
      <c r="A60" s="2">
        <f t="shared" ca="1" si="0"/>
        <v>32</v>
      </c>
      <c r="B60" s="2" cm="1">
        <f t="array" aca="1" ref="B60" ca="1">INDEX(Data_DBD!$B:$B,$A60)</f>
        <v>54</v>
      </c>
      <c r="C60" s="2" cm="1">
        <f t="array" aca="1" ref="C60" ca="1">INDEX(Data_DBD!$C:$C,$A60)</f>
        <v>4</v>
      </c>
      <c r="D60" s="2" cm="1">
        <f t="array" aca="1" ref="D60" ca="1">INDEX(Data_DBD!$D:$D,$A60)</f>
        <v>14</v>
      </c>
      <c r="E60" s="2" cm="1">
        <f t="array" aca="1" ref="E60" ca="1">INDEX(Data_DBD!$E:$E,$A60)</f>
        <v>0</v>
      </c>
      <c r="F60" s="2" t="str" cm="1">
        <f t="array" aca="1" ref="F60" ca="1">INDEX(Data_DBD!$F:$F,$A60)</f>
        <v>Sedang</v>
      </c>
      <c r="H60" s="2">
        <v>101</v>
      </c>
      <c r="I60" s="2">
        <v>42</v>
      </c>
      <c r="J60" s="2">
        <v>5</v>
      </c>
      <c r="K60" s="2">
        <v>18</v>
      </c>
      <c r="L60" s="2">
        <v>0</v>
      </c>
      <c r="M60" s="2" t="s">
        <v>97</v>
      </c>
    </row>
    <row r="61" spans="1:13">
      <c r="A61" s="2">
        <f t="shared" ca="1" si="0"/>
        <v>68</v>
      </c>
      <c r="B61" s="2" cm="1">
        <f t="array" aca="1" ref="B61" ca="1">INDEX(Data_DBD!$B:$B,$A61)</f>
        <v>44</v>
      </c>
      <c r="C61" s="2" cm="1">
        <f t="array" aca="1" ref="C61" ca="1">INDEX(Data_DBD!$C:$C,$A61)</f>
        <v>5</v>
      </c>
      <c r="D61" s="2" cm="1">
        <f t="array" aca="1" ref="D61" ca="1">INDEX(Data_DBD!$D:$D,$A61)</f>
        <v>10</v>
      </c>
      <c r="E61" s="2" cm="1">
        <f t="array" aca="1" ref="E61" ca="1">INDEX(Data_DBD!$E:$E,$A61)</f>
        <v>0</v>
      </c>
      <c r="F61" s="2" t="str" cm="1">
        <f t="array" aca="1" ref="F61" ca="1">INDEX(Data_DBD!$F:$F,$A61)</f>
        <v>Sedang</v>
      </c>
      <c r="H61" s="2">
        <v>14</v>
      </c>
      <c r="I61" s="2">
        <v>49</v>
      </c>
      <c r="J61" s="2">
        <v>4</v>
      </c>
      <c r="K61" s="2">
        <v>7</v>
      </c>
      <c r="L61" s="2">
        <v>1</v>
      </c>
      <c r="M61" s="2" t="s">
        <v>20</v>
      </c>
    </row>
    <row r="62" spans="1:13">
      <c r="A62" s="2">
        <f t="shared" ca="1" si="0"/>
        <v>101</v>
      </c>
      <c r="B62" s="2" cm="1">
        <f t="array" aca="1" ref="B62" ca="1">INDEX(Data_DBD!$B:$B,$A62)</f>
        <v>42</v>
      </c>
      <c r="C62" s="2" cm="1">
        <f t="array" aca="1" ref="C62" ca="1">INDEX(Data_DBD!$C:$C,$A62)</f>
        <v>5</v>
      </c>
      <c r="D62" s="2" cm="1">
        <f t="array" aca="1" ref="D62" ca="1">INDEX(Data_DBD!$D:$D,$A62)</f>
        <v>18</v>
      </c>
      <c r="E62" s="2" cm="1">
        <f t="array" aca="1" ref="E62" ca="1">INDEX(Data_DBD!$E:$E,$A62)</f>
        <v>0</v>
      </c>
      <c r="F62" s="2" t="str" cm="1">
        <f t="array" aca="1" ref="F62" ca="1">INDEX(Data_DBD!$F:$F,$A62)</f>
        <v>Tinggi</v>
      </c>
      <c r="H62" s="2">
        <v>30</v>
      </c>
      <c r="I62" s="2">
        <v>3</v>
      </c>
      <c r="J62" s="2">
        <v>2</v>
      </c>
      <c r="K62" s="2">
        <v>14</v>
      </c>
      <c r="L62" s="2">
        <v>1</v>
      </c>
      <c r="M62" s="2" t="s">
        <v>7</v>
      </c>
    </row>
    <row r="63" spans="1:13">
      <c r="A63" s="2">
        <f t="shared" ca="1" si="0"/>
        <v>47</v>
      </c>
      <c r="B63" s="2" cm="1">
        <f t="array" aca="1" ref="B63" ca="1">INDEX(Data_DBD!$B:$B,$A63)</f>
        <v>19</v>
      </c>
      <c r="C63" s="2" cm="1">
        <f t="array" aca="1" ref="C63" ca="1">INDEX(Data_DBD!$C:$C,$A63)</f>
        <v>2</v>
      </c>
      <c r="D63" s="2" cm="1">
        <f t="array" aca="1" ref="D63" ca="1">INDEX(Data_DBD!$D:$D,$A63)</f>
        <v>13</v>
      </c>
      <c r="E63" s="2" cm="1">
        <f t="array" aca="1" ref="E63" ca="1">INDEX(Data_DBD!$E:$E,$A63)</f>
        <v>0</v>
      </c>
      <c r="F63" s="2" t="str" cm="1">
        <f t="array" aca="1" ref="F63" ca="1">INDEX(Data_DBD!$F:$F,$A63)</f>
        <v>Sedang</v>
      </c>
      <c r="H63" s="2">
        <v>137</v>
      </c>
      <c r="I63" s="2">
        <v>3</v>
      </c>
      <c r="J63" s="2">
        <v>1</v>
      </c>
      <c r="K63" s="2">
        <v>33</v>
      </c>
      <c r="L63" s="2">
        <v>1</v>
      </c>
      <c r="M63" s="2" t="s">
        <v>97</v>
      </c>
    </row>
    <row r="64" spans="1:13">
      <c r="A64" s="2">
        <f t="shared" ca="1" si="0"/>
        <v>62</v>
      </c>
      <c r="B64" s="2" cm="1">
        <f t="array" aca="1" ref="B64" ca="1">INDEX(Data_DBD!$B:$B,$A64)</f>
        <v>43</v>
      </c>
      <c r="C64" s="2" cm="1">
        <f t="array" aca="1" ref="C64" ca="1">INDEX(Data_DBD!$C:$C,$A64)</f>
        <v>4</v>
      </c>
      <c r="D64" s="2" cm="1">
        <f t="array" aca="1" ref="D64" ca="1">INDEX(Data_DBD!$D:$D,$A64)</f>
        <v>15</v>
      </c>
      <c r="E64" s="2" cm="1">
        <f t="array" aca="1" ref="E64" ca="1">INDEX(Data_DBD!$E:$E,$A64)</f>
        <v>1</v>
      </c>
      <c r="F64" s="2" t="str" cm="1">
        <f t="array" aca="1" ref="F64" ca="1">INDEX(Data_DBD!$F:$F,$A64)</f>
        <v>Sedang</v>
      </c>
      <c r="H64" s="2">
        <v>151</v>
      </c>
      <c r="I64" s="2">
        <v>24</v>
      </c>
      <c r="J64" s="2">
        <v>3</v>
      </c>
      <c r="K64" s="2">
        <v>21</v>
      </c>
      <c r="L64" s="2">
        <v>0</v>
      </c>
      <c r="M64" s="2" t="s">
        <v>97</v>
      </c>
    </row>
    <row r="65" spans="1:13">
      <c r="A65" s="2">
        <f t="shared" ca="1" si="0"/>
        <v>129</v>
      </c>
      <c r="B65" s="2" cm="1">
        <f t="array" aca="1" ref="B65" ca="1">INDEX(Data_DBD!$B:$B,$A65)</f>
        <v>4</v>
      </c>
      <c r="C65" s="2" cm="1">
        <f t="array" aca="1" ref="C65" ca="1">INDEX(Data_DBD!$C:$C,$A65)</f>
        <v>3</v>
      </c>
      <c r="D65" s="2" cm="1">
        <f t="array" aca="1" ref="D65" ca="1">INDEX(Data_DBD!$D:$D,$A65)</f>
        <v>33</v>
      </c>
      <c r="E65" s="2" cm="1">
        <f t="array" aca="1" ref="E65" ca="1">INDEX(Data_DBD!$E:$E,$A65)</f>
        <v>0</v>
      </c>
      <c r="F65" s="2" t="str" cm="1">
        <f t="array" aca="1" ref="F65" ca="1">INDEX(Data_DBD!$F:$F,$A65)</f>
        <v>Tinggi</v>
      </c>
      <c r="H65" s="2">
        <v>112</v>
      </c>
      <c r="I65" s="2">
        <v>61</v>
      </c>
      <c r="J65" s="2">
        <v>3</v>
      </c>
      <c r="K65" s="2">
        <v>33</v>
      </c>
      <c r="L65" s="2">
        <v>1</v>
      </c>
      <c r="M65" s="2" t="s">
        <v>97</v>
      </c>
    </row>
    <row r="66" spans="1:13">
      <c r="A66" s="2">
        <f t="shared" ca="1" si="0"/>
        <v>90</v>
      </c>
      <c r="B66" s="2" cm="1">
        <f t="array" aca="1" ref="B66" ca="1">INDEX(Data_DBD!$B:$B,$A66)</f>
        <v>47</v>
      </c>
      <c r="C66" s="2" cm="1">
        <f t="array" aca="1" ref="C66" ca="1">INDEX(Data_DBD!$C:$C,$A66)</f>
        <v>3</v>
      </c>
      <c r="D66" s="2" cm="1">
        <f t="array" aca="1" ref="D66" ca="1">INDEX(Data_DBD!$D:$D,$A66)</f>
        <v>18</v>
      </c>
      <c r="E66" s="2" cm="1">
        <f t="array" aca="1" ref="E66" ca="1">INDEX(Data_DBD!$E:$E,$A66)</f>
        <v>0</v>
      </c>
      <c r="F66" s="2" t="str" cm="1">
        <f t="array" aca="1" ref="F66" ca="1">INDEX(Data_DBD!$F:$F,$A66)</f>
        <v>Tinggi</v>
      </c>
      <c r="H66" s="2">
        <v>32</v>
      </c>
      <c r="I66" s="2">
        <v>54</v>
      </c>
      <c r="J66" s="2">
        <v>4</v>
      </c>
      <c r="K66" s="2">
        <v>14</v>
      </c>
      <c r="L66" s="2">
        <v>0</v>
      </c>
      <c r="M66" s="2" t="s">
        <v>7</v>
      </c>
    </row>
    <row r="67" spans="1:13">
      <c r="A67" s="2">
        <f t="shared" ref="A67:A130" ca="1" si="1">RANDBETWEEN(2,164)</f>
        <v>57</v>
      </c>
      <c r="B67" s="2" cm="1">
        <f t="array" aca="1" ref="B67" ca="1">INDEX(Data_DBD!$B:$B,$A67)</f>
        <v>2</v>
      </c>
      <c r="C67" s="2" cm="1">
        <f t="array" aca="1" ref="C67" ca="1">INDEX(Data_DBD!$C:$C,$A67)</f>
        <v>2</v>
      </c>
      <c r="D67" s="2" cm="1">
        <f t="array" aca="1" ref="D67" ca="1">INDEX(Data_DBD!$D:$D,$A67)</f>
        <v>15</v>
      </c>
      <c r="E67" s="2" cm="1">
        <f t="array" aca="1" ref="E67" ca="1">INDEX(Data_DBD!$E:$E,$A67)</f>
        <v>1</v>
      </c>
      <c r="F67" s="2" t="str" cm="1">
        <f t="array" aca="1" ref="F67" ca="1">INDEX(Data_DBD!$F:$F,$A67)</f>
        <v>Sedang</v>
      </c>
      <c r="H67" s="2">
        <v>112</v>
      </c>
      <c r="I67" s="2">
        <v>61</v>
      </c>
      <c r="J67" s="2">
        <v>3</v>
      </c>
      <c r="K67" s="2">
        <v>33</v>
      </c>
      <c r="L67" s="2">
        <v>1</v>
      </c>
      <c r="M67" s="2" t="s">
        <v>97</v>
      </c>
    </row>
    <row r="68" spans="1:13">
      <c r="A68" s="2">
        <f t="shared" ca="1" si="1"/>
        <v>147</v>
      </c>
      <c r="B68" s="2" cm="1">
        <f t="array" aca="1" ref="B68" ca="1">INDEX(Data_DBD!$B:$B,$A68)</f>
        <v>66</v>
      </c>
      <c r="C68" s="2" cm="1">
        <f t="array" aca="1" ref="C68" ca="1">INDEX(Data_DBD!$C:$C,$A68)</f>
        <v>10</v>
      </c>
      <c r="D68" s="2" cm="1">
        <f t="array" aca="1" ref="D68" ca="1">INDEX(Data_DBD!$D:$D,$A68)</f>
        <v>21</v>
      </c>
      <c r="E68" s="2" cm="1">
        <f t="array" aca="1" ref="E68" ca="1">INDEX(Data_DBD!$E:$E,$A68)</f>
        <v>1</v>
      </c>
      <c r="F68" s="2" t="str" cm="1">
        <f t="array" aca="1" ref="F68" ca="1">INDEX(Data_DBD!$F:$F,$A68)</f>
        <v>Tinggi</v>
      </c>
      <c r="H68" s="2">
        <v>54</v>
      </c>
      <c r="I68" s="2">
        <v>7</v>
      </c>
      <c r="J68" s="2">
        <v>3</v>
      </c>
      <c r="K68" s="2">
        <v>15</v>
      </c>
      <c r="L68" s="2">
        <v>0</v>
      </c>
      <c r="M68" s="2" t="s">
        <v>7</v>
      </c>
    </row>
    <row r="69" spans="1:13">
      <c r="A69" s="2">
        <f t="shared" ca="1" si="1"/>
        <v>78</v>
      </c>
      <c r="B69" s="2" cm="1">
        <f t="array" aca="1" ref="B69" ca="1">INDEX(Data_DBD!$B:$B,$A69)</f>
        <v>6</v>
      </c>
      <c r="C69" s="2" cm="1">
        <f t="array" aca="1" ref="C69" ca="1">INDEX(Data_DBD!$C:$C,$A69)</f>
        <v>3</v>
      </c>
      <c r="D69" s="2" cm="1">
        <f t="array" aca="1" ref="D69" ca="1">INDEX(Data_DBD!$D:$D,$A69)</f>
        <v>13</v>
      </c>
      <c r="E69" s="2" cm="1">
        <f t="array" aca="1" ref="E69" ca="1">INDEX(Data_DBD!$E:$E,$A69)</f>
        <v>0</v>
      </c>
      <c r="F69" s="2" t="str" cm="1">
        <f t="array" aca="1" ref="F69" ca="1">INDEX(Data_DBD!$F:$F,$A69)</f>
        <v>Sedang</v>
      </c>
      <c r="H69" s="2">
        <v>16</v>
      </c>
      <c r="I69" s="2">
        <v>66</v>
      </c>
      <c r="J69" s="2">
        <v>5</v>
      </c>
      <c r="K69" s="2">
        <v>7</v>
      </c>
      <c r="L69" s="2">
        <v>1</v>
      </c>
      <c r="M69" s="2" t="s">
        <v>20</v>
      </c>
    </row>
    <row r="70" spans="1:13">
      <c r="A70" s="2">
        <f t="shared" ca="1" si="1"/>
        <v>114</v>
      </c>
      <c r="B70" s="2" cm="1">
        <f t="array" aca="1" ref="B70" ca="1">INDEX(Data_DBD!$B:$B,$A70)</f>
        <v>14</v>
      </c>
      <c r="C70" s="2" cm="1">
        <f t="array" aca="1" ref="C70" ca="1">INDEX(Data_DBD!$C:$C,$A70)</f>
        <v>2</v>
      </c>
      <c r="D70" s="2" cm="1">
        <f t="array" aca="1" ref="D70" ca="1">INDEX(Data_DBD!$D:$D,$A70)</f>
        <v>33</v>
      </c>
      <c r="E70" s="2" cm="1">
        <f t="array" aca="1" ref="E70" ca="1">INDEX(Data_DBD!$E:$E,$A70)</f>
        <v>1</v>
      </c>
      <c r="F70" s="2" t="str" cm="1">
        <f t="array" aca="1" ref="F70" ca="1">INDEX(Data_DBD!$F:$F,$A70)</f>
        <v>Tinggi</v>
      </c>
      <c r="H70" s="2">
        <v>8</v>
      </c>
      <c r="I70" s="2">
        <v>4</v>
      </c>
      <c r="J70" s="2">
        <v>2</v>
      </c>
      <c r="K70" s="2">
        <v>12</v>
      </c>
      <c r="L70" s="2">
        <v>0</v>
      </c>
      <c r="M70" s="2" t="s">
        <v>7</v>
      </c>
    </row>
    <row r="71" spans="1:13">
      <c r="A71" s="2">
        <f t="shared" ca="1" si="1"/>
        <v>75</v>
      </c>
      <c r="B71" s="2" cm="1">
        <f t="array" aca="1" ref="B71" ca="1">INDEX(Data_DBD!$B:$B,$A71)</f>
        <v>2</v>
      </c>
      <c r="C71" s="2" cm="1">
        <f t="array" aca="1" ref="C71" ca="1">INDEX(Data_DBD!$C:$C,$A71)</f>
        <v>2</v>
      </c>
      <c r="D71" s="2" cm="1">
        <f t="array" aca="1" ref="D71" ca="1">INDEX(Data_DBD!$D:$D,$A71)</f>
        <v>10</v>
      </c>
      <c r="E71" s="2" cm="1">
        <f t="array" aca="1" ref="E71" ca="1">INDEX(Data_DBD!$E:$E,$A71)</f>
        <v>1</v>
      </c>
      <c r="F71" s="2" t="str" cm="1">
        <f t="array" aca="1" ref="F71" ca="1">INDEX(Data_DBD!$F:$F,$A71)</f>
        <v>Sedang</v>
      </c>
      <c r="H71" s="2">
        <v>30</v>
      </c>
      <c r="I71" s="2">
        <v>3</v>
      </c>
      <c r="J71" s="2">
        <v>2</v>
      </c>
      <c r="K71" s="2">
        <v>14</v>
      </c>
      <c r="L71" s="2">
        <v>1</v>
      </c>
      <c r="M71" s="2" t="s">
        <v>7</v>
      </c>
    </row>
    <row r="72" spans="1:13">
      <c r="A72" s="2">
        <f t="shared" ca="1" si="1"/>
        <v>36</v>
      </c>
      <c r="B72" s="2" cm="1">
        <f t="array" aca="1" ref="B72" ca="1">INDEX(Data_DBD!$B:$B,$A72)</f>
        <v>27</v>
      </c>
      <c r="C72" s="2" cm="1">
        <f t="array" aca="1" ref="C72" ca="1">INDEX(Data_DBD!$C:$C,$A72)</f>
        <v>1</v>
      </c>
      <c r="D72" s="2" cm="1">
        <f t="array" aca="1" ref="D72" ca="1">INDEX(Data_DBD!$D:$D,$A72)</f>
        <v>4</v>
      </c>
      <c r="E72" s="2" cm="1">
        <f t="array" aca="1" ref="E72" ca="1">INDEX(Data_DBD!$E:$E,$A72)</f>
        <v>1</v>
      </c>
      <c r="F72" s="2" t="str" cm="1">
        <f t="array" aca="1" ref="F72" ca="1">INDEX(Data_DBD!$F:$F,$A72)</f>
        <v>Rendah</v>
      </c>
      <c r="H72" s="2">
        <v>135</v>
      </c>
      <c r="I72" s="2">
        <v>10</v>
      </c>
      <c r="J72" s="2">
        <v>2</v>
      </c>
      <c r="K72" s="2">
        <v>33</v>
      </c>
      <c r="L72" s="2">
        <v>0</v>
      </c>
      <c r="M72" s="2" t="s">
        <v>97</v>
      </c>
    </row>
    <row r="73" spans="1:13">
      <c r="A73" s="2">
        <f t="shared" ca="1" si="1"/>
        <v>75</v>
      </c>
      <c r="B73" s="2" cm="1">
        <f t="array" aca="1" ref="B73" ca="1">INDEX(Data_DBD!$B:$B,$A73)</f>
        <v>2</v>
      </c>
      <c r="C73" s="2" cm="1">
        <f t="array" aca="1" ref="C73" ca="1">INDEX(Data_DBD!$C:$C,$A73)</f>
        <v>2</v>
      </c>
      <c r="D73" s="2" cm="1">
        <f t="array" aca="1" ref="D73" ca="1">INDEX(Data_DBD!$D:$D,$A73)</f>
        <v>10</v>
      </c>
      <c r="E73" s="2" cm="1">
        <f t="array" aca="1" ref="E73" ca="1">INDEX(Data_DBD!$E:$E,$A73)</f>
        <v>1</v>
      </c>
      <c r="F73" s="2" t="str" cm="1">
        <f t="array" aca="1" ref="F73" ca="1">INDEX(Data_DBD!$F:$F,$A73)</f>
        <v>Sedang</v>
      </c>
      <c r="H73" s="2">
        <v>15</v>
      </c>
      <c r="I73" s="2">
        <v>21</v>
      </c>
      <c r="J73" s="2">
        <v>2</v>
      </c>
      <c r="K73" s="2">
        <v>7</v>
      </c>
      <c r="L73" s="2">
        <v>0</v>
      </c>
      <c r="M73" s="2" t="s">
        <v>20</v>
      </c>
    </row>
    <row r="74" spans="1:13">
      <c r="A74" s="2">
        <f t="shared" ca="1" si="1"/>
        <v>124</v>
      </c>
      <c r="B74" s="2" cm="1">
        <f t="array" aca="1" ref="B74" ca="1">INDEX(Data_DBD!$B:$B,$A74)</f>
        <v>24</v>
      </c>
      <c r="C74" s="2" cm="1">
        <f t="array" aca="1" ref="C74" ca="1">INDEX(Data_DBD!$C:$C,$A74)</f>
        <v>3</v>
      </c>
      <c r="D74" s="2" cm="1">
        <f t="array" aca="1" ref="D74" ca="1">INDEX(Data_DBD!$D:$D,$A74)</f>
        <v>33</v>
      </c>
      <c r="E74" s="2" cm="1">
        <f t="array" aca="1" ref="E74" ca="1">INDEX(Data_DBD!$E:$E,$A74)</f>
        <v>1</v>
      </c>
      <c r="F74" s="2" t="str" cm="1">
        <f t="array" aca="1" ref="F74" ca="1">INDEX(Data_DBD!$F:$F,$A74)</f>
        <v>Tinggi</v>
      </c>
      <c r="H74" s="2">
        <v>158</v>
      </c>
      <c r="I74" s="2">
        <v>5</v>
      </c>
      <c r="J74" s="2">
        <v>2</v>
      </c>
      <c r="K74" s="2">
        <v>21</v>
      </c>
      <c r="L74" s="2">
        <v>0</v>
      </c>
      <c r="M74" s="2" t="s">
        <v>97</v>
      </c>
    </row>
    <row r="75" spans="1:13">
      <c r="A75" s="2">
        <f t="shared" ca="1" si="1"/>
        <v>63</v>
      </c>
      <c r="B75" s="2" cm="1">
        <f t="array" aca="1" ref="B75" ca="1">INDEX(Data_DBD!$B:$B,$A75)</f>
        <v>25</v>
      </c>
      <c r="C75" s="2" cm="1">
        <f t="array" aca="1" ref="C75" ca="1">INDEX(Data_DBD!$C:$C,$A75)</f>
        <v>3</v>
      </c>
      <c r="D75" s="2" cm="1">
        <f t="array" aca="1" ref="D75" ca="1">INDEX(Data_DBD!$D:$D,$A75)</f>
        <v>15</v>
      </c>
      <c r="E75" s="2" cm="1">
        <f t="array" aca="1" ref="E75" ca="1">INDEX(Data_DBD!$E:$E,$A75)</f>
        <v>0</v>
      </c>
      <c r="F75" s="2" t="str" cm="1">
        <f t="array" aca="1" ref="F75" ca="1">INDEX(Data_DBD!$F:$F,$A75)</f>
        <v>Sedang</v>
      </c>
      <c r="H75" s="2">
        <v>32</v>
      </c>
      <c r="I75" s="2">
        <v>54</v>
      </c>
      <c r="J75" s="2">
        <v>4</v>
      </c>
      <c r="K75" s="2">
        <v>14</v>
      </c>
      <c r="L75" s="2">
        <v>0</v>
      </c>
      <c r="M75" s="2" t="s">
        <v>7</v>
      </c>
    </row>
    <row r="76" spans="1:13">
      <c r="A76" s="2">
        <f t="shared" ca="1" si="1"/>
        <v>127</v>
      </c>
      <c r="B76" s="2" cm="1">
        <f t="array" aca="1" ref="B76" ca="1">INDEX(Data_DBD!$B:$B,$A76)</f>
        <v>21</v>
      </c>
      <c r="C76" s="2" cm="1">
        <f t="array" aca="1" ref="C76" ca="1">INDEX(Data_DBD!$C:$C,$A76)</f>
        <v>2</v>
      </c>
      <c r="D76" s="2" cm="1">
        <f t="array" aca="1" ref="D76" ca="1">INDEX(Data_DBD!$D:$D,$A76)</f>
        <v>33</v>
      </c>
      <c r="E76" s="2" cm="1">
        <f t="array" aca="1" ref="E76" ca="1">INDEX(Data_DBD!$E:$E,$A76)</f>
        <v>0</v>
      </c>
      <c r="F76" s="2" t="str" cm="1">
        <f t="array" aca="1" ref="F76" ca="1">INDEX(Data_DBD!$F:$F,$A76)</f>
        <v>Tinggi</v>
      </c>
      <c r="H76" s="2">
        <v>106</v>
      </c>
      <c r="I76" s="2">
        <v>23</v>
      </c>
      <c r="J76" s="2">
        <v>3</v>
      </c>
      <c r="K76" s="2">
        <v>18</v>
      </c>
      <c r="L76" s="2">
        <v>1</v>
      </c>
      <c r="M76" s="2" t="s">
        <v>97</v>
      </c>
    </row>
    <row r="77" spans="1:13">
      <c r="A77" s="2">
        <f t="shared" ca="1" si="1"/>
        <v>145</v>
      </c>
      <c r="B77" s="2" cm="1">
        <f t="array" aca="1" ref="B77" ca="1">INDEX(Data_DBD!$B:$B,$A77)</f>
        <v>28</v>
      </c>
      <c r="C77" s="2" cm="1">
        <f t="array" aca="1" ref="C77" ca="1">INDEX(Data_DBD!$C:$C,$A77)</f>
        <v>4</v>
      </c>
      <c r="D77" s="2" cm="1">
        <f t="array" aca="1" ref="D77" ca="1">INDEX(Data_DBD!$D:$D,$A77)</f>
        <v>21</v>
      </c>
      <c r="E77" s="2" cm="1">
        <f t="array" aca="1" ref="E77" ca="1">INDEX(Data_DBD!$E:$E,$A77)</f>
        <v>1</v>
      </c>
      <c r="F77" s="2" t="str" cm="1">
        <f t="array" aca="1" ref="F77" ca="1">INDEX(Data_DBD!$F:$F,$A77)</f>
        <v>Tinggi</v>
      </c>
      <c r="H77" s="2">
        <v>5</v>
      </c>
      <c r="I77" s="2">
        <v>18</v>
      </c>
      <c r="J77" s="2">
        <v>2</v>
      </c>
      <c r="K77" s="2">
        <v>12</v>
      </c>
      <c r="L77" s="2">
        <v>1</v>
      </c>
      <c r="M77" s="2" t="s">
        <v>7</v>
      </c>
    </row>
    <row r="78" spans="1:13">
      <c r="A78" s="2">
        <f t="shared" ca="1" si="1"/>
        <v>133</v>
      </c>
      <c r="B78" s="2" cm="1">
        <f t="array" aca="1" ref="B78" ca="1">INDEX(Data_DBD!$B:$B,$A78)</f>
        <v>6</v>
      </c>
      <c r="C78" s="2" cm="1">
        <f t="array" aca="1" ref="C78" ca="1">INDEX(Data_DBD!$C:$C,$A78)</f>
        <v>4</v>
      </c>
      <c r="D78" s="2" cm="1">
        <f t="array" aca="1" ref="D78" ca="1">INDEX(Data_DBD!$D:$D,$A78)</f>
        <v>33</v>
      </c>
      <c r="E78" s="2" cm="1">
        <f t="array" aca="1" ref="E78" ca="1">INDEX(Data_DBD!$E:$E,$A78)</f>
        <v>0</v>
      </c>
      <c r="F78" s="2" t="str" cm="1">
        <f t="array" aca="1" ref="F78" ca="1">INDEX(Data_DBD!$F:$F,$A78)</f>
        <v>Tinggi</v>
      </c>
      <c r="H78" s="2">
        <v>46</v>
      </c>
      <c r="I78" s="2">
        <v>62</v>
      </c>
      <c r="J78" s="2">
        <v>2</v>
      </c>
      <c r="K78" s="2">
        <v>13</v>
      </c>
      <c r="L78" s="2">
        <v>0</v>
      </c>
      <c r="M78" s="2" t="s">
        <v>7</v>
      </c>
    </row>
    <row r="79" spans="1:13">
      <c r="A79" s="2">
        <f t="shared" ca="1" si="1"/>
        <v>7</v>
      </c>
      <c r="B79" s="2" cm="1">
        <f t="array" aca="1" ref="B79" ca="1">INDEX(Data_DBD!$B:$B,$A79)</f>
        <v>12</v>
      </c>
      <c r="C79" s="2" cm="1">
        <f t="array" aca="1" ref="C79" ca="1">INDEX(Data_DBD!$C:$C,$A79)</f>
        <v>1</v>
      </c>
      <c r="D79" s="2" cm="1">
        <f t="array" aca="1" ref="D79" ca="1">INDEX(Data_DBD!$D:$D,$A79)</f>
        <v>12</v>
      </c>
      <c r="E79" s="2" cm="1">
        <f t="array" aca="1" ref="E79" ca="1">INDEX(Data_DBD!$E:$E,$A79)</f>
        <v>1</v>
      </c>
      <c r="F79" s="2" t="str" cm="1">
        <f t="array" aca="1" ref="F79" ca="1">INDEX(Data_DBD!$F:$F,$A79)</f>
        <v>Sedang</v>
      </c>
      <c r="H79" s="2">
        <v>164</v>
      </c>
      <c r="I79" s="2">
        <v>10</v>
      </c>
      <c r="J79" s="2">
        <v>6</v>
      </c>
      <c r="K79" s="2">
        <v>3</v>
      </c>
      <c r="L79" s="2">
        <v>0</v>
      </c>
      <c r="M79" s="2" t="s">
        <v>20</v>
      </c>
    </row>
    <row r="80" spans="1:13">
      <c r="A80" s="2">
        <f t="shared" ca="1" si="1"/>
        <v>6</v>
      </c>
      <c r="B80" s="2" cm="1">
        <f t="array" aca="1" ref="B80" ca="1">INDEX(Data_DBD!$B:$B,$A80)</f>
        <v>14</v>
      </c>
      <c r="C80" s="2" cm="1">
        <f t="array" aca="1" ref="C80" ca="1">INDEX(Data_DBD!$C:$C,$A80)</f>
        <v>4</v>
      </c>
      <c r="D80" s="2" cm="1">
        <f t="array" aca="1" ref="D80" ca="1">INDEX(Data_DBD!$D:$D,$A80)</f>
        <v>12</v>
      </c>
      <c r="E80" s="2" cm="1">
        <f t="array" aca="1" ref="E80" ca="1">INDEX(Data_DBD!$E:$E,$A80)</f>
        <v>0</v>
      </c>
      <c r="F80" s="2" t="str" cm="1">
        <f t="array" aca="1" ref="F80" ca="1">INDEX(Data_DBD!$F:$F,$A80)</f>
        <v>Sedang</v>
      </c>
      <c r="H80" s="2">
        <v>72</v>
      </c>
      <c r="I80" s="2">
        <v>3</v>
      </c>
      <c r="J80" s="2">
        <v>5</v>
      </c>
      <c r="K80" s="2">
        <v>10</v>
      </c>
      <c r="L80" s="2">
        <v>1</v>
      </c>
      <c r="M80" s="2" t="s">
        <v>7</v>
      </c>
    </row>
    <row r="81" spans="1:13">
      <c r="A81" s="2">
        <f t="shared" ca="1" si="1"/>
        <v>149</v>
      </c>
      <c r="B81" s="2" cm="1">
        <f t="array" aca="1" ref="B81" ca="1">INDEX(Data_DBD!$B:$B,$A81)</f>
        <v>19</v>
      </c>
      <c r="C81" s="2" cm="1">
        <f t="array" aca="1" ref="C81" ca="1">INDEX(Data_DBD!$C:$C,$A81)</f>
        <v>5</v>
      </c>
      <c r="D81" s="2" cm="1">
        <f t="array" aca="1" ref="D81" ca="1">INDEX(Data_DBD!$D:$D,$A81)</f>
        <v>21</v>
      </c>
      <c r="E81" s="2" cm="1">
        <f t="array" aca="1" ref="E81" ca="1">INDEX(Data_DBD!$E:$E,$A81)</f>
        <v>0</v>
      </c>
      <c r="F81" s="2" t="str" cm="1">
        <f t="array" aca="1" ref="F81" ca="1">INDEX(Data_DBD!$F:$F,$A81)</f>
        <v>Tinggi</v>
      </c>
      <c r="H81" s="2">
        <v>98</v>
      </c>
      <c r="I81" s="2">
        <v>16</v>
      </c>
      <c r="J81" s="2">
        <v>2</v>
      </c>
      <c r="K81" s="2">
        <v>18</v>
      </c>
      <c r="L81" s="2">
        <v>1</v>
      </c>
      <c r="M81" s="2" t="s">
        <v>97</v>
      </c>
    </row>
    <row r="82" spans="1:13">
      <c r="A82" s="2">
        <f t="shared" ca="1" si="1"/>
        <v>37</v>
      </c>
      <c r="B82" s="2" cm="1">
        <f t="array" aca="1" ref="B82" ca="1">INDEX(Data_DBD!$B:$B,$A82)</f>
        <v>28</v>
      </c>
      <c r="C82" s="2" cm="1">
        <f t="array" aca="1" ref="C82" ca="1">INDEX(Data_DBD!$C:$C,$A82)</f>
        <v>4</v>
      </c>
      <c r="D82" s="2" cm="1">
        <f t="array" aca="1" ref="D82" ca="1">INDEX(Data_DBD!$D:$D,$A82)</f>
        <v>4</v>
      </c>
      <c r="E82" s="2" cm="1">
        <f t="array" aca="1" ref="E82" ca="1">INDEX(Data_DBD!$E:$E,$A82)</f>
        <v>1</v>
      </c>
      <c r="F82" s="2" t="str" cm="1">
        <f t="array" aca="1" ref="F82" ca="1">INDEX(Data_DBD!$F:$F,$A82)</f>
        <v>Rendah</v>
      </c>
      <c r="H82" s="2">
        <v>5</v>
      </c>
      <c r="I82" s="2">
        <v>18</v>
      </c>
      <c r="J82" s="2">
        <v>2</v>
      </c>
      <c r="K82" s="2">
        <v>12</v>
      </c>
      <c r="L82" s="2">
        <v>1</v>
      </c>
      <c r="M82" s="2" t="s">
        <v>7</v>
      </c>
    </row>
    <row r="83" spans="1:13">
      <c r="A83" s="2">
        <f t="shared" ca="1" si="1"/>
        <v>74</v>
      </c>
      <c r="B83" s="2" cm="1">
        <f t="array" aca="1" ref="B83" ca="1">INDEX(Data_DBD!$B:$B,$A83)</f>
        <v>9</v>
      </c>
      <c r="C83" s="2" cm="1">
        <f t="array" aca="1" ref="C83" ca="1">INDEX(Data_DBD!$C:$C,$A83)</f>
        <v>4</v>
      </c>
      <c r="D83" s="2" cm="1">
        <f t="array" aca="1" ref="D83" ca="1">INDEX(Data_DBD!$D:$D,$A83)</f>
        <v>10</v>
      </c>
      <c r="E83" s="2" cm="1">
        <f t="array" aca="1" ref="E83" ca="1">INDEX(Data_DBD!$E:$E,$A83)</f>
        <v>0</v>
      </c>
      <c r="F83" s="2" t="str" cm="1">
        <f t="array" aca="1" ref="F83" ca="1">INDEX(Data_DBD!$F:$F,$A83)</f>
        <v>Sedang</v>
      </c>
      <c r="H83" s="2">
        <v>158</v>
      </c>
      <c r="I83" s="2">
        <v>5</v>
      </c>
      <c r="J83" s="2">
        <v>2</v>
      </c>
      <c r="K83" s="2">
        <v>21</v>
      </c>
      <c r="L83" s="2">
        <v>0</v>
      </c>
      <c r="M83" s="2" t="s">
        <v>97</v>
      </c>
    </row>
    <row r="84" spans="1:13">
      <c r="A84" s="2">
        <f t="shared" ca="1" si="1"/>
        <v>32</v>
      </c>
      <c r="B84" s="2" cm="1">
        <f t="array" aca="1" ref="B84" ca="1">INDEX(Data_DBD!$B:$B,$A84)</f>
        <v>54</v>
      </c>
      <c r="C84" s="2" cm="1">
        <f t="array" aca="1" ref="C84" ca="1">INDEX(Data_DBD!$C:$C,$A84)</f>
        <v>4</v>
      </c>
      <c r="D84" s="2" cm="1">
        <f t="array" aca="1" ref="D84" ca="1">INDEX(Data_DBD!$D:$D,$A84)</f>
        <v>14</v>
      </c>
      <c r="E84" s="2" cm="1">
        <f t="array" aca="1" ref="E84" ca="1">INDEX(Data_DBD!$E:$E,$A84)</f>
        <v>0</v>
      </c>
      <c r="F84" s="2" t="str" cm="1">
        <f t="array" aca="1" ref="F84" ca="1">INDEX(Data_DBD!$F:$F,$A84)</f>
        <v>Sedang</v>
      </c>
      <c r="H84" s="2">
        <v>69</v>
      </c>
      <c r="I84" s="2">
        <v>24</v>
      </c>
      <c r="J84" s="2">
        <v>4</v>
      </c>
      <c r="K84" s="2">
        <v>10</v>
      </c>
      <c r="L84" s="2">
        <v>1</v>
      </c>
      <c r="M84" s="2" t="s">
        <v>7</v>
      </c>
    </row>
    <row r="85" spans="1:13">
      <c r="A85" s="2">
        <f t="shared" ca="1" si="1"/>
        <v>145</v>
      </c>
      <c r="B85" s="2" cm="1">
        <f t="array" aca="1" ref="B85" ca="1">INDEX(Data_DBD!$B:$B,$A85)</f>
        <v>28</v>
      </c>
      <c r="C85" s="2" cm="1">
        <f t="array" aca="1" ref="C85" ca="1">INDEX(Data_DBD!$C:$C,$A85)</f>
        <v>4</v>
      </c>
      <c r="D85" s="2" cm="1">
        <f t="array" aca="1" ref="D85" ca="1">INDEX(Data_DBD!$D:$D,$A85)</f>
        <v>21</v>
      </c>
      <c r="E85" s="2" cm="1">
        <f t="array" aca="1" ref="E85" ca="1">INDEX(Data_DBD!$E:$E,$A85)</f>
        <v>1</v>
      </c>
      <c r="F85" s="2" t="str" cm="1">
        <f t="array" aca="1" ref="F85" ca="1">INDEX(Data_DBD!$F:$F,$A85)</f>
        <v>Tinggi</v>
      </c>
      <c r="H85" s="2">
        <v>8</v>
      </c>
      <c r="I85" s="2">
        <v>4</v>
      </c>
      <c r="J85" s="2">
        <v>2</v>
      </c>
      <c r="K85" s="2">
        <v>12</v>
      </c>
      <c r="L85" s="2">
        <v>0</v>
      </c>
      <c r="M85" s="2" t="s">
        <v>7</v>
      </c>
    </row>
    <row r="86" spans="1:13">
      <c r="A86" s="2">
        <f t="shared" ca="1" si="1"/>
        <v>113</v>
      </c>
      <c r="B86" s="2" cm="1">
        <f t="array" aca="1" ref="B86" ca="1">INDEX(Data_DBD!$B:$B,$A86)</f>
        <v>69</v>
      </c>
      <c r="C86" s="2" cm="1">
        <f t="array" aca="1" ref="C86" ca="1">INDEX(Data_DBD!$C:$C,$A86)</f>
        <v>1</v>
      </c>
      <c r="D86" s="2" cm="1">
        <f t="array" aca="1" ref="D86" ca="1">INDEX(Data_DBD!$D:$D,$A86)</f>
        <v>33</v>
      </c>
      <c r="E86" s="2" cm="1">
        <f t="array" aca="1" ref="E86" ca="1">INDEX(Data_DBD!$E:$E,$A86)</f>
        <v>1</v>
      </c>
      <c r="F86" s="2" t="str" cm="1">
        <f t="array" aca="1" ref="F86" ca="1">INDEX(Data_DBD!$F:$F,$A86)</f>
        <v>Tinggi</v>
      </c>
      <c r="H86" s="2">
        <v>157</v>
      </c>
      <c r="I86" s="2">
        <v>15</v>
      </c>
      <c r="J86" s="2">
        <v>4</v>
      </c>
      <c r="K86" s="2">
        <v>21</v>
      </c>
      <c r="L86" s="2">
        <v>1</v>
      </c>
      <c r="M86" s="2" t="s">
        <v>97</v>
      </c>
    </row>
    <row r="87" spans="1:13">
      <c r="A87" s="2">
        <f t="shared" ca="1" si="1"/>
        <v>54</v>
      </c>
      <c r="B87" s="2" cm="1">
        <f t="array" aca="1" ref="B87" ca="1">INDEX(Data_DBD!$B:$B,$A87)</f>
        <v>7</v>
      </c>
      <c r="C87" s="2" cm="1">
        <f t="array" aca="1" ref="C87" ca="1">INDEX(Data_DBD!$C:$C,$A87)</f>
        <v>3</v>
      </c>
      <c r="D87" s="2" cm="1">
        <f t="array" aca="1" ref="D87" ca="1">INDEX(Data_DBD!$D:$D,$A87)</f>
        <v>15</v>
      </c>
      <c r="E87" s="2" cm="1">
        <f t="array" aca="1" ref="E87" ca="1">INDEX(Data_DBD!$E:$E,$A87)</f>
        <v>0</v>
      </c>
      <c r="F87" s="2" t="str" cm="1">
        <f t="array" aca="1" ref="F87" ca="1">INDEX(Data_DBD!$F:$F,$A87)</f>
        <v>Sedang</v>
      </c>
      <c r="H87" s="2">
        <v>28</v>
      </c>
      <c r="I87" s="2">
        <v>22</v>
      </c>
      <c r="J87" s="2">
        <v>2</v>
      </c>
      <c r="K87" s="2">
        <v>14</v>
      </c>
      <c r="L87" s="2">
        <v>1</v>
      </c>
      <c r="M87" s="2" t="s">
        <v>7</v>
      </c>
    </row>
    <row r="88" spans="1:13">
      <c r="A88" s="2">
        <f t="shared" ca="1" si="1"/>
        <v>157</v>
      </c>
      <c r="B88" s="2" cm="1">
        <f t="array" aca="1" ref="B88" ca="1">INDEX(Data_DBD!$B:$B,$A88)</f>
        <v>15</v>
      </c>
      <c r="C88" s="2" cm="1">
        <f t="array" aca="1" ref="C88" ca="1">INDEX(Data_DBD!$C:$C,$A88)</f>
        <v>4</v>
      </c>
      <c r="D88" s="2" cm="1">
        <f t="array" aca="1" ref="D88" ca="1">INDEX(Data_DBD!$D:$D,$A88)</f>
        <v>21</v>
      </c>
      <c r="E88" s="2" cm="1">
        <f t="array" aca="1" ref="E88" ca="1">INDEX(Data_DBD!$E:$E,$A88)</f>
        <v>1</v>
      </c>
      <c r="F88" s="2" t="str" cm="1">
        <f t="array" aca="1" ref="F88" ca="1">INDEX(Data_DBD!$F:$F,$A88)</f>
        <v>Tinggi</v>
      </c>
      <c r="H88" s="2">
        <v>14</v>
      </c>
      <c r="I88" s="2">
        <v>49</v>
      </c>
      <c r="J88" s="2">
        <v>4</v>
      </c>
      <c r="K88" s="2">
        <v>7</v>
      </c>
      <c r="L88" s="2">
        <v>1</v>
      </c>
      <c r="M88" s="2" t="s">
        <v>20</v>
      </c>
    </row>
    <row r="89" spans="1:13">
      <c r="A89" s="2">
        <f t="shared" ca="1" si="1"/>
        <v>139</v>
      </c>
      <c r="B89" s="2" cm="1">
        <f t="array" aca="1" ref="B89" ca="1">INDEX(Data_DBD!$B:$B,$A89)</f>
        <v>52</v>
      </c>
      <c r="C89" s="2" cm="1">
        <f t="array" aca="1" ref="C89" ca="1">INDEX(Data_DBD!$C:$C,$A89)</f>
        <v>7</v>
      </c>
      <c r="D89" s="2" cm="1">
        <f t="array" aca="1" ref="D89" ca="1">INDEX(Data_DBD!$D:$D,$A89)</f>
        <v>21</v>
      </c>
      <c r="E89" s="2" cm="1">
        <f t="array" aca="1" ref="E89" ca="1">INDEX(Data_DBD!$E:$E,$A89)</f>
        <v>0</v>
      </c>
      <c r="F89" s="2" t="str" cm="1">
        <f t="array" aca="1" ref="F89" ca="1">INDEX(Data_DBD!$F:$F,$A89)</f>
        <v>Tinggi</v>
      </c>
      <c r="H89" s="2">
        <v>58</v>
      </c>
      <c r="I89" s="2">
        <v>17</v>
      </c>
      <c r="J89" s="2">
        <v>3</v>
      </c>
      <c r="K89" s="2">
        <v>15</v>
      </c>
      <c r="L89" s="2">
        <v>0</v>
      </c>
      <c r="M89" s="2" t="s">
        <v>7</v>
      </c>
    </row>
    <row r="90" spans="1:13">
      <c r="A90" s="2">
        <f t="shared" ca="1" si="1"/>
        <v>112</v>
      </c>
      <c r="B90" s="2" cm="1">
        <f t="array" aca="1" ref="B90" ca="1">INDEX(Data_DBD!$B:$B,$A90)</f>
        <v>61</v>
      </c>
      <c r="C90" s="2" cm="1">
        <f t="array" aca="1" ref="C90" ca="1">INDEX(Data_DBD!$C:$C,$A90)</f>
        <v>3</v>
      </c>
      <c r="D90" s="2" cm="1">
        <f t="array" aca="1" ref="D90" ca="1">INDEX(Data_DBD!$D:$D,$A90)</f>
        <v>33</v>
      </c>
      <c r="E90" s="2" cm="1">
        <f t="array" aca="1" ref="E90" ca="1">INDEX(Data_DBD!$E:$E,$A90)</f>
        <v>1</v>
      </c>
      <c r="F90" s="2" t="str" cm="1">
        <f t="array" aca="1" ref="F90" ca="1">INDEX(Data_DBD!$F:$F,$A90)</f>
        <v>Tinggi</v>
      </c>
      <c r="H90" s="2">
        <v>157</v>
      </c>
      <c r="I90" s="2">
        <v>15</v>
      </c>
      <c r="J90" s="2">
        <v>4</v>
      </c>
      <c r="K90" s="2">
        <v>21</v>
      </c>
      <c r="L90" s="2">
        <v>1</v>
      </c>
      <c r="M90" s="2" t="s">
        <v>97</v>
      </c>
    </row>
    <row r="91" spans="1:13">
      <c r="A91" s="2">
        <f t="shared" ca="1" si="1"/>
        <v>84</v>
      </c>
      <c r="B91" s="2" cm="1">
        <f t="array" aca="1" ref="B91" ca="1">INDEX(Data_DBD!$B:$B,$A91)</f>
        <v>42</v>
      </c>
      <c r="C91" s="2" cm="1">
        <f t="array" aca="1" ref="C91" ca="1">INDEX(Data_DBD!$C:$C,$A91)</f>
        <v>4</v>
      </c>
      <c r="D91" s="2" cm="1">
        <f t="array" aca="1" ref="D91" ca="1">INDEX(Data_DBD!$D:$D,$A91)</f>
        <v>13</v>
      </c>
      <c r="E91" s="2" cm="1">
        <f t="array" aca="1" ref="E91" ca="1">INDEX(Data_DBD!$E:$E,$A91)</f>
        <v>1</v>
      </c>
      <c r="F91" s="2" t="str" cm="1">
        <f t="array" aca="1" ref="F91" ca="1">INDEX(Data_DBD!$F:$F,$A91)</f>
        <v>Sedang</v>
      </c>
      <c r="H91" s="2">
        <v>129</v>
      </c>
      <c r="I91" s="2">
        <v>4</v>
      </c>
      <c r="J91" s="2">
        <v>3</v>
      </c>
      <c r="K91" s="2">
        <v>33</v>
      </c>
      <c r="L91" s="2">
        <v>0</v>
      </c>
      <c r="M91" s="2" t="s">
        <v>97</v>
      </c>
    </row>
    <row r="92" spans="1:13">
      <c r="A92" s="2">
        <f t="shared" ca="1" si="1"/>
        <v>31</v>
      </c>
      <c r="B92" s="2" cm="1">
        <f t="array" aca="1" ref="B92" ca="1">INDEX(Data_DBD!$B:$B,$A92)</f>
        <v>64</v>
      </c>
      <c r="C92" s="2" cm="1">
        <f t="array" aca="1" ref="C92" ca="1">INDEX(Data_DBD!$C:$C,$A92)</f>
        <v>4</v>
      </c>
      <c r="D92" s="2" cm="1">
        <f t="array" aca="1" ref="D92" ca="1">INDEX(Data_DBD!$D:$D,$A92)</f>
        <v>14</v>
      </c>
      <c r="E92" s="2" cm="1">
        <f t="array" aca="1" ref="E92" ca="1">INDEX(Data_DBD!$E:$E,$A92)</f>
        <v>1</v>
      </c>
      <c r="F92" s="2" t="str" cm="1">
        <f t="array" aca="1" ref="F92" ca="1">INDEX(Data_DBD!$F:$F,$A92)</f>
        <v>Sedang</v>
      </c>
      <c r="H92" s="2">
        <v>120</v>
      </c>
      <c r="I92" s="2">
        <v>26</v>
      </c>
      <c r="J92" s="2">
        <v>4</v>
      </c>
      <c r="K92" s="2">
        <v>33</v>
      </c>
      <c r="L92" s="2">
        <v>1</v>
      </c>
      <c r="M92" s="2" t="s">
        <v>97</v>
      </c>
    </row>
    <row r="93" spans="1:13">
      <c r="A93" s="2">
        <f t="shared" ca="1" si="1"/>
        <v>33</v>
      </c>
      <c r="B93" s="2" cm="1">
        <f t="array" aca="1" ref="B93" ca="1">INDEX(Data_DBD!$B:$B,$A93)</f>
        <v>19</v>
      </c>
      <c r="C93" s="2" cm="1">
        <f t="array" aca="1" ref="C93" ca="1">INDEX(Data_DBD!$C:$C,$A93)</f>
        <v>4</v>
      </c>
      <c r="D93" s="2" cm="1">
        <f t="array" aca="1" ref="D93" ca="1">INDEX(Data_DBD!$D:$D,$A93)</f>
        <v>14</v>
      </c>
      <c r="E93" s="2" cm="1">
        <f t="array" aca="1" ref="E93" ca="1">INDEX(Data_DBD!$E:$E,$A93)</f>
        <v>1</v>
      </c>
      <c r="F93" s="2" t="str" cm="1">
        <f t="array" aca="1" ref="F93" ca="1">INDEX(Data_DBD!$F:$F,$A93)</f>
        <v>Sedang</v>
      </c>
      <c r="H93" s="2">
        <v>56</v>
      </c>
      <c r="I93" s="2">
        <v>4</v>
      </c>
      <c r="J93" s="2">
        <v>3</v>
      </c>
      <c r="K93" s="2">
        <v>15</v>
      </c>
      <c r="L93" s="2">
        <v>0</v>
      </c>
      <c r="M93" s="2" t="s">
        <v>7</v>
      </c>
    </row>
    <row r="94" spans="1:13">
      <c r="A94" s="2">
        <f t="shared" ca="1" si="1"/>
        <v>139</v>
      </c>
      <c r="B94" s="2" cm="1">
        <f t="array" aca="1" ref="B94" ca="1">INDEX(Data_DBD!$B:$B,$A94)</f>
        <v>52</v>
      </c>
      <c r="C94" s="2" cm="1">
        <f t="array" aca="1" ref="C94" ca="1">INDEX(Data_DBD!$C:$C,$A94)</f>
        <v>7</v>
      </c>
      <c r="D94" s="2" cm="1">
        <f t="array" aca="1" ref="D94" ca="1">INDEX(Data_DBD!$D:$D,$A94)</f>
        <v>21</v>
      </c>
      <c r="E94" s="2" cm="1">
        <f t="array" aca="1" ref="E94" ca="1">INDEX(Data_DBD!$E:$E,$A94)</f>
        <v>0</v>
      </c>
      <c r="F94" s="2" t="str" cm="1">
        <f t="array" aca="1" ref="F94" ca="1">INDEX(Data_DBD!$F:$F,$A94)</f>
        <v>Tinggi</v>
      </c>
      <c r="H94" s="2">
        <v>2</v>
      </c>
      <c r="I94" s="2">
        <v>34</v>
      </c>
      <c r="J94" s="2">
        <v>3</v>
      </c>
      <c r="K94" s="2">
        <v>12</v>
      </c>
      <c r="L94" s="2">
        <v>0</v>
      </c>
      <c r="M94" s="2" t="s">
        <v>7</v>
      </c>
    </row>
    <row r="95" spans="1:13">
      <c r="A95" s="2">
        <f t="shared" ca="1" si="1"/>
        <v>146</v>
      </c>
      <c r="B95" s="2" cm="1">
        <f t="array" aca="1" ref="B95" ca="1">INDEX(Data_DBD!$B:$B,$A95)</f>
        <v>34</v>
      </c>
      <c r="C95" s="2" cm="1">
        <f t="array" aca="1" ref="C95" ca="1">INDEX(Data_DBD!$C:$C,$A95)</f>
        <v>2</v>
      </c>
      <c r="D95" s="2" cm="1">
        <f t="array" aca="1" ref="D95" ca="1">INDEX(Data_DBD!$D:$D,$A95)</f>
        <v>21</v>
      </c>
      <c r="E95" s="2" cm="1">
        <f t="array" aca="1" ref="E95" ca="1">INDEX(Data_DBD!$E:$E,$A95)</f>
        <v>1</v>
      </c>
      <c r="F95" s="2" t="str" cm="1">
        <f t="array" aca="1" ref="F95" ca="1">INDEX(Data_DBD!$F:$F,$A95)</f>
        <v>Tinggi</v>
      </c>
      <c r="H95" s="2">
        <v>18</v>
      </c>
      <c r="I95" s="2">
        <v>49</v>
      </c>
      <c r="J95" s="2">
        <v>4</v>
      </c>
      <c r="K95" s="2">
        <v>7</v>
      </c>
      <c r="L95" s="2">
        <v>1</v>
      </c>
      <c r="M95" s="2" t="s">
        <v>20</v>
      </c>
    </row>
    <row r="96" spans="1:13">
      <c r="A96" s="2">
        <f t="shared" ca="1" si="1"/>
        <v>25</v>
      </c>
      <c r="B96" s="2" cm="1">
        <f t="array" aca="1" ref="B96" ca="1">INDEX(Data_DBD!$B:$B,$A96)</f>
        <v>81</v>
      </c>
      <c r="C96" s="2" cm="1">
        <f t="array" aca="1" ref="C96" ca="1">INDEX(Data_DBD!$C:$C,$A96)</f>
        <v>5</v>
      </c>
      <c r="D96" s="2" cm="1">
        <f t="array" aca="1" ref="D96" ca="1">INDEX(Data_DBD!$D:$D,$A96)</f>
        <v>14</v>
      </c>
      <c r="E96" s="2" cm="1">
        <f t="array" aca="1" ref="E96" ca="1">INDEX(Data_DBD!$E:$E,$A96)</f>
        <v>0</v>
      </c>
      <c r="F96" s="2" t="str" cm="1">
        <f t="array" aca="1" ref="F96" ca="1">INDEX(Data_DBD!$F:$F,$A96)</f>
        <v>Sedang</v>
      </c>
      <c r="H96" s="2">
        <v>104</v>
      </c>
      <c r="I96" s="2">
        <v>37</v>
      </c>
      <c r="J96" s="2">
        <v>4</v>
      </c>
      <c r="K96" s="2">
        <v>18</v>
      </c>
      <c r="L96" s="2">
        <v>1</v>
      </c>
      <c r="M96" s="2" t="s">
        <v>97</v>
      </c>
    </row>
    <row r="97" spans="1:13">
      <c r="A97" s="2">
        <f t="shared" ca="1" si="1"/>
        <v>83</v>
      </c>
      <c r="B97" s="2" cm="1">
        <f t="array" aca="1" ref="B97" ca="1">INDEX(Data_DBD!$B:$B,$A97)</f>
        <v>50</v>
      </c>
      <c r="C97" s="2" cm="1">
        <f t="array" aca="1" ref="C97" ca="1">INDEX(Data_DBD!$C:$C,$A97)</f>
        <v>3</v>
      </c>
      <c r="D97" s="2" cm="1">
        <f t="array" aca="1" ref="D97" ca="1">INDEX(Data_DBD!$D:$D,$A97)</f>
        <v>13</v>
      </c>
      <c r="E97" s="2" cm="1">
        <f t="array" aca="1" ref="E97" ca="1">INDEX(Data_DBD!$E:$E,$A97)</f>
        <v>0</v>
      </c>
      <c r="F97" s="2" t="str" cm="1">
        <f t="array" aca="1" ref="F97" ca="1">INDEX(Data_DBD!$F:$F,$A97)</f>
        <v>Sedang</v>
      </c>
      <c r="H97" s="2">
        <v>7</v>
      </c>
      <c r="I97" s="2">
        <v>12</v>
      </c>
      <c r="J97" s="2">
        <v>1</v>
      </c>
      <c r="K97" s="2">
        <v>12</v>
      </c>
      <c r="L97" s="2">
        <v>1</v>
      </c>
      <c r="M97" s="2" t="s">
        <v>7</v>
      </c>
    </row>
    <row r="98" spans="1:13">
      <c r="A98" s="2">
        <f t="shared" ca="1" si="1"/>
        <v>28</v>
      </c>
      <c r="B98" s="2" cm="1">
        <f t="array" aca="1" ref="B98" ca="1">INDEX(Data_DBD!$B:$B,$A98)</f>
        <v>22</v>
      </c>
      <c r="C98" s="2" cm="1">
        <f t="array" aca="1" ref="C98" ca="1">INDEX(Data_DBD!$C:$C,$A98)</f>
        <v>2</v>
      </c>
      <c r="D98" s="2" cm="1">
        <f t="array" aca="1" ref="D98" ca="1">INDEX(Data_DBD!$D:$D,$A98)</f>
        <v>14</v>
      </c>
      <c r="E98" s="2" cm="1">
        <f t="array" aca="1" ref="E98" ca="1">INDEX(Data_DBD!$E:$E,$A98)</f>
        <v>1</v>
      </c>
      <c r="F98" s="2" t="str" cm="1">
        <f t="array" aca="1" ref="F98" ca="1">INDEX(Data_DBD!$F:$F,$A98)</f>
        <v>Sedang</v>
      </c>
      <c r="H98" s="2">
        <v>102</v>
      </c>
      <c r="I98" s="2">
        <v>41</v>
      </c>
      <c r="J98" s="2">
        <v>4</v>
      </c>
      <c r="K98" s="2">
        <v>18</v>
      </c>
      <c r="L98" s="2">
        <v>0</v>
      </c>
      <c r="M98" s="2" t="s">
        <v>97</v>
      </c>
    </row>
    <row r="99" spans="1:13">
      <c r="A99" s="2">
        <f t="shared" ca="1" si="1"/>
        <v>143</v>
      </c>
      <c r="B99" s="2" cm="1">
        <f t="array" aca="1" ref="B99" ca="1">INDEX(Data_DBD!$B:$B,$A99)</f>
        <v>20</v>
      </c>
      <c r="C99" s="2" cm="1">
        <f t="array" aca="1" ref="C99" ca="1">INDEX(Data_DBD!$C:$C,$A99)</f>
        <v>4</v>
      </c>
      <c r="D99" s="2" cm="1">
        <f t="array" aca="1" ref="D99" ca="1">INDEX(Data_DBD!$D:$D,$A99)</f>
        <v>21</v>
      </c>
      <c r="E99" s="2" cm="1">
        <f t="array" aca="1" ref="E99" ca="1">INDEX(Data_DBD!$E:$E,$A99)</f>
        <v>1</v>
      </c>
      <c r="F99" s="2" t="str" cm="1">
        <f t="array" aca="1" ref="F99" ca="1">INDEX(Data_DBD!$F:$F,$A99)</f>
        <v>Tinggi</v>
      </c>
      <c r="H99" s="2">
        <v>31</v>
      </c>
      <c r="I99" s="2">
        <v>64</v>
      </c>
      <c r="J99" s="2">
        <v>4</v>
      </c>
      <c r="K99" s="2">
        <v>14</v>
      </c>
      <c r="L99" s="2">
        <v>1</v>
      </c>
      <c r="M99" s="2" t="s">
        <v>7</v>
      </c>
    </row>
    <row r="100" spans="1:13">
      <c r="A100" s="2">
        <f t="shared" ca="1" si="1"/>
        <v>132</v>
      </c>
      <c r="B100" s="2" cm="1">
        <f t="array" aca="1" ref="B100" ca="1">INDEX(Data_DBD!$B:$B,$A100)</f>
        <v>10</v>
      </c>
      <c r="C100" s="2" cm="1">
        <f t="array" aca="1" ref="C100" ca="1">INDEX(Data_DBD!$C:$C,$A100)</f>
        <v>3</v>
      </c>
      <c r="D100" s="2" cm="1">
        <f t="array" aca="1" ref="D100" ca="1">INDEX(Data_DBD!$D:$D,$A100)</f>
        <v>33</v>
      </c>
      <c r="E100" s="2" cm="1">
        <f t="array" aca="1" ref="E100" ca="1">INDEX(Data_DBD!$E:$E,$A100)</f>
        <v>1</v>
      </c>
      <c r="F100" s="2" t="str" cm="1">
        <f t="array" aca="1" ref="F100" ca="1">INDEX(Data_DBD!$F:$F,$A100)</f>
        <v>Tinggi</v>
      </c>
      <c r="H100" s="2">
        <v>102</v>
      </c>
      <c r="I100" s="2">
        <v>41</v>
      </c>
      <c r="J100" s="2">
        <v>4</v>
      </c>
      <c r="K100" s="2">
        <v>18</v>
      </c>
      <c r="L100" s="2">
        <v>0</v>
      </c>
      <c r="M100" s="2" t="s">
        <v>97</v>
      </c>
    </row>
    <row r="101" spans="1:13">
      <c r="A101" s="2">
        <f t="shared" ca="1" si="1"/>
        <v>24</v>
      </c>
      <c r="B101" s="2" cm="1">
        <f t="array" aca="1" ref="B101" ca="1">INDEX(Data_DBD!$B:$B,$A101)</f>
        <v>60</v>
      </c>
      <c r="C101" s="2" cm="1">
        <f t="array" aca="1" ref="C101" ca="1">INDEX(Data_DBD!$C:$C,$A101)</f>
        <v>4</v>
      </c>
      <c r="D101" s="2" cm="1">
        <f t="array" aca="1" ref="D101" ca="1">INDEX(Data_DBD!$D:$D,$A101)</f>
        <v>14</v>
      </c>
      <c r="E101" s="2" cm="1">
        <f t="array" aca="1" ref="E101" ca="1">INDEX(Data_DBD!$E:$E,$A101)</f>
        <v>0</v>
      </c>
      <c r="F101" s="2" t="str" cm="1">
        <f t="array" aca="1" ref="F101" ca="1">INDEX(Data_DBD!$F:$F,$A101)</f>
        <v>Sedang</v>
      </c>
      <c r="H101" s="2">
        <v>127</v>
      </c>
      <c r="I101" s="2">
        <v>21</v>
      </c>
      <c r="J101" s="2">
        <v>2</v>
      </c>
      <c r="K101" s="2">
        <v>33</v>
      </c>
      <c r="L101" s="2">
        <v>0</v>
      </c>
      <c r="M101" s="2" t="s">
        <v>97</v>
      </c>
    </row>
    <row r="102" spans="1:13">
      <c r="A102" s="2">
        <f t="shared" ca="1" si="1"/>
        <v>30</v>
      </c>
      <c r="B102" s="2" cm="1">
        <f t="array" aca="1" ref="B102" ca="1">INDEX(Data_DBD!$B:$B,$A102)</f>
        <v>3</v>
      </c>
      <c r="C102" s="2" cm="1">
        <f t="array" aca="1" ref="C102" ca="1">INDEX(Data_DBD!$C:$C,$A102)</f>
        <v>2</v>
      </c>
      <c r="D102" s="2" cm="1">
        <f t="array" aca="1" ref="D102" ca="1">INDEX(Data_DBD!$D:$D,$A102)</f>
        <v>14</v>
      </c>
      <c r="E102" s="2" cm="1">
        <f t="array" aca="1" ref="E102" ca="1">INDEX(Data_DBD!$E:$E,$A102)</f>
        <v>1</v>
      </c>
      <c r="F102" s="2" t="str" cm="1">
        <f t="array" aca="1" ref="F102" ca="1">INDEX(Data_DBD!$F:$F,$A102)</f>
        <v>Sedang</v>
      </c>
      <c r="H102" s="2">
        <v>157</v>
      </c>
      <c r="I102" s="2">
        <v>15</v>
      </c>
      <c r="J102" s="2">
        <v>4</v>
      </c>
      <c r="K102" s="2">
        <v>21</v>
      </c>
      <c r="L102" s="2">
        <v>1</v>
      </c>
      <c r="M102" s="2" t="s">
        <v>97</v>
      </c>
    </row>
    <row r="103" spans="1:13">
      <c r="A103" s="2">
        <f t="shared" ca="1" si="1"/>
        <v>21</v>
      </c>
      <c r="B103" s="2" cm="1">
        <f t="array" aca="1" ref="B103" ca="1">INDEX(Data_DBD!$B:$B,$A103)</f>
        <v>10</v>
      </c>
      <c r="C103" s="2" cm="1">
        <f t="array" aca="1" ref="C103" ca="1">INDEX(Data_DBD!$C:$C,$A103)</f>
        <v>5</v>
      </c>
      <c r="D103" s="2" cm="1">
        <f t="array" aca="1" ref="D103" ca="1">INDEX(Data_DBD!$D:$D,$A103)</f>
        <v>14</v>
      </c>
      <c r="E103" s="2" cm="1">
        <f t="array" aca="1" ref="E103" ca="1">INDEX(Data_DBD!$E:$E,$A103)</f>
        <v>1</v>
      </c>
      <c r="F103" s="2" t="str" cm="1">
        <f t="array" aca="1" ref="F103" ca="1">INDEX(Data_DBD!$F:$F,$A103)</f>
        <v>Sedang</v>
      </c>
      <c r="H103" s="2">
        <v>85</v>
      </c>
      <c r="I103" s="2">
        <v>27</v>
      </c>
      <c r="J103" s="2">
        <v>9</v>
      </c>
      <c r="K103" s="2">
        <v>13</v>
      </c>
      <c r="L103" s="2">
        <v>0</v>
      </c>
      <c r="M103" s="2" t="s">
        <v>7</v>
      </c>
    </row>
    <row r="104" spans="1:13">
      <c r="A104" s="2">
        <f t="shared" ca="1" si="1"/>
        <v>80</v>
      </c>
      <c r="B104" s="2" cm="1">
        <f t="array" aca="1" ref="B104" ca="1">INDEX(Data_DBD!$B:$B,$A104)</f>
        <v>27</v>
      </c>
      <c r="C104" s="2" cm="1">
        <f t="array" aca="1" ref="C104" ca="1">INDEX(Data_DBD!$C:$C,$A104)</f>
        <v>3</v>
      </c>
      <c r="D104" s="2" cm="1">
        <f t="array" aca="1" ref="D104" ca="1">INDEX(Data_DBD!$D:$D,$A104)</f>
        <v>13</v>
      </c>
      <c r="E104" s="2" cm="1">
        <f t="array" aca="1" ref="E104" ca="1">INDEX(Data_DBD!$E:$E,$A104)</f>
        <v>1</v>
      </c>
      <c r="F104" s="2" t="str" cm="1">
        <f t="array" aca="1" ref="F104" ca="1">INDEX(Data_DBD!$F:$F,$A104)</f>
        <v>Sedang</v>
      </c>
      <c r="H104" s="2">
        <v>89</v>
      </c>
      <c r="I104" s="2">
        <v>32</v>
      </c>
      <c r="J104" s="2">
        <v>4</v>
      </c>
      <c r="K104" s="2">
        <v>13</v>
      </c>
      <c r="L104" s="2">
        <v>0</v>
      </c>
      <c r="M104" s="2" t="s">
        <v>7</v>
      </c>
    </row>
    <row r="105" spans="1:13">
      <c r="A105" s="2">
        <f t="shared" ca="1" si="1"/>
        <v>60</v>
      </c>
      <c r="B105" s="2" cm="1">
        <f t="array" aca="1" ref="B105" ca="1">INDEX(Data_DBD!$B:$B,$A105)</f>
        <v>68</v>
      </c>
      <c r="C105" s="2" cm="1">
        <f t="array" aca="1" ref="C105" ca="1">INDEX(Data_DBD!$C:$C,$A105)</f>
        <v>4</v>
      </c>
      <c r="D105" s="2" cm="1">
        <f t="array" aca="1" ref="D105" ca="1">INDEX(Data_DBD!$D:$D,$A105)</f>
        <v>15</v>
      </c>
      <c r="E105" s="2" cm="1">
        <f t="array" aca="1" ref="E105" ca="1">INDEX(Data_DBD!$E:$E,$A105)</f>
        <v>0</v>
      </c>
      <c r="F105" s="2" t="str" cm="1">
        <f t="array" aca="1" ref="F105" ca="1">INDEX(Data_DBD!$F:$F,$A105)</f>
        <v>Sedang</v>
      </c>
      <c r="H105" s="2">
        <v>160</v>
      </c>
      <c r="I105" s="2">
        <v>16</v>
      </c>
      <c r="J105" s="2">
        <v>3</v>
      </c>
      <c r="K105" s="2">
        <v>21</v>
      </c>
      <c r="L105" s="2">
        <v>0</v>
      </c>
      <c r="M105" s="2" t="s">
        <v>97</v>
      </c>
    </row>
    <row r="106" spans="1:13">
      <c r="A106" s="2">
        <f t="shared" ca="1" si="1"/>
        <v>120</v>
      </c>
      <c r="B106" s="2" cm="1">
        <f t="array" aca="1" ref="B106" ca="1">INDEX(Data_DBD!$B:$B,$A106)</f>
        <v>26</v>
      </c>
      <c r="C106" s="2" cm="1">
        <f t="array" aca="1" ref="C106" ca="1">INDEX(Data_DBD!$C:$C,$A106)</f>
        <v>4</v>
      </c>
      <c r="D106" s="2" cm="1">
        <f t="array" aca="1" ref="D106" ca="1">INDEX(Data_DBD!$D:$D,$A106)</f>
        <v>33</v>
      </c>
      <c r="E106" s="2" cm="1">
        <f t="array" aca="1" ref="E106" ca="1">INDEX(Data_DBD!$E:$E,$A106)</f>
        <v>1</v>
      </c>
      <c r="F106" s="2" t="str" cm="1">
        <f t="array" aca="1" ref="F106" ca="1">INDEX(Data_DBD!$F:$F,$A106)</f>
        <v>Tinggi</v>
      </c>
      <c r="H106" s="2">
        <v>21</v>
      </c>
      <c r="I106" s="2">
        <v>10</v>
      </c>
      <c r="J106" s="2">
        <v>5</v>
      </c>
      <c r="K106" s="2">
        <v>14</v>
      </c>
      <c r="L106" s="2">
        <v>1</v>
      </c>
      <c r="M106" s="2" t="s">
        <v>7</v>
      </c>
    </row>
    <row r="107" spans="1:13">
      <c r="A107" s="2">
        <f t="shared" ca="1" si="1"/>
        <v>36</v>
      </c>
      <c r="B107" s="2" cm="1">
        <f t="array" aca="1" ref="B107" ca="1">INDEX(Data_DBD!$B:$B,$A107)</f>
        <v>27</v>
      </c>
      <c r="C107" s="2" cm="1">
        <f t="array" aca="1" ref="C107" ca="1">INDEX(Data_DBD!$C:$C,$A107)</f>
        <v>1</v>
      </c>
      <c r="D107" s="2" cm="1">
        <f t="array" aca="1" ref="D107" ca="1">INDEX(Data_DBD!$D:$D,$A107)</f>
        <v>4</v>
      </c>
      <c r="E107" s="2" cm="1">
        <f t="array" aca="1" ref="E107" ca="1">INDEX(Data_DBD!$E:$E,$A107)</f>
        <v>1</v>
      </c>
      <c r="F107" s="2" t="str" cm="1">
        <f t="array" aca="1" ref="F107" ca="1">INDEX(Data_DBD!$F:$F,$A107)</f>
        <v>Rendah</v>
      </c>
      <c r="H107" s="2">
        <v>129</v>
      </c>
      <c r="I107" s="2">
        <v>4</v>
      </c>
      <c r="J107" s="2">
        <v>3</v>
      </c>
      <c r="K107" s="2">
        <v>33</v>
      </c>
      <c r="L107" s="2">
        <v>0</v>
      </c>
      <c r="M107" s="2" t="s">
        <v>97</v>
      </c>
    </row>
    <row r="108" spans="1:13">
      <c r="A108" s="2">
        <f t="shared" ca="1" si="1"/>
        <v>126</v>
      </c>
      <c r="B108" s="2" cm="1">
        <f t="array" aca="1" ref="B108" ca="1">INDEX(Data_DBD!$B:$B,$A108)</f>
        <v>51</v>
      </c>
      <c r="C108" s="2" cm="1">
        <f t="array" aca="1" ref="C108" ca="1">INDEX(Data_DBD!$C:$C,$A108)</f>
        <v>3</v>
      </c>
      <c r="D108" s="2" cm="1">
        <f t="array" aca="1" ref="D108" ca="1">INDEX(Data_DBD!$D:$D,$A108)</f>
        <v>33</v>
      </c>
      <c r="E108" s="2" cm="1">
        <f t="array" aca="1" ref="E108" ca="1">INDEX(Data_DBD!$E:$E,$A108)</f>
        <v>1</v>
      </c>
      <c r="F108" s="2" t="str" cm="1">
        <f t="array" aca="1" ref="F108" ca="1">INDEX(Data_DBD!$F:$F,$A108)</f>
        <v>Tinggi</v>
      </c>
      <c r="H108" s="2">
        <v>34</v>
      </c>
      <c r="I108" s="2">
        <v>55</v>
      </c>
      <c r="J108" s="2">
        <v>3</v>
      </c>
      <c r="K108" s="2">
        <v>14</v>
      </c>
      <c r="L108" s="2">
        <v>0</v>
      </c>
      <c r="M108" s="2" t="s">
        <v>7</v>
      </c>
    </row>
    <row r="109" spans="1:13">
      <c r="A109" s="2">
        <f t="shared" ca="1" si="1"/>
        <v>38</v>
      </c>
      <c r="B109" s="2" cm="1">
        <f t="array" aca="1" ref="B109" ca="1">INDEX(Data_DBD!$B:$B,$A109)</f>
        <v>52</v>
      </c>
      <c r="C109" s="2" cm="1">
        <f t="array" aca="1" ref="C109" ca="1">INDEX(Data_DBD!$C:$C,$A109)</f>
        <v>3</v>
      </c>
      <c r="D109" s="2" cm="1">
        <f t="array" aca="1" ref="D109" ca="1">INDEX(Data_DBD!$D:$D,$A109)</f>
        <v>4</v>
      </c>
      <c r="E109" s="2" cm="1">
        <f t="array" aca="1" ref="E109" ca="1">INDEX(Data_DBD!$E:$E,$A109)</f>
        <v>1</v>
      </c>
      <c r="F109" s="2" t="str" cm="1">
        <f t="array" aca="1" ref="F109" ca="1">INDEX(Data_DBD!$F:$F,$A109)</f>
        <v>Rendah</v>
      </c>
      <c r="H109" s="2">
        <v>121</v>
      </c>
      <c r="I109" s="2">
        <v>82</v>
      </c>
      <c r="J109" s="2">
        <v>5</v>
      </c>
      <c r="K109" s="2">
        <v>33</v>
      </c>
      <c r="L109" s="2">
        <v>1</v>
      </c>
      <c r="M109" s="2" t="s">
        <v>97</v>
      </c>
    </row>
    <row r="110" spans="1:13">
      <c r="A110" s="2">
        <f t="shared" ca="1" si="1"/>
        <v>63</v>
      </c>
      <c r="B110" s="2" cm="1">
        <f t="array" aca="1" ref="B110" ca="1">INDEX(Data_DBD!$B:$B,$A110)</f>
        <v>25</v>
      </c>
      <c r="C110" s="2" cm="1">
        <f t="array" aca="1" ref="C110" ca="1">INDEX(Data_DBD!$C:$C,$A110)</f>
        <v>3</v>
      </c>
      <c r="D110" s="2" cm="1">
        <f t="array" aca="1" ref="D110" ca="1">INDEX(Data_DBD!$D:$D,$A110)</f>
        <v>15</v>
      </c>
      <c r="E110" s="2" cm="1">
        <f t="array" aca="1" ref="E110" ca="1">INDEX(Data_DBD!$E:$E,$A110)</f>
        <v>0</v>
      </c>
      <c r="F110" s="2" t="str" cm="1">
        <f t="array" aca="1" ref="F110" ca="1">INDEX(Data_DBD!$F:$F,$A110)</f>
        <v>Sedang</v>
      </c>
      <c r="H110" s="2">
        <v>20</v>
      </c>
      <c r="I110" s="2">
        <v>15</v>
      </c>
      <c r="J110" s="2">
        <v>5</v>
      </c>
      <c r="K110" s="2">
        <v>7</v>
      </c>
      <c r="L110" s="2">
        <v>0</v>
      </c>
      <c r="M110" s="2" t="s">
        <v>20</v>
      </c>
    </row>
    <row r="111" spans="1:13">
      <c r="A111" s="2">
        <f t="shared" ca="1" si="1"/>
        <v>142</v>
      </c>
      <c r="B111" s="2" cm="1">
        <f t="array" aca="1" ref="B111" ca="1">INDEX(Data_DBD!$B:$B,$A111)</f>
        <v>39</v>
      </c>
      <c r="C111" s="2" cm="1">
        <f t="array" aca="1" ref="C111" ca="1">INDEX(Data_DBD!$C:$C,$A111)</f>
        <v>2</v>
      </c>
      <c r="D111" s="2" cm="1">
        <f t="array" aca="1" ref="D111" ca="1">INDEX(Data_DBD!$D:$D,$A111)</f>
        <v>21</v>
      </c>
      <c r="E111" s="2" cm="1">
        <f t="array" aca="1" ref="E111" ca="1">INDEX(Data_DBD!$E:$E,$A111)</f>
        <v>1</v>
      </c>
      <c r="F111" s="2" t="str" cm="1">
        <f t="array" aca="1" ref="F111" ca="1">INDEX(Data_DBD!$F:$F,$A111)</f>
        <v>Tinggi</v>
      </c>
      <c r="H111" s="2">
        <v>137</v>
      </c>
      <c r="I111" s="2">
        <v>3</v>
      </c>
      <c r="J111" s="2">
        <v>1</v>
      </c>
      <c r="K111" s="2">
        <v>33</v>
      </c>
      <c r="L111" s="2">
        <v>1</v>
      </c>
      <c r="M111" s="2" t="s">
        <v>97</v>
      </c>
    </row>
    <row r="112" spans="1:13">
      <c r="A112" s="2">
        <f t="shared" ca="1" si="1"/>
        <v>126</v>
      </c>
      <c r="B112" s="2" cm="1">
        <f t="array" aca="1" ref="B112" ca="1">INDEX(Data_DBD!$B:$B,$A112)</f>
        <v>51</v>
      </c>
      <c r="C112" s="2" cm="1">
        <f t="array" aca="1" ref="C112" ca="1">INDEX(Data_DBD!$C:$C,$A112)</f>
        <v>3</v>
      </c>
      <c r="D112" s="2" cm="1">
        <f t="array" aca="1" ref="D112" ca="1">INDEX(Data_DBD!$D:$D,$A112)</f>
        <v>33</v>
      </c>
      <c r="E112" s="2" cm="1">
        <f t="array" aca="1" ref="E112" ca="1">INDEX(Data_DBD!$E:$E,$A112)</f>
        <v>1</v>
      </c>
      <c r="F112" s="2" t="str" cm="1">
        <f t="array" aca="1" ref="F112" ca="1">INDEX(Data_DBD!$F:$F,$A112)</f>
        <v>Tinggi</v>
      </c>
      <c r="H112" s="2">
        <v>14</v>
      </c>
      <c r="I112" s="2">
        <v>49</v>
      </c>
      <c r="J112" s="2">
        <v>4</v>
      </c>
      <c r="K112" s="2">
        <v>7</v>
      </c>
      <c r="L112" s="2">
        <v>1</v>
      </c>
      <c r="M112" s="2" t="s">
        <v>20</v>
      </c>
    </row>
    <row r="113" spans="1:13">
      <c r="A113" s="2">
        <f t="shared" ca="1" si="1"/>
        <v>2</v>
      </c>
      <c r="B113" s="2" cm="1">
        <f t="array" aca="1" ref="B113" ca="1">INDEX(Data_DBD!$B:$B,$A113)</f>
        <v>34</v>
      </c>
      <c r="C113" s="2" cm="1">
        <f t="array" aca="1" ref="C113" ca="1">INDEX(Data_DBD!$C:$C,$A113)</f>
        <v>3</v>
      </c>
      <c r="D113" s="2" cm="1">
        <f t="array" aca="1" ref="D113" ca="1">INDEX(Data_DBD!$D:$D,$A113)</f>
        <v>12</v>
      </c>
      <c r="E113" s="2" cm="1">
        <f t="array" aca="1" ref="E113" ca="1">INDEX(Data_DBD!$E:$E,$A113)</f>
        <v>0</v>
      </c>
      <c r="F113" s="2" t="str" cm="1">
        <f t="array" aca="1" ref="F113" ca="1">INDEX(Data_DBD!$F:$F,$A113)</f>
        <v>Sedang</v>
      </c>
      <c r="H113" s="2">
        <v>157</v>
      </c>
      <c r="I113" s="2">
        <v>15</v>
      </c>
      <c r="J113" s="2">
        <v>4</v>
      </c>
      <c r="K113" s="2">
        <v>21</v>
      </c>
      <c r="L113" s="2">
        <v>1</v>
      </c>
      <c r="M113" s="2" t="s">
        <v>97</v>
      </c>
    </row>
    <row r="114" spans="1:13">
      <c r="A114" s="2">
        <f t="shared" ca="1" si="1"/>
        <v>91</v>
      </c>
      <c r="B114" s="2" cm="1">
        <f t="array" aca="1" ref="B114" ca="1">INDEX(Data_DBD!$B:$B,$A114)</f>
        <v>35</v>
      </c>
      <c r="C114" s="2" cm="1">
        <f t="array" aca="1" ref="C114" ca="1">INDEX(Data_DBD!$C:$C,$A114)</f>
        <v>1</v>
      </c>
      <c r="D114" s="2" cm="1">
        <f t="array" aca="1" ref="D114" ca="1">INDEX(Data_DBD!$D:$D,$A114)</f>
        <v>18</v>
      </c>
      <c r="E114" s="2" cm="1">
        <f t="array" aca="1" ref="E114" ca="1">INDEX(Data_DBD!$E:$E,$A114)</f>
        <v>1</v>
      </c>
      <c r="F114" s="2" t="str" cm="1">
        <f t="array" aca="1" ref="F114" ca="1">INDEX(Data_DBD!$F:$F,$A114)</f>
        <v>Tinggi</v>
      </c>
      <c r="H114" s="2">
        <v>121</v>
      </c>
      <c r="I114" s="2">
        <v>82</v>
      </c>
      <c r="J114" s="2">
        <v>5</v>
      </c>
      <c r="K114" s="2">
        <v>33</v>
      </c>
      <c r="L114" s="2">
        <v>1</v>
      </c>
      <c r="M114" s="2" t="s">
        <v>97</v>
      </c>
    </row>
    <row r="115" spans="1:13">
      <c r="A115" s="2">
        <f t="shared" ca="1" si="1"/>
        <v>57</v>
      </c>
      <c r="B115" s="2" cm="1">
        <f t="array" aca="1" ref="B115" ca="1">INDEX(Data_DBD!$B:$B,$A115)</f>
        <v>2</v>
      </c>
      <c r="C115" s="2" cm="1">
        <f t="array" aca="1" ref="C115" ca="1">INDEX(Data_DBD!$C:$C,$A115)</f>
        <v>2</v>
      </c>
      <c r="D115" s="2" cm="1">
        <f t="array" aca="1" ref="D115" ca="1">INDEX(Data_DBD!$D:$D,$A115)</f>
        <v>15</v>
      </c>
      <c r="E115" s="2" cm="1">
        <f t="array" aca="1" ref="E115" ca="1">INDEX(Data_DBD!$E:$E,$A115)</f>
        <v>1</v>
      </c>
      <c r="F115" s="2" t="str" cm="1">
        <f t="array" aca="1" ref="F115" ca="1">INDEX(Data_DBD!$F:$F,$A115)</f>
        <v>Sedang</v>
      </c>
      <c r="H115" s="2">
        <v>56</v>
      </c>
      <c r="I115" s="2">
        <v>4</v>
      </c>
      <c r="J115" s="2">
        <v>3</v>
      </c>
      <c r="K115" s="2">
        <v>15</v>
      </c>
      <c r="L115" s="2">
        <v>0</v>
      </c>
      <c r="M115" s="2" t="s">
        <v>7</v>
      </c>
    </row>
    <row r="116" spans="1:13">
      <c r="A116" s="2">
        <f t="shared" ca="1" si="1"/>
        <v>23</v>
      </c>
      <c r="B116" s="2" cm="1">
        <f t="array" aca="1" ref="B116" ca="1">INDEX(Data_DBD!$B:$B,$A116)</f>
        <v>28</v>
      </c>
      <c r="C116" s="2" cm="1">
        <f t="array" aca="1" ref="C116" ca="1">INDEX(Data_DBD!$C:$C,$A116)</f>
        <v>4</v>
      </c>
      <c r="D116" s="2" cm="1">
        <f t="array" aca="1" ref="D116" ca="1">INDEX(Data_DBD!$D:$D,$A116)</f>
        <v>14</v>
      </c>
      <c r="E116" s="2" cm="1">
        <f t="array" aca="1" ref="E116" ca="1">INDEX(Data_DBD!$E:$E,$A116)</f>
        <v>1</v>
      </c>
      <c r="F116" s="2" t="str" cm="1">
        <f t="array" aca="1" ref="F116" ca="1">INDEX(Data_DBD!$F:$F,$A116)</f>
        <v>Sedang</v>
      </c>
      <c r="H116" s="2">
        <v>8</v>
      </c>
      <c r="I116" s="2">
        <v>4</v>
      </c>
      <c r="J116" s="2">
        <v>2</v>
      </c>
      <c r="K116" s="2">
        <v>12</v>
      </c>
      <c r="L116" s="2">
        <v>0</v>
      </c>
      <c r="M116" s="2" t="s">
        <v>7</v>
      </c>
    </row>
    <row r="117" spans="1:13">
      <c r="A117" s="2">
        <f t="shared" ca="1" si="1"/>
        <v>92</v>
      </c>
      <c r="B117" s="2" cm="1">
        <f t="array" aca="1" ref="B117" ca="1">INDEX(Data_DBD!$B:$B,$A117)</f>
        <v>55</v>
      </c>
      <c r="C117" s="2" cm="1">
        <f t="array" aca="1" ref="C117" ca="1">INDEX(Data_DBD!$C:$C,$A117)</f>
        <v>7</v>
      </c>
      <c r="D117" s="2" cm="1">
        <f t="array" aca="1" ref="D117" ca="1">INDEX(Data_DBD!$D:$D,$A117)</f>
        <v>18</v>
      </c>
      <c r="E117" s="2" cm="1">
        <f t="array" aca="1" ref="E117" ca="1">INDEX(Data_DBD!$E:$E,$A117)</f>
        <v>0</v>
      </c>
      <c r="F117" s="2" t="str" cm="1">
        <f t="array" aca="1" ref="F117" ca="1">INDEX(Data_DBD!$F:$F,$A117)</f>
        <v>Tinggi</v>
      </c>
      <c r="H117" s="2">
        <v>94</v>
      </c>
      <c r="I117" s="2">
        <v>12</v>
      </c>
      <c r="J117" s="2">
        <v>4</v>
      </c>
      <c r="K117" s="2">
        <v>18</v>
      </c>
      <c r="L117" s="2">
        <v>0</v>
      </c>
      <c r="M117" s="2" t="s">
        <v>97</v>
      </c>
    </row>
    <row r="118" spans="1:13">
      <c r="A118" s="2">
        <f t="shared" ca="1" si="1"/>
        <v>72</v>
      </c>
      <c r="B118" s="2" cm="1">
        <f t="array" aca="1" ref="B118" ca="1">INDEX(Data_DBD!$B:$B,$A118)</f>
        <v>3</v>
      </c>
      <c r="C118" s="2" cm="1">
        <f t="array" aca="1" ref="C118" ca="1">INDEX(Data_DBD!$C:$C,$A118)</f>
        <v>5</v>
      </c>
      <c r="D118" s="2" cm="1">
        <f t="array" aca="1" ref="D118" ca="1">INDEX(Data_DBD!$D:$D,$A118)</f>
        <v>10</v>
      </c>
      <c r="E118" s="2" cm="1">
        <f t="array" aca="1" ref="E118" ca="1">INDEX(Data_DBD!$E:$E,$A118)</f>
        <v>1</v>
      </c>
      <c r="F118" s="2" t="str" cm="1">
        <f t="array" aca="1" ref="F118" ca="1">INDEX(Data_DBD!$F:$F,$A118)</f>
        <v>Sedang</v>
      </c>
      <c r="H118" s="2">
        <v>10</v>
      </c>
      <c r="I118" s="2">
        <v>18</v>
      </c>
      <c r="J118" s="2">
        <v>5</v>
      </c>
      <c r="K118" s="2">
        <v>12</v>
      </c>
      <c r="L118" s="2">
        <v>0</v>
      </c>
      <c r="M118" s="2" t="s">
        <v>7</v>
      </c>
    </row>
    <row r="119" spans="1:13">
      <c r="A119" s="2">
        <f t="shared" ca="1" si="1"/>
        <v>12</v>
      </c>
      <c r="B119" s="2" cm="1">
        <f t="array" aca="1" ref="B119" ca="1">INDEX(Data_DBD!$B:$B,$A119)</f>
        <v>23</v>
      </c>
      <c r="C119" s="2" cm="1">
        <f t="array" aca="1" ref="C119" ca="1">INDEX(Data_DBD!$C:$C,$A119)</f>
        <v>3</v>
      </c>
      <c r="D119" s="2" cm="1">
        <f t="array" aca="1" ref="D119" ca="1">INDEX(Data_DBD!$D:$D,$A119)</f>
        <v>12</v>
      </c>
      <c r="E119" s="2" cm="1">
        <f t="array" aca="1" ref="E119" ca="1">INDEX(Data_DBD!$E:$E,$A119)</f>
        <v>0</v>
      </c>
      <c r="F119" s="2" t="str" cm="1">
        <f t="array" aca="1" ref="F119" ca="1">INDEX(Data_DBD!$F:$F,$A119)</f>
        <v>Sedang</v>
      </c>
      <c r="H119" s="2">
        <v>154</v>
      </c>
      <c r="I119" s="2">
        <v>18</v>
      </c>
      <c r="J119" s="2">
        <v>5</v>
      </c>
      <c r="K119" s="2">
        <v>21</v>
      </c>
      <c r="L119" s="2">
        <v>1</v>
      </c>
      <c r="M119" s="2" t="s">
        <v>97</v>
      </c>
    </row>
    <row r="120" spans="1:13">
      <c r="A120" s="2">
        <f t="shared" ca="1" si="1"/>
        <v>95</v>
      </c>
      <c r="B120" s="2" cm="1">
        <f t="array" aca="1" ref="B120" ca="1">INDEX(Data_DBD!$B:$B,$A120)</f>
        <v>11</v>
      </c>
      <c r="C120" s="2" cm="1">
        <f t="array" aca="1" ref="C120" ca="1">INDEX(Data_DBD!$C:$C,$A120)</f>
        <v>3</v>
      </c>
      <c r="D120" s="2" cm="1">
        <f t="array" aca="1" ref="D120" ca="1">INDEX(Data_DBD!$D:$D,$A120)</f>
        <v>18</v>
      </c>
      <c r="E120" s="2" cm="1">
        <f t="array" aca="1" ref="E120" ca="1">INDEX(Data_DBD!$E:$E,$A120)</f>
        <v>1</v>
      </c>
      <c r="F120" s="2" t="str" cm="1">
        <f t="array" aca="1" ref="F120" ca="1">INDEX(Data_DBD!$F:$F,$A120)</f>
        <v>Tinggi</v>
      </c>
      <c r="H120" s="2">
        <v>65</v>
      </c>
      <c r="I120" s="2">
        <v>49</v>
      </c>
      <c r="J120" s="2">
        <v>3</v>
      </c>
      <c r="K120" s="2">
        <v>15</v>
      </c>
      <c r="L120" s="2">
        <v>0</v>
      </c>
      <c r="M120" s="2" t="s">
        <v>7</v>
      </c>
    </row>
    <row r="121" spans="1:13">
      <c r="A121" s="2">
        <f t="shared" ca="1" si="1"/>
        <v>80</v>
      </c>
      <c r="B121" s="2" cm="1">
        <f t="array" aca="1" ref="B121" ca="1">INDEX(Data_DBD!$B:$B,$A121)</f>
        <v>27</v>
      </c>
      <c r="C121" s="2" cm="1">
        <f t="array" aca="1" ref="C121" ca="1">INDEX(Data_DBD!$C:$C,$A121)</f>
        <v>3</v>
      </c>
      <c r="D121" s="2" cm="1">
        <f t="array" aca="1" ref="D121" ca="1">INDEX(Data_DBD!$D:$D,$A121)</f>
        <v>13</v>
      </c>
      <c r="E121" s="2" cm="1">
        <f t="array" aca="1" ref="E121" ca="1">INDEX(Data_DBD!$E:$E,$A121)</f>
        <v>1</v>
      </c>
      <c r="F121" s="2" t="str" cm="1">
        <f t="array" aca="1" ref="F121" ca="1">INDEX(Data_DBD!$F:$F,$A121)</f>
        <v>Sedang</v>
      </c>
      <c r="H121" s="2">
        <v>75</v>
      </c>
      <c r="I121" s="2">
        <v>2</v>
      </c>
      <c r="J121" s="2">
        <v>2</v>
      </c>
      <c r="K121" s="2">
        <v>10</v>
      </c>
      <c r="L121" s="2">
        <v>1</v>
      </c>
      <c r="M121" s="2" t="s">
        <v>7</v>
      </c>
    </row>
    <row r="122" spans="1:13">
      <c r="A122" s="2">
        <f t="shared" ca="1" si="1"/>
        <v>145</v>
      </c>
      <c r="B122" s="2" cm="1">
        <f t="array" aca="1" ref="B122" ca="1">INDEX(Data_DBD!$B:$B,$A122)</f>
        <v>28</v>
      </c>
      <c r="C122" s="2" cm="1">
        <f t="array" aca="1" ref="C122" ca="1">INDEX(Data_DBD!$C:$C,$A122)</f>
        <v>4</v>
      </c>
      <c r="D122" s="2" cm="1">
        <f t="array" aca="1" ref="D122" ca="1">INDEX(Data_DBD!$D:$D,$A122)</f>
        <v>21</v>
      </c>
      <c r="E122" s="2" cm="1">
        <f t="array" aca="1" ref="E122" ca="1">INDEX(Data_DBD!$E:$E,$A122)</f>
        <v>1</v>
      </c>
      <c r="F122" s="2" t="str" cm="1">
        <f t="array" aca="1" ref="F122" ca="1">INDEX(Data_DBD!$F:$F,$A122)</f>
        <v>Tinggi</v>
      </c>
      <c r="H122" s="2">
        <v>4</v>
      </c>
      <c r="I122" s="2">
        <v>23</v>
      </c>
      <c r="J122" s="2">
        <v>5</v>
      </c>
      <c r="K122" s="2">
        <v>12</v>
      </c>
      <c r="L122" s="2">
        <v>0</v>
      </c>
      <c r="M122" s="2" t="s">
        <v>7</v>
      </c>
    </row>
    <row r="123" spans="1:13">
      <c r="A123" s="2">
        <f t="shared" ca="1" si="1"/>
        <v>36</v>
      </c>
      <c r="B123" s="2" cm="1">
        <f t="array" aca="1" ref="B123" ca="1">INDEX(Data_DBD!$B:$B,$A123)</f>
        <v>27</v>
      </c>
      <c r="C123" s="2" cm="1">
        <f t="array" aca="1" ref="C123" ca="1">INDEX(Data_DBD!$C:$C,$A123)</f>
        <v>1</v>
      </c>
      <c r="D123" s="2" cm="1">
        <f t="array" aca="1" ref="D123" ca="1">INDEX(Data_DBD!$D:$D,$A123)</f>
        <v>4</v>
      </c>
      <c r="E123" s="2" cm="1">
        <f t="array" aca="1" ref="E123" ca="1">INDEX(Data_DBD!$E:$E,$A123)</f>
        <v>1</v>
      </c>
      <c r="F123" s="2" t="str" cm="1">
        <f t="array" aca="1" ref="F123" ca="1">INDEX(Data_DBD!$F:$F,$A123)</f>
        <v>Rendah</v>
      </c>
      <c r="H123" s="2">
        <v>105</v>
      </c>
      <c r="I123" s="2">
        <v>61</v>
      </c>
      <c r="J123" s="2">
        <v>3</v>
      </c>
      <c r="K123" s="2">
        <v>18</v>
      </c>
      <c r="L123" s="2">
        <v>1</v>
      </c>
      <c r="M123" s="2" t="s">
        <v>97</v>
      </c>
    </row>
    <row r="124" spans="1:13">
      <c r="A124" s="2">
        <f t="shared" ca="1" si="1"/>
        <v>33</v>
      </c>
      <c r="B124" s="2" cm="1">
        <f t="array" aca="1" ref="B124" ca="1">INDEX(Data_DBD!$B:$B,$A124)</f>
        <v>19</v>
      </c>
      <c r="C124" s="2" cm="1">
        <f t="array" aca="1" ref="C124" ca="1">INDEX(Data_DBD!$C:$C,$A124)</f>
        <v>4</v>
      </c>
      <c r="D124" s="2" cm="1">
        <f t="array" aca="1" ref="D124" ca="1">INDEX(Data_DBD!$D:$D,$A124)</f>
        <v>14</v>
      </c>
      <c r="E124" s="2" cm="1">
        <f t="array" aca="1" ref="E124" ca="1">INDEX(Data_DBD!$E:$E,$A124)</f>
        <v>1</v>
      </c>
      <c r="F124" s="2" t="str" cm="1">
        <f t="array" aca="1" ref="F124" ca="1">INDEX(Data_DBD!$F:$F,$A124)</f>
        <v>Sedang</v>
      </c>
      <c r="H124" s="2">
        <v>123</v>
      </c>
      <c r="I124" s="2">
        <v>22</v>
      </c>
      <c r="J124" s="2">
        <v>4</v>
      </c>
      <c r="K124" s="2">
        <v>33</v>
      </c>
      <c r="L124" s="2">
        <v>0</v>
      </c>
      <c r="M124" s="2" t="s">
        <v>97</v>
      </c>
    </row>
    <row r="125" spans="1:13">
      <c r="A125" s="2">
        <f t="shared" ca="1" si="1"/>
        <v>104</v>
      </c>
      <c r="B125" s="2" cm="1">
        <f t="array" aca="1" ref="B125" ca="1">INDEX(Data_DBD!$B:$B,$A125)</f>
        <v>37</v>
      </c>
      <c r="C125" s="2" cm="1">
        <f t="array" aca="1" ref="C125" ca="1">INDEX(Data_DBD!$C:$C,$A125)</f>
        <v>4</v>
      </c>
      <c r="D125" s="2" cm="1">
        <f t="array" aca="1" ref="D125" ca="1">INDEX(Data_DBD!$D:$D,$A125)</f>
        <v>18</v>
      </c>
      <c r="E125" s="2" cm="1">
        <f t="array" aca="1" ref="E125" ca="1">INDEX(Data_DBD!$E:$E,$A125)</f>
        <v>1</v>
      </c>
      <c r="F125" s="2" t="str" cm="1">
        <f t="array" aca="1" ref="F125" ca="1">INDEX(Data_DBD!$F:$F,$A125)</f>
        <v>Tinggi</v>
      </c>
      <c r="H125" s="2">
        <v>59</v>
      </c>
      <c r="I125" s="2">
        <v>28</v>
      </c>
      <c r="J125" s="2">
        <v>4</v>
      </c>
      <c r="K125" s="2">
        <v>15</v>
      </c>
      <c r="L125" s="2">
        <v>0</v>
      </c>
      <c r="M125" s="2" t="s">
        <v>7</v>
      </c>
    </row>
    <row r="126" spans="1:13">
      <c r="A126" s="2">
        <f t="shared" ca="1" si="1"/>
        <v>52</v>
      </c>
      <c r="B126" s="2" cm="1">
        <f t="array" aca="1" ref="B126" ca="1">INDEX(Data_DBD!$B:$B,$A126)</f>
        <v>59</v>
      </c>
      <c r="C126" s="2" cm="1">
        <f t="array" aca="1" ref="C126" ca="1">INDEX(Data_DBD!$C:$C,$A126)</f>
        <v>4</v>
      </c>
      <c r="D126" s="2" cm="1">
        <f t="array" aca="1" ref="D126" ca="1">INDEX(Data_DBD!$D:$D,$A126)</f>
        <v>15</v>
      </c>
      <c r="E126" s="2" cm="1">
        <f t="array" aca="1" ref="E126" ca="1">INDEX(Data_DBD!$E:$E,$A126)</f>
        <v>1</v>
      </c>
      <c r="F126" s="2" t="str" cm="1">
        <f t="array" aca="1" ref="F126" ca="1">INDEX(Data_DBD!$F:$F,$A126)</f>
        <v>Sedang</v>
      </c>
      <c r="H126" s="2">
        <v>34</v>
      </c>
      <c r="I126" s="2">
        <v>55</v>
      </c>
      <c r="J126" s="2">
        <v>3</v>
      </c>
      <c r="K126" s="2">
        <v>14</v>
      </c>
      <c r="L126" s="2">
        <v>0</v>
      </c>
      <c r="M126" s="2" t="s">
        <v>7</v>
      </c>
    </row>
    <row r="127" spans="1:13">
      <c r="A127" s="2">
        <f t="shared" ca="1" si="1"/>
        <v>30</v>
      </c>
      <c r="B127" s="2" cm="1">
        <f t="array" aca="1" ref="B127" ca="1">INDEX(Data_DBD!$B:$B,$A127)</f>
        <v>3</v>
      </c>
      <c r="C127" s="2" cm="1">
        <f t="array" aca="1" ref="C127" ca="1">INDEX(Data_DBD!$C:$C,$A127)</f>
        <v>2</v>
      </c>
      <c r="D127" s="2" cm="1">
        <f t="array" aca="1" ref="D127" ca="1">INDEX(Data_DBD!$D:$D,$A127)</f>
        <v>14</v>
      </c>
      <c r="E127" s="2" cm="1">
        <f t="array" aca="1" ref="E127" ca="1">INDEX(Data_DBD!$E:$E,$A127)</f>
        <v>1</v>
      </c>
      <c r="F127" s="2" t="str" cm="1">
        <f t="array" aca="1" ref="F127" ca="1">INDEX(Data_DBD!$F:$F,$A127)</f>
        <v>Sedang</v>
      </c>
      <c r="H127" s="2">
        <v>109</v>
      </c>
      <c r="I127" s="2">
        <v>40</v>
      </c>
      <c r="J127" s="2">
        <v>3</v>
      </c>
      <c r="K127" s="2">
        <v>33</v>
      </c>
      <c r="L127" s="2">
        <v>1</v>
      </c>
      <c r="M127" s="2" t="s">
        <v>97</v>
      </c>
    </row>
    <row r="128" spans="1:13">
      <c r="A128" s="2">
        <f t="shared" ca="1" si="1"/>
        <v>150</v>
      </c>
      <c r="B128" s="2" cm="1">
        <f t="array" aca="1" ref="B128" ca="1">INDEX(Data_DBD!$B:$B,$A128)</f>
        <v>61</v>
      </c>
      <c r="C128" s="2" cm="1">
        <f t="array" aca="1" ref="C128" ca="1">INDEX(Data_DBD!$C:$C,$A128)</f>
        <v>5</v>
      </c>
      <c r="D128" s="2" cm="1">
        <f t="array" aca="1" ref="D128" ca="1">INDEX(Data_DBD!$D:$D,$A128)</f>
        <v>21</v>
      </c>
      <c r="E128" s="2" cm="1">
        <f t="array" aca="1" ref="E128" ca="1">INDEX(Data_DBD!$E:$E,$A128)</f>
        <v>1</v>
      </c>
      <c r="F128" s="2" t="str" cm="1">
        <f t="array" aca="1" ref="F128" ca="1">INDEX(Data_DBD!$F:$F,$A128)</f>
        <v>Tinggi</v>
      </c>
      <c r="H128" s="2">
        <v>29</v>
      </c>
      <c r="I128" s="2">
        <v>19</v>
      </c>
      <c r="J128" s="2">
        <v>2</v>
      </c>
      <c r="K128" s="2">
        <v>14</v>
      </c>
      <c r="L128" s="2">
        <v>1</v>
      </c>
      <c r="M128" s="2" t="s">
        <v>7</v>
      </c>
    </row>
    <row r="129" spans="1:13">
      <c r="A129" s="2">
        <f t="shared" ca="1" si="1"/>
        <v>118</v>
      </c>
      <c r="B129" s="2" cm="1">
        <f t="array" aca="1" ref="B129" ca="1">INDEX(Data_DBD!$B:$B,$A129)</f>
        <v>67</v>
      </c>
      <c r="C129" s="2" cm="1">
        <f t="array" aca="1" ref="C129" ca="1">INDEX(Data_DBD!$C:$C,$A129)</f>
        <v>4</v>
      </c>
      <c r="D129" s="2" cm="1">
        <f t="array" aca="1" ref="D129" ca="1">INDEX(Data_DBD!$D:$D,$A129)</f>
        <v>33</v>
      </c>
      <c r="E129" s="2" cm="1">
        <f t="array" aca="1" ref="E129" ca="1">INDEX(Data_DBD!$E:$E,$A129)</f>
        <v>1</v>
      </c>
      <c r="F129" s="2" t="str" cm="1">
        <f t="array" aca="1" ref="F129" ca="1">INDEX(Data_DBD!$F:$F,$A129)</f>
        <v>Tinggi</v>
      </c>
      <c r="H129" s="2">
        <v>48</v>
      </c>
      <c r="I129" s="2">
        <v>50</v>
      </c>
      <c r="J129" s="2">
        <v>5</v>
      </c>
      <c r="K129" s="2">
        <v>13</v>
      </c>
      <c r="L129" s="2">
        <v>1</v>
      </c>
      <c r="M129" s="2" t="s">
        <v>7</v>
      </c>
    </row>
    <row r="130" spans="1:13">
      <c r="A130" s="2">
        <f t="shared" ca="1" si="1"/>
        <v>99</v>
      </c>
      <c r="B130" s="2" cm="1">
        <f t="array" aca="1" ref="B130" ca="1">INDEX(Data_DBD!$B:$B,$A130)</f>
        <v>4</v>
      </c>
      <c r="C130" s="2" cm="1">
        <f t="array" aca="1" ref="C130" ca="1">INDEX(Data_DBD!$C:$C,$A130)</f>
        <v>2</v>
      </c>
      <c r="D130" s="2" cm="1">
        <f t="array" aca="1" ref="D130" ca="1">INDEX(Data_DBD!$D:$D,$A130)</f>
        <v>18</v>
      </c>
      <c r="E130" s="2" cm="1">
        <f t="array" aca="1" ref="E130" ca="1">INDEX(Data_DBD!$E:$E,$A130)</f>
        <v>1</v>
      </c>
      <c r="F130" s="2" t="str" cm="1">
        <f t="array" aca="1" ref="F130" ca="1">INDEX(Data_DBD!$F:$F,$A130)</f>
        <v>Tinggi</v>
      </c>
      <c r="H130" s="2">
        <v>16</v>
      </c>
      <c r="I130" s="2">
        <v>66</v>
      </c>
      <c r="J130" s="2">
        <v>5</v>
      </c>
      <c r="K130" s="2">
        <v>7</v>
      </c>
      <c r="L130" s="2">
        <v>1</v>
      </c>
      <c r="M130" s="2" t="s">
        <v>20</v>
      </c>
    </row>
    <row r="131" spans="1:13">
      <c r="A131" s="2">
        <f t="shared" ref="A131:A164" ca="1" si="2">RANDBETWEEN(2,164)</f>
        <v>58</v>
      </c>
      <c r="B131" s="2" cm="1">
        <f t="array" aca="1" ref="B131" ca="1">INDEX(Data_DBD!$B:$B,$A131)</f>
        <v>17</v>
      </c>
      <c r="C131" s="2" cm="1">
        <f t="array" aca="1" ref="C131" ca="1">INDEX(Data_DBD!$C:$C,$A131)</f>
        <v>3</v>
      </c>
      <c r="D131" s="2" cm="1">
        <f t="array" aca="1" ref="D131" ca="1">INDEX(Data_DBD!$D:$D,$A131)</f>
        <v>15</v>
      </c>
      <c r="E131" s="2" cm="1">
        <f t="array" aca="1" ref="E131" ca="1">INDEX(Data_DBD!$E:$E,$A131)</f>
        <v>0</v>
      </c>
      <c r="F131" s="2" t="str" cm="1">
        <f t="array" aca="1" ref="F131" ca="1">INDEX(Data_DBD!$F:$F,$A131)</f>
        <v>Sedang</v>
      </c>
      <c r="H131" s="2">
        <v>126</v>
      </c>
      <c r="I131" s="2">
        <v>51</v>
      </c>
      <c r="J131" s="2">
        <v>3</v>
      </c>
      <c r="K131" s="2">
        <v>33</v>
      </c>
      <c r="L131" s="2">
        <v>1</v>
      </c>
      <c r="M131" s="2" t="s">
        <v>97</v>
      </c>
    </row>
    <row r="132" spans="1:13">
      <c r="A132" s="2">
        <f t="shared" ca="1" si="2"/>
        <v>84</v>
      </c>
      <c r="B132" s="2" cm="1">
        <f t="array" aca="1" ref="B132" ca="1">INDEX(Data_DBD!$B:$B,$A132)</f>
        <v>42</v>
      </c>
      <c r="C132" s="2" cm="1">
        <f t="array" aca="1" ref="C132" ca="1">INDEX(Data_DBD!$C:$C,$A132)</f>
        <v>4</v>
      </c>
      <c r="D132" s="2" cm="1">
        <f t="array" aca="1" ref="D132" ca="1">INDEX(Data_DBD!$D:$D,$A132)</f>
        <v>13</v>
      </c>
      <c r="E132" s="2" cm="1">
        <f t="array" aca="1" ref="E132" ca="1">INDEX(Data_DBD!$E:$E,$A132)</f>
        <v>1</v>
      </c>
      <c r="F132" s="2" t="str" cm="1">
        <f t="array" aca="1" ref="F132" ca="1">INDEX(Data_DBD!$F:$F,$A132)</f>
        <v>Sedang</v>
      </c>
      <c r="H132" s="2">
        <v>56</v>
      </c>
      <c r="I132" s="2">
        <v>4</v>
      </c>
      <c r="J132" s="2">
        <v>3</v>
      </c>
      <c r="K132" s="2">
        <v>15</v>
      </c>
      <c r="L132" s="2">
        <v>0</v>
      </c>
      <c r="M132" s="2" t="s">
        <v>7</v>
      </c>
    </row>
    <row r="133" spans="1:13">
      <c r="A133" s="2">
        <f t="shared" ca="1" si="2"/>
        <v>53</v>
      </c>
      <c r="B133" s="2" cm="1">
        <f t="array" aca="1" ref="B133" ca="1">INDEX(Data_DBD!$B:$B,$A133)</f>
        <v>35</v>
      </c>
      <c r="C133" s="2" cm="1">
        <f t="array" aca="1" ref="C133" ca="1">INDEX(Data_DBD!$C:$C,$A133)</f>
        <v>4</v>
      </c>
      <c r="D133" s="2" cm="1">
        <f t="array" aca="1" ref="D133" ca="1">INDEX(Data_DBD!$D:$D,$A133)</f>
        <v>15</v>
      </c>
      <c r="E133" s="2" cm="1">
        <f t="array" aca="1" ref="E133" ca="1">INDEX(Data_DBD!$E:$E,$A133)</f>
        <v>1</v>
      </c>
      <c r="F133" s="2" t="str" cm="1">
        <f t="array" aca="1" ref="F133" ca="1">INDEX(Data_DBD!$F:$F,$A133)</f>
        <v>Sedang</v>
      </c>
      <c r="H133" s="2">
        <v>146</v>
      </c>
      <c r="I133" s="2">
        <v>34</v>
      </c>
      <c r="J133" s="2">
        <v>2</v>
      </c>
      <c r="K133" s="2">
        <v>21</v>
      </c>
      <c r="L133" s="2">
        <v>1</v>
      </c>
      <c r="M133" s="2" t="s">
        <v>97</v>
      </c>
    </row>
    <row r="134" spans="1:13">
      <c r="A134" s="2">
        <f t="shared" ca="1" si="2"/>
        <v>22</v>
      </c>
      <c r="B134" s="2" cm="1">
        <f t="array" aca="1" ref="B134" ca="1">INDEX(Data_DBD!$B:$B,$A134)</f>
        <v>6</v>
      </c>
      <c r="C134" s="2" cm="1">
        <f t="array" aca="1" ref="C134" ca="1">INDEX(Data_DBD!$C:$C,$A134)</f>
        <v>3</v>
      </c>
      <c r="D134" s="2" cm="1">
        <f t="array" aca="1" ref="D134" ca="1">INDEX(Data_DBD!$D:$D,$A134)</f>
        <v>14</v>
      </c>
      <c r="E134" s="2" cm="1">
        <f t="array" aca="1" ref="E134" ca="1">INDEX(Data_DBD!$E:$E,$A134)</f>
        <v>0</v>
      </c>
      <c r="F134" s="2" t="str" cm="1">
        <f t="array" aca="1" ref="F134" ca="1">INDEX(Data_DBD!$F:$F,$A134)</f>
        <v>Sedang</v>
      </c>
      <c r="H134" s="2">
        <v>8</v>
      </c>
      <c r="I134" s="2">
        <v>4</v>
      </c>
      <c r="J134" s="2">
        <v>2</v>
      </c>
      <c r="K134" s="2">
        <v>12</v>
      </c>
      <c r="L134" s="2">
        <v>0</v>
      </c>
      <c r="M134" s="2" t="s">
        <v>7</v>
      </c>
    </row>
    <row r="135" spans="1:13">
      <c r="A135" s="2">
        <f t="shared" ca="1" si="2"/>
        <v>12</v>
      </c>
      <c r="B135" s="2" cm="1">
        <f t="array" aca="1" ref="B135" ca="1">INDEX(Data_DBD!$B:$B,$A135)</f>
        <v>23</v>
      </c>
      <c r="C135" s="2" cm="1">
        <f t="array" aca="1" ref="C135" ca="1">INDEX(Data_DBD!$C:$C,$A135)</f>
        <v>3</v>
      </c>
      <c r="D135" s="2" cm="1">
        <f t="array" aca="1" ref="D135" ca="1">INDEX(Data_DBD!$D:$D,$A135)</f>
        <v>12</v>
      </c>
      <c r="E135" s="2" cm="1">
        <f t="array" aca="1" ref="E135" ca="1">INDEX(Data_DBD!$E:$E,$A135)</f>
        <v>0</v>
      </c>
      <c r="F135" s="2" t="str" cm="1">
        <f t="array" aca="1" ref="F135" ca="1">INDEX(Data_DBD!$F:$F,$A135)</f>
        <v>Sedang</v>
      </c>
      <c r="H135" s="2">
        <v>103</v>
      </c>
      <c r="I135" s="2">
        <v>22</v>
      </c>
      <c r="J135" s="2">
        <v>5</v>
      </c>
      <c r="K135" s="2">
        <v>18</v>
      </c>
      <c r="L135" s="2">
        <v>0</v>
      </c>
      <c r="M135" s="2" t="s">
        <v>97</v>
      </c>
    </row>
    <row r="136" spans="1:13">
      <c r="A136" s="2">
        <f t="shared" ca="1" si="2"/>
        <v>11</v>
      </c>
      <c r="B136" s="2" cm="1">
        <f t="array" aca="1" ref="B136" ca="1">INDEX(Data_DBD!$B:$B,$A136)</f>
        <v>24</v>
      </c>
      <c r="C136" s="2" cm="1">
        <f t="array" aca="1" ref="C136" ca="1">INDEX(Data_DBD!$C:$C,$A136)</f>
        <v>5</v>
      </c>
      <c r="D136" s="2" cm="1">
        <f t="array" aca="1" ref="D136" ca="1">INDEX(Data_DBD!$D:$D,$A136)</f>
        <v>12</v>
      </c>
      <c r="E136" s="2" cm="1">
        <f t="array" aca="1" ref="E136" ca="1">INDEX(Data_DBD!$E:$E,$A136)</f>
        <v>1</v>
      </c>
      <c r="F136" s="2" t="str" cm="1">
        <f t="array" aca="1" ref="F136" ca="1">INDEX(Data_DBD!$F:$F,$A136)</f>
        <v>Sedang</v>
      </c>
      <c r="H136" s="2">
        <v>126</v>
      </c>
      <c r="I136" s="2">
        <v>51</v>
      </c>
      <c r="J136" s="2">
        <v>3</v>
      </c>
      <c r="K136" s="2">
        <v>33</v>
      </c>
      <c r="L136" s="2">
        <v>1</v>
      </c>
      <c r="M136" s="2" t="s">
        <v>97</v>
      </c>
    </row>
    <row r="137" spans="1:13">
      <c r="A137" s="2">
        <f t="shared" ca="1" si="2"/>
        <v>18</v>
      </c>
      <c r="B137" s="2" cm="1">
        <f t="array" aca="1" ref="B137" ca="1">INDEX(Data_DBD!$B:$B,$A137)</f>
        <v>49</v>
      </c>
      <c r="C137" s="2" cm="1">
        <f t="array" aca="1" ref="C137" ca="1">INDEX(Data_DBD!$C:$C,$A137)</f>
        <v>4</v>
      </c>
      <c r="D137" s="2" cm="1">
        <f t="array" aca="1" ref="D137" ca="1">INDEX(Data_DBD!$D:$D,$A137)</f>
        <v>7</v>
      </c>
      <c r="E137" s="2" cm="1">
        <f t="array" aca="1" ref="E137" ca="1">INDEX(Data_DBD!$E:$E,$A137)</f>
        <v>1</v>
      </c>
      <c r="F137" s="2" t="str" cm="1">
        <f t="array" aca="1" ref="F137" ca="1">INDEX(Data_DBD!$F:$F,$A137)</f>
        <v>Rendah</v>
      </c>
      <c r="H137" s="2">
        <v>100</v>
      </c>
      <c r="I137" s="2">
        <v>19</v>
      </c>
      <c r="J137" s="2">
        <v>6</v>
      </c>
      <c r="K137" s="2">
        <v>18</v>
      </c>
      <c r="L137" s="2">
        <v>0</v>
      </c>
      <c r="M137" s="2" t="s">
        <v>97</v>
      </c>
    </row>
    <row r="138" spans="1:13">
      <c r="A138" s="2">
        <f t="shared" ca="1" si="2"/>
        <v>114</v>
      </c>
      <c r="B138" s="2" cm="1">
        <f t="array" aca="1" ref="B138" ca="1">INDEX(Data_DBD!$B:$B,$A138)</f>
        <v>14</v>
      </c>
      <c r="C138" s="2" cm="1">
        <f t="array" aca="1" ref="C138" ca="1">INDEX(Data_DBD!$C:$C,$A138)</f>
        <v>2</v>
      </c>
      <c r="D138" s="2" cm="1">
        <f t="array" aca="1" ref="D138" ca="1">INDEX(Data_DBD!$D:$D,$A138)</f>
        <v>33</v>
      </c>
      <c r="E138" s="2" cm="1">
        <f t="array" aca="1" ref="E138" ca="1">INDEX(Data_DBD!$E:$E,$A138)</f>
        <v>1</v>
      </c>
      <c r="F138" s="2" t="str" cm="1">
        <f t="array" aca="1" ref="F138" ca="1">INDEX(Data_DBD!$F:$F,$A138)</f>
        <v>Tinggi</v>
      </c>
      <c r="H138" s="2">
        <v>56</v>
      </c>
      <c r="I138" s="2">
        <v>4</v>
      </c>
      <c r="J138" s="2">
        <v>3</v>
      </c>
      <c r="K138" s="2">
        <v>15</v>
      </c>
      <c r="L138" s="2">
        <v>0</v>
      </c>
      <c r="M138" s="2" t="s">
        <v>7</v>
      </c>
    </row>
    <row r="139" spans="1:13">
      <c r="A139" s="2">
        <f t="shared" ca="1" si="2"/>
        <v>106</v>
      </c>
      <c r="B139" s="2" cm="1">
        <f t="array" aca="1" ref="B139" ca="1">INDEX(Data_DBD!$B:$B,$A139)</f>
        <v>23</v>
      </c>
      <c r="C139" s="2" cm="1">
        <f t="array" aca="1" ref="C139" ca="1">INDEX(Data_DBD!$C:$C,$A139)</f>
        <v>3</v>
      </c>
      <c r="D139" s="2" cm="1">
        <f t="array" aca="1" ref="D139" ca="1">INDEX(Data_DBD!$D:$D,$A139)</f>
        <v>18</v>
      </c>
      <c r="E139" s="2" cm="1">
        <f t="array" aca="1" ref="E139" ca="1">INDEX(Data_DBD!$E:$E,$A139)</f>
        <v>1</v>
      </c>
      <c r="F139" s="2" t="str" cm="1">
        <f t="array" aca="1" ref="F139" ca="1">INDEX(Data_DBD!$F:$F,$A139)</f>
        <v>Tinggi</v>
      </c>
      <c r="H139" s="2">
        <v>118</v>
      </c>
      <c r="I139" s="2">
        <v>67</v>
      </c>
      <c r="J139" s="2">
        <v>4</v>
      </c>
      <c r="K139" s="2">
        <v>33</v>
      </c>
      <c r="L139" s="2">
        <v>1</v>
      </c>
      <c r="M139" s="2" t="s">
        <v>97</v>
      </c>
    </row>
    <row r="140" spans="1:13">
      <c r="A140" s="2">
        <f t="shared" ca="1" si="2"/>
        <v>37</v>
      </c>
      <c r="B140" s="2" cm="1">
        <f t="array" aca="1" ref="B140" ca="1">INDEX(Data_DBD!$B:$B,$A140)</f>
        <v>28</v>
      </c>
      <c r="C140" s="2" cm="1">
        <f t="array" aca="1" ref="C140" ca="1">INDEX(Data_DBD!$C:$C,$A140)</f>
        <v>4</v>
      </c>
      <c r="D140" s="2" cm="1">
        <f t="array" aca="1" ref="D140" ca="1">INDEX(Data_DBD!$D:$D,$A140)</f>
        <v>4</v>
      </c>
      <c r="E140" s="2" cm="1">
        <f t="array" aca="1" ref="E140" ca="1">INDEX(Data_DBD!$E:$E,$A140)</f>
        <v>1</v>
      </c>
      <c r="F140" s="2" t="str" cm="1">
        <f t="array" aca="1" ref="F140" ca="1">INDEX(Data_DBD!$F:$F,$A140)</f>
        <v>Rendah</v>
      </c>
      <c r="H140" s="2">
        <v>56</v>
      </c>
      <c r="I140" s="2">
        <v>4</v>
      </c>
      <c r="J140" s="2">
        <v>3</v>
      </c>
      <c r="K140" s="2">
        <v>15</v>
      </c>
      <c r="L140" s="2">
        <v>0</v>
      </c>
      <c r="M140" s="2" t="s">
        <v>7</v>
      </c>
    </row>
    <row r="141" spans="1:13">
      <c r="A141" s="2">
        <f t="shared" ca="1" si="2"/>
        <v>36</v>
      </c>
      <c r="B141" s="2" cm="1">
        <f t="array" aca="1" ref="B141" ca="1">INDEX(Data_DBD!$B:$B,$A141)</f>
        <v>27</v>
      </c>
      <c r="C141" s="2" cm="1">
        <f t="array" aca="1" ref="C141" ca="1">INDEX(Data_DBD!$C:$C,$A141)</f>
        <v>1</v>
      </c>
      <c r="D141" s="2" cm="1">
        <f t="array" aca="1" ref="D141" ca="1">INDEX(Data_DBD!$D:$D,$A141)</f>
        <v>4</v>
      </c>
      <c r="E141" s="2" cm="1">
        <f t="array" aca="1" ref="E141" ca="1">INDEX(Data_DBD!$E:$E,$A141)</f>
        <v>1</v>
      </c>
      <c r="F141" s="2" t="str" cm="1">
        <f t="array" aca="1" ref="F141" ca="1">INDEX(Data_DBD!$F:$F,$A141)</f>
        <v>Rendah</v>
      </c>
      <c r="H141" s="2">
        <v>91</v>
      </c>
      <c r="I141" s="2">
        <v>35</v>
      </c>
      <c r="J141" s="2">
        <v>1</v>
      </c>
      <c r="K141" s="2">
        <v>18</v>
      </c>
      <c r="L141" s="2">
        <v>1</v>
      </c>
      <c r="M141" s="2" t="s">
        <v>97</v>
      </c>
    </row>
    <row r="142" spans="1:13">
      <c r="A142" s="2">
        <f t="shared" ca="1" si="2"/>
        <v>76</v>
      </c>
      <c r="B142" s="2" cm="1">
        <f t="array" aca="1" ref="B142" ca="1">INDEX(Data_DBD!$B:$B,$A142)</f>
        <v>70</v>
      </c>
      <c r="C142" s="2" cm="1">
        <f t="array" aca="1" ref="C142" ca="1">INDEX(Data_DBD!$C:$C,$A142)</f>
        <v>2</v>
      </c>
      <c r="D142" s="2" cm="1">
        <f t="array" aca="1" ref="D142" ca="1">INDEX(Data_DBD!$D:$D,$A142)</f>
        <v>10</v>
      </c>
      <c r="E142" s="2" cm="1">
        <f t="array" aca="1" ref="E142" ca="1">INDEX(Data_DBD!$E:$E,$A142)</f>
        <v>0</v>
      </c>
      <c r="F142" s="2" t="str" cm="1">
        <f t="array" aca="1" ref="F142" ca="1">INDEX(Data_DBD!$F:$F,$A142)</f>
        <v>Sedang</v>
      </c>
      <c r="H142" s="2">
        <v>86</v>
      </c>
      <c r="I142" s="2">
        <v>23</v>
      </c>
      <c r="J142" s="2">
        <v>3</v>
      </c>
      <c r="K142" s="2">
        <v>13</v>
      </c>
      <c r="L142" s="2">
        <v>0</v>
      </c>
      <c r="M142" s="2" t="s">
        <v>7</v>
      </c>
    </row>
    <row r="143" spans="1:13">
      <c r="A143" s="2">
        <f t="shared" ca="1" si="2"/>
        <v>21</v>
      </c>
      <c r="B143" s="2" cm="1">
        <f t="array" aca="1" ref="B143" ca="1">INDEX(Data_DBD!$B:$B,$A143)</f>
        <v>10</v>
      </c>
      <c r="C143" s="2" cm="1">
        <f t="array" aca="1" ref="C143" ca="1">INDEX(Data_DBD!$C:$C,$A143)</f>
        <v>5</v>
      </c>
      <c r="D143" s="2" cm="1">
        <f t="array" aca="1" ref="D143" ca="1">INDEX(Data_DBD!$D:$D,$A143)</f>
        <v>14</v>
      </c>
      <c r="E143" s="2" cm="1">
        <f t="array" aca="1" ref="E143" ca="1">INDEX(Data_DBD!$E:$E,$A143)</f>
        <v>1</v>
      </c>
      <c r="F143" s="2" t="str" cm="1">
        <f t="array" aca="1" ref="F143" ca="1">INDEX(Data_DBD!$F:$F,$A143)</f>
        <v>Sedang</v>
      </c>
      <c r="H143" s="2">
        <v>162</v>
      </c>
      <c r="I143" s="2">
        <v>22</v>
      </c>
      <c r="J143" s="2">
        <v>3</v>
      </c>
      <c r="K143" s="2">
        <v>3</v>
      </c>
      <c r="L143" s="2">
        <v>1</v>
      </c>
      <c r="M143" s="2" t="s">
        <v>20</v>
      </c>
    </row>
    <row r="144" spans="1:13">
      <c r="A144" s="2">
        <f t="shared" ca="1" si="2"/>
        <v>64</v>
      </c>
      <c r="B144" s="2" cm="1">
        <f t="array" aca="1" ref="B144" ca="1">INDEX(Data_DBD!$B:$B,$A144)</f>
        <v>35</v>
      </c>
      <c r="C144" s="2" cm="1">
        <f t="array" aca="1" ref="C144" ca="1">INDEX(Data_DBD!$C:$C,$A144)</f>
        <v>1</v>
      </c>
      <c r="D144" s="2" cm="1">
        <f t="array" aca="1" ref="D144" ca="1">INDEX(Data_DBD!$D:$D,$A144)</f>
        <v>15</v>
      </c>
      <c r="E144" s="2" cm="1">
        <f t="array" aca="1" ref="E144" ca="1">INDEX(Data_DBD!$E:$E,$A144)</f>
        <v>0</v>
      </c>
      <c r="F144" s="2" t="str" cm="1">
        <f t="array" aca="1" ref="F144" ca="1">INDEX(Data_DBD!$F:$F,$A144)</f>
        <v>Sedang</v>
      </c>
      <c r="H144" s="2">
        <v>153</v>
      </c>
      <c r="I144" s="2">
        <v>73</v>
      </c>
      <c r="J144" s="2">
        <v>7</v>
      </c>
      <c r="K144" s="2">
        <v>21</v>
      </c>
      <c r="L144" s="2">
        <v>1</v>
      </c>
      <c r="M144" s="2" t="s">
        <v>97</v>
      </c>
    </row>
    <row r="145" spans="1:13">
      <c r="A145" s="2">
        <f t="shared" ca="1" si="2"/>
        <v>51</v>
      </c>
      <c r="B145" s="2" cm="1">
        <f t="array" aca="1" ref="B145" ca="1">INDEX(Data_DBD!$B:$B,$A145)</f>
        <v>48</v>
      </c>
      <c r="C145" s="2" cm="1">
        <f t="array" aca="1" ref="C145" ca="1">INDEX(Data_DBD!$C:$C,$A145)</f>
        <v>4</v>
      </c>
      <c r="D145" s="2" cm="1">
        <f t="array" aca="1" ref="D145" ca="1">INDEX(Data_DBD!$D:$D,$A145)</f>
        <v>13</v>
      </c>
      <c r="E145" s="2" cm="1">
        <f t="array" aca="1" ref="E145" ca="1">INDEX(Data_DBD!$E:$E,$A145)</f>
        <v>0</v>
      </c>
      <c r="F145" s="2" t="str" cm="1">
        <f t="array" aca="1" ref="F145" ca="1">INDEX(Data_DBD!$F:$F,$A145)</f>
        <v>Sedang</v>
      </c>
      <c r="H145" s="2">
        <v>128</v>
      </c>
      <c r="I145" s="2">
        <v>38</v>
      </c>
      <c r="J145" s="2">
        <v>2</v>
      </c>
      <c r="K145" s="2">
        <v>33</v>
      </c>
      <c r="L145" s="2">
        <v>0</v>
      </c>
      <c r="M145" s="2" t="s">
        <v>97</v>
      </c>
    </row>
    <row r="146" spans="1:13">
      <c r="A146" s="2">
        <f t="shared" ca="1" si="2"/>
        <v>131</v>
      </c>
      <c r="B146" s="2" cm="1">
        <f t="array" aca="1" ref="B146" ca="1">INDEX(Data_DBD!$B:$B,$A146)</f>
        <v>10</v>
      </c>
      <c r="C146" s="2" cm="1">
        <f t="array" aca="1" ref="C146" ca="1">INDEX(Data_DBD!$C:$C,$A146)</f>
        <v>2</v>
      </c>
      <c r="D146" s="2" cm="1">
        <f t="array" aca="1" ref="D146" ca="1">INDEX(Data_DBD!$D:$D,$A146)</f>
        <v>33</v>
      </c>
      <c r="E146" s="2" cm="1">
        <f t="array" aca="1" ref="E146" ca="1">INDEX(Data_DBD!$E:$E,$A146)</f>
        <v>0</v>
      </c>
      <c r="F146" s="2" t="str" cm="1">
        <f t="array" aca="1" ref="F146" ca="1">INDEX(Data_DBD!$F:$F,$A146)</f>
        <v>Tinggi</v>
      </c>
      <c r="H146" s="2">
        <v>107</v>
      </c>
      <c r="I146" s="2">
        <v>48</v>
      </c>
      <c r="J146" s="2">
        <v>5</v>
      </c>
      <c r="K146" s="2">
        <v>18</v>
      </c>
      <c r="L146" s="2">
        <v>0</v>
      </c>
      <c r="M146" s="2" t="s">
        <v>97</v>
      </c>
    </row>
    <row r="147" spans="1:13">
      <c r="A147" s="2">
        <f t="shared" ca="1" si="2"/>
        <v>92</v>
      </c>
      <c r="B147" s="2" cm="1">
        <f t="array" aca="1" ref="B147" ca="1">INDEX(Data_DBD!$B:$B,$A147)</f>
        <v>55</v>
      </c>
      <c r="C147" s="2" cm="1">
        <f t="array" aca="1" ref="C147" ca="1">INDEX(Data_DBD!$C:$C,$A147)</f>
        <v>7</v>
      </c>
      <c r="D147" s="2" cm="1">
        <f t="array" aca="1" ref="D147" ca="1">INDEX(Data_DBD!$D:$D,$A147)</f>
        <v>18</v>
      </c>
      <c r="E147" s="2" cm="1">
        <f t="array" aca="1" ref="E147" ca="1">INDEX(Data_DBD!$E:$E,$A147)</f>
        <v>0</v>
      </c>
      <c r="F147" s="2" t="str" cm="1">
        <f t="array" aca="1" ref="F147" ca="1">INDEX(Data_DBD!$F:$F,$A147)</f>
        <v>Tinggi</v>
      </c>
      <c r="H147" s="2">
        <v>145</v>
      </c>
      <c r="I147" s="2">
        <v>28</v>
      </c>
      <c r="J147" s="2">
        <v>4</v>
      </c>
      <c r="K147" s="2">
        <v>21</v>
      </c>
      <c r="L147" s="2">
        <v>1</v>
      </c>
      <c r="M147" s="2" t="s">
        <v>97</v>
      </c>
    </row>
    <row r="148" spans="1:13">
      <c r="A148" s="2">
        <f t="shared" ca="1" si="2"/>
        <v>37</v>
      </c>
      <c r="B148" s="2" cm="1">
        <f t="array" aca="1" ref="B148" ca="1">INDEX(Data_DBD!$B:$B,$A148)</f>
        <v>28</v>
      </c>
      <c r="C148" s="2" cm="1">
        <f t="array" aca="1" ref="C148" ca="1">INDEX(Data_DBD!$C:$C,$A148)</f>
        <v>4</v>
      </c>
      <c r="D148" s="2" cm="1">
        <f t="array" aca="1" ref="D148" ca="1">INDEX(Data_DBD!$D:$D,$A148)</f>
        <v>4</v>
      </c>
      <c r="E148" s="2" cm="1">
        <f t="array" aca="1" ref="E148" ca="1">INDEX(Data_DBD!$E:$E,$A148)</f>
        <v>1</v>
      </c>
      <c r="F148" s="2" t="str" cm="1">
        <f t="array" aca="1" ref="F148" ca="1">INDEX(Data_DBD!$F:$F,$A148)</f>
        <v>Rendah</v>
      </c>
      <c r="H148" s="2">
        <v>15</v>
      </c>
      <c r="I148" s="2">
        <v>21</v>
      </c>
      <c r="J148" s="2">
        <v>2</v>
      </c>
      <c r="K148" s="2">
        <v>7</v>
      </c>
      <c r="L148" s="2">
        <v>0</v>
      </c>
      <c r="M148" s="2" t="s">
        <v>20</v>
      </c>
    </row>
    <row r="149" spans="1:13">
      <c r="A149" s="2">
        <f t="shared" ca="1" si="2"/>
        <v>3</v>
      </c>
      <c r="B149" s="2" cm="1">
        <f t="array" aca="1" ref="B149" ca="1">INDEX(Data_DBD!$B:$B,$A149)</f>
        <v>43</v>
      </c>
      <c r="C149" s="2" cm="1">
        <f t="array" aca="1" ref="C149" ca="1">INDEX(Data_DBD!$C:$C,$A149)</f>
        <v>3</v>
      </c>
      <c r="D149" s="2" cm="1">
        <f t="array" aca="1" ref="D149" ca="1">INDEX(Data_DBD!$D:$D,$A149)</f>
        <v>12</v>
      </c>
      <c r="E149" s="2" cm="1">
        <f t="array" aca="1" ref="E149" ca="1">INDEX(Data_DBD!$E:$E,$A149)</f>
        <v>1</v>
      </c>
      <c r="F149" s="2" t="str" cm="1">
        <f t="array" aca="1" ref="F149" ca="1">INDEX(Data_DBD!$F:$F,$A149)</f>
        <v>Sedang</v>
      </c>
      <c r="H149" s="2">
        <v>96</v>
      </c>
      <c r="I149" s="2">
        <v>56</v>
      </c>
      <c r="J149" s="2">
        <v>4</v>
      </c>
      <c r="K149" s="2">
        <v>18</v>
      </c>
      <c r="L149" s="2">
        <v>0</v>
      </c>
      <c r="M149" s="2" t="s">
        <v>97</v>
      </c>
    </row>
    <row r="150" spans="1:13">
      <c r="A150" s="2">
        <f t="shared" ca="1" si="2"/>
        <v>20</v>
      </c>
      <c r="B150" s="2" cm="1">
        <f t="array" aca="1" ref="B150" ca="1">INDEX(Data_DBD!$B:$B,$A150)</f>
        <v>15</v>
      </c>
      <c r="C150" s="2" cm="1">
        <f t="array" aca="1" ref="C150" ca="1">INDEX(Data_DBD!$C:$C,$A150)</f>
        <v>5</v>
      </c>
      <c r="D150" s="2" cm="1">
        <f t="array" aca="1" ref="D150" ca="1">INDEX(Data_DBD!$D:$D,$A150)</f>
        <v>7</v>
      </c>
      <c r="E150" s="2" cm="1">
        <f t="array" aca="1" ref="E150" ca="1">INDEX(Data_DBD!$E:$E,$A150)</f>
        <v>0</v>
      </c>
      <c r="F150" s="2" t="str" cm="1">
        <f t="array" aca="1" ref="F150" ca="1">INDEX(Data_DBD!$F:$F,$A150)</f>
        <v>Rendah</v>
      </c>
      <c r="H150" s="2">
        <v>100</v>
      </c>
      <c r="I150" s="2">
        <v>19</v>
      </c>
      <c r="J150" s="2">
        <v>6</v>
      </c>
      <c r="K150" s="2">
        <v>18</v>
      </c>
      <c r="L150" s="2">
        <v>0</v>
      </c>
      <c r="M150" s="2" t="s">
        <v>97</v>
      </c>
    </row>
    <row r="151" spans="1:13">
      <c r="A151" s="2">
        <f t="shared" ca="1" si="2"/>
        <v>120</v>
      </c>
      <c r="B151" s="2" cm="1">
        <f t="array" aca="1" ref="B151" ca="1">INDEX(Data_DBD!$B:$B,$A151)</f>
        <v>26</v>
      </c>
      <c r="C151" s="2" cm="1">
        <f t="array" aca="1" ref="C151" ca="1">INDEX(Data_DBD!$C:$C,$A151)</f>
        <v>4</v>
      </c>
      <c r="D151" s="2" cm="1">
        <f t="array" aca="1" ref="D151" ca="1">INDEX(Data_DBD!$D:$D,$A151)</f>
        <v>33</v>
      </c>
      <c r="E151" s="2" cm="1">
        <f t="array" aca="1" ref="E151" ca="1">INDEX(Data_DBD!$E:$E,$A151)</f>
        <v>1</v>
      </c>
      <c r="F151" s="2" t="str" cm="1">
        <f t="array" aca="1" ref="F151" ca="1">INDEX(Data_DBD!$F:$F,$A151)</f>
        <v>Tinggi</v>
      </c>
      <c r="H151" s="2">
        <v>119</v>
      </c>
      <c r="I151" s="2">
        <v>30</v>
      </c>
      <c r="J151" s="2">
        <v>7</v>
      </c>
      <c r="K151" s="2">
        <v>33</v>
      </c>
      <c r="L151" s="2">
        <v>0</v>
      </c>
      <c r="M151" s="2" t="s">
        <v>97</v>
      </c>
    </row>
    <row r="152" spans="1:13">
      <c r="A152" s="2">
        <f t="shared" ca="1" si="2"/>
        <v>111</v>
      </c>
      <c r="B152" s="2" cm="1">
        <f t="array" aca="1" ref="B152" ca="1">INDEX(Data_DBD!$B:$B,$A152)</f>
        <v>25</v>
      </c>
      <c r="C152" s="2" cm="1">
        <f t="array" aca="1" ref="C152" ca="1">INDEX(Data_DBD!$C:$C,$A152)</f>
        <v>4</v>
      </c>
      <c r="D152" s="2" cm="1">
        <f t="array" aca="1" ref="D152" ca="1">INDEX(Data_DBD!$D:$D,$A152)</f>
        <v>33</v>
      </c>
      <c r="E152" s="2" cm="1">
        <f t="array" aca="1" ref="E152" ca="1">INDEX(Data_DBD!$E:$E,$A152)</f>
        <v>0</v>
      </c>
      <c r="F152" s="2" t="str" cm="1">
        <f t="array" aca="1" ref="F152" ca="1">INDEX(Data_DBD!$F:$F,$A152)</f>
        <v>Tinggi</v>
      </c>
      <c r="H152" s="2">
        <v>71</v>
      </c>
      <c r="I152" s="2">
        <v>84</v>
      </c>
      <c r="J152" s="2">
        <v>3</v>
      </c>
      <c r="K152" s="2">
        <v>10</v>
      </c>
      <c r="L152" s="2">
        <v>0</v>
      </c>
      <c r="M152" s="2" t="s">
        <v>7</v>
      </c>
    </row>
    <row r="153" spans="1:13">
      <c r="A153" s="2">
        <f t="shared" ca="1" si="2"/>
        <v>116</v>
      </c>
      <c r="B153" s="2" cm="1">
        <f t="array" aca="1" ref="B153" ca="1">INDEX(Data_DBD!$B:$B,$A153)</f>
        <v>32</v>
      </c>
      <c r="C153" s="2" cm="1">
        <f t="array" aca="1" ref="C153" ca="1">INDEX(Data_DBD!$C:$C,$A153)</f>
        <v>4</v>
      </c>
      <c r="D153" s="2" cm="1">
        <f t="array" aca="1" ref="D153" ca="1">INDEX(Data_DBD!$D:$D,$A153)</f>
        <v>33</v>
      </c>
      <c r="E153" s="2" cm="1">
        <f t="array" aca="1" ref="E153" ca="1">INDEX(Data_DBD!$E:$E,$A153)</f>
        <v>1</v>
      </c>
      <c r="F153" s="2" t="str" cm="1">
        <f t="array" aca="1" ref="F153" ca="1">INDEX(Data_DBD!$F:$F,$A153)</f>
        <v>Tinggi</v>
      </c>
      <c r="H153" s="2">
        <v>16</v>
      </c>
      <c r="I153" s="2">
        <v>66</v>
      </c>
      <c r="J153" s="2">
        <v>5</v>
      </c>
      <c r="K153" s="2">
        <v>7</v>
      </c>
      <c r="L153" s="2">
        <v>1</v>
      </c>
      <c r="M153" s="2" t="s">
        <v>20</v>
      </c>
    </row>
    <row r="154" spans="1:13">
      <c r="A154" s="2">
        <f t="shared" ca="1" si="2"/>
        <v>11</v>
      </c>
      <c r="B154" s="2" cm="1">
        <f t="array" aca="1" ref="B154" ca="1">INDEX(Data_DBD!$B:$B,$A154)</f>
        <v>24</v>
      </c>
      <c r="C154" s="2" cm="1">
        <f t="array" aca="1" ref="C154" ca="1">INDEX(Data_DBD!$C:$C,$A154)</f>
        <v>5</v>
      </c>
      <c r="D154" s="2" cm="1">
        <f t="array" aca="1" ref="D154" ca="1">INDEX(Data_DBD!$D:$D,$A154)</f>
        <v>12</v>
      </c>
      <c r="E154" s="2" cm="1">
        <f t="array" aca="1" ref="E154" ca="1">INDEX(Data_DBD!$E:$E,$A154)</f>
        <v>1</v>
      </c>
      <c r="F154" s="2" t="str" cm="1">
        <f t="array" aca="1" ref="F154" ca="1">INDEX(Data_DBD!$F:$F,$A154)</f>
        <v>Sedang</v>
      </c>
      <c r="H154" s="2">
        <v>129</v>
      </c>
      <c r="I154" s="2">
        <v>4</v>
      </c>
      <c r="J154" s="2">
        <v>3</v>
      </c>
      <c r="K154" s="2">
        <v>33</v>
      </c>
      <c r="L154" s="2">
        <v>0</v>
      </c>
      <c r="M154" s="2" t="s">
        <v>97</v>
      </c>
    </row>
    <row r="155" spans="1:13">
      <c r="A155" s="2">
        <f t="shared" ca="1" si="2"/>
        <v>48</v>
      </c>
      <c r="B155" s="2" cm="1">
        <f t="array" aca="1" ref="B155" ca="1">INDEX(Data_DBD!$B:$B,$A155)</f>
        <v>50</v>
      </c>
      <c r="C155" s="2" cm="1">
        <f t="array" aca="1" ref="C155" ca="1">INDEX(Data_DBD!$C:$C,$A155)</f>
        <v>5</v>
      </c>
      <c r="D155" s="2" cm="1">
        <f t="array" aca="1" ref="D155" ca="1">INDEX(Data_DBD!$D:$D,$A155)</f>
        <v>13</v>
      </c>
      <c r="E155" s="2" cm="1">
        <f t="array" aca="1" ref="E155" ca="1">INDEX(Data_DBD!$E:$E,$A155)</f>
        <v>1</v>
      </c>
      <c r="F155" s="2" t="str" cm="1">
        <f t="array" aca="1" ref="F155" ca="1">INDEX(Data_DBD!$F:$F,$A155)</f>
        <v>Sedang</v>
      </c>
      <c r="H155" s="2">
        <v>127</v>
      </c>
      <c r="I155" s="2">
        <v>21</v>
      </c>
      <c r="J155" s="2">
        <v>2</v>
      </c>
      <c r="K155" s="2">
        <v>33</v>
      </c>
      <c r="L155" s="2">
        <v>0</v>
      </c>
      <c r="M155" s="2" t="s">
        <v>97</v>
      </c>
    </row>
    <row r="156" spans="1:13">
      <c r="A156" s="2">
        <f t="shared" ca="1" si="2"/>
        <v>150</v>
      </c>
      <c r="B156" s="2" cm="1">
        <f t="array" aca="1" ref="B156" ca="1">INDEX(Data_DBD!$B:$B,$A156)</f>
        <v>61</v>
      </c>
      <c r="C156" s="2" cm="1">
        <f t="array" aca="1" ref="C156" ca="1">INDEX(Data_DBD!$C:$C,$A156)</f>
        <v>5</v>
      </c>
      <c r="D156" s="2" cm="1">
        <f t="array" aca="1" ref="D156" ca="1">INDEX(Data_DBD!$D:$D,$A156)</f>
        <v>21</v>
      </c>
      <c r="E156" s="2" cm="1">
        <f t="array" aca="1" ref="E156" ca="1">INDEX(Data_DBD!$E:$E,$A156)</f>
        <v>1</v>
      </c>
      <c r="F156" s="2" t="str" cm="1">
        <f t="array" aca="1" ref="F156" ca="1">INDEX(Data_DBD!$F:$F,$A156)</f>
        <v>Tinggi</v>
      </c>
      <c r="H156" s="2">
        <v>157</v>
      </c>
      <c r="I156" s="2">
        <v>15</v>
      </c>
      <c r="J156" s="2">
        <v>4</v>
      </c>
      <c r="K156" s="2">
        <v>21</v>
      </c>
      <c r="L156" s="2">
        <v>1</v>
      </c>
      <c r="M156" s="2" t="s">
        <v>97</v>
      </c>
    </row>
    <row r="157" spans="1:13">
      <c r="A157" s="2">
        <f t="shared" ca="1" si="2"/>
        <v>38</v>
      </c>
      <c r="B157" s="2" cm="1">
        <f t="array" aca="1" ref="B157" ca="1">INDEX(Data_DBD!$B:$B,$A157)</f>
        <v>52</v>
      </c>
      <c r="C157" s="2" cm="1">
        <f t="array" aca="1" ref="C157" ca="1">INDEX(Data_DBD!$C:$C,$A157)</f>
        <v>3</v>
      </c>
      <c r="D157" s="2" cm="1">
        <f t="array" aca="1" ref="D157" ca="1">INDEX(Data_DBD!$D:$D,$A157)</f>
        <v>4</v>
      </c>
      <c r="E157" s="2" cm="1">
        <f t="array" aca="1" ref="E157" ca="1">INDEX(Data_DBD!$E:$E,$A157)</f>
        <v>1</v>
      </c>
      <c r="F157" s="2" t="str" cm="1">
        <f t="array" aca="1" ref="F157" ca="1">INDEX(Data_DBD!$F:$F,$A157)</f>
        <v>Rendah</v>
      </c>
      <c r="H157" s="2">
        <v>152</v>
      </c>
      <c r="I157" s="2">
        <v>47</v>
      </c>
      <c r="J157" s="2">
        <v>3</v>
      </c>
      <c r="K157" s="2">
        <v>21</v>
      </c>
      <c r="L157" s="2">
        <v>1</v>
      </c>
      <c r="M157" s="2" t="s">
        <v>97</v>
      </c>
    </row>
    <row r="158" spans="1:13">
      <c r="A158" s="2">
        <f t="shared" ca="1" si="2"/>
        <v>128</v>
      </c>
      <c r="B158" s="2" cm="1">
        <f t="array" aca="1" ref="B158" ca="1">INDEX(Data_DBD!$B:$B,$A158)</f>
        <v>38</v>
      </c>
      <c r="C158" s="2" cm="1">
        <f t="array" aca="1" ref="C158" ca="1">INDEX(Data_DBD!$C:$C,$A158)</f>
        <v>2</v>
      </c>
      <c r="D158" s="2" cm="1">
        <f t="array" aca="1" ref="D158" ca="1">INDEX(Data_DBD!$D:$D,$A158)</f>
        <v>33</v>
      </c>
      <c r="E158" s="2" cm="1">
        <f t="array" aca="1" ref="E158" ca="1">INDEX(Data_DBD!$E:$E,$A158)</f>
        <v>0</v>
      </c>
      <c r="F158" s="2" t="str" cm="1">
        <f t="array" aca="1" ref="F158" ca="1">INDEX(Data_DBD!$F:$F,$A158)</f>
        <v>Tinggi</v>
      </c>
      <c r="H158" s="2">
        <v>45</v>
      </c>
      <c r="I158" s="2">
        <v>75</v>
      </c>
      <c r="J158" s="2">
        <v>3</v>
      </c>
      <c r="K158" s="2">
        <v>13</v>
      </c>
      <c r="L158" s="2">
        <v>1</v>
      </c>
      <c r="M158" s="2" t="s">
        <v>7</v>
      </c>
    </row>
    <row r="159" spans="1:13">
      <c r="A159" s="2">
        <f t="shared" ca="1" si="2"/>
        <v>78</v>
      </c>
      <c r="B159" s="2" cm="1">
        <f t="array" aca="1" ref="B159" ca="1">INDEX(Data_DBD!$B:$B,$A159)</f>
        <v>6</v>
      </c>
      <c r="C159" s="2" cm="1">
        <f t="array" aca="1" ref="C159" ca="1">INDEX(Data_DBD!$C:$C,$A159)</f>
        <v>3</v>
      </c>
      <c r="D159" s="2" cm="1">
        <f t="array" aca="1" ref="D159" ca="1">INDEX(Data_DBD!$D:$D,$A159)</f>
        <v>13</v>
      </c>
      <c r="E159" s="2" cm="1">
        <f t="array" aca="1" ref="E159" ca="1">INDEX(Data_DBD!$E:$E,$A159)</f>
        <v>0</v>
      </c>
      <c r="F159" s="2" t="str" cm="1">
        <f t="array" aca="1" ref="F159" ca="1">INDEX(Data_DBD!$F:$F,$A159)</f>
        <v>Sedang</v>
      </c>
      <c r="H159" s="2">
        <v>164</v>
      </c>
      <c r="I159" s="2">
        <v>10</v>
      </c>
      <c r="J159" s="2">
        <v>6</v>
      </c>
      <c r="K159" s="2">
        <v>3</v>
      </c>
      <c r="L159" s="2">
        <v>0</v>
      </c>
      <c r="M159" s="2" t="s">
        <v>20</v>
      </c>
    </row>
    <row r="160" spans="1:13">
      <c r="A160" s="2">
        <f t="shared" ca="1" si="2"/>
        <v>3</v>
      </c>
      <c r="B160" s="2" cm="1">
        <f t="array" aca="1" ref="B160" ca="1">INDEX(Data_DBD!$B:$B,$A160)</f>
        <v>43</v>
      </c>
      <c r="C160" s="2" cm="1">
        <f t="array" aca="1" ref="C160" ca="1">INDEX(Data_DBD!$C:$C,$A160)</f>
        <v>3</v>
      </c>
      <c r="D160" s="2" cm="1">
        <f t="array" aca="1" ref="D160" ca="1">INDEX(Data_DBD!$D:$D,$A160)</f>
        <v>12</v>
      </c>
      <c r="E160" s="2" cm="1">
        <f t="array" aca="1" ref="E160" ca="1">INDEX(Data_DBD!$E:$E,$A160)</f>
        <v>1</v>
      </c>
      <c r="F160" s="2" t="str" cm="1">
        <f t="array" aca="1" ref="F160" ca="1">INDEX(Data_DBD!$F:$F,$A160)</f>
        <v>Sedang</v>
      </c>
      <c r="H160" s="2">
        <v>63</v>
      </c>
      <c r="I160" s="2">
        <v>25</v>
      </c>
      <c r="J160" s="2">
        <v>3</v>
      </c>
      <c r="K160" s="2">
        <v>15</v>
      </c>
      <c r="L160" s="2">
        <v>0</v>
      </c>
      <c r="M160" s="2" t="s">
        <v>7</v>
      </c>
    </row>
    <row r="161" spans="1:22">
      <c r="A161" s="2">
        <f t="shared" ca="1" si="2"/>
        <v>49</v>
      </c>
      <c r="B161" s="2" cm="1">
        <f t="array" aca="1" ref="B161" ca="1">INDEX(Data_DBD!$B:$B,$A161)</f>
        <v>64</v>
      </c>
      <c r="C161" s="2" cm="1">
        <f t="array" aca="1" ref="C161" ca="1">INDEX(Data_DBD!$C:$C,$A161)</f>
        <v>5</v>
      </c>
      <c r="D161" s="2" cm="1">
        <f t="array" aca="1" ref="D161" ca="1">INDEX(Data_DBD!$D:$D,$A161)</f>
        <v>13</v>
      </c>
      <c r="E161" s="2" cm="1">
        <f t="array" aca="1" ref="E161" ca="1">INDEX(Data_DBD!$E:$E,$A161)</f>
        <v>0</v>
      </c>
      <c r="F161" s="2" t="str" cm="1">
        <f t="array" aca="1" ref="F161" ca="1">INDEX(Data_DBD!$F:$F,$A161)</f>
        <v>Sedang</v>
      </c>
      <c r="H161" s="2">
        <v>156</v>
      </c>
      <c r="I161" s="2">
        <v>5</v>
      </c>
      <c r="J161" s="2">
        <v>2</v>
      </c>
      <c r="K161" s="2">
        <v>21</v>
      </c>
      <c r="L161" s="2">
        <v>0</v>
      </c>
      <c r="M161" s="2" t="s">
        <v>97</v>
      </c>
    </row>
    <row r="162" spans="1:22">
      <c r="A162" s="2">
        <f t="shared" ca="1" si="2"/>
        <v>84</v>
      </c>
      <c r="B162" s="2" cm="1">
        <f t="array" aca="1" ref="B162" ca="1">INDEX(Data_DBD!$B:$B,$A162)</f>
        <v>42</v>
      </c>
      <c r="C162" s="2" cm="1">
        <f t="array" aca="1" ref="C162" ca="1">INDEX(Data_DBD!$C:$C,$A162)</f>
        <v>4</v>
      </c>
      <c r="D162" s="2" cm="1">
        <f t="array" aca="1" ref="D162" ca="1">INDEX(Data_DBD!$D:$D,$A162)</f>
        <v>13</v>
      </c>
      <c r="E162" s="2" cm="1">
        <f t="array" aca="1" ref="E162" ca="1">INDEX(Data_DBD!$E:$E,$A162)</f>
        <v>1</v>
      </c>
      <c r="F162" s="2" t="str" cm="1">
        <f t="array" aca="1" ref="F162" ca="1">INDEX(Data_DBD!$F:$F,$A162)</f>
        <v>Sedang</v>
      </c>
      <c r="H162" s="2">
        <v>57</v>
      </c>
      <c r="I162" s="2">
        <v>2</v>
      </c>
      <c r="J162" s="2">
        <v>2</v>
      </c>
      <c r="K162" s="2">
        <v>15</v>
      </c>
      <c r="L162" s="2">
        <v>1</v>
      </c>
      <c r="M162" s="2" t="s">
        <v>7</v>
      </c>
    </row>
    <row r="163" spans="1:22">
      <c r="A163" s="2">
        <f t="shared" ca="1" si="2"/>
        <v>53</v>
      </c>
      <c r="B163" s="2" cm="1">
        <f t="array" aca="1" ref="B163" ca="1">INDEX(Data_DBD!$B:$B,$A163)</f>
        <v>35</v>
      </c>
      <c r="C163" s="2" cm="1">
        <f t="array" aca="1" ref="C163" ca="1">INDEX(Data_DBD!$C:$C,$A163)</f>
        <v>4</v>
      </c>
      <c r="D163" s="2" cm="1">
        <f t="array" aca="1" ref="D163" ca="1">INDEX(Data_DBD!$D:$D,$A163)</f>
        <v>15</v>
      </c>
      <c r="E163" s="2" cm="1">
        <f t="array" aca="1" ref="E163" ca="1">INDEX(Data_DBD!$E:$E,$A163)</f>
        <v>1</v>
      </c>
      <c r="F163" s="2" t="str" cm="1">
        <f t="array" aca="1" ref="F163" ca="1">INDEX(Data_DBD!$F:$F,$A163)</f>
        <v>Sedang</v>
      </c>
      <c r="H163" s="2">
        <v>62</v>
      </c>
      <c r="I163" s="2">
        <v>43</v>
      </c>
      <c r="J163" s="2">
        <v>4</v>
      </c>
      <c r="K163" s="2">
        <v>15</v>
      </c>
      <c r="L163" s="2">
        <v>1</v>
      </c>
      <c r="M163" s="2" t="s">
        <v>7</v>
      </c>
    </row>
    <row r="164" spans="1:22">
      <c r="A164" s="2">
        <f t="shared" ca="1" si="2"/>
        <v>96</v>
      </c>
      <c r="B164" s="2" cm="1">
        <f t="array" aca="1" ref="B164" ca="1">INDEX(Data_DBD!$B:$B,$A164)</f>
        <v>56</v>
      </c>
      <c r="C164" s="2" cm="1">
        <f t="array" aca="1" ref="C164" ca="1">INDEX(Data_DBD!$C:$C,$A164)</f>
        <v>4</v>
      </c>
      <c r="D164" s="2" cm="1">
        <f t="array" aca="1" ref="D164" ca="1">INDEX(Data_DBD!$D:$D,$A164)</f>
        <v>18</v>
      </c>
      <c r="E164" s="2" cm="1">
        <f t="array" aca="1" ref="E164" ca="1">INDEX(Data_DBD!$E:$E,$A164)</f>
        <v>0</v>
      </c>
      <c r="F164" s="2" t="str" cm="1">
        <f t="array" aca="1" ref="F164" ca="1">INDEX(Data_DBD!$F:$F,$A164)</f>
        <v>Tinggi</v>
      </c>
      <c r="H164" s="2">
        <v>89</v>
      </c>
      <c r="I164" s="2">
        <v>32</v>
      </c>
      <c r="J164" s="2">
        <v>4</v>
      </c>
      <c r="K164" s="2">
        <v>13</v>
      </c>
      <c r="L164" s="2">
        <v>0</v>
      </c>
      <c r="M164" s="2" t="s">
        <v>7</v>
      </c>
    </row>
    <row r="165" spans="1:22">
      <c r="I165">
        <f>AVERAGE(I2:I164)</f>
        <v>30.54601226993865</v>
      </c>
      <c r="J165">
        <f>AVERAGE(J2:J164)</f>
        <v>3.4110429447852759</v>
      </c>
      <c r="K165">
        <f>AVERAGE(K2:K164)</f>
        <v>17.656441717791409</v>
      </c>
      <c r="L165">
        <f>AVERAGE(L2:L164)</f>
        <v>0.48466257668711654</v>
      </c>
    </row>
    <row r="166" spans="1:22">
      <c r="B166">
        <v>43</v>
      </c>
    </row>
    <row r="168" spans="1:22">
      <c r="E168" s="5" t="s">
        <v>175</v>
      </c>
      <c r="J168" s="5" t="s">
        <v>176</v>
      </c>
      <c r="O168" s="5" t="s">
        <v>177</v>
      </c>
      <c r="T168" s="5" t="s">
        <v>178</v>
      </c>
    </row>
    <row r="169" spans="1:22">
      <c r="E169" s="2" t="s">
        <v>1</v>
      </c>
      <c r="F169" s="2">
        <f>AVERAGEIF($I$2:$I$164,"&lt;="&amp;$I$165)</f>
        <v>14.787234042553191</v>
      </c>
      <c r="G169" s="2">
        <f>AVERAGEIF($I$2:$I$164,"&gt;"&amp;$I$165)</f>
        <v>52.014492753623188</v>
      </c>
      <c r="J169" s="2" t="s">
        <v>179</v>
      </c>
      <c r="K169" s="2">
        <f>AVERAGEIF($J$2:$J$164,"&lt;="&amp;$J$165)</f>
        <v>2.5053763440860215</v>
      </c>
      <c r="L169" s="2">
        <f>AVERAGEIF($J$2:$J$164,"&gt;"&amp;$J$165)</f>
        <v>4.6142857142857139</v>
      </c>
      <c r="O169" s="2" t="s">
        <v>180</v>
      </c>
      <c r="P169" s="2">
        <f>AVERAGEIF($K$2:$K$164,"&lt;="&amp;$K$165)</f>
        <v>11.777777777777779</v>
      </c>
      <c r="Q169" s="2">
        <f>AVERAGEIF($K$2:$K$164,"&gt;"&amp;$K$165)</f>
        <v>24.904109589041095</v>
      </c>
      <c r="T169" s="2" t="s">
        <v>181</v>
      </c>
      <c r="U169" s="2">
        <f>AVERAGEIF($L$2:$L$164,"&lt;="&amp;$L$165)</f>
        <v>0</v>
      </c>
      <c r="V169" s="2">
        <f>AVERAGEIF($L$2:$L$164,"&gt;"&amp;$L$165)</f>
        <v>1</v>
      </c>
    </row>
    <row r="170" spans="1:22">
      <c r="E170" s="2" t="str" cm="1">
        <f t="array" ref="E170:E332">IF($I$2:$I$164&lt;$F$169,"kiri",IF($I$2:$I$164&lt;$G$169,"tengah","kanan"))</f>
        <v>tengah</v>
      </c>
      <c r="F170" s="2" t="s">
        <v>215</v>
      </c>
      <c r="G170" s="2"/>
      <c r="J170" s="2" t="str" cm="1">
        <f t="array" ref="J170:J332">IF($J$2:$J$164&lt;$K$169,"kiri",IF($J$2:$J$164&lt;$L$169,"tengah","kanan"))</f>
        <v>kiri</v>
      </c>
      <c r="K170" s="2" t="s">
        <v>217</v>
      </c>
      <c r="L170" s="2"/>
      <c r="O170" s="2" t="str" cm="1">
        <f t="array" ref="O170:O332">IF($K$2:$K$164&lt;$P$169,"kiri",IF($K$2:$K$164&lt;$Q$169,"tengah","kanan"))</f>
        <v>tengah</v>
      </c>
      <c r="P170" s="2" t="s">
        <v>219</v>
      </c>
      <c r="Q170" s="2"/>
      <c r="T170" s="2" t="str" cm="1">
        <f t="array" ref="T170:T332">IF($L$2:$L$164&lt;$U$169,"kiri",IF($L$2:$L$164&lt;$V$169,"tengah","kanan"))</f>
        <v>kanan</v>
      </c>
      <c r="U170" s="2" t="s">
        <v>185</v>
      </c>
      <c r="V170" s="2"/>
    </row>
    <row r="171" spans="1:22">
      <c r="E171" s="2" t="str">
        <v>tengah</v>
      </c>
      <c r="F171" s="2">
        <f>COUNTIFS($E$170:$E$332,"Kanan",$M$2:$M$164,"Tinggi")</f>
        <v>11</v>
      </c>
      <c r="G171" s="2">
        <f>F171/29</f>
        <v>0.37931034482758619</v>
      </c>
      <c r="J171" s="2" t="str">
        <v>tengah</v>
      </c>
      <c r="K171" s="2">
        <f>COUNTIFS($J$170:$J$332,"Kanan",$M$2:$M$164,"Tinggi")</f>
        <v>11</v>
      </c>
      <c r="L171" s="2">
        <f>K171/26</f>
        <v>0.42307692307692307</v>
      </c>
      <c r="O171" s="2" t="str">
        <v>kanan</v>
      </c>
      <c r="P171" s="2">
        <f>COUNTIFS($O$170:$O$332,"Kanan",$M$2:$M$164,"Tinggi")</f>
        <v>29</v>
      </c>
      <c r="Q171" s="2">
        <f>P171/29</f>
        <v>1</v>
      </c>
      <c r="T171" s="2" t="str">
        <v>kanan</v>
      </c>
      <c r="U171" s="2">
        <f>COUNTIFS($T$170:$T$332,"Kanan",$M$2:$M$164,"Tinggi")</f>
        <v>38</v>
      </c>
      <c r="V171" s="2">
        <f>U171/79</f>
        <v>0.48101265822784811</v>
      </c>
    </row>
    <row r="172" spans="1:22">
      <c r="E172" s="2" t="str">
        <v>tengah</v>
      </c>
      <c r="F172" s="2">
        <f>COUNTIFS($E$170:$E$332,"Kanan",$M$2:$M$164,"Sedang")</f>
        <v>14</v>
      </c>
      <c r="G172" s="2">
        <f>F172/29</f>
        <v>0.48275862068965519</v>
      </c>
      <c r="J172" s="2" t="str">
        <v>tengah</v>
      </c>
      <c r="K172" s="2">
        <f>COUNTIFS($J$170:$J$332,"Kanan",$M$2:$M$164,"Sedang")</f>
        <v>8</v>
      </c>
      <c r="L172" s="2">
        <f>K172/26</f>
        <v>0.30769230769230771</v>
      </c>
      <c r="O172" s="2" t="str">
        <v>kiri</v>
      </c>
      <c r="P172" s="2">
        <f>COUNTIFS($O$170:$O$332,"Kanan",$M$2:$M$164,"Sedang")</f>
        <v>0</v>
      </c>
      <c r="Q172" s="2">
        <f>P172/29</f>
        <v>0</v>
      </c>
      <c r="T172" s="2" t="str">
        <v>kanan</v>
      </c>
      <c r="U172" s="2">
        <f>COUNTIFS($T$170:$T$332,"Kanan",$M$2:$M$164,"Sedang")</f>
        <v>29</v>
      </c>
      <c r="V172" s="2">
        <f>U172/79</f>
        <v>0.36708860759493672</v>
      </c>
    </row>
    <row r="173" spans="1:22">
      <c r="E173" s="2" t="str">
        <v>tengah</v>
      </c>
      <c r="F173" s="2">
        <f>COUNTIFS($E$170:$E$332,"Kanan",$M$2:$M$164,"Rendah")</f>
        <v>4</v>
      </c>
      <c r="G173" s="2">
        <f>F173/29</f>
        <v>0.13793103448275862</v>
      </c>
      <c r="J173" s="2" t="str">
        <v>tengah</v>
      </c>
      <c r="K173" s="2">
        <f>COUNTIFS($J$170:$J$332,"Kanan",$M$2:$M$164,"Rendah")</f>
        <v>7</v>
      </c>
      <c r="L173" s="2">
        <f>K173/26</f>
        <v>0.26923076923076922</v>
      </c>
      <c r="O173" s="2" t="str">
        <v>kanan</v>
      </c>
      <c r="P173" s="2">
        <f>COUNTIFS($O$170:$O$332,"Kanan",$M$2:$M$164,"Rendah")</f>
        <v>0</v>
      </c>
      <c r="Q173" s="2">
        <f>P173/29</f>
        <v>0</v>
      </c>
      <c r="T173" s="2" t="str">
        <v>kanan</v>
      </c>
      <c r="U173" s="2">
        <f>COUNTIFS($T$170:$T$332,"Kanan",$M$2:$M$164,"Rendah")</f>
        <v>12</v>
      </c>
      <c r="V173" s="2">
        <f>U173/79</f>
        <v>0.15189873417721519</v>
      </c>
    </row>
    <row r="174" spans="1:22">
      <c r="E174" s="2" t="str">
        <v>tengah</v>
      </c>
      <c r="F174" s="2" t="s">
        <v>186</v>
      </c>
      <c r="G174" s="2">
        <f>-(IFERROR(G171*LOG(G171,2),0)+IFERROR(G172*LOG(G172,2),0)+IFERROR(G173*LOG(G173,2),0))</f>
        <v>1.4318873153407885</v>
      </c>
      <c r="J174" s="2" t="str">
        <v>tengah</v>
      </c>
      <c r="K174" s="2" t="s">
        <v>186</v>
      </c>
      <c r="L174" s="2">
        <f>-(IFERROR(L171*LOG(L171,2),0)+IFERROR(L172*LOG(L172,2),0)+IFERROR(L173*LOG(L173,2),0))</f>
        <v>1.557930785086727</v>
      </c>
      <c r="O174" s="2" t="str">
        <v>kanan</v>
      </c>
      <c r="P174" s="2" t="s">
        <v>186</v>
      </c>
      <c r="Q174" s="2">
        <f>-(IFERROR(Q171*LOG(Q171,2),0)+IFERROR(Q172*LOG(Q172,2),0)+IFERROR(Q173*LOG(Q173,2),0))</f>
        <v>0</v>
      </c>
      <c r="T174" s="2" t="str">
        <v>kanan</v>
      </c>
      <c r="U174" s="2" t="s">
        <v>186</v>
      </c>
      <c r="V174" s="2">
        <f>-(IFERROR(V171*LOG(V171,2),0)+IFERROR(V172*LOG(V172,2),0)+IFERROR(V173*LOG(V173,2),0))</f>
        <v>1.45160043959217</v>
      </c>
    </row>
    <row r="175" spans="1:22">
      <c r="E175" s="2" t="str">
        <v>kiri</v>
      </c>
      <c r="F175" s="2"/>
      <c r="G175" s="2">
        <f>SUM(F171:F173)/163</f>
        <v>0.17791411042944785</v>
      </c>
      <c r="J175" s="2" t="str">
        <v>kiri</v>
      </c>
      <c r="K175" s="2"/>
      <c r="L175" s="2">
        <f>SUM(K171:K173)/163</f>
        <v>0.15950920245398773</v>
      </c>
      <c r="O175" s="2" t="str">
        <v>tengah</v>
      </c>
      <c r="P175" s="2"/>
      <c r="Q175" s="2">
        <f>SUM(P171:P173)/163</f>
        <v>0.17791411042944785</v>
      </c>
      <c r="T175" s="2" t="str">
        <v>tengah</v>
      </c>
      <c r="U175" s="2"/>
      <c r="V175" s="2">
        <f>SUM(U171:U173)/163</f>
        <v>0.48466257668711654</v>
      </c>
    </row>
    <row r="176" spans="1:22">
      <c r="E176" s="2" t="str">
        <v>tengah</v>
      </c>
      <c r="F176" s="2"/>
      <c r="G176" s="6">
        <f>G174*G175</f>
        <v>0.25475295794406666</v>
      </c>
      <c r="J176" s="2" t="str">
        <v>tengah</v>
      </c>
      <c r="K176" s="2"/>
      <c r="L176" s="6">
        <f>L174*L175</f>
        <v>0.24850429700769877</v>
      </c>
      <c r="O176" s="2" t="str">
        <v>tengah</v>
      </c>
      <c r="P176" s="2"/>
      <c r="Q176" s="6">
        <f>Q174*Q175</f>
        <v>0</v>
      </c>
      <c r="T176" s="2" t="str">
        <v>tengah</v>
      </c>
      <c r="U176" s="2"/>
      <c r="V176" s="6">
        <f>V174*V175</f>
        <v>0.70353640937289219</v>
      </c>
    </row>
    <row r="177" spans="5:22">
      <c r="E177" s="2" t="str">
        <v>tengah</v>
      </c>
      <c r="F177" s="2"/>
      <c r="G177" s="2"/>
      <c r="J177" s="2" t="str">
        <v>tengah</v>
      </c>
      <c r="K177" s="2"/>
      <c r="L177" s="2"/>
      <c r="O177" s="2" t="str">
        <v>tengah</v>
      </c>
      <c r="P177" s="2"/>
      <c r="Q177" s="2"/>
      <c r="T177" s="2" t="str">
        <v>kanan</v>
      </c>
      <c r="U177" s="2"/>
      <c r="V177" s="2"/>
    </row>
    <row r="178" spans="5:22">
      <c r="E178" s="2" t="str">
        <v>tengah</v>
      </c>
      <c r="F178" s="2"/>
      <c r="G178" s="2"/>
      <c r="J178" s="2" t="str">
        <v>tengah</v>
      </c>
      <c r="K178" s="2"/>
      <c r="L178" s="2"/>
      <c r="O178" s="2" t="str">
        <v>tengah</v>
      </c>
      <c r="P178" s="2"/>
      <c r="Q178" s="2"/>
      <c r="T178" s="2" t="str">
        <v>tengah</v>
      </c>
      <c r="U178" s="2"/>
      <c r="V178" s="2"/>
    </row>
    <row r="179" spans="5:22">
      <c r="E179" s="2" t="str">
        <v>tengah</v>
      </c>
      <c r="F179" s="2" t="s">
        <v>216</v>
      </c>
      <c r="G179" s="2"/>
      <c r="J179" s="2" t="str">
        <v>kiri</v>
      </c>
      <c r="K179" s="2" t="s">
        <v>218</v>
      </c>
      <c r="L179" s="2"/>
      <c r="O179" s="2" t="str">
        <v>kanan</v>
      </c>
      <c r="P179" s="2" t="s">
        <v>220</v>
      </c>
      <c r="Q179" s="2"/>
      <c r="T179" s="2" t="str">
        <v>tengah</v>
      </c>
      <c r="U179" s="2" t="s">
        <v>190</v>
      </c>
      <c r="V179" s="2"/>
    </row>
    <row r="180" spans="5:22">
      <c r="E180" s="2" t="str">
        <v>kanan</v>
      </c>
      <c r="F180" s="2">
        <f>COUNTIFS($E$170:$E$332,"Kiri",$M$2:$M$164,"Tinggi")</f>
        <v>14</v>
      </c>
      <c r="G180" s="2">
        <f>F180/36</f>
        <v>0.3888888888888889</v>
      </c>
      <c r="J180" s="2" t="str">
        <v>tengah</v>
      </c>
      <c r="K180" s="2">
        <f>COUNTIFS($J$170:$J$332,"Kiri",$M$2:$M$164,"Tinggi")</f>
        <v>20</v>
      </c>
      <c r="L180" s="2">
        <f>K180/41</f>
        <v>0.48780487804878048</v>
      </c>
      <c r="O180" s="2" t="str">
        <v>tengah</v>
      </c>
      <c r="P180" s="2">
        <f>COUNTIFS($O$170:$O$332,"Kiri",$M$2:$M$164,"Tinggi")</f>
        <v>0</v>
      </c>
      <c r="Q180" s="2">
        <f>P180/24</f>
        <v>0</v>
      </c>
      <c r="T180" s="2" t="str">
        <v>kanan</v>
      </c>
      <c r="U180" s="2">
        <f>COUNTIFS($T$170:$T$332,"Kiri",$M$2:$M$164,"Tinggi")</f>
        <v>0</v>
      </c>
      <c r="V180" s="2">
        <f>U180/79</f>
        <v>0</v>
      </c>
    </row>
    <row r="181" spans="5:22">
      <c r="E181" s="2" t="str">
        <v>kanan</v>
      </c>
      <c r="F181" s="2">
        <f>COUNTIFS($E$170:$E$332,"Kiri",$M$2:$M$164,"Sedang")</f>
        <v>20</v>
      </c>
      <c r="G181" s="2">
        <f>F181/36</f>
        <v>0.55555555555555558</v>
      </c>
      <c r="J181" s="2" t="str">
        <v>tengah</v>
      </c>
      <c r="K181" s="2">
        <f>COUNTIFS($J$170:$J$332,"Kiri",$M$2:$M$164,"Sedang")</f>
        <v>18</v>
      </c>
      <c r="L181" s="2">
        <f>K181/41</f>
        <v>0.43902439024390244</v>
      </c>
      <c r="O181" s="2" t="str">
        <v>tengah</v>
      </c>
      <c r="P181" s="2">
        <f>COUNTIFS($O$170:$O$332,"Kiri",$M$2:$M$164,"Sedang")</f>
        <v>6</v>
      </c>
      <c r="Q181" s="2">
        <f>P181/24</f>
        <v>0.25</v>
      </c>
      <c r="T181" s="2" t="str">
        <v>kanan</v>
      </c>
      <c r="U181" s="2">
        <f>COUNTIFS($T$170:$T$332,"Kiri",$M$2:$M$164,"Sedang")</f>
        <v>0</v>
      </c>
      <c r="V181" s="2">
        <f>U181/79</f>
        <v>0</v>
      </c>
    </row>
    <row r="182" spans="5:22">
      <c r="E182" s="2" t="str">
        <v>kiri</v>
      </c>
      <c r="F182" s="2">
        <f>COUNTIFS($E$170:$E$332,"Kiri",$M$2:$M$164,"Rendah")</f>
        <v>2</v>
      </c>
      <c r="G182" s="2">
        <f>F182/36</f>
        <v>5.5555555555555552E-2</v>
      </c>
      <c r="J182" s="2" t="str">
        <v>kiri</v>
      </c>
      <c r="K182" s="2">
        <f>COUNTIFS($J$170:$J$332,"Kiri",$M$2:$M$164,"Rendah")</f>
        <v>3</v>
      </c>
      <c r="L182" s="2">
        <f>K182/41</f>
        <v>7.3170731707317069E-2</v>
      </c>
      <c r="O182" s="2" t="str">
        <v>tengah</v>
      </c>
      <c r="P182" s="2">
        <f>COUNTIFS($O$170:$O$332,"Kiri",$M$2:$M$164,"Rendah")</f>
        <v>18</v>
      </c>
      <c r="Q182" s="2">
        <f>P182/24</f>
        <v>0.75</v>
      </c>
      <c r="T182" s="2" t="str">
        <v>tengah</v>
      </c>
      <c r="U182" s="2">
        <f>COUNTIFS($T$170:$T$332,"Kiri",$M$2:$M$164,"Rendah")</f>
        <v>0</v>
      </c>
      <c r="V182" s="2">
        <f>U182/79</f>
        <v>0</v>
      </c>
    </row>
    <row r="183" spans="5:22">
      <c r="E183" s="2" t="str">
        <v>tengah</v>
      </c>
      <c r="F183" s="2" t="s">
        <v>186</v>
      </c>
      <c r="G183" s="2">
        <f>-(IFERROR(G180*LOG(G180,2),0)+IFERROR(G181*LOG(G181,2),0)+IFERROR(G182*LOG(G182,2),0))</f>
        <v>1.2326602568158207</v>
      </c>
      <c r="J183" s="2" t="str">
        <v>tengah</v>
      </c>
      <c r="K183" s="2" t="s">
        <v>186</v>
      </c>
      <c r="L183" s="2">
        <f>-(IFERROR(L180*LOG(L180,2),0)+IFERROR(L181*LOG(L181,2),0)+IFERROR(L182*LOG(L182,2),0))</f>
        <v>1.3026227503285144</v>
      </c>
      <c r="O183" s="2" t="str">
        <v>tengah</v>
      </c>
      <c r="P183" s="2" t="s">
        <v>186</v>
      </c>
      <c r="Q183" s="2">
        <f>-(IFERROR(Q180*LOG(Q180,2),0)+IFERROR(Q181*LOG(Q181,2),0)+IFERROR(Q182*LOG(Q182,2),0))</f>
        <v>0.81127812445913283</v>
      </c>
      <c r="T183" s="2" t="str">
        <v>tengah</v>
      </c>
      <c r="U183" s="2" t="s">
        <v>186</v>
      </c>
      <c r="V183" s="2">
        <f>-(IFERROR(V180*LOG(V180,2),0)+IFERROR(V181*LOG(V181,2),0)+IFERROR(V182*LOG(V182,2),0))</f>
        <v>0</v>
      </c>
    </row>
    <row r="184" spans="5:22">
      <c r="E184" s="2" t="str">
        <v>tengah</v>
      </c>
      <c r="F184" s="2"/>
      <c r="G184" s="2">
        <f>SUM(F180:F182)/163</f>
        <v>0.22085889570552147</v>
      </c>
      <c r="J184" s="2" t="str">
        <v>tengah</v>
      </c>
      <c r="K184" s="2"/>
      <c r="L184" s="2">
        <f>SUM(K180:K182)/163</f>
        <v>0.25153374233128833</v>
      </c>
      <c r="O184" s="2" t="str">
        <v>tengah</v>
      </c>
      <c r="P184" s="2"/>
      <c r="Q184" s="2">
        <f>SUM(P180:P182)/163</f>
        <v>0.14723926380368099</v>
      </c>
      <c r="T184" s="2" t="str">
        <v>kanan</v>
      </c>
      <c r="U184" s="2"/>
      <c r="V184" s="2">
        <f>SUM(U180:U182)/163</f>
        <v>0</v>
      </c>
    </row>
    <row r="185" spans="5:22">
      <c r="E185" s="2" t="str">
        <v>tengah</v>
      </c>
      <c r="F185" s="2"/>
      <c r="G185" s="6">
        <f>G183*G184</f>
        <v>0.27224398310042663</v>
      </c>
      <c r="J185" s="2" t="str">
        <v>tengah</v>
      </c>
      <c r="K185" s="2"/>
      <c r="L185" s="6">
        <f>L183*L184</f>
        <v>0.32765357523600669</v>
      </c>
      <c r="O185" s="2" t="str">
        <v>kanan</v>
      </c>
      <c r="P185" s="2"/>
      <c r="Q185" s="6">
        <f>Q183*Q184</f>
        <v>0.1194519937853938</v>
      </c>
      <c r="T185" s="2" t="str">
        <v>tengah</v>
      </c>
      <c r="U185" s="2"/>
      <c r="V185" s="6">
        <f>V183*V184</f>
        <v>0</v>
      </c>
    </row>
    <row r="186" spans="5:22">
      <c r="E186" s="2" t="str">
        <v>kanan</v>
      </c>
      <c r="F186" s="2"/>
      <c r="G186" s="2"/>
      <c r="J186" s="2" t="str">
        <v>kiri</v>
      </c>
      <c r="K186" s="2"/>
      <c r="L186" s="2"/>
      <c r="O186" s="2" t="str">
        <v>kiri</v>
      </c>
      <c r="P186" s="2"/>
      <c r="Q186" s="2"/>
      <c r="T186" s="2" t="str">
        <v>tengah</v>
      </c>
      <c r="U186" s="2"/>
      <c r="V186" s="2"/>
    </row>
    <row r="187" spans="5:22">
      <c r="E187" s="2" t="str">
        <v>tengah</v>
      </c>
      <c r="F187" s="2"/>
      <c r="G187" s="2"/>
      <c r="J187" s="2" t="str">
        <v>tengah</v>
      </c>
      <c r="K187" s="2"/>
      <c r="L187" s="2"/>
      <c r="O187" s="2" t="str">
        <v>tengah</v>
      </c>
      <c r="P187" s="2"/>
      <c r="Q187" s="2"/>
      <c r="T187" s="2" t="str">
        <v>tengah</v>
      </c>
      <c r="U187" s="2"/>
      <c r="V187" s="2"/>
    </row>
    <row r="188" spans="5:22">
      <c r="E188" s="2" t="str">
        <v>kanan</v>
      </c>
      <c r="F188" s="2" t="s">
        <v>191</v>
      </c>
      <c r="G188" s="2"/>
      <c r="J188" s="2" t="str">
        <v>tengah</v>
      </c>
      <c r="K188" s="2" t="s">
        <v>191</v>
      </c>
      <c r="L188" s="2"/>
      <c r="O188" s="2" t="str">
        <v>tengah</v>
      </c>
      <c r="P188" s="2" t="s">
        <v>191</v>
      </c>
      <c r="Q188" s="2"/>
      <c r="T188" s="2" t="str">
        <v>kanan</v>
      </c>
      <c r="U188" s="2" t="s">
        <v>191</v>
      </c>
      <c r="V188" s="2"/>
    </row>
    <row r="189" spans="5:22">
      <c r="E189" s="2" t="str">
        <v>tengah</v>
      </c>
      <c r="F189" s="2">
        <f>COUNTIFS($E$170:$E$332,"Tengah",$M$2:$M$164,"Tinggi")</f>
        <v>48</v>
      </c>
      <c r="G189" s="2">
        <f>F189/98</f>
        <v>0.48979591836734693</v>
      </c>
      <c r="J189" s="2" t="str">
        <v>tengah</v>
      </c>
      <c r="K189" s="2">
        <f>COUNTIFS($J$170:$J$332,"Tengah",$M$2:$M$164,"Tinggi")</f>
        <v>42</v>
      </c>
      <c r="L189" s="2">
        <f>K189/96</f>
        <v>0.4375</v>
      </c>
      <c r="O189" s="2" t="str">
        <v>tengah</v>
      </c>
      <c r="P189" s="2">
        <f>COUNTIFS($O$170:$O$332,"Tengah",$M$2:$M$164,"Tinggi")</f>
        <v>44</v>
      </c>
      <c r="Q189" s="2">
        <f>P189/110</f>
        <v>0.4</v>
      </c>
      <c r="T189" s="2" t="str">
        <v>tengah</v>
      </c>
      <c r="U189" s="2">
        <f>COUNTIFS($T$170:$T$332,"Tengah",$M$2:$M$164,"Tinggi")</f>
        <v>35</v>
      </c>
      <c r="V189" s="2">
        <f>U189/84</f>
        <v>0.41666666666666669</v>
      </c>
    </row>
    <row r="190" spans="5:22">
      <c r="E190" s="2" t="str">
        <v>tengah</v>
      </c>
      <c r="F190" s="2">
        <f>COUNTIFS($E$170:$E$332,"Tengah",$M$2:$M$164,"Sedang")</f>
        <v>38</v>
      </c>
      <c r="G190" s="2">
        <f>F190/98</f>
        <v>0.38775510204081631</v>
      </c>
      <c r="J190" s="2" t="str">
        <v>tengah</v>
      </c>
      <c r="K190" s="2">
        <f>COUNTIFS($J$170:$J$332,"Tengah",$M$2:$M$164,"Sedang")</f>
        <v>46</v>
      </c>
      <c r="L190" s="2">
        <f>K190/96</f>
        <v>0.47916666666666669</v>
      </c>
      <c r="O190" s="2" t="str">
        <v>tengah</v>
      </c>
      <c r="P190" s="2">
        <f>COUNTIFS($O$170:$O$332,"Tengah",$M$2:$M$164,"Sedang")</f>
        <v>66</v>
      </c>
      <c r="Q190" s="2">
        <f>P190/110</f>
        <v>0.6</v>
      </c>
      <c r="T190" s="2" t="str">
        <v>kanan</v>
      </c>
      <c r="U190" s="2">
        <f>COUNTIFS($T$170:$T$332,"Tengah",$M$2:$M$164,"Sedang")</f>
        <v>43</v>
      </c>
      <c r="V190" s="2">
        <f>U190/84</f>
        <v>0.51190476190476186</v>
      </c>
    </row>
    <row r="191" spans="5:22">
      <c r="E191" s="2" t="str">
        <v>tengah</v>
      </c>
      <c r="F191" s="2">
        <f>COUNTIFS($E$170:$E$332,"Tengah",$M$2:$M$164,"Rendah")</f>
        <v>12</v>
      </c>
      <c r="G191" s="2">
        <f>F191/98</f>
        <v>0.12244897959183673</v>
      </c>
      <c r="J191" s="2" t="str">
        <v>tengah</v>
      </c>
      <c r="K191" s="2">
        <f>COUNTIFS($J$170:$J$332,"Tengah",$M$2:$M$164,"Rendah")</f>
        <v>8</v>
      </c>
      <c r="L191" s="2">
        <f>K191/96</f>
        <v>8.3333333333333329E-2</v>
      </c>
      <c r="O191" s="2" t="str">
        <v>tengah</v>
      </c>
      <c r="P191" s="2">
        <f>COUNTIFS($O$170:$O$332,"Tengah",$M$2:$M$164,"Rendah")</f>
        <v>0</v>
      </c>
      <c r="Q191" s="2">
        <f>P191/110</f>
        <v>0</v>
      </c>
      <c r="T191" s="2" t="str">
        <v>tengah</v>
      </c>
      <c r="U191" s="2">
        <f>COUNTIFS($T$170:$T$332,"Tengah",$M$2:$M$164,"Rendah")</f>
        <v>6</v>
      </c>
      <c r="V191" s="2">
        <f>U191/84</f>
        <v>7.1428571428571425E-2</v>
      </c>
    </row>
    <row r="192" spans="5:22">
      <c r="E192" s="2" t="str">
        <v>tengah</v>
      </c>
      <c r="F192" s="2" t="s">
        <v>186</v>
      </c>
      <c r="G192" s="2">
        <f>-(IFERROR(G189*LOG(G189,2),0)+IFERROR(G190*LOG(G190,2),0)+IFERROR(G191*LOG(G191,2),0))</f>
        <v>1.4053323384608651</v>
      </c>
      <c r="J192" s="2" t="str">
        <v>tengah</v>
      </c>
      <c r="K192" s="2" t="s">
        <v>186</v>
      </c>
      <c r="L192" s="2">
        <f>-(IFERROR(L189*LOG(L189,2),0)+IFERROR(L190*LOG(L190,2),0)+IFERROR(L191*LOG(L191,2),0))</f>
        <v>1.3291168576447965</v>
      </c>
      <c r="O192" s="2" t="str">
        <v>tengah</v>
      </c>
      <c r="P192" s="2" t="s">
        <v>186</v>
      </c>
      <c r="Q192" s="2">
        <f>-(IFERROR(Q189*LOG(Q189,2),0)+IFERROR(Q190*LOG(Q190,2),0)+IFERROR(Q191*LOG(Q191,2),0))</f>
        <v>0.97095059445466858</v>
      </c>
      <c r="T192" s="2" t="str">
        <v>tengah</v>
      </c>
      <c r="U192" s="2" t="s">
        <v>186</v>
      </c>
      <c r="V192" s="2">
        <f>-(IFERROR(V189*LOG(V189,2),0)+IFERROR(V190*LOG(V190,2),0)+IFERROR(V191*LOG(V191,2),0))</f>
        <v>1.2927452198074392</v>
      </c>
    </row>
    <row r="193" spans="5:22">
      <c r="E193" s="2" t="str">
        <v>tengah</v>
      </c>
      <c r="F193" s="2"/>
      <c r="G193" s="2">
        <f>SUM(F189:F191)/163</f>
        <v>0.60122699386503065</v>
      </c>
      <c r="J193" s="2" t="str">
        <v>tengah</v>
      </c>
      <c r="K193" s="2"/>
      <c r="L193" s="2">
        <f>SUM(K189:K191)/163</f>
        <v>0.58895705521472397</v>
      </c>
      <c r="O193" s="2" t="str">
        <v>tengah</v>
      </c>
      <c r="P193" s="2"/>
      <c r="Q193" s="2">
        <f>SUM(P189:P191)/163</f>
        <v>0.67484662576687116</v>
      </c>
      <c r="T193" s="2" t="str">
        <v>tengah</v>
      </c>
      <c r="U193" s="2"/>
      <c r="V193" s="2">
        <f>SUM(U189:U191)/163</f>
        <v>0.51533742331288346</v>
      </c>
    </row>
    <row r="194" spans="5:22">
      <c r="E194" s="2" t="str">
        <v>kanan</v>
      </c>
      <c r="F194" s="2"/>
      <c r="G194" s="6">
        <f>G192*G193</f>
        <v>0.84492373723413972</v>
      </c>
      <c r="J194" s="2" t="str">
        <v>kanan</v>
      </c>
      <c r="K194" s="2"/>
      <c r="L194" s="6">
        <f>L192*L193</f>
        <v>0.78279275051472685</v>
      </c>
      <c r="O194" s="2" t="str">
        <v>kiri</v>
      </c>
      <c r="P194" s="2"/>
      <c r="Q194" s="6">
        <f>Q192*Q193</f>
        <v>0.65524273245407083</v>
      </c>
      <c r="T194" s="2" t="str">
        <v>kanan</v>
      </c>
      <c r="U194" s="2"/>
      <c r="V194" s="6">
        <f>V192*V193</f>
        <v>0.66619999057561285</v>
      </c>
    </row>
    <row r="195" spans="5:22">
      <c r="E195" s="2" t="str">
        <v>tengah</v>
      </c>
      <c r="F195" s="2"/>
      <c r="G195" s="2"/>
      <c r="J195" s="2" t="str">
        <v>kiri</v>
      </c>
      <c r="K195" s="2"/>
      <c r="L195" s="2"/>
      <c r="O195" s="2" t="str">
        <v>tengah</v>
      </c>
      <c r="P195" s="2"/>
      <c r="Q195" s="2"/>
      <c r="T195" s="2" t="str">
        <v>kanan</v>
      </c>
      <c r="U195" s="2"/>
      <c r="V195" s="2"/>
    </row>
    <row r="196" spans="5:22">
      <c r="E196" s="2" t="str">
        <v>tengah</v>
      </c>
      <c r="F196" s="2" t="s">
        <v>192</v>
      </c>
      <c r="G196" s="2"/>
      <c r="J196" s="2" t="str">
        <v>kiri</v>
      </c>
      <c r="K196" s="2" t="s">
        <v>192</v>
      </c>
      <c r="L196" s="2"/>
      <c r="O196" s="2" t="str">
        <v>tengah</v>
      </c>
      <c r="P196" s="2" t="s">
        <v>192</v>
      </c>
      <c r="Q196" s="2"/>
      <c r="T196" s="2" t="str">
        <v>kanan</v>
      </c>
      <c r="U196" s="2" t="s">
        <v>192</v>
      </c>
      <c r="V196" s="2"/>
    </row>
    <row r="197" spans="5:22">
      <c r="E197" s="2" t="str">
        <v>tengah</v>
      </c>
      <c r="F197" s="7">
        <f>P5-(G176+G185+G194)</f>
        <v>1.8829298479748902E-2</v>
      </c>
      <c r="G197" s="2"/>
      <c r="J197" s="2" t="str">
        <v>tengah</v>
      </c>
      <c r="K197" s="7">
        <f>P5-(L176+L185+L194)</f>
        <v>3.1799353999949487E-2</v>
      </c>
      <c r="L197" s="2"/>
      <c r="O197" s="2" t="str">
        <v>kiri</v>
      </c>
      <c r="P197" s="7">
        <f>P5-(Q176+Q185+Q194)</f>
        <v>0.6160552505189173</v>
      </c>
      <c r="Q197" s="2"/>
      <c r="T197" s="2" t="str">
        <v>kanan</v>
      </c>
      <c r="U197" s="7">
        <f>P5-(V176+V185+V194)</f>
        <v>2.1013576809876922E-2</v>
      </c>
      <c r="V197" s="2"/>
    </row>
    <row r="198" spans="5:22">
      <c r="E198" s="2" t="str">
        <v>kanan</v>
      </c>
      <c r="F198" s="2"/>
      <c r="G198" s="2"/>
      <c r="J198" s="2" t="str">
        <v>tengah</v>
      </c>
      <c r="K198" s="2"/>
      <c r="L198" s="2"/>
      <c r="O198" s="2" t="str">
        <v>tengah</v>
      </c>
      <c r="P198" s="2"/>
      <c r="Q198" s="2"/>
      <c r="T198" s="2" t="str">
        <v>kanan</v>
      </c>
      <c r="U198" s="2"/>
      <c r="V198" s="2"/>
    </row>
    <row r="199" spans="5:22">
      <c r="E199" s="2" t="str">
        <v>tengah</v>
      </c>
      <c r="F199" s="2"/>
      <c r="G199" s="2"/>
      <c r="J199" s="2" t="str">
        <v>tengah</v>
      </c>
      <c r="K199" s="2"/>
      <c r="L199" s="2"/>
      <c r="O199" s="2" t="str">
        <v>tengah</v>
      </c>
      <c r="P199" s="2"/>
      <c r="Q199" s="2"/>
      <c r="T199" s="2" t="str">
        <v>kanan</v>
      </c>
      <c r="U199" s="2"/>
      <c r="V199" s="2"/>
    </row>
    <row r="200" spans="5:22">
      <c r="E200" s="2" t="str">
        <v>tengah</v>
      </c>
      <c r="F200" s="2"/>
      <c r="G200" s="2"/>
      <c r="J200" s="2" t="str">
        <v>kiri</v>
      </c>
      <c r="K200" s="2"/>
      <c r="L200" s="2"/>
      <c r="O200" s="2" t="str">
        <v>kanan</v>
      </c>
      <c r="P200" s="2"/>
      <c r="Q200" s="2"/>
      <c r="T200" s="2" t="str">
        <v>tengah</v>
      </c>
      <c r="U200" s="2"/>
      <c r="V200" s="2"/>
    </row>
    <row r="201" spans="5:22">
      <c r="E201" s="2" t="str">
        <v>tengah</v>
      </c>
      <c r="F201" s="2"/>
      <c r="G201" s="2"/>
      <c r="J201" s="2" t="str">
        <v>tengah</v>
      </c>
      <c r="K201" s="2"/>
      <c r="L201" s="2"/>
      <c r="O201" s="2" t="str">
        <v>tengah</v>
      </c>
      <c r="P201" s="2"/>
      <c r="Q201" s="2"/>
      <c r="T201" s="2" t="str">
        <v>tengah</v>
      </c>
      <c r="U201" s="2"/>
      <c r="V201" s="2"/>
    </row>
    <row r="202" spans="5:22">
      <c r="E202" s="2" t="str">
        <v>tengah</v>
      </c>
      <c r="F202" s="2"/>
      <c r="G202" s="2"/>
      <c r="J202" s="2" t="str">
        <v>kiri</v>
      </c>
      <c r="K202" s="2"/>
      <c r="L202" s="2"/>
      <c r="O202" s="2" t="str">
        <v>kiri</v>
      </c>
      <c r="P202" s="2"/>
      <c r="Q202" s="2"/>
      <c r="T202" s="2" t="str">
        <v>tengah</v>
      </c>
      <c r="U202" s="2"/>
      <c r="V202" s="2"/>
    </row>
    <row r="203" spans="5:22">
      <c r="E203" s="2" t="str">
        <v>kanan</v>
      </c>
      <c r="F203" s="2"/>
      <c r="G203" s="2"/>
      <c r="J203" s="2" t="str">
        <v>tengah</v>
      </c>
      <c r="K203" s="2"/>
      <c r="L203" s="2"/>
      <c r="O203" s="2" t="str">
        <v>tengah</v>
      </c>
      <c r="P203" s="2"/>
      <c r="Q203" s="2"/>
      <c r="T203" s="2" t="str">
        <v>tengah</v>
      </c>
      <c r="U203" s="2"/>
      <c r="V203" s="2"/>
    </row>
    <row r="204" spans="5:22">
      <c r="E204" s="2" t="str">
        <v>tengah</v>
      </c>
      <c r="F204" s="2"/>
      <c r="G204" s="2"/>
      <c r="J204" s="2" t="str">
        <v>tengah</v>
      </c>
      <c r="K204" s="2"/>
      <c r="L204" s="2"/>
      <c r="O204" s="2" t="str">
        <v>tengah</v>
      </c>
      <c r="P204" s="2"/>
      <c r="Q204" s="2"/>
      <c r="T204" s="2" t="str">
        <v>kanan</v>
      </c>
      <c r="U204" s="2"/>
      <c r="V204" s="2"/>
    </row>
    <row r="205" spans="5:22">
      <c r="E205" s="2" t="str">
        <v>kiri</v>
      </c>
      <c r="F205" s="2"/>
      <c r="G205" s="2"/>
      <c r="J205" s="2" t="str">
        <v>tengah</v>
      </c>
      <c r="K205" s="2"/>
      <c r="L205" s="2"/>
      <c r="O205" s="2" t="str">
        <v>tengah</v>
      </c>
      <c r="P205" s="2"/>
      <c r="Q205" s="2"/>
      <c r="T205" s="2" t="str">
        <v>kanan</v>
      </c>
      <c r="U205" s="2"/>
      <c r="V205" s="2"/>
    </row>
    <row r="206" spans="5:22">
      <c r="E206" s="2" t="str">
        <v>kiri</v>
      </c>
      <c r="F206" s="2"/>
      <c r="G206" s="2"/>
      <c r="J206" s="2" t="str">
        <v>tengah</v>
      </c>
      <c r="K206" s="2"/>
      <c r="L206" s="2"/>
      <c r="O206" s="2" t="str">
        <v>tengah</v>
      </c>
      <c r="P206" s="2"/>
      <c r="Q206" s="2"/>
      <c r="T206" s="2" t="str">
        <v>kanan</v>
      </c>
      <c r="U206" s="2"/>
      <c r="V206" s="2"/>
    </row>
    <row r="207" spans="5:22">
      <c r="E207" s="2" t="str">
        <v>tengah</v>
      </c>
      <c r="F207" s="2"/>
      <c r="G207" s="2"/>
      <c r="J207" s="2" t="str">
        <v>kiri</v>
      </c>
      <c r="K207" s="2"/>
      <c r="L207" s="2"/>
      <c r="O207" s="2" t="str">
        <v>kanan</v>
      </c>
      <c r="P207" s="2"/>
      <c r="Q207" s="2"/>
      <c r="T207" s="2" t="str">
        <v>kanan</v>
      </c>
      <c r="U207" s="2"/>
      <c r="V207" s="2"/>
    </row>
    <row r="208" spans="5:22">
      <c r="E208" s="2" t="str">
        <v>tengah</v>
      </c>
      <c r="F208" s="2"/>
      <c r="G208" s="2"/>
      <c r="J208" s="2" t="str">
        <v>kiri</v>
      </c>
      <c r="K208" s="2"/>
      <c r="L208" s="2"/>
      <c r="O208" s="2" t="str">
        <v>tengah</v>
      </c>
      <c r="P208" s="2"/>
      <c r="Q208" s="2"/>
      <c r="T208" s="2" t="str">
        <v>tengah</v>
      </c>
      <c r="U208" s="2"/>
      <c r="V208" s="2"/>
    </row>
    <row r="209" spans="5:22">
      <c r="E209" s="2" t="str">
        <v>tengah</v>
      </c>
      <c r="F209" s="2"/>
      <c r="G209" s="2"/>
      <c r="J209" s="2" t="str">
        <v>tengah</v>
      </c>
      <c r="K209" s="2"/>
      <c r="L209" s="2"/>
      <c r="O209" s="2" t="str">
        <v>tengah</v>
      </c>
      <c r="P209" s="2"/>
      <c r="Q209" s="2"/>
      <c r="T209" s="2" t="str">
        <v>tengah</v>
      </c>
      <c r="U209" s="2"/>
      <c r="V209" s="2"/>
    </row>
    <row r="210" spans="5:22">
      <c r="E210" s="2" t="str">
        <v>tengah</v>
      </c>
      <c r="F210" s="2"/>
      <c r="G210" s="2"/>
      <c r="J210" s="2" t="str">
        <v>kiri</v>
      </c>
      <c r="K210" s="2"/>
      <c r="L210" s="2"/>
      <c r="O210" s="2" t="str">
        <v>tengah</v>
      </c>
      <c r="P210" s="2"/>
      <c r="Q210" s="2"/>
      <c r="T210" s="2" t="str">
        <v>kanan</v>
      </c>
      <c r="U210" s="2"/>
      <c r="V210" s="2"/>
    </row>
    <row r="211" spans="5:22">
      <c r="E211" s="2" t="str">
        <v>tengah</v>
      </c>
      <c r="F211" s="2"/>
      <c r="G211" s="2"/>
      <c r="J211" s="2" t="str">
        <v>tengah</v>
      </c>
      <c r="K211" s="2"/>
      <c r="L211" s="2"/>
      <c r="O211" s="2" t="str">
        <v>tengah</v>
      </c>
      <c r="P211" s="2"/>
      <c r="Q211" s="2"/>
      <c r="T211" s="2" t="str">
        <v>tengah</v>
      </c>
      <c r="U211" s="2"/>
      <c r="V211" s="2"/>
    </row>
    <row r="212" spans="5:22">
      <c r="E212" s="2" t="str">
        <v>tengah</v>
      </c>
      <c r="F212" s="2"/>
      <c r="G212" s="2"/>
      <c r="J212" s="2" t="str">
        <v>tengah</v>
      </c>
      <c r="K212" s="2"/>
      <c r="L212" s="2"/>
      <c r="O212" s="2" t="str">
        <v>tengah</v>
      </c>
      <c r="P212" s="2"/>
      <c r="Q212" s="2"/>
      <c r="T212" s="2" t="str">
        <v>tengah</v>
      </c>
      <c r="U212" s="2"/>
      <c r="V212" s="2"/>
    </row>
    <row r="213" spans="5:22">
      <c r="E213" s="2" t="str">
        <v>tengah</v>
      </c>
      <c r="F213" s="2"/>
      <c r="G213" s="2"/>
      <c r="J213" s="2" t="str">
        <v>tengah</v>
      </c>
      <c r="K213" s="2"/>
      <c r="L213" s="2"/>
      <c r="O213" s="2" t="str">
        <v>kiri</v>
      </c>
      <c r="P213" s="2"/>
      <c r="Q213" s="2"/>
      <c r="T213" s="2" t="str">
        <v>kanan</v>
      </c>
      <c r="U213" s="2"/>
      <c r="V213" s="2"/>
    </row>
    <row r="214" spans="5:22">
      <c r="E214" s="2" t="str">
        <v>tengah</v>
      </c>
      <c r="F214" s="2"/>
      <c r="G214" s="2"/>
      <c r="J214" s="2" t="str">
        <v>kanan</v>
      </c>
      <c r="K214" s="2"/>
      <c r="L214" s="2"/>
      <c r="O214" s="2" t="str">
        <v>tengah</v>
      </c>
      <c r="P214" s="2"/>
      <c r="Q214" s="2"/>
      <c r="T214" s="2" t="str">
        <v>tengah</v>
      </c>
      <c r="U214" s="2"/>
      <c r="V214" s="2"/>
    </row>
    <row r="215" spans="5:22">
      <c r="E215" s="2" t="str">
        <v>kiri</v>
      </c>
      <c r="F215" s="2"/>
      <c r="G215" s="2"/>
      <c r="J215" s="2" t="str">
        <v>tengah</v>
      </c>
      <c r="K215" s="2"/>
      <c r="L215" s="2"/>
      <c r="O215" s="2" t="str">
        <v>tengah</v>
      </c>
      <c r="P215" s="2"/>
      <c r="Q215" s="2"/>
      <c r="T215" s="2" t="str">
        <v>tengah</v>
      </c>
      <c r="U215" s="2"/>
      <c r="V215" s="2"/>
    </row>
    <row r="216" spans="5:22">
      <c r="E216" s="2" t="str">
        <v>tengah</v>
      </c>
      <c r="F216" s="2"/>
      <c r="G216" s="2"/>
      <c r="J216" s="2" t="str">
        <v>tengah</v>
      </c>
      <c r="K216" s="2"/>
      <c r="L216" s="2"/>
      <c r="O216" s="2" t="str">
        <v>kiri</v>
      </c>
      <c r="P216" s="2"/>
      <c r="Q216" s="2"/>
      <c r="T216" s="2" t="str">
        <v>kanan</v>
      </c>
      <c r="U216" s="2"/>
      <c r="V216" s="2"/>
    </row>
    <row r="217" spans="5:22">
      <c r="E217" s="2" t="str">
        <v>kanan</v>
      </c>
      <c r="F217" s="2"/>
      <c r="G217" s="2"/>
      <c r="J217" s="2" t="str">
        <v>kanan</v>
      </c>
      <c r="K217" s="2"/>
      <c r="L217" s="2"/>
      <c r="O217" s="2" t="str">
        <v>tengah</v>
      </c>
      <c r="P217" s="2"/>
      <c r="Q217" s="2"/>
      <c r="T217" s="2" t="str">
        <v>kanan</v>
      </c>
      <c r="U217" s="2"/>
      <c r="V217" s="2"/>
    </row>
    <row r="218" spans="5:22">
      <c r="E218" s="2" t="str">
        <v>tengah</v>
      </c>
      <c r="F218" s="2"/>
      <c r="G218" s="2"/>
      <c r="J218" s="2" t="str">
        <v>tengah</v>
      </c>
      <c r="K218" s="2"/>
      <c r="L218" s="2"/>
      <c r="O218" s="2" t="str">
        <v>tengah</v>
      </c>
      <c r="P218" s="2"/>
      <c r="Q218" s="2"/>
      <c r="T218" s="2" t="str">
        <v>tengah</v>
      </c>
      <c r="U218" s="2"/>
      <c r="V218" s="2"/>
    </row>
    <row r="219" spans="5:22">
      <c r="E219" s="2" t="str">
        <v>kiri</v>
      </c>
      <c r="F219" s="2"/>
      <c r="G219" s="2"/>
      <c r="J219" s="2" t="str">
        <v>tengah</v>
      </c>
      <c r="K219" s="2"/>
      <c r="L219" s="2"/>
      <c r="O219" s="2" t="str">
        <v>kanan</v>
      </c>
      <c r="P219" s="2"/>
      <c r="Q219" s="2"/>
      <c r="T219" s="2" t="str">
        <v>kanan</v>
      </c>
      <c r="U219" s="2"/>
      <c r="V219" s="2"/>
    </row>
    <row r="220" spans="5:22">
      <c r="E220" s="2" t="str">
        <v>tengah</v>
      </c>
      <c r="F220" s="2"/>
      <c r="G220" s="2"/>
      <c r="J220" s="2" t="str">
        <v>kanan</v>
      </c>
      <c r="K220" s="2"/>
      <c r="L220" s="2"/>
      <c r="O220" s="2" t="str">
        <v>tengah</v>
      </c>
      <c r="P220" s="2"/>
      <c r="Q220" s="2"/>
      <c r="T220" s="2" t="str">
        <v>kanan</v>
      </c>
      <c r="U220" s="2"/>
      <c r="V220" s="2"/>
    </row>
    <row r="221" spans="5:22">
      <c r="E221" s="2" t="str">
        <v>kanan</v>
      </c>
      <c r="F221" s="2"/>
      <c r="G221" s="2"/>
      <c r="J221" s="2" t="str">
        <v>tengah</v>
      </c>
      <c r="K221" s="2"/>
      <c r="L221" s="2"/>
      <c r="O221" s="2" t="str">
        <v>tengah</v>
      </c>
      <c r="P221" s="2"/>
      <c r="Q221" s="2"/>
      <c r="T221" s="2" t="str">
        <v>kanan</v>
      </c>
      <c r="U221" s="2"/>
      <c r="V221" s="2"/>
    </row>
    <row r="222" spans="5:22">
      <c r="E222" s="2" t="str">
        <v>tengah</v>
      </c>
      <c r="F222" s="2"/>
      <c r="G222" s="2"/>
      <c r="J222" s="2" t="str">
        <v>tengah</v>
      </c>
      <c r="K222" s="2"/>
      <c r="L222" s="2"/>
      <c r="O222" s="2" t="str">
        <v>tengah</v>
      </c>
      <c r="P222" s="2"/>
      <c r="Q222" s="2"/>
      <c r="T222" s="2" t="str">
        <v>tengah</v>
      </c>
      <c r="U222" s="2"/>
      <c r="V222" s="2"/>
    </row>
    <row r="223" spans="5:22">
      <c r="E223" s="2" t="str">
        <v>tengah</v>
      </c>
      <c r="F223" s="2"/>
      <c r="G223" s="2"/>
      <c r="J223" s="2" t="str">
        <v>kiri</v>
      </c>
      <c r="K223" s="2"/>
      <c r="L223" s="2"/>
      <c r="O223" s="2" t="str">
        <v>tengah</v>
      </c>
      <c r="P223" s="2"/>
      <c r="Q223" s="2"/>
      <c r="T223" s="2" t="str">
        <v>tengah</v>
      </c>
      <c r="U223" s="2"/>
      <c r="V223" s="2"/>
    </row>
    <row r="224" spans="5:22">
      <c r="E224" s="2" t="str">
        <v>tengah</v>
      </c>
      <c r="F224" s="2"/>
      <c r="G224" s="2"/>
      <c r="J224" s="2" t="str">
        <v>tengah</v>
      </c>
      <c r="K224" s="2"/>
      <c r="L224" s="2"/>
      <c r="O224" s="2" t="str">
        <v>kanan</v>
      </c>
      <c r="P224" s="2"/>
      <c r="Q224" s="2"/>
      <c r="T224" s="2" t="str">
        <v>tengah</v>
      </c>
      <c r="U224" s="2"/>
      <c r="V224" s="2"/>
    </row>
    <row r="225" spans="5:22">
      <c r="E225" s="2" t="str">
        <v>kiri</v>
      </c>
      <c r="F225" s="2"/>
      <c r="G225" s="2"/>
      <c r="J225" s="2" t="str">
        <v>tengah</v>
      </c>
      <c r="K225" s="2"/>
      <c r="L225" s="2"/>
      <c r="O225" s="2" t="str">
        <v>tengah</v>
      </c>
      <c r="P225" s="2"/>
      <c r="Q225" s="2"/>
      <c r="T225" s="2" t="str">
        <v>tengah</v>
      </c>
      <c r="U225" s="2"/>
      <c r="V225" s="2"/>
    </row>
    <row r="226" spans="5:22">
      <c r="E226" s="2" t="str">
        <v>tengah</v>
      </c>
      <c r="F226" s="2"/>
      <c r="G226" s="2"/>
      <c r="J226" s="2" t="str">
        <v>tengah</v>
      </c>
      <c r="K226" s="2"/>
      <c r="L226" s="2"/>
      <c r="O226" s="2" t="str">
        <v>tengah</v>
      </c>
      <c r="P226" s="2"/>
      <c r="Q226" s="2"/>
      <c r="T226" s="2" t="str">
        <v>tengah</v>
      </c>
      <c r="U226" s="2"/>
      <c r="V226" s="2"/>
    </row>
    <row r="227" spans="5:22">
      <c r="E227" s="2" t="str">
        <v>kanan</v>
      </c>
      <c r="F227" s="2"/>
      <c r="G227" s="2"/>
      <c r="J227" s="2" t="str">
        <v>tengah</v>
      </c>
      <c r="K227" s="2"/>
      <c r="L227" s="2"/>
      <c r="O227" s="2" t="str">
        <v>tengah</v>
      </c>
      <c r="P227" s="2"/>
      <c r="Q227" s="2"/>
      <c r="T227" s="2" t="str">
        <v>kanan</v>
      </c>
      <c r="U227" s="2"/>
      <c r="V227" s="2"/>
    </row>
    <row r="228" spans="5:22">
      <c r="E228" s="2" t="str">
        <v>tengah</v>
      </c>
      <c r="F228" s="2"/>
      <c r="G228" s="2"/>
      <c r="J228" s="2" t="str">
        <v>kanan</v>
      </c>
      <c r="K228" s="2"/>
      <c r="L228" s="2"/>
      <c r="O228" s="2" t="str">
        <v>tengah</v>
      </c>
      <c r="P228" s="2"/>
      <c r="Q228" s="2"/>
      <c r="T228" s="2" t="str">
        <v>tengah</v>
      </c>
      <c r="U228" s="2"/>
      <c r="V228" s="2"/>
    </row>
    <row r="229" spans="5:22">
      <c r="E229" s="2" t="str">
        <v>tengah</v>
      </c>
      <c r="F229" s="2"/>
      <c r="G229" s="2"/>
      <c r="J229" s="2" t="str">
        <v>tengah</v>
      </c>
      <c r="K229" s="2"/>
      <c r="L229" s="2"/>
      <c r="O229" s="2" t="str">
        <v>kiri</v>
      </c>
      <c r="P229" s="2"/>
      <c r="Q229" s="2"/>
      <c r="T229" s="2" t="str">
        <v>kanan</v>
      </c>
      <c r="U229" s="2"/>
      <c r="V229" s="2"/>
    </row>
    <row r="230" spans="5:22">
      <c r="E230" s="2" t="str">
        <v>kiri</v>
      </c>
      <c r="F230" s="2"/>
      <c r="G230" s="2"/>
      <c r="J230" s="2" t="str">
        <v>kiri</v>
      </c>
      <c r="K230" s="2"/>
      <c r="L230" s="2"/>
      <c r="O230" s="2" t="str">
        <v>tengah</v>
      </c>
      <c r="P230" s="2"/>
      <c r="Q230" s="2"/>
      <c r="T230" s="2" t="str">
        <v>kanan</v>
      </c>
      <c r="U230" s="2"/>
      <c r="V230" s="2"/>
    </row>
    <row r="231" spans="5:22">
      <c r="E231" s="2" t="str">
        <v>kiri</v>
      </c>
      <c r="F231" s="2"/>
      <c r="G231" s="2"/>
      <c r="J231" s="2" t="str">
        <v>kiri</v>
      </c>
      <c r="K231" s="2"/>
      <c r="L231" s="2"/>
      <c r="O231" s="2" t="str">
        <v>kanan</v>
      </c>
      <c r="P231" s="2"/>
      <c r="Q231" s="2"/>
      <c r="T231" s="2" t="str">
        <v>kanan</v>
      </c>
      <c r="U231" s="2"/>
      <c r="V231" s="2"/>
    </row>
    <row r="232" spans="5:22">
      <c r="E232" s="2" t="str">
        <v>tengah</v>
      </c>
      <c r="F232" s="2"/>
      <c r="G232" s="2"/>
      <c r="J232" s="2" t="str">
        <v>tengah</v>
      </c>
      <c r="K232" s="2"/>
      <c r="L232" s="2"/>
      <c r="O232" s="2" t="str">
        <v>tengah</v>
      </c>
      <c r="P232" s="2"/>
      <c r="Q232" s="2"/>
      <c r="T232" s="2" t="str">
        <v>tengah</v>
      </c>
      <c r="U232" s="2"/>
      <c r="V232" s="2"/>
    </row>
    <row r="233" spans="5:22">
      <c r="E233" s="2" t="str">
        <v>kanan</v>
      </c>
      <c r="F233" s="2"/>
      <c r="G233" s="2"/>
      <c r="J233" s="2" t="str">
        <v>tengah</v>
      </c>
      <c r="K233" s="2"/>
      <c r="L233" s="2"/>
      <c r="O233" s="2" t="str">
        <v>kanan</v>
      </c>
      <c r="P233" s="2"/>
      <c r="Q233" s="2"/>
      <c r="T233" s="2" t="str">
        <v>kanan</v>
      </c>
      <c r="U233" s="2"/>
      <c r="V233" s="2"/>
    </row>
    <row r="234" spans="5:22">
      <c r="E234" s="2" t="str">
        <v>kanan</v>
      </c>
      <c r="F234" s="2"/>
      <c r="G234" s="2"/>
      <c r="J234" s="2" t="str">
        <v>tengah</v>
      </c>
      <c r="K234" s="2"/>
      <c r="L234" s="2"/>
      <c r="O234" s="2" t="str">
        <v>tengah</v>
      </c>
      <c r="P234" s="2"/>
      <c r="Q234" s="2"/>
      <c r="T234" s="2" t="str">
        <v>tengah</v>
      </c>
      <c r="U234" s="2"/>
      <c r="V234" s="2"/>
    </row>
    <row r="235" spans="5:22">
      <c r="E235" s="2" t="str">
        <v>kanan</v>
      </c>
      <c r="F235" s="2"/>
      <c r="G235" s="2"/>
      <c r="J235" s="2" t="str">
        <v>tengah</v>
      </c>
      <c r="K235" s="2"/>
      <c r="L235" s="2"/>
      <c r="O235" s="2" t="str">
        <v>kanan</v>
      </c>
      <c r="P235" s="2"/>
      <c r="Q235" s="2"/>
      <c r="T235" s="2" t="str">
        <v>kanan</v>
      </c>
      <c r="U235" s="2"/>
      <c r="V235" s="2"/>
    </row>
    <row r="236" spans="5:22">
      <c r="E236" s="2" t="str">
        <v>kiri</v>
      </c>
      <c r="F236" s="2"/>
      <c r="G236" s="2"/>
      <c r="J236" s="2" t="str">
        <v>tengah</v>
      </c>
      <c r="K236" s="2"/>
      <c r="L236" s="2"/>
      <c r="O236" s="2" t="str">
        <v>tengah</v>
      </c>
      <c r="P236" s="2"/>
      <c r="Q236" s="2"/>
      <c r="T236" s="2" t="str">
        <v>tengah</v>
      </c>
      <c r="U236" s="2"/>
      <c r="V236" s="2"/>
    </row>
    <row r="237" spans="5:22">
      <c r="E237" s="2" t="str">
        <v>kanan</v>
      </c>
      <c r="F237" s="2"/>
      <c r="G237" s="2"/>
      <c r="J237" s="2" t="str">
        <v>kanan</v>
      </c>
      <c r="K237" s="2"/>
      <c r="L237" s="2"/>
      <c r="O237" s="2" t="str">
        <v>kiri</v>
      </c>
      <c r="P237" s="2"/>
      <c r="Q237" s="2"/>
      <c r="T237" s="2" t="str">
        <v>kanan</v>
      </c>
      <c r="U237" s="2"/>
      <c r="V237" s="2"/>
    </row>
    <row r="238" spans="5:22">
      <c r="E238" s="2" t="str">
        <v>kiri</v>
      </c>
      <c r="F238" s="2"/>
      <c r="G238" s="2"/>
      <c r="J238" s="2" t="str">
        <v>kiri</v>
      </c>
      <c r="K238" s="2"/>
      <c r="L238" s="2"/>
      <c r="O238" s="2" t="str">
        <v>tengah</v>
      </c>
      <c r="P238" s="2"/>
      <c r="Q238" s="2"/>
      <c r="T238" s="2" t="str">
        <v>tengah</v>
      </c>
      <c r="U238" s="2"/>
      <c r="V238" s="2"/>
    </row>
    <row r="239" spans="5:22">
      <c r="E239" s="2" t="str">
        <v>kiri</v>
      </c>
      <c r="F239" s="2"/>
      <c r="G239" s="2"/>
      <c r="J239" s="2" t="str">
        <v>kiri</v>
      </c>
      <c r="K239" s="2"/>
      <c r="L239" s="2"/>
      <c r="O239" s="2" t="str">
        <v>tengah</v>
      </c>
      <c r="P239" s="2"/>
      <c r="Q239" s="2"/>
      <c r="T239" s="2" t="str">
        <v>kanan</v>
      </c>
      <c r="U239" s="2"/>
      <c r="V239" s="2"/>
    </row>
    <row r="240" spans="5:22">
      <c r="E240" s="2" t="str">
        <v>kiri</v>
      </c>
      <c r="F240" s="2"/>
      <c r="G240" s="2"/>
      <c r="J240" s="2" t="str">
        <v>kiri</v>
      </c>
      <c r="K240" s="2"/>
      <c r="L240" s="2"/>
      <c r="O240" s="2" t="str">
        <v>kanan</v>
      </c>
      <c r="P240" s="2"/>
      <c r="Q240" s="2"/>
      <c r="T240" s="2" t="str">
        <v>tengah</v>
      </c>
      <c r="U240" s="2"/>
      <c r="V240" s="2"/>
    </row>
    <row r="241" spans="5:22">
      <c r="E241" s="2" t="str">
        <v>tengah</v>
      </c>
      <c r="F241" s="2"/>
      <c r="G241" s="2"/>
      <c r="J241" s="2" t="str">
        <v>kiri</v>
      </c>
      <c r="K241" s="2"/>
      <c r="L241" s="2"/>
      <c r="O241" s="2" t="str">
        <v>kiri</v>
      </c>
      <c r="P241" s="2"/>
      <c r="Q241" s="2"/>
      <c r="T241" s="2" t="str">
        <v>tengah</v>
      </c>
      <c r="U241" s="2"/>
      <c r="V241" s="2"/>
    </row>
    <row r="242" spans="5:22">
      <c r="E242" s="2" t="str">
        <v>kiri</v>
      </c>
      <c r="F242" s="2"/>
      <c r="G242" s="2"/>
      <c r="J242" s="2" t="str">
        <v>kiri</v>
      </c>
      <c r="K242" s="2"/>
      <c r="L242" s="2"/>
      <c r="O242" s="2" t="str">
        <v>tengah</v>
      </c>
      <c r="P242" s="2"/>
      <c r="Q242" s="2"/>
      <c r="T242" s="2" t="str">
        <v>tengah</v>
      </c>
      <c r="U242" s="2"/>
      <c r="V242" s="2"/>
    </row>
    <row r="243" spans="5:22">
      <c r="E243" s="2" t="str">
        <v>kanan</v>
      </c>
      <c r="F243" s="2"/>
      <c r="G243" s="2"/>
      <c r="J243" s="2" t="str">
        <v>tengah</v>
      </c>
      <c r="K243" s="2"/>
      <c r="L243" s="2"/>
      <c r="O243" s="2" t="str">
        <v>tengah</v>
      </c>
      <c r="P243" s="2"/>
      <c r="Q243" s="2"/>
      <c r="T243" s="2" t="str">
        <v>tengah</v>
      </c>
      <c r="U243" s="2"/>
      <c r="V243" s="2"/>
    </row>
    <row r="244" spans="5:22">
      <c r="E244" s="2" t="str">
        <v>tengah</v>
      </c>
      <c r="F244" s="2"/>
      <c r="G244" s="2"/>
      <c r="J244" s="2" t="str">
        <v>tengah</v>
      </c>
      <c r="K244" s="2"/>
      <c r="L244" s="2"/>
      <c r="O244" s="2" t="str">
        <v>tengah</v>
      </c>
      <c r="P244" s="2"/>
      <c r="Q244" s="2"/>
      <c r="T244" s="2" t="str">
        <v>kanan</v>
      </c>
      <c r="U244" s="2"/>
      <c r="V244" s="2"/>
    </row>
    <row r="245" spans="5:22">
      <c r="E245" s="2" t="str">
        <v>tengah</v>
      </c>
      <c r="F245" s="2"/>
      <c r="G245" s="2"/>
      <c r="J245" s="2" t="str">
        <v>kiri</v>
      </c>
      <c r="K245" s="2"/>
      <c r="L245" s="2"/>
      <c r="O245" s="2" t="str">
        <v>tengah</v>
      </c>
      <c r="P245" s="2"/>
      <c r="Q245" s="2"/>
      <c r="T245" s="2" t="str">
        <v>kanan</v>
      </c>
      <c r="U245" s="2"/>
      <c r="V245" s="2"/>
    </row>
    <row r="246" spans="5:22">
      <c r="E246" s="2" t="str">
        <v>kanan</v>
      </c>
      <c r="F246" s="2"/>
      <c r="G246" s="2"/>
      <c r="J246" s="2" t="str">
        <v>kiri</v>
      </c>
      <c r="K246" s="2"/>
      <c r="L246" s="2"/>
      <c r="O246" s="2" t="str">
        <v>tengah</v>
      </c>
      <c r="P246" s="2"/>
      <c r="Q246" s="2"/>
      <c r="T246" s="2" t="str">
        <v>tengah</v>
      </c>
      <c r="U246" s="2"/>
      <c r="V246" s="2"/>
    </row>
    <row r="247" spans="5:22">
      <c r="E247" s="2" t="str">
        <v>kiri</v>
      </c>
      <c r="F247" s="2"/>
      <c r="G247" s="2"/>
      <c r="J247" s="2" t="str">
        <v>kanan</v>
      </c>
      <c r="K247" s="2"/>
      <c r="L247" s="2"/>
      <c r="O247" s="2" t="str">
        <v>kiri</v>
      </c>
      <c r="P247" s="2"/>
      <c r="Q247" s="2"/>
      <c r="T247" s="2" t="str">
        <v>tengah</v>
      </c>
      <c r="U247" s="2"/>
      <c r="V247" s="2"/>
    </row>
    <row r="248" spans="5:22">
      <c r="E248" s="2" t="str">
        <v>kiri</v>
      </c>
      <c r="F248" s="2"/>
      <c r="G248" s="2"/>
      <c r="J248" s="2" t="str">
        <v>kanan</v>
      </c>
      <c r="K248" s="2"/>
      <c r="L248" s="2"/>
      <c r="O248" s="2" t="str">
        <v>kiri</v>
      </c>
      <c r="P248" s="2"/>
      <c r="Q248" s="2"/>
      <c r="T248" s="2" t="str">
        <v>kanan</v>
      </c>
      <c r="U248" s="2"/>
      <c r="V248" s="2"/>
    </row>
    <row r="249" spans="5:22">
      <c r="E249" s="2" t="str">
        <v>tengah</v>
      </c>
      <c r="F249" s="2"/>
      <c r="G249" s="2"/>
      <c r="J249" s="2" t="str">
        <v>kiri</v>
      </c>
      <c r="K249" s="2"/>
      <c r="L249" s="2"/>
      <c r="O249" s="2" t="str">
        <v>tengah</v>
      </c>
      <c r="P249" s="2"/>
      <c r="Q249" s="2"/>
      <c r="T249" s="2" t="str">
        <v>kanan</v>
      </c>
      <c r="U249" s="2"/>
      <c r="V249" s="2"/>
    </row>
    <row r="250" spans="5:22">
      <c r="E250" s="2" t="str">
        <v>tengah</v>
      </c>
      <c r="F250" s="2"/>
      <c r="G250" s="2"/>
      <c r="J250" s="2" t="str">
        <v>kiri</v>
      </c>
      <c r="K250" s="2"/>
      <c r="L250" s="2"/>
      <c r="O250" s="2" t="str">
        <v>tengah</v>
      </c>
      <c r="P250" s="2"/>
      <c r="Q250" s="2"/>
      <c r="T250" s="2" t="str">
        <v>kanan</v>
      </c>
      <c r="U250" s="2"/>
      <c r="V250" s="2"/>
    </row>
    <row r="251" spans="5:22">
      <c r="E251" s="2" t="str">
        <v>kiri</v>
      </c>
      <c r="F251" s="2"/>
      <c r="G251" s="2"/>
      <c r="J251" s="2" t="str">
        <v>kiri</v>
      </c>
      <c r="K251" s="2"/>
      <c r="L251" s="2"/>
      <c r="O251" s="2" t="str">
        <v>tengah</v>
      </c>
      <c r="P251" s="2"/>
      <c r="Q251" s="2"/>
      <c r="T251" s="2" t="str">
        <v>tengah</v>
      </c>
      <c r="U251" s="2"/>
      <c r="V251" s="2"/>
    </row>
    <row r="252" spans="5:22">
      <c r="E252" s="2" t="str">
        <v>tengah</v>
      </c>
      <c r="F252" s="2"/>
      <c r="G252" s="2"/>
      <c r="J252" s="2" t="str">
        <v>tengah</v>
      </c>
      <c r="K252" s="2"/>
      <c r="L252" s="2"/>
      <c r="O252" s="2" t="str">
        <v>kiri</v>
      </c>
      <c r="P252" s="2"/>
      <c r="Q252" s="2"/>
      <c r="T252" s="2" t="str">
        <v>kanan</v>
      </c>
      <c r="U252" s="2"/>
      <c r="V252" s="2"/>
    </row>
    <row r="253" spans="5:22">
      <c r="E253" s="2" t="str">
        <v>kiri</v>
      </c>
      <c r="F253" s="2"/>
      <c r="G253" s="2"/>
      <c r="J253" s="2" t="str">
        <v>kiri</v>
      </c>
      <c r="K253" s="2"/>
      <c r="L253" s="2"/>
      <c r="O253" s="2" t="str">
        <v>tengah</v>
      </c>
      <c r="P253" s="2"/>
      <c r="Q253" s="2"/>
      <c r="T253" s="2" t="str">
        <v>tengah</v>
      </c>
      <c r="U253" s="2"/>
      <c r="V253" s="2"/>
    </row>
    <row r="254" spans="5:22">
      <c r="E254" s="2" t="str">
        <v>tengah</v>
      </c>
      <c r="F254" s="2"/>
      <c r="G254" s="2"/>
      <c r="J254" s="2" t="str">
        <v>tengah</v>
      </c>
      <c r="K254" s="2"/>
      <c r="L254" s="2"/>
      <c r="O254" s="2" t="str">
        <v>tengah</v>
      </c>
      <c r="P254" s="2"/>
      <c r="Q254" s="2"/>
      <c r="T254" s="2" t="str">
        <v>kanan</v>
      </c>
      <c r="U254" s="2"/>
      <c r="V254" s="2"/>
    </row>
    <row r="255" spans="5:22">
      <c r="E255" s="2" t="str">
        <v>tengah</v>
      </c>
      <c r="F255" s="2"/>
      <c r="G255" s="2"/>
      <c r="J255" s="2" t="str">
        <v>kiri</v>
      </c>
      <c r="K255" s="2"/>
      <c r="L255" s="2"/>
      <c r="O255" s="2" t="str">
        <v>tengah</v>
      </c>
      <c r="P255" s="2"/>
      <c r="Q255" s="2"/>
      <c r="T255" s="2" t="str">
        <v>kanan</v>
      </c>
      <c r="U255" s="2"/>
      <c r="V255" s="2"/>
    </row>
    <row r="256" spans="5:22">
      <c r="E256" s="2" t="str">
        <v>tengah</v>
      </c>
      <c r="F256" s="2"/>
      <c r="G256" s="2"/>
      <c r="J256" s="2" t="str">
        <v>tengah</v>
      </c>
      <c r="K256" s="2"/>
      <c r="L256" s="2"/>
      <c r="O256" s="2" t="str">
        <v>kiri</v>
      </c>
      <c r="P256" s="2"/>
      <c r="Q256" s="2"/>
      <c r="T256" s="2" t="str">
        <v>kanan</v>
      </c>
      <c r="U256" s="2"/>
      <c r="V256" s="2"/>
    </row>
    <row r="257" spans="5:22">
      <c r="E257" s="2" t="str">
        <v>tengah</v>
      </c>
      <c r="F257" s="2"/>
      <c r="G257" s="2"/>
      <c r="J257" s="2" t="str">
        <v>tengah</v>
      </c>
      <c r="K257" s="2"/>
      <c r="L257" s="2"/>
      <c r="O257" s="2" t="str">
        <v>tengah</v>
      </c>
      <c r="P257" s="2"/>
      <c r="Q257" s="2"/>
      <c r="T257" s="2" t="str">
        <v>tengah</v>
      </c>
      <c r="U257" s="2"/>
      <c r="V257" s="2"/>
    </row>
    <row r="258" spans="5:22">
      <c r="E258" s="2" t="str">
        <v>tengah</v>
      </c>
      <c r="F258" s="2"/>
      <c r="G258" s="2"/>
      <c r="J258" s="2" t="str">
        <v>tengah</v>
      </c>
      <c r="K258" s="2"/>
      <c r="L258" s="2"/>
      <c r="O258" s="2" t="str">
        <v>tengah</v>
      </c>
      <c r="P258" s="2"/>
      <c r="Q258" s="2"/>
      <c r="T258" s="2" t="str">
        <v>kanan</v>
      </c>
      <c r="U258" s="2"/>
      <c r="V258" s="2"/>
    </row>
    <row r="259" spans="5:22">
      <c r="E259" s="2" t="str">
        <v>kiri</v>
      </c>
      <c r="F259" s="2"/>
      <c r="G259" s="2"/>
      <c r="J259" s="2" t="str">
        <v>tengah</v>
      </c>
      <c r="K259" s="2"/>
      <c r="L259" s="2"/>
      <c r="O259" s="2" t="str">
        <v>kanan</v>
      </c>
      <c r="P259" s="2"/>
      <c r="Q259" s="2"/>
      <c r="T259" s="2" t="str">
        <v>tengah</v>
      </c>
      <c r="U259" s="2"/>
      <c r="V259" s="2"/>
    </row>
    <row r="260" spans="5:22">
      <c r="E260" s="2" t="str">
        <v>tengah</v>
      </c>
      <c r="F260" s="2"/>
      <c r="G260" s="2"/>
      <c r="J260" s="2" t="str">
        <v>tengah</v>
      </c>
      <c r="K260" s="2"/>
      <c r="L260" s="2"/>
      <c r="O260" s="2" t="str">
        <v>kanan</v>
      </c>
      <c r="P260" s="2"/>
      <c r="Q260" s="2"/>
      <c r="T260" s="2" t="str">
        <v>kanan</v>
      </c>
      <c r="U260" s="2"/>
      <c r="V260" s="2"/>
    </row>
    <row r="261" spans="5:22">
      <c r="E261" s="2" t="str">
        <v>kiri</v>
      </c>
      <c r="F261" s="2"/>
      <c r="G261" s="2"/>
      <c r="J261" s="2" t="str">
        <v>tengah</v>
      </c>
      <c r="K261" s="2"/>
      <c r="L261" s="2"/>
      <c r="O261" s="2" t="str">
        <v>tengah</v>
      </c>
      <c r="P261" s="2"/>
      <c r="Q261" s="2"/>
      <c r="T261" s="2" t="str">
        <v>tengah</v>
      </c>
      <c r="U261" s="2"/>
      <c r="V261" s="2"/>
    </row>
    <row r="262" spans="5:22">
      <c r="E262" s="2" t="str">
        <v>tengah</v>
      </c>
      <c r="F262" s="2"/>
      <c r="G262" s="2"/>
      <c r="J262" s="2" t="str">
        <v>tengah</v>
      </c>
      <c r="K262" s="2"/>
      <c r="L262" s="2"/>
      <c r="O262" s="2" t="str">
        <v>tengah</v>
      </c>
      <c r="P262" s="2"/>
      <c r="Q262" s="2"/>
      <c r="T262" s="2" t="str">
        <v>tengah</v>
      </c>
      <c r="U262" s="2"/>
      <c r="V262" s="2"/>
    </row>
    <row r="263" spans="5:22">
      <c r="E263" s="2" t="str">
        <v>tengah</v>
      </c>
      <c r="F263" s="2"/>
      <c r="G263" s="2"/>
      <c r="J263" s="2" t="str">
        <v>tengah</v>
      </c>
      <c r="K263" s="2"/>
      <c r="L263" s="2"/>
      <c r="O263" s="2" t="str">
        <v>kiri</v>
      </c>
      <c r="P263" s="2"/>
      <c r="Q263" s="2"/>
      <c r="T263" s="2" t="str">
        <v>kanan</v>
      </c>
      <c r="U263" s="2"/>
      <c r="V263" s="2"/>
    </row>
    <row r="264" spans="5:22">
      <c r="E264" s="2" t="str">
        <v>tengah</v>
      </c>
      <c r="F264" s="2"/>
      <c r="G264" s="2"/>
      <c r="J264" s="2" t="str">
        <v>tengah</v>
      </c>
      <c r="K264" s="2"/>
      <c r="L264" s="2"/>
      <c r="O264" s="2" t="str">
        <v>tengah</v>
      </c>
      <c r="P264" s="2"/>
      <c r="Q264" s="2"/>
      <c r="T264" s="2" t="str">
        <v>kanan</v>
      </c>
      <c r="U264" s="2"/>
      <c r="V264" s="2"/>
    </row>
    <row r="265" spans="5:22">
      <c r="E265" s="2" t="str">
        <v>kiri</v>
      </c>
      <c r="F265" s="2"/>
      <c r="G265" s="2"/>
      <c r="J265" s="2" t="str">
        <v>kiri</v>
      </c>
      <c r="K265" s="2"/>
      <c r="L265" s="2"/>
      <c r="O265" s="2" t="str">
        <v>tengah</v>
      </c>
      <c r="P265" s="2"/>
      <c r="Q265" s="2"/>
      <c r="T265" s="2" t="str">
        <v>kanan</v>
      </c>
      <c r="U265" s="2"/>
      <c r="V265" s="2"/>
    </row>
    <row r="266" spans="5:22">
      <c r="E266" s="2" t="str">
        <v>tengah</v>
      </c>
      <c r="F266" s="2"/>
      <c r="G266" s="2"/>
      <c r="J266" s="2" t="str">
        <v>tengah</v>
      </c>
      <c r="K266" s="2"/>
      <c r="L266" s="2"/>
      <c r="O266" s="2" t="str">
        <v>tengah</v>
      </c>
      <c r="P266" s="2"/>
      <c r="Q266" s="2"/>
      <c r="T266" s="2" t="str">
        <v>tengah</v>
      </c>
      <c r="U266" s="2"/>
      <c r="V266" s="2"/>
    </row>
    <row r="267" spans="5:22">
      <c r="E267" s="2" t="str">
        <v>kanan</v>
      </c>
      <c r="F267" s="2"/>
      <c r="G267" s="2"/>
      <c r="J267" s="2" t="str">
        <v>tengah</v>
      </c>
      <c r="K267" s="2"/>
      <c r="L267" s="2"/>
      <c r="O267" s="2" t="str">
        <v>tengah</v>
      </c>
      <c r="P267" s="2"/>
      <c r="Q267" s="2"/>
      <c r="T267" s="2" t="str">
        <v>kanan</v>
      </c>
      <c r="U267" s="2"/>
      <c r="V267" s="2"/>
    </row>
    <row r="268" spans="5:22">
      <c r="E268" s="2" t="str">
        <v>tengah</v>
      </c>
      <c r="F268" s="2"/>
      <c r="G268" s="2"/>
      <c r="J268" s="2" t="str">
        <v>tengah</v>
      </c>
      <c r="K268" s="2"/>
      <c r="L268" s="2"/>
      <c r="O268" s="2" t="str">
        <v>tengah</v>
      </c>
      <c r="P268" s="2"/>
      <c r="Q268" s="2"/>
      <c r="T268" s="2" t="str">
        <v>tengah</v>
      </c>
      <c r="U268" s="2"/>
      <c r="V268" s="2"/>
    </row>
    <row r="269" spans="5:22">
      <c r="E269" s="2" t="str">
        <v>tengah</v>
      </c>
      <c r="F269" s="2"/>
      <c r="G269" s="2"/>
      <c r="J269" s="2" t="str">
        <v>kiri</v>
      </c>
      <c r="K269" s="2"/>
      <c r="L269" s="2"/>
      <c r="O269" s="2" t="str">
        <v>kanan</v>
      </c>
      <c r="P269" s="2"/>
      <c r="Q269" s="2"/>
      <c r="T269" s="2" t="str">
        <v>tengah</v>
      </c>
      <c r="U269" s="2"/>
      <c r="V269" s="2"/>
    </row>
    <row r="270" spans="5:22">
      <c r="E270" s="2" t="str">
        <v>tengah</v>
      </c>
      <c r="F270" s="2"/>
      <c r="G270" s="2"/>
      <c r="J270" s="2" t="str">
        <v>tengah</v>
      </c>
      <c r="K270" s="2"/>
      <c r="L270" s="2"/>
      <c r="O270" s="2" t="str">
        <v>tengah</v>
      </c>
      <c r="P270" s="2"/>
      <c r="Q270" s="2"/>
      <c r="T270" s="2" t="str">
        <v>kanan</v>
      </c>
      <c r="U270" s="2"/>
      <c r="V270" s="2"/>
    </row>
    <row r="271" spans="5:22">
      <c r="E271" s="2" t="str">
        <v>tengah</v>
      </c>
      <c r="F271" s="2"/>
      <c r="G271" s="2"/>
      <c r="J271" s="2" t="str">
        <v>kanan</v>
      </c>
      <c r="K271" s="2"/>
      <c r="L271" s="2"/>
      <c r="O271" s="2" t="str">
        <v>tengah</v>
      </c>
      <c r="P271" s="2"/>
      <c r="Q271" s="2"/>
      <c r="T271" s="2" t="str">
        <v>tengah</v>
      </c>
      <c r="U271" s="2"/>
      <c r="V271" s="2"/>
    </row>
    <row r="272" spans="5:22">
      <c r="E272" s="2" t="str">
        <v>tengah</v>
      </c>
      <c r="F272" s="2"/>
      <c r="G272" s="2"/>
      <c r="J272" s="2" t="str">
        <v>tengah</v>
      </c>
      <c r="K272" s="2"/>
      <c r="L272" s="2"/>
      <c r="O272" s="2" t="str">
        <v>tengah</v>
      </c>
      <c r="P272" s="2"/>
      <c r="Q272" s="2"/>
      <c r="T272" s="2" t="str">
        <v>tengah</v>
      </c>
      <c r="U272" s="2"/>
      <c r="V272" s="2"/>
    </row>
    <row r="273" spans="5:22">
      <c r="E273" s="2" t="str">
        <v>tengah</v>
      </c>
      <c r="F273" s="2"/>
      <c r="G273" s="2"/>
      <c r="J273" s="2" t="str">
        <v>tengah</v>
      </c>
      <c r="K273" s="2"/>
      <c r="L273" s="2"/>
      <c r="O273" s="2" t="str">
        <v>tengah</v>
      </c>
      <c r="P273" s="2"/>
      <c r="Q273" s="2"/>
      <c r="T273" s="2" t="str">
        <v>tengah</v>
      </c>
      <c r="U273" s="2"/>
      <c r="V273" s="2"/>
    </row>
    <row r="274" spans="5:22">
      <c r="E274" s="2" t="str">
        <v>kiri</v>
      </c>
      <c r="F274" s="2"/>
      <c r="G274" s="2"/>
      <c r="J274" s="2" t="str">
        <v>kanan</v>
      </c>
      <c r="K274" s="2"/>
      <c r="L274" s="2"/>
      <c r="O274" s="2" t="str">
        <v>tengah</v>
      </c>
      <c r="P274" s="2"/>
      <c r="Q274" s="2"/>
      <c r="T274" s="2" t="str">
        <v>kanan</v>
      </c>
      <c r="U274" s="2"/>
      <c r="V274" s="2"/>
    </row>
    <row r="275" spans="5:22">
      <c r="E275" s="2" t="str">
        <v>kiri</v>
      </c>
      <c r="F275" s="2"/>
      <c r="G275" s="2"/>
      <c r="J275" s="2" t="str">
        <v>tengah</v>
      </c>
      <c r="K275" s="2"/>
      <c r="L275" s="2"/>
      <c r="O275" s="2" t="str">
        <v>kanan</v>
      </c>
      <c r="P275" s="2"/>
      <c r="Q275" s="2"/>
      <c r="T275" s="2" t="str">
        <v>tengah</v>
      </c>
      <c r="U275" s="2"/>
      <c r="V275" s="2"/>
    </row>
    <row r="276" spans="5:22">
      <c r="E276" s="2" t="str">
        <v>kanan</v>
      </c>
      <c r="F276" s="2"/>
      <c r="G276" s="2"/>
      <c r="J276" s="2" t="str">
        <v>tengah</v>
      </c>
      <c r="K276" s="2"/>
      <c r="L276" s="2"/>
      <c r="O276" s="2" t="str">
        <v>tengah</v>
      </c>
      <c r="P276" s="2"/>
      <c r="Q276" s="2"/>
      <c r="T276" s="2" t="str">
        <v>tengah</v>
      </c>
      <c r="U276" s="2"/>
      <c r="V276" s="2"/>
    </row>
    <row r="277" spans="5:22">
      <c r="E277" s="2" t="str">
        <v>kanan</v>
      </c>
      <c r="F277" s="2"/>
      <c r="G277" s="2"/>
      <c r="J277" s="2" t="str">
        <v>kanan</v>
      </c>
      <c r="K277" s="2"/>
      <c r="L277" s="2"/>
      <c r="O277" s="2" t="str">
        <v>kanan</v>
      </c>
      <c r="P277" s="2"/>
      <c r="Q277" s="2"/>
      <c r="T277" s="2" t="str">
        <v>kanan</v>
      </c>
      <c r="U277" s="2"/>
      <c r="V277" s="2"/>
    </row>
    <row r="278" spans="5:22">
      <c r="E278" s="2" t="str">
        <v>tengah</v>
      </c>
      <c r="F278" s="2"/>
      <c r="G278" s="2"/>
      <c r="J278" s="2" t="str">
        <v>kanan</v>
      </c>
      <c r="K278" s="2"/>
      <c r="L278" s="2"/>
      <c r="O278" s="2" t="str">
        <v>kiri</v>
      </c>
      <c r="P278" s="2"/>
      <c r="Q278" s="2"/>
      <c r="T278" s="2" t="str">
        <v>tengah</v>
      </c>
      <c r="U278" s="2"/>
      <c r="V278" s="2"/>
    </row>
    <row r="279" spans="5:22">
      <c r="E279" s="2" t="str">
        <v>kiri</v>
      </c>
      <c r="F279" s="2"/>
      <c r="G279" s="2"/>
      <c r="J279" s="2" t="str">
        <v>kiri</v>
      </c>
      <c r="K279" s="2"/>
      <c r="L279" s="2"/>
      <c r="O279" s="2" t="str">
        <v>kanan</v>
      </c>
      <c r="P279" s="2"/>
      <c r="Q279" s="2"/>
      <c r="T279" s="2" t="str">
        <v>kanan</v>
      </c>
      <c r="U279" s="2"/>
      <c r="V279" s="2"/>
    </row>
    <row r="280" spans="5:22">
      <c r="E280" s="2" t="str">
        <v>tengah</v>
      </c>
      <c r="F280" s="2"/>
      <c r="G280" s="2"/>
      <c r="J280" s="2" t="str">
        <v>tengah</v>
      </c>
      <c r="K280" s="2"/>
      <c r="L280" s="2"/>
      <c r="O280" s="2" t="str">
        <v>kiri</v>
      </c>
      <c r="P280" s="2"/>
      <c r="Q280" s="2"/>
      <c r="T280" s="2" t="str">
        <v>kanan</v>
      </c>
      <c r="U280" s="2"/>
      <c r="V280" s="2"/>
    </row>
    <row r="281" spans="5:22">
      <c r="E281" s="2" t="str">
        <v>tengah</v>
      </c>
      <c r="F281" s="2"/>
      <c r="G281" s="2"/>
      <c r="J281" s="2" t="str">
        <v>tengah</v>
      </c>
      <c r="K281" s="2"/>
      <c r="L281" s="2"/>
      <c r="O281" s="2" t="str">
        <v>tengah</v>
      </c>
      <c r="P281" s="2"/>
      <c r="Q281" s="2"/>
      <c r="T281" s="2" t="str">
        <v>kanan</v>
      </c>
      <c r="U281" s="2"/>
      <c r="V281" s="2"/>
    </row>
    <row r="282" spans="5:22">
      <c r="E282" s="2" t="str">
        <v>kanan</v>
      </c>
      <c r="F282" s="2"/>
      <c r="G282" s="2"/>
      <c r="J282" s="2" t="str">
        <v>kanan</v>
      </c>
      <c r="K282" s="2"/>
      <c r="L282" s="2"/>
      <c r="O282" s="2" t="str">
        <v>kanan</v>
      </c>
      <c r="P282" s="2"/>
      <c r="Q282" s="2"/>
      <c r="T282" s="2" t="str">
        <v>kanan</v>
      </c>
      <c r="U282" s="2"/>
      <c r="V282" s="2"/>
    </row>
    <row r="283" spans="5:22">
      <c r="E283" s="2" t="str">
        <v>kiri</v>
      </c>
      <c r="F283" s="2"/>
      <c r="G283" s="2"/>
      <c r="J283" s="2" t="str">
        <v>tengah</v>
      </c>
      <c r="K283" s="2"/>
      <c r="L283" s="2"/>
      <c r="O283" s="2" t="str">
        <v>tengah</v>
      </c>
      <c r="P283" s="2"/>
      <c r="Q283" s="2"/>
      <c r="T283" s="2" t="str">
        <v>tengah</v>
      </c>
      <c r="U283" s="2"/>
      <c r="V283" s="2"/>
    </row>
    <row r="284" spans="5:22">
      <c r="E284" s="2" t="str">
        <v>kiri</v>
      </c>
      <c r="F284" s="2"/>
      <c r="G284" s="2"/>
      <c r="J284" s="2" t="str">
        <v>kiri</v>
      </c>
      <c r="K284" s="2"/>
      <c r="L284" s="2"/>
      <c r="O284" s="2" t="str">
        <v>tengah</v>
      </c>
      <c r="P284" s="2"/>
      <c r="Q284" s="2"/>
      <c r="T284" s="2" t="str">
        <v>tengah</v>
      </c>
      <c r="U284" s="2"/>
      <c r="V284" s="2"/>
    </row>
    <row r="285" spans="5:22">
      <c r="E285" s="2" t="str">
        <v>kiri</v>
      </c>
      <c r="F285" s="2"/>
      <c r="G285" s="2"/>
      <c r="J285" s="2" t="str">
        <v>tengah</v>
      </c>
      <c r="K285" s="2"/>
      <c r="L285" s="2"/>
      <c r="O285" s="2" t="str">
        <v>tengah</v>
      </c>
      <c r="P285" s="2"/>
      <c r="Q285" s="2"/>
      <c r="T285" s="2" t="str">
        <v>tengah</v>
      </c>
      <c r="U285" s="2"/>
      <c r="V285" s="2"/>
    </row>
    <row r="286" spans="5:22">
      <c r="E286" s="2" t="str">
        <v>tengah</v>
      </c>
      <c r="F286" s="2"/>
      <c r="G286" s="2"/>
      <c r="J286" s="2" t="str">
        <v>kanan</v>
      </c>
      <c r="K286" s="2"/>
      <c r="L286" s="2"/>
      <c r="O286" s="2" t="str">
        <v>tengah</v>
      </c>
      <c r="P286" s="2"/>
      <c r="Q286" s="2"/>
      <c r="T286" s="2" t="str">
        <v>tengah</v>
      </c>
      <c r="U286" s="2"/>
      <c r="V286" s="2"/>
    </row>
    <row r="287" spans="5:22">
      <c r="E287" s="2" t="str">
        <v>tengah</v>
      </c>
      <c r="F287" s="2"/>
      <c r="G287" s="2"/>
      <c r="J287" s="2" t="str">
        <v>kanan</v>
      </c>
      <c r="K287" s="2"/>
      <c r="L287" s="2"/>
      <c r="O287" s="2" t="str">
        <v>tengah</v>
      </c>
      <c r="P287" s="2"/>
      <c r="Q287" s="2"/>
      <c r="T287" s="2" t="str">
        <v>kanan</v>
      </c>
      <c r="U287" s="2"/>
      <c r="V287" s="2"/>
    </row>
    <row r="288" spans="5:22">
      <c r="E288" s="2" t="str">
        <v>tengah</v>
      </c>
      <c r="F288" s="2"/>
      <c r="G288" s="2"/>
      <c r="J288" s="2" t="str">
        <v>tengah</v>
      </c>
      <c r="K288" s="2"/>
      <c r="L288" s="2"/>
      <c r="O288" s="2" t="str">
        <v>tengah</v>
      </c>
      <c r="P288" s="2"/>
      <c r="Q288" s="2"/>
      <c r="T288" s="2" t="str">
        <v>tengah</v>
      </c>
      <c r="U288" s="2"/>
      <c r="V288" s="2"/>
    </row>
    <row r="289" spans="5:22">
      <c r="E289" s="2" t="str">
        <v>kiri</v>
      </c>
      <c r="F289" s="2"/>
      <c r="G289" s="2"/>
      <c r="J289" s="2" t="str">
        <v>kiri</v>
      </c>
      <c r="K289" s="2"/>
      <c r="L289" s="2"/>
      <c r="O289" s="2" t="str">
        <v>kiri</v>
      </c>
      <c r="P289" s="2"/>
      <c r="Q289" s="2"/>
      <c r="T289" s="2" t="str">
        <v>kanan</v>
      </c>
      <c r="U289" s="2"/>
      <c r="V289" s="2"/>
    </row>
    <row r="290" spans="5:22">
      <c r="E290" s="2" t="str">
        <v>tengah</v>
      </c>
      <c r="F290" s="2"/>
      <c r="G290" s="2"/>
      <c r="J290" s="2" t="str">
        <v>kanan</v>
      </c>
      <c r="K290" s="2"/>
      <c r="L290" s="2"/>
      <c r="O290" s="2" t="str">
        <v>tengah</v>
      </c>
      <c r="P290" s="2"/>
      <c r="Q290" s="2"/>
      <c r="T290" s="2" t="str">
        <v>tengah</v>
      </c>
      <c r="U290" s="2"/>
      <c r="V290" s="2"/>
    </row>
    <row r="291" spans="5:22">
      <c r="E291" s="2" t="str">
        <v>kanan</v>
      </c>
      <c r="F291" s="2"/>
      <c r="G291" s="2"/>
      <c r="J291" s="2" t="str">
        <v>tengah</v>
      </c>
      <c r="K291" s="2"/>
      <c r="L291" s="2"/>
      <c r="O291" s="2" t="str">
        <v>tengah</v>
      </c>
      <c r="P291" s="2"/>
      <c r="Q291" s="2"/>
      <c r="T291" s="2" t="str">
        <v>kanan</v>
      </c>
      <c r="U291" s="2"/>
      <c r="V291" s="2"/>
    </row>
    <row r="292" spans="5:22">
      <c r="E292" s="2" t="str">
        <v>tengah</v>
      </c>
      <c r="F292" s="2"/>
      <c r="G292" s="2"/>
      <c r="J292" s="2" t="str">
        <v>tengah</v>
      </c>
      <c r="K292" s="2"/>
      <c r="L292" s="2"/>
      <c r="O292" s="2" t="str">
        <v>kanan</v>
      </c>
      <c r="P292" s="2"/>
      <c r="Q292" s="2"/>
      <c r="T292" s="2" t="str">
        <v>tengah</v>
      </c>
      <c r="U292" s="2"/>
      <c r="V292" s="2"/>
    </row>
    <row r="293" spans="5:22">
      <c r="E293" s="2" t="str">
        <v>tengah</v>
      </c>
      <c r="F293" s="2"/>
      <c r="G293" s="2"/>
      <c r="J293" s="2" t="str">
        <v>tengah</v>
      </c>
      <c r="K293" s="2"/>
      <c r="L293" s="2"/>
      <c r="O293" s="2" t="str">
        <v>tengah</v>
      </c>
      <c r="P293" s="2"/>
      <c r="Q293" s="2"/>
      <c r="T293" s="2" t="str">
        <v>tengah</v>
      </c>
      <c r="U293" s="2"/>
      <c r="V293" s="2"/>
    </row>
    <row r="294" spans="5:22">
      <c r="E294" s="2" t="str">
        <v>kanan</v>
      </c>
      <c r="F294" s="2"/>
      <c r="G294" s="2"/>
      <c r="J294" s="2" t="str">
        <v>tengah</v>
      </c>
      <c r="K294" s="2"/>
      <c r="L294" s="2"/>
      <c r="O294" s="2" t="str">
        <v>tengah</v>
      </c>
      <c r="P294" s="2"/>
      <c r="Q294" s="2"/>
      <c r="T294" s="2" t="str">
        <v>tengah</v>
      </c>
      <c r="U294" s="2"/>
      <c r="V294" s="2"/>
    </row>
    <row r="295" spans="5:22">
      <c r="E295" s="2" t="str">
        <v>tengah</v>
      </c>
      <c r="F295" s="2"/>
      <c r="G295" s="2"/>
      <c r="J295" s="2" t="str">
        <v>tengah</v>
      </c>
      <c r="K295" s="2"/>
      <c r="L295" s="2"/>
      <c r="O295" s="2" t="str">
        <v>kanan</v>
      </c>
      <c r="P295" s="2"/>
      <c r="Q295" s="2"/>
      <c r="T295" s="2" t="str">
        <v>kanan</v>
      </c>
      <c r="U295" s="2"/>
      <c r="V295" s="2"/>
    </row>
    <row r="296" spans="5:22">
      <c r="E296" s="2" t="str">
        <v>tengah</v>
      </c>
      <c r="F296" s="2"/>
      <c r="G296" s="2"/>
      <c r="J296" s="2" t="str">
        <v>kiri</v>
      </c>
      <c r="K296" s="2"/>
      <c r="L296" s="2"/>
      <c r="O296" s="2" t="str">
        <v>tengah</v>
      </c>
      <c r="P296" s="2"/>
      <c r="Q296" s="2"/>
      <c r="T296" s="2" t="str">
        <v>kanan</v>
      </c>
      <c r="U296" s="2"/>
      <c r="V296" s="2"/>
    </row>
    <row r="297" spans="5:22">
      <c r="E297" s="2" t="str">
        <v>tengah</v>
      </c>
      <c r="F297" s="2"/>
      <c r="G297" s="2"/>
      <c r="J297" s="2" t="str">
        <v>kanan</v>
      </c>
      <c r="K297" s="2"/>
      <c r="L297" s="2"/>
      <c r="O297" s="2" t="str">
        <v>tengah</v>
      </c>
      <c r="P297" s="2"/>
      <c r="Q297" s="2"/>
      <c r="T297" s="2" t="str">
        <v>kanan</v>
      </c>
      <c r="U297" s="2"/>
      <c r="V297" s="2"/>
    </row>
    <row r="298" spans="5:22">
      <c r="E298" s="2" t="str">
        <v>kanan</v>
      </c>
      <c r="F298" s="2"/>
      <c r="G298" s="2"/>
      <c r="J298" s="2" t="str">
        <v>kanan</v>
      </c>
      <c r="K298" s="2"/>
      <c r="L298" s="2"/>
      <c r="O298" s="2" t="str">
        <v>kiri</v>
      </c>
      <c r="P298" s="2"/>
      <c r="Q298" s="2"/>
      <c r="T298" s="2" t="str">
        <v>kanan</v>
      </c>
      <c r="U298" s="2"/>
      <c r="V298" s="2"/>
    </row>
    <row r="299" spans="5:22">
      <c r="E299" s="2" t="str">
        <v>tengah</v>
      </c>
      <c r="F299" s="2"/>
      <c r="G299" s="2"/>
      <c r="J299" s="2" t="str">
        <v>tengah</v>
      </c>
      <c r="K299" s="2"/>
      <c r="L299" s="2"/>
      <c r="O299" s="2" t="str">
        <v>kanan</v>
      </c>
      <c r="P299" s="2"/>
      <c r="Q299" s="2"/>
      <c r="T299" s="2" t="str">
        <v>kanan</v>
      </c>
      <c r="U299" s="2"/>
      <c r="V299" s="2"/>
    </row>
    <row r="300" spans="5:22">
      <c r="E300" s="2" t="str">
        <v>kiri</v>
      </c>
      <c r="F300" s="2"/>
      <c r="G300" s="2"/>
      <c r="J300" s="2" t="str">
        <v>tengah</v>
      </c>
      <c r="K300" s="2"/>
      <c r="L300" s="2"/>
      <c r="O300" s="2" t="str">
        <v>tengah</v>
      </c>
      <c r="P300" s="2"/>
      <c r="Q300" s="2"/>
      <c r="T300" s="2" t="str">
        <v>tengah</v>
      </c>
      <c r="U300" s="2"/>
      <c r="V300" s="2"/>
    </row>
    <row r="301" spans="5:22">
      <c r="E301" s="2" t="str">
        <v>tengah</v>
      </c>
      <c r="F301" s="2"/>
      <c r="G301" s="2"/>
      <c r="J301" s="2" t="str">
        <v>kiri</v>
      </c>
      <c r="K301" s="2"/>
      <c r="L301" s="2"/>
      <c r="O301" s="2" t="str">
        <v>tengah</v>
      </c>
      <c r="P301" s="2"/>
      <c r="Q301" s="2"/>
      <c r="T301" s="2" t="str">
        <v>kanan</v>
      </c>
      <c r="U301" s="2"/>
      <c r="V301" s="2"/>
    </row>
    <row r="302" spans="5:22">
      <c r="E302" s="2" t="str">
        <v>kiri</v>
      </c>
      <c r="F302" s="2"/>
      <c r="G302" s="2"/>
      <c r="J302" s="2" t="str">
        <v>kiri</v>
      </c>
      <c r="K302" s="2"/>
      <c r="L302" s="2"/>
      <c r="O302" s="2" t="str">
        <v>tengah</v>
      </c>
      <c r="P302" s="2"/>
      <c r="Q302" s="2"/>
      <c r="T302" s="2" t="str">
        <v>tengah</v>
      </c>
      <c r="U302" s="2"/>
      <c r="V302" s="2"/>
    </row>
    <row r="303" spans="5:22">
      <c r="E303" s="2" t="str">
        <v>tengah</v>
      </c>
      <c r="F303" s="2"/>
      <c r="G303" s="2"/>
      <c r="J303" s="2" t="str">
        <v>kanan</v>
      </c>
      <c r="K303" s="2"/>
      <c r="L303" s="2"/>
      <c r="O303" s="2" t="str">
        <v>tengah</v>
      </c>
      <c r="P303" s="2"/>
      <c r="Q303" s="2"/>
      <c r="T303" s="2" t="str">
        <v>tengah</v>
      </c>
      <c r="U303" s="2"/>
      <c r="V303" s="2"/>
    </row>
    <row r="304" spans="5:22">
      <c r="E304" s="2" t="str">
        <v>tengah</v>
      </c>
      <c r="F304" s="2"/>
      <c r="G304" s="2"/>
      <c r="J304" s="2" t="str">
        <v>tengah</v>
      </c>
      <c r="K304" s="2"/>
      <c r="L304" s="2"/>
      <c r="O304" s="2" t="str">
        <v>kanan</v>
      </c>
      <c r="P304" s="2"/>
      <c r="Q304" s="2"/>
      <c r="T304" s="2" t="str">
        <v>kanan</v>
      </c>
      <c r="U304" s="2"/>
      <c r="V304" s="2"/>
    </row>
    <row r="305" spans="5:22">
      <c r="E305" s="2" t="str">
        <v>tengah</v>
      </c>
      <c r="F305" s="2"/>
      <c r="G305" s="2"/>
      <c r="J305" s="2" t="str">
        <v>kanan</v>
      </c>
      <c r="K305" s="2"/>
      <c r="L305" s="2"/>
      <c r="O305" s="2" t="str">
        <v>tengah</v>
      </c>
      <c r="P305" s="2"/>
      <c r="Q305" s="2"/>
      <c r="T305" s="2" t="str">
        <v>tengah</v>
      </c>
      <c r="U305" s="2"/>
      <c r="V305" s="2"/>
    </row>
    <row r="306" spans="5:22">
      <c r="E306" s="2" t="str">
        <v>kiri</v>
      </c>
      <c r="F306" s="2"/>
      <c r="G306" s="2"/>
      <c r="J306" s="2" t="str">
        <v>tengah</v>
      </c>
      <c r="K306" s="2"/>
      <c r="L306" s="2"/>
      <c r="O306" s="2" t="str">
        <v>tengah</v>
      </c>
      <c r="P306" s="2"/>
      <c r="Q306" s="2"/>
      <c r="T306" s="2" t="str">
        <v>tengah</v>
      </c>
      <c r="U306" s="2"/>
      <c r="V306" s="2"/>
    </row>
    <row r="307" spans="5:22">
      <c r="E307" s="2" t="str">
        <v>kanan</v>
      </c>
      <c r="F307" s="2"/>
      <c r="G307" s="2"/>
      <c r="J307" s="2" t="str">
        <v>tengah</v>
      </c>
      <c r="K307" s="2"/>
      <c r="L307" s="2"/>
      <c r="O307" s="2" t="str">
        <v>kanan</v>
      </c>
      <c r="P307" s="2"/>
      <c r="Q307" s="2"/>
      <c r="T307" s="2" t="str">
        <v>kanan</v>
      </c>
      <c r="U307" s="2"/>
      <c r="V307" s="2"/>
    </row>
    <row r="308" spans="5:22">
      <c r="E308" s="2" t="str">
        <v>kiri</v>
      </c>
      <c r="F308" s="2"/>
      <c r="G308" s="2"/>
      <c r="J308" s="2" t="str">
        <v>tengah</v>
      </c>
      <c r="K308" s="2"/>
      <c r="L308" s="2"/>
      <c r="O308" s="2" t="str">
        <v>tengah</v>
      </c>
      <c r="P308" s="2"/>
      <c r="Q308" s="2"/>
      <c r="T308" s="2" t="str">
        <v>tengah</v>
      </c>
      <c r="U308" s="2"/>
      <c r="V308" s="2"/>
    </row>
    <row r="309" spans="5:22">
      <c r="E309" s="2" t="str">
        <v>tengah</v>
      </c>
      <c r="F309" s="2"/>
      <c r="G309" s="2"/>
      <c r="J309" s="2" t="str">
        <v>kiri</v>
      </c>
      <c r="K309" s="2"/>
      <c r="L309" s="2"/>
      <c r="O309" s="2" t="str">
        <v>tengah</v>
      </c>
      <c r="P309" s="2"/>
      <c r="Q309" s="2"/>
      <c r="T309" s="2" t="str">
        <v>kanan</v>
      </c>
      <c r="U309" s="2"/>
      <c r="V309" s="2"/>
    </row>
    <row r="310" spans="5:22">
      <c r="E310" s="2" t="str">
        <v>tengah</v>
      </c>
      <c r="F310" s="2"/>
      <c r="G310" s="2"/>
      <c r="J310" s="2" t="str">
        <v>tengah</v>
      </c>
      <c r="K310" s="2"/>
      <c r="L310" s="2"/>
      <c r="O310" s="2" t="str">
        <v>tengah</v>
      </c>
      <c r="P310" s="2"/>
      <c r="Q310" s="2"/>
      <c r="T310" s="2" t="str">
        <v>tengah</v>
      </c>
      <c r="U310" s="2"/>
      <c r="V310" s="2"/>
    </row>
    <row r="311" spans="5:22">
      <c r="E311" s="2" t="str">
        <v>tengah</v>
      </c>
      <c r="F311" s="2"/>
      <c r="G311" s="2"/>
      <c r="J311" s="2" t="str">
        <v>tengah</v>
      </c>
      <c r="K311" s="2"/>
      <c r="L311" s="2"/>
      <c r="O311" s="2" t="str">
        <v>kiri</v>
      </c>
      <c r="P311" s="2"/>
      <c r="Q311" s="2"/>
      <c r="T311" s="2" t="str">
        <v>kanan</v>
      </c>
      <c r="U311" s="2"/>
      <c r="V311" s="2"/>
    </row>
    <row r="312" spans="5:22">
      <c r="E312" s="2" t="str">
        <v>kanan</v>
      </c>
      <c r="F312" s="2"/>
      <c r="G312" s="2"/>
      <c r="J312" s="2" t="str">
        <v>kanan</v>
      </c>
      <c r="K312" s="2"/>
      <c r="L312" s="2"/>
      <c r="O312" s="2" t="str">
        <v>tengah</v>
      </c>
      <c r="P312" s="2"/>
      <c r="Q312" s="2"/>
      <c r="T312" s="2" t="str">
        <v>kanan</v>
      </c>
      <c r="U312" s="2"/>
      <c r="V312" s="2"/>
    </row>
    <row r="313" spans="5:22">
      <c r="E313" s="2" t="str">
        <v>tengah</v>
      </c>
      <c r="F313" s="2"/>
      <c r="G313" s="2"/>
      <c r="J313" s="2" t="str">
        <v>kiri</v>
      </c>
      <c r="K313" s="2"/>
      <c r="L313" s="2"/>
      <c r="O313" s="2" t="str">
        <v>kanan</v>
      </c>
      <c r="P313" s="2"/>
      <c r="Q313" s="2"/>
      <c r="T313" s="2" t="str">
        <v>tengah</v>
      </c>
      <c r="U313" s="2"/>
      <c r="V313" s="2"/>
    </row>
    <row r="314" spans="5:22">
      <c r="E314" s="2" t="str">
        <v>tengah</v>
      </c>
      <c r="F314" s="2"/>
      <c r="G314" s="2"/>
      <c r="J314" s="2" t="str">
        <v>kanan</v>
      </c>
      <c r="K314" s="2"/>
      <c r="L314" s="2"/>
      <c r="O314" s="2" t="str">
        <v>tengah</v>
      </c>
      <c r="P314" s="2"/>
      <c r="Q314" s="2"/>
      <c r="T314" s="2" t="str">
        <v>tengah</v>
      </c>
      <c r="U314" s="2"/>
      <c r="V314" s="2"/>
    </row>
    <row r="315" spans="5:22">
      <c r="E315" s="2" t="str">
        <v>tengah</v>
      </c>
      <c r="F315" s="2"/>
      <c r="G315" s="2"/>
      <c r="J315" s="2" t="str">
        <v>tengah</v>
      </c>
      <c r="K315" s="2"/>
      <c r="L315" s="2"/>
      <c r="O315" s="2" t="str">
        <v>tengah</v>
      </c>
      <c r="P315" s="2"/>
      <c r="Q315" s="2"/>
      <c r="T315" s="2" t="str">
        <v>kanan</v>
      </c>
      <c r="U315" s="2"/>
      <c r="V315" s="2"/>
    </row>
    <row r="316" spans="5:22">
      <c r="E316" s="2" t="str">
        <v>tengah</v>
      </c>
      <c r="F316" s="2"/>
      <c r="G316" s="2"/>
      <c r="J316" s="2" t="str">
        <v>kiri</v>
      </c>
      <c r="K316" s="2"/>
      <c r="L316" s="2"/>
      <c r="O316" s="2" t="str">
        <v>kiri</v>
      </c>
      <c r="P316" s="2"/>
      <c r="Q316" s="2"/>
      <c r="T316" s="2" t="str">
        <v>tengah</v>
      </c>
      <c r="U316" s="2"/>
      <c r="V316" s="2"/>
    </row>
    <row r="317" spans="5:22">
      <c r="E317" s="2" t="str">
        <v>kanan</v>
      </c>
      <c r="F317" s="2"/>
      <c r="G317" s="2"/>
      <c r="J317" s="2" t="str">
        <v>tengah</v>
      </c>
      <c r="K317" s="2"/>
      <c r="L317" s="2"/>
      <c r="O317" s="2" t="str">
        <v>tengah</v>
      </c>
      <c r="P317" s="2"/>
      <c r="Q317" s="2"/>
      <c r="T317" s="2" t="str">
        <v>tengah</v>
      </c>
      <c r="U317" s="2"/>
      <c r="V317" s="2"/>
    </row>
    <row r="318" spans="5:22">
      <c r="E318" s="2" t="str">
        <v>tengah</v>
      </c>
      <c r="F318" s="2"/>
      <c r="G318" s="2"/>
      <c r="J318" s="2" t="str">
        <v>kanan</v>
      </c>
      <c r="K318" s="2"/>
      <c r="L318" s="2"/>
      <c r="O318" s="2" t="str">
        <v>tengah</v>
      </c>
      <c r="P318" s="2"/>
      <c r="Q318" s="2"/>
      <c r="T318" s="2" t="str">
        <v>tengah</v>
      </c>
      <c r="U318" s="2"/>
      <c r="V318" s="2"/>
    </row>
    <row r="319" spans="5:22">
      <c r="E319" s="2" t="str">
        <v>tengah</v>
      </c>
      <c r="F319" s="2"/>
      <c r="G319" s="2"/>
      <c r="J319" s="2" t="str">
        <v>kanan</v>
      </c>
      <c r="K319" s="2"/>
      <c r="L319" s="2"/>
      <c r="O319" s="2" t="str">
        <v>kanan</v>
      </c>
      <c r="P319" s="2"/>
      <c r="Q319" s="2"/>
      <c r="T319" s="2" t="str">
        <v>tengah</v>
      </c>
      <c r="U319" s="2"/>
      <c r="V319" s="2"/>
    </row>
    <row r="320" spans="5:22">
      <c r="E320" s="2" t="str">
        <v>kanan</v>
      </c>
      <c r="F320" s="2"/>
      <c r="G320" s="2"/>
      <c r="J320" s="2" t="str">
        <v>tengah</v>
      </c>
      <c r="K320" s="2"/>
      <c r="L320" s="2"/>
      <c r="O320" s="2" t="str">
        <v>kiri</v>
      </c>
      <c r="P320" s="2"/>
      <c r="Q320" s="2"/>
      <c r="T320" s="2" t="str">
        <v>tengah</v>
      </c>
      <c r="U320" s="2"/>
      <c r="V320" s="2"/>
    </row>
    <row r="321" spans="5:22">
      <c r="E321" s="2" t="str">
        <v>kanan</v>
      </c>
      <c r="F321" s="2"/>
      <c r="G321" s="2"/>
      <c r="J321" s="2" t="str">
        <v>kanan</v>
      </c>
      <c r="K321" s="2"/>
      <c r="L321" s="2"/>
      <c r="O321" s="2" t="str">
        <v>kiri</v>
      </c>
      <c r="P321" s="2"/>
      <c r="Q321" s="2"/>
      <c r="T321" s="2" t="str">
        <v>kanan</v>
      </c>
      <c r="U321" s="2"/>
      <c r="V321" s="2"/>
    </row>
    <row r="322" spans="5:22">
      <c r="E322" s="2" t="str">
        <v>kiri</v>
      </c>
      <c r="F322" s="2"/>
      <c r="G322" s="2"/>
      <c r="J322" s="2" t="str">
        <v>tengah</v>
      </c>
      <c r="K322" s="2"/>
      <c r="L322" s="2"/>
      <c r="O322" s="2" t="str">
        <v>kanan</v>
      </c>
      <c r="P322" s="2"/>
      <c r="Q322" s="2"/>
      <c r="T322" s="2" t="str">
        <v>tengah</v>
      </c>
      <c r="U322" s="2"/>
      <c r="V322" s="2"/>
    </row>
    <row r="323" spans="5:22">
      <c r="E323" s="2" t="str">
        <v>tengah</v>
      </c>
      <c r="F323" s="2"/>
      <c r="G323" s="2"/>
      <c r="J323" s="2" t="str">
        <v>kiri</v>
      </c>
      <c r="K323" s="2"/>
      <c r="L323" s="2"/>
      <c r="O323" s="2" t="str">
        <v>kanan</v>
      </c>
      <c r="P323" s="2"/>
      <c r="Q323" s="2"/>
      <c r="T323" s="2" t="str">
        <v>tengah</v>
      </c>
      <c r="U323" s="2"/>
      <c r="V323" s="2"/>
    </row>
    <row r="324" spans="5:22">
      <c r="E324" s="2" t="str">
        <v>tengah</v>
      </c>
      <c r="F324" s="2"/>
      <c r="G324" s="2"/>
      <c r="J324" s="2" t="str">
        <v>tengah</v>
      </c>
      <c r="K324" s="2"/>
      <c r="L324" s="2"/>
      <c r="O324" s="2" t="str">
        <v>tengah</v>
      </c>
      <c r="P324" s="2"/>
      <c r="Q324" s="2"/>
      <c r="T324" s="2" t="str">
        <v>kanan</v>
      </c>
      <c r="U324" s="2"/>
      <c r="V324" s="2"/>
    </row>
    <row r="325" spans="5:22">
      <c r="E325" s="2" t="str">
        <v>tengah</v>
      </c>
      <c r="F325" s="2"/>
      <c r="G325" s="2"/>
      <c r="J325" s="2" t="str">
        <v>tengah</v>
      </c>
      <c r="K325" s="2"/>
      <c r="L325" s="2"/>
      <c r="O325" s="2" t="str">
        <v>tengah</v>
      </c>
      <c r="P325" s="2"/>
      <c r="Q325" s="2"/>
      <c r="T325" s="2" t="str">
        <v>kanan</v>
      </c>
      <c r="U325" s="2"/>
      <c r="V325" s="2"/>
    </row>
    <row r="326" spans="5:22">
      <c r="E326" s="2" t="str">
        <v>kanan</v>
      </c>
      <c r="F326" s="2"/>
      <c r="G326" s="2"/>
      <c r="J326" s="2" t="str">
        <v>tengah</v>
      </c>
      <c r="K326" s="2"/>
      <c r="L326" s="2"/>
      <c r="O326" s="2" t="str">
        <v>tengah</v>
      </c>
      <c r="P326" s="2"/>
      <c r="Q326" s="2"/>
      <c r="T326" s="2" t="str">
        <v>kanan</v>
      </c>
      <c r="U326" s="2"/>
      <c r="V326" s="2"/>
    </row>
    <row r="327" spans="5:22">
      <c r="E327" s="2" t="str">
        <v>kiri</v>
      </c>
      <c r="F327" s="2"/>
      <c r="G327" s="2"/>
      <c r="J327" s="2" t="str">
        <v>kanan</v>
      </c>
      <c r="K327" s="2"/>
      <c r="L327" s="2"/>
      <c r="O327" s="2" t="str">
        <v>kiri</v>
      </c>
      <c r="P327" s="2"/>
      <c r="Q327" s="2"/>
      <c r="T327" s="2" t="str">
        <v>tengah</v>
      </c>
      <c r="U327" s="2"/>
      <c r="V327" s="2"/>
    </row>
    <row r="328" spans="5:22">
      <c r="E328" s="2" t="str">
        <v>tengah</v>
      </c>
      <c r="F328" s="2"/>
      <c r="G328" s="2"/>
      <c r="J328" s="2" t="str">
        <v>tengah</v>
      </c>
      <c r="K328" s="2"/>
      <c r="L328" s="2"/>
      <c r="O328" s="2" t="str">
        <v>tengah</v>
      </c>
      <c r="P328" s="2"/>
      <c r="Q328" s="2"/>
      <c r="T328" s="2" t="str">
        <v>tengah</v>
      </c>
      <c r="U328" s="2"/>
      <c r="V328" s="2"/>
    </row>
    <row r="329" spans="5:22">
      <c r="E329" s="2" t="str">
        <v>kiri</v>
      </c>
      <c r="F329" s="2"/>
      <c r="G329" s="2"/>
      <c r="J329" s="2" t="str">
        <v>kiri</v>
      </c>
      <c r="K329" s="2"/>
      <c r="L329" s="2"/>
      <c r="O329" s="2" t="str">
        <v>tengah</v>
      </c>
      <c r="P329" s="2"/>
      <c r="Q329" s="2"/>
      <c r="T329" s="2" t="str">
        <v>tengah</v>
      </c>
      <c r="U329" s="2"/>
      <c r="V329" s="2"/>
    </row>
    <row r="330" spans="5:22">
      <c r="E330" s="2" t="str">
        <v>kiri</v>
      </c>
      <c r="F330" s="2"/>
      <c r="G330" s="2"/>
      <c r="J330" s="2" t="str">
        <v>kiri</v>
      </c>
      <c r="K330" s="2"/>
      <c r="L330" s="2"/>
      <c r="O330" s="2" t="str">
        <v>tengah</v>
      </c>
      <c r="P330" s="2"/>
      <c r="Q330" s="2"/>
      <c r="T330" s="2" t="str">
        <v>kanan</v>
      </c>
      <c r="U330" s="2"/>
      <c r="V330" s="2"/>
    </row>
    <row r="331" spans="5:22">
      <c r="E331" s="2" t="str">
        <v>tengah</v>
      </c>
      <c r="F331" s="2"/>
      <c r="G331" s="2"/>
      <c r="J331" s="2" t="str">
        <v>tengah</v>
      </c>
      <c r="K331" s="2"/>
      <c r="L331" s="2"/>
      <c r="O331" s="2" t="str">
        <v>tengah</v>
      </c>
      <c r="P331" s="2"/>
      <c r="Q331" s="2"/>
      <c r="T331" s="2" t="str">
        <v>kanan</v>
      </c>
      <c r="U331" s="2"/>
      <c r="V331" s="2"/>
    </row>
    <row r="332" spans="5:22">
      <c r="E332" s="2" t="str">
        <v>tengah</v>
      </c>
      <c r="F332" s="2"/>
      <c r="G332" s="2"/>
      <c r="J332" s="2" t="str">
        <v>tengah</v>
      </c>
      <c r="K332" s="2"/>
      <c r="L332" s="2"/>
      <c r="O332" s="2" t="str">
        <v>tengah</v>
      </c>
      <c r="P332" s="2"/>
      <c r="Q332" s="2"/>
      <c r="T332" s="2" t="str">
        <v>tengah</v>
      </c>
      <c r="U332" s="2"/>
      <c r="V332" s="2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8CE32-41D3-4713-A45D-56673B6A727C}">
  <dimension ref="A1:Q332"/>
  <sheetViews>
    <sheetView topLeftCell="M157" workbookViewId="0">
      <selection activeCell="S171" sqref="S171"/>
    </sheetView>
  </sheetViews>
  <sheetFormatPr defaultRowHeight="15"/>
  <cols>
    <col min="3" max="3" width="15.85546875" bestFit="1" customWidth="1"/>
    <col min="4" max="4" width="13.28515625" bestFit="1" customWidth="1"/>
    <col min="5" max="5" width="13.85546875" bestFit="1" customWidth="1"/>
    <col min="6" max="6" width="12.5703125" customWidth="1"/>
    <col min="10" max="10" width="15.85546875" bestFit="1" customWidth="1"/>
    <col min="11" max="11" width="13.28515625" bestFit="1" customWidth="1"/>
    <col min="12" max="12" width="13.85546875" bestFit="1" customWidth="1"/>
  </cols>
  <sheetData>
    <row r="1" spans="1:17">
      <c r="A1" s="1" t="s">
        <v>171</v>
      </c>
      <c r="B1" s="1" t="s">
        <v>1</v>
      </c>
      <c r="C1" s="1" t="s">
        <v>2</v>
      </c>
      <c r="D1" s="1" t="s">
        <v>4</v>
      </c>
      <c r="E1" s="1" t="s">
        <v>5</v>
      </c>
      <c r="H1" s="14" t="s">
        <v>171</v>
      </c>
      <c r="I1" s="14" t="s">
        <v>1</v>
      </c>
      <c r="J1" s="14" t="s">
        <v>2</v>
      </c>
      <c r="K1" s="14" t="s">
        <v>4</v>
      </c>
      <c r="L1" s="14" t="s">
        <v>5</v>
      </c>
      <c r="O1" s="1" t="s">
        <v>173</v>
      </c>
      <c r="P1" s="3"/>
      <c r="Q1" s="3"/>
    </row>
    <row r="2" spans="1:17">
      <c r="A2" s="2">
        <f ca="1">RANDBETWEEN(2,164)</f>
        <v>153</v>
      </c>
      <c r="B2" s="2" cm="1">
        <f t="array" aca="1" ref="B2" ca="1">INDEX(Data_DBD!$B:$B,$A2)</f>
        <v>73</v>
      </c>
      <c r="C2" s="2" cm="1">
        <f t="array" aca="1" ref="C2" ca="1">INDEX(Data_DBD!$C:$C,$A2)</f>
        <v>7</v>
      </c>
      <c r="D2" s="2" cm="1">
        <f t="array" aca="1" ref="D2" ca="1">INDEX(Data_DBD!$E:$E,$A2)</f>
        <v>1</v>
      </c>
      <c r="E2" s="2" t="str" cm="1">
        <f t="array" aca="1" ref="E2" ca="1">INDEX(Data_DBD!$F:$F,$A2)</f>
        <v>Tinggi</v>
      </c>
      <c r="H2" s="2">
        <v>54</v>
      </c>
      <c r="I2" s="2">
        <v>7</v>
      </c>
      <c r="J2" s="2">
        <v>3</v>
      </c>
      <c r="K2" s="2">
        <v>0</v>
      </c>
      <c r="L2" s="2" t="s">
        <v>7</v>
      </c>
      <c r="O2" s="3" t="s">
        <v>97</v>
      </c>
      <c r="P2" s="3">
        <f>COUNTIF(L2:L164,"Tinggi")</f>
        <v>69</v>
      </c>
      <c r="Q2" s="3">
        <f>P2/163</f>
        <v>0.42331288343558282</v>
      </c>
    </row>
    <row r="3" spans="1:17">
      <c r="A3" s="2">
        <f t="shared" ref="A3:A66" ca="1" si="0">RANDBETWEEN(2,164)</f>
        <v>52</v>
      </c>
      <c r="B3" s="2" cm="1">
        <f t="array" aca="1" ref="B3" ca="1">INDEX(Data_DBD!$B:$B,$A3)</f>
        <v>59</v>
      </c>
      <c r="C3" s="2" cm="1">
        <f t="array" aca="1" ref="C3" ca="1">INDEX(Data_DBD!$C:$C,$A3)</f>
        <v>4</v>
      </c>
      <c r="D3" s="2" cm="1">
        <f t="array" aca="1" ref="D3" ca="1">INDEX(Data_DBD!$E:$E,$A3)</f>
        <v>1</v>
      </c>
      <c r="E3" s="2" t="str" cm="1">
        <f t="array" aca="1" ref="E3" ca="1">INDEX(Data_DBD!$F:$F,$A3)</f>
        <v>Sedang</v>
      </c>
      <c r="H3" s="2">
        <v>91</v>
      </c>
      <c r="I3" s="2">
        <v>35</v>
      </c>
      <c r="J3" s="2">
        <v>1</v>
      </c>
      <c r="K3" s="2">
        <v>1</v>
      </c>
      <c r="L3" s="2" t="s">
        <v>97</v>
      </c>
      <c r="O3" s="3" t="s">
        <v>7</v>
      </c>
      <c r="P3" s="3">
        <f>COUNTIF(L2:L164,"Sedang")</f>
        <v>84</v>
      </c>
      <c r="Q3" s="3">
        <f>P3/163</f>
        <v>0.51533742331288346</v>
      </c>
    </row>
    <row r="4" spans="1:17">
      <c r="A4" s="2">
        <f t="shared" ca="1" si="0"/>
        <v>4</v>
      </c>
      <c r="B4" s="2" cm="1">
        <f t="array" aca="1" ref="B4" ca="1">INDEX(Data_DBD!$B:$B,$A4)</f>
        <v>23</v>
      </c>
      <c r="C4" s="2" cm="1">
        <f t="array" aca="1" ref="C4" ca="1">INDEX(Data_DBD!$C:$C,$A4)</f>
        <v>5</v>
      </c>
      <c r="D4" s="2" cm="1">
        <f t="array" aca="1" ref="D4" ca="1">INDEX(Data_DBD!$E:$E,$A4)</f>
        <v>0</v>
      </c>
      <c r="E4" s="2" t="str" cm="1">
        <f t="array" aca="1" ref="E4" ca="1">INDEX(Data_DBD!$F:$F,$A4)</f>
        <v>Sedang</v>
      </c>
      <c r="H4" s="2">
        <v>59</v>
      </c>
      <c r="I4" s="2">
        <v>28</v>
      </c>
      <c r="J4" s="2">
        <v>4</v>
      </c>
      <c r="K4" s="2">
        <v>0</v>
      </c>
      <c r="L4" s="2" t="s">
        <v>7</v>
      </c>
      <c r="O4" s="3" t="s">
        <v>20</v>
      </c>
      <c r="P4" s="3">
        <f>COUNTIF(L2:L164,"Rendah")</f>
        <v>10</v>
      </c>
      <c r="Q4" s="3">
        <f>P4/163</f>
        <v>6.1349693251533742E-2</v>
      </c>
    </row>
    <row r="5" spans="1:17">
      <c r="A5" s="2">
        <f t="shared" ca="1" si="0"/>
        <v>154</v>
      </c>
      <c r="B5" s="2" cm="1">
        <f t="array" aca="1" ref="B5" ca="1">INDEX(Data_DBD!$B:$B,$A5)</f>
        <v>18</v>
      </c>
      <c r="C5" s="2" cm="1">
        <f t="array" aca="1" ref="C5" ca="1">INDEX(Data_DBD!$C:$C,$A5)</f>
        <v>5</v>
      </c>
      <c r="D5" s="2" cm="1">
        <f t="array" aca="1" ref="D5" ca="1">INDEX(Data_DBD!$E:$E,$A5)</f>
        <v>1</v>
      </c>
      <c r="E5" s="2" t="str" cm="1">
        <f t="array" aca="1" ref="E5" ca="1">INDEX(Data_DBD!$F:$F,$A5)</f>
        <v>Tinggi</v>
      </c>
      <c r="H5" s="2">
        <v>38</v>
      </c>
      <c r="I5" s="2">
        <v>52</v>
      </c>
      <c r="J5" s="2">
        <v>3</v>
      </c>
      <c r="K5" s="2">
        <v>1</v>
      </c>
      <c r="L5" s="2" t="s">
        <v>20</v>
      </c>
      <c r="O5" s="4" t="s">
        <v>174</v>
      </c>
      <c r="P5">
        <f>-(IFERROR(Q2*LOG(Q2,2),0)+IFERROR(Q3*LOG(Q3,2),0)+IFERROR(Q4*LOG(Q4,2),0))</f>
        <v>1.2649113936176841</v>
      </c>
    </row>
    <row r="6" spans="1:17">
      <c r="A6" s="2">
        <f t="shared" ca="1" si="0"/>
        <v>124</v>
      </c>
      <c r="B6" s="2" cm="1">
        <f t="array" aca="1" ref="B6" ca="1">INDEX(Data_DBD!$B:$B,$A6)</f>
        <v>24</v>
      </c>
      <c r="C6" s="2" cm="1">
        <f t="array" aca="1" ref="C6" ca="1">INDEX(Data_DBD!$C:$C,$A6)</f>
        <v>3</v>
      </c>
      <c r="D6" s="2" cm="1">
        <f t="array" aca="1" ref="D6" ca="1">INDEX(Data_DBD!$E:$E,$A6)</f>
        <v>1</v>
      </c>
      <c r="E6" s="2" t="str" cm="1">
        <f t="array" aca="1" ref="E6" ca="1">INDEX(Data_DBD!$F:$F,$A6)</f>
        <v>Tinggi</v>
      </c>
      <c r="H6" s="2">
        <v>142</v>
      </c>
      <c r="I6" s="2">
        <v>39</v>
      </c>
      <c r="J6" s="2">
        <v>2</v>
      </c>
      <c r="K6" s="2">
        <v>1</v>
      </c>
      <c r="L6" s="2" t="s">
        <v>97</v>
      </c>
    </row>
    <row r="7" spans="1:17">
      <c r="A7" s="2">
        <f t="shared" ca="1" si="0"/>
        <v>121</v>
      </c>
      <c r="B7" s="2" cm="1">
        <f t="array" aca="1" ref="B7" ca="1">INDEX(Data_DBD!$B:$B,$A7)</f>
        <v>82</v>
      </c>
      <c r="C7" s="2" cm="1">
        <f t="array" aca="1" ref="C7" ca="1">INDEX(Data_DBD!$C:$C,$A7)</f>
        <v>5</v>
      </c>
      <c r="D7" s="2" cm="1">
        <f t="array" aca="1" ref="D7" ca="1">INDEX(Data_DBD!$E:$E,$A7)</f>
        <v>1</v>
      </c>
      <c r="E7" s="2" t="str" cm="1">
        <f t="array" aca="1" ref="E7" ca="1">INDEX(Data_DBD!$F:$F,$A7)</f>
        <v>Tinggi</v>
      </c>
      <c r="H7" s="2">
        <v>142</v>
      </c>
      <c r="I7" s="2">
        <v>39</v>
      </c>
      <c r="J7" s="2">
        <v>2</v>
      </c>
      <c r="K7" s="2">
        <v>1</v>
      </c>
      <c r="L7" s="2" t="s">
        <v>97</v>
      </c>
    </row>
    <row r="8" spans="1:17">
      <c r="A8" s="2">
        <f t="shared" ca="1" si="0"/>
        <v>47</v>
      </c>
      <c r="B8" s="2" cm="1">
        <f t="array" aca="1" ref="B8" ca="1">INDEX(Data_DBD!$B:$B,$A8)</f>
        <v>19</v>
      </c>
      <c r="C8" s="2" cm="1">
        <f t="array" aca="1" ref="C8" ca="1">INDEX(Data_DBD!$C:$C,$A8)</f>
        <v>2</v>
      </c>
      <c r="D8" s="2" cm="1">
        <f t="array" aca="1" ref="D8" ca="1">INDEX(Data_DBD!$E:$E,$A8)</f>
        <v>0</v>
      </c>
      <c r="E8" s="2" t="str" cm="1">
        <f t="array" aca="1" ref="E8" ca="1">INDEX(Data_DBD!$F:$F,$A8)</f>
        <v>Sedang</v>
      </c>
      <c r="H8" s="2">
        <v>33</v>
      </c>
      <c r="I8" s="2">
        <v>19</v>
      </c>
      <c r="J8" s="2">
        <v>4</v>
      </c>
      <c r="K8" s="2">
        <v>1</v>
      </c>
      <c r="L8" s="2" t="s">
        <v>7</v>
      </c>
    </row>
    <row r="9" spans="1:17">
      <c r="A9" s="2">
        <f t="shared" ca="1" si="0"/>
        <v>78</v>
      </c>
      <c r="B9" s="2" cm="1">
        <f t="array" aca="1" ref="B9" ca="1">INDEX(Data_DBD!$B:$B,$A9)</f>
        <v>6</v>
      </c>
      <c r="C9" s="2" cm="1">
        <f t="array" aca="1" ref="C9" ca="1">INDEX(Data_DBD!$C:$C,$A9)</f>
        <v>3</v>
      </c>
      <c r="D9" s="2" cm="1">
        <f t="array" aca="1" ref="D9" ca="1">INDEX(Data_DBD!$E:$E,$A9)</f>
        <v>0</v>
      </c>
      <c r="E9" s="2" t="str" cm="1">
        <f t="array" aca="1" ref="E9" ca="1">INDEX(Data_DBD!$F:$F,$A9)</f>
        <v>Sedang</v>
      </c>
      <c r="H9" s="2">
        <v>106</v>
      </c>
      <c r="I9" s="2">
        <v>23</v>
      </c>
      <c r="J9" s="2">
        <v>3</v>
      </c>
      <c r="K9" s="2">
        <v>1</v>
      </c>
      <c r="L9" s="2" t="s">
        <v>97</v>
      </c>
    </row>
    <row r="10" spans="1:17">
      <c r="A10" s="2">
        <f t="shared" ca="1" si="0"/>
        <v>33</v>
      </c>
      <c r="B10" s="2" cm="1">
        <f t="array" aca="1" ref="B10" ca="1">INDEX(Data_DBD!$B:$B,$A10)</f>
        <v>19</v>
      </c>
      <c r="C10" s="2" cm="1">
        <f t="array" aca="1" ref="C10" ca="1">INDEX(Data_DBD!$C:$C,$A10)</f>
        <v>4</v>
      </c>
      <c r="D10" s="2" cm="1">
        <f t="array" aca="1" ref="D10" ca="1">INDEX(Data_DBD!$E:$E,$A10)</f>
        <v>1</v>
      </c>
      <c r="E10" s="2" t="str" cm="1">
        <f t="array" aca="1" ref="E10" ca="1">INDEX(Data_DBD!$F:$F,$A10)</f>
        <v>Sedang</v>
      </c>
      <c r="H10" s="2">
        <v>109</v>
      </c>
      <c r="I10" s="2">
        <v>40</v>
      </c>
      <c r="J10" s="2">
        <v>3</v>
      </c>
      <c r="K10" s="2">
        <v>1</v>
      </c>
      <c r="L10" s="2" t="s">
        <v>97</v>
      </c>
    </row>
    <row r="11" spans="1:17">
      <c r="A11" s="2">
        <f t="shared" ca="1" si="0"/>
        <v>134</v>
      </c>
      <c r="B11" s="2" cm="1">
        <f t="array" aca="1" ref="B11" ca="1">INDEX(Data_DBD!$B:$B,$A11)</f>
        <v>4</v>
      </c>
      <c r="C11" s="2" cm="1">
        <f t="array" aca="1" ref="C11" ca="1">INDEX(Data_DBD!$C:$C,$A11)</f>
        <v>2</v>
      </c>
      <c r="D11" s="2" cm="1">
        <f t="array" aca="1" ref="D11" ca="1">INDEX(Data_DBD!$E:$E,$A11)</f>
        <v>1</v>
      </c>
      <c r="E11" s="2" t="str" cm="1">
        <f t="array" aca="1" ref="E11" ca="1">INDEX(Data_DBD!$F:$F,$A11)</f>
        <v>Tinggi</v>
      </c>
      <c r="H11" s="2">
        <v>152</v>
      </c>
      <c r="I11" s="2">
        <v>47</v>
      </c>
      <c r="J11" s="2">
        <v>3</v>
      </c>
      <c r="K11" s="2">
        <v>1</v>
      </c>
      <c r="L11" s="2" t="s">
        <v>97</v>
      </c>
    </row>
    <row r="12" spans="1:17">
      <c r="A12" s="2">
        <f t="shared" ca="1" si="0"/>
        <v>10</v>
      </c>
      <c r="B12" s="2" cm="1">
        <f t="array" aca="1" ref="B12" ca="1">INDEX(Data_DBD!$B:$B,$A12)</f>
        <v>18</v>
      </c>
      <c r="C12" s="2" cm="1">
        <f t="array" aca="1" ref="C12" ca="1">INDEX(Data_DBD!$C:$C,$A12)</f>
        <v>5</v>
      </c>
      <c r="D12" s="2" cm="1">
        <f t="array" aca="1" ref="D12" ca="1">INDEX(Data_DBD!$E:$E,$A12)</f>
        <v>0</v>
      </c>
      <c r="E12" s="2" t="str" cm="1">
        <f t="array" aca="1" ref="E12" ca="1">INDEX(Data_DBD!$F:$F,$A12)</f>
        <v>Sedang</v>
      </c>
      <c r="H12" s="2">
        <v>35</v>
      </c>
      <c r="I12" s="2">
        <v>40</v>
      </c>
      <c r="J12" s="2">
        <v>3</v>
      </c>
      <c r="K12" s="2">
        <v>1</v>
      </c>
      <c r="L12" s="2" t="s">
        <v>20</v>
      </c>
    </row>
    <row r="13" spans="1:17">
      <c r="A13" s="2">
        <f t="shared" ca="1" si="0"/>
        <v>73</v>
      </c>
      <c r="B13" s="2" cm="1">
        <f t="array" aca="1" ref="B13" ca="1">INDEX(Data_DBD!$B:$B,$A13)</f>
        <v>15</v>
      </c>
      <c r="C13" s="2" cm="1">
        <f t="array" aca="1" ref="C13" ca="1">INDEX(Data_DBD!$C:$C,$A13)</f>
        <v>3</v>
      </c>
      <c r="D13" s="2" cm="1">
        <f t="array" aca="1" ref="D13" ca="1">INDEX(Data_DBD!$E:$E,$A13)</f>
        <v>1</v>
      </c>
      <c r="E13" s="2" t="str" cm="1">
        <f t="array" aca="1" ref="E13" ca="1">INDEX(Data_DBD!$F:$F,$A13)</f>
        <v>Sedang</v>
      </c>
      <c r="H13" s="2">
        <v>129</v>
      </c>
      <c r="I13" s="2">
        <v>4</v>
      </c>
      <c r="J13" s="2">
        <v>3</v>
      </c>
      <c r="K13" s="2">
        <v>0</v>
      </c>
      <c r="L13" s="2" t="s">
        <v>97</v>
      </c>
    </row>
    <row r="14" spans="1:17">
      <c r="A14" s="2">
        <f t="shared" ca="1" si="0"/>
        <v>148</v>
      </c>
      <c r="B14" s="2" cm="1">
        <f t="array" aca="1" ref="B14" ca="1">INDEX(Data_DBD!$B:$B,$A14)</f>
        <v>55</v>
      </c>
      <c r="C14" s="2" cm="1">
        <f t="array" aca="1" ref="C14" ca="1">INDEX(Data_DBD!$C:$C,$A14)</f>
        <v>3</v>
      </c>
      <c r="D14" s="2" cm="1">
        <f t="array" aca="1" ref="D14" ca="1">INDEX(Data_DBD!$E:$E,$A14)</f>
        <v>1</v>
      </c>
      <c r="E14" s="2" t="str" cm="1">
        <f t="array" aca="1" ref="E14" ca="1">INDEX(Data_DBD!$F:$F,$A14)</f>
        <v>Tinggi</v>
      </c>
      <c r="H14" s="2">
        <v>141</v>
      </c>
      <c r="I14" s="2">
        <v>36</v>
      </c>
      <c r="J14" s="2">
        <v>2</v>
      </c>
      <c r="K14" s="2">
        <v>0</v>
      </c>
      <c r="L14" s="2" t="s">
        <v>97</v>
      </c>
    </row>
    <row r="15" spans="1:17">
      <c r="A15" s="2">
        <f t="shared" ca="1" si="0"/>
        <v>40</v>
      </c>
      <c r="B15" s="2" cm="1">
        <f t="array" aca="1" ref="B15" ca="1">INDEX(Data_DBD!$B:$B,$A15)</f>
        <v>65</v>
      </c>
      <c r="C15" s="2" cm="1">
        <f t="array" aca="1" ref="C15" ca="1">INDEX(Data_DBD!$C:$C,$A15)</f>
        <v>3</v>
      </c>
      <c r="D15" s="2" cm="1">
        <f t="array" aca="1" ref="D15" ca="1">INDEX(Data_DBD!$E:$E,$A15)</f>
        <v>1</v>
      </c>
      <c r="E15" s="2" t="str" cm="1">
        <f t="array" aca="1" ref="E15" ca="1">INDEX(Data_DBD!$F:$F,$A15)</f>
        <v>Sedang</v>
      </c>
      <c r="H15" s="2">
        <v>134</v>
      </c>
      <c r="I15" s="2">
        <v>4</v>
      </c>
      <c r="J15" s="2">
        <v>2</v>
      </c>
      <c r="K15" s="2">
        <v>1</v>
      </c>
      <c r="L15" s="2" t="s">
        <v>97</v>
      </c>
    </row>
    <row r="16" spans="1:17">
      <c r="A16" s="2">
        <f t="shared" ca="1" si="0"/>
        <v>128</v>
      </c>
      <c r="B16" s="2" cm="1">
        <f t="array" aca="1" ref="B16" ca="1">INDEX(Data_DBD!$B:$B,$A16)</f>
        <v>38</v>
      </c>
      <c r="C16" s="2" cm="1">
        <f t="array" aca="1" ref="C16" ca="1">INDEX(Data_DBD!$C:$C,$A16)</f>
        <v>2</v>
      </c>
      <c r="D16" s="2" cm="1">
        <f t="array" aca="1" ref="D16" ca="1">INDEX(Data_DBD!$E:$E,$A16)</f>
        <v>0</v>
      </c>
      <c r="E16" s="2" t="str" cm="1">
        <f t="array" aca="1" ref="E16" ca="1">INDEX(Data_DBD!$F:$F,$A16)</f>
        <v>Tinggi</v>
      </c>
      <c r="H16" s="2">
        <v>47</v>
      </c>
      <c r="I16" s="2">
        <v>19</v>
      </c>
      <c r="J16" s="2">
        <v>2</v>
      </c>
      <c r="K16" s="2">
        <v>0</v>
      </c>
      <c r="L16" s="2" t="s">
        <v>7</v>
      </c>
    </row>
    <row r="17" spans="1:12">
      <c r="A17" s="2">
        <f t="shared" ca="1" si="0"/>
        <v>131</v>
      </c>
      <c r="B17" s="2" cm="1">
        <f t="array" aca="1" ref="B17" ca="1">INDEX(Data_DBD!$B:$B,$A17)</f>
        <v>10</v>
      </c>
      <c r="C17" s="2" cm="1">
        <f t="array" aca="1" ref="C17" ca="1">INDEX(Data_DBD!$C:$C,$A17)</f>
        <v>2</v>
      </c>
      <c r="D17" s="2" cm="1">
        <f t="array" aca="1" ref="D17" ca="1">INDEX(Data_DBD!$E:$E,$A17)</f>
        <v>0</v>
      </c>
      <c r="E17" s="2" t="str" cm="1">
        <f t="array" aca="1" ref="E17" ca="1">INDEX(Data_DBD!$F:$F,$A17)</f>
        <v>Tinggi</v>
      </c>
      <c r="H17" s="2">
        <v>161</v>
      </c>
      <c r="I17" s="2">
        <v>12</v>
      </c>
      <c r="J17" s="2">
        <v>3</v>
      </c>
      <c r="K17" s="2">
        <v>1</v>
      </c>
      <c r="L17" s="2" t="s">
        <v>97</v>
      </c>
    </row>
    <row r="18" spans="1:12">
      <c r="A18" s="2">
        <f t="shared" ca="1" si="0"/>
        <v>104</v>
      </c>
      <c r="B18" s="2" cm="1">
        <f t="array" aca="1" ref="B18" ca="1">INDEX(Data_DBD!$B:$B,$A18)</f>
        <v>37</v>
      </c>
      <c r="C18" s="2" cm="1">
        <f t="array" aca="1" ref="C18" ca="1">INDEX(Data_DBD!$C:$C,$A18)</f>
        <v>4</v>
      </c>
      <c r="D18" s="2" cm="1">
        <f t="array" aca="1" ref="D18" ca="1">INDEX(Data_DBD!$E:$E,$A18)</f>
        <v>1</v>
      </c>
      <c r="E18" s="2" t="str" cm="1">
        <f t="array" aca="1" ref="E18" ca="1">INDEX(Data_DBD!$F:$F,$A18)</f>
        <v>Tinggi</v>
      </c>
      <c r="H18" s="2">
        <v>47</v>
      </c>
      <c r="I18" s="2">
        <v>19</v>
      </c>
      <c r="J18" s="2">
        <v>2</v>
      </c>
      <c r="K18" s="2">
        <v>0</v>
      </c>
      <c r="L18" s="2" t="s">
        <v>7</v>
      </c>
    </row>
    <row r="19" spans="1:12">
      <c r="A19" s="2">
        <f t="shared" ca="1" si="0"/>
        <v>135</v>
      </c>
      <c r="B19" s="2" cm="1">
        <f t="array" aca="1" ref="B19" ca="1">INDEX(Data_DBD!$B:$B,$A19)</f>
        <v>10</v>
      </c>
      <c r="C19" s="2" cm="1">
        <f t="array" aca="1" ref="C19" ca="1">INDEX(Data_DBD!$C:$C,$A19)</f>
        <v>2</v>
      </c>
      <c r="D19" s="2" cm="1">
        <f t="array" aca="1" ref="D19" ca="1">INDEX(Data_DBD!$E:$E,$A19)</f>
        <v>0</v>
      </c>
      <c r="E19" s="2" t="str" cm="1">
        <f t="array" aca="1" ref="E19" ca="1">INDEX(Data_DBD!$F:$F,$A19)</f>
        <v>Tinggi</v>
      </c>
      <c r="H19" s="2">
        <v>43</v>
      </c>
      <c r="I19" s="2">
        <v>15</v>
      </c>
      <c r="J19" s="2">
        <v>4</v>
      </c>
      <c r="K19" s="2">
        <v>0</v>
      </c>
      <c r="L19" s="2" t="s">
        <v>7</v>
      </c>
    </row>
    <row r="20" spans="1:12">
      <c r="A20" s="2">
        <f t="shared" ca="1" si="0"/>
        <v>70</v>
      </c>
      <c r="B20" s="2" cm="1">
        <f t="array" aca="1" ref="B20" ca="1">INDEX(Data_DBD!$B:$B,$A20)</f>
        <v>26</v>
      </c>
      <c r="C20" s="2" cm="1">
        <f t="array" aca="1" ref="C20" ca="1">INDEX(Data_DBD!$C:$C,$A20)</f>
        <v>3</v>
      </c>
      <c r="D20" s="2" cm="1">
        <f t="array" aca="1" ref="D20" ca="1">INDEX(Data_DBD!$E:$E,$A20)</f>
        <v>1</v>
      </c>
      <c r="E20" s="2" t="str" cm="1">
        <f t="array" aca="1" ref="E20" ca="1">INDEX(Data_DBD!$F:$F,$A20)</f>
        <v>Sedang</v>
      </c>
      <c r="H20" s="2">
        <v>5</v>
      </c>
      <c r="I20" s="2">
        <v>18</v>
      </c>
      <c r="J20" s="2">
        <v>2</v>
      </c>
      <c r="K20" s="2">
        <v>1</v>
      </c>
      <c r="L20" s="2" t="s">
        <v>7</v>
      </c>
    </row>
    <row r="21" spans="1:12">
      <c r="A21" s="2">
        <f t="shared" ca="1" si="0"/>
        <v>134</v>
      </c>
      <c r="B21" s="2" cm="1">
        <f t="array" aca="1" ref="B21" ca="1">INDEX(Data_DBD!$B:$B,$A21)</f>
        <v>4</v>
      </c>
      <c r="C21" s="2" cm="1">
        <f t="array" aca="1" ref="C21" ca="1">INDEX(Data_DBD!$C:$C,$A21)</f>
        <v>2</v>
      </c>
      <c r="D21" s="2" cm="1">
        <f t="array" aca="1" ref="D21" ca="1">INDEX(Data_DBD!$E:$E,$A21)</f>
        <v>1</v>
      </c>
      <c r="E21" s="2" t="str" cm="1">
        <f t="array" aca="1" ref="E21" ca="1">INDEX(Data_DBD!$F:$F,$A21)</f>
        <v>Tinggi</v>
      </c>
      <c r="H21" s="2">
        <v>29</v>
      </c>
      <c r="I21" s="2">
        <v>19</v>
      </c>
      <c r="J21" s="2">
        <v>2</v>
      </c>
      <c r="K21" s="2">
        <v>1</v>
      </c>
      <c r="L21" s="2" t="s">
        <v>7</v>
      </c>
    </row>
    <row r="22" spans="1:12">
      <c r="A22" s="2">
        <f t="shared" ca="1" si="0"/>
        <v>100</v>
      </c>
      <c r="B22" s="2" cm="1">
        <f t="array" aca="1" ref="B22" ca="1">INDEX(Data_DBD!$B:$B,$A22)</f>
        <v>19</v>
      </c>
      <c r="C22" s="2" cm="1">
        <f t="array" aca="1" ref="C22" ca="1">INDEX(Data_DBD!$C:$C,$A22)</f>
        <v>6</v>
      </c>
      <c r="D22" s="2" cm="1">
        <f t="array" aca="1" ref="D22" ca="1">INDEX(Data_DBD!$E:$E,$A22)</f>
        <v>0</v>
      </c>
      <c r="E22" s="2" t="str" cm="1">
        <f t="array" aca="1" ref="E22" ca="1">INDEX(Data_DBD!$F:$F,$A22)</f>
        <v>Tinggi</v>
      </c>
      <c r="H22" s="2">
        <v>158</v>
      </c>
      <c r="I22" s="2">
        <v>5</v>
      </c>
      <c r="J22" s="2">
        <v>2</v>
      </c>
      <c r="K22" s="2">
        <v>0</v>
      </c>
      <c r="L22" s="2" t="s">
        <v>97</v>
      </c>
    </row>
    <row r="23" spans="1:12">
      <c r="A23" s="2">
        <f t="shared" ca="1" si="0"/>
        <v>157</v>
      </c>
      <c r="B23" s="2" cm="1">
        <f t="array" aca="1" ref="B23" ca="1">INDEX(Data_DBD!$B:$B,$A23)</f>
        <v>15</v>
      </c>
      <c r="C23" s="2" cm="1">
        <f t="array" aca="1" ref="C23" ca="1">INDEX(Data_DBD!$C:$C,$A23)</f>
        <v>4</v>
      </c>
      <c r="D23" s="2" cm="1">
        <f t="array" aca="1" ref="D23" ca="1">INDEX(Data_DBD!$E:$E,$A23)</f>
        <v>1</v>
      </c>
      <c r="E23" s="2" t="str" cm="1">
        <f t="array" aca="1" ref="E23" ca="1">INDEX(Data_DBD!$F:$F,$A23)</f>
        <v>Tinggi</v>
      </c>
      <c r="H23" s="2">
        <v>34</v>
      </c>
      <c r="I23" s="2">
        <v>55</v>
      </c>
      <c r="J23" s="2">
        <v>3</v>
      </c>
      <c r="K23" s="2">
        <v>0</v>
      </c>
      <c r="L23" s="2" t="s">
        <v>7</v>
      </c>
    </row>
    <row r="24" spans="1:12">
      <c r="A24" s="2">
        <f t="shared" ca="1" si="0"/>
        <v>160</v>
      </c>
      <c r="B24" s="2" cm="1">
        <f t="array" aca="1" ref="B24" ca="1">INDEX(Data_DBD!$B:$B,$A24)</f>
        <v>16</v>
      </c>
      <c r="C24" s="2" cm="1">
        <f t="array" aca="1" ref="C24" ca="1">INDEX(Data_DBD!$C:$C,$A24)</f>
        <v>3</v>
      </c>
      <c r="D24" s="2" cm="1">
        <f t="array" aca="1" ref="D24" ca="1">INDEX(Data_DBD!$E:$E,$A24)</f>
        <v>0</v>
      </c>
      <c r="E24" s="2" t="str" cm="1">
        <f t="array" aca="1" ref="E24" ca="1">INDEX(Data_DBD!$F:$F,$A24)</f>
        <v>Tinggi</v>
      </c>
      <c r="H24" s="2">
        <v>150</v>
      </c>
      <c r="I24" s="2">
        <v>61</v>
      </c>
      <c r="J24" s="2">
        <v>5</v>
      </c>
      <c r="K24" s="2">
        <v>1</v>
      </c>
      <c r="L24" s="2" t="s">
        <v>97</v>
      </c>
    </row>
    <row r="25" spans="1:12">
      <c r="A25" s="2">
        <f t="shared" ca="1" si="0"/>
        <v>121</v>
      </c>
      <c r="B25" s="2" cm="1">
        <f t="array" aca="1" ref="B25" ca="1">INDEX(Data_DBD!$B:$B,$A25)</f>
        <v>82</v>
      </c>
      <c r="C25" s="2" cm="1">
        <f t="array" aca="1" ref="C25" ca="1">INDEX(Data_DBD!$C:$C,$A25)</f>
        <v>5</v>
      </c>
      <c r="D25" s="2" cm="1">
        <f t="array" aca="1" ref="D25" ca="1">INDEX(Data_DBD!$E:$E,$A25)</f>
        <v>1</v>
      </c>
      <c r="E25" s="2" t="str" cm="1">
        <f t="array" aca="1" ref="E25" ca="1">INDEX(Data_DBD!$F:$F,$A25)</f>
        <v>Tinggi</v>
      </c>
      <c r="H25" s="2">
        <v>27</v>
      </c>
      <c r="I25" s="2">
        <v>37</v>
      </c>
      <c r="J25" s="2">
        <v>4</v>
      </c>
      <c r="K25" s="2">
        <v>1</v>
      </c>
      <c r="L25" s="2" t="s">
        <v>7</v>
      </c>
    </row>
    <row r="26" spans="1:12">
      <c r="A26" s="2">
        <f t="shared" ca="1" si="0"/>
        <v>124</v>
      </c>
      <c r="B26" s="2" cm="1">
        <f t="array" aca="1" ref="B26" ca="1">INDEX(Data_DBD!$B:$B,$A26)</f>
        <v>24</v>
      </c>
      <c r="C26" s="2" cm="1">
        <f t="array" aca="1" ref="C26" ca="1">INDEX(Data_DBD!$C:$C,$A26)</f>
        <v>3</v>
      </c>
      <c r="D26" s="2" cm="1">
        <f t="array" aca="1" ref="D26" ca="1">INDEX(Data_DBD!$E:$E,$A26)</f>
        <v>1</v>
      </c>
      <c r="E26" s="2" t="str" cm="1">
        <f t="array" aca="1" ref="E26" ca="1">INDEX(Data_DBD!$F:$F,$A26)</f>
        <v>Tinggi</v>
      </c>
      <c r="H26" s="2">
        <v>100</v>
      </c>
      <c r="I26" s="2">
        <v>19</v>
      </c>
      <c r="J26" s="2">
        <v>6</v>
      </c>
      <c r="K26" s="2">
        <v>0</v>
      </c>
      <c r="L26" s="2" t="s">
        <v>97</v>
      </c>
    </row>
    <row r="27" spans="1:12">
      <c r="A27" s="2">
        <f t="shared" ca="1" si="0"/>
        <v>31</v>
      </c>
      <c r="B27" s="2" cm="1">
        <f t="array" aca="1" ref="B27" ca="1">INDEX(Data_DBD!$B:$B,$A27)</f>
        <v>64</v>
      </c>
      <c r="C27" s="2" cm="1">
        <f t="array" aca="1" ref="C27" ca="1">INDEX(Data_DBD!$C:$C,$A27)</f>
        <v>4</v>
      </c>
      <c r="D27" s="2" cm="1">
        <f t="array" aca="1" ref="D27" ca="1">INDEX(Data_DBD!$E:$E,$A27)</f>
        <v>1</v>
      </c>
      <c r="E27" s="2" t="str" cm="1">
        <f t="array" aca="1" ref="E27" ca="1">INDEX(Data_DBD!$F:$F,$A27)</f>
        <v>Sedang</v>
      </c>
      <c r="H27" s="2">
        <v>5</v>
      </c>
      <c r="I27" s="2">
        <v>18</v>
      </c>
      <c r="J27" s="2">
        <v>2</v>
      </c>
      <c r="K27" s="2">
        <v>1</v>
      </c>
      <c r="L27" s="2" t="s">
        <v>7</v>
      </c>
    </row>
    <row r="28" spans="1:12">
      <c r="A28" s="2">
        <f t="shared" ca="1" si="0"/>
        <v>77</v>
      </c>
      <c r="B28" s="2" cm="1">
        <f t="array" aca="1" ref="B28" ca="1">INDEX(Data_DBD!$B:$B,$A28)</f>
        <v>16</v>
      </c>
      <c r="C28" s="2" cm="1">
        <f t="array" aca="1" ref="C28" ca="1">INDEX(Data_DBD!$C:$C,$A28)</f>
        <v>4</v>
      </c>
      <c r="D28" s="2" cm="1">
        <f t="array" aca="1" ref="D28" ca="1">INDEX(Data_DBD!$E:$E,$A28)</f>
        <v>1</v>
      </c>
      <c r="E28" s="2" t="str" cm="1">
        <f t="array" aca="1" ref="E28" ca="1">INDEX(Data_DBD!$F:$F,$A28)</f>
        <v>Sedang</v>
      </c>
      <c r="H28" s="2">
        <v>151</v>
      </c>
      <c r="I28" s="2">
        <v>24</v>
      </c>
      <c r="J28" s="2">
        <v>3</v>
      </c>
      <c r="K28" s="2">
        <v>0</v>
      </c>
      <c r="L28" s="2" t="s">
        <v>97</v>
      </c>
    </row>
    <row r="29" spans="1:12">
      <c r="A29" s="2">
        <f t="shared" ca="1" si="0"/>
        <v>64</v>
      </c>
      <c r="B29" s="2" cm="1">
        <f t="array" aca="1" ref="B29" ca="1">INDEX(Data_DBD!$B:$B,$A29)</f>
        <v>35</v>
      </c>
      <c r="C29" s="2" cm="1">
        <f t="array" aca="1" ref="C29" ca="1">INDEX(Data_DBD!$C:$C,$A29)</f>
        <v>1</v>
      </c>
      <c r="D29" s="2" cm="1">
        <f t="array" aca="1" ref="D29" ca="1">INDEX(Data_DBD!$E:$E,$A29)</f>
        <v>0</v>
      </c>
      <c r="E29" s="2" t="str" cm="1">
        <f t="array" aca="1" ref="E29" ca="1">INDEX(Data_DBD!$F:$F,$A29)</f>
        <v>Sedang</v>
      </c>
      <c r="H29" s="2">
        <v>25</v>
      </c>
      <c r="I29" s="2">
        <v>81</v>
      </c>
      <c r="J29" s="2">
        <v>5</v>
      </c>
      <c r="K29" s="2">
        <v>0</v>
      </c>
      <c r="L29" s="2" t="s">
        <v>7</v>
      </c>
    </row>
    <row r="30" spans="1:12">
      <c r="A30" s="2">
        <f t="shared" ca="1" si="0"/>
        <v>15</v>
      </c>
      <c r="B30" s="2" cm="1">
        <f t="array" aca="1" ref="B30" ca="1">INDEX(Data_DBD!$B:$B,$A30)</f>
        <v>21</v>
      </c>
      <c r="C30" s="2" cm="1">
        <f t="array" aca="1" ref="C30" ca="1">INDEX(Data_DBD!$C:$C,$A30)</f>
        <v>2</v>
      </c>
      <c r="D30" s="2" cm="1">
        <f t="array" aca="1" ref="D30" ca="1">INDEX(Data_DBD!$E:$E,$A30)</f>
        <v>0</v>
      </c>
      <c r="E30" s="2" t="str" cm="1">
        <f t="array" aca="1" ref="E30" ca="1">INDEX(Data_DBD!$F:$F,$A30)</f>
        <v>Rendah</v>
      </c>
      <c r="H30" s="2">
        <v>143</v>
      </c>
      <c r="I30" s="2">
        <v>20</v>
      </c>
      <c r="J30" s="2">
        <v>4</v>
      </c>
      <c r="K30" s="2">
        <v>1</v>
      </c>
      <c r="L30" s="2" t="s">
        <v>97</v>
      </c>
    </row>
    <row r="31" spans="1:12">
      <c r="A31" s="2">
        <f t="shared" ca="1" si="0"/>
        <v>96</v>
      </c>
      <c r="B31" s="2" cm="1">
        <f t="array" aca="1" ref="B31" ca="1">INDEX(Data_DBD!$B:$B,$A31)</f>
        <v>56</v>
      </c>
      <c r="C31" s="2" cm="1">
        <f t="array" aca="1" ref="C31" ca="1">INDEX(Data_DBD!$C:$C,$A31)</f>
        <v>4</v>
      </c>
      <c r="D31" s="2" cm="1">
        <f t="array" aca="1" ref="D31" ca="1">INDEX(Data_DBD!$E:$E,$A31)</f>
        <v>0</v>
      </c>
      <c r="E31" s="2" t="str" cm="1">
        <f t="array" aca="1" ref="E31" ca="1">INDEX(Data_DBD!$F:$F,$A31)</f>
        <v>Tinggi</v>
      </c>
      <c r="H31" s="2">
        <v>85</v>
      </c>
      <c r="I31" s="2">
        <v>27</v>
      </c>
      <c r="J31" s="2">
        <v>9</v>
      </c>
      <c r="K31" s="2">
        <v>0</v>
      </c>
      <c r="L31" s="2" t="s">
        <v>7</v>
      </c>
    </row>
    <row r="32" spans="1:12">
      <c r="A32" s="2">
        <f t="shared" ca="1" si="0"/>
        <v>64</v>
      </c>
      <c r="B32" s="2" cm="1">
        <f t="array" aca="1" ref="B32" ca="1">INDEX(Data_DBD!$B:$B,$A32)</f>
        <v>35</v>
      </c>
      <c r="C32" s="2" cm="1">
        <f t="array" aca="1" ref="C32" ca="1">INDEX(Data_DBD!$C:$C,$A32)</f>
        <v>1</v>
      </c>
      <c r="D32" s="2" cm="1">
        <f t="array" aca="1" ref="D32" ca="1">INDEX(Data_DBD!$E:$E,$A32)</f>
        <v>0</v>
      </c>
      <c r="E32" s="2" t="str" cm="1">
        <f t="array" aca="1" ref="E32" ca="1">INDEX(Data_DBD!$F:$F,$A32)</f>
        <v>Sedang</v>
      </c>
      <c r="H32" s="2">
        <v>100</v>
      </c>
      <c r="I32" s="2">
        <v>19</v>
      </c>
      <c r="J32" s="2">
        <v>6</v>
      </c>
      <c r="K32" s="2">
        <v>0</v>
      </c>
      <c r="L32" s="2" t="s">
        <v>97</v>
      </c>
    </row>
    <row r="33" spans="1:12">
      <c r="A33" s="2">
        <f t="shared" ca="1" si="0"/>
        <v>98</v>
      </c>
      <c r="B33" s="2" cm="1">
        <f t="array" aca="1" ref="B33" ca="1">INDEX(Data_DBD!$B:$B,$A33)</f>
        <v>16</v>
      </c>
      <c r="C33" s="2" cm="1">
        <f t="array" aca="1" ref="C33" ca="1">INDEX(Data_DBD!$C:$C,$A33)</f>
        <v>2</v>
      </c>
      <c r="D33" s="2" cm="1">
        <f t="array" aca="1" ref="D33" ca="1">INDEX(Data_DBD!$E:$E,$A33)</f>
        <v>1</v>
      </c>
      <c r="E33" s="2" t="str" cm="1">
        <f t="array" aca="1" ref="E33" ca="1">INDEX(Data_DBD!$F:$F,$A33)</f>
        <v>Tinggi</v>
      </c>
      <c r="H33" s="2">
        <v>128</v>
      </c>
      <c r="I33" s="2">
        <v>38</v>
      </c>
      <c r="J33" s="2">
        <v>2</v>
      </c>
      <c r="K33" s="2">
        <v>0</v>
      </c>
      <c r="L33" s="2" t="s">
        <v>97</v>
      </c>
    </row>
    <row r="34" spans="1:12">
      <c r="A34" s="2">
        <f t="shared" ca="1" si="0"/>
        <v>6</v>
      </c>
      <c r="B34" s="2" cm="1">
        <f t="array" aca="1" ref="B34" ca="1">INDEX(Data_DBD!$B:$B,$A34)</f>
        <v>14</v>
      </c>
      <c r="C34" s="2" cm="1">
        <f t="array" aca="1" ref="C34" ca="1">INDEX(Data_DBD!$C:$C,$A34)</f>
        <v>4</v>
      </c>
      <c r="D34" s="2" cm="1">
        <f t="array" aca="1" ref="D34" ca="1">INDEX(Data_DBD!$E:$E,$A34)</f>
        <v>0</v>
      </c>
      <c r="E34" s="2" t="str" cm="1">
        <f t="array" aca="1" ref="E34" ca="1">INDEX(Data_DBD!$F:$F,$A34)</f>
        <v>Sedang</v>
      </c>
      <c r="H34" s="2">
        <v>26</v>
      </c>
      <c r="I34" s="2">
        <v>75</v>
      </c>
      <c r="J34" s="2">
        <v>4</v>
      </c>
      <c r="K34" s="2">
        <v>1</v>
      </c>
      <c r="L34" s="2" t="s">
        <v>7</v>
      </c>
    </row>
    <row r="35" spans="1:12">
      <c r="A35" s="2">
        <f t="shared" ca="1" si="0"/>
        <v>160</v>
      </c>
      <c r="B35" s="2" cm="1">
        <f t="array" aca="1" ref="B35" ca="1">INDEX(Data_DBD!$B:$B,$A35)</f>
        <v>16</v>
      </c>
      <c r="C35" s="2" cm="1">
        <f t="array" aca="1" ref="C35" ca="1">INDEX(Data_DBD!$C:$C,$A35)</f>
        <v>3</v>
      </c>
      <c r="D35" s="2" cm="1">
        <f t="array" aca="1" ref="D35" ca="1">INDEX(Data_DBD!$E:$E,$A35)</f>
        <v>0</v>
      </c>
      <c r="E35" s="2" t="str" cm="1">
        <f t="array" aca="1" ref="E35" ca="1">INDEX(Data_DBD!$F:$F,$A35)</f>
        <v>Tinggi</v>
      </c>
      <c r="H35" s="2">
        <v>88</v>
      </c>
      <c r="I35" s="2">
        <v>20</v>
      </c>
      <c r="J35" s="2">
        <v>4</v>
      </c>
      <c r="K35" s="2">
        <v>1</v>
      </c>
      <c r="L35" s="2" t="s">
        <v>7</v>
      </c>
    </row>
    <row r="36" spans="1:12">
      <c r="A36" s="2">
        <f t="shared" ca="1" si="0"/>
        <v>99</v>
      </c>
      <c r="B36" s="2" cm="1">
        <f t="array" aca="1" ref="B36" ca="1">INDEX(Data_DBD!$B:$B,$A36)</f>
        <v>4</v>
      </c>
      <c r="C36" s="2" cm="1">
        <f t="array" aca="1" ref="C36" ca="1">INDEX(Data_DBD!$C:$C,$A36)</f>
        <v>2</v>
      </c>
      <c r="D36" s="2" cm="1">
        <f t="array" aca="1" ref="D36" ca="1">INDEX(Data_DBD!$E:$E,$A36)</f>
        <v>1</v>
      </c>
      <c r="E36" s="2" t="str" cm="1">
        <f t="array" aca="1" ref="E36" ca="1">INDEX(Data_DBD!$F:$F,$A36)</f>
        <v>Tinggi</v>
      </c>
      <c r="H36" s="2">
        <v>75</v>
      </c>
      <c r="I36" s="2">
        <v>2</v>
      </c>
      <c r="J36" s="2">
        <v>2</v>
      </c>
      <c r="K36" s="2">
        <v>1</v>
      </c>
      <c r="L36" s="2" t="s">
        <v>7</v>
      </c>
    </row>
    <row r="37" spans="1:12">
      <c r="A37" s="2">
        <f t="shared" ca="1" si="0"/>
        <v>54</v>
      </c>
      <c r="B37" s="2" cm="1">
        <f t="array" aca="1" ref="B37" ca="1">INDEX(Data_DBD!$B:$B,$A37)</f>
        <v>7</v>
      </c>
      <c r="C37" s="2" cm="1">
        <f t="array" aca="1" ref="C37" ca="1">INDEX(Data_DBD!$C:$C,$A37)</f>
        <v>3</v>
      </c>
      <c r="D37" s="2" cm="1">
        <f t="array" aca="1" ref="D37" ca="1">INDEX(Data_DBD!$E:$E,$A37)</f>
        <v>0</v>
      </c>
      <c r="E37" s="2" t="str" cm="1">
        <f t="array" aca="1" ref="E37" ca="1">INDEX(Data_DBD!$F:$F,$A37)</f>
        <v>Sedang</v>
      </c>
      <c r="H37" s="2">
        <v>121</v>
      </c>
      <c r="I37" s="2">
        <v>82</v>
      </c>
      <c r="J37" s="2">
        <v>5</v>
      </c>
      <c r="K37" s="2">
        <v>1</v>
      </c>
      <c r="L37" s="2" t="s">
        <v>97</v>
      </c>
    </row>
    <row r="38" spans="1:12">
      <c r="A38" s="2">
        <f t="shared" ca="1" si="0"/>
        <v>48</v>
      </c>
      <c r="B38" s="2" cm="1">
        <f t="array" aca="1" ref="B38" ca="1">INDEX(Data_DBD!$B:$B,$A38)</f>
        <v>50</v>
      </c>
      <c r="C38" s="2" cm="1">
        <f t="array" aca="1" ref="C38" ca="1">INDEX(Data_DBD!$C:$C,$A38)</f>
        <v>5</v>
      </c>
      <c r="D38" s="2" cm="1">
        <f t="array" aca="1" ref="D38" ca="1">INDEX(Data_DBD!$E:$E,$A38)</f>
        <v>1</v>
      </c>
      <c r="E38" s="2" t="str" cm="1">
        <f t="array" aca="1" ref="E38" ca="1">INDEX(Data_DBD!$F:$F,$A38)</f>
        <v>Sedang</v>
      </c>
      <c r="H38" s="2">
        <v>115</v>
      </c>
      <c r="I38" s="2">
        <v>52</v>
      </c>
      <c r="J38" s="2">
        <v>3</v>
      </c>
      <c r="K38" s="2">
        <v>1</v>
      </c>
      <c r="L38" s="2" t="s">
        <v>97</v>
      </c>
    </row>
    <row r="39" spans="1:12">
      <c r="A39" s="2">
        <f t="shared" ca="1" si="0"/>
        <v>36</v>
      </c>
      <c r="B39" s="2" cm="1">
        <f t="array" aca="1" ref="B39" ca="1">INDEX(Data_DBD!$B:$B,$A39)</f>
        <v>27</v>
      </c>
      <c r="C39" s="2" cm="1">
        <f t="array" aca="1" ref="C39" ca="1">INDEX(Data_DBD!$C:$C,$A39)</f>
        <v>1</v>
      </c>
      <c r="D39" s="2" cm="1">
        <f t="array" aca="1" ref="D39" ca="1">INDEX(Data_DBD!$E:$E,$A39)</f>
        <v>1</v>
      </c>
      <c r="E39" s="2" t="str" cm="1">
        <f t="array" aca="1" ref="E39" ca="1">INDEX(Data_DBD!$F:$F,$A39)</f>
        <v>Rendah</v>
      </c>
      <c r="H39" s="2">
        <v>158</v>
      </c>
      <c r="I39" s="2">
        <v>5</v>
      </c>
      <c r="J39" s="2">
        <v>2</v>
      </c>
      <c r="K39" s="2">
        <v>0</v>
      </c>
      <c r="L39" s="2" t="s">
        <v>97</v>
      </c>
    </row>
    <row r="40" spans="1:12">
      <c r="A40" s="2">
        <f t="shared" ca="1" si="0"/>
        <v>110</v>
      </c>
      <c r="B40" s="2" cm="1">
        <f t="array" aca="1" ref="B40" ca="1">INDEX(Data_DBD!$B:$B,$A40)</f>
        <v>42</v>
      </c>
      <c r="C40" s="2" cm="1">
        <f t="array" aca="1" ref="C40" ca="1">INDEX(Data_DBD!$C:$C,$A40)</f>
        <v>2</v>
      </c>
      <c r="D40" s="2" cm="1">
        <f t="array" aca="1" ref="D40" ca="1">INDEX(Data_DBD!$E:$E,$A40)</f>
        <v>1</v>
      </c>
      <c r="E40" s="2" t="str" cm="1">
        <f t="array" aca="1" ref="E40" ca="1">INDEX(Data_DBD!$F:$F,$A40)</f>
        <v>Tinggi</v>
      </c>
      <c r="H40" s="2">
        <v>8</v>
      </c>
      <c r="I40" s="2">
        <v>4</v>
      </c>
      <c r="J40" s="2">
        <v>2</v>
      </c>
      <c r="K40" s="2">
        <v>0</v>
      </c>
      <c r="L40" s="2" t="s">
        <v>7</v>
      </c>
    </row>
    <row r="41" spans="1:12">
      <c r="A41" s="2">
        <f t="shared" ca="1" si="0"/>
        <v>59</v>
      </c>
      <c r="B41" s="2" cm="1">
        <f t="array" aca="1" ref="B41" ca="1">INDEX(Data_DBD!$B:$B,$A41)</f>
        <v>28</v>
      </c>
      <c r="C41" s="2" cm="1">
        <f t="array" aca="1" ref="C41" ca="1">INDEX(Data_DBD!$C:$C,$A41)</f>
        <v>4</v>
      </c>
      <c r="D41" s="2" cm="1">
        <f t="array" aca="1" ref="D41" ca="1">INDEX(Data_DBD!$E:$E,$A41)</f>
        <v>0</v>
      </c>
      <c r="E41" s="2" t="str" cm="1">
        <f t="array" aca="1" ref="E41" ca="1">INDEX(Data_DBD!$F:$F,$A41)</f>
        <v>Sedang</v>
      </c>
      <c r="H41" s="2">
        <v>92</v>
      </c>
      <c r="I41" s="2">
        <v>55</v>
      </c>
      <c r="J41" s="2">
        <v>7</v>
      </c>
      <c r="K41" s="2">
        <v>0</v>
      </c>
      <c r="L41" s="2" t="s">
        <v>97</v>
      </c>
    </row>
    <row r="42" spans="1:12">
      <c r="A42" s="2">
        <f t="shared" ca="1" si="0"/>
        <v>145</v>
      </c>
      <c r="B42" s="2" cm="1">
        <f t="array" aca="1" ref="B42" ca="1">INDEX(Data_DBD!$B:$B,$A42)</f>
        <v>28</v>
      </c>
      <c r="C42" s="2" cm="1">
        <f t="array" aca="1" ref="C42" ca="1">INDEX(Data_DBD!$C:$C,$A42)</f>
        <v>4</v>
      </c>
      <c r="D42" s="2" cm="1">
        <f t="array" aca="1" ref="D42" ca="1">INDEX(Data_DBD!$E:$E,$A42)</f>
        <v>1</v>
      </c>
      <c r="E42" s="2" t="str" cm="1">
        <f t="array" aca="1" ref="E42" ca="1">INDEX(Data_DBD!$F:$F,$A42)</f>
        <v>Tinggi</v>
      </c>
      <c r="H42" s="2">
        <v>16</v>
      </c>
      <c r="I42" s="2">
        <v>66</v>
      </c>
      <c r="J42" s="2">
        <v>5</v>
      </c>
      <c r="K42" s="2">
        <v>1</v>
      </c>
      <c r="L42" s="2" t="s">
        <v>20</v>
      </c>
    </row>
    <row r="43" spans="1:12">
      <c r="A43" s="2">
        <f t="shared" ca="1" si="0"/>
        <v>16</v>
      </c>
      <c r="B43" s="2" cm="1">
        <f t="array" aca="1" ref="B43" ca="1">INDEX(Data_DBD!$B:$B,$A43)</f>
        <v>66</v>
      </c>
      <c r="C43" s="2" cm="1">
        <f t="array" aca="1" ref="C43" ca="1">INDEX(Data_DBD!$C:$C,$A43)</f>
        <v>5</v>
      </c>
      <c r="D43" s="2" cm="1">
        <f t="array" aca="1" ref="D43" ca="1">INDEX(Data_DBD!$E:$E,$A43)</f>
        <v>1</v>
      </c>
      <c r="E43" s="2" t="str" cm="1">
        <f t="array" aca="1" ref="E43" ca="1">INDEX(Data_DBD!$F:$F,$A43)</f>
        <v>Rendah</v>
      </c>
      <c r="H43" s="2">
        <v>160</v>
      </c>
      <c r="I43" s="2">
        <v>16</v>
      </c>
      <c r="J43" s="2">
        <v>3</v>
      </c>
      <c r="K43" s="2">
        <v>0</v>
      </c>
      <c r="L43" s="2" t="s">
        <v>97</v>
      </c>
    </row>
    <row r="44" spans="1:12">
      <c r="A44" s="2">
        <f t="shared" ca="1" si="0"/>
        <v>10</v>
      </c>
      <c r="B44" s="2" cm="1">
        <f t="array" aca="1" ref="B44" ca="1">INDEX(Data_DBD!$B:$B,$A44)</f>
        <v>18</v>
      </c>
      <c r="C44" s="2" cm="1">
        <f t="array" aca="1" ref="C44" ca="1">INDEX(Data_DBD!$C:$C,$A44)</f>
        <v>5</v>
      </c>
      <c r="D44" s="2" cm="1">
        <f t="array" aca="1" ref="D44" ca="1">INDEX(Data_DBD!$E:$E,$A44)</f>
        <v>0</v>
      </c>
      <c r="E44" s="2" t="str" cm="1">
        <f t="array" aca="1" ref="E44" ca="1">INDEX(Data_DBD!$F:$F,$A44)</f>
        <v>Sedang</v>
      </c>
      <c r="H44" s="2">
        <v>11</v>
      </c>
      <c r="I44" s="2">
        <v>24</v>
      </c>
      <c r="J44" s="2">
        <v>5</v>
      </c>
      <c r="K44" s="2">
        <v>1</v>
      </c>
      <c r="L44" s="2" t="s">
        <v>7</v>
      </c>
    </row>
    <row r="45" spans="1:12">
      <c r="A45" s="2">
        <f t="shared" ca="1" si="0"/>
        <v>14</v>
      </c>
      <c r="B45" s="2" cm="1">
        <f t="array" aca="1" ref="B45" ca="1">INDEX(Data_DBD!$B:$B,$A45)</f>
        <v>49</v>
      </c>
      <c r="C45" s="2" cm="1">
        <f t="array" aca="1" ref="C45" ca="1">INDEX(Data_DBD!$C:$C,$A45)</f>
        <v>4</v>
      </c>
      <c r="D45" s="2" cm="1">
        <f t="array" aca="1" ref="D45" ca="1">INDEX(Data_DBD!$E:$E,$A45)</f>
        <v>1</v>
      </c>
      <c r="E45" s="2" t="str" cm="1">
        <f t="array" aca="1" ref="E45" ca="1">INDEX(Data_DBD!$F:$F,$A45)</f>
        <v>Rendah</v>
      </c>
      <c r="H45" s="2">
        <v>75</v>
      </c>
      <c r="I45" s="2">
        <v>2</v>
      </c>
      <c r="J45" s="2">
        <v>2</v>
      </c>
      <c r="K45" s="2">
        <v>1</v>
      </c>
      <c r="L45" s="2" t="s">
        <v>7</v>
      </c>
    </row>
    <row r="46" spans="1:12">
      <c r="A46" s="2">
        <f t="shared" ca="1" si="0"/>
        <v>78</v>
      </c>
      <c r="B46" s="2" cm="1">
        <f t="array" aca="1" ref="B46" ca="1">INDEX(Data_DBD!$B:$B,$A46)</f>
        <v>6</v>
      </c>
      <c r="C46" s="2" cm="1">
        <f t="array" aca="1" ref="C46" ca="1">INDEX(Data_DBD!$C:$C,$A46)</f>
        <v>3</v>
      </c>
      <c r="D46" s="2" cm="1">
        <f t="array" aca="1" ref="D46" ca="1">INDEX(Data_DBD!$E:$E,$A46)</f>
        <v>0</v>
      </c>
      <c r="E46" s="2" t="str" cm="1">
        <f t="array" aca="1" ref="E46" ca="1">INDEX(Data_DBD!$F:$F,$A46)</f>
        <v>Sedang</v>
      </c>
      <c r="H46" s="2">
        <v>63</v>
      </c>
      <c r="I46" s="2">
        <v>25</v>
      </c>
      <c r="J46" s="2">
        <v>3</v>
      </c>
      <c r="K46" s="2">
        <v>0</v>
      </c>
      <c r="L46" s="2" t="s">
        <v>7</v>
      </c>
    </row>
    <row r="47" spans="1:12">
      <c r="A47" s="2">
        <f t="shared" ca="1" si="0"/>
        <v>13</v>
      </c>
      <c r="B47" s="2" cm="1">
        <f t="array" aca="1" ref="B47" ca="1">INDEX(Data_DBD!$B:$B,$A47)</f>
        <v>47</v>
      </c>
      <c r="C47" s="2" cm="1">
        <f t="array" aca="1" ref="C47" ca="1">INDEX(Data_DBD!$C:$C,$A47)</f>
        <v>2</v>
      </c>
      <c r="D47" s="2" cm="1">
        <f t="array" aca="1" ref="D47" ca="1">INDEX(Data_DBD!$E:$E,$A47)</f>
        <v>0</v>
      </c>
      <c r="E47" s="2" t="str" cm="1">
        <f t="array" aca="1" ref="E47" ca="1">INDEX(Data_DBD!$F:$F,$A47)</f>
        <v>Sedang</v>
      </c>
      <c r="H47" s="2">
        <v>123</v>
      </c>
      <c r="I47" s="2">
        <v>22</v>
      </c>
      <c r="J47" s="2">
        <v>4</v>
      </c>
      <c r="K47" s="2">
        <v>0</v>
      </c>
      <c r="L47" s="2" t="s">
        <v>97</v>
      </c>
    </row>
    <row r="48" spans="1:12">
      <c r="A48" s="2">
        <f t="shared" ca="1" si="0"/>
        <v>74</v>
      </c>
      <c r="B48" s="2" cm="1">
        <f t="array" aca="1" ref="B48" ca="1">INDEX(Data_DBD!$B:$B,$A48)</f>
        <v>9</v>
      </c>
      <c r="C48" s="2" cm="1">
        <f t="array" aca="1" ref="C48" ca="1">INDEX(Data_DBD!$C:$C,$A48)</f>
        <v>4</v>
      </c>
      <c r="D48" s="2" cm="1">
        <f t="array" aca="1" ref="D48" ca="1">INDEX(Data_DBD!$E:$E,$A48)</f>
        <v>0</v>
      </c>
      <c r="E48" s="2" t="str" cm="1">
        <f t="array" aca="1" ref="E48" ca="1">INDEX(Data_DBD!$F:$F,$A48)</f>
        <v>Sedang</v>
      </c>
      <c r="H48" s="2">
        <v>52</v>
      </c>
      <c r="I48" s="2">
        <v>59</v>
      </c>
      <c r="J48" s="2">
        <v>4</v>
      </c>
      <c r="K48" s="2">
        <v>1</v>
      </c>
      <c r="L48" s="2" t="s">
        <v>7</v>
      </c>
    </row>
    <row r="49" spans="1:12">
      <c r="A49" s="2">
        <f t="shared" ca="1" si="0"/>
        <v>121</v>
      </c>
      <c r="B49" s="2" cm="1">
        <f t="array" aca="1" ref="B49" ca="1">INDEX(Data_DBD!$B:$B,$A49)</f>
        <v>82</v>
      </c>
      <c r="C49" s="2" cm="1">
        <f t="array" aca="1" ref="C49" ca="1">INDEX(Data_DBD!$C:$C,$A49)</f>
        <v>5</v>
      </c>
      <c r="D49" s="2" cm="1">
        <f t="array" aca="1" ref="D49" ca="1">INDEX(Data_DBD!$E:$E,$A49)</f>
        <v>1</v>
      </c>
      <c r="E49" s="2" t="str" cm="1">
        <f t="array" aca="1" ref="E49" ca="1">INDEX(Data_DBD!$F:$F,$A49)</f>
        <v>Tinggi</v>
      </c>
      <c r="H49" s="2">
        <v>126</v>
      </c>
      <c r="I49" s="2">
        <v>51</v>
      </c>
      <c r="J49" s="2">
        <v>3</v>
      </c>
      <c r="K49" s="2">
        <v>1</v>
      </c>
      <c r="L49" s="2" t="s">
        <v>97</v>
      </c>
    </row>
    <row r="50" spans="1:12">
      <c r="A50" s="2">
        <f t="shared" ca="1" si="0"/>
        <v>140</v>
      </c>
      <c r="B50" s="2" cm="1">
        <f t="array" aca="1" ref="B50" ca="1">INDEX(Data_DBD!$B:$B,$A50)</f>
        <v>74</v>
      </c>
      <c r="C50" s="2" cm="1">
        <f t="array" aca="1" ref="C50" ca="1">INDEX(Data_DBD!$C:$C,$A50)</f>
        <v>5</v>
      </c>
      <c r="D50" s="2" cm="1">
        <f t="array" aca="1" ref="D50" ca="1">INDEX(Data_DBD!$E:$E,$A50)</f>
        <v>1</v>
      </c>
      <c r="E50" s="2" t="str" cm="1">
        <f t="array" aca="1" ref="E50" ca="1">INDEX(Data_DBD!$F:$F,$A50)</f>
        <v>Tinggi</v>
      </c>
      <c r="H50" s="2">
        <v>116</v>
      </c>
      <c r="I50" s="2">
        <v>32</v>
      </c>
      <c r="J50" s="2">
        <v>4</v>
      </c>
      <c r="K50" s="2">
        <v>1</v>
      </c>
      <c r="L50" s="2" t="s">
        <v>97</v>
      </c>
    </row>
    <row r="51" spans="1:12">
      <c r="A51" s="2">
        <f t="shared" ca="1" si="0"/>
        <v>56</v>
      </c>
      <c r="B51" s="2" cm="1">
        <f t="array" aca="1" ref="B51" ca="1">INDEX(Data_DBD!$B:$B,$A51)</f>
        <v>4</v>
      </c>
      <c r="C51" s="2" cm="1">
        <f t="array" aca="1" ref="C51" ca="1">INDEX(Data_DBD!$C:$C,$A51)</f>
        <v>3</v>
      </c>
      <c r="D51" s="2" cm="1">
        <f t="array" aca="1" ref="D51" ca="1">INDEX(Data_DBD!$E:$E,$A51)</f>
        <v>0</v>
      </c>
      <c r="E51" s="2" t="str" cm="1">
        <f t="array" aca="1" ref="E51" ca="1">INDEX(Data_DBD!$F:$F,$A51)</f>
        <v>Sedang</v>
      </c>
      <c r="H51" s="2">
        <v>116</v>
      </c>
      <c r="I51" s="2">
        <v>32</v>
      </c>
      <c r="J51" s="2">
        <v>4</v>
      </c>
      <c r="K51" s="2">
        <v>1</v>
      </c>
      <c r="L51" s="2" t="s">
        <v>97</v>
      </c>
    </row>
    <row r="52" spans="1:12">
      <c r="A52" s="2">
        <f t="shared" ca="1" si="0"/>
        <v>107</v>
      </c>
      <c r="B52" s="2" cm="1">
        <f t="array" aca="1" ref="B52" ca="1">INDEX(Data_DBD!$B:$B,$A52)</f>
        <v>48</v>
      </c>
      <c r="C52" s="2" cm="1">
        <f t="array" aca="1" ref="C52" ca="1">INDEX(Data_DBD!$C:$C,$A52)</f>
        <v>5</v>
      </c>
      <c r="D52" s="2" cm="1">
        <f t="array" aca="1" ref="D52" ca="1">INDEX(Data_DBD!$E:$E,$A52)</f>
        <v>0</v>
      </c>
      <c r="E52" s="2" t="str" cm="1">
        <f t="array" aca="1" ref="E52" ca="1">INDEX(Data_DBD!$F:$F,$A52)</f>
        <v>Tinggi</v>
      </c>
      <c r="H52" s="2">
        <v>31</v>
      </c>
      <c r="I52" s="2">
        <v>64</v>
      </c>
      <c r="J52" s="2">
        <v>4</v>
      </c>
      <c r="K52" s="2">
        <v>1</v>
      </c>
      <c r="L52" s="2" t="s">
        <v>7</v>
      </c>
    </row>
    <row r="53" spans="1:12">
      <c r="A53" s="2">
        <f t="shared" ca="1" si="0"/>
        <v>9</v>
      </c>
      <c r="B53" s="2" cm="1">
        <f t="array" aca="1" ref="B53" ca="1">INDEX(Data_DBD!$B:$B,$A53)</f>
        <v>16</v>
      </c>
      <c r="C53" s="2" cm="1">
        <f t="array" aca="1" ref="C53" ca="1">INDEX(Data_DBD!$C:$C,$A53)</f>
        <v>6</v>
      </c>
      <c r="D53" s="2" cm="1">
        <f t="array" aca="1" ref="D53" ca="1">INDEX(Data_DBD!$E:$E,$A53)</f>
        <v>1</v>
      </c>
      <c r="E53" s="2" t="str" cm="1">
        <f t="array" aca="1" ref="E53" ca="1">INDEX(Data_DBD!$F:$F,$A53)</f>
        <v>Sedang</v>
      </c>
      <c r="H53" s="2">
        <v>49</v>
      </c>
      <c r="I53" s="2">
        <v>64</v>
      </c>
      <c r="J53" s="2">
        <v>5</v>
      </c>
      <c r="K53" s="2">
        <v>0</v>
      </c>
      <c r="L53" s="2" t="s">
        <v>7</v>
      </c>
    </row>
    <row r="54" spans="1:12">
      <c r="A54" s="2">
        <f t="shared" ca="1" si="0"/>
        <v>61</v>
      </c>
      <c r="B54" s="2" cm="1">
        <f t="array" aca="1" ref="B54" ca="1">INDEX(Data_DBD!$B:$B,$A54)</f>
        <v>29</v>
      </c>
      <c r="C54" s="2" cm="1">
        <f t="array" aca="1" ref="C54" ca="1">INDEX(Data_DBD!$C:$C,$A54)</f>
        <v>3</v>
      </c>
      <c r="D54" s="2" cm="1">
        <f t="array" aca="1" ref="D54" ca="1">INDEX(Data_DBD!$E:$E,$A54)</f>
        <v>1</v>
      </c>
      <c r="E54" s="2" t="str" cm="1">
        <f t="array" aca="1" ref="E54" ca="1">INDEX(Data_DBD!$F:$F,$A54)</f>
        <v>Sedang</v>
      </c>
      <c r="H54" s="2">
        <v>11</v>
      </c>
      <c r="I54" s="2">
        <v>24</v>
      </c>
      <c r="J54" s="2">
        <v>5</v>
      </c>
      <c r="K54" s="2">
        <v>1</v>
      </c>
      <c r="L54" s="2" t="s">
        <v>7</v>
      </c>
    </row>
    <row r="55" spans="1:12">
      <c r="A55" s="2">
        <f t="shared" ca="1" si="0"/>
        <v>19</v>
      </c>
      <c r="B55" s="2" cm="1">
        <f t="array" aca="1" ref="B55" ca="1">INDEX(Data_DBD!$B:$B,$A55)</f>
        <v>8</v>
      </c>
      <c r="C55" s="2" cm="1">
        <f t="array" aca="1" ref="C55" ca="1">INDEX(Data_DBD!$C:$C,$A55)</f>
        <v>4</v>
      </c>
      <c r="D55" s="2" cm="1">
        <f t="array" aca="1" ref="D55" ca="1">INDEX(Data_DBD!$E:$E,$A55)</f>
        <v>0</v>
      </c>
      <c r="E55" s="2" t="str" cm="1">
        <f t="array" aca="1" ref="E55" ca="1">INDEX(Data_DBD!$F:$F,$A55)</f>
        <v>Rendah</v>
      </c>
      <c r="H55" s="2">
        <v>53</v>
      </c>
      <c r="I55" s="2">
        <v>35</v>
      </c>
      <c r="J55" s="2">
        <v>4</v>
      </c>
      <c r="K55" s="2">
        <v>1</v>
      </c>
      <c r="L55" s="2" t="s">
        <v>7</v>
      </c>
    </row>
    <row r="56" spans="1:12">
      <c r="A56" s="2">
        <f t="shared" ca="1" si="0"/>
        <v>78</v>
      </c>
      <c r="B56" s="2" cm="1">
        <f t="array" aca="1" ref="B56" ca="1">INDEX(Data_DBD!$B:$B,$A56)</f>
        <v>6</v>
      </c>
      <c r="C56" s="2" cm="1">
        <f t="array" aca="1" ref="C56" ca="1">INDEX(Data_DBD!$C:$C,$A56)</f>
        <v>3</v>
      </c>
      <c r="D56" s="2" cm="1">
        <f t="array" aca="1" ref="D56" ca="1">INDEX(Data_DBD!$E:$E,$A56)</f>
        <v>0</v>
      </c>
      <c r="E56" s="2" t="str" cm="1">
        <f t="array" aca="1" ref="E56" ca="1">INDEX(Data_DBD!$F:$F,$A56)</f>
        <v>Sedang</v>
      </c>
      <c r="H56" s="2">
        <v>111</v>
      </c>
      <c r="I56" s="2">
        <v>25</v>
      </c>
      <c r="J56" s="2">
        <v>4</v>
      </c>
      <c r="K56" s="2">
        <v>0</v>
      </c>
      <c r="L56" s="2" t="s">
        <v>97</v>
      </c>
    </row>
    <row r="57" spans="1:12">
      <c r="A57" s="2">
        <f t="shared" ca="1" si="0"/>
        <v>99</v>
      </c>
      <c r="B57" s="2" cm="1">
        <f t="array" aca="1" ref="B57" ca="1">INDEX(Data_DBD!$B:$B,$A57)</f>
        <v>4</v>
      </c>
      <c r="C57" s="2" cm="1">
        <f t="array" aca="1" ref="C57" ca="1">INDEX(Data_DBD!$C:$C,$A57)</f>
        <v>2</v>
      </c>
      <c r="D57" s="2" cm="1">
        <f t="array" aca="1" ref="D57" ca="1">INDEX(Data_DBD!$E:$E,$A57)</f>
        <v>1</v>
      </c>
      <c r="E57" s="2" t="str" cm="1">
        <f t="array" aca="1" ref="E57" ca="1">INDEX(Data_DBD!$F:$F,$A57)</f>
        <v>Tinggi</v>
      </c>
      <c r="H57" s="2">
        <v>18</v>
      </c>
      <c r="I57" s="2">
        <v>49</v>
      </c>
      <c r="J57" s="2">
        <v>4</v>
      </c>
      <c r="K57" s="2">
        <v>1</v>
      </c>
      <c r="L57" s="2" t="s">
        <v>20</v>
      </c>
    </row>
    <row r="58" spans="1:12">
      <c r="A58" s="2">
        <f t="shared" ca="1" si="0"/>
        <v>51</v>
      </c>
      <c r="B58" s="2" cm="1">
        <f t="array" aca="1" ref="B58" ca="1">INDEX(Data_DBD!$B:$B,$A58)</f>
        <v>48</v>
      </c>
      <c r="C58" s="2" cm="1">
        <f t="array" aca="1" ref="C58" ca="1">INDEX(Data_DBD!$C:$C,$A58)</f>
        <v>4</v>
      </c>
      <c r="D58" s="2" cm="1">
        <f t="array" aca="1" ref="D58" ca="1">INDEX(Data_DBD!$E:$E,$A58)</f>
        <v>0</v>
      </c>
      <c r="E58" s="2" t="str" cm="1">
        <f t="array" aca="1" ref="E58" ca="1">INDEX(Data_DBD!$F:$F,$A58)</f>
        <v>Sedang</v>
      </c>
      <c r="H58" s="2">
        <v>24</v>
      </c>
      <c r="I58" s="2">
        <v>60</v>
      </c>
      <c r="J58" s="2">
        <v>4</v>
      </c>
      <c r="K58" s="2">
        <v>0</v>
      </c>
      <c r="L58" s="2" t="s">
        <v>7</v>
      </c>
    </row>
    <row r="59" spans="1:12">
      <c r="A59" s="2">
        <f t="shared" ca="1" si="0"/>
        <v>109</v>
      </c>
      <c r="B59" s="2" cm="1">
        <f t="array" aca="1" ref="B59" ca="1">INDEX(Data_DBD!$B:$B,$A59)</f>
        <v>40</v>
      </c>
      <c r="C59" s="2" cm="1">
        <f t="array" aca="1" ref="C59" ca="1">INDEX(Data_DBD!$C:$C,$A59)</f>
        <v>3</v>
      </c>
      <c r="D59" s="2" cm="1">
        <f t="array" aca="1" ref="D59" ca="1">INDEX(Data_DBD!$E:$E,$A59)</f>
        <v>1</v>
      </c>
      <c r="E59" s="2" t="str" cm="1">
        <f t="array" aca="1" ref="E59" ca="1">INDEX(Data_DBD!$F:$F,$A59)</f>
        <v>Tinggi</v>
      </c>
      <c r="H59" s="2">
        <v>40</v>
      </c>
      <c r="I59" s="2">
        <v>65</v>
      </c>
      <c r="J59" s="2">
        <v>3</v>
      </c>
      <c r="K59" s="2">
        <v>1</v>
      </c>
      <c r="L59" s="2" t="s">
        <v>7</v>
      </c>
    </row>
    <row r="60" spans="1:12">
      <c r="A60" s="2">
        <f t="shared" ca="1" si="0"/>
        <v>54</v>
      </c>
      <c r="B60" s="2" cm="1">
        <f t="array" aca="1" ref="B60" ca="1">INDEX(Data_DBD!$B:$B,$A60)</f>
        <v>7</v>
      </c>
      <c r="C60" s="2" cm="1">
        <f t="array" aca="1" ref="C60" ca="1">INDEX(Data_DBD!$C:$C,$A60)</f>
        <v>3</v>
      </c>
      <c r="D60" s="2" cm="1">
        <f t="array" aca="1" ref="D60" ca="1">INDEX(Data_DBD!$E:$E,$A60)</f>
        <v>0</v>
      </c>
      <c r="E60" s="2" t="str" cm="1">
        <f t="array" aca="1" ref="E60" ca="1">INDEX(Data_DBD!$F:$F,$A60)</f>
        <v>Sedang</v>
      </c>
      <c r="H60" s="2">
        <v>137</v>
      </c>
      <c r="I60" s="2">
        <v>3</v>
      </c>
      <c r="J60" s="2">
        <v>1</v>
      </c>
      <c r="K60" s="2">
        <v>1</v>
      </c>
      <c r="L60" s="2" t="s">
        <v>97</v>
      </c>
    </row>
    <row r="61" spans="1:12">
      <c r="A61" s="2">
        <f t="shared" ca="1" si="0"/>
        <v>120</v>
      </c>
      <c r="B61" s="2" cm="1">
        <f t="array" aca="1" ref="B61" ca="1">INDEX(Data_DBD!$B:$B,$A61)</f>
        <v>26</v>
      </c>
      <c r="C61" s="2" cm="1">
        <f t="array" aca="1" ref="C61" ca="1">INDEX(Data_DBD!$C:$C,$A61)</f>
        <v>4</v>
      </c>
      <c r="D61" s="2" cm="1">
        <f t="array" aca="1" ref="D61" ca="1">INDEX(Data_DBD!$E:$E,$A61)</f>
        <v>1</v>
      </c>
      <c r="E61" s="2" t="str" cm="1">
        <f t="array" aca="1" ref="E61" ca="1">INDEX(Data_DBD!$F:$F,$A61)</f>
        <v>Tinggi</v>
      </c>
      <c r="H61" s="2">
        <v>33</v>
      </c>
      <c r="I61" s="2">
        <v>19</v>
      </c>
      <c r="J61" s="2">
        <v>4</v>
      </c>
      <c r="K61" s="2">
        <v>1</v>
      </c>
      <c r="L61" s="2" t="s">
        <v>7</v>
      </c>
    </row>
    <row r="62" spans="1:12">
      <c r="A62" s="2">
        <f t="shared" ca="1" si="0"/>
        <v>155</v>
      </c>
      <c r="B62" s="2" cm="1">
        <f t="array" aca="1" ref="B62" ca="1">INDEX(Data_DBD!$B:$B,$A62)</f>
        <v>19</v>
      </c>
      <c r="C62" s="2" cm="1">
        <f t="array" aca="1" ref="C62" ca="1">INDEX(Data_DBD!$C:$C,$A62)</f>
        <v>5</v>
      </c>
      <c r="D62" s="2" cm="1">
        <f t="array" aca="1" ref="D62" ca="1">INDEX(Data_DBD!$E:$E,$A62)</f>
        <v>1</v>
      </c>
      <c r="E62" s="2" t="str" cm="1">
        <f t="array" aca="1" ref="E62" ca="1">INDEX(Data_DBD!$F:$F,$A62)</f>
        <v>Tinggi</v>
      </c>
      <c r="H62" s="2">
        <v>55</v>
      </c>
      <c r="I62" s="2">
        <v>7</v>
      </c>
      <c r="J62" s="2">
        <v>4</v>
      </c>
      <c r="K62" s="2">
        <v>1</v>
      </c>
      <c r="L62" s="2" t="s">
        <v>7</v>
      </c>
    </row>
    <row r="63" spans="1:12">
      <c r="A63" s="2">
        <f t="shared" ca="1" si="0"/>
        <v>131</v>
      </c>
      <c r="B63" s="2" cm="1">
        <f t="array" aca="1" ref="B63" ca="1">INDEX(Data_DBD!$B:$B,$A63)</f>
        <v>10</v>
      </c>
      <c r="C63" s="2" cm="1">
        <f t="array" aca="1" ref="C63" ca="1">INDEX(Data_DBD!$C:$C,$A63)</f>
        <v>2</v>
      </c>
      <c r="D63" s="2" cm="1">
        <f t="array" aca="1" ref="D63" ca="1">INDEX(Data_DBD!$E:$E,$A63)</f>
        <v>0</v>
      </c>
      <c r="E63" s="2" t="str" cm="1">
        <f t="array" aca="1" ref="E63" ca="1">INDEX(Data_DBD!$F:$F,$A63)</f>
        <v>Tinggi</v>
      </c>
      <c r="H63" s="2">
        <v>77</v>
      </c>
      <c r="I63" s="2">
        <v>16</v>
      </c>
      <c r="J63" s="2">
        <v>4</v>
      </c>
      <c r="K63" s="2">
        <v>1</v>
      </c>
      <c r="L63" s="2" t="s">
        <v>7</v>
      </c>
    </row>
    <row r="64" spans="1:12">
      <c r="A64" s="2">
        <f t="shared" ca="1" si="0"/>
        <v>105</v>
      </c>
      <c r="B64" s="2" cm="1">
        <f t="array" aca="1" ref="B64" ca="1">INDEX(Data_DBD!$B:$B,$A64)</f>
        <v>61</v>
      </c>
      <c r="C64" s="2" cm="1">
        <f t="array" aca="1" ref="C64" ca="1">INDEX(Data_DBD!$C:$C,$A64)</f>
        <v>3</v>
      </c>
      <c r="D64" s="2" cm="1">
        <f t="array" aca="1" ref="D64" ca="1">INDEX(Data_DBD!$E:$E,$A64)</f>
        <v>1</v>
      </c>
      <c r="E64" s="2" t="str" cm="1">
        <f t="array" aca="1" ref="E64" ca="1">INDEX(Data_DBD!$F:$F,$A64)</f>
        <v>Tinggi</v>
      </c>
      <c r="H64" s="2">
        <v>93</v>
      </c>
      <c r="I64" s="2">
        <v>65</v>
      </c>
      <c r="J64" s="2">
        <v>4</v>
      </c>
      <c r="K64" s="2">
        <v>0</v>
      </c>
      <c r="L64" s="2" t="s">
        <v>97</v>
      </c>
    </row>
    <row r="65" spans="1:12">
      <c r="A65" s="2">
        <f t="shared" ca="1" si="0"/>
        <v>2</v>
      </c>
      <c r="B65" s="2" cm="1">
        <f t="array" aca="1" ref="B65" ca="1">INDEX(Data_DBD!$B:$B,$A65)</f>
        <v>34</v>
      </c>
      <c r="C65" s="2" cm="1">
        <f t="array" aca="1" ref="C65" ca="1">INDEX(Data_DBD!$C:$C,$A65)</f>
        <v>3</v>
      </c>
      <c r="D65" s="2" cm="1">
        <f t="array" aca="1" ref="D65" ca="1">INDEX(Data_DBD!$E:$E,$A65)</f>
        <v>0</v>
      </c>
      <c r="E65" s="2" t="str" cm="1">
        <f t="array" aca="1" ref="E65" ca="1">INDEX(Data_DBD!$F:$F,$A65)</f>
        <v>Sedang</v>
      </c>
      <c r="H65" s="2">
        <v>39</v>
      </c>
      <c r="I65" s="2">
        <v>12</v>
      </c>
      <c r="J65" s="2">
        <v>5</v>
      </c>
      <c r="K65" s="2">
        <v>1</v>
      </c>
      <c r="L65" s="2" t="s">
        <v>7</v>
      </c>
    </row>
    <row r="66" spans="1:12">
      <c r="A66" s="2">
        <f t="shared" ca="1" si="0"/>
        <v>83</v>
      </c>
      <c r="B66" s="2" cm="1">
        <f t="array" aca="1" ref="B66" ca="1">INDEX(Data_DBD!$B:$B,$A66)</f>
        <v>50</v>
      </c>
      <c r="C66" s="2" cm="1">
        <f t="array" aca="1" ref="C66" ca="1">INDEX(Data_DBD!$C:$C,$A66)</f>
        <v>3</v>
      </c>
      <c r="D66" s="2" cm="1">
        <f t="array" aca="1" ref="D66" ca="1">INDEX(Data_DBD!$E:$E,$A66)</f>
        <v>0</v>
      </c>
      <c r="E66" s="2" t="str" cm="1">
        <f t="array" aca="1" ref="E66" ca="1">INDEX(Data_DBD!$F:$F,$A66)</f>
        <v>Sedang</v>
      </c>
      <c r="H66" s="2">
        <v>34</v>
      </c>
      <c r="I66" s="2">
        <v>55</v>
      </c>
      <c r="J66" s="2">
        <v>3</v>
      </c>
      <c r="K66" s="2">
        <v>0</v>
      </c>
      <c r="L66" s="2" t="s">
        <v>7</v>
      </c>
    </row>
    <row r="67" spans="1:12">
      <c r="A67" s="2">
        <f t="shared" ref="A67:A130" ca="1" si="1">RANDBETWEEN(2,164)</f>
        <v>32</v>
      </c>
      <c r="B67" s="2" cm="1">
        <f t="array" aca="1" ref="B67" ca="1">INDEX(Data_DBD!$B:$B,$A67)</f>
        <v>54</v>
      </c>
      <c r="C67" s="2" cm="1">
        <f t="array" aca="1" ref="C67" ca="1">INDEX(Data_DBD!$C:$C,$A67)</f>
        <v>4</v>
      </c>
      <c r="D67" s="2" cm="1">
        <f t="array" aca="1" ref="D67" ca="1">INDEX(Data_DBD!$E:$E,$A67)</f>
        <v>0</v>
      </c>
      <c r="E67" s="2" t="str" cm="1">
        <f t="array" aca="1" ref="E67" ca="1">INDEX(Data_DBD!$F:$F,$A67)</f>
        <v>Sedang</v>
      </c>
      <c r="H67" s="2">
        <v>49</v>
      </c>
      <c r="I67" s="2">
        <v>64</v>
      </c>
      <c r="J67" s="2">
        <v>5</v>
      </c>
      <c r="K67" s="2">
        <v>0</v>
      </c>
      <c r="L67" s="2" t="s">
        <v>7</v>
      </c>
    </row>
    <row r="68" spans="1:12">
      <c r="A68" s="2">
        <f t="shared" ca="1" si="1"/>
        <v>45</v>
      </c>
      <c r="B68" s="2" cm="1">
        <f t="array" aca="1" ref="B68" ca="1">INDEX(Data_DBD!$B:$B,$A68)</f>
        <v>75</v>
      </c>
      <c r="C68" s="2" cm="1">
        <f t="array" aca="1" ref="C68" ca="1">INDEX(Data_DBD!$C:$C,$A68)</f>
        <v>3</v>
      </c>
      <c r="D68" s="2" cm="1">
        <f t="array" aca="1" ref="D68" ca="1">INDEX(Data_DBD!$E:$E,$A68)</f>
        <v>1</v>
      </c>
      <c r="E68" s="2" t="str" cm="1">
        <f t="array" aca="1" ref="E68" ca="1">INDEX(Data_DBD!$F:$F,$A68)</f>
        <v>Sedang</v>
      </c>
      <c r="H68" s="2">
        <v>123</v>
      </c>
      <c r="I68" s="2">
        <v>22</v>
      </c>
      <c r="J68" s="2">
        <v>4</v>
      </c>
      <c r="K68" s="2">
        <v>0</v>
      </c>
      <c r="L68" s="2" t="s">
        <v>97</v>
      </c>
    </row>
    <row r="69" spans="1:12">
      <c r="A69" s="2">
        <f t="shared" ca="1" si="1"/>
        <v>107</v>
      </c>
      <c r="B69" s="2" cm="1">
        <f t="array" aca="1" ref="B69" ca="1">INDEX(Data_DBD!$B:$B,$A69)</f>
        <v>48</v>
      </c>
      <c r="C69" s="2" cm="1">
        <f t="array" aca="1" ref="C69" ca="1">INDEX(Data_DBD!$C:$C,$A69)</f>
        <v>5</v>
      </c>
      <c r="D69" s="2" cm="1">
        <f t="array" aca="1" ref="D69" ca="1">INDEX(Data_DBD!$E:$E,$A69)</f>
        <v>0</v>
      </c>
      <c r="E69" s="2" t="str" cm="1">
        <f t="array" aca="1" ref="E69" ca="1">INDEX(Data_DBD!$F:$F,$A69)</f>
        <v>Tinggi</v>
      </c>
      <c r="H69" s="2">
        <v>81</v>
      </c>
      <c r="I69" s="2">
        <v>23</v>
      </c>
      <c r="J69" s="2">
        <v>5</v>
      </c>
      <c r="K69" s="2">
        <v>1</v>
      </c>
      <c r="L69" s="2" t="s">
        <v>7</v>
      </c>
    </row>
    <row r="70" spans="1:12">
      <c r="A70" s="2">
        <f t="shared" ca="1" si="1"/>
        <v>6</v>
      </c>
      <c r="B70" s="2" cm="1">
        <f t="array" aca="1" ref="B70" ca="1">INDEX(Data_DBD!$B:$B,$A70)</f>
        <v>14</v>
      </c>
      <c r="C70" s="2" cm="1">
        <f t="array" aca="1" ref="C70" ca="1">INDEX(Data_DBD!$C:$C,$A70)</f>
        <v>4</v>
      </c>
      <c r="D70" s="2" cm="1">
        <f t="array" aca="1" ref="D70" ca="1">INDEX(Data_DBD!$E:$E,$A70)</f>
        <v>0</v>
      </c>
      <c r="E70" s="2" t="str" cm="1">
        <f t="array" aca="1" ref="E70" ca="1">INDEX(Data_DBD!$F:$F,$A70)</f>
        <v>Sedang</v>
      </c>
      <c r="H70" s="2">
        <v>137</v>
      </c>
      <c r="I70" s="2">
        <v>3</v>
      </c>
      <c r="J70" s="2">
        <v>1</v>
      </c>
      <c r="K70" s="2">
        <v>1</v>
      </c>
      <c r="L70" s="2" t="s">
        <v>97</v>
      </c>
    </row>
    <row r="71" spans="1:12">
      <c r="A71" s="2">
        <f t="shared" ca="1" si="1"/>
        <v>115</v>
      </c>
      <c r="B71" s="2" cm="1">
        <f t="array" aca="1" ref="B71" ca="1">INDEX(Data_DBD!$B:$B,$A71)</f>
        <v>52</v>
      </c>
      <c r="C71" s="2" cm="1">
        <f t="array" aca="1" ref="C71" ca="1">INDEX(Data_DBD!$C:$C,$A71)</f>
        <v>3</v>
      </c>
      <c r="D71" s="2" cm="1">
        <f t="array" aca="1" ref="D71" ca="1">INDEX(Data_DBD!$E:$E,$A71)</f>
        <v>1</v>
      </c>
      <c r="E71" s="2" t="str" cm="1">
        <f t="array" aca="1" ref="E71" ca="1">INDEX(Data_DBD!$F:$F,$A71)</f>
        <v>Tinggi</v>
      </c>
      <c r="H71" s="2">
        <v>114</v>
      </c>
      <c r="I71" s="2">
        <v>14</v>
      </c>
      <c r="J71" s="2">
        <v>2</v>
      </c>
      <c r="K71" s="2">
        <v>1</v>
      </c>
      <c r="L71" s="2" t="s">
        <v>97</v>
      </c>
    </row>
    <row r="72" spans="1:12">
      <c r="A72" s="2">
        <f t="shared" ca="1" si="1"/>
        <v>150</v>
      </c>
      <c r="B72" s="2" cm="1">
        <f t="array" aca="1" ref="B72" ca="1">INDEX(Data_DBD!$B:$B,$A72)</f>
        <v>61</v>
      </c>
      <c r="C72" s="2" cm="1">
        <f t="array" aca="1" ref="C72" ca="1">INDEX(Data_DBD!$C:$C,$A72)</f>
        <v>5</v>
      </c>
      <c r="D72" s="2" cm="1">
        <f t="array" aca="1" ref="D72" ca="1">INDEX(Data_DBD!$E:$E,$A72)</f>
        <v>1</v>
      </c>
      <c r="E72" s="2" t="str" cm="1">
        <f t="array" aca="1" ref="E72" ca="1">INDEX(Data_DBD!$F:$F,$A72)</f>
        <v>Tinggi</v>
      </c>
      <c r="H72" s="2">
        <v>108</v>
      </c>
      <c r="I72" s="2">
        <v>69</v>
      </c>
      <c r="J72" s="2">
        <v>7</v>
      </c>
      <c r="K72" s="2">
        <v>1</v>
      </c>
      <c r="L72" s="2" t="s">
        <v>97</v>
      </c>
    </row>
    <row r="73" spans="1:12">
      <c r="A73" s="2">
        <f t="shared" ca="1" si="1"/>
        <v>113</v>
      </c>
      <c r="B73" s="2" cm="1">
        <f t="array" aca="1" ref="B73" ca="1">INDEX(Data_DBD!$B:$B,$A73)</f>
        <v>69</v>
      </c>
      <c r="C73" s="2" cm="1">
        <f t="array" aca="1" ref="C73" ca="1">INDEX(Data_DBD!$C:$C,$A73)</f>
        <v>1</v>
      </c>
      <c r="D73" s="2" cm="1">
        <f t="array" aca="1" ref="D73" ca="1">INDEX(Data_DBD!$E:$E,$A73)</f>
        <v>1</v>
      </c>
      <c r="E73" s="2" t="str" cm="1">
        <f t="array" aca="1" ref="E73" ca="1">INDEX(Data_DBD!$F:$F,$A73)</f>
        <v>Tinggi</v>
      </c>
      <c r="H73" s="2">
        <v>108</v>
      </c>
      <c r="I73" s="2">
        <v>69</v>
      </c>
      <c r="J73" s="2">
        <v>7</v>
      </c>
      <c r="K73" s="2">
        <v>1</v>
      </c>
      <c r="L73" s="2" t="s">
        <v>97</v>
      </c>
    </row>
    <row r="74" spans="1:12">
      <c r="A74" s="2">
        <f t="shared" ca="1" si="1"/>
        <v>2</v>
      </c>
      <c r="B74" s="2" cm="1">
        <f t="array" aca="1" ref="B74" ca="1">INDEX(Data_DBD!$B:$B,$A74)</f>
        <v>34</v>
      </c>
      <c r="C74" s="2" cm="1">
        <f t="array" aca="1" ref="C74" ca="1">INDEX(Data_DBD!$C:$C,$A74)</f>
        <v>3</v>
      </c>
      <c r="D74" s="2" cm="1">
        <f t="array" aca="1" ref="D74" ca="1">INDEX(Data_DBD!$E:$E,$A74)</f>
        <v>0</v>
      </c>
      <c r="E74" s="2" t="str" cm="1">
        <f t="array" aca="1" ref="E74" ca="1">INDEX(Data_DBD!$F:$F,$A74)</f>
        <v>Sedang</v>
      </c>
      <c r="H74" s="2">
        <v>45</v>
      </c>
      <c r="I74" s="2">
        <v>75</v>
      </c>
      <c r="J74" s="2">
        <v>3</v>
      </c>
      <c r="K74" s="2">
        <v>1</v>
      </c>
      <c r="L74" s="2" t="s">
        <v>7</v>
      </c>
    </row>
    <row r="75" spans="1:12">
      <c r="A75" s="2">
        <f t="shared" ca="1" si="1"/>
        <v>118</v>
      </c>
      <c r="B75" s="2" cm="1">
        <f t="array" aca="1" ref="B75" ca="1">INDEX(Data_DBD!$B:$B,$A75)</f>
        <v>67</v>
      </c>
      <c r="C75" s="2" cm="1">
        <f t="array" aca="1" ref="C75" ca="1">INDEX(Data_DBD!$C:$C,$A75)</f>
        <v>4</v>
      </c>
      <c r="D75" s="2" cm="1">
        <f t="array" aca="1" ref="D75" ca="1">INDEX(Data_DBD!$E:$E,$A75)</f>
        <v>1</v>
      </c>
      <c r="E75" s="2" t="str" cm="1">
        <f t="array" aca="1" ref="E75" ca="1">INDEX(Data_DBD!$F:$F,$A75)</f>
        <v>Tinggi</v>
      </c>
      <c r="H75" s="2">
        <v>139</v>
      </c>
      <c r="I75" s="2">
        <v>52</v>
      </c>
      <c r="J75" s="2">
        <v>7</v>
      </c>
      <c r="K75" s="2">
        <v>0</v>
      </c>
      <c r="L75" s="2" t="s">
        <v>97</v>
      </c>
    </row>
    <row r="76" spans="1:12">
      <c r="A76" s="2">
        <f t="shared" ca="1" si="1"/>
        <v>72</v>
      </c>
      <c r="B76" s="2" cm="1">
        <f t="array" aca="1" ref="B76" ca="1">INDEX(Data_DBD!$B:$B,$A76)</f>
        <v>3</v>
      </c>
      <c r="C76" s="2" cm="1">
        <f t="array" aca="1" ref="C76" ca="1">INDEX(Data_DBD!$C:$C,$A76)</f>
        <v>5</v>
      </c>
      <c r="D76" s="2" cm="1">
        <f t="array" aca="1" ref="D76" ca="1">INDEX(Data_DBD!$E:$E,$A76)</f>
        <v>1</v>
      </c>
      <c r="E76" s="2" t="str" cm="1">
        <f t="array" aca="1" ref="E76" ca="1">INDEX(Data_DBD!$F:$F,$A76)</f>
        <v>Sedang</v>
      </c>
      <c r="H76" s="2">
        <v>21</v>
      </c>
      <c r="I76" s="2">
        <v>10</v>
      </c>
      <c r="J76" s="2">
        <v>5</v>
      </c>
      <c r="K76" s="2">
        <v>1</v>
      </c>
      <c r="L76" s="2" t="s">
        <v>7</v>
      </c>
    </row>
    <row r="77" spans="1:12">
      <c r="A77" s="2">
        <f t="shared" ca="1" si="1"/>
        <v>130</v>
      </c>
      <c r="B77" s="2" cm="1">
        <f t="array" aca="1" ref="B77" ca="1">INDEX(Data_DBD!$B:$B,$A77)</f>
        <v>12</v>
      </c>
      <c r="C77" s="2" cm="1">
        <f t="array" aca="1" ref="C77" ca="1">INDEX(Data_DBD!$C:$C,$A77)</f>
        <v>4</v>
      </c>
      <c r="D77" s="2" cm="1">
        <f t="array" aca="1" ref="D77" ca="1">INDEX(Data_DBD!$E:$E,$A77)</f>
        <v>0</v>
      </c>
      <c r="E77" s="2" t="str" cm="1">
        <f t="array" aca="1" ref="E77" ca="1">INDEX(Data_DBD!$F:$F,$A77)</f>
        <v>Tinggi</v>
      </c>
      <c r="H77" s="2">
        <v>75</v>
      </c>
      <c r="I77" s="2">
        <v>2</v>
      </c>
      <c r="J77" s="2">
        <v>2</v>
      </c>
      <c r="K77" s="2">
        <v>1</v>
      </c>
      <c r="L77" s="2" t="s">
        <v>7</v>
      </c>
    </row>
    <row r="78" spans="1:12">
      <c r="A78" s="2">
        <f t="shared" ca="1" si="1"/>
        <v>6</v>
      </c>
      <c r="B78" s="2" cm="1">
        <f t="array" aca="1" ref="B78" ca="1">INDEX(Data_DBD!$B:$B,$A78)</f>
        <v>14</v>
      </c>
      <c r="C78" s="2" cm="1">
        <f t="array" aca="1" ref="C78" ca="1">INDEX(Data_DBD!$C:$C,$A78)</f>
        <v>4</v>
      </c>
      <c r="D78" s="2" cm="1">
        <f t="array" aca="1" ref="D78" ca="1">INDEX(Data_DBD!$E:$E,$A78)</f>
        <v>0</v>
      </c>
      <c r="E78" s="2" t="str" cm="1">
        <f t="array" aca="1" ref="E78" ca="1">INDEX(Data_DBD!$F:$F,$A78)</f>
        <v>Sedang</v>
      </c>
      <c r="H78" s="2">
        <v>135</v>
      </c>
      <c r="I78" s="2">
        <v>10</v>
      </c>
      <c r="J78" s="2">
        <v>2</v>
      </c>
      <c r="K78" s="2">
        <v>0</v>
      </c>
      <c r="L78" s="2" t="s">
        <v>97</v>
      </c>
    </row>
    <row r="79" spans="1:12">
      <c r="A79" s="2">
        <f t="shared" ca="1" si="1"/>
        <v>121</v>
      </c>
      <c r="B79" s="2" cm="1">
        <f t="array" aca="1" ref="B79" ca="1">INDEX(Data_DBD!$B:$B,$A79)</f>
        <v>82</v>
      </c>
      <c r="C79" s="2" cm="1">
        <f t="array" aca="1" ref="C79" ca="1">INDEX(Data_DBD!$C:$C,$A79)</f>
        <v>5</v>
      </c>
      <c r="D79" s="2" cm="1">
        <f t="array" aca="1" ref="D79" ca="1">INDEX(Data_DBD!$E:$E,$A79)</f>
        <v>1</v>
      </c>
      <c r="E79" s="2" t="str" cm="1">
        <f t="array" aca="1" ref="E79" ca="1">INDEX(Data_DBD!$F:$F,$A79)</f>
        <v>Tinggi</v>
      </c>
      <c r="H79" s="2">
        <v>79</v>
      </c>
      <c r="I79" s="2">
        <v>29</v>
      </c>
      <c r="J79" s="2">
        <v>3</v>
      </c>
      <c r="K79" s="2">
        <v>0</v>
      </c>
      <c r="L79" s="2" t="s">
        <v>7</v>
      </c>
    </row>
    <row r="80" spans="1:12">
      <c r="A80" s="2">
        <f t="shared" ca="1" si="1"/>
        <v>124</v>
      </c>
      <c r="B80" s="2" cm="1">
        <f t="array" aca="1" ref="B80" ca="1">INDEX(Data_DBD!$B:$B,$A80)</f>
        <v>24</v>
      </c>
      <c r="C80" s="2" cm="1">
        <f t="array" aca="1" ref="C80" ca="1">INDEX(Data_DBD!$C:$C,$A80)</f>
        <v>3</v>
      </c>
      <c r="D80" s="2" cm="1">
        <f t="array" aca="1" ref="D80" ca="1">INDEX(Data_DBD!$E:$E,$A80)</f>
        <v>1</v>
      </c>
      <c r="E80" s="2" t="str" cm="1">
        <f t="array" aca="1" ref="E80" ca="1">INDEX(Data_DBD!$F:$F,$A80)</f>
        <v>Tinggi</v>
      </c>
      <c r="H80" s="2">
        <v>37</v>
      </c>
      <c r="I80" s="2">
        <v>28</v>
      </c>
      <c r="J80" s="2">
        <v>4</v>
      </c>
      <c r="K80" s="2">
        <v>1</v>
      </c>
      <c r="L80" s="2" t="s">
        <v>20</v>
      </c>
    </row>
    <row r="81" spans="1:12">
      <c r="A81" s="2">
        <f t="shared" ca="1" si="1"/>
        <v>69</v>
      </c>
      <c r="B81" s="2" cm="1">
        <f t="array" aca="1" ref="B81" ca="1">INDEX(Data_DBD!$B:$B,$A81)</f>
        <v>24</v>
      </c>
      <c r="C81" s="2" cm="1">
        <f t="array" aca="1" ref="C81" ca="1">INDEX(Data_DBD!$C:$C,$A81)</f>
        <v>4</v>
      </c>
      <c r="D81" s="2" cm="1">
        <f t="array" aca="1" ref="D81" ca="1">INDEX(Data_DBD!$E:$E,$A81)</f>
        <v>1</v>
      </c>
      <c r="E81" s="2" t="str" cm="1">
        <f t="array" aca="1" ref="E81" ca="1">INDEX(Data_DBD!$F:$F,$A81)</f>
        <v>Sedang</v>
      </c>
      <c r="H81" s="2">
        <v>112</v>
      </c>
      <c r="I81" s="2">
        <v>61</v>
      </c>
      <c r="J81" s="2">
        <v>3</v>
      </c>
      <c r="K81" s="2">
        <v>1</v>
      </c>
      <c r="L81" s="2" t="s">
        <v>97</v>
      </c>
    </row>
    <row r="82" spans="1:12">
      <c r="A82" s="2">
        <f t="shared" ca="1" si="1"/>
        <v>118</v>
      </c>
      <c r="B82" s="2" cm="1">
        <f t="array" aca="1" ref="B82" ca="1">INDEX(Data_DBD!$B:$B,$A82)</f>
        <v>67</v>
      </c>
      <c r="C82" s="2" cm="1">
        <f t="array" aca="1" ref="C82" ca="1">INDEX(Data_DBD!$C:$C,$A82)</f>
        <v>4</v>
      </c>
      <c r="D82" s="2" cm="1">
        <f t="array" aca="1" ref="D82" ca="1">INDEX(Data_DBD!$E:$E,$A82)</f>
        <v>1</v>
      </c>
      <c r="E82" s="2" t="str" cm="1">
        <f t="array" aca="1" ref="E82" ca="1">INDEX(Data_DBD!$F:$F,$A82)</f>
        <v>Tinggi</v>
      </c>
      <c r="H82" s="2">
        <v>74</v>
      </c>
      <c r="I82" s="2">
        <v>9</v>
      </c>
      <c r="J82" s="2">
        <v>4</v>
      </c>
      <c r="K82" s="2">
        <v>0</v>
      </c>
      <c r="L82" s="2" t="s">
        <v>7</v>
      </c>
    </row>
    <row r="83" spans="1:12">
      <c r="A83" s="2">
        <f t="shared" ca="1" si="1"/>
        <v>111</v>
      </c>
      <c r="B83" s="2" cm="1">
        <f t="array" aca="1" ref="B83" ca="1">INDEX(Data_DBD!$B:$B,$A83)</f>
        <v>25</v>
      </c>
      <c r="C83" s="2" cm="1">
        <f t="array" aca="1" ref="C83" ca="1">INDEX(Data_DBD!$C:$C,$A83)</f>
        <v>4</v>
      </c>
      <c r="D83" s="2" cm="1">
        <f t="array" aca="1" ref="D83" ca="1">INDEX(Data_DBD!$E:$E,$A83)</f>
        <v>0</v>
      </c>
      <c r="E83" s="2" t="str" cm="1">
        <f t="array" aca="1" ref="E83" ca="1">INDEX(Data_DBD!$F:$F,$A83)</f>
        <v>Tinggi</v>
      </c>
      <c r="H83" s="2">
        <v>106</v>
      </c>
      <c r="I83" s="2">
        <v>23</v>
      </c>
      <c r="J83" s="2">
        <v>3</v>
      </c>
      <c r="K83" s="2">
        <v>1</v>
      </c>
      <c r="L83" s="2" t="s">
        <v>97</v>
      </c>
    </row>
    <row r="84" spans="1:12">
      <c r="A84" s="2">
        <f t="shared" ca="1" si="1"/>
        <v>147</v>
      </c>
      <c r="B84" s="2" cm="1">
        <f t="array" aca="1" ref="B84" ca="1">INDEX(Data_DBD!$B:$B,$A84)</f>
        <v>66</v>
      </c>
      <c r="C84" s="2" cm="1">
        <f t="array" aca="1" ref="C84" ca="1">INDEX(Data_DBD!$C:$C,$A84)</f>
        <v>10</v>
      </c>
      <c r="D84" s="2" cm="1">
        <f t="array" aca="1" ref="D84" ca="1">INDEX(Data_DBD!$E:$E,$A84)</f>
        <v>1</v>
      </c>
      <c r="E84" s="2" t="str" cm="1">
        <f t="array" aca="1" ref="E84" ca="1">INDEX(Data_DBD!$F:$F,$A84)</f>
        <v>Tinggi</v>
      </c>
      <c r="H84" s="2">
        <v>127</v>
      </c>
      <c r="I84" s="2">
        <v>21</v>
      </c>
      <c r="J84" s="2">
        <v>2</v>
      </c>
      <c r="K84" s="2">
        <v>0</v>
      </c>
      <c r="L84" s="2" t="s">
        <v>97</v>
      </c>
    </row>
    <row r="85" spans="1:12">
      <c r="A85" s="2">
        <f t="shared" ca="1" si="1"/>
        <v>35</v>
      </c>
      <c r="B85" s="2" cm="1">
        <f t="array" aca="1" ref="B85" ca="1">INDEX(Data_DBD!$B:$B,$A85)</f>
        <v>40</v>
      </c>
      <c r="C85" s="2" cm="1">
        <f t="array" aca="1" ref="C85" ca="1">INDEX(Data_DBD!$C:$C,$A85)</f>
        <v>3</v>
      </c>
      <c r="D85" s="2" cm="1">
        <f t="array" aca="1" ref="D85" ca="1">INDEX(Data_DBD!$E:$E,$A85)</f>
        <v>1</v>
      </c>
      <c r="E85" s="2" t="str" cm="1">
        <f t="array" aca="1" ref="E85" ca="1">INDEX(Data_DBD!$F:$F,$A85)</f>
        <v>Rendah</v>
      </c>
      <c r="H85" s="2">
        <v>81</v>
      </c>
      <c r="I85" s="2">
        <v>23</v>
      </c>
      <c r="J85" s="2">
        <v>5</v>
      </c>
      <c r="K85" s="2">
        <v>1</v>
      </c>
      <c r="L85" s="2" t="s">
        <v>7</v>
      </c>
    </row>
    <row r="86" spans="1:12">
      <c r="A86" s="2">
        <f t="shared" ca="1" si="1"/>
        <v>60</v>
      </c>
      <c r="B86" s="2" cm="1">
        <f t="array" aca="1" ref="B86" ca="1">INDEX(Data_DBD!$B:$B,$A86)</f>
        <v>68</v>
      </c>
      <c r="C86" s="2" cm="1">
        <f t="array" aca="1" ref="C86" ca="1">INDEX(Data_DBD!$C:$C,$A86)</f>
        <v>4</v>
      </c>
      <c r="D86" s="2" cm="1">
        <f t="array" aca="1" ref="D86" ca="1">INDEX(Data_DBD!$E:$E,$A86)</f>
        <v>0</v>
      </c>
      <c r="E86" s="2" t="str" cm="1">
        <f t="array" aca="1" ref="E86" ca="1">INDEX(Data_DBD!$F:$F,$A86)</f>
        <v>Sedang</v>
      </c>
      <c r="H86" s="2">
        <v>124</v>
      </c>
      <c r="I86" s="2">
        <v>24</v>
      </c>
      <c r="J86" s="2">
        <v>3</v>
      </c>
      <c r="K86" s="2">
        <v>1</v>
      </c>
      <c r="L86" s="2" t="s">
        <v>97</v>
      </c>
    </row>
    <row r="87" spans="1:12">
      <c r="A87" s="2">
        <f t="shared" ca="1" si="1"/>
        <v>98</v>
      </c>
      <c r="B87" s="2" cm="1">
        <f t="array" aca="1" ref="B87" ca="1">INDEX(Data_DBD!$B:$B,$A87)</f>
        <v>16</v>
      </c>
      <c r="C87" s="2" cm="1">
        <f t="array" aca="1" ref="C87" ca="1">INDEX(Data_DBD!$C:$C,$A87)</f>
        <v>2</v>
      </c>
      <c r="D87" s="2" cm="1">
        <f t="array" aca="1" ref="D87" ca="1">INDEX(Data_DBD!$E:$E,$A87)</f>
        <v>1</v>
      </c>
      <c r="E87" s="2" t="str" cm="1">
        <f t="array" aca="1" ref="E87" ca="1">INDEX(Data_DBD!$F:$F,$A87)</f>
        <v>Tinggi</v>
      </c>
      <c r="H87" s="2">
        <v>93</v>
      </c>
      <c r="I87" s="2">
        <v>65</v>
      </c>
      <c r="J87" s="2">
        <v>4</v>
      </c>
      <c r="K87" s="2">
        <v>0</v>
      </c>
      <c r="L87" s="2" t="s">
        <v>97</v>
      </c>
    </row>
    <row r="88" spans="1:12">
      <c r="A88" s="2">
        <f t="shared" ca="1" si="1"/>
        <v>69</v>
      </c>
      <c r="B88" s="2" cm="1">
        <f t="array" aca="1" ref="B88" ca="1">INDEX(Data_DBD!$B:$B,$A88)</f>
        <v>24</v>
      </c>
      <c r="C88" s="2" cm="1">
        <f t="array" aca="1" ref="C88" ca="1">INDEX(Data_DBD!$C:$C,$A88)</f>
        <v>4</v>
      </c>
      <c r="D88" s="2" cm="1">
        <f t="array" aca="1" ref="D88" ca="1">INDEX(Data_DBD!$E:$E,$A88)</f>
        <v>1</v>
      </c>
      <c r="E88" s="2" t="str" cm="1">
        <f t="array" aca="1" ref="E88" ca="1">INDEX(Data_DBD!$F:$F,$A88)</f>
        <v>Sedang</v>
      </c>
      <c r="H88" s="2">
        <v>133</v>
      </c>
      <c r="I88" s="2">
        <v>6</v>
      </c>
      <c r="J88" s="2">
        <v>4</v>
      </c>
      <c r="K88" s="2">
        <v>0</v>
      </c>
      <c r="L88" s="2" t="s">
        <v>97</v>
      </c>
    </row>
    <row r="89" spans="1:12">
      <c r="A89" s="2">
        <f t="shared" ca="1" si="1"/>
        <v>56</v>
      </c>
      <c r="B89" s="2" cm="1">
        <f t="array" aca="1" ref="B89" ca="1">INDEX(Data_DBD!$B:$B,$A89)</f>
        <v>4</v>
      </c>
      <c r="C89" s="2" cm="1">
        <f t="array" aca="1" ref="C89" ca="1">INDEX(Data_DBD!$C:$C,$A89)</f>
        <v>3</v>
      </c>
      <c r="D89" s="2" cm="1">
        <f t="array" aca="1" ref="D89" ca="1">INDEX(Data_DBD!$E:$E,$A89)</f>
        <v>0</v>
      </c>
      <c r="E89" s="2" t="str" cm="1">
        <f t="array" aca="1" ref="E89" ca="1">INDEX(Data_DBD!$F:$F,$A89)</f>
        <v>Sedang</v>
      </c>
      <c r="H89" s="2">
        <v>32</v>
      </c>
      <c r="I89" s="2">
        <v>54</v>
      </c>
      <c r="J89" s="2">
        <v>4</v>
      </c>
      <c r="K89" s="2">
        <v>0</v>
      </c>
      <c r="L89" s="2" t="s">
        <v>7</v>
      </c>
    </row>
    <row r="90" spans="1:12">
      <c r="A90" s="2">
        <f t="shared" ca="1" si="1"/>
        <v>148</v>
      </c>
      <c r="B90" s="2" cm="1">
        <f t="array" aca="1" ref="B90" ca="1">INDEX(Data_DBD!$B:$B,$A90)</f>
        <v>55</v>
      </c>
      <c r="C90" s="2" cm="1">
        <f t="array" aca="1" ref="C90" ca="1">INDEX(Data_DBD!$C:$C,$A90)</f>
        <v>3</v>
      </c>
      <c r="D90" s="2" cm="1">
        <f t="array" aca="1" ref="D90" ca="1">INDEX(Data_DBD!$E:$E,$A90)</f>
        <v>1</v>
      </c>
      <c r="E90" s="2" t="str" cm="1">
        <f t="array" aca="1" ref="E90" ca="1">INDEX(Data_DBD!$F:$F,$A90)</f>
        <v>Tinggi</v>
      </c>
      <c r="H90" s="2">
        <v>8</v>
      </c>
      <c r="I90" s="2">
        <v>4</v>
      </c>
      <c r="J90" s="2">
        <v>2</v>
      </c>
      <c r="K90" s="2">
        <v>0</v>
      </c>
      <c r="L90" s="2" t="s">
        <v>7</v>
      </c>
    </row>
    <row r="91" spans="1:12">
      <c r="A91" s="2">
        <f t="shared" ca="1" si="1"/>
        <v>26</v>
      </c>
      <c r="B91" s="2" cm="1">
        <f t="array" aca="1" ref="B91" ca="1">INDEX(Data_DBD!$B:$B,$A91)</f>
        <v>75</v>
      </c>
      <c r="C91" s="2" cm="1">
        <f t="array" aca="1" ref="C91" ca="1">INDEX(Data_DBD!$C:$C,$A91)</f>
        <v>4</v>
      </c>
      <c r="D91" s="2" cm="1">
        <f t="array" aca="1" ref="D91" ca="1">INDEX(Data_DBD!$E:$E,$A91)</f>
        <v>1</v>
      </c>
      <c r="E91" s="2" t="str" cm="1">
        <f t="array" aca="1" ref="E91" ca="1">INDEX(Data_DBD!$F:$F,$A91)</f>
        <v>Sedang</v>
      </c>
      <c r="H91" s="2">
        <v>101</v>
      </c>
      <c r="I91" s="2">
        <v>42</v>
      </c>
      <c r="J91" s="2">
        <v>5</v>
      </c>
      <c r="K91" s="2">
        <v>0</v>
      </c>
      <c r="L91" s="2" t="s">
        <v>97</v>
      </c>
    </row>
    <row r="92" spans="1:12">
      <c r="A92" s="2">
        <f t="shared" ca="1" si="1"/>
        <v>93</v>
      </c>
      <c r="B92" s="2" cm="1">
        <f t="array" aca="1" ref="B92" ca="1">INDEX(Data_DBD!$B:$B,$A92)</f>
        <v>65</v>
      </c>
      <c r="C92" s="2" cm="1">
        <f t="array" aca="1" ref="C92" ca="1">INDEX(Data_DBD!$C:$C,$A92)</f>
        <v>4</v>
      </c>
      <c r="D92" s="2" cm="1">
        <f t="array" aca="1" ref="D92" ca="1">INDEX(Data_DBD!$E:$E,$A92)</f>
        <v>0</v>
      </c>
      <c r="E92" s="2" t="str" cm="1">
        <f t="array" aca="1" ref="E92" ca="1">INDEX(Data_DBD!$F:$F,$A92)</f>
        <v>Tinggi</v>
      </c>
      <c r="H92" s="2">
        <v>32</v>
      </c>
      <c r="I92" s="2">
        <v>54</v>
      </c>
      <c r="J92" s="2">
        <v>4</v>
      </c>
      <c r="K92" s="2">
        <v>0</v>
      </c>
      <c r="L92" s="2" t="s">
        <v>7</v>
      </c>
    </row>
    <row r="93" spans="1:12">
      <c r="A93" s="2">
        <f t="shared" ca="1" si="1"/>
        <v>65</v>
      </c>
      <c r="B93" s="2" cm="1">
        <f t="array" aca="1" ref="B93" ca="1">INDEX(Data_DBD!$B:$B,$A93)</f>
        <v>49</v>
      </c>
      <c r="C93" s="2" cm="1">
        <f t="array" aca="1" ref="C93" ca="1">INDEX(Data_DBD!$C:$C,$A93)</f>
        <v>3</v>
      </c>
      <c r="D93" s="2" cm="1">
        <f t="array" aca="1" ref="D93" ca="1">INDEX(Data_DBD!$E:$E,$A93)</f>
        <v>0</v>
      </c>
      <c r="E93" s="2" t="str" cm="1">
        <f t="array" aca="1" ref="E93" ca="1">INDEX(Data_DBD!$F:$F,$A93)</f>
        <v>Sedang</v>
      </c>
      <c r="H93" s="2">
        <v>140</v>
      </c>
      <c r="I93" s="2">
        <v>74</v>
      </c>
      <c r="J93" s="2">
        <v>5</v>
      </c>
      <c r="K93" s="2">
        <v>1</v>
      </c>
      <c r="L93" s="2" t="s">
        <v>97</v>
      </c>
    </row>
    <row r="94" spans="1:12">
      <c r="A94" s="2">
        <f t="shared" ca="1" si="1"/>
        <v>98</v>
      </c>
      <c r="B94" s="2" cm="1">
        <f t="array" aca="1" ref="B94" ca="1">INDEX(Data_DBD!$B:$B,$A94)</f>
        <v>16</v>
      </c>
      <c r="C94" s="2" cm="1">
        <f t="array" aca="1" ref="C94" ca="1">INDEX(Data_DBD!$C:$C,$A94)</f>
        <v>2</v>
      </c>
      <c r="D94" s="2" cm="1">
        <f t="array" aca="1" ref="D94" ca="1">INDEX(Data_DBD!$E:$E,$A94)</f>
        <v>1</v>
      </c>
      <c r="E94" s="2" t="str" cm="1">
        <f t="array" aca="1" ref="E94" ca="1">INDEX(Data_DBD!$F:$F,$A94)</f>
        <v>Tinggi</v>
      </c>
      <c r="H94" s="2">
        <v>69</v>
      </c>
      <c r="I94" s="2">
        <v>24</v>
      </c>
      <c r="J94" s="2">
        <v>4</v>
      </c>
      <c r="K94" s="2">
        <v>1</v>
      </c>
      <c r="L94" s="2" t="s">
        <v>7</v>
      </c>
    </row>
    <row r="95" spans="1:12">
      <c r="A95" s="2">
        <f t="shared" ca="1" si="1"/>
        <v>5</v>
      </c>
      <c r="B95" s="2" cm="1">
        <f t="array" aca="1" ref="B95" ca="1">INDEX(Data_DBD!$B:$B,$A95)</f>
        <v>18</v>
      </c>
      <c r="C95" s="2" cm="1">
        <f t="array" aca="1" ref="C95" ca="1">INDEX(Data_DBD!$C:$C,$A95)</f>
        <v>2</v>
      </c>
      <c r="D95" s="2" cm="1">
        <f t="array" aca="1" ref="D95" ca="1">INDEX(Data_DBD!$E:$E,$A95)</f>
        <v>1</v>
      </c>
      <c r="E95" s="2" t="str" cm="1">
        <f t="array" aca="1" ref="E95" ca="1">INDEX(Data_DBD!$F:$F,$A95)</f>
        <v>Sedang</v>
      </c>
      <c r="H95" s="2">
        <v>78</v>
      </c>
      <c r="I95" s="2">
        <v>6</v>
      </c>
      <c r="J95" s="2">
        <v>3</v>
      </c>
      <c r="K95" s="2">
        <v>0</v>
      </c>
      <c r="L95" s="2" t="s">
        <v>7</v>
      </c>
    </row>
    <row r="96" spans="1:12">
      <c r="A96" s="2">
        <f t="shared" ca="1" si="1"/>
        <v>121</v>
      </c>
      <c r="B96" s="2" cm="1">
        <f t="array" aca="1" ref="B96" ca="1">INDEX(Data_DBD!$B:$B,$A96)</f>
        <v>82</v>
      </c>
      <c r="C96" s="2" cm="1">
        <f t="array" aca="1" ref="C96" ca="1">INDEX(Data_DBD!$C:$C,$A96)</f>
        <v>5</v>
      </c>
      <c r="D96" s="2" cm="1">
        <f t="array" aca="1" ref="D96" ca="1">INDEX(Data_DBD!$E:$E,$A96)</f>
        <v>1</v>
      </c>
      <c r="E96" s="2" t="str" cm="1">
        <f t="array" aca="1" ref="E96" ca="1">INDEX(Data_DBD!$F:$F,$A96)</f>
        <v>Tinggi</v>
      </c>
      <c r="H96" s="2">
        <v>131</v>
      </c>
      <c r="I96" s="2">
        <v>10</v>
      </c>
      <c r="J96" s="2">
        <v>2</v>
      </c>
      <c r="K96" s="2">
        <v>0</v>
      </c>
      <c r="L96" s="2" t="s">
        <v>97</v>
      </c>
    </row>
    <row r="97" spans="1:12">
      <c r="A97" s="2">
        <f t="shared" ca="1" si="1"/>
        <v>82</v>
      </c>
      <c r="B97" s="2" cm="1">
        <f t="array" aca="1" ref="B97" ca="1">INDEX(Data_DBD!$B:$B,$A97)</f>
        <v>28</v>
      </c>
      <c r="C97" s="2" cm="1">
        <f t="array" aca="1" ref="C97" ca="1">INDEX(Data_DBD!$C:$C,$A97)</f>
        <v>3</v>
      </c>
      <c r="D97" s="2" cm="1">
        <f t="array" aca="1" ref="D97" ca="1">INDEX(Data_DBD!$E:$E,$A97)</f>
        <v>1</v>
      </c>
      <c r="E97" s="2" t="str" cm="1">
        <f t="array" aca="1" ref="E97" ca="1">INDEX(Data_DBD!$F:$F,$A97)</f>
        <v>Sedang</v>
      </c>
      <c r="H97" s="2">
        <v>147</v>
      </c>
      <c r="I97" s="2">
        <v>66</v>
      </c>
      <c r="J97" s="2">
        <v>10</v>
      </c>
      <c r="K97" s="2">
        <v>1</v>
      </c>
      <c r="L97" s="2" t="s">
        <v>97</v>
      </c>
    </row>
    <row r="98" spans="1:12">
      <c r="A98" s="2">
        <f t="shared" ca="1" si="1"/>
        <v>123</v>
      </c>
      <c r="B98" s="2" cm="1">
        <f t="array" aca="1" ref="B98" ca="1">INDEX(Data_DBD!$B:$B,$A98)</f>
        <v>22</v>
      </c>
      <c r="C98" s="2" cm="1">
        <f t="array" aca="1" ref="C98" ca="1">INDEX(Data_DBD!$C:$C,$A98)</f>
        <v>4</v>
      </c>
      <c r="D98" s="2" cm="1">
        <f t="array" aca="1" ref="D98" ca="1">INDEX(Data_DBD!$E:$E,$A98)</f>
        <v>0</v>
      </c>
      <c r="E98" s="2" t="str" cm="1">
        <f t="array" aca="1" ref="E98" ca="1">INDEX(Data_DBD!$F:$F,$A98)</f>
        <v>Tinggi</v>
      </c>
      <c r="H98" s="2">
        <v>54</v>
      </c>
      <c r="I98" s="2">
        <v>7</v>
      </c>
      <c r="J98" s="2">
        <v>3</v>
      </c>
      <c r="K98" s="2">
        <v>0</v>
      </c>
      <c r="L98" s="2" t="s">
        <v>7</v>
      </c>
    </row>
    <row r="99" spans="1:12">
      <c r="A99" s="2">
        <f t="shared" ca="1" si="1"/>
        <v>142</v>
      </c>
      <c r="B99" s="2" cm="1">
        <f t="array" aca="1" ref="B99" ca="1">INDEX(Data_DBD!$B:$B,$A99)</f>
        <v>39</v>
      </c>
      <c r="C99" s="2" cm="1">
        <f t="array" aca="1" ref="C99" ca="1">INDEX(Data_DBD!$C:$C,$A99)</f>
        <v>2</v>
      </c>
      <c r="D99" s="2" cm="1">
        <f t="array" aca="1" ref="D99" ca="1">INDEX(Data_DBD!$E:$E,$A99)</f>
        <v>1</v>
      </c>
      <c r="E99" s="2" t="str" cm="1">
        <f t="array" aca="1" ref="E99" ca="1">INDEX(Data_DBD!$F:$F,$A99)</f>
        <v>Tinggi</v>
      </c>
      <c r="H99" s="2">
        <v>64</v>
      </c>
      <c r="I99" s="2">
        <v>35</v>
      </c>
      <c r="J99" s="2">
        <v>1</v>
      </c>
      <c r="K99" s="2">
        <v>0</v>
      </c>
      <c r="L99" s="2" t="s">
        <v>7</v>
      </c>
    </row>
    <row r="100" spans="1:12">
      <c r="A100" s="2">
        <f t="shared" ca="1" si="1"/>
        <v>116</v>
      </c>
      <c r="B100" s="2" cm="1">
        <f t="array" aca="1" ref="B100" ca="1">INDEX(Data_DBD!$B:$B,$A100)</f>
        <v>32</v>
      </c>
      <c r="C100" s="2" cm="1">
        <f t="array" aca="1" ref="C100" ca="1">INDEX(Data_DBD!$C:$C,$A100)</f>
        <v>4</v>
      </c>
      <c r="D100" s="2" cm="1">
        <f t="array" aca="1" ref="D100" ca="1">INDEX(Data_DBD!$E:$E,$A100)</f>
        <v>1</v>
      </c>
      <c r="E100" s="2" t="str" cm="1">
        <f t="array" aca="1" ref="E100" ca="1">INDEX(Data_DBD!$F:$F,$A100)</f>
        <v>Tinggi</v>
      </c>
      <c r="H100" s="2">
        <v>74</v>
      </c>
      <c r="I100" s="2">
        <v>9</v>
      </c>
      <c r="J100" s="2">
        <v>4</v>
      </c>
      <c r="K100" s="2">
        <v>0</v>
      </c>
      <c r="L100" s="2" t="s">
        <v>7</v>
      </c>
    </row>
    <row r="101" spans="1:12">
      <c r="A101" s="2">
        <f t="shared" ca="1" si="1"/>
        <v>35</v>
      </c>
      <c r="B101" s="2" cm="1">
        <f t="array" aca="1" ref="B101" ca="1">INDEX(Data_DBD!$B:$B,$A101)</f>
        <v>40</v>
      </c>
      <c r="C101" s="2" cm="1">
        <f t="array" aca="1" ref="C101" ca="1">INDEX(Data_DBD!$C:$C,$A101)</f>
        <v>3</v>
      </c>
      <c r="D101" s="2" cm="1">
        <f t="array" aca="1" ref="D101" ca="1">INDEX(Data_DBD!$E:$E,$A101)</f>
        <v>1</v>
      </c>
      <c r="E101" s="2" t="str" cm="1">
        <f t="array" aca="1" ref="E101" ca="1">INDEX(Data_DBD!$F:$F,$A101)</f>
        <v>Rendah</v>
      </c>
      <c r="H101" s="2">
        <v>67</v>
      </c>
      <c r="I101" s="2">
        <v>21</v>
      </c>
      <c r="J101" s="2">
        <v>3</v>
      </c>
      <c r="K101" s="2">
        <v>1</v>
      </c>
      <c r="L101" s="2" t="s">
        <v>7</v>
      </c>
    </row>
    <row r="102" spans="1:12">
      <c r="A102" s="2">
        <f t="shared" ca="1" si="1"/>
        <v>116</v>
      </c>
      <c r="B102" s="2" cm="1">
        <f t="array" aca="1" ref="B102" ca="1">INDEX(Data_DBD!$B:$B,$A102)</f>
        <v>32</v>
      </c>
      <c r="C102" s="2" cm="1">
        <f t="array" aca="1" ref="C102" ca="1">INDEX(Data_DBD!$C:$C,$A102)</f>
        <v>4</v>
      </c>
      <c r="D102" s="2" cm="1">
        <f t="array" aca="1" ref="D102" ca="1">INDEX(Data_DBD!$E:$E,$A102)</f>
        <v>1</v>
      </c>
      <c r="E102" s="2" t="str" cm="1">
        <f t="array" aca="1" ref="E102" ca="1">INDEX(Data_DBD!$F:$F,$A102)</f>
        <v>Tinggi</v>
      </c>
      <c r="H102" s="2">
        <v>44</v>
      </c>
      <c r="I102" s="2">
        <v>28</v>
      </c>
      <c r="J102" s="2">
        <v>5</v>
      </c>
      <c r="K102" s="2">
        <v>1</v>
      </c>
      <c r="L102" s="2" t="s">
        <v>7</v>
      </c>
    </row>
    <row r="103" spans="1:12">
      <c r="A103" s="2">
        <f t="shared" ca="1" si="1"/>
        <v>65</v>
      </c>
      <c r="B103" s="2" cm="1">
        <f t="array" aca="1" ref="B103" ca="1">INDEX(Data_DBD!$B:$B,$A103)</f>
        <v>49</v>
      </c>
      <c r="C103" s="2" cm="1">
        <f t="array" aca="1" ref="C103" ca="1">INDEX(Data_DBD!$C:$C,$A103)</f>
        <v>3</v>
      </c>
      <c r="D103" s="2" cm="1">
        <f t="array" aca="1" ref="D103" ca="1">INDEX(Data_DBD!$E:$E,$A103)</f>
        <v>0</v>
      </c>
      <c r="E103" s="2" t="str" cm="1">
        <f t="array" aca="1" ref="E103" ca="1">INDEX(Data_DBD!$F:$F,$A103)</f>
        <v>Sedang</v>
      </c>
      <c r="H103" s="2">
        <v>76</v>
      </c>
      <c r="I103" s="2">
        <v>70</v>
      </c>
      <c r="J103" s="2">
        <v>2</v>
      </c>
      <c r="K103" s="2">
        <v>0</v>
      </c>
      <c r="L103" s="2" t="s">
        <v>7</v>
      </c>
    </row>
    <row r="104" spans="1:12">
      <c r="A104" s="2">
        <f t="shared" ca="1" si="1"/>
        <v>20</v>
      </c>
      <c r="B104" s="2" cm="1">
        <f t="array" aca="1" ref="B104" ca="1">INDEX(Data_DBD!$B:$B,$A104)</f>
        <v>15</v>
      </c>
      <c r="C104" s="2" cm="1">
        <f t="array" aca="1" ref="C104" ca="1">INDEX(Data_DBD!$C:$C,$A104)</f>
        <v>5</v>
      </c>
      <c r="D104" s="2" cm="1">
        <f t="array" aca="1" ref="D104" ca="1">INDEX(Data_DBD!$E:$E,$A104)</f>
        <v>0</v>
      </c>
      <c r="E104" s="2" t="str" cm="1">
        <f t="array" aca="1" ref="E104" ca="1">INDEX(Data_DBD!$F:$F,$A104)</f>
        <v>Rendah</v>
      </c>
      <c r="H104" s="2">
        <v>40</v>
      </c>
      <c r="I104" s="2">
        <v>65</v>
      </c>
      <c r="J104" s="2">
        <v>3</v>
      </c>
      <c r="K104" s="2">
        <v>1</v>
      </c>
      <c r="L104" s="2" t="s">
        <v>7</v>
      </c>
    </row>
    <row r="105" spans="1:12">
      <c r="A105" s="2">
        <f t="shared" ca="1" si="1"/>
        <v>33</v>
      </c>
      <c r="B105" s="2" cm="1">
        <f t="array" aca="1" ref="B105" ca="1">INDEX(Data_DBD!$B:$B,$A105)</f>
        <v>19</v>
      </c>
      <c r="C105" s="2" cm="1">
        <f t="array" aca="1" ref="C105" ca="1">INDEX(Data_DBD!$C:$C,$A105)</f>
        <v>4</v>
      </c>
      <c r="D105" s="2" cm="1">
        <f t="array" aca="1" ref="D105" ca="1">INDEX(Data_DBD!$E:$E,$A105)</f>
        <v>1</v>
      </c>
      <c r="E105" s="2" t="str" cm="1">
        <f t="array" aca="1" ref="E105" ca="1">INDEX(Data_DBD!$F:$F,$A105)</f>
        <v>Sedang</v>
      </c>
      <c r="H105" s="2">
        <v>48</v>
      </c>
      <c r="I105" s="2">
        <v>50</v>
      </c>
      <c r="J105" s="2">
        <v>5</v>
      </c>
      <c r="K105" s="2">
        <v>1</v>
      </c>
      <c r="L105" s="2" t="s">
        <v>7</v>
      </c>
    </row>
    <row r="106" spans="1:12">
      <c r="A106" s="2">
        <f t="shared" ca="1" si="1"/>
        <v>80</v>
      </c>
      <c r="B106" s="2" cm="1">
        <f t="array" aca="1" ref="B106" ca="1">INDEX(Data_DBD!$B:$B,$A106)</f>
        <v>27</v>
      </c>
      <c r="C106" s="2" cm="1">
        <f t="array" aca="1" ref="C106" ca="1">INDEX(Data_DBD!$C:$C,$A106)</f>
        <v>3</v>
      </c>
      <c r="D106" s="2" cm="1">
        <f t="array" aca="1" ref="D106" ca="1">INDEX(Data_DBD!$E:$E,$A106)</f>
        <v>1</v>
      </c>
      <c r="E106" s="2" t="str" cm="1">
        <f t="array" aca="1" ref="E106" ca="1">INDEX(Data_DBD!$F:$F,$A106)</f>
        <v>Sedang</v>
      </c>
      <c r="H106" s="2">
        <v>117</v>
      </c>
      <c r="I106" s="2">
        <v>49</v>
      </c>
      <c r="J106" s="2">
        <v>4</v>
      </c>
      <c r="K106" s="2">
        <v>1</v>
      </c>
      <c r="L106" s="2" t="s">
        <v>97</v>
      </c>
    </row>
    <row r="107" spans="1:12">
      <c r="A107" s="2">
        <f t="shared" ca="1" si="1"/>
        <v>156</v>
      </c>
      <c r="B107" s="2" cm="1">
        <f t="array" aca="1" ref="B107" ca="1">INDEX(Data_DBD!$B:$B,$A107)</f>
        <v>5</v>
      </c>
      <c r="C107" s="2" cm="1">
        <f t="array" aca="1" ref="C107" ca="1">INDEX(Data_DBD!$C:$C,$A107)</f>
        <v>2</v>
      </c>
      <c r="D107" s="2" cm="1">
        <f t="array" aca="1" ref="D107" ca="1">INDEX(Data_DBD!$E:$E,$A107)</f>
        <v>0</v>
      </c>
      <c r="E107" s="2" t="str" cm="1">
        <f t="array" aca="1" ref="E107" ca="1">INDEX(Data_DBD!$F:$F,$A107)</f>
        <v>Tinggi</v>
      </c>
      <c r="H107" s="2">
        <v>126</v>
      </c>
      <c r="I107" s="2">
        <v>51</v>
      </c>
      <c r="J107" s="2">
        <v>3</v>
      </c>
      <c r="K107" s="2">
        <v>1</v>
      </c>
      <c r="L107" s="2" t="s">
        <v>97</v>
      </c>
    </row>
    <row r="108" spans="1:12">
      <c r="A108" s="2">
        <f t="shared" ca="1" si="1"/>
        <v>109</v>
      </c>
      <c r="B108" s="2" cm="1">
        <f t="array" aca="1" ref="B108" ca="1">INDEX(Data_DBD!$B:$B,$A108)</f>
        <v>40</v>
      </c>
      <c r="C108" s="2" cm="1">
        <f t="array" aca="1" ref="C108" ca="1">INDEX(Data_DBD!$C:$C,$A108)</f>
        <v>3</v>
      </c>
      <c r="D108" s="2" cm="1">
        <f t="array" aca="1" ref="D108" ca="1">INDEX(Data_DBD!$E:$E,$A108)</f>
        <v>1</v>
      </c>
      <c r="E108" s="2" t="str" cm="1">
        <f t="array" aca="1" ref="E108" ca="1">INDEX(Data_DBD!$F:$F,$A108)</f>
        <v>Tinggi</v>
      </c>
      <c r="H108" s="2">
        <v>49</v>
      </c>
      <c r="I108" s="2">
        <v>64</v>
      </c>
      <c r="J108" s="2">
        <v>5</v>
      </c>
      <c r="K108" s="2">
        <v>0</v>
      </c>
      <c r="L108" s="2" t="s">
        <v>7</v>
      </c>
    </row>
    <row r="109" spans="1:12">
      <c r="A109" s="2">
        <f t="shared" ca="1" si="1"/>
        <v>66</v>
      </c>
      <c r="B109" s="2" cm="1">
        <f t="array" aca="1" ref="B109" ca="1">INDEX(Data_DBD!$B:$B,$A109)</f>
        <v>21</v>
      </c>
      <c r="C109" s="2" cm="1">
        <f t="array" aca="1" ref="C109" ca="1">INDEX(Data_DBD!$C:$C,$A109)</f>
        <v>5</v>
      </c>
      <c r="D109" s="2" cm="1">
        <f t="array" aca="1" ref="D109" ca="1">INDEX(Data_DBD!$E:$E,$A109)</f>
        <v>1</v>
      </c>
      <c r="E109" s="2" t="str" cm="1">
        <f t="array" aca="1" ref="E109" ca="1">INDEX(Data_DBD!$F:$F,$A109)</f>
        <v>Sedang</v>
      </c>
      <c r="H109" s="2">
        <v>17</v>
      </c>
      <c r="I109" s="2">
        <v>2</v>
      </c>
      <c r="J109" s="2">
        <v>3</v>
      </c>
      <c r="K109" s="2">
        <v>0</v>
      </c>
      <c r="L109" s="2" t="s">
        <v>20</v>
      </c>
    </row>
    <row r="110" spans="1:12">
      <c r="A110" s="2">
        <f t="shared" ca="1" si="1"/>
        <v>36</v>
      </c>
      <c r="B110" s="2" cm="1">
        <f t="array" aca="1" ref="B110" ca="1">INDEX(Data_DBD!$B:$B,$A110)</f>
        <v>27</v>
      </c>
      <c r="C110" s="2" cm="1">
        <f t="array" aca="1" ref="C110" ca="1">INDEX(Data_DBD!$C:$C,$A110)</f>
        <v>1</v>
      </c>
      <c r="D110" s="2" cm="1">
        <f t="array" aca="1" ref="D110" ca="1">INDEX(Data_DBD!$E:$E,$A110)</f>
        <v>1</v>
      </c>
      <c r="E110" s="2" t="str" cm="1">
        <f t="array" aca="1" ref="E110" ca="1">INDEX(Data_DBD!$F:$F,$A110)</f>
        <v>Rendah</v>
      </c>
      <c r="H110" s="2">
        <v>70</v>
      </c>
      <c r="I110" s="2">
        <v>26</v>
      </c>
      <c r="J110" s="2">
        <v>3</v>
      </c>
      <c r="K110" s="2">
        <v>1</v>
      </c>
      <c r="L110" s="2" t="s">
        <v>7</v>
      </c>
    </row>
    <row r="111" spans="1:12">
      <c r="A111" s="2">
        <f t="shared" ca="1" si="1"/>
        <v>139</v>
      </c>
      <c r="B111" s="2" cm="1">
        <f t="array" aca="1" ref="B111" ca="1">INDEX(Data_DBD!$B:$B,$A111)</f>
        <v>52</v>
      </c>
      <c r="C111" s="2" cm="1">
        <f t="array" aca="1" ref="C111" ca="1">INDEX(Data_DBD!$C:$C,$A111)</f>
        <v>7</v>
      </c>
      <c r="D111" s="2" cm="1">
        <f t="array" aca="1" ref="D111" ca="1">INDEX(Data_DBD!$E:$E,$A111)</f>
        <v>0</v>
      </c>
      <c r="E111" s="2" t="str" cm="1">
        <f t="array" aca="1" ref="E111" ca="1">INDEX(Data_DBD!$F:$F,$A111)</f>
        <v>Tinggi</v>
      </c>
      <c r="H111" s="2">
        <v>30</v>
      </c>
      <c r="I111" s="2">
        <v>3</v>
      </c>
      <c r="J111" s="2">
        <v>2</v>
      </c>
      <c r="K111" s="2">
        <v>1</v>
      </c>
      <c r="L111" s="2" t="s">
        <v>7</v>
      </c>
    </row>
    <row r="112" spans="1:12">
      <c r="A112" s="2">
        <f t="shared" ca="1" si="1"/>
        <v>143</v>
      </c>
      <c r="B112" s="2" cm="1">
        <f t="array" aca="1" ref="B112" ca="1">INDEX(Data_DBD!$B:$B,$A112)</f>
        <v>20</v>
      </c>
      <c r="C112" s="2" cm="1">
        <f t="array" aca="1" ref="C112" ca="1">INDEX(Data_DBD!$C:$C,$A112)</f>
        <v>4</v>
      </c>
      <c r="D112" s="2" cm="1">
        <f t="array" aca="1" ref="D112" ca="1">INDEX(Data_DBD!$E:$E,$A112)</f>
        <v>1</v>
      </c>
      <c r="E112" s="2" t="str" cm="1">
        <f t="array" aca="1" ref="E112" ca="1">INDEX(Data_DBD!$F:$F,$A112)</f>
        <v>Tinggi</v>
      </c>
      <c r="H112" s="2">
        <v>72</v>
      </c>
      <c r="I112" s="2">
        <v>3</v>
      </c>
      <c r="J112" s="2">
        <v>5</v>
      </c>
      <c r="K112" s="2">
        <v>1</v>
      </c>
      <c r="L112" s="2" t="s">
        <v>7</v>
      </c>
    </row>
    <row r="113" spans="1:12">
      <c r="A113" s="2">
        <f t="shared" ca="1" si="1"/>
        <v>102</v>
      </c>
      <c r="B113" s="2" cm="1">
        <f t="array" aca="1" ref="B113" ca="1">INDEX(Data_DBD!$B:$B,$A113)</f>
        <v>41</v>
      </c>
      <c r="C113" s="2" cm="1">
        <f t="array" aca="1" ref="C113" ca="1">INDEX(Data_DBD!$C:$C,$A113)</f>
        <v>4</v>
      </c>
      <c r="D113" s="2" cm="1">
        <f t="array" aca="1" ref="D113" ca="1">INDEX(Data_DBD!$E:$E,$A113)</f>
        <v>0</v>
      </c>
      <c r="E113" s="2" t="str" cm="1">
        <f t="array" aca="1" ref="E113" ca="1">INDEX(Data_DBD!$F:$F,$A113)</f>
        <v>Tinggi</v>
      </c>
      <c r="H113" s="2">
        <v>38</v>
      </c>
      <c r="I113" s="2">
        <v>52</v>
      </c>
      <c r="J113" s="2">
        <v>3</v>
      </c>
      <c r="K113" s="2">
        <v>1</v>
      </c>
      <c r="L113" s="2" t="s">
        <v>20</v>
      </c>
    </row>
    <row r="114" spans="1:12">
      <c r="A114" s="2">
        <f t="shared" ca="1" si="1"/>
        <v>143</v>
      </c>
      <c r="B114" s="2" cm="1">
        <f t="array" aca="1" ref="B114" ca="1">INDEX(Data_DBD!$B:$B,$A114)</f>
        <v>20</v>
      </c>
      <c r="C114" s="2" cm="1">
        <f t="array" aca="1" ref="C114" ca="1">INDEX(Data_DBD!$C:$C,$A114)</f>
        <v>4</v>
      </c>
      <c r="D114" s="2" cm="1">
        <f t="array" aca="1" ref="D114" ca="1">INDEX(Data_DBD!$E:$E,$A114)</f>
        <v>1</v>
      </c>
      <c r="E114" s="2" t="str" cm="1">
        <f t="array" aca="1" ref="E114" ca="1">INDEX(Data_DBD!$F:$F,$A114)</f>
        <v>Tinggi</v>
      </c>
      <c r="H114" s="2">
        <v>70</v>
      </c>
      <c r="I114" s="2">
        <v>26</v>
      </c>
      <c r="J114" s="2">
        <v>3</v>
      </c>
      <c r="K114" s="2">
        <v>1</v>
      </c>
      <c r="L114" s="2" t="s">
        <v>7</v>
      </c>
    </row>
    <row r="115" spans="1:12">
      <c r="A115" s="2">
        <f t="shared" ca="1" si="1"/>
        <v>146</v>
      </c>
      <c r="B115" s="2" cm="1">
        <f t="array" aca="1" ref="B115" ca="1">INDEX(Data_DBD!$B:$B,$A115)</f>
        <v>34</v>
      </c>
      <c r="C115" s="2" cm="1">
        <f t="array" aca="1" ref="C115" ca="1">INDEX(Data_DBD!$C:$C,$A115)</f>
        <v>2</v>
      </c>
      <c r="D115" s="2" cm="1">
        <f t="array" aca="1" ref="D115" ca="1">INDEX(Data_DBD!$E:$E,$A115)</f>
        <v>1</v>
      </c>
      <c r="E115" s="2" t="str" cm="1">
        <f t="array" aca="1" ref="E115" ca="1">INDEX(Data_DBD!$F:$F,$A115)</f>
        <v>Tinggi</v>
      </c>
      <c r="H115" s="2">
        <v>48</v>
      </c>
      <c r="I115" s="2">
        <v>50</v>
      </c>
      <c r="J115" s="2">
        <v>5</v>
      </c>
      <c r="K115" s="2">
        <v>1</v>
      </c>
      <c r="L115" s="2" t="s">
        <v>7</v>
      </c>
    </row>
    <row r="116" spans="1:12">
      <c r="A116" s="2">
        <f t="shared" ca="1" si="1"/>
        <v>88</v>
      </c>
      <c r="B116" s="2" cm="1">
        <f t="array" aca="1" ref="B116" ca="1">INDEX(Data_DBD!$B:$B,$A116)</f>
        <v>20</v>
      </c>
      <c r="C116" s="2" cm="1">
        <f t="array" aca="1" ref="C116" ca="1">INDEX(Data_DBD!$C:$C,$A116)</f>
        <v>4</v>
      </c>
      <c r="D116" s="2" cm="1">
        <f t="array" aca="1" ref="D116" ca="1">INDEX(Data_DBD!$E:$E,$A116)</f>
        <v>1</v>
      </c>
      <c r="E116" s="2" t="str" cm="1">
        <f t="array" aca="1" ref="E116" ca="1">INDEX(Data_DBD!$F:$F,$A116)</f>
        <v>Sedang</v>
      </c>
      <c r="H116" s="2">
        <v>89</v>
      </c>
      <c r="I116" s="2">
        <v>32</v>
      </c>
      <c r="J116" s="2">
        <v>4</v>
      </c>
      <c r="K116" s="2">
        <v>0</v>
      </c>
      <c r="L116" s="2" t="s">
        <v>7</v>
      </c>
    </row>
    <row r="117" spans="1:12">
      <c r="A117" s="2">
        <f t="shared" ca="1" si="1"/>
        <v>28</v>
      </c>
      <c r="B117" s="2" cm="1">
        <f t="array" aca="1" ref="B117" ca="1">INDEX(Data_DBD!$B:$B,$A117)</f>
        <v>22</v>
      </c>
      <c r="C117" s="2" cm="1">
        <f t="array" aca="1" ref="C117" ca="1">INDEX(Data_DBD!$C:$C,$A117)</f>
        <v>2</v>
      </c>
      <c r="D117" s="2" cm="1">
        <f t="array" aca="1" ref="D117" ca="1">INDEX(Data_DBD!$E:$E,$A117)</f>
        <v>1</v>
      </c>
      <c r="E117" s="2" t="str" cm="1">
        <f t="array" aca="1" ref="E117" ca="1">INDEX(Data_DBD!$F:$F,$A117)</f>
        <v>Sedang</v>
      </c>
      <c r="H117" s="2">
        <v>15</v>
      </c>
      <c r="I117" s="2">
        <v>21</v>
      </c>
      <c r="J117" s="2">
        <v>2</v>
      </c>
      <c r="K117" s="2">
        <v>0</v>
      </c>
      <c r="L117" s="2" t="s">
        <v>20</v>
      </c>
    </row>
    <row r="118" spans="1:12">
      <c r="A118" s="2">
        <f t="shared" ca="1" si="1"/>
        <v>68</v>
      </c>
      <c r="B118" s="2" cm="1">
        <f t="array" aca="1" ref="B118" ca="1">INDEX(Data_DBD!$B:$B,$A118)</f>
        <v>44</v>
      </c>
      <c r="C118" s="2" cm="1">
        <f t="array" aca="1" ref="C118" ca="1">INDEX(Data_DBD!$C:$C,$A118)</f>
        <v>5</v>
      </c>
      <c r="D118" s="2" cm="1">
        <f t="array" aca="1" ref="D118" ca="1">INDEX(Data_DBD!$E:$E,$A118)</f>
        <v>0</v>
      </c>
      <c r="E118" s="2" t="str" cm="1">
        <f t="array" aca="1" ref="E118" ca="1">INDEX(Data_DBD!$F:$F,$A118)</f>
        <v>Sedang</v>
      </c>
      <c r="H118" s="2">
        <v>7</v>
      </c>
      <c r="I118" s="2">
        <v>12</v>
      </c>
      <c r="J118" s="2">
        <v>1</v>
      </c>
      <c r="K118" s="2">
        <v>1</v>
      </c>
      <c r="L118" s="2" t="s">
        <v>7</v>
      </c>
    </row>
    <row r="119" spans="1:12">
      <c r="A119" s="2">
        <f t="shared" ca="1" si="1"/>
        <v>53</v>
      </c>
      <c r="B119" s="2" cm="1">
        <f t="array" aca="1" ref="B119" ca="1">INDEX(Data_DBD!$B:$B,$A119)</f>
        <v>35</v>
      </c>
      <c r="C119" s="2" cm="1">
        <f t="array" aca="1" ref="C119" ca="1">INDEX(Data_DBD!$C:$C,$A119)</f>
        <v>4</v>
      </c>
      <c r="D119" s="2" cm="1">
        <f t="array" aca="1" ref="D119" ca="1">INDEX(Data_DBD!$E:$E,$A119)</f>
        <v>1</v>
      </c>
      <c r="E119" s="2" t="str" cm="1">
        <f t="array" aca="1" ref="E119" ca="1">INDEX(Data_DBD!$F:$F,$A119)</f>
        <v>Sedang</v>
      </c>
      <c r="H119" s="2">
        <v>108</v>
      </c>
      <c r="I119" s="2">
        <v>69</v>
      </c>
      <c r="J119" s="2">
        <v>7</v>
      </c>
      <c r="K119" s="2">
        <v>1</v>
      </c>
      <c r="L119" s="2" t="s">
        <v>97</v>
      </c>
    </row>
    <row r="120" spans="1:12">
      <c r="A120" s="2">
        <f t="shared" ca="1" si="1"/>
        <v>42</v>
      </c>
      <c r="B120" s="2" cm="1">
        <f t="array" aca="1" ref="B120" ca="1">INDEX(Data_DBD!$B:$B,$A120)</f>
        <v>21</v>
      </c>
      <c r="C120" s="2" cm="1">
        <f t="array" aca="1" ref="C120" ca="1">INDEX(Data_DBD!$C:$C,$A120)</f>
        <v>5</v>
      </c>
      <c r="D120" s="2" cm="1">
        <f t="array" aca="1" ref="D120" ca="1">INDEX(Data_DBD!$E:$E,$A120)</f>
        <v>1</v>
      </c>
      <c r="E120" s="2" t="str" cm="1">
        <f t="array" aca="1" ref="E120" ca="1">INDEX(Data_DBD!$F:$F,$A120)</f>
        <v>Sedang</v>
      </c>
      <c r="H120" s="2">
        <v>13</v>
      </c>
      <c r="I120" s="2">
        <v>47</v>
      </c>
      <c r="J120" s="2">
        <v>2</v>
      </c>
      <c r="K120" s="2">
        <v>0</v>
      </c>
      <c r="L120" s="2" t="s">
        <v>7</v>
      </c>
    </row>
    <row r="121" spans="1:12">
      <c r="A121" s="2">
        <f t="shared" ca="1" si="1"/>
        <v>35</v>
      </c>
      <c r="B121" s="2" cm="1">
        <f t="array" aca="1" ref="B121" ca="1">INDEX(Data_DBD!$B:$B,$A121)</f>
        <v>40</v>
      </c>
      <c r="C121" s="2" cm="1">
        <f t="array" aca="1" ref="C121" ca="1">INDEX(Data_DBD!$C:$C,$A121)</f>
        <v>3</v>
      </c>
      <c r="D121" s="2" cm="1">
        <f t="array" aca="1" ref="D121" ca="1">INDEX(Data_DBD!$E:$E,$A121)</f>
        <v>1</v>
      </c>
      <c r="E121" s="2" t="str" cm="1">
        <f t="array" aca="1" ref="E121" ca="1">INDEX(Data_DBD!$F:$F,$A121)</f>
        <v>Rendah</v>
      </c>
      <c r="H121" s="2">
        <v>150</v>
      </c>
      <c r="I121" s="2">
        <v>61</v>
      </c>
      <c r="J121" s="2">
        <v>5</v>
      </c>
      <c r="K121" s="2">
        <v>1</v>
      </c>
      <c r="L121" s="2" t="s">
        <v>97</v>
      </c>
    </row>
    <row r="122" spans="1:12">
      <c r="A122" s="2">
        <f t="shared" ca="1" si="1"/>
        <v>112</v>
      </c>
      <c r="B122" s="2" cm="1">
        <f t="array" aca="1" ref="B122" ca="1">INDEX(Data_DBD!$B:$B,$A122)</f>
        <v>61</v>
      </c>
      <c r="C122" s="2" cm="1">
        <f t="array" aca="1" ref="C122" ca="1">INDEX(Data_DBD!$C:$C,$A122)</f>
        <v>3</v>
      </c>
      <c r="D122" s="2" cm="1">
        <f t="array" aca="1" ref="D122" ca="1">INDEX(Data_DBD!$E:$E,$A122)</f>
        <v>1</v>
      </c>
      <c r="E122" s="2" t="str" cm="1">
        <f t="array" aca="1" ref="E122" ca="1">INDEX(Data_DBD!$F:$F,$A122)</f>
        <v>Tinggi</v>
      </c>
      <c r="H122" s="2">
        <v>55</v>
      </c>
      <c r="I122" s="2">
        <v>7</v>
      </c>
      <c r="J122" s="2">
        <v>4</v>
      </c>
      <c r="K122" s="2">
        <v>1</v>
      </c>
      <c r="L122" s="2" t="s">
        <v>7</v>
      </c>
    </row>
    <row r="123" spans="1:12">
      <c r="A123" s="2">
        <f t="shared" ca="1" si="1"/>
        <v>87</v>
      </c>
      <c r="B123" s="2" cm="1">
        <f t="array" aca="1" ref="B123" ca="1">INDEX(Data_DBD!$B:$B,$A123)</f>
        <v>21</v>
      </c>
      <c r="C123" s="2" cm="1">
        <f t="array" aca="1" ref="C123" ca="1">INDEX(Data_DBD!$C:$C,$A123)</f>
        <v>3</v>
      </c>
      <c r="D123" s="2" cm="1">
        <f t="array" aca="1" ref="D123" ca="1">INDEX(Data_DBD!$E:$E,$A123)</f>
        <v>0</v>
      </c>
      <c r="E123" s="2" t="str" cm="1">
        <f t="array" aca="1" ref="E123" ca="1">INDEX(Data_DBD!$F:$F,$A123)</f>
        <v>Sedang</v>
      </c>
      <c r="H123" s="2">
        <v>23</v>
      </c>
      <c r="I123" s="2">
        <v>28</v>
      </c>
      <c r="J123" s="2">
        <v>4</v>
      </c>
      <c r="K123" s="2">
        <v>1</v>
      </c>
      <c r="L123" s="2" t="s">
        <v>7</v>
      </c>
    </row>
    <row r="124" spans="1:12">
      <c r="A124" s="2">
        <f t="shared" ca="1" si="1"/>
        <v>142</v>
      </c>
      <c r="B124" s="2" cm="1">
        <f t="array" aca="1" ref="B124" ca="1">INDEX(Data_DBD!$B:$B,$A124)</f>
        <v>39</v>
      </c>
      <c r="C124" s="2" cm="1">
        <f t="array" aca="1" ref="C124" ca="1">INDEX(Data_DBD!$C:$C,$A124)</f>
        <v>2</v>
      </c>
      <c r="D124" s="2" cm="1">
        <f t="array" aca="1" ref="D124" ca="1">INDEX(Data_DBD!$E:$E,$A124)</f>
        <v>1</v>
      </c>
      <c r="E124" s="2" t="str" cm="1">
        <f t="array" aca="1" ref="E124" ca="1">INDEX(Data_DBD!$F:$F,$A124)</f>
        <v>Tinggi</v>
      </c>
      <c r="H124" s="2">
        <v>70</v>
      </c>
      <c r="I124" s="2">
        <v>26</v>
      </c>
      <c r="J124" s="2">
        <v>3</v>
      </c>
      <c r="K124" s="2">
        <v>1</v>
      </c>
      <c r="L124" s="2" t="s">
        <v>7</v>
      </c>
    </row>
    <row r="125" spans="1:12">
      <c r="A125" s="2">
        <f t="shared" ca="1" si="1"/>
        <v>32</v>
      </c>
      <c r="B125" s="2" cm="1">
        <f t="array" aca="1" ref="B125" ca="1">INDEX(Data_DBD!$B:$B,$A125)</f>
        <v>54</v>
      </c>
      <c r="C125" s="2" cm="1">
        <f t="array" aca="1" ref="C125" ca="1">INDEX(Data_DBD!$C:$C,$A125)</f>
        <v>4</v>
      </c>
      <c r="D125" s="2" cm="1">
        <f t="array" aca="1" ref="D125" ca="1">INDEX(Data_DBD!$E:$E,$A125)</f>
        <v>0</v>
      </c>
      <c r="E125" s="2" t="str" cm="1">
        <f t="array" aca="1" ref="E125" ca="1">INDEX(Data_DBD!$F:$F,$A125)</f>
        <v>Sedang</v>
      </c>
      <c r="H125" s="2">
        <v>135</v>
      </c>
      <c r="I125" s="2">
        <v>10</v>
      </c>
      <c r="J125" s="2">
        <v>2</v>
      </c>
      <c r="K125" s="2">
        <v>0</v>
      </c>
      <c r="L125" s="2" t="s">
        <v>97</v>
      </c>
    </row>
    <row r="126" spans="1:12">
      <c r="A126" s="2">
        <f t="shared" ca="1" si="1"/>
        <v>128</v>
      </c>
      <c r="B126" s="2" cm="1">
        <f t="array" aca="1" ref="B126" ca="1">INDEX(Data_DBD!$B:$B,$A126)</f>
        <v>38</v>
      </c>
      <c r="C126" s="2" cm="1">
        <f t="array" aca="1" ref="C126" ca="1">INDEX(Data_DBD!$C:$C,$A126)</f>
        <v>2</v>
      </c>
      <c r="D126" s="2" cm="1">
        <f t="array" aca="1" ref="D126" ca="1">INDEX(Data_DBD!$E:$E,$A126)</f>
        <v>0</v>
      </c>
      <c r="E126" s="2" t="str" cm="1">
        <f t="array" aca="1" ref="E126" ca="1">INDEX(Data_DBD!$F:$F,$A126)</f>
        <v>Tinggi</v>
      </c>
      <c r="H126" s="2">
        <v>133</v>
      </c>
      <c r="I126" s="2">
        <v>6</v>
      </c>
      <c r="J126" s="2">
        <v>4</v>
      </c>
      <c r="K126" s="2">
        <v>0</v>
      </c>
      <c r="L126" s="2" t="s">
        <v>97</v>
      </c>
    </row>
    <row r="127" spans="1:12">
      <c r="A127" s="2">
        <f t="shared" ca="1" si="1"/>
        <v>62</v>
      </c>
      <c r="B127" s="2" cm="1">
        <f t="array" aca="1" ref="B127" ca="1">INDEX(Data_DBD!$B:$B,$A127)</f>
        <v>43</v>
      </c>
      <c r="C127" s="2" cm="1">
        <f t="array" aca="1" ref="C127" ca="1">INDEX(Data_DBD!$C:$C,$A127)</f>
        <v>4</v>
      </c>
      <c r="D127" s="2" cm="1">
        <f t="array" aca="1" ref="D127" ca="1">INDEX(Data_DBD!$E:$E,$A127)</f>
        <v>1</v>
      </c>
      <c r="E127" s="2" t="str" cm="1">
        <f t="array" aca="1" ref="E127" ca="1">INDEX(Data_DBD!$F:$F,$A127)</f>
        <v>Sedang</v>
      </c>
      <c r="H127" s="2">
        <v>88</v>
      </c>
      <c r="I127" s="2">
        <v>20</v>
      </c>
      <c r="J127" s="2">
        <v>4</v>
      </c>
      <c r="K127" s="2">
        <v>1</v>
      </c>
      <c r="L127" s="2" t="s">
        <v>7</v>
      </c>
    </row>
    <row r="128" spans="1:12">
      <c r="A128" s="2">
        <f t="shared" ca="1" si="1"/>
        <v>10</v>
      </c>
      <c r="B128" s="2" cm="1">
        <f t="array" aca="1" ref="B128" ca="1">INDEX(Data_DBD!$B:$B,$A128)</f>
        <v>18</v>
      </c>
      <c r="C128" s="2" cm="1">
        <f t="array" aca="1" ref="C128" ca="1">INDEX(Data_DBD!$C:$C,$A128)</f>
        <v>5</v>
      </c>
      <c r="D128" s="2" cm="1">
        <f t="array" aca="1" ref="D128" ca="1">INDEX(Data_DBD!$E:$E,$A128)</f>
        <v>0</v>
      </c>
      <c r="E128" s="2" t="str" cm="1">
        <f t="array" aca="1" ref="E128" ca="1">INDEX(Data_DBD!$F:$F,$A128)</f>
        <v>Sedang</v>
      </c>
      <c r="H128" s="2">
        <v>93</v>
      </c>
      <c r="I128" s="2">
        <v>65</v>
      </c>
      <c r="J128" s="2">
        <v>4</v>
      </c>
      <c r="K128" s="2">
        <v>0</v>
      </c>
      <c r="L128" s="2" t="s">
        <v>97</v>
      </c>
    </row>
    <row r="129" spans="1:12">
      <c r="A129" s="2">
        <f t="shared" ca="1" si="1"/>
        <v>148</v>
      </c>
      <c r="B129" s="2" cm="1">
        <f t="array" aca="1" ref="B129" ca="1">INDEX(Data_DBD!$B:$B,$A129)</f>
        <v>55</v>
      </c>
      <c r="C129" s="2" cm="1">
        <f t="array" aca="1" ref="C129" ca="1">INDEX(Data_DBD!$C:$C,$A129)</f>
        <v>3</v>
      </c>
      <c r="D129" s="2" cm="1">
        <f t="array" aca="1" ref="D129" ca="1">INDEX(Data_DBD!$E:$E,$A129)</f>
        <v>1</v>
      </c>
      <c r="E129" s="2" t="str" cm="1">
        <f t="array" aca="1" ref="E129" ca="1">INDEX(Data_DBD!$F:$F,$A129)</f>
        <v>Tinggi</v>
      </c>
      <c r="H129" s="2">
        <v>101</v>
      </c>
      <c r="I129" s="2">
        <v>42</v>
      </c>
      <c r="J129" s="2">
        <v>5</v>
      </c>
      <c r="K129" s="2">
        <v>0</v>
      </c>
      <c r="L129" s="2" t="s">
        <v>97</v>
      </c>
    </row>
    <row r="130" spans="1:12">
      <c r="A130" s="2">
        <f t="shared" ca="1" si="1"/>
        <v>139</v>
      </c>
      <c r="B130" s="2" cm="1">
        <f t="array" aca="1" ref="B130" ca="1">INDEX(Data_DBD!$B:$B,$A130)</f>
        <v>52</v>
      </c>
      <c r="C130" s="2" cm="1">
        <f t="array" aca="1" ref="C130" ca="1">INDEX(Data_DBD!$C:$C,$A130)</f>
        <v>7</v>
      </c>
      <c r="D130" s="2" cm="1">
        <f t="array" aca="1" ref="D130" ca="1">INDEX(Data_DBD!$E:$E,$A130)</f>
        <v>0</v>
      </c>
      <c r="E130" s="2" t="str" cm="1">
        <f t="array" aca="1" ref="E130" ca="1">INDEX(Data_DBD!$F:$F,$A130)</f>
        <v>Tinggi</v>
      </c>
      <c r="H130" s="2">
        <v>30</v>
      </c>
      <c r="I130" s="2">
        <v>3</v>
      </c>
      <c r="J130" s="2">
        <v>2</v>
      </c>
      <c r="K130" s="2">
        <v>1</v>
      </c>
      <c r="L130" s="2" t="s">
        <v>7</v>
      </c>
    </row>
    <row r="131" spans="1:12">
      <c r="A131" s="2">
        <f t="shared" ref="A131:A164" ca="1" si="2">RANDBETWEEN(2,164)</f>
        <v>124</v>
      </c>
      <c r="B131" s="2" cm="1">
        <f t="array" aca="1" ref="B131" ca="1">INDEX(Data_DBD!$B:$B,$A131)</f>
        <v>24</v>
      </c>
      <c r="C131" s="2" cm="1">
        <f t="array" aca="1" ref="C131" ca="1">INDEX(Data_DBD!$C:$C,$A131)</f>
        <v>3</v>
      </c>
      <c r="D131" s="2" cm="1">
        <f t="array" aca="1" ref="D131" ca="1">INDEX(Data_DBD!$E:$E,$A131)</f>
        <v>1</v>
      </c>
      <c r="E131" s="2" t="str" cm="1">
        <f t="array" aca="1" ref="E131" ca="1">INDEX(Data_DBD!$F:$F,$A131)</f>
        <v>Tinggi</v>
      </c>
      <c r="H131" s="2">
        <v>158</v>
      </c>
      <c r="I131" s="2">
        <v>5</v>
      </c>
      <c r="J131" s="2">
        <v>2</v>
      </c>
      <c r="K131" s="2">
        <v>0</v>
      </c>
      <c r="L131" s="2" t="s">
        <v>97</v>
      </c>
    </row>
    <row r="132" spans="1:12">
      <c r="A132" s="2">
        <f t="shared" ca="1" si="2"/>
        <v>97</v>
      </c>
      <c r="B132" s="2" cm="1">
        <f t="array" aca="1" ref="B132" ca="1">INDEX(Data_DBD!$B:$B,$A132)</f>
        <v>16</v>
      </c>
      <c r="C132" s="2" cm="1">
        <f t="array" aca="1" ref="C132" ca="1">INDEX(Data_DBD!$C:$C,$A132)</f>
        <v>2</v>
      </c>
      <c r="D132" s="2" cm="1">
        <f t="array" aca="1" ref="D132" ca="1">INDEX(Data_DBD!$E:$E,$A132)</f>
        <v>1</v>
      </c>
      <c r="E132" s="2" t="str" cm="1">
        <f t="array" aca="1" ref="E132" ca="1">INDEX(Data_DBD!$F:$F,$A132)</f>
        <v>Tinggi</v>
      </c>
      <c r="H132" s="2">
        <v>27</v>
      </c>
      <c r="I132" s="2">
        <v>37</v>
      </c>
      <c r="J132" s="2">
        <v>4</v>
      </c>
      <c r="K132" s="2">
        <v>1</v>
      </c>
      <c r="L132" s="2" t="s">
        <v>7</v>
      </c>
    </row>
    <row r="133" spans="1:12">
      <c r="A133" s="2">
        <f t="shared" ca="1" si="2"/>
        <v>102</v>
      </c>
      <c r="B133" s="2" cm="1">
        <f t="array" aca="1" ref="B133" ca="1">INDEX(Data_DBD!$B:$B,$A133)</f>
        <v>41</v>
      </c>
      <c r="C133" s="2" cm="1">
        <f t="array" aca="1" ref="C133" ca="1">INDEX(Data_DBD!$C:$C,$A133)</f>
        <v>4</v>
      </c>
      <c r="D133" s="2" cm="1">
        <f t="array" aca="1" ref="D133" ca="1">INDEX(Data_DBD!$E:$E,$A133)</f>
        <v>0</v>
      </c>
      <c r="E133" s="2" t="str" cm="1">
        <f t="array" aca="1" ref="E133" ca="1">INDEX(Data_DBD!$F:$F,$A133)</f>
        <v>Tinggi</v>
      </c>
      <c r="H133" s="2">
        <v>119</v>
      </c>
      <c r="I133" s="2">
        <v>30</v>
      </c>
      <c r="J133" s="2">
        <v>7</v>
      </c>
      <c r="K133" s="2">
        <v>0</v>
      </c>
      <c r="L133" s="2" t="s">
        <v>97</v>
      </c>
    </row>
    <row r="134" spans="1:12">
      <c r="A134" s="2">
        <f t="shared" ca="1" si="2"/>
        <v>161</v>
      </c>
      <c r="B134" s="2" cm="1">
        <f t="array" aca="1" ref="B134" ca="1">INDEX(Data_DBD!$B:$B,$A134)</f>
        <v>12</v>
      </c>
      <c r="C134" s="2" cm="1">
        <f t="array" aca="1" ref="C134" ca="1">INDEX(Data_DBD!$C:$C,$A134)</f>
        <v>3</v>
      </c>
      <c r="D134" s="2" cm="1">
        <f t="array" aca="1" ref="D134" ca="1">INDEX(Data_DBD!$E:$E,$A134)</f>
        <v>1</v>
      </c>
      <c r="E134" s="2" t="str" cm="1">
        <f t="array" aca="1" ref="E134" ca="1">INDEX(Data_DBD!$F:$F,$A134)</f>
        <v>Tinggi</v>
      </c>
      <c r="H134" s="2">
        <v>146</v>
      </c>
      <c r="I134" s="2">
        <v>34</v>
      </c>
      <c r="J134" s="2">
        <v>2</v>
      </c>
      <c r="K134" s="2">
        <v>1</v>
      </c>
      <c r="L134" s="2" t="s">
        <v>97</v>
      </c>
    </row>
    <row r="135" spans="1:12">
      <c r="A135" s="2">
        <f t="shared" ca="1" si="2"/>
        <v>164</v>
      </c>
      <c r="B135" s="2" cm="1">
        <f t="array" aca="1" ref="B135" ca="1">INDEX(Data_DBD!$B:$B,$A135)</f>
        <v>10</v>
      </c>
      <c r="C135" s="2" cm="1">
        <f t="array" aca="1" ref="C135" ca="1">INDEX(Data_DBD!$C:$C,$A135)</f>
        <v>6</v>
      </c>
      <c r="D135" s="2" cm="1">
        <f t="array" aca="1" ref="D135" ca="1">INDEX(Data_DBD!$E:$E,$A135)</f>
        <v>0</v>
      </c>
      <c r="E135" s="2" t="str" cm="1">
        <f t="array" aca="1" ref="E135" ca="1">INDEX(Data_DBD!$F:$F,$A135)</f>
        <v>Rendah</v>
      </c>
      <c r="H135" s="2">
        <v>42</v>
      </c>
      <c r="I135" s="2">
        <v>21</v>
      </c>
      <c r="J135" s="2">
        <v>5</v>
      </c>
      <c r="K135" s="2">
        <v>1</v>
      </c>
      <c r="L135" s="2" t="s">
        <v>7</v>
      </c>
    </row>
    <row r="136" spans="1:12">
      <c r="A136" s="2">
        <f t="shared" ca="1" si="2"/>
        <v>32</v>
      </c>
      <c r="B136" s="2" cm="1">
        <f t="array" aca="1" ref="B136" ca="1">INDEX(Data_DBD!$B:$B,$A136)</f>
        <v>54</v>
      </c>
      <c r="C136" s="2" cm="1">
        <f t="array" aca="1" ref="C136" ca="1">INDEX(Data_DBD!$C:$C,$A136)</f>
        <v>4</v>
      </c>
      <c r="D136" s="2" cm="1">
        <f t="array" aca="1" ref="D136" ca="1">INDEX(Data_DBD!$E:$E,$A136)</f>
        <v>0</v>
      </c>
      <c r="E136" s="2" t="str" cm="1">
        <f t="array" aca="1" ref="E136" ca="1">INDEX(Data_DBD!$F:$F,$A136)</f>
        <v>Sedang</v>
      </c>
      <c r="H136" s="2">
        <v>153</v>
      </c>
      <c r="I136" s="2">
        <v>73</v>
      </c>
      <c r="J136" s="2">
        <v>7</v>
      </c>
      <c r="K136" s="2">
        <v>1</v>
      </c>
      <c r="L136" s="2" t="s">
        <v>97</v>
      </c>
    </row>
    <row r="137" spans="1:12">
      <c r="A137" s="2">
        <f t="shared" ca="1" si="2"/>
        <v>36</v>
      </c>
      <c r="B137" s="2" cm="1">
        <f t="array" aca="1" ref="B137" ca="1">INDEX(Data_DBD!$B:$B,$A137)</f>
        <v>27</v>
      </c>
      <c r="C137" s="2" cm="1">
        <f t="array" aca="1" ref="C137" ca="1">INDEX(Data_DBD!$C:$C,$A137)</f>
        <v>1</v>
      </c>
      <c r="D137" s="2" cm="1">
        <f t="array" aca="1" ref="D137" ca="1">INDEX(Data_DBD!$E:$E,$A137)</f>
        <v>1</v>
      </c>
      <c r="E137" s="2" t="str" cm="1">
        <f t="array" aca="1" ref="E137" ca="1">INDEX(Data_DBD!$F:$F,$A137)</f>
        <v>Rendah</v>
      </c>
      <c r="H137" s="2">
        <v>58</v>
      </c>
      <c r="I137" s="2">
        <v>17</v>
      </c>
      <c r="J137" s="2">
        <v>3</v>
      </c>
      <c r="K137" s="2">
        <v>0</v>
      </c>
      <c r="L137" s="2" t="s">
        <v>7</v>
      </c>
    </row>
    <row r="138" spans="1:12">
      <c r="A138" s="2">
        <f t="shared" ca="1" si="2"/>
        <v>23</v>
      </c>
      <c r="B138" s="2" cm="1">
        <f t="array" aca="1" ref="B138" ca="1">INDEX(Data_DBD!$B:$B,$A138)</f>
        <v>28</v>
      </c>
      <c r="C138" s="2" cm="1">
        <f t="array" aca="1" ref="C138" ca="1">INDEX(Data_DBD!$C:$C,$A138)</f>
        <v>4</v>
      </c>
      <c r="D138" s="2" cm="1">
        <f t="array" aca="1" ref="D138" ca="1">INDEX(Data_DBD!$E:$E,$A138)</f>
        <v>1</v>
      </c>
      <c r="E138" s="2" t="str" cm="1">
        <f t="array" aca="1" ref="E138" ca="1">INDEX(Data_DBD!$F:$F,$A138)</f>
        <v>Sedang</v>
      </c>
      <c r="H138" s="2">
        <v>143</v>
      </c>
      <c r="I138" s="2">
        <v>20</v>
      </c>
      <c r="J138" s="2">
        <v>4</v>
      </c>
      <c r="K138" s="2">
        <v>1</v>
      </c>
      <c r="L138" s="2" t="s">
        <v>97</v>
      </c>
    </row>
    <row r="139" spans="1:12">
      <c r="A139" s="2">
        <f t="shared" ca="1" si="2"/>
        <v>131</v>
      </c>
      <c r="B139" s="2" cm="1">
        <f t="array" aca="1" ref="B139" ca="1">INDEX(Data_DBD!$B:$B,$A139)</f>
        <v>10</v>
      </c>
      <c r="C139" s="2" cm="1">
        <f t="array" aca="1" ref="C139" ca="1">INDEX(Data_DBD!$C:$C,$A139)</f>
        <v>2</v>
      </c>
      <c r="D139" s="2" cm="1">
        <f t="array" aca="1" ref="D139" ca="1">INDEX(Data_DBD!$E:$E,$A139)</f>
        <v>0</v>
      </c>
      <c r="E139" s="2" t="str" cm="1">
        <f t="array" aca="1" ref="E139" ca="1">INDEX(Data_DBD!$F:$F,$A139)</f>
        <v>Tinggi</v>
      </c>
      <c r="H139" s="2">
        <v>129</v>
      </c>
      <c r="I139" s="2">
        <v>4</v>
      </c>
      <c r="J139" s="2">
        <v>3</v>
      </c>
      <c r="K139" s="2">
        <v>0</v>
      </c>
      <c r="L139" s="2" t="s">
        <v>97</v>
      </c>
    </row>
    <row r="140" spans="1:12">
      <c r="A140" s="2">
        <f t="shared" ca="1" si="2"/>
        <v>140</v>
      </c>
      <c r="B140" s="2" cm="1">
        <f t="array" aca="1" ref="B140" ca="1">INDEX(Data_DBD!$B:$B,$A140)</f>
        <v>74</v>
      </c>
      <c r="C140" s="2" cm="1">
        <f t="array" aca="1" ref="C140" ca="1">INDEX(Data_DBD!$C:$C,$A140)</f>
        <v>5</v>
      </c>
      <c r="D140" s="2" cm="1">
        <f t="array" aca="1" ref="D140" ca="1">INDEX(Data_DBD!$E:$E,$A140)</f>
        <v>1</v>
      </c>
      <c r="E140" s="2" t="str" cm="1">
        <f t="array" aca="1" ref="E140" ca="1">INDEX(Data_DBD!$F:$F,$A140)</f>
        <v>Tinggi</v>
      </c>
      <c r="H140" s="2">
        <v>2</v>
      </c>
      <c r="I140" s="2">
        <v>34</v>
      </c>
      <c r="J140" s="2">
        <v>3</v>
      </c>
      <c r="K140" s="2">
        <v>0</v>
      </c>
      <c r="L140" s="2" t="s">
        <v>7</v>
      </c>
    </row>
    <row r="141" spans="1:12">
      <c r="A141" s="2">
        <f t="shared" ca="1" si="2"/>
        <v>87</v>
      </c>
      <c r="B141" s="2" cm="1">
        <f t="array" aca="1" ref="B141" ca="1">INDEX(Data_DBD!$B:$B,$A141)</f>
        <v>21</v>
      </c>
      <c r="C141" s="2" cm="1">
        <f t="array" aca="1" ref="C141" ca="1">INDEX(Data_DBD!$C:$C,$A141)</f>
        <v>3</v>
      </c>
      <c r="D141" s="2" cm="1">
        <f t="array" aca="1" ref="D141" ca="1">INDEX(Data_DBD!$E:$E,$A141)</f>
        <v>0</v>
      </c>
      <c r="E141" s="2" t="str" cm="1">
        <f t="array" aca="1" ref="E141" ca="1">INDEX(Data_DBD!$F:$F,$A141)</f>
        <v>Sedang</v>
      </c>
      <c r="H141" s="2">
        <v>128</v>
      </c>
      <c r="I141" s="2">
        <v>38</v>
      </c>
      <c r="J141" s="2">
        <v>2</v>
      </c>
      <c r="K141" s="2">
        <v>0</v>
      </c>
      <c r="L141" s="2" t="s">
        <v>97</v>
      </c>
    </row>
    <row r="142" spans="1:12">
      <c r="A142" s="2">
        <f t="shared" ca="1" si="2"/>
        <v>126</v>
      </c>
      <c r="B142" s="2" cm="1">
        <f t="array" aca="1" ref="B142" ca="1">INDEX(Data_DBD!$B:$B,$A142)</f>
        <v>51</v>
      </c>
      <c r="C142" s="2" cm="1">
        <f t="array" aca="1" ref="C142" ca="1">INDEX(Data_DBD!$C:$C,$A142)</f>
        <v>3</v>
      </c>
      <c r="D142" s="2" cm="1">
        <f t="array" aca="1" ref="D142" ca="1">INDEX(Data_DBD!$E:$E,$A142)</f>
        <v>1</v>
      </c>
      <c r="E142" s="2" t="str" cm="1">
        <f t="array" aca="1" ref="E142" ca="1">INDEX(Data_DBD!$F:$F,$A142)</f>
        <v>Tinggi</v>
      </c>
      <c r="H142" s="2">
        <v>46</v>
      </c>
      <c r="I142" s="2">
        <v>62</v>
      </c>
      <c r="J142" s="2">
        <v>2</v>
      </c>
      <c r="K142" s="2">
        <v>0</v>
      </c>
      <c r="L142" s="2" t="s">
        <v>7</v>
      </c>
    </row>
    <row r="143" spans="1:12">
      <c r="A143" s="2">
        <f t="shared" ca="1" si="2"/>
        <v>46</v>
      </c>
      <c r="B143" s="2" cm="1">
        <f t="array" aca="1" ref="B143" ca="1">INDEX(Data_DBD!$B:$B,$A143)</f>
        <v>62</v>
      </c>
      <c r="C143" s="2" cm="1">
        <f t="array" aca="1" ref="C143" ca="1">INDEX(Data_DBD!$C:$C,$A143)</f>
        <v>2</v>
      </c>
      <c r="D143" s="2" cm="1">
        <f t="array" aca="1" ref="D143" ca="1">INDEX(Data_DBD!$E:$E,$A143)</f>
        <v>0</v>
      </c>
      <c r="E143" s="2" t="str" cm="1">
        <f t="array" aca="1" ref="E143" ca="1">INDEX(Data_DBD!$F:$F,$A143)</f>
        <v>Sedang</v>
      </c>
      <c r="H143" s="2">
        <v>102</v>
      </c>
      <c r="I143" s="2">
        <v>41</v>
      </c>
      <c r="J143" s="2">
        <v>4</v>
      </c>
      <c r="K143" s="2">
        <v>0</v>
      </c>
      <c r="L143" s="2" t="s">
        <v>97</v>
      </c>
    </row>
    <row r="144" spans="1:12">
      <c r="A144" s="2">
        <f t="shared" ca="1" si="2"/>
        <v>117</v>
      </c>
      <c r="B144" s="2" cm="1">
        <f t="array" aca="1" ref="B144" ca="1">INDEX(Data_DBD!$B:$B,$A144)</f>
        <v>49</v>
      </c>
      <c r="C144" s="2" cm="1">
        <f t="array" aca="1" ref="C144" ca="1">INDEX(Data_DBD!$C:$C,$A144)</f>
        <v>4</v>
      </c>
      <c r="D144" s="2" cm="1">
        <f t="array" aca="1" ref="D144" ca="1">INDEX(Data_DBD!$E:$E,$A144)</f>
        <v>1</v>
      </c>
      <c r="E144" s="2" t="str" cm="1">
        <f t="array" aca="1" ref="E144" ca="1">INDEX(Data_DBD!$F:$F,$A144)</f>
        <v>Tinggi</v>
      </c>
      <c r="H144" s="2">
        <v>45</v>
      </c>
      <c r="I144" s="2">
        <v>75</v>
      </c>
      <c r="J144" s="2">
        <v>3</v>
      </c>
      <c r="K144" s="2">
        <v>1</v>
      </c>
      <c r="L144" s="2" t="s">
        <v>7</v>
      </c>
    </row>
    <row r="145" spans="1:12">
      <c r="A145" s="2">
        <f t="shared" ca="1" si="2"/>
        <v>34</v>
      </c>
      <c r="B145" s="2" cm="1">
        <f t="array" aca="1" ref="B145" ca="1">INDEX(Data_DBD!$B:$B,$A145)</f>
        <v>55</v>
      </c>
      <c r="C145" s="2" cm="1">
        <f t="array" aca="1" ref="C145" ca="1">INDEX(Data_DBD!$C:$C,$A145)</f>
        <v>3</v>
      </c>
      <c r="D145" s="2" cm="1">
        <f t="array" aca="1" ref="D145" ca="1">INDEX(Data_DBD!$E:$E,$A145)</f>
        <v>0</v>
      </c>
      <c r="E145" s="2" t="str" cm="1">
        <f t="array" aca="1" ref="E145" ca="1">INDEX(Data_DBD!$F:$F,$A145)</f>
        <v>Sedang</v>
      </c>
      <c r="H145" s="2">
        <v>12</v>
      </c>
      <c r="I145" s="2">
        <v>23</v>
      </c>
      <c r="J145" s="2">
        <v>3</v>
      </c>
      <c r="K145" s="2">
        <v>0</v>
      </c>
      <c r="L145" s="2" t="s">
        <v>7</v>
      </c>
    </row>
    <row r="146" spans="1:12">
      <c r="A146" s="2">
        <f t="shared" ca="1" si="2"/>
        <v>3</v>
      </c>
      <c r="B146" s="2" cm="1">
        <f t="array" aca="1" ref="B146" ca="1">INDEX(Data_DBD!$B:$B,$A146)</f>
        <v>43</v>
      </c>
      <c r="C146" s="2" cm="1">
        <f t="array" aca="1" ref="C146" ca="1">INDEX(Data_DBD!$C:$C,$A146)</f>
        <v>3</v>
      </c>
      <c r="D146" s="2" cm="1">
        <f t="array" aca="1" ref="D146" ca="1">INDEX(Data_DBD!$E:$E,$A146)</f>
        <v>1</v>
      </c>
      <c r="E146" s="2" t="str" cm="1">
        <f t="array" aca="1" ref="E146" ca="1">INDEX(Data_DBD!$F:$F,$A146)</f>
        <v>Sedang</v>
      </c>
      <c r="H146" s="2">
        <v>81</v>
      </c>
      <c r="I146" s="2">
        <v>23</v>
      </c>
      <c r="J146" s="2">
        <v>5</v>
      </c>
      <c r="K146" s="2">
        <v>1</v>
      </c>
      <c r="L146" s="2" t="s">
        <v>7</v>
      </c>
    </row>
    <row r="147" spans="1:12">
      <c r="A147" s="2">
        <f t="shared" ca="1" si="2"/>
        <v>132</v>
      </c>
      <c r="B147" s="2" cm="1">
        <f t="array" aca="1" ref="B147" ca="1">INDEX(Data_DBD!$B:$B,$A147)</f>
        <v>10</v>
      </c>
      <c r="C147" s="2" cm="1">
        <f t="array" aca="1" ref="C147" ca="1">INDEX(Data_DBD!$C:$C,$A147)</f>
        <v>3</v>
      </c>
      <c r="D147" s="2" cm="1">
        <f t="array" aca="1" ref="D147" ca="1">INDEX(Data_DBD!$E:$E,$A147)</f>
        <v>1</v>
      </c>
      <c r="E147" s="2" t="str" cm="1">
        <f t="array" aca="1" ref="E147" ca="1">INDEX(Data_DBD!$F:$F,$A147)</f>
        <v>Tinggi</v>
      </c>
      <c r="H147" s="2">
        <v>36</v>
      </c>
      <c r="I147" s="2">
        <v>27</v>
      </c>
      <c r="J147" s="2">
        <v>1</v>
      </c>
      <c r="K147" s="2">
        <v>1</v>
      </c>
      <c r="L147" s="2" t="s">
        <v>20</v>
      </c>
    </row>
    <row r="148" spans="1:12">
      <c r="A148" s="2">
        <f t="shared" ca="1" si="2"/>
        <v>155</v>
      </c>
      <c r="B148" s="2" cm="1">
        <f t="array" aca="1" ref="B148" ca="1">INDEX(Data_DBD!$B:$B,$A148)</f>
        <v>19</v>
      </c>
      <c r="C148" s="2" cm="1">
        <f t="array" aca="1" ref="C148" ca="1">INDEX(Data_DBD!$C:$C,$A148)</f>
        <v>5</v>
      </c>
      <c r="D148" s="2" cm="1">
        <f t="array" aca="1" ref="D148" ca="1">INDEX(Data_DBD!$E:$E,$A148)</f>
        <v>1</v>
      </c>
      <c r="E148" s="2" t="str" cm="1">
        <f t="array" aca="1" ref="E148" ca="1">INDEX(Data_DBD!$F:$F,$A148)</f>
        <v>Tinggi</v>
      </c>
      <c r="H148" s="2">
        <v>140</v>
      </c>
      <c r="I148" s="2">
        <v>74</v>
      </c>
      <c r="J148" s="2">
        <v>5</v>
      </c>
      <c r="K148" s="2">
        <v>1</v>
      </c>
      <c r="L148" s="2" t="s">
        <v>97</v>
      </c>
    </row>
    <row r="149" spans="1:12">
      <c r="A149" s="2">
        <f t="shared" ca="1" si="2"/>
        <v>52</v>
      </c>
      <c r="B149" s="2" cm="1">
        <f t="array" aca="1" ref="B149" ca="1">INDEX(Data_DBD!$B:$B,$A149)</f>
        <v>59</v>
      </c>
      <c r="C149" s="2" cm="1">
        <f t="array" aca="1" ref="C149" ca="1">INDEX(Data_DBD!$C:$C,$A149)</f>
        <v>4</v>
      </c>
      <c r="D149" s="2" cm="1">
        <f t="array" aca="1" ref="D149" ca="1">INDEX(Data_DBD!$E:$E,$A149)</f>
        <v>1</v>
      </c>
      <c r="E149" s="2" t="str" cm="1">
        <f t="array" aca="1" ref="E149" ca="1">INDEX(Data_DBD!$F:$F,$A149)</f>
        <v>Sedang</v>
      </c>
      <c r="H149" s="2">
        <v>91</v>
      </c>
      <c r="I149" s="2">
        <v>35</v>
      </c>
      <c r="J149" s="2">
        <v>1</v>
      </c>
      <c r="K149" s="2">
        <v>1</v>
      </c>
      <c r="L149" s="2" t="s">
        <v>97</v>
      </c>
    </row>
    <row r="150" spans="1:12">
      <c r="A150" s="2">
        <f t="shared" ca="1" si="2"/>
        <v>15</v>
      </c>
      <c r="B150" s="2" cm="1">
        <f t="array" aca="1" ref="B150" ca="1">INDEX(Data_DBD!$B:$B,$A150)</f>
        <v>21</v>
      </c>
      <c r="C150" s="2" cm="1">
        <f t="array" aca="1" ref="C150" ca="1">INDEX(Data_DBD!$C:$C,$A150)</f>
        <v>2</v>
      </c>
      <c r="D150" s="2" cm="1">
        <f t="array" aca="1" ref="D150" ca="1">INDEX(Data_DBD!$E:$E,$A150)</f>
        <v>0</v>
      </c>
      <c r="E150" s="2" t="str" cm="1">
        <f t="array" aca="1" ref="E150" ca="1">INDEX(Data_DBD!$F:$F,$A150)</f>
        <v>Rendah</v>
      </c>
      <c r="H150" s="2">
        <v>57</v>
      </c>
      <c r="I150" s="2">
        <v>2</v>
      </c>
      <c r="J150" s="2">
        <v>2</v>
      </c>
      <c r="K150" s="2">
        <v>1</v>
      </c>
      <c r="L150" s="2" t="s">
        <v>7</v>
      </c>
    </row>
    <row r="151" spans="1:12">
      <c r="A151" s="2">
        <f t="shared" ca="1" si="2"/>
        <v>117</v>
      </c>
      <c r="B151" s="2" cm="1">
        <f t="array" aca="1" ref="B151" ca="1">INDEX(Data_DBD!$B:$B,$A151)</f>
        <v>49</v>
      </c>
      <c r="C151" s="2" cm="1">
        <f t="array" aca="1" ref="C151" ca="1">INDEX(Data_DBD!$C:$C,$A151)</f>
        <v>4</v>
      </c>
      <c r="D151" s="2" cm="1">
        <f t="array" aca="1" ref="D151" ca="1">INDEX(Data_DBD!$E:$E,$A151)</f>
        <v>1</v>
      </c>
      <c r="E151" s="2" t="str" cm="1">
        <f t="array" aca="1" ref="E151" ca="1">INDEX(Data_DBD!$F:$F,$A151)</f>
        <v>Tinggi</v>
      </c>
      <c r="H151" s="2">
        <v>29</v>
      </c>
      <c r="I151" s="2">
        <v>19</v>
      </c>
      <c r="J151" s="2">
        <v>2</v>
      </c>
      <c r="K151" s="2">
        <v>1</v>
      </c>
      <c r="L151" s="2" t="s">
        <v>7</v>
      </c>
    </row>
    <row r="152" spans="1:12">
      <c r="A152" s="2">
        <f t="shared" ca="1" si="2"/>
        <v>48</v>
      </c>
      <c r="B152" s="2" cm="1">
        <f t="array" aca="1" ref="B152" ca="1">INDEX(Data_DBD!$B:$B,$A152)</f>
        <v>50</v>
      </c>
      <c r="C152" s="2" cm="1">
        <f t="array" aca="1" ref="C152" ca="1">INDEX(Data_DBD!$C:$C,$A152)</f>
        <v>5</v>
      </c>
      <c r="D152" s="2" cm="1">
        <f t="array" aca="1" ref="D152" ca="1">INDEX(Data_DBD!$E:$E,$A152)</f>
        <v>1</v>
      </c>
      <c r="E152" s="2" t="str" cm="1">
        <f t="array" aca="1" ref="E152" ca="1">INDEX(Data_DBD!$F:$F,$A152)</f>
        <v>Sedang</v>
      </c>
      <c r="H152" s="2">
        <v>163</v>
      </c>
      <c r="I152" s="2">
        <v>34</v>
      </c>
      <c r="J152" s="2">
        <v>4</v>
      </c>
      <c r="K152" s="2">
        <v>1</v>
      </c>
      <c r="L152" s="2" t="s">
        <v>20</v>
      </c>
    </row>
    <row r="153" spans="1:12">
      <c r="A153" s="2">
        <f t="shared" ca="1" si="2"/>
        <v>109</v>
      </c>
      <c r="B153" s="2" cm="1">
        <f t="array" aca="1" ref="B153" ca="1">INDEX(Data_DBD!$B:$B,$A153)</f>
        <v>40</v>
      </c>
      <c r="C153" s="2" cm="1">
        <f t="array" aca="1" ref="C153" ca="1">INDEX(Data_DBD!$C:$C,$A153)</f>
        <v>3</v>
      </c>
      <c r="D153" s="2" cm="1">
        <f t="array" aca="1" ref="D153" ca="1">INDEX(Data_DBD!$E:$E,$A153)</f>
        <v>1</v>
      </c>
      <c r="E153" s="2" t="str" cm="1">
        <f t="array" aca="1" ref="E153" ca="1">INDEX(Data_DBD!$F:$F,$A153)</f>
        <v>Tinggi</v>
      </c>
      <c r="H153" s="2">
        <v>57</v>
      </c>
      <c r="I153" s="2">
        <v>2</v>
      </c>
      <c r="J153" s="2">
        <v>2</v>
      </c>
      <c r="K153" s="2">
        <v>1</v>
      </c>
      <c r="L153" s="2" t="s">
        <v>7</v>
      </c>
    </row>
    <row r="154" spans="1:12">
      <c r="A154" s="2">
        <f t="shared" ca="1" si="2"/>
        <v>120</v>
      </c>
      <c r="B154" s="2" cm="1">
        <f t="array" aca="1" ref="B154" ca="1">INDEX(Data_DBD!$B:$B,$A154)</f>
        <v>26</v>
      </c>
      <c r="C154" s="2" cm="1">
        <f t="array" aca="1" ref="C154" ca="1">INDEX(Data_DBD!$C:$C,$A154)</f>
        <v>4</v>
      </c>
      <c r="D154" s="2" cm="1">
        <f t="array" aca="1" ref="D154" ca="1">INDEX(Data_DBD!$E:$E,$A154)</f>
        <v>1</v>
      </c>
      <c r="E154" s="2" t="str" cm="1">
        <f t="array" aca="1" ref="E154" ca="1">INDEX(Data_DBD!$F:$F,$A154)</f>
        <v>Tinggi</v>
      </c>
      <c r="H154" s="2">
        <v>57</v>
      </c>
      <c r="I154" s="2">
        <v>2</v>
      </c>
      <c r="J154" s="2">
        <v>2</v>
      </c>
      <c r="K154" s="2">
        <v>1</v>
      </c>
      <c r="L154" s="2" t="s">
        <v>7</v>
      </c>
    </row>
    <row r="155" spans="1:12">
      <c r="A155" s="2">
        <f t="shared" ca="1" si="2"/>
        <v>50</v>
      </c>
      <c r="B155" s="2" cm="1">
        <f t="array" aca="1" ref="B155" ca="1">INDEX(Data_DBD!$B:$B,$A155)</f>
        <v>19</v>
      </c>
      <c r="C155" s="2" cm="1">
        <f t="array" aca="1" ref="C155" ca="1">INDEX(Data_DBD!$C:$C,$A155)</f>
        <v>5</v>
      </c>
      <c r="D155" s="2" cm="1">
        <f t="array" aca="1" ref="D155" ca="1">INDEX(Data_DBD!$E:$E,$A155)</f>
        <v>0</v>
      </c>
      <c r="E155" s="2" t="str" cm="1">
        <f t="array" aca="1" ref="E155" ca="1">INDEX(Data_DBD!$F:$F,$A155)</f>
        <v>Sedang</v>
      </c>
      <c r="H155" s="2">
        <v>51</v>
      </c>
      <c r="I155" s="2">
        <v>48</v>
      </c>
      <c r="J155" s="2">
        <v>4</v>
      </c>
      <c r="K155" s="2">
        <v>0</v>
      </c>
      <c r="L155" s="2" t="s">
        <v>7</v>
      </c>
    </row>
    <row r="156" spans="1:12">
      <c r="A156" s="2">
        <f t="shared" ca="1" si="2"/>
        <v>160</v>
      </c>
      <c r="B156" s="2" cm="1">
        <f t="array" aca="1" ref="B156" ca="1">INDEX(Data_DBD!$B:$B,$A156)</f>
        <v>16</v>
      </c>
      <c r="C156" s="2" cm="1">
        <f t="array" aca="1" ref="C156" ca="1">INDEX(Data_DBD!$C:$C,$A156)</f>
        <v>3</v>
      </c>
      <c r="D156" s="2" cm="1">
        <f t="array" aca="1" ref="D156" ca="1">INDEX(Data_DBD!$E:$E,$A156)</f>
        <v>0</v>
      </c>
      <c r="E156" s="2" t="str" cm="1">
        <f t="array" aca="1" ref="E156" ca="1">INDEX(Data_DBD!$F:$F,$A156)</f>
        <v>Tinggi</v>
      </c>
      <c r="H156" s="2">
        <v>13</v>
      </c>
      <c r="I156" s="2">
        <v>47</v>
      </c>
      <c r="J156" s="2">
        <v>2</v>
      </c>
      <c r="K156" s="2">
        <v>0</v>
      </c>
      <c r="L156" s="2" t="s">
        <v>7</v>
      </c>
    </row>
    <row r="157" spans="1:12">
      <c r="A157" s="2">
        <f t="shared" ca="1" si="2"/>
        <v>27</v>
      </c>
      <c r="B157" s="2" cm="1">
        <f t="array" aca="1" ref="B157" ca="1">INDEX(Data_DBD!$B:$B,$A157)</f>
        <v>37</v>
      </c>
      <c r="C157" s="2" cm="1">
        <f t="array" aca="1" ref="C157" ca="1">INDEX(Data_DBD!$C:$C,$A157)</f>
        <v>4</v>
      </c>
      <c r="D157" s="2" cm="1">
        <f t="array" aca="1" ref="D157" ca="1">INDEX(Data_DBD!$E:$E,$A157)</f>
        <v>1</v>
      </c>
      <c r="E157" s="2" t="str" cm="1">
        <f t="array" aca="1" ref="E157" ca="1">INDEX(Data_DBD!$F:$F,$A157)</f>
        <v>Sedang</v>
      </c>
      <c r="H157" s="2">
        <v>95</v>
      </c>
      <c r="I157" s="2">
        <v>11</v>
      </c>
      <c r="J157" s="2">
        <v>3</v>
      </c>
      <c r="K157" s="2">
        <v>1</v>
      </c>
      <c r="L157" s="2" t="s">
        <v>97</v>
      </c>
    </row>
    <row r="158" spans="1:12">
      <c r="A158" s="2">
        <f t="shared" ca="1" si="2"/>
        <v>58</v>
      </c>
      <c r="B158" s="2" cm="1">
        <f t="array" aca="1" ref="B158" ca="1">INDEX(Data_DBD!$B:$B,$A158)</f>
        <v>17</v>
      </c>
      <c r="C158" s="2" cm="1">
        <f t="array" aca="1" ref="C158" ca="1">INDEX(Data_DBD!$C:$C,$A158)</f>
        <v>3</v>
      </c>
      <c r="D158" s="2" cm="1">
        <f t="array" aca="1" ref="D158" ca="1">INDEX(Data_DBD!$E:$E,$A158)</f>
        <v>0</v>
      </c>
      <c r="E158" s="2" t="str" cm="1">
        <f t="array" aca="1" ref="E158" ca="1">INDEX(Data_DBD!$F:$F,$A158)</f>
        <v>Sedang</v>
      </c>
      <c r="H158" s="2">
        <v>92</v>
      </c>
      <c r="I158" s="2">
        <v>55</v>
      </c>
      <c r="J158" s="2">
        <v>7</v>
      </c>
      <c r="K158" s="2">
        <v>0</v>
      </c>
      <c r="L158" s="2" t="s">
        <v>97</v>
      </c>
    </row>
    <row r="159" spans="1:12">
      <c r="A159" s="2">
        <f t="shared" ca="1" si="2"/>
        <v>9</v>
      </c>
      <c r="B159" s="2" cm="1">
        <f t="array" aca="1" ref="B159" ca="1">INDEX(Data_DBD!$B:$B,$A159)</f>
        <v>16</v>
      </c>
      <c r="C159" s="2" cm="1">
        <f t="array" aca="1" ref="C159" ca="1">INDEX(Data_DBD!$C:$C,$A159)</f>
        <v>6</v>
      </c>
      <c r="D159" s="2" cm="1">
        <f t="array" aca="1" ref="D159" ca="1">INDEX(Data_DBD!$E:$E,$A159)</f>
        <v>1</v>
      </c>
      <c r="E159" s="2" t="str" cm="1">
        <f t="array" aca="1" ref="E159" ca="1">INDEX(Data_DBD!$F:$F,$A159)</f>
        <v>Sedang</v>
      </c>
      <c r="H159" s="2">
        <v>123</v>
      </c>
      <c r="I159" s="2">
        <v>22</v>
      </c>
      <c r="J159" s="2">
        <v>4</v>
      </c>
      <c r="K159" s="2">
        <v>0</v>
      </c>
      <c r="L159" s="2" t="s">
        <v>97</v>
      </c>
    </row>
    <row r="160" spans="1:12">
      <c r="A160" s="2">
        <f t="shared" ca="1" si="2"/>
        <v>121</v>
      </c>
      <c r="B160" s="2" cm="1">
        <f t="array" aca="1" ref="B160" ca="1">INDEX(Data_DBD!$B:$B,$A160)</f>
        <v>82</v>
      </c>
      <c r="C160" s="2" cm="1">
        <f t="array" aca="1" ref="C160" ca="1">INDEX(Data_DBD!$C:$C,$A160)</f>
        <v>5</v>
      </c>
      <c r="D160" s="2" cm="1">
        <f t="array" aca="1" ref="D160" ca="1">INDEX(Data_DBD!$E:$E,$A160)</f>
        <v>1</v>
      </c>
      <c r="E160" s="2" t="str" cm="1">
        <f t="array" aca="1" ref="E160" ca="1">INDEX(Data_DBD!$F:$F,$A160)</f>
        <v>Tinggi</v>
      </c>
      <c r="H160" s="2">
        <v>135</v>
      </c>
      <c r="I160" s="2">
        <v>10</v>
      </c>
      <c r="J160" s="2">
        <v>2</v>
      </c>
      <c r="K160" s="2">
        <v>0</v>
      </c>
      <c r="L160" s="2" t="s">
        <v>97</v>
      </c>
    </row>
    <row r="161" spans="1:15">
      <c r="A161" s="2">
        <f t="shared" ca="1" si="2"/>
        <v>26</v>
      </c>
      <c r="B161" s="2" cm="1">
        <f t="array" aca="1" ref="B161" ca="1">INDEX(Data_DBD!$B:$B,$A161)</f>
        <v>75</v>
      </c>
      <c r="C161" s="2" cm="1">
        <f t="array" aca="1" ref="C161" ca="1">INDEX(Data_DBD!$C:$C,$A161)</f>
        <v>4</v>
      </c>
      <c r="D161" s="2" cm="1">
        <f t="array" aca="1" ref="D161" ca="1">INDEX(Data_DBD!$E:$E,$A161)</f>
        <v>1</v>
      </c>
      <c r="E161" s="2" t="str" cm="1">
        <f t="array" aca="1" ref="E161" ca="1">INDEX(Data_DBD!$F:$F,$A161)</f>
        <v>Sedang</v>
      </c>
      <c r="H161" s="2">
        <v>71</v>
      </c>
      <c r="I161" s="2">
        <v>84</v>
      </c>
      <c r="J161" s="2">
        <v>3</v>
      </c>
      <c r="K161" s="2">
        <v>0</v>
      </c>
      <c r="L161" s="2" t="s">
        <v>7</v>
      </c>
    </row>
    <row r="162" spans="1:15">
      <c r="A162" s="2">
        <f t="shared" ca="1" si="2"/>
        <v>8</v>
      </c>
      <c r="B162" s="2" cm="1">
        <f t="array" aca="1" ref="B162" ca="1">INDEX(Data_DBD!$B:$B,$A162)</f>
        <v>4</v>
      </c>
      <c r="C162" s="2" cm="1">
        <f t="array" aca="1" ref="C162" ca="1">INDEX(Data_DBD!$C:$C,$A162)</f>
        <v>2</v>
      </c>
      <c r="D162" s="2" cm="1">
        <f t="array" aca="1" ref="D162" ca="1">INDEX(Data_DBD!$E:$E,$A162)</f>
        <v>0</v>
      </c>
      <c r="E162" s="2" t="str" cm="1">
        <f t="array" aca="1" ref="E162" ca="1">INDEX(Data_DBD!$F:$F,$A162)</f>
        <v>Sedang</v>
      </c>
      <c r="H162" s="2">
        <v>80</v>
      </c>
      <c r="I162" s="2">
        <v>27</v>
      </c>
      <c r="J162" s="2">
        <v>3</v>
      </c>
      <c r="K162" s="2">
        <v>1</v>
      </c>
      <c r="L162" s="2" t="s">
        <v>7</v>
      </c>
    </row>
    <row r="163" spans="1:15">
      <c r="A163" s="2">
        <f t="shared" ca="1" si="2"/>
        <v>14</v>
      </c>
      <c r="B163" s="2" cm="1">
        <f t="array" aca="1" ref="B163" ca="1">INDEX(Data_DBD!$B:$B,$A163)</f>
        <v>49</v>
      </c>
      <c r="C163" s="2" cm="1">
        <f t="array" aca="1" ref="C163" ca="1">INDEX(Data_DBD!$C:$C,$A163)</f>
        <v>4</v>
      </c>
      <c r="D163" s="2" cm="1">
        <f t="array" aca="1" ref="D163" ca="1">INDEX(Data_DBD!$E:$E,$A163)</f>
        <v>1</v>
      </c>
      <c r="E163" s="2" t="str" cm="1">
        <f t="array" aca="1" ref="E163" ca="1">INDEX(Data_DBD!$F:$F,$A163)</f>
        <v>Rendah</v>
      </c>
      <c r="H163" s="2">
        <v>109</v>
      </c>
      <c r="I163" s="2">
        <v>40</v>
      </c>
      <c r="J163" s="2">
        <v>3</v>
      </c>
      <c r="K163" s="2">
        <v>1</v>
      </c>
      <c r="L163" s="2" t="s">
        <v>97</v>
      </c>
    </row>
    <row r="164" spans="1:15">
      <c r="A164" s="2">
        <f t="shared" ca="1" si="2"/>
        <v>116</v>
      </c>
      <c r="B164" s="2" cm="1">
        <f t="array" aca="1" ref="B164" ca="1">INDEX(Data_DBD!$B:$B,$A164)</f>
        <v>32</v>
      </c>
      <c r="C164" s="2" cm="1">
        <f t="array" aca="1" ref="C164" ca="1">INDEX(Data_DBD!$C:$C,$A164)</f>
        <v>4</v>
      </c>
      <c r="D164" s="2" cm="1">
        <f t="array" aca="1" ref="D164" ca="1">INDEX(Data_DBD!$E:$E,$A164)</f>
        <v>1</v>
      </c>
      <c r="E164" s="2" t="str" cm="1">
        <f t="array" aca="1" ref="E164" ca="1">INDEX(Data_DBD!$F:$F,$A164)</f>
        <v>Tinggi</v>
      </c>
      <c r="H164" s="2">
        <v>63</v>
      </c>
      <c r="I164" s="2">
        <v>25</v>
      </c>
      <c r="J164" s="2">
        <v>3</v>
      </c>
      <c r="K164" s="2">
        <v>0</v>
      </c>
      <c r="L164" s="2" t="s">
        <v>7</v>
      </c>
    </row>
    <row r="165" spans="1:15">
      <c r="I165">
        <f>AVERAGE(I2:I164)</f>
        <v>32.533742331288344</v>
      </c>
      <c r="J165">
        <f>AVERAGE(J2:J164)</f>
        <v>3.5521472392638036</v>
      </c>
      <c r="K165">
        <f>AVERAGE(K2:K164)</f>
        <v>0.57055214723926384</v>
      </c>
    </row>
    <row r="166" spans="1:15">
      <c r="B166">
        <v>45</v>
      </c>
    </row>
    <row r="168" spans="1:15">
      <c r="E168" s="5" t="s">
        <v>175</v>
      </c>
      <c r="I168" s="5" t="s">
        <v>176</v>
      </c>
      <c r="M168" s="5" t="s">
        <v>178</v>
      </c>
    </row>
    <row r="169" spans="1:15">
      <c r="E169" s="2" t="s">
        <v>1</v>
      </c>
      <c r="F169" s="2">
        <f>AVERAGEIF($I$2:$I$164,"&lt;="&amp;$I$165)</f>
        <v>15.913978494623656</v>
      </c>
      <c r="G169" s="2">
        <f>AVERAGEIF($I$2:$I$164,"&gt;"&amp;$I$165)</f>
        <v>54.614285714285714</v>
      </c>
      <c r="I169" s="2" t="s">
        <v>179</v>
      </c>
      <c r="J169" s="2">
        <f>AVERAGEIF($J$2:$J$164,"&lt;="&amp;$J$165)</f>
        <v>2.4</v>
      </c>
      <c r="K169" s="2">
        <f>AVERAGEIF($J$2:$J$164,"&gt;"&amp;$J$165)</f>
        <v>4.8076923076923075</v>
      </c>
      <c r="M169" s="2" t="s">
        <v>181</v>
      </c>
      <c r="N169" s="2">
        <f>AVERAGEIF($K$2:$K$164,"&lt;="&amp;$K$165)</f>
        <v>0</v>
      </c>
      <c r="O169" s="2">
        <f>AVERAGEIF($K$2:$K$164,"&gt;"&amp;$K$165)</f>
        <v>1</v>
      </c>
    </row>
    <row r="170" spans="1:15">
      <c r="E170" s="2" t="str" cm="1">
        <f t="array" ref="E170:E332">IF($I$2:$I$164&lt;$F$169,"kiri",IF($I$2:$I$164&lt;$G$169,"tengah","kanan"))</f>
        <v>kiri</v>
      </c>
      <c r="F170" s="15" t="s">
        <v>221</v>
      </c>
      <c r="G170" s="2"/>
      <c r="I170" s="2" t="str" cm="1">
        <f t="array" ref="I170:I332">IF($J$2:$J$164&lt;$J$169,"kiri",IF($J$2:$J$164&lt;$K$169,"tengah","kanan"))</f>
        <v>tengah</v>
      </c>
      <c r="J170" s="15" t="s">
        <v>222</v>
      </c>
      <c r="K170" s="2"/>
      <c r="M170" s="2" t="str" cm="1">
        <f t="array" ref="M170:M332">IF($K$2:$K$164&lt;$N$169,"kiri",IF($K$2:$K$164&lt;$O$169,"tengah","kanan"))</f>
        <v>tengah</v>
      </c>
      <c r="N170" s="2" t="s">
        <v>185</v>
      </c>
      <c r="O170" s="2"/>
    </row>
    <row r="171" spans="1:15">
      <c r="E171" s="2" t="str">
        <v>tengah</v>
      </c>
      <c r="F171" s="2">
        <f>COUNTIFS($E$170:$E$332,"Kanan",$L$2:$L$164,"Tinggi")</f>
        <v>16</v>
      </c>
      <c r="G171" s="2">
        <f>F171/34</f>
        <v>0.47058823529411764</v>
      </c>
      <c r="I171" s="2" t="str">
        <v>kiri</v>
      </c>
      <c r="J171" s="2">
        <f>COUNTIFS($I$170:$I$332,"Kanan",$L$2:$L$164,"Tinggi")</f>
        <v>18</v>
      </c>
      <c r="K171" s="2">
        <f>J171/36</f>
        <v>0.5</v>
      </c>
      <c r="M171" s="2" t="str">
        <v>kanan</v>
      </c>
      <c r="N171" s="2">
        <f>COUNTIFS($M$170:$M$332,"Kanan",$L$2:$L$164,"Tinggi")</f>
        <v>36</v>
      </c>
      <c r="O171" s="2">
        <f>N171/93</f>
        <v>0.38709677419354838</v>
      </c>
    </row>
    <row r="172" spans="1:15">
      <c r="E172" s="2" t="str">
        <v>tengah</v>
      </c>
      <c r="F172" s="2">
        <f>COUNTIFS($E$170:$E$332,"Kanan",$L$2:$L$164,"Sedang")</f>
        <v>17</v>
      </c>
      <c r="G172" s="2">
        <f>F172/34</f>
        <v>0.5</v>
      </c>
      <c r="I172" s="2" t="str">
        <v>tengah</v>
      </c>
      <c r="J172" s="2">
        <f>COUNTIFS($I$170:$I$332,"Kanan",$L$2:$L$164,"Sedang")</f>
        <v>17</v>
      </c>
      <c r="K172" s="2">
        <f>J172/36</f>
        <v>0.47222222222222221</v>
      </c>
      <c r="M172" s="2" t="str">
        <v>tengah</v>
      </c>
      <c r="N172" s="2">
        <f>COUNTIFS($M$170:$M$332,"Kanan",$L$2:$L$164,"Sedang")</f>
        <v>49</v>
      </c>
      <c r="O172" s="2">
        <f>N172/93</f>
        <v>0.5268817204301075</v>
      </c>
    </row>
    <row r="173" spans="1:15">
      <c r="E173" s="2" t="str">
        <v>tengah</v>
      </c>
      <c r="F173" s="2">
        <f>COUNTIFS($E$170:$E$332,"Kanan",$L$2:$L$164,"Rendah")</f>
        <v>1</v>
      </c>
      <c r="G173" s="2">
        <f>F173/34</f>
        <v>2.9411764705882353E-2</v>
      </c>
      <c r="I173" s="2" t="str">
        <v>tengah</v>
      </c>
      <c r="J173" s="2">
        <f>COUNTIFS($I$170:$I$332,"Kanan",$L$2:$L$164,"Rendah")</f>
        <v>1</v>
      </c>
      <c r="K173" s="2">
        <f>J173/36</f>
        <v>2.7777777777777776E-2</v>
      </c>
      <c r="M173" s="2" t="str">
        <v>kanan</v>
      </c>
      <c r="N173" s="2">
        <f>COUNTIFS($M$170:$M$332,"Kanan",$L$2:$L$164,"Rendah")</f>
        <v>8</v>
      </c>
      <c r="O173" s="2">
        <f>N173/93</f>
        <v>8.6021505376344093E-2</v>
      </c>
    </row>
    <row r="174" spans="1:15">
      <c r="E174" s="2" t="str">
        <v>tengah</v>
      </c>
      <c r="F174" s="2" t="s">
        <v>186</v>
      </c>
      <c r="G174" s="2">
        <f>-(IFERROR(G171*LOG(G171,2),0)+IFERROR(G172*LOG(G172,2),0)+IFERROR(G173*LOG(G173,2),0))</f>
        <v>1.161378479448699</v>
      </c>
      <c r="I174" s="2" t="str">
        <v>kiri</v>
      </c>
      <c r="J174" s="2" t="s">
        <v>186</v>
      </c>
      <c r="K174" s="2">
        <f>-(IFERROR(K171*LOG(K171,2),0)+IFERROR(K172*LOG(K172,2),0)+IFERROR(K173*LOG(K173,2),0))</f>
        <v>1.1547717145751624</v>
      </c>
      <c r="M174" s="2" t="str">
        <v>kanan</v>
      </c>
      <c r="N174" s="2" t="s">
        <v>186</v>
      </c>
      <c r="O174" s="2">
        <f>-(IFERROR(O171*LOG(O171,2),0)+IFERROR(O172*LOG(O172,2),0)+IFERROR(O173*LOG(O173,2),0))</f>
        <v>1.3215450217148224</v>
      </c>
    </row>
    <row r="175" spans="1:15">
      <c r="E175" s="2" t="str">
        <v>tengah</v>
      </c>
      <c r="F175" s="2"/>
      <c r="G175" s="2">
        <f>SUM(F171:F173)/163</f>
        <v>0.20858895705521471</v>
      </c>
      <c r="I175" s="2" t="str">
        <v>kiri</v>
      </c>
      <c r="J175" s="2"/>
      <c r="K175" s="2">
        <f>SUM(J171:J173)/163</f>
        <v>0.22085889570552147</v>
      </c>
      <c r="M175" s="2" t="str">
        <v>kanan</v>
      </c>
      <c r="N175" s="2"/>
      <c r="O175" s="2">
        <f>SUM(N171:N173)/163</f>
        <v>0.57055214723926384</v>
      </c>
    </row>
    <row r="176" spans="1:15">
      <c r="E176" s="2" t="str">
        <v>tengah</v>
      </c>
      <c r="F176" s="2"/>
      <c r="G176" s="6">
        <f>G174*G175</f>
        <v>0.24225072577457524</v>
      </c>
      <c r="I176" s="2" t="str">
        <v>tengah</v>
      </c>
      <c r="J176" s="2"/>
      <c r="K176" s="6">
        <f>K174*K175</f>
        <v>0.25504160567304202</v>
      </c>
      <c r="M176" s="2" t="str">
        <v>kanan</v>
      </c>
      <c r="N176" s="2"/>
      <c r="O176" s="6">
        <f>O174*O175</f>
        <v>0.7540103498127515</v>
      </c>
    </row>
    <row r="177" spans="5:15">
      <c r="E177" s="2" t="str">
        <v>tengah</v>
      </c>
      <c r="F177" s="2"/>
      <c r="G177" s="2"/>
      <c r="I177" s="2" t="str">
        <v>tengah</v>
      </c>
      <c r="J177" s="2"/>
      <c r="K177" s="2"/>
      <c r="M177" s="2" t="str">
        <v>kanan</v>
      </c>
      <c r="N177" s="2"/>
      <c r="O177" s="2"/>
    </row>
    <row r="178" spans="5:15">
      <c r="E178" s="2" t="str">
        <v>tengah</v>
      </c>
      <c r="F178" s="2"/>
      <c r="G178" s="2"/>
      <c r="I178" s="2" t="str">
        <v>tengah</v>
      </c>
      <c r="J178" s="2"/>
      <c r="K178" s="2"/>
      <c r="M178" s="2" t="str">
        <v>kanan</v>
      </c>
      <c r="N178" s="2"/>
      <c r="O178" s="2"/>
    </row>
    <row r="179" spans="5:15">
      <c r="E179" s="2" t="str">
        <v>tengah</v>
      </c>
      <c r="F179" s="2" t="s">
        <v>212</v>
      </c>
      <c r="G179" s="2"/>
      <c r="I179" s="2" t="str">
        <v>tengah</v>
      </c>
      <c r="J179" s="15" t="s">
        <v>223</v>
      </c>
      <c r="K179" s="2"/>
      <c r="M179" s="2" t="str">
        <v>kanan</v>
      </c>
      <c r="N179" s="2" t="s">
        <v>190</v>
      </c>
      <c r="O179" s="2"/>
    </row>
    <row r="180" spans="5:15">
      <c r="E180" s="2" t="str">
        <v>tengah</v>
      </c>
      <c r="F180" s="2">
        <f>COUNTIFS($E$170:$E$332,"Kiri",$L$2:$L$164,"Tinggi")</f>
        <v>17</v>
      </c>
      <c r="G180" s="2">
        <f>F180/40</f>
        <v>0.42499999999999999</v>
      </c>
      <c r="I180" s="2" t="str">
        <v>tengah</v>
      </c>
      <c r="J180" s="2">
        <f>COUNTIFS($I$170:$I$332,"Kiri",$L$2:$L$164,"Tinggi")</f>
        <v>20</v>
      </c>
      <c r="K180" s="2">
        <f>J180/44</f>
        <v>0.45454545454545453</v>
      </c>
      <c r="M180" s="2" t="str">
        <v>kanan</v>
      </c>
      <c r="N180" s="2">
        <f>COUNTIFS($M$170:$M$332,"Kiri",$L$2:$L$164,"Tinggi")</f>
        <v>0</v>
      </c>
      <c r="O180" s="2">
        <f>N180/78</f>
        <v>0</v>
      </c>
    </row>
    <row r="181" spans="5:15">
      <c r="E181" s="2" t="str">
        <v>kiri</v>
      </c>
      <c r="F181" s="2">
        <f>COUNTIFS($E$170:$E$332,"Kiri",$L$2:$L$164,"Sedang")</f>
        <v>22</v>
      </c>
      <c r="G181" s="2">
        <f>F181/40</f>
        <v>0.55000000000000004</v>
      </c>
      <c r="I181" s="2" t="str">
        <v>tengah</v>
      </c>
      <c r="J181" s="2">
        <f>COUNTIFS($I$170:$I$332,"Kiri",$L$2:$L$164,"Sedang")</f>
        <v>22</v>
      </c>
      <c r="K181" s="2">
        <f>J181/44</f>
        <v>0.5</v>
      </c>
      <c r="M181" s="2" t="str">
        <v>tengah</v>
      </c>
      <c r="N181" s="2">
        <f>COUNTIFS($T$170:$T$332,"Kiri",$M$2:$M$164,"Sedang")</f>
        <v>0</v>
      </c>
      <c r="O181" s="2">
        <f>N181/78</f>
        <v>0</v>
      </c>
    </row>
    <row r="182" spans="5:15">
      <c r="E182" s="2" t="str">
        <v>tengah</v>
      </c>
      <c r="F182" s="2">
        <f>COUNTIFS($E$170:$E$332,"Kiri",$L$2:$L$164,"Rendah")</f>
        <v>1</v>
      </c>
      <c r="G182" s="2">
        <f>F182/40</f>
        <v>2.5000000000000001E-2</v>
      </c>
      <c r="I182" s="2" t="str">
        <v>kiri</v>
      </c>
      <c r="J182" s="2">
        <f>COUNTIFS($I$170:$I$332,"Kiri",$L$2:$L$164,"Rendah")</f>
        <v>2</v>
      </c>
      <c r="K182" s="2">
        <f>J182/44</f>
        <v>4.5454545454545456E-2</v>
      </c>
      <c r="M182" s="2" t="str">
        <v>tengah</v>
      </c>
      <c r="N182" s="2">
        <f>COUNTIFS($T$170:$T$332,"Kiri",$M$2:$M$164,"Rendah")</f>
        <v>0</v>
      </c>
      <c r="O182" s="2">
        <f>N182/78</f>
        <v>0</v>
      </c>
    </row>
    <row r="183" spans="5:15">
      <c r="E183" s="2" t="str">
        <v>kiri</v>
      </c>
      <c r="F183" s="2" t="s">
        <v>186</v>
      </c>
      <c r="G183" s="2">
        <f>-(IFERROR(G180*LOG(G180,2),0)+IFERROR(G181*LOG(G181,2),0)+IFERROR(G182*LOG(G182,2),0))</f>
        <v>1.1320689971054545</v>
      </c>
      <c r="I183" s="2" t="str">
        <v>kiri</v>
      </c>
      <c r="J183" s="2" t="s">
        <v>186</v>
      </c>
      <c r="K183" s="2">
        <f>-(IFERROR(K180*LOG(K180,2),0)+IFERROR(K181*LOG(K181,2),0)+IFERROR(K182*LOG(K182,2),0))</f>
        <v>1.2197484934607565</v>
      </c>
      <c r="M183" s="2" t="str">
        <v>kanan</v>
      </c>
      <c r="N183" s="2" t="s">
        <v>186</v>
      </c>
      <c r="O183" s="2">
        <f>-(IFERROR(O180*LOG(O180,2),0)+IFERROR(O181*LOG(O181,2),0)+IFERROR(O182*LOG(O182,2),0))</f>
        <v>0</v>
      </c>
    </row>
    <row r="184" spans="5:15">
      <c r="E184" s="2" t="str">
        <v>tengah</v>
      </c>
      <c r="F184" s="2"/>
      <c r="G184" s="2">
        <f>SUM(F180:F182)/163</f>
        <v>0.24539877300613497</v>
      </c>
      <c r="I184" s="2" t="str">
        <v>kiri</v>
      </c>
      <c r="J184" s="2"/>
      <c r="K184" s="2">
        <f>SUM(J180:J182)/163</f>
        <v>0.26993865030674846</v>
      </c>
      <c r="M184" s="2" t="str">
        <v>tengah</v>
      </c>
      <c r="N184" s="2"/>
      <c r="O184" s="2">
        <f>SUM(N180:N182)/163</f>
        <v>0</v>
      </c>
    </row>
    <row r="185" spans="5:15">
      <c r="E185" s="2" t="str">
        <v>kiri</v>
      </c>
      <c r="F185" s="2"/>
      <c r="G185" s="6">
        <f>G183*G184</f>
        <v>0.2778083428479643</v>
      </c>
      <c r="I185" s="2" t="str">
        <v>tengah</v>
      </c>
      <c r="J185" s="2"/>
      <c r="K185" s="6">
        <f>K183*K184</f>
        <v>0.32925726203848643</v>
      </c>
      <c r="M185" s="2" t="str">
        <v>kanan</v>
      </c>
      <c r="N185" s="2"/>
      <c r="O185" s="6">
        <f>O183*O184</f>
        <v>0</v>
      </c>
    </row>
    <row r="186" spans="5:15">
      <c r="E186" s="2" t="str">
        <v>tengah</v>
      </c>
      <c r="F186" s="2"/>
      <c r="G186" s="2"/>
      <c r="I186" s="2" t="str">
        <v>kiri</v>
      </c>
      <c r="J186" s="2"/>
      <c r="K186" s="2"/>
      <c r="M186" s="2" t="str">
        <v>tengah</v>
      </c>
      <c r="N186" s="2"/>
      <c r="O186" s="2"/>
    </row>
    <row r="187" spans="5:15">
      <c r="E187" s="2" t="str">
        <v>kiri</v>
      </c>
      <c r="F187" s="2"/>
      <c r="G187" s="2"/>
      <c r="I187" s="2" t="str">
        <v>tengah</v>
      </c>
      <c r="J187" s="2"/>
      <c r="K187" s="2"/>
      <c r="M187" s="2" t="str">
        <v>tengah</v>
      </c>
      <c r="N187" s="2"/>
      <c r="O187" s="2"/>
    </row>
    <row r="188" spans="5:15">
      <c r="E188" s="2" t="str">
        <v>tengah</v>
      </c>
      <c r="F188" s="2" t="s">
        <v>191</v>
      </c>
      <c r="G188" s="2"/>
      <c r="I188" s="2" t="str">
        <v>kiri</v>
      </c>
      <c r="J188" s="2" t="s">
        <v>191</v>
      </c>
      <c r="K188" s="2"/>
      <c r="M188" s="2" t="str">
        <v>kanan</v>
      </c>
      <c r="N188" s="2" t="s">
        <v>191</v>
      </c>
      <c r="O188" s="2"/>
    </row>
    <row r="189" spans="5:15">
      <c r="E189" s="2" t="str">
        <v>tengah</v>
      </c>
      <c r="F189" s="2">
        <f>COUNTIFS($E$170:$E$332,"Tengah",$L$2:$L$164,"Tinggi")</f>
        <v>36</v>
      </c>
      <c r="G189" s="2">
        <f>F189/89</f>
        <v>0.4044943820224719</v>
      </c>
      <c r="I189" s="2" t="str">
        <v>kiri</v>
      </c>
      <c r="J189" s="2">
        <f>COUNTIFS($I$170:$I$332,"Tengah",$L$2:$L$164,"Tinggi")</f>
        <v>31</v>
      </c>
      <c r="K189" s="2">
        <f>J189/83</f>
        <v>0.37349397590361444</v>
      </c>
      <c r="M189" s="2" t="str">
        <v>kanan</v>
      </c>
      <c r="N189" s="2">
        <f>COUNTIFS($M$170:$M$332,"Tengah",$L$2:$L$164,"Tinggi")</f>
        <v>33</v>
      </c>
      <c r="O189" s="2">
        <f>N189/70</f>
        <v>0.47142857142857142</v>
      </c>
    </row>
    <row r="190" spans="5:15">
      <c r="E190" s="2" t="str">
        <v>kiri</v>
      </c>
      <c r="F190" s="2">
        <f>COUNTIFS($E$170:$E$332,"Tengah",$L$2:$L$164,"Sedang")</f>
        <v>45</v>
      </c>
      <c r="G190" s="2">
        <f>F190/89</f>
        <v>0.5056179775280899</v>
      </c>
      <c r="I190" s="2" t="str">
        <v>kiri</v>
      </c>
      <c r="J190" s="2">
        <f>COUNTIFS($I$170:$I$332,"Tengah",$L$2:$L$164,"Sedang")</f>
        <v>45</v>
      </c>
      <c r="K190" s="2">
        <f>J190/83</f>
        <v>0.54216867469879515</v>
      </c>
      <c r="M190" s="2" t="str">
        <v>tengah</v>
      </c>
      <c r="N190" s="2">
        <f>COUNTIFS($M$170:$M$332,"Tengah",$L$2:$L$164,"Sedang")</f>
        <v>35</v>
      </c>
      <c r="O190" s="2">
        <f>N190/70</f>
        <v>0.5</v>
      </c>
    </row>
    <row r="191" spans="5:15">
      <c r="E191" s="2" t="str">
        <v>kanan</v>
      </c>
      <c r="F191" s="2">
        <f>COUNTIFS($E$170:$E$332,"Tengah",$L$2:$L$164,"Rendah")</f>
        <v>8</v>
      </c>
      <c r="G191" s="2">
        <f>F191/89</f>
        <v>8.98876404494382E-2</v>
      </c>
      <c r="I191" s="2" t="str">
        <v>tengah</v>
      </c>
      <c r="J191" s="2">
        <f>COUNTIFS($I$170:$I$332,"Tengah",$L$2:$L$164,"Rendah")</f>
        <v>7</v>
      </c>
      <c r="K191" s="2">
        <f>J191/83</f>
        <v>8.4337349397590355E-2</v>
      </c>
      <c r="M191" s="2" t="str">
        <v>tengah</v>
      </c>
      <c r="N191" s="2">
        <f>COUNTIFS($M$170:$M$332,"Tengah",$L$2:$L$164,"Rendah")</f>
        <v>2</v>
      </c>
      <c r="O191" s="2">
        <f>N191/70</f>
        <v>2.8571428571428571E-2</v>
      </c>
    </row>
    <row r="192" spans="5:15">
      <c r="E192" s="2" t="str">
        <v>kanan</v>
      </c>
      <c r="F192" s="2" t="s">
        <v>186</v>
      </c>
      <c r="G192" s="2">
        <f>-(IFERROR(G189*LOG(G189,2),0)+IFERROR(G190*LOG(G190,2),0)+IFERROR(G191*LOG(G191,2),0))</f>
        <v>1.3380852356095594</v>
      </c>
      <c r="I192" s="2" t="str">
        <v>kanan</v>
      </c>
      <c r="J192" s="2" t="s">
        <v>186</v>
      </c>
      <c r="K192" s="2">
        <f>-(IFERROR(K189*LOG(K189,2),0)+IFERROR(K190*LOG(K190,2),0)+IFERROR(K191*LOG(K191,2),0))</f>
        <v>1.3104013661513618</v>
      </c>
      <c r="M192" s="2" t="str">
        <v>kanan</v>
      </c>
      <c r="N192" s="2" t="s">
        <v>186</v>
      </c>
      <c r="O192" s="2">
        <f>-(IFERROR(O189*LOG(O189,2),0)+IFERROR(O190*LOG(O190,2),0)+IFERROR(O191*LOG(O191,2),0))</f>
        <v>1.1579985664892125</v>
      </c>
    </row>
    <row r="193" spans="5:15">
      <c r="E193" s="2" t="str">
        <v>tengah</v>
      </c>
      <c r="F193" s="2"/>
      <c r="G193" s="2">
        <f>SUM(F189:F191)/163</f>
        <v>0.54601226993865026</v>
      </c>
      <c r="I193" s="2" t="str">
        <v>tengah</v>
      </c>
      <c r="J193" s="2"/>
      <c r="K193" s="2">
        <f>SUM(J189:J191)/163</f>
        <v>0.50920245398773001</v>
      </c>
      <c r="M193" s="2" t="str">
        <v>kanan</v>
      </c>
      <c r="N193" s="2"/>
      <c r="O193" s="2">
        <f>SUM(N189:N191)/163</f>
        <v>0.42944785276073622</v>
      </c>
    </row>
    <row r="194" spans="5:15">
      <c r="E194" s="2" t="str">
        <v>tengah</v>
      </c>
      <c r="F194" s="2"/>
      <c r="G194" s="6">
        <f>G192*G193</f>
        <v>0.73061095686656918</v>
      </c>
      <c r="I194" s="2" t="str">
        <v>kanan</v>
      </c>
      <c r="J194" s="2"/>
      <c r="K194" s="6">
        <f>K192*K193</f>
        <v>0.66725959135314739</v>
      </c>
      <c r="M194" s="2" t="str">
        <v>tengah</v>
      </c>
      <c r="N194" s="2"/>
      <c r="O194" s="6">
        <f>O192*O193</f>
        <v>0.49729999787880291</v>
      </c>
    </row>
    <row r="195" spans="5:15">
      <c r="E195" s="2" t="str">
        <v>tengah</v>
      </c>
      <c r="F195" s="2"/>
      <c r="G195" s="2"/>
      <c r="I195" s="2" t="str">
        <v>kiri</v>
      </c>
      <c r="J195" s="2"/>
      <c r="K195" s="2"/>
      <c r="M195" s="2" t="str">
        <v>kanan</v>
      </c>
      <c r="N195" s="2"/>
      <c r="O195" s="2"/>
    </row>
    <row r="196" spans="5:15">
      <c r="E196" s="2" t="str">
        <v>tengah</v>
      </c>
      <c r="F196" s="2" t="s">
        <v>192</v>
      </c>
      <c r="G196" s="2"/>
      <c r="I196" s="2" t="str">
        <v>tengah</v>
      </c>
      <c r="J196" s="2" t="s">
        <v>192</v>
      </c>
      <c r="K196" s="2"/>
      <c r="M196" s="2" t="str">
        <v>tengah</v>
      </c>
      <c r="N196" s="2" t="s">
        <v>192</v>
      </c>
      <c r="O196" s="2"/>
    </row>
    <row r="197" spans="5:15">
      <c r="E197" s="2" t="str">
        <v>kanan</v>
      </c>
      <c r="F197" s="7">
        <f>P5-(G176+G185+G194)</f>
        <v>1.4241368128575571E-2</v>
      </c>
      <c r="G197" s="2"/>
      <c r="I197" s="2" t="str">
        <v>kanan</v>
      </c>
      <c r="J197" s="7">
        <f>P5-(K176+K185+K194)</f>
        <v>1.3352934553008344E-2</v>
      </c>
      <c r="K197" s="2"/>
      <c r="M197" s="2" t="str">
        <v>tengah</v>
      </c>
      <c r="N197" s="7">
        <f>P5-(O176+O185+O194)</f>
        <v>1.3601045926129762E-2</v>
      </c>
      <c r="O197" s="2"/>
    </row>
    <row r="198" spans="5:15">
      <c r="E198" s="2" t="str">
        <v>tengah</v>
      </c>
      <c r="F198" s="2"/>
      <c r="G198" s="2"/>
      <c r="I198" s="2" t="str">
        <v>tengah</v>
      </c>
      <c r="J198" s="2"/>
      <c r="K198" s="2"/>
      <c r="M198" s="2" t="str">
        <v>kanan</v>
      </c>
      <c r="N198" s="2"/>
      <c r="O198" s="2"/>
    </row>
    <row r="199" spans="5:15">
      <c r="E199" s="2" t="str">
        <v>tengah</v>
      </c>
      <c r="F199" s="2"/>
      <c r="G199" s="2"/>
      <c r="I199" s="2" t="str">
        <v>kanan</v>
      </c>
      <c r="J199" s="2"/>
      <c r="K199" s="2"/>
      <c r="M199" s="2" t="str">
        <v>tengah</v>
      </c>
      <c r="N199" s="2"/>
      <c r="O199" s="2"/>
    </row>
    <row r="200" spans="5:15">
      <c r="E200" s="2" t="str">
        <v>tengah</v>
      </c>
      <c r="F200" s="2"/>
      <c r="G200" s="2"/>
      <c r="I200" s="2" t="str">
        <v>kanan</v>
      </c>
      <c r="J200" s="2"/>
      <c r="K200" s="2"/>
      <c r="M200" s="2" t="str">
        <v>tengah</v>
      </c>
      <c r="N200" s="2"/>
      <c r="O200" s="2"/>
    </row>
    <row r="201" spans="5:15">
      <c r="E201" s="2" t="str">
        <v>tengah</v>
      </c>
      <c r="F201" s="2"/>
      <c r="G201" s="2"/>
      <c r="I201" s="2" t="str">
        <v>kiri</v>
      </c>
      <c r="J201" s="2"/>
      <c r="K201" s="2"/>
      <c r="M201" s="2" t="str">
        <v>tengah</v>
      </c>
      <c r="N201" s="2"/>
      <c r="O201" s="2"/>
    </row>
    <row r="202" spans="5:15">
      <c r="E202" s="2" t="str">
        <v>kanan</v>
      </c>
      <c r="F202" s="2"/>
      <c r="G202" s="2"/>
      <c r="I202" s="2" t="str">
        <v>tengah</v>
      </c>
      <c r="J202" s="2"/>
      <c r="K202" s="2"/>
      <c r="M202" s="2" t="str">
        <v>kanan</v>
      </c>
      <c r="N202" s="2"/>
      <c r="O202" s="2"/>
    </row>
    <row r="203" spans="5:15">
      <c r="E203" s="2" t="str">
        <v>tengah</v>
      </c>
      <c r="F203" s="2"/>
      <c r="G203" s="2"/>
      <c r="I203" s="2" t="str">
        <v>tengah</v>
      </c>
      <c r="J203" s="2"/>
      <c r="K203" s="2"/>
      <c r="M203" s="2" t="str">
        <v>kanan</v>
      </c>
      <c r="N203" s="2"/>
      <c r="O203" s="2"/>
    </row>
    <row r="204" spans="5:15">
      <c r="E204" s="2" t="str">
        <v>kiri</v>
      </c>
      <c r="F204" s="2"/>
      <c r="G204" s="2"/>
      <c r="I204" s="2" t="str">
        <v>kiri</v>
      </c>
      <c r="J204" s="2"/>
      <c r="K204" s="2"/>
      <c r="M204" s="2" t="str">
        <v>kanan</v>
      </c>
      <c r="N204" s="2"/>
      <c r="O204" s="2"/>
    </row>
    <row r="205" spans="5:15">
      <c r="E205" s="2" t="str">
        <v>kanan</v>
      </c>
      <c r="F205" s="2"/>
      <c r="G205" s="2"/>
      <c r="I205" s="2" t="str">
        <v>kanan</v>
      </c>
      <c r="J205" s="2"/>
      <c r="K205" s="2"/>
      <c r="M205" s="2" t="str">
        <v>kanan</v>
      </c>
      <c r="N205" s="2"/>
      <c r="O205" s="2"/>
    </row>
    <row r="206" spans="5:15">
      <c r="E206" s="2" t="str">
        <v>tengah</v>
      </c>
      <c r="F206" s="2"/>
      <c r="G206" s="2"/>
      <c r="I206" s="2" t="str">
        <v>tengah</v>
      </c>
      <c r="J206" s="2"/>
      <c r="K206" s="2"/>
      <c r="M206" s="2" t="str">
        <v>kanan</v>
      </c>
      <c r="N206" s="2"/>
      <c r="O206" s="2"/>
    </row>
    <row r="207" spans="5:15">
      <c r="E207" s="2" t="str">
        <v>kiri</v>
      </c>
      <c r="F207" s="2"/>
      <c r="G207" s="2"/>
      <c r="I207" s="2" t="str">
        <v>kiri</v>
      </c>
      <c r="J207" s="2"/>
      <c r="K207" s="2"/>
      <c r="M207" s="2" t="str">
        <v>tengah</v>
      </c>
      <c r="N207" s="2"/>
      <c r="O207" s="2"/>
    </row>
    <row r="208" spans="5:15">
      <c r="E208" s="2" t="str">
        <v>kiri</v>
      </c>
      <c r="F208" s="2"/>
      <c r="G208" s="2"/>
      <c r="I208" s="2" t="str">
        <v>kiri</v>
      </c>
      <c r="J208" s="2"/>
      <c r="K208" s="2"/>
      <c r="M208" s="2" t="str">
        <v>tengah</v>
      </c>
      <c r="N208" s="2"/>
      <c r="O208" s="2"/>
    </row>
    <row r="209" spans="5:15">
      <c r="E209" s="2" t="str">
        <v>kanan</v>
      </c>
      <c r="F209" s="2"/>
      <c r="G209" s="2"/>
      <c r="I209" s="2" t="str">
        <v>kanan</v>
      </c>
      <c r="J209" s="2"/>
      <c r="K209" s="2"/>
      <c r="M209" s="2" t="str">
        <v>tengah</v>
      </c>
      <c r="N209" s="2"/>
      <c r="O209" s="2"/>
    </row>
    <row r="210" spans="5:15">
      <c r="E210" s="2" t="str">
        <v>kanan</v>
      </c>
      <c r="F210" s="2"/>
      <c r="G210" s="2"/>
      <c r="I210" s="2" t="str">
        <v>kanan</v>
      </c>
      <c r="J210" s="2"/>
      <c r="K210" s="2"/>
      <c r="M210" s="2" t="str">
        <v>kanan</v>
      </c>
      <c r="N210" s="2"/>
      <c r="O210" s="2"/>
    </row>
    <row r="211" spans="5:15">
      <c r="E211" s="2" t="str">
        <v>tengah</v>
      </c>
      <c r="F211" s="2"/>
      <c r="G211" s="2"/>
      <c r="I211" s="2" t="str">
        <v>tengah</v>
      </c>
      <c r="J211" s="2"/>
      <c r="K211" s="2"/>
      <c r="M211" s="2" t="str">
        <v>tengah</v>
      </c>
      <c r="N211" s="2"/>
      <c r="O211" s="2"/>
    </row>
    <row r="212" spans="5:15">
      <c r="E212" s="2" t="str">
        <v>tengah</v>
      </c>
      <c r="F212" s="2"/>
      <c r="G212" s="2"/>
      <c r="I212" s="2" t="str">
        <v>kanan</v>
      </c>
      <c r="J212" s="2"/>
      <c r="K212" s="2"/>
      <c r="M212" s="2" t="str">
        <v>kanan</v>
      </c>
      <c r="N212" s="2"/>
      <c r="O212" s="2"/>
    </row>
    <row r="213" spans="5:15">
      <c r="E213" s="2" t="str">
        <v>kiri</v>
      </c>
      <c r="F213" s="2"/>
      <c r="G213" s="2"/>
      <c r="I213" s="2" t="str">
        <v>kiri</v>
      </c>
      <c r="J213" s="2"/>
      <c r="K213" s="2"/>
      <c r="M213" s="2" t="str">
        <v>kanan</v>
      </c>
      <c r="N213" s="2"/>
      <c r="O213" s="2"/>
    </row>
    <row r="214" spans="5:15">
      <c r="E214" s="2" t="str">
        <v>tengah</v>
      </c>
      <c r="F214" s="2"/>
      <c r="G214" s="2"/>
      <c r="I214" s="2" t="str">
        <v>tengah</v>
      </c>
      <c r="J214" s="2"/>
      <c r="K214" s="2"/>
      <c r="M214" s="2" t="str">
        <v>tengah</v>
      </c>
      <c r="N214" s="2"/>
      <c r="O214" s="2"/>
    </row>
    <row r="215" spans="5:15">
      <c r="E215" s="2" t="str">
        <v>tengah</v>
      </c>
      <c r="F215" s="2"/>
      <c r="G215" s="2"/>
      <c r="I215" s="2" t="str">
        <v>tengah</v>
      </c>
      <c r="J215" s="2"/>
      <c r="K215" s="2"/>
      <c r="M215" s="2" t="str">
        <v>tengah</v>
      </c>
      <c r="N215" s="2"/>
      <c r="O215" s="2"/>
    </row>
    <row r="216" spans="5:15">
      <c r="E216" s="2" t="str">
        <v>kanan</v>
      </c>
      <c r="F216" s="2"/>
      <c r="G216" s="2"/>
      <c r="I216" s="2" t="str">
        <v>tengah</v>
      </c>
      <c r="J216" s="2"/>
      <c r="K216" s="2"/>
      <c r="M216" s="2" t="str">
        <v>kanan</v>
      </c>
      <c r="N216" s="2"/>
      <c r="O216" s="2"/>
    </row>
    <row r="217" spans="5:15">
      <c r="E217" s="2" t="str">
        <v>tengah</v>
      </c>
      <c r="F217" s="2"/>
      <c r="G217" s="2"/>
      <c r="I217" s="2" t="str">
        <v>tengah</v>
      </c>
      <c r="J217" s="2"/>
      <c r="K217" s="2"/>
      <c r="M217" s="2" t="str">
        <v>kanan</v>
      </c>
      <c r="N217" s="2"/>
      <c r="O217" s="2"/>
    </row>
    <row r="218" spans="5:15">
      <c r="E218" s="2" t="str">
        <v>tengah</v>
      </c>
      <c r="F218" s="2"/>
      <c r="G218" s="2"/>
      <c r="I218" s="2" t="str">
        <v>tengah</v>
      </c>
      <c r="J218" s="2"/>
      <c r="K218" s="2"/>
      <c r="M218" s="2" t="str">
        <v>kanan</v>
      </c>
      <c r="N218" s="2"/>
      <c r="O218" s="2"/>
    </row>
    <row r="219" spans="5:15">
      <c r="E219" s="2" t="str">
        <v>tengah</v>
      </c>
      <c r="F219" s="2"/>
      <c r="G219" s="2"/>
      <c r="I219" s="2" t="str">
        <v>tengah</v>
      </c>
      <c r="J219" s="2"/>
      <c r="K219" s="2"/>
      <c r="M219" s="2" t="str">
        <v>kanan</v>
      </c>
      <c r="N219" s="2"/>
      <c r="O219" s="2"/>
    </row>
    <row r="220" spans="5:15">
      <c r="E220" s="2" t="str">
        <v>kanan</v>
      </c>
      <c r="F220" s="2"/>
      <c r="G220" s="2"/>
      <c r="I220" s="2" t="str">
        <v>tengah</v>
      </c>
      <c r="J220" s="2"/>
      <c r="K220" s="2"/>
      <c r="M220" s="2" t="str">
        <v>kanan</v>
      </c>
      <c r="N220" s="2"/>
      <c r="O220" s="2"/>
    </row>
    <row r="221" spans="5:15">
      <c r="E221" s="2" t="str">
        <v>kanan</v>
      </c>
      <c r="F221" s="2"/>
      <c r="G221" s="2"/>
      <c r="I221" s="2" t="str">
        <v>kanan</v>
      </c>
      <c r="J221" s="2"/>
      <c r="K221" s="2"/>
      <c r="M221" s="2" t="str">
        <v>tengah</v>
      </c>
      <c r="N221" s="2"/>
      <c r="O221" s="2"/>
    </row>
    <row r="222" spans="5:15">
      <c r="E222" s="2" t="str">
        <v>tengah</v>
      </c>
      <c r="F222" s="2"/>
      <c r="G222" s="2"/>
      <c r="I222" s="2" t="str">
        <v>kanan</v>
      </c>
      <c r="J222" s="2"/>
      <c r="K222" s="2"/>
      <c r="M222" s="2" t="str">
        <v>kanan</v>
      </c>
      <c r="N222" s="2"/>
      <c r="O222" s="2"/>
    </row>
    <row r="223" spans="5:15">
      <c r="E223" s="2" t="str">
        <v>tengah</v>
      </c>
      <c r="F223" s="2"/>
      <c r="G223" s="2"/>
      <c r="I223" s="2" t="str">
        <v>tengah</v>
      </c>
      <c r="J223" s="2"/>
      <c r="K223" s="2"/>
      <c r="M223" s="2" t="str">
        <v>kanan</v>
      </c>
      <c r="N223" s="2"/>
      <c r="O223" s="2"/>
    </row>
    <row r="224" spans="5:15">
      <c r="E224" s="2" t="str">
        <v>tengah</v>
      </c>
      <c r="F224" s="2"/>
      <c r="G224" s="2"/>
      <c r="I224" s="2" t="str">
        <v>tengah</v>
      </c>
      <c r="J224" s="2"/>
      <c r="K224" s="2"/>
      <c r="M224" s="2" t="str">
        <v>tengah</v>
      </c>
      <c r="N224" s="2"/>
      <c r="O224" s="2"/>
    </row>
    <row r="225" spans="5:15">
      <c r="E225" s="2" t="str">
        <v>tengah</v>
      </c>
      <c r="F225" s="2"/>
      <c r="G225" s="2"/>
      <c r="I225" s="2" t="str">
        <v>tengah</v>
      </c>
      <c r="J225" s="2"/>
      <c r="K225" s="2"/>
      <c r="M225" s="2" t="str">
        <v>kanan</v>
      </c>
      <c r="N225" s="2"/>
      <c r="O225" s="2"/>
    </row>
    <row r="226" spans="5:15">
      <c r="E226" s="2" t="str">
        <v>kanan</v>
      </c>
      <c r="F226" s="2"/>
      <c r="G226" s="2"/>
      <c r="I226" s="2" t="str">
        <v>tengah</v>
      </c>
      <c r="J226" s="2"/>
      <c r="K226" s="2"/>
      <c r="M226" s="2" t="str">
        <v>tengah</v>
      </c>
      <c r="N226" s="2"/>
      <c r="O226" s="2"/>
    </row>
    <row r="227" spans="5:15">
      <c r="E227" s="2" t="str">
        <v>kanan</v>
      </c>
      <c r="F227" s="2"/>
      <c r="G227" s="2"/>
      <c r="I227" s="2" t="str">
        <v>tengah</v>
      </c>
      <c r="J227" s="2"/>
      <c r="K227" s="2"/>
      <c r="M227" s="2" t="str">
        <v>kanan</v>
      </c>
      <c r="N227" s="2"/>
      <c r="O227" s="2"/>
    </row>
    <row r="228" spans="5:15">
      <c r="E228" s="2" t="str">
        <v>kiri</v>
      </c>
      <c r="F228" s="2"/>
      <c r="G228" s="2"/>
      <c r="I228" s="2" t="str">
        <v>kiri</v>
      </c>
      <c r="J228" s="2"/>
      <c r="K228" s="2"/>
      <c r="M228" s="2" t="str">
        <v>kanan</v>
      </c>
      <c r="N228" s="2"/>
      <c r="O228" s="2"/>
    </row>
    <row r="229" spans="5:15">
      <c r="E229" s="2" t="str">
        <v>tengah</v>
      </c>
      <c r="F229" s="2"/>
      <c r="G229" s="2"/>
      <c r="I229" s="2" t="str">
        <v>tengah</v>
      </c>
      <c r="J229" s="2"/>
      <c r="K229" s="2"/>
      <c r="M229" s="2" t="str">
        <v>kanan</v>
      </c>
      <c r="N229" s="2"/>
      <c r="O229" s="2"/>
    </row>
    <row r="230" spans="5:15">
      <c r="E230" s="2" t="str">
        <v>kiri</v>
      </c>
      <c r="F230" s="2"/>
      <c r="G230" s="2"/>
      <c r="I230" s="2" t="str">
        <v>tengah</v>
      </c>
      <c r="J230" s="2"/>
      <c r="K230" s="2"/>
      <c r="M230" s="2" t="str">
        <v>kanan</v>
      </c>
      <c r="N230" s="2"/>
      <c r="O230" s="2"/>
    </row>
    <row r="231" spans="5:15">
      <c r="E231" s="2" t="str">
        <v>tengah</v>
      </c>
      <c r="F231" s="2"/>
      <c r="G231" s="2"/>
      <c r="I231" s="2" t="str">
        <v>tengah</v>
      </c>
      <c r="J231" s="2"/>
      <c r="K231" s="2"/>
      <c r="M231" s="2" t="str">
        <v>kanan</v>
      </c>
      <c r="N231" s="2"/>
      <c r="O231" s="2"/>
    </row>
    <row r="232" spans="5:15">
      <c r="E232" s="2" t="str">
        <v>kanan</v>
      </c>
      <c r="F232" s="2"/>
      <c r="G232" s="2"/>
      <c r="I232" s="2" t="str">
        <v>tengah</v>
      </c>
      <c r="J232" s="2"/>
      <c r="K232" s="2"/>
      <c r="M232" s="2" t="str">
        <v>tengah</v>
      </c>
      <c r="N232" s="2"/>
      <c r="O232" s="2"/>
    </row>
    <row r="233" spans="5:15">
      <c r="E233" s="2" t="str">
        <v>kiri</v>
      </c>
      <c r="F233" s="2"/>
      <c r="G233" s="2"/>
      <c r="I233" s="2" t="str">
        <v>kanan</v>
      </c>
      <c r="J233" s="2"/>
      <c r="K233" s="2"/>
      <c r="M233" s="2" t="str">
        <v>kanan</v>
      </c>
      <c r="N233" s="2"/>
      <c r="O233" s="2"/>
    </row>
    <row r="234" spans="5:15">
      <c r="E234" s="2" t="str">
        <v>kanan</v>
      </c>
      <c r="F234" s="2"/>
      <c r="G234" s="2"/>
      <c r="I234" s="2" t="str">
        <v>tengah</v>
      </c>
      <c r="J234" s="2"/>
      <c r="K234" s="2"/>
      <c r="M234" s="2" t="str">
        <v>tengah</v>
      </c>
      <c r="N234" s="2"/>
      <c r="O234" s="2"/>
    </row>
    <row r="235" spans="5:15">
      <c r="E235" s="2" t="str">
        <v>kanan</v>
      </c>
      <c r="F235" s="2"/>
      <c r="G235" s="2"/>
      <c r="I235" s="2" t="str">
        <v>kanan</v>
      </c>
      <c r="J235" s="2"/>
      <c r="K235" s="2"/>
      <c r="M235" s="2" t="str">
        <v>tengah</v>
      </c>
      <c r="N235" s="2"/>
      <c r="O235" s="2"/>
    </row>
    <row r="236" spans="5:15">
      <c r="E236" s="2" t="str">
        <v>tengah</v>
      </c>
      <c r="F236" s="2"/>
      <c r="G236" s="2"/>
      <c r="I236" s="2" t="str">
        <v>tengah</v>
      </c>
      <c r="J236" s="2"/>
      <c r="K236" s="2"/>
      <c r="M236" s="2" t="str">
        <v>tengah</v>
      </c>
      <c r="N236" s="2"/>
      <c r="O236" s="2"/>
    </row>
    <row r="237" spans="5:15">
      <c r="E237" s="2" t="str">
        <v>tengah</v>
      </c>
      <c r="F237" s="2"/>
      <c r="G237" s="2"/>
      <c r="I237" s="2" t="str">
        <v>kanan</v>
      </c>
      <c r="J237" s="2"/>
      <c r="K237" s="2"/>
      <c r="M237" s="2" t="str">
        <v>kanan</v>
      </c>
      <c r="N237" s="2"/>
      <c r="O237" s="2"/>
    </row>
    <row r="238" spans="5:15">
      <c r="E238" s="2" t="str">
        <v>kiri</v>
      </c>
      <c r="F238" s="2"/>
      <c r="G238" s="2"/>
      <c r="I238" s="2" t="str">
        <v>kiri</v>
      </c>
      <c r="J238" s="2"/>
      <c r="K238" s="2"/>
      <c r="M238" s="2" t="str">
        <v>kanan</v>
      </c>
      <c r="N238" s="2"/>
      <c r="O238" s="2"/>
    </row>
    <row r="239" spans="5:15">
      <c r="E239" s="2" t="str">
        <v>kiri</v>
      </c>
      <c r="F239" s="2"/>
      <c r="G239" s="2"/>
      <c r="I239" s="2" t="str">
        <v>kiri</v>
      </c>
      <c r="J239" s="2"/>
      <c r="K239" s="2"/>
      <c r="M239" s="2" t="str">
        <v>kanan</v>
      </c>
      <c r="N239" s="2"/>
      <c r="O239" s="2"/>
    </row>
    <row r="240" spans="5:15">
      <c r="E240" s="2" t="str">
        <v>kanan</v>
      </c>
      <c r="F240" s="2"/>
      <c r="G240" s="2"/>
      <c r="I240" s="2" t="str">
        <v>kanan</v>
      </c>
      <c r="J240" s="2"/>
      <c r="K240" s="2"/>
      <c r="M240" s="2" t="str">
        <v>kanan</v>
      </c>
      <c r="N240" s="2"/>
      <c r="O240" s="2"/>
    </row>
    <row r="241" spans="5:15">
      <c r="E241" s="2" t="str">
        <v>kanan</v>
      </c>
      <c r="F241" s="2"/>
      <c r="G241" s="2"/>
      <c r="I241" s="2" t="str">
        <v>kanan</v>
      </c>
      <c r="J241" s="2"/>
      <c r="K241" s="2"/>
      <c r="M241" s="2" t="str">
        <v>kanan</v>
      </c>
      <c r="N241" s="2"/>
      <c r="O241" s="2"/>
    </row>
    <row r="242" spans="5:15">
      <c r="E242" s="2" t="str">
        <v>kanan</v>
      </c>
      <c r="F242" s="2"/>
      <c r="G242" s="2"/>
      <c r="I242" s="2" t="str">
        <v>tengah</v>
      </c>
      <c r="J242" s="2"/>
      <c r="K242" s="2"/>
      <c r="M242" s="2" t="str">
        <v>kanan</v>
      </c>
      <c r="N242" s="2"/>
      <c r="O242" s="2"/>
    </row>
    <row r="243" spans="5:15">
      <c r="E243" s="2" t="str">
        <v>tengah</v>
      </c>
      <c r="F243" s="2"/>
      <c r="G243" s="2"/>
      <c r="I243" s="2" t="str">
        <v>kanan</v>
      </c>
      <c r="J243" s="2"/>
      <c r="K243" s="2"/>
      <c r="M243" s="2" t="str">
        <v>tengah</v>
      </c>
      <c r="N243" s="2"/>
      <c r="O243" s="2"/>
    </row>
    <row r="244" spans="5:15">
      <c r="E244" s="2" t="str">
        <v>kiri</v>
      </c>
      <c r="F244" s="2"/>
      <c r="G244" s="2"/>
      <c r="I244" s="2" t="str">
        <v>kanan</v>
      </c>
      <c r="J244" s="2"/>
      <c r="K244" s="2"/>
      <c r="M244" s="2" t="str">
        <v>kanan</v>
      </c>
      <c r="N244" s="2"/>
      <c r="O244" s="2"/>
    </row>
    <row r="245" spans="5:15">
      <c r="E245" s="2" t="str">
        <v>kiri</v>
      </c>
      <c r="F245" s="2"/>
      <c r="G245" s="2"/>
      <c r="I245" s="2" t="str">
        <v>kiri</v>
      </c>
      <c r="J245" s="2"/>
      <c r="K245" s="2"/>
      <c r="M245" s="2" t="str">
        <v>kanan</v>
      </c>
      <c r="N245" s="2"/>
      <c r="O245" s="2"/>
    </row>
    <row r="246" spans="5:15">
      <c r="E246" s="2" t="str">
        <v>kiri</v>
      </c>
      <c r="F246" s="2"/>
      <c r="G246" s="2"/>
      <c r="I246" s="2" t="str">
        <v>kiri</v>
      </c>
      <c r="J246" s="2"/>
      <c r="K246" s="2"/>
      <c r="M246" s="2" t="str">
        <v>tengah</v>
      </c>
      <c r="N246" s="2"/>
      <c r="O246" s="2"/>
    </row>
    <row r="247" spans="5:15">
      <c r="E247" s="2" t="str">
        <v>tengah</v>
      </c>
      <c r="F247" s="2"/>
      <c r="G247" s="2"/>
      <c r="I247" s="2" t="str">
        <v>tengah</v>
      </c>
      <c r="J247" s="2"/>
      <c r="K247" s="2"/>
      <c r="M247" s="2" t="str">
        <v>tengah</v>
      </c>
      <c r="N247" s="2"/>
      <c r="O247" s="2"/>
    </row>
    <row r="248" spans="5:15">
      <c r="E248" s="2" t="str">
        <v>tengah</v>
      </c>
      <c r="F248" s="2"/>
      <c r="G248" s="2"/>
      <c r="I248" s="2" t="str">
        <v>tengah</v>
      </c>
      <c r="J248" s="2"/>
      <c r="K248" s="2"/>
      <c r="M248" s="2" t="str">
        <v>kanan</v>
      </c>
      <c r="N248" s="2"/>
      <c r="O248" s="2"/>
    </row>
    <row r="249" spans="5:15">
      <c r="E249" s="2" t="str">
        <v>kanan</v>
      </c>
      <c r="F249" s="2"/>
      <c r="G249" s="2"/>
      <c r="I249" s="2" t="str">
        <v>tengah</v>
      </c>
      <c r="J249" s="2"/>
      <c r="K249" s="2"/>
      <c r="M249" s="2" t="str">
        <v>kanan</v>
      </c>
      <c r="N249" s="2"/>
      <c r="O249" s="2"/>
    </row>
    <row r="250" spans="5:15">
      <c r="E250" s="2" t="str">
        <v>kiri</v>
      </c>
      <c r="F250" s="2"/>
      <c r="G250" s="2"/>
      <c r="I250" s="2" t="str">
        <v>tengah</v>
      </c>
      <c r="J250" s="2"/>
      <c r="K250" s="2"/>
      <c r="M250" s="2" t="str">
        <v>tengah</v>
      </c>
      <c r="N250" s="2"/>
      <c r="O250" s="2"/>
    </row>
    <row r="251" spans="5:15">
      <c r="E251" s="2" t="str">
        <v>tengah</v>
      </c>
      <c r="F251" s="2"/>
      <c r="G251" s="2"/>
      <c r="I251" s="2" t="str">
        <v>tengah</v>
      </c>
      <c r="J251" s="2"/>
      <c r="K251" s="2"/>
      <c r="M251" s="2" t="str">
        <v>kanan</v>
      </c>
      <c r="N251" s="2"/>
      <c r="O251" s="2"/>
    </row>
    <row r="252" spans="5:15">
      <c r="E252" s="2" t="str">
        <v>tengah</v>
      </c>
      <c r="F252" s="2"/>
      <c r="G252" s="2"/>
      <c r="I252" s="2" t="str">
        <v>kiri</v>
      </c>
      <c r="J252" s="2"/>
      <c r="K252" s="2"/>
      <c r="M252" s="2" t="str">
        <v>tengah</v>
      </c>
      <c r="N252" s="2"/>
      <c r="O252" s="2"/>
    </row>
    <row r="253" spans="5:15">
      <c r="E253" s="2" t="str">
        <v>tengah</v>
      </c>
      <c r="F253" s="2"/>
      <c r="G253" s="2"/>
      <c r="I253" s="2" t="str">
        <v>kanan</v>
      </c>
      <c r="J253" s="2"/>
      <c r="K253" s="2"/>
      <c r="M253" s="2" t="str">
        <v>kanan</v>
      </c>
      <c r="N253" s="2"/>
      <c r="O253" s="2"/>
    </row>
    <row r="254" spans="5:15">
      <c r="E254" s="2" t="str">
        <v>tengah</v>
      </c>
      <c r="F254" s="2"/>
      <c r="G254" s="2"/>
      <c r="I254" s="2" t="str">
        <v>tengah</v>
      </c>
      <c r="J254" s="2"/>
      <c r="K254" s="2"/>
      <c r="M254" s="2" t="str">
        <v>kanan</v>
      </c>
      <c r="N254" s="2"/>
      <c r="O254" s="2"/>
    </row>
    <row r="255" spans="5:15">
      <c r="E255" s="2" t="str">
        <v>kanan</v>
      </c>
      <c r="F255" s="2"/>
      <c r="G255" s="2"/>
      <c r="I255" s="2" t="str">
        <v>tengah</v>
      </c>
      <c r="J255" s="2"/>
      <c r="K255" s="2"/>
      <c r="M255" s="2" t="str">
        <v>tengah</v>
      </c>
      <c r="N255" s="2"/>
      <c r="O255" s="2"/>
    </row>
    <row r="256" spans="5:15">
      <c r="E256" s="2" t="str">
        <v>kiri</v>
      </c>
      <c r="F256" s="2"/>
      <c r="G256" s="2"/>
      <c r="I256" s="2" t="str">
        <v>tengah</v>
      </c>
      <c r="J256" s="2"/>
      <c r="K256" s="2"/>
      <c r="M256" s="2" t="str">
        <v>tengah</v>
      </c>
      <c r="N256" s="2"/>
      <c r="O256" s="2"/>
    </row>
    <row r="257" spans="5:15">
      <c r="E257" s="2" t="str">
        <v>tengah</v>
      </c>
      <c r="F257" s="2"/>
      <c r="G257" s="2"/>
      <c r="I257" s="2" t="str">
        <v>tengah</v>
      </c>
      <c r="J257" s="2"/>
      <c r="K257" s="2"/>
      <c r="M257" s="2" t="str">
        <v>tengah</v>
      </c>
      <c r="N257" s="2"/>
      <c r="O257" s="2"/>
    </row>
    <row r="258" spans="5:15">
      <c r="E258" s="2" t="str">
        <v>kiri</v>
      </c>
      <c r="F258" s="2"/>
      <c r="G258" s="2"/>
      <c r="I258" s="2" t="str">
        <v>kiri</v>
      </c>
      <c r="J258" s="2"/>
      <c r="K258" s="2"/>
      <c r="M258" s="2" t="str">
        <v>tengah</v>
      </c>
      <c r="N258" s="2"/>
      <c r="O258" s="2"/>
    </row>
    <row r="259" spans="5:15">
      <c r="E259" s="2" t="str">
        <v>tengah</v>
      </c>
      <c r="F259" s="2"/>
      <c r="G259" s="2"/>
      <c r="I259" s="2" t="str">
        <v>kanan</v>
      </c>
      <c r="J259" s="2"/>
      <c r="K259" s="2"/>
      <c r="M259" s="2" t="str">
        <v>tengah</v>
      </c>
      <c r="N259" s="2"/>
      <c r="O259" s="2"/>
    </row>
    <row r="260" spans="5:15">
      <c r="E260" s="2" t="str">
        <v>tengah</v>
      </c>
      <c r="F260" s="2"/>
      <c r="G260" s="2"/>
      <c r="I260" s="2" t="str">
        <v>tengah</v>
      </c>
      <c r="J260" s="2"/>
      <c r="K260" s="2"/>
      <c r="M260" s="2" t="str">
        <v>tengah</v>
      </c>
      <c r="N260" s="2"/>
      <c r="O260" s="2"/>
    </row>
    <row r="261" spans="5:15">
      <c r="E261" s="2" t="str">
        <v>kanan</v>
      </c>
      <c r="F261" s="2"/>
      <c r="G261" s="2"/>
      <c r="I261" s="2" t="str">
        <v>kanan</v>
      </c>
      <c r="J261" s="2"/>
      <c r="K261" s="2"/>
      <c r="M261" s="2" t="str">
        <v>kanan</v>
      </c>
      <c r="N261" s="2"/>
      <c r="O261" s="2"/>
    </row>
    <row r="262" spans="5:15">
      <c r="E262" s="2" t="str">
        <v>tengah</v>
      </c>
      <c r="F262" s="2"/>
      <c r="G262" s="2"/>
      <c r="I262" s="2" t="str">
        <v>tengah</v>
      </c>
      <c r="J262" s="2"/>
      <c r="K262" s="2"/>
      <c r="M262" s="2" t="str">
        <v>kanan</v>
      </c>
      <c r="N262" s="2"/>
      <c r="O262" s="2"/>
    </row>
    <row r="263" spans="5:15">
      <c r="E263" s="2" t="str">
        <v>kiri</v>
      </c>
      <c r="F263" s="2"/>
      <c r="G263" s="2"/>
      <c r="I263" s="2" t="str">
        <v>tengah</v>
      </c>
      <c r="J263" s="2"/>
      <c r="K263" s="2"/>
      <c r="M263" s="2" t="str">
        <v>tengah</v>
      </c>
      <c r="N263" s="2"/>
      <c r="O263" s="2"/>
    </row>
    <row r="264" spans="5:15">
      <c r="E264" s="2" t="str">
        <v>kiri</v>
      </c>
      <c r="F264" s="2"/>
      <c r="G264" s="2"/>
      <c r="I264" s="2" t="str">
        <v>kiri</v>
      </c>
      <c r="J264" s="2"/>
      <c r="K264" s="2"/>
      <c r="M264" s="2" t="str">
        <v>tengah</v>
      </c>
      <c r="N264" s="2"/>
      <c r="O264" s="2"/>
    </row>
    <row r="265" spans="5:15">
      <c r="E265" s="2" t="str">
        <v>kanan</v>
      </c>
      <c r="F265" s="2"/>
      <c r="G265" s="2"/>
      <c r="I265" s="2" t="str">
        <v>kanan</v>
      </c>
      <c r="J265" s="2"/>
      <c r="K265" s="2"/>
      <c r="M265" s="2" t="str">
        <v>kanan</v>
      </c>
      <c r="N265" s="2"/>
      <c r="O265" s="2"/>
    </row>
    <row r="266" spans="5:15">
      <c r="E266" s="2" t="str">
        <v>kiri</v>
      </c>
      <c r="F266" s="2"/>
      <c r="G266" s="2"/>
      <c r="I266" s="2" t="str">
        <v>tengah</v>
      </c>
      <c r="J266" s="2"/>
      <c r="K266" s="2"/>
      <c r="M266" s="2" t="str">
        <v>tengah</v>
      </c>
      <c r="N266" s="2"/>
      <c r="O266" s="2"/>
    </row>
    <row r="267" spans="5:15">
      <c r="E267" s="2" t="str">
        <v>tengah</v>
      </c>
      <c r="F267" s="2"/>
      <c r="G267" s="2"/>
      <c r="I267" s="2" t="str">
        <v>kiri</v>
      </c>
      <c r="J267" s="2"/>
      <c r="K267" s="2"/>
      <c r="M267" s="2" t="str">
        <v>tengah</v>
      </c>
      <c r="N267" s="2"/>
      <c r="O267" s="2"/>
    </row>
    <row r="268" spans="5:15">
      <c r="E268" s="2" t="str">
        <v>kiri</v>
      </c>
      <c r="F268" s="2"/>
      <c r="G268" s="2"/>
      <c r="I268" s="2" t="str">
        <v>tengah</v>
      </c>
      <c r="J268" s="2"/>
      <c r="K268" s="2"/>
      <c r="M268" s="2" t="str">
        <v>tengah</v>
      </c>
      <c r="N268" s="2"/>
      <c r="O268" s="2"/>
    </row>
    <row r="269" spans="5:15">
      <c r="E269" s="2" t="str">
        <v>tengah</v>
      </c>
      <c r="F269" s="2"/>
      <c r="G269" s="2"/>
      <c r="I269" s="2" t="str">
        <v>tengah</v>
      </c>
      <c r="J269" s="2"/>
      <c r="K269" s="2"/>
      <c r="M269" s="2" t="str">
        <v>kanan</v>
      </c>
      <c r="N269" s="2"/>
      <c r="O269" s="2"/>
    </row>
    <row r="270" spans="5:15">
      <c r="E270" s="2" t="str">
        <v>tengah</v>
      </c>
      <c r="F270" s="2"/>
      <c r="G270" s="2"/>
      <c r="I270" s="2" t="str">
        <v>kanan</v>
      </c>
      <c r="J270" s="2"/>
      <c r="K270" s="2"/>
      <c r="M270" s="2" t="str">
        <v>kanan</v>
      </c>
      <c r="N270" s="2"/>
      <c r="O270" s="2"/>
    </row>
    <row r="271" spans="5:15">
      <c r="E271" s="2" t="str">
        <v>kanan</v>
      </c>
      <c r="F271" s="2"/>
      <c r="G271" s="2"/>
      <c r="I271" s="2" t="str">
        <v>kiri</v>
      </c>
      <c r="J271" s="2"/>
      <c r="K271" s="2"/>
      <c r="M271" s="2" t="str">
        <v>tengah</v>
      </c>
      <c r="N271" s="2"/>
      <c r="O271" s="2"/>
    </row>
    <row r="272" spans="5:15">
      <c r="E272" s="2" t="str">
        <v>kanan</v>
      </c>
      <c r="F272" s="2"/>
      <c r="G272" s="2"/>
      <c r="I272" s="2" t="str">
        <v>tengah</v>
      </c>
      <c r="J272" s="2"/>
      <c r="K272" s="2"/>
      <c r="M272" s="2" t="str">
        <v>kanan</v>
      </c>
      <c r="N272" s="2"/>
      <c r="O272" s="2"/>
    </row>
    <row r="273" spans="5:15">
      <c r="E273" s="2" t="str">
        <v>tengah</v>
      </c>
      <c r="F273" s="2"/>
      <c r="G273" s="2"/>
      <c r="I273" s="2" t="str">
        <v>kanan</v>
      </c>
      <c r="J273" s="2"/>
      <c r="K273" s="2"/>
      <c r="M273" s="2" t="str">
        <v>kanan</v>
      </c>
      <c r="N273" s="2"/>
      <c r="O273" s="2"/>
    </row>
    <row r="274" spans="5:15">
      <c r="E274" s="2" t="str">
        <v>tengah</v>
      </c>
      <c r="F274" s="2"/>
      <c r="G274" s="2"/>
      <c r="I274" s="2" t="str">
        <v>tengah</v>
      </c>
      <c r="J274" s="2"/>
      <c r="K274" s="2"/>
      <c r="M274" s="2" t="str">
        <v>kanan</v>
      </c>
      <c r="N274" s="2"/>
      <c r="O274" s="2"/>
    </row>
    <row r="275" spans="5:15">
      <c r="E275" s="2" t="str">
        <v>tengah</v>
      </c>
      <c r="F275" s="2"/>
      <c r="G275" s="2"/>
      <c r="I275" s="2" t="str">
        <v>tengah</v>
      </c>
      <c r="J275" s="2"/>
      <c r="K275" s="2"/>
      <c r="M275" s="2" t="str">
        <v>kanan</v>
      </c>
      <c r="N275" s="2"/>
      <c r="O275" s="2"/>
    </row>
    <row r="276" spans="5:15">
      <c r="E276" s="2" t="str">
        <v>kanan</v>
      </c>
      <c r="F276" s="2"/>
      <c r="G276" s="2"/>
      <c r="I276" s="2" t="str">
        <v>kanan</v>
      </c>
      <c r="J276" s="2"/>
      <c r="K276" s="2"/>
      <c r="M276" s="2" t="str">
        <v>tengah</v>
      </c>
      <c r="N276" s="2"/>
      <c r="O276" s="2"/>
    </row>
    <row r="277" spans="5:15">
      <c r="E277" s="2" t="str">
        <v>kiri</v>
      </c>
      <c r="F277" s="2"/>
      <c r="G277" s="2"/>
      <c r="I277" s="2" t="str">
        <v>tengah</v>
      </c>
      <c r="J277" s="2"/>
      <c r="K277" s="2"/>
      <c r="M277" s="2" t="str">
        <v>tengah</v>
      </c>
      <c r="N277" s="2"/>
      <c r="O277" s="2"/>
    </row>
    <row r="278" spans="5:15">
      <c r="E278" s="2" t="str">
        <v>tengah</v>
      </c>
      <c r="F278" s="2"/>
      <c r="G278" s="2"/>
      <c r="I278" s="2" t="str">
        <v>tengah</v>
      </c>
      <c r="J278" s="2"/>
      <c r="K278" s="2"/>
      <c r="M278" s="2" t="str">
        <v>kanan</v>
      </c>
      <c r="N278" s="2"/>
      <c r="O278" s="2"/>
    </row>
    <row r="279" spans="5:15">
      <c r="E279" s="2" t="str">
        <v>kiri</v>
      </c>
      <c r="F279" s="2"/>
      <c r="G279" s="2"/>
      <c r="I279" s="2" t="str">
        <v>kiri</v>
      </c>
      <c r="J279" s="2"/>
      <c r="K279" s="2"/>
      <c r="M279" s="2" t="str">
        <v>kanan</v>
      </c>
      <c r="N279" s="2"/>
      <c r="O279" s="2"/>
    </row>
    <row r="280" spans="5:15">
      <c r="E280" s="2" t="str">
        <v>kiri</v>
      </c>
      <c r="F280" s="2"/>
      <c r="G280" s="2"/>
      <c r="I280" s="2" t="str">
        <v>kanan</v>
      </c>
      <c r="J280" s="2"/>
      <c r="K280" s="2"/>
      <c r="M280" s="2" t="str">
        <v>kanan</v>
      </c>
      <c r="N280" s="2"/>
      <c r="O280" s="2"/>
    </row>
    <row r="281" spans="5:15">
      <c r="E281" s="2" t="str">
        <v>tengah</v>
      </c>
      <c r="F281" s="2"/>
      <c r="G281" s="2"/>
      <c r="I281" s="2" t="str">
        <v>tengah</v>
      </c>
      <c r="J281" s="2"/>
      <c r="K281" s="2"/>
      <c r="M281" s="2" t="str">
        <v>kanan</v>
      </c>
      <c r="N281" s="2"/>
      <c r="O281" s="2"/>
    </row>
    <row r="282" spans="5:15">
      <c r="E282" s="2" t="str">
        <v>tengah</v>
      </c>
      <c r="F282" s="2"/>
      <c r="G282" s="2"/>
      <c r="I282" s="2" t="str">
        <v>tengah</v>
      </c>
      <c r="J282" s="2"/>
      <c r="K282" s="2"/>
      <c r="M282" s="2" t="str">
        <v>kanan</v>
      </c>
      <c r="N282" s="2"/>
      <c r="O282" s="2"/>
    </row>
    <row r="283" spans="5:15">
      <c r="E283" s="2" t="str">
        <v>tengah</v>
      </c>
      <c r="F283" s="2"/>
      <c r="G283" s="2"/>
      <c r="I283" s="2" t="str">
        <v>kanan</v>
      </c>
      <c r="J283" s="2"/>
      <c r="K283" s="2"/>
      <c r="M283" s="2" t="str">
        <v>kanan</v>
      </c>
      <c r="N283" s="2"/>
      <c r="O283" s="2"/>
    </row>
    <row r="284" spans="5:15">
      <c r="E284" s="2" t="str">
        <v>tengah</v>
      </c>
      <c r="F284" s="2"/>
      <c r="G284" s="2"/>
      <c r="I284" s="2" t="str">
        <v>tengah</v>
      </c>
      <c r="J284" s="2"/>
      <c r="K284" s="2"/>
      <c r="M284" s="2" t="str">
        <v>tengah</v>
      </c>
      <c r="N284" s="2"/>
      <c r="O284" s="2"/>
    </row>
    <row r="285" spans="5:15">
      <c r="E285" s="2" t="str">
        <v>tengah</v>
      </c>
      <c r="F285" s="2"/>
      <c r="G285" s="2"/>
      <c r="I285" s="2" t="str">
        <v>kiri</v>
      </c>
      <c r="J285" s="2"/>
      <c r="K285" s="2"/>
      <c r="M285" s="2" t="str">
        <v>tengah</v>
      </c>
      <c r="N285" s="2"/>
      <c r="O285" s="2"/>
    </row>
    <row r="286" spans="5:15">
      <c r="E286" s="2" t="str">
        <v>kiri</v>
      </c>
      <c r="F286" s="2"/>
      <c r="G286" s="2"/>
      <c r="I286" s="2" t="str">
        <v>kiri</v>
      </c>
      <c r="J286" s="2"/>
      <c r="K286" s="2"/>
      <c r="M286" s="2" t="str">
        <v>kanan</v>
      </c>
      <c r="N286" s="2"/>
      <c r="O286" s="2"/>
    </row>
    <row r="287" spans="5:15">
      <c r="E287" s="2" t="str">
        <v>kanan</v>
      </c>
      <c r="F287" s="2"/>
      <c r="G287" s="2"/>
      <c r="I287" s="2" t="str">
        <v>kanan</v>
      </c>
      <c r="J287" s="2"/>
      <c r="K287" s="2"/>
      <c r="M287" s="2" t="str">
        <v>kanan</v>
      </c>
      <c r="N287" s="2"/>
      <c r="O287" s="2"/>
    </row>
    <row r="288" spans="5:15">
      <c r="E288" s="2" t="str">
        <v>tengah</v>
      </c>
      <c r="F288" s="2"/>
      <c r="G288" s="2"/>
      <c r="I288" s="2" t="str">
        <v>kiri</v>
      </c>
      <c r="J288" s="2"/>
      <c r="K288" s="2"/>
      <c r="M288" s="2" t="str">
        <v>tengah</v>
      </c>
      <c r="N288" s="2"/>
      <c r="O288" s="2"/>
    </row>
    <row r="289" spans="5:15">
      <c r="E289" s="2" t="str">
        <v>kanan</v>
      </c>
      <c r="F289" s="2"/>
      <c r="G289" s="2"/>
      <c r="I289" s="2" t="str">
        <v>kanan</v>
      </c>
      <c r="J289" s="2"/>
      <c r="K289" s="2"/>
      <c r="M289" s="2" t="str">
        <v>kanan</v>
      </c>
      <c r="N289" s="2"/>
      <c r="O289" s="2"/>
    </row>
    <row r="290" spans="5:15">
      <c r="E290" s="2" t="str">
        <v>kiri</v>
      </c>
      <c r="F290" s="2"/>
      <c r="G290" s="2"/>
      <c r="I290" s="2" t="str">
        <v>tengah</v>
      </c>
      <c r="J290" s="2"/>
      <c r="K290" s="2"/>
      <c r="M290" s="2" t="str">
        <v>kanan</v>
      </c>
      <c r="N290" s="2"/>
      <c r="O290" s="2"/>
    </row>
    <row r="291" spans="5:15">
      <c r="E291" s="2" t="str">
        <v>tengah</v>
      </c>
      <c r="F291" s="2"/>
      <c r="G291" s="2"/>
      <c r="I291" s="2" t="str">
        <v>tengah</v>
      </c>
      <c r="J291" s="2"/>
      <c r="K291" s="2"/>
      <c r="M291" s="2" t="str">
        <v>kanan</v>
      </c>
      <c r="N291" s="2"/>
      <c r="O291" s="2"/>
    </row>
    <row r="292" spans="5:15">
      <c r="E292" s="2" t="str">
        <v>tengah</v>
      </c>
      <c r="F292" s="2"/>
      <c r="G292" s="2"/>
      <c r="I292" s="2" t="str">
        <v>tengah</v>
      </c>
      <c r="J292" s="2"/>
      <c r="K292" s="2"/>
      <c r="M292" s="2" t="str">
        <v>kanan</v>
      </c>
      <c r="N292" s="2"/>
      <c r="O292" s="2"/>
    </row>
    <row r="293" spans="5:15">
      <c r="E293" s="2" t="str">
        <v>kiri</v>
      </c>
      <c r="F293" s="2"/>
      <c r="G293" s="2"/>
      <c r="I293" s="2" t="str">
        <v>kiri</v>
      </c>
      <c r="J293" s="2"/>
      <c r="K293" s="2"/>
      <c r="M293" s="2" t="str">
        <v>tengah</v>
      </c>
      <c r="N293" s="2"/>
      <c r="O293" s="2"/>
    </row>
    <row r="294" spans="5:15">
      <c r="E294" s="2" t="str">
        <v>kiri</v>
      </c>
      <c r="F294" s="2"/>
      <c r="G294" s="2"/>
      <c r="I294" s="2" t="str">
        <v>tengah</v>
      </c>
      <c r="J294" s="2"/>
      <c r="K294" s="2"/>
      <c r="M294" s="2" t="str">
        <v>tengah</v>
      </c>
      <c r="N294" s="2"/>
      <c r="O294" s="2"/>
    </row>
    <row r="295" spans="5:15">
      <c r="E295" s="2" t="str">
        <v>tengah</v>
      </c>
      <c r="F295" s="2"/>
      <c r="G295" s="2"/>
      <c r="I295" s="2" t="str">
        <v>tengah</v>
      </c>
      <c r="J295" s="2"/>
      <c r="K295" s="2"/>
      <c r="M295" s="2" t="str">
        <v>kanan</v>
      </c>
      <c r="N295" s="2"/>
      <c r="O295" s="2"/>
    </row>
    <row r="296" spans="5:15">
      <c r="E296" s="2" t="str">
        <v>kanan</v>
      </c>
      <c r="F296" s="2"/>
      <c r="G296" s="2"/>
      <c r="I296" s="2" t="str">
        <v>tengah</v>
      </c>
      <c r="J296" s="2"/>
      <c r="K296" s="2"/>
      <c r="M296" s="2" t="str">
        <v>tengah</v>
      </c>
      <c r="N296" s="2"/>
      <c r="O296" s="2"/>
    </row>
    <row r="297" spans="5:15">
      <c r="E297" s="2" t="str">
        <v>tengah</v>
      </c>
      <c r="F297" s="2"/>
      <c r="G297" s="2"/>
      <c r="I297" s="2" t="str">
        <v>kanan</v>
      </c>
      <c r="J297" s="2"/>
      <c r="K297" s="2"/>
      <c r="M297" s="2" t="str">
        <v>tengah</v>
      </c>
      <c r="N297" s="2"/>
      <c r="O297" s="2"/>
    </row>
    <row r="298" spans="5:15">
      <c r="E298" s="2" t="str">
        <v>kiri</v>
      </c>
      <c r="F298" s="2"/>
      <c r="G298" s="2"/>
      <c r="I298" s="2" t="str">
        <v>kiri</v>
      </c>
      <c r="J298" s="2"/>
      <c r="K298" s="2"/>
      <c r="M298" s="2" t="str">
        <v>kanan</v>
      </c>
      <c r="N298" s="2"/>
      <c r="O298" s="2"/>
    </row>
    <row r="299" spans="5:15">
      <c r="E299" s="2" t="str">
        <v>kiri</v>
      </c>
      <c r="F299" s="2"/>
      <c r="G299" s="2"/>
      <c r="I299" s="2" t="str">
        <v>kiri</v>
      </c>
      <c r="J299" s="2"/>
      <c r="K299" s="2"/>
      <c r="M299" s="2" t="str">
        <v>tengah</v>
      </c>
      <c r="N299" s="2"/>
      <c r="O299" s="2"/>
    </row>
    <row r="300" spans="5:15">
      <c r="E300" s="2" t="str">
        <v>tengah</v>
      </c>
      <c r="F300" s="2"/>
      <c r="G300" s="2"/>
      <c r="I300" s="2" t="str">
        <v>tengah</v>
      </c>
      <c r="J300" s="2"/>
      <c r="K300" s="2"/>
      <c r="M300" s="2" t="str">
        <v>kanan</v>
      </c>
      <c r="N300" s="2"/>
      <c r="O300" s="2"/>
    </row>
    <row r="301" spans="5:15">
      <c r="E301" s="2" t="str">
        <v>tengah</v>
      </c>
      <c r="F301" s="2"/>
      <c r="G301" s="2"/>
      <c r="I301" s="2" t="str">
        <v>kanan</v>
      </c>
      <c r="J301" s="2"/>
      <c r="K301" s="2"/>
      <c r="M301" s="2" t="str">
        <v>tengah</v>
      </c>
      <c r="N301" s="2"/>
      <c r="O301" s="2"/>
    </row>
    <row r="302" spans="5:15">
      <c r="E302" s="2" t="str">
        <v>tengah</v>
      </c>
      <c r="F302" s="2"/>
      <c r="G302" s="2"/>
      <c r="I302" s="2" t="str">
        <v>kiri</v>
      </c>
      <c r="J302" s="2"/>
      <c r="K302" s="2"/>
      <c r="M302" s="2" t="str">
        <v>kanan</v>
      </c>
      <c r="N302" s="2"/>
      <c r="O302" s="2"/>
    </row>
    <row r="303" spans="5:15">
      <c r="E303" s="2" t="str">
        <v>tengah</v>
      </c>
      <c r="F303" s="2"/>
      <c r="G303" s="2"/>
      <c r="I303" s="2" t="str">
        <v>kanan</v>
      </c>
      <c r="J303" s="2"/>
      <c r="K303" s="2"/>
      <c r="M303" s="2" t="str">
        <v>kanan</v>
      </c>
      <c r="N303" s="2"/>
      <c r="O303" s="2"/>
    </row>
    <row r="304" spans="5:15">
      <c r="E304" s="2" t="str">
        <v>kanan</v>
      </c>
      <c r="F304" s="2"/>
      <c r="G304" s="2"/>
      <c r="I304" s="2" t="str">
        <v>kanan</v>
      </c>
      <c r="J304" s="2"/>
      <c r="K304" s="2"/>
      <c r="M304" s="2" t="str">
        <v>kanan</v>
      </c>
      <c r="N304" s="2"/>
      <c r="O304" s="2"/>
    </row>
    <row r="305" spans="5:15">
      <c r="E305" s="2" t="str">
        <v>tengah</v>
      </c>
      <c r="F305" s="2"/>
      <c r="G305" s="2"/>
      <c r="I305" s="2" t="str">
        <v>tengah</v>
      </c>
      <c r="J305" s="2"/>
      <c r="K305" s="2"/>
      <c r="M305" s="2" t="str">
        <v>tengah</v>
      </c>
      <c r="N305" s="2"/>
      <c r="O305" s="2"/>
    </row>
    <row r="306" spans="5:15">
      <c r="E306" s="2" t="str">
        <v>tengah</v>
      </c>
      <c r="F306" s="2"/>
      <c r="G306" s="2"/>
      <c r="I306" s="2" t="str">
        <v>tengah</v>
      </c>
      <c r="J306" s="2"/>
      <c r="K306" s="2"/>
      <c r="M306" s="2" t="str">
        <v>kanan</v>
      </c>
      <c r="N306" s="2"/>
      <c r="O306" s="2"/>
    </row>
    <row r="307" spans="5:15">
      <c r="E307" s="2" t="str">
        <v>kiri</v>
      </c>
      <c r="F307" s="2"/>
      <c r="G307" s="2"/>
      <c r="I307" s="2" t="str">
        <v>tengah</v>
      </c>
      <c r="J307" s="2"/>
      <c r="K307" s="2"/>
      <c r="M307" s="2" t="str">
        <v>tengah</v>
      </c>
      <c r="N307" s="2"/>
      <c r="O307" s="2"/>
    </row>
    <row r="308" spans="5:15">
      <c r="E308" s="2" t="str">
        <v>tengah</v>
      </c>
      <c r="F308" s="2"/>
      <c r="G308" s="2"/>
      <c r="I308" s="2" t="str">
        <v>tengah</v>
      </c>
      <c r="J308" s="2"/>
      <c r="K308" s="2"/>
      <c r="M308" s="2" t="str">
        <v>tengah</v>
      </c>
      <c r="N308" s="2"/>
      <c r="O308" s="2"/>
    </row>
    <row r="309" spans="5:15">
      <c r="E309" s="2" t="str">
        <v>tengah</v>
      </c>
      <c r="F309" s="2"/>
      <c r="G309" s="2"/>
      <c r="I309" s="2" t="str">
        <v>kiri</v>
      </c>
      <c r="J309" s="2"/>
      <c r="K309" s="2"/>
      <c r="M309" s="2" t="str">
        <v>tengah</v>
      </c>
      <c r="N309" s="2"/>
      <c r="O309" s="2"/>
    </row>
    <row r="310" spans="5:15">
      <c r="E310" s="2" t="str">
        <v>kanan</v>
      </c>
      <c r="F310" s="2"/>
      <c r="G310" s="2"/>
      <c r="I310" s="2" t="str">
        <v>kiri</v>
      </c>
      <c r="J310" s="2"/>
      <c r="K310" s="2"/>
      <c r="M310" s="2" t="str">
        <v>tengah</v>
      </c>
      <c r="N310" s="2"/>
      <c r="O310" s="2"/>
    </row>
    <row r="311" spans="5:15">
      <c r="E311" s="2" t="str">
        <v>tengah</v>
      </c>
      <c r="F311" s="2"/>
      <c r="G311" s="2"/>
      <c r="I311" s="2" t="str">
        <v>tengah</v>
      </c>
      <c r="J311" s="2"/>
      <c r="K311" s="2"/>
      <c r="M311" s="2" t="str">
        <v>tengah</v>
      </c>
      <c r="N311" s="2"/>
      <c r="O311" s="2"/>
    </row>
    <row r="312" spans="5:15">
      <c r="E312" s="2" t="str">
        <v>kanan</v>
      </c>
      <c r="F312" s="2"/>
      <c r="G312" s="2"/>
      <c r="I312" s="2" t="str">
        <v>tengah</v>
      </c>
      <c r="J312" s="2"/>
      <c r="K312" s="2"/>
      <c r="M312" s="2" t="str">
        <v>kanan</v>
      </c>
      <c r="N312" s="2"/>
      <c r="O312" s="2"/>
    </row>
    <row r="313" spans="5:15">
      <c r="E313" s="2" t="str">
        <v>tengah</v>
      </c>
      <c r="F313" s="2"/>
      <c r="G313" s="2"/>
      <c r="I313" s="2" t="str">
        <v>tengah</v>
      </c>
      <c r="J313" s="2"/>
      <c r="K313" s="2"/>
      <c r="M313" s="2" t="str">
        <v>tengah</v>
      </c>
      <c r="N313" s="2"/>
      <c r="O313" s="2"/>
    </row>
    <row r="314" spans="5:15">
      <c r="E314" s="2" t="str">
        <v>tengah</v>
      </c>
      <c r="F314" s="2"/>
      <c r="G314" s="2"/>
      <c r="I314" s="2" t="str">
        <v>kanan</v>
      </c>
      <c r="J314" s="2"/>
      <c r="K314" s="2"/>
      <c r="M314" s="2" t="str">
        <v>kanan</v>
      </c>
      <c r="N314" s="2"/>
      <c r="O314" s="2"/>
    </row>
    <row r="315" spans="5:15">
      <c r="E315" s="2" t="str">
        <v>tengah</v>
      </c>
      <c r="F315" s="2"/>
      <c r="G315" s="2"/>
      <c r="I315" s="2" t="str">
        <v>kiri</v>
      </c>
      <c r="J315" s="2"/>
      <c r="K315" s="2"/>
      <c r="M315" s="2" t="str">
        <v>kanan</v>
      </c>
      <c r="N315" s="2"/>
      <c r="O315" s="2"/>
    </row>
    <row r="316" spans="5:15">
      <c r="E316" s="2" t="str">
        <v>kanan</v>
      </c>
      <c r="F316" s="2"/>
      <c r="G316" s="2"/>
      <c r="I316" s="2" t="str">
        <v>kanan</v>
      </c>
      <c r="J316" s="2"/>
      <c r="K316" s="2"/>
      <c r="M316" s="2" t="str">
        <v>kanan</v>
      </c>
      <c r="N316" s="2"/>
      <c r="O316" s="2"/>
    </row>
    <row r="317" spans="5:15">
      <c r="E317" s="2" t="str">
        <v>tengah</v>
      </c>
      <c r="F317" s="2"/>
      <c r="G317" s="2"/>
      <c r="I317" s="2" t="str">
        <v>kiri</v>
      </c>
      <c r="J317" s="2"/>
      <c r="K317" s="2"/>
      <c r="M317" s="2" t="str">
        <v>kanan</v>
      </c>
      <c r="N317" s="2"/>
      <c r="O317" s="2"/>
    </row>
    <row r="318" spans="5:15">
      <c r="E318" s="2" t="str">
        <v>kiri</v>
      </c>
      <c r="F318" s="2"/>
      <c r="G318" s="2"/>
      <c r="I318" s="2" t="str">
        <v>kiri</v>
      </c>
      <c r="J318" s="2"/>
      <c r="K318" s="2"/>
      <c r="M318" s="2" t="str">
        <v>kanan</v>
      </c>
      <c r="N318" s="2"/>
      <c r="O318" s="2"/>
    </row>
    <row r="319" spans="5:15">
      <c r="E319" s="2" t="str">
        <v>tengah</v>
      </c>
      <c r="F319" s="2"/>
      <c r="G319" s="2"/>
      <c r="I319" s="2" t="str">
        <v>kiri</v>
      </c>
      <c r="J319" s="2"/>
      <c r="K319" s="2"/>
      <c r="M319" s="2" t="str">
        <v>kanan</v>
      </c>
      <c r="N319" s="2"/>
      <c r="O319" s="2"/>
    </row>
    <row r="320" spans="5:15">
      <c r="E320" s="2" t="str">
        <v>tengah</v>
      </c>
      <c r="F320" s="2"/>
      <c r="G320" s="2"/>
      <c r="I320" s="2" t="str">
        <v>tengah</v>
      </c>
      <c r="J320" s="2"/>
      <c r="K320" s="2"/>
      <c r="M320" s="2" t="str">
        <v>kanan</v>
      </c>
      <c r="N320" s="2"/>
      <c r="O320" s="2"/>
    </row>
    <row r="321" spans="5:15">
      <c r="E321" s="2" t="str">
        <v>kiri</v>
      </c>
      <c r="F321" s="2"/>
      <c r="G321" s="2"/>
      <c r="I321" s="2" t="str">
        <v>kiri</v>
      </c>
      <c r="J321" s="2"/>
      <c r="K321" s="2"/>
      <c r="M321" s="2" t="str">
        <v>kanan</v>
      </c>
      <c r="N321" s="2"/>
      <c r="O321" s="2"/>
    </row>
    <row r="322" spans="5:15">
      <c r="E322" s="2" t="str">
        <v>kiri</v>
      </c>
      <c r="F322" s="2"/>
      <c r="G322" s="2"/>
      <c r="I322" s="2" t="str">
        <v>kiri</v>
      </c>
      <c r="J322" s="2"/>
      <c r="K322" s="2"/>
      <c r="M322" s="2" t="str">
        <v>kanan</v>
      </c>
      <c r="N322" s="2"/>
      <c r="O322" s="2"/>
    </row>
    <row r="323" spans="5:15">
      <c r="E323" s="2" t="str">
        <v>tengah</v>
      </c>
      <c r="F323" s="2"/>
      <c r="G323" s="2"/>
      <c r="I323" s="2" t="str">
        <v>tengah</v>
      </c>
      <c r="J323" s="2"/>
      <c r="K323" s="2"/>
      <c r="M323" s="2" t="str">
        <v>tengah</v>
      </c>
      <c r="N323" s="2"/>
      <c r="O323" s="2"/>
    </row>
    <row r="324" spans="5:15">
      <c r="E324" s="2" t="str">
        <v>tengah</v>
      </c>
      <c r="F324" s="2"/>
      <c r="G324" s="2"/>
      <c r="I324" s="2" t="str">
        <v>kiri</v>
      </c>
      <c r="J324" s="2"/>
      <c r="K324" s="2"/>
      <c r="M324" s="2" t="str">
        <v>tengah</v>
      </c>
      <c r="N324" s="2"/>
      <c r="O324" s="2"/>
    </row>
    <row r="325" spans="5:15">
      <c r="E325" s="2" t="str">
        <v>kiri</v>
      </c>
      <c r="F325" s="2"/>
      <c r="G325" s="2"/>
      <c r="I325" s="2" t="str">
        <v>tengah</v>
      </c>
      <c r="J325" s="2"/>
      <c r="K325" s="2"/>
      <c r="M325" s="2" t="str">
        <v>kanan</v>
      </c>
      <c r="N325" s="2"/>
      <c r="O325" s="2"/>
    </row>
    <row r="326" spans="5:15">
      <c r="E326" s="2" t="str">
        <v>kanan</v>
      </c>
      <c r="F326" s="2"/>
      <c r="G326" s="2"/>
      <c r="I326" s="2" t="str">
        <v>kanan</v>
      </c>
      <c r="J326" s="2"/>
      <c r="K326" s="2"/>
      <c r="M326" s="2" t="str">
        <v>tengah</v>
      </c>
      <c r="N326" s="2"/>
      <c r="O326" s="2"/>
    </row>
    <row r="327" spans="5:15">
      <c r="E327" s="2" t="str">
        <v>tengah</v>
      </c>
      <c r="F327" s="2"/>
      <c r="G327" s="2"/>
      <c r="I327" s="2" t="str">
        <v>tengah</v>
      </c>
      <c r="J327" s="2"/>
      <c r="K327" s="2"/>
      <c r="M327" s="2" t="str">
        <v>tengah</v>
      </c>
      <c r="N327" s="2"/>
      <c r="O327" s="2"/>
    </row>
    <row r="328" spans="5:15">
      <c r="E328" s="2" t="str">
        <v>kiri</v>
      </c>
      <c r="F328" s="2"/>
      <c r="G328" s="2"/>
      <c r="I328" s="2" t="str">
        <v>kiri</v>
      </c>
      <c r="J328" s="2"/>
      <c r="K328" s="2"/>
      <c r="M328" s="2" t="str">
        <v>tengah</v>
      </c>
      <c r="N328" s="2"/>
      <c r="O328" s="2"/>
    </row>
    <row r="329" spans="5:15">
      <c r="E329" s="2" t="str">
        <v>kanan</v>
      </c>
      <c r="F329" s="2"/>
      <c r="G329" s="2"/>
      <c r="I329" s="2" t="str">
        <v>tengah</v>
      </c>
      <c r="J329" s="2"/>
      <c r="K329" s="2"/>
      <c r="M329" s="2" t="str">
        <v>tengah</v>
      </c>
      <c r="N329" s="2"/>
      <c r="O329" s="2"/>
    </row>
    <row r="330" spans="5:15">
      <c r="E330" s="2" t="str">
        <v>tengah</v>
      </c>
      <c r="F330" s="2"/>
      <c r="G330" s="2"/>
      <c r="I330" s="2" t="str">
        <v>tengah</v>
      </c>
      <c r="J330" s="2"/>
      <c r="K330" s="2"/>
      <c r="M330" s="2" t="str">
        <v>kanan</v>
      </c>
      <c r="N330" s="2"/>
      <c r="O330" s="2"/>
    </row>
    <row r="331" spans="5:15">
      <c r="E331" s="2" t="str">
        <v>tengah</v>
      </c>
      <c r="F331" s="2"/>
      <c r="G331" s="2"/>
      <c r="I331" s="2" t="str">
        <v>tengah</v>
      </c>
      <c r="J331" s="2"/>
      <c r="K331" s="2"/>
      <c r="M331" s="2" t="str">
        <v>kanan</v>
      </c>
      <c r="N331" s="2"/>
      <c r="O331" s="2"/>
    </row>
    <row r="332" spans="5:15">
      <c r="E332" s="2" t="str">
        <v>tengah</v>
      </c>
      <c r="F332" s="2"/>
      <c r="G332" s="2"/>
      <c r="I332" s="2" t="str">
        <v>tengah</v>
      </c>
      <c r="J332" s="2"/>
      <c r="K332" s="2"/>
      <c r="M332" s="2" t="str">
        <v>tengah</v>
      </c>
      <c r="N332" s="2"/>
      <c r="O332" s="2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0F342-9C4F-4BF2-824E-626164F83138}">
  <dimension ref="A1:Q332"/>
  <sheetViews>
    <sheetView topLeftCell="G67" zoomScaleNormal="100" workbookViewId="0">
      <selection activeCell="R172" sqref="R172"/>
    </sheetView>
  </sheetViews>
  <sheetFormatPr defaultRowHeight="15"/>
  <cols>
    <col min="2" max="2" width="15.85546875" bestFit="1" customWidth="1"/>
    <col min="3" max="3" width="13.28515625" bestFit="1" customWidth="1"/>
    <col min="4" max="4" width="13.85546875" bestFit="1" customWidth="1"/>
    <col min="9" max="9" width="15.85546875" bestFit="1" customWidth="1"/>
    <col min="10" max="10" width="13.28515625" bestFit="1" customWidth="1"/>
    <col min="11" max="11" width="13.85546875" bestFit="1" customWidth="1"/>
    <col min="14" max="14" width="10.42578125" customWidth="1"/>
    <col min="15" max="15" width="16.140625" bestFit="1" customWidth="1"/>
  </cols>
  <sheetData>
    <row r="1" spans="1:17">
      <c r="A1" s="16" t="s">
        <v>171</v>
      </c>
      <c r="B1" s="1" t="s">
        <v>2</v>
      </c>
      <c r="C1" s="1" t="s">
        <v>4</v>
      </c>
      <c r="D1" s="1" t="s">
        <v>5</v>
      </c>
      <c r="H1" s="16" t="s">
        <v>171</v>
      </c>
      <c r="I1" s="16" t="s">
        <v>2</v>
      </c>
      <c r="J1" s="16" t="s">
        <v>4</v>
      </c>
      <c r="K1" s="16" t="s">
        <v>5</v>
      </c>
      <c r="O1" s="1" t="s">
        <v>173</v>
      </c>
      <c r="P1" s="3"/>
      <c r="Q1" s="3"/>
    </row>
    <row r="2" spans="1:17">
      <c r="A2" s="2">
        <f ca="1">RANDBETWEEN(2,164)</f>
        <v>86</v>
      </c>
      <c r="B2" s="2" cm="1">
        <f t="array" aca="1" ref="B2" ca="1">INDEX(Data_DBD!$C:$C,$A2)</f>
        <v>3</v>
      </c>
      <c r="C2" s="2" cm="1">
        <f t="array" aca="1" ref="C2" ca="1">INDEX(Data_DBD!$E:$E,$A2)</f>
        <v>0</v>
      </c>
      <c r="D2" s="2" t="str" cm="1">
        <f t="array" aca="1" ref="D2" ca="1">INDEX(Data_DBD!$F:$F,$A2)</f>
        <v>Sedang</v>
      </c>
      <c r="H2" s="17">
        <v>39</v>
      </c>
      <c r="I2" s="17">
        <v>5</v>
      </c>
      <c r="J2" s="17">
        <v>1</v>
      </c>
      <c r="K2" s="17" t="s">
        <v>7</v>
      </c>
      <c r="O2" s="3" t="s">
        <v>97</v>
      </c>
      <c r="P2" s="3">
        <f>COUNTIF(K2:K164,"Tinggi")</f>
        <v>71</v>
      </c>
      <c r="Q2" s="3">
        <f>P2/163</f>
        <v>0.43558282208588955</v>
      </c>
    </row>
    <row r="3" spans="1:17">
      <c r="A3" s="2">
        <f t="shared" ref="A3:A66" ca="1" si="0">RANDBETWEEN(2,164)</f>
        <v>109</v>
      </c>
      <c r="B3" s="2" cm="1">
        <f t="array" aca="1" ref="B3" ca="1">INDEX(Data_DBD!$C:$C,$A3)</f>
        <v>3</v>
      </c>
      <c r="C3" s="2" cm="1">
        <f t="array" aca="1" ref="C3" ca="1">INDEX(Data_DBD!$E:$E,$A3)</f>
        <v>1</v>
      </c>
      <c r="D3" s="2" t="str" cm="1">
        <f t="array" aca="1" ref="D3" ca="1">INDEX(Data_DBD!$F:$F,$A3)</f>
        <v>Tinggi</v>
      </c>
      <c r="H3" s="17">
        <v>30</v>
      </c>
      <c r="I3" s="17">
        <v>2</v>
      </c>
      <c r="J3" s="17">
        <v>1</v>
      </c>
      <c r="K3" s="17" t="s">
        <v>7</v>
      </c>
      <c r="O3" s="3" t="s">
        <v>7</v>
      </c>
      <c r="P3" s="3">
        <f>COUNTIF(K2:K164,"Sedang")</f>
        <v>73</v>
      </c>
      <c r="Q3" s="3">
        <f>P3/163</f>
        <v>0.44785276073619634</v>
      </c>
    </row>
    <row r="4" spans="1:17">
      <c r="A4" s="2">
        <f t="shared" ca="1" si="0"/>
        <v>27</v>
      </c>
      <c r="B4" s="2" cm="1">
        <f t="array" aca="1" ref="B4" ca="1">INDEX(Data_DBD!$C:$C,$A4)</f>
        <v>4</v>
      </c>
      <c r="C4" s="2" cm="1">
        <f t="array" aca="1" ref="C4" ca="1">INDEX(Data_DBD!$E:$E,$A4)</f>
        <v>1</v>
      </c>
      <c r="D4" s="2" t="str" cm="1">
        <f t="array" aca="1" ref="D4" ca="1">INDEX(Data_DBD!$F:$F,$A4)</f>
        <v>Sedang</v>
      </c>
      <c r="H4" s="17">
        <v>52</v>
      </c>
      <c r="I4" s="17">
        <v>4</v>
      </c>
      <c r="J4" s="17">
        <v>1</v>
      </c>
      <c r="K4" s="17" t="s">
        <v>7</v>
      </c>
      <c r="O4" s="3" t="s">
        <v>20</v>
      </c>
      <c r="P4" s="3">
        <f>COUNTIF(K2:K164,"Rendah")</f>
        <v>19</v>
      </c>
      <c r="Q4" s="3">
        <f>P4/163</f>
        <v>0.1165644171779141</v>
      </c>
    </row>
    <row r="5" spans="1:17">
      <c r="A5" s="2">
        <f t="shared" ca="1" si="0"/>
        <v>37</v>
      </c>
      <c r="B5" s="2" cm="1">
        <f t="array" aca="1" ref="B5" ca="1">INDEX(Data_DBD!$C:$C,$A5)</f>
        <v>4</v>
      </c>
      <c r="C5" s="2" cm="1">
        <f t="array" aca="1" ref="C5" ca="1">INDEX(Data_DBD!$E:$E,$A5)</f>
        <v>1</v>
      </c>
      <c r="D5" s="2" t="str" cm="1">
        <f t="array" aca="1" ref="D5" ca="1">INDEX(Data_DBD!$F:$F,$A5)</f>
        <v>Rendah</v>
      </c>
      <c r="H5" s="17">
        <v>2</v>
      </c>
      <c r="I5" s="17">
        <v>3</v>
      </c>
      <c r="J5" s="17">
        <v>0</v>
      </c>
      <c r="K5" s="17" t="s">
        <v>7</v>
      </c>
      <c r="O5" s="4" t="s">
        <v>174</v>
      </c>
      <c r="P5">
        <f>-(IFERROR(Q2*LOG(Q2,2),0)+IFERROR(Q3*LOG(Q3,2),0)+IFERROR(Q4*LOG(Q4,2),0))</f>
        <v>1.4027167368169562</v>
      </c>
    </row>
    <row r="6" spans="1:17">
      <c r="A6" s="2">
        <f t="shared" ca="1" si="0"/>
        <v>134</v>
      </c>
      <c r="B6" s="2" cm="1">
        <f t="array" aca="1" ref="B6" ca="1">INDEX(Data_DBD!$C:$C,$A6)</f>
        <v>2</v>
      </c>
      <c r="C6" s="2" cm="1">
        <f t="array" aca="1" ref="C6" ca="1">INDEX(Data_DBD!$E:$E,$A6)</f>
        <v>1</v>
      </c>
      <c r="D6" s="2" t="str" cm="1">
        <f t="array" aca="1" ref="D6" ca="1">INDEX(Data_DBD!$F:$F,$A6)</f>
        <v>Tinggi</v>
      </c>
      <c r="H6" s="17">
        <v>48</v>
      </c>
      <c r="I6" s="17">
        <v>5</v>
      </c>
      <c r="J6" s="17">
        <v>1</v>
      </c>
      <c r="K6" s="17" t="s">
        <v>7</v>
      </c>
    </row>
    <row r="7" spans="1:17">
      <c r="A7" s="2">
        <f t="shared" ca="1" si="0"/>
        <v>128</v>
      </c>
      <c r="B7" s="2" cm="1">
        <f t="array" aca="1" ref="B7" ca="1">INDEX(Data_DBD!$C:$C,$A7)</f>
        <v>2</v>
      </c>
      <c r="C7" s="2" cm="1">
        <f t="array" aca="1" ref="C7" ca="1">INDEX(Data_DBD!$E:$E,$A7)</f>
        <v>0</v>
      </c>
      <c r="D7" s="2" t="str" cm="1">
        <f t="array" aca="1" ref="D7" ca="1">INDEX(Data_DBD!$F:$F,$A7)</f>
        <v>Tinggi</v>
      </c>
      <c r="H7" s="17">
        <v>164</v>
      </c>
      <c r="I7" s="17">
        <v>6</v>
      </c>
      <c r="J7" s="17">
        <v>0</v>
      </c>
      <c r="K7" s="17" t="s">
        <v>20</v>
      </c>
    </row>
    <row r="8" spans="1:17">
      <c r="A8" s="2">
        <f t="shared" ca="1" si="0"/>
        <v>123</v>
      </c>
      <c r="B8" s="2" cm="1">
        <f t="array" aca="1" ref="B8" ca="1">INDEX(Data_DBD!$C:$C,$A8)</f>
        <v>4</v>
      </c>
      <c r="C8" s="2" cm="1">
        <f t="array" aca="1" ref="C8" ca="1">INDEX(Data_DBD!$E:$E,$A8)</f>
        <v>0</v>
      </c>
      <c r="D8" s="2" t="str" cm="1">
        <f t="array" aca="1" ref="D8" ca="1">INDEX(Data_DBD!$F:$F,$A8)</f>
        <v>Tinggi</v>
      </c>
      <c r="H8" s="17">
        <v>164</v>
      </c>
      <c r="I8" s="17">
        <v>6</v>
      </c>
      <c r="J8" s="17">
        <v>0</v>
      </c>
      <c r="K8" s="17" t="s">
        <v>20</v>
      </c>
    </row>
    <row r="9" spans="1:17">
      <c r="A9" s="2">
        <f t="shared" ca="1" si="0"/>
        <v>21</v>
      </c>
      <c r="B9" s="2" cm="1">
        <f t="array" aca="1" ref="B9" ca="1">INDEX(Data_DBD!$C:$C,$A9)</f>
        <v>5</v>
      </c>
      <c r="C9" s="2" cm="1">
        <f t="array" aca="1" ref="C9" ca="1">INDEX(Data_DBD!$E:$E,$A9)</f>
        <v>1</v>
      </c>
      <c r="D9" s="2" t="str" cm="1">
        <f t="array" aca="1" ref="D9" ca="1">INDEX(Data_DBD!$F:$F,$A9)</f>
        <v>Sedang</v>
      </c>
      <c r="H9" s="17">
        <v>72</v>
      </c>
      <c r="I9" s="17">
        <v>5</v>
      </c>
      <c r="J9" s="17">
        <v>1</v>
      </c>
      <c r="K9" s="17" t="s">
        <v>7</v>
      </c>
    </row>
    <row r="10" spans="1:17">
      <c r="A10" s="2">
        <f t="shared" ca="1" si="0"/>
        <v>87</v>
      </c>
      <c r="B10" s="2" cm="1">
        <f t="array" aca="1" ref="B10" ca="1">INDEX(Data_DBD!$C:$C,$A10)</f>
        <v>3</v>
      </c>
      <c r="C10" s="2" cm="1">
        <f t="array" aca="1" ref="C10" ca="1">INDEX(Data_DBD!$E:$E,$A10)</f>
        <v>0</v>
      </c>
      <c r="D10" s="2" t="str" cm="1">
        <f t="array" aca="1" ref="D10" ca="1">INDEX(Data_DBD!$F:$F,$A10)</f>
        <v>Sedang</v>
      </c>
      <c r="H10" s="17">
        <v>34</v>
      </c>
      <c r="I10" s="17">
        <v>3</v>
      </c>
      <c r="J10" s="17">
        <v>0</v>
      </c>
      <c r="K10" s="17" t="s">
        <v>7</v>
      </c>
    </row>
    <row r="11" spans="1:17">
      <c r="A11" s="2">
        <f t="shared" ca="1" si="0"/>
        <v>136</v>
      </c>
      <c r="B11" s="2" cm="1">
        <f t="array" aca="1" ref="B11" ca="1">INDEX(Data_DBD!$C:$C,$A11)</f>
        <v>2</v>
      </c>
      <c r="C11" s="2" cm="1">
        <f t="array" aca="1" ref="C11" ca="1">INDEX(Data_DBD!$E:$E,$A11)</f>
        <v>0</v>
      </c>
      <c r="D11" s="2" t="str" cm="1">
        <f t="array" aca="1" ref="D11" ca="1">INDEX(Data_DBD!$F:$F,$A11)</f>
        <v>Tinggi</v>
      </c>
      <c r="H11" s="17">
        <v>29</v>
      </c>
      <c r="I11" s="17">
        <v>2</v>
      </c>
      <c r="J11" s="17">
        <v>1</v>
      </c>
      <c r="K11" s="17" t="s">
        <v>7</v>
      </c>
    </row>
    <row r="12" spans="1:17">
      <c r="A12" s="2">
        <f t="shared" ca="1" si="0"/>
        <v>126</v>
      </c>
      <c r="B12" s="2" cm="1">
        <f t="array" aca="1" ref="B12" ca="1">INDEX(Data_DBD!$C:$C,$A12)</f>
        <v>3</v>
      </c>
      <c r="C12" s="2" cm="1">
        <f t="array" aca="1" ref="C12" ca="1">INDEX(Data_DBD!$E:$E,$A12)</f>
        <v>1</v>
      </c>
      <c r="D12" s="2" t="str" cm="1">
        <f t="array" aca="1" ref="D12" ca="1">INDEX(Data_DBD!$F:$F,$A12)</f>
        <v>Tinggi</v>
      </c>
      <c r="H12" s="17">
        <v>128</v>
      </c>
      <c r="I12" s="17">
        <v>2</v>
      </c>
      <c r="J12" s="17">
        <v>0</v>
      </c>
      <c r="K12" s="17" t="s">
        <v>97</v>
      </c>
    </row>
    <row r="13" spans="1:17">
      <c r="A13" s="2">
        <f t="shared" ca="1" si="0"/>
        <v>24</v>
      </c>
      <c r="B13" s="2" cm="1">
        <f t="array" aca="1" ref="B13" ca="1">INDEX(Data_DBD!$C:$C,$A13)</f>
        <v>4</v>
      </c>
      <c r="C13" s="2" cm="1">
        <f t="array" aca="1" ref="C13" ca="1">INDEX(Data_DBD!$E:$E,$A13)</f>
        <v>0</v>
      </c>
      <c r="D13" s="2" t="str" cm="1">
        <f t="array" aca="1" ref="D13" ca="1">INDEX(Data_DBD!$F:$F,$A13)</f>
        <v>Sedang</v>
      </c>
      <c r="H13" s="17">
        <v>2</v>
      </c>
      <c r="I13" s="17">
        <v>3</v>
      </c>
      <c r="J13" s="17">
        <v>0</v>
      </c>
      <c r="K13" s="17" t="s">
        <v>7</v>
      </c>
    </row>
    <row r="14" spans="1:17">
      <c r="A14" s="2">
        <f t="shared" ca="1" si="0"/>
        <v>135</v>
      </c>
      <c r="B14" s="2" cm="1">
        <f t="array" aca="1" ref="B14" ca="1">INDEX(Data_DBD!$C:$C,$A14)</f>
        <v>2</v>
      </c>
      <c r="C14" s="2" cm="1">
        <f t="array" aca="1" ref="C14" ca="1">INDEX(Data_DBD!$E:$E,$A14)</f>
        <v>0</v>
      </c>
      <c r="D14" s="2" t="str" cm="1">
        <f t="array" aca="1" ref="D14" ca="1">INDEX(Data_DBD!$F:$F,$A14)</f>
        <v>Tinggi</v>
      </c>
      <c r="H14" s="17">
        <v>18</v>
      </c>
      <c r="I14" s="17">
        <v>4</v>
      </c>
      <c r="J14" s="17">
        <v>1</v>
      </c>
      <c r="K14" s="17" t="s">
        <v>20</v>
      </c>
    </row>
    <row r="15" spans="1:17">
      <c r="A15" s="2">
        <f t="shared" ca="1" si="0"/>
        <v>112</v>
      </c>
      <c r="B15" s="2" cm="1">
        <f t="array" aca="1" ref="B15" ca="1">INDEX(Data_DBD!$C:$C,$A15)</f>
        <v>3</v>
      </c>
      <c r="C15" s="2" cm="1">
        <f t="array" aca="1" ref="C15" ca="1">INDEX(Data_DBD!$E:$E,$A15)</f>
        <v>1</v>
      </c>
      <c r="D15" s="2" t="str" cm="1">
        <f t="array" aca="1" ref="D15" ca="1">INDEX(Data_DBD!$F:$F,$A15)</f>
        <v>Tinggi</v>
      </c>
      <c r="H15" s="17">
        <v>23</v>
      </c>
      <c r="I15" s="17">
        <v>4</v>
      </c>
      <c r="J15" s="17">
        <v>1</v>
      </c>
      <c r="K15" s="17" t="s">
        <v>7</v>
      </c>
    </row>
    <row r="16" spans="1:17">
      <c r="A16" s="2">
        <f t="shared" ca="1" si="0"/>
        <v>122</v>
      </c>
      <c r="B16" s="2" cm="1">
        <f t="array" aca="1" ref="B16" ca="1">INDEX(Data_DBD!$C:$C,$A16)</f>
        <v>3</v>
      </c>
      <c r="C16" s="2" cm="1">
        <f t="array" aca="1" ref="C16" ca="1">INDEX(Data_DBD!$E:$E,$A16)</f>
        <v>1</v>
      </c>
      <c r="D16" s="2" t="str" cm="1">
        <f t="array" aca="1" ref="D16" ca="1">INDEX(Data_DBD!$F:$F,$A16)</f>
        <v>Tinggi</v>
      </c>
      <c r="H16" s="17">
        <v>162</v>
      </c>
      <c r="I16" s="17">
        <v>3</v>
      </c>
      <c r="J16" s="17">
        <v>1</v>
      </c>
      <c r="K16" s="17" t="s">
        <v>20</v>
      </c>
    </row>
    <row r="17" spans="1:11">
      <c r="A17" s="2">
        <f t="shared" ca="1" si="0"/>
        <v>134</v>
      </c>
      <c r="B17" s="2" cm="1">
        <f t="array" aca="1" ref="B17" ca="1">INDEX(Data_DBD!$C:$C,$A17)</f>
        <v>2</v>
      </c>
      <c r="C17" s="2" cm="1">
        <f t="array" aca="1" ref="C17" ca="1">INDEX(Data_DBD!$E:$E,$A17)</f>
        <v>1</v>
      </c>
      <c r="D17" s="2" t="str" cm="1">
        <f t="array" aca="1" ref="D17" ca="1">INDEX(Data_DBD!$F:$F,$A17)</f>
        <v>Tinggi</v>
      </c>
      <c r="H17" s="17">
        <v>27</v>
      </c>
      <c r="I17" s="17">
        <v>4</v>
      </c>
      <c r="J17" s="17">
        <v>1</v>
      </c>
      <c r="K17" s="17" t="s">
        <v>7</v>
      </c>
    </row>
    <row r="18" spans="1:11">
      <c r="A18" s="2">
        <f t="shared" ca="1" si="0"/>
        <v>141</v>
      </c>
      <c r="B18" s="2" cm="1">
        <f t="array" aca="1" ref="B18" ca="1">INDEX(Data_DBD!$C:$C,$A18)</f>
        <v>2</v>
      </c>
      <c r="C18" s="2" cm="1">
        <f t="array" aca="1" ref="C18" ca="1">INDEX(Data_DBD!$E:$E,$A18)</f>
        <v>0</v>
      </c>
      <c r="D18" s="2" t="str" cm="1">
        <f t="array" aca="1" ref="D18" ca="1">INDEX(Data_DBD!$F:$F,$A18)</f>
        <v>Tinggi</v>
      </c>
      <c r="H18" s="17">
        <v>115</v>
      </c>
      <c r="I18" s="17">
        <v>3</v>
      </c>
      <c r="J18" s="17">
        <v>1</v>
      </c>
      <c r="K18" s="17" t="s">
        <v>97</v>
      </c>
    </row>
    <row r="19" spans="1:11">
      <c r="A19" s="2">
        <f t="shared" ca="1" si="0"/>
        <v>7</v>
      </c>
      <c r="B19" s="2" cm="1">
        <f t="array" aca="1" ref="B19" ca="1">INDEX(Data_DBD!$C:$C,$A19)</f>
        <v>1</v>
      </c>
      <c r="C19" s="2" cm="1">
        <f t="array" aca="1" ref="C19" ca="1">INDEX(Data_DBD!$E:$E,$A19)</f>
        <v>1</v>
      </c>
      <c r="D19" s="2" t="str" cm="1">
        <f t="array" aca="1" ref="D19" ca="1">INDEX(Data_DBD!$F:$F,$A19)</f>
        <v>Sedang</v>
      </c>
      <c r="H19" s="17">
        <v>155</v>
      </c>
      <c r="I19" s="17">
        <v>5</v>
      </c>
      <c r="J19" s="17">
        <v>1</v>
      </c>
      <c r="K19" s="17" t="s">
        <v>97</v>
      </c>
    </row>
    <row r="20" spans="1:11">
      <c r="A20" s="2">
        <f t="shared" ca="1" si="0"/>
        <v>68</v>
      </c>
      <c r="B20" s="2" cm="1">
        <f t="array" aca="1" ref="B20" ca="1">INDEX(Data_DBD!$C:$C,$A20)</f>
        <v>5</v>
      </c>
      <c r="C20" s="2" cm="1">
        <f t="array" aca="1" ref="C20" ca="1">INDEX(Data_DBD!$E:$E,$A20)</f>
        <v>0</v>
      </c>
      <c r="D20" s="2" t="str" cm="1">
        <f t="array" aca="1" ref="D20" ca="1">INDEX(Data_DBD!$F:$F,$A20)</f>
        <v>Sedang</v>
      </c>
      <c r="H20" s="17">
        <v>38</v>
      </c>
      <c r="I20" s="17">
        <v>3</v>
      </c>
      <c r="J20" s="17">
        <v>1</v>
      </c>
      <c r="K20" s="17" t="s">
        <v>20</v>
      </c>
    </row>
    <row r="21" spans="1:11">
      <c r="A21" s="2">
        <f t="shared" ca="1" si="0"/>
        <v>120</v>
      </c>
      <c r="B21" s="2" cm="1">
        <f t="array" aca="1" ref="B21" ca="1">INDEX(Data_DBD!$C:$C,$A21)</f>
        <v>4</v>
      </c>
      <c r="C21" s="2" cm="1">
        <f t="array" aca="1" ref="C21" ca="1">INDEX(Data_DBD!$E:$E,$A21)</f>
        <v>1</v>
      </c>
      <c r="D21" s="2" t="str" cm="1">
        <f t="array" aca="1" ref="D21" ca="1">INDEX(Data_DBD!$F:$F,$A21)</f>
        <v>Tinggi</v>
      </c>
      <c r="H21" s="17">
        <v>74</v>
      </c>
      <c r="I21" s="17">
        <v>4</v>
      </c>
      <c r="J21" s="17">
        <v>0</v>
      </c>
      <c r="K21" s="17" t="s">
        <v>7</v>
      </c>
    </row>
    <row r="22" spans="1:11">
      <c r="A22" s="2">
        <f t="shared" ca="1" si="0"/>
        <v>66</v>
      </c>
      <c r="B22" s="2" cm="1">
        <f t="array" aca="1" ref="B22" ca="1">INDEX(Data_DBD!$C:$C,$A22)</f>
        <v>5</v>
      </c>
      <c r="C22" s="2" cm="1">
        <f t="array" aca="1" ref="C22" ca="1">INDEX(Data_DBD!$E:$E,$A22)</f>
        <v>1</v>
      </c>
      <c r="D22" s="2" t="str" cm="1">
        <f t="array" aca="1" ref="D22" ca="1">INDEX(Data_DBD!$F:$F,$A22)</f>
        <v>Sedang</v>
      </c>
      <c r="H22" s="17">
        <v>21</v>
      </c>
      <c r="I22" s="17">
        <v>5</v>
      </c>
      <c r="J22" s="17">
        <v>1</v>
      </c>
      <c r="K22" s="17" t="s">
        <v>7</v>
      </c>
    </row>
    <row r="23" spans="1:11">
      <c r="A23" s="2">
        <f t="shared" ca="1" si="0"/>
        <v>103</v>
      </c>
      <c r="B23" s="2" cm="1">
        <f t="array" aca="1" ref="B23" ca="1">INDEX(Data_DBD!$C:$C,$A23)</f>
        <v>5</v>
      </c>
      <c r="C23" s="2" cm="1">
        <f t="array" aca="1" ref="C23" ca="1">INDEX(Data_DBD!$E:$E,$A23)</f>
        <v>0</v>
      </c>
      <c r="D23" s="2" t="str" cm="1">
        <f t="array" aca="1" ref="D23" ca="1">INDEX(Data_DBD!$F:$F,$A23)</f>
        <v>Tinggi</v>
      </c>
      <c r="H23" s="17">
        <v>112</v>
      </c>
      <c r="I23" s="17">
        <v>3</v>
      </c>
      <c r="J23" s="17">
        <v>1</v>
      </c>
      <c r="K23" s="17" t="s">
        <v>97</v>
      </c>
    </row>
    <row r="24" spans="1:11">
      <c r="A24" s="2">
        <f t="shared" ca="1" si="0"/>
        <v>140</v>
      </c>
      <c r="B24" s="2" cm="1">
        <f t="array" aca="1" ref="B24" ca="1">INDEX(Data_DBD!$C:$C,$A24)</f>
        <v>5</v>
      </c>
      <c r="C24" s="2" cm="1">
        <f t="array" aca="1" ref="C24" ca="1">INDEX(Data_DBD!$E:$E,$A24)</f>
        <v>1</v>
      </c>
      <c r="D24" s="2" t="str" cm="1">
        <f t="array" aca="1" ref="D24" ca="1">INDEX(Data_DBD!$F:$F,$A24)</f>
        <v>Tinggi</v>
      </c>
      <c r="H24" s="17">
        <v>13</v>
      </c>
      <c r="I24" s="17">
        <v>2</v>
      </c>
      <c r="J24" s="17">
        <v>0</v>
      </c>
      <c r="K24" s="17" t="s">
        <v>7</v>
      </c>
    </row>
    <row r="25" spans="1:11">
      <c r="A25" s="2">
        <f t="shared" ca="1" si="0"/>
        <v>68</v>
      </c>
      <c r="B25" s="2" cm="1">
        <f t="array" aca="1" ref="B25" ca="1">INDEX(Data_DBD!$C:$C,$A25)</f>
        <v>5</v>
      </c>
      <c r="C25" s="2" cm="1">
        <f t="array" aca="1" ref="C25" ca="1">INDEX(Data_DBD!$E:$E,$A25)</f>
        <v>0</v>
      </c>
      <c r="D25" s="2" t="str" cm="1">
        <f t="array" aca="1" ref="D25" ca="1">INDEX(Data_DBD!$F:$F,$A25)</f>
        <v>Sedang</v>
      </c>
      <c r="H25" s="17">
        <v>23</v>
      </c>
      <c r="I25" s="17">
        <v>4</v>
      </c>
      <c r="J25" s="17">
        <v>1</v>
      </c>
      <c r="K25" s="17" t="s">
        <v>7</v>
      </c>
    </row>
    <row r="26" spans="1:11">
      <c r="A26" s="2">
        <f t="shared" ca="1" si="0"/>
        <v>106</v>
      </c>
      <c r="B26" s="2" cm="1">
        <f t="array" aca="1" ref="B26" ca="1">INDEX(Data_DBD!$C:$C,$A26)</f>
        <v>3</v>
      </c>
      <c r="C26" s="2" cm="1">
        <f t="array" aca="1" ref="C26" ca="1">INDEX(Data_DBD!$E:$E,$A26)</f>
        <v>1</v>
      </c>
      <c r="D26" s="2" t="str" cm="1">
        <f t="array" aca="1" ref="D26" ca="1">INDEX(Data_DBD!$F:$F,$A26)</f>
        <v>Tinggi</v>
      </c>
      <c r="H26" s="17">
        <v>90</v>
      </c>
      <c r="I26" s="17">
        <v>3</v>
      </c>
      <c r="J26" s="17">
        <v>0</v>
      </c>
      <c r="K26" s="17" t="s">
        <v>97</v>
      </c>
    </row>
    <row r="27" spans="1:11">
      <c r="A27" s="2">
        <f t="shared" ca="1" si="0"/>
        <v>63</v>
      </c>
      <c r="B27" s="2" cm="1">
        <f t="array" aca="1" ref="B27" ca="1">INDEX(Data_DBD!$C:$C,$A27)</f>
        <v>3</v>
      </c>
      <c r="C27" s="2" cm="1">
        <f t="array" aca="1" ref="C27" ca="1">INDEX(Data_DBD!$E:$E,$A27)</f>
        <v>0</v>
      </c>
      <c r="D27" s="2" t="str" cm="1">
        <f t="array" aca="1" ref="D27" ca="1">INDEX(Data_DBD!$F:$F,$A27)</f>
        <v>Sedang</v>
      </c>
      <c r="H27" s="17">
        <v>117</v>
      </c>
      <c r="I27" s="17">
        <v>4</v>
      </c>
      <c r="J27" s="17">
        <v>1</v>
      </c>
      <c r="K27" s="17" t="s">
        <v>97</v>
      </c>
    </row>
    <row r="28" spans="1:11">
      <c r="A28" s="2">
        <f t="shared" ca="1" si="0"/>
        <v>123</v>
      </c>
      <c r="B28" s="2" cm="1">
        <f t="array" aca="1" ref="B28" ca="1">INDEX(Data_DBD!$C:$C,$A28)</f>
        <v>4</v>
      </c>
      <c r="C28" s="2" cm="1">
        <f t="array" aca="1" ref="C28" ca="1">INDEX(Data_DBD!$E:$E,$A28)</f>
        <v>0</v>
      </c>
      <c r="D28" s="2" t="str" cm="1">
        <f t="array" aca="1" ref="D28" ca="1">INDEX(Data_DBD!$F:$F,$A28)</f>
        <v>Tinggi</v>
      </c>
      <c r="H28" s="17">
        <v>53</v>
      </c>
      <c r="I28" s="17">
        <v>4</v>
      </c>
      <c r="J28" s="17">
        <v>1</v>
      </c>
      <c r="K28" s="17" t="s">
        <v>7</v>
      </c>
    </row>
    <row r="29" spans="1:11">
      <c r="A29" s="2">
        <f t="shared" ca="1" si="0"/>
        <v>29</v>
      </c>
      <c r="B29" s="2" cm="1">
        <f t="array" aca="1" ref="B29" ca="1">INDEX(Data_DBD!$C:$C,$A29)</f>
        <v>2</v>
      </c>
      <c r="C29" s="2" cm="1">
        <f t="array" aca="1" ref="C29" ca="1">INDEX(Data_DBD!$E:$E,$A29)</f>
        <v>1</v>
      </c>
      <c r="D29" s="2" t="str" cm="1">
        <f t="array" aca="1" ref="D29" ca="1">INDEX(Data_DBD!$F:$F,$A29)</f>
        <v>Sedang</v>
      </c>
      <c r="H29" s="17">
        <v>68</v>
      </c>
      <c r="I29" s="17">
        <v>5</v>
      </c>
      <c r="J29" s="17">
        <v>0</v>
      </c>
      <c r="K29" s="17" t="s">
        <v>7</v>
      </c>
    </row>
    <row r="30" spans="1:11">
      <c r="A30" s="2">
        <f t="shared" ca="1" si="0"/>
        <v>15</v>
      </c>
      <c r="B30" s="2" cm="1">
        <f t="array" aca="1" ref="B30" ca="1">INDEX(Data_DBD!$C:$C,$A30)</f>
        <v>2</v>
      </c>
      <c r="C30" s="2" cm="1">
        <f t="array" aca="1" ref="C30" ca="1">INDEX(Data_DBD!$E:$E,$A30)</f>
        <v>0</v>
      </c>
      <c r="D30" s="2" t="str" cm="1">
        <f t="array" aca="1" ref="D30" ca="1">INDEX(Data_DBD!$F:$F,$A30)</f>
        <v>Rendah</v>
      </c>
      <c r="H30" s="17">
        <v>10</v>
      </c>
      <c r="I30" s="17">
        <v>5</v>
      </c>
      <c r="J30" s="17">
        <v>0</v>
      </c>
      <c r="K30" s="17" t="s">
        <v>7</v>
      </c>
    </row>
    <row r="31" spans="1:11">
      <c r="A31" s="2">
        <f t="shared" ca="1" si="0"/>
        <v>89</v>
      </c>
      <c r="B31" s="2" cm="1">
        <f t="array" aca="1" ref="B31" ca="1">INDEX(Data_DBD!$C:$C,$A31)</f>
        <v>4</v>
      </c>
      <c r="C31" s="2" cm="1">
        <f t="array" aca="1" ref="C31" ca="1">INDEX(Data_DBD!$E:$E,$A31)</f>
        <v>0</v>
      </c>
      <c r="D31" s="2" t="str" cm="1">
        <f t="array" aca="1" ref="D31" ca="1">INDEX(Data_DBD!$F:$F,$A31)</f>
        <v>Sedang</v>
      </c>
      <c r="H31" s="17">
        <v>156</v>
      </c>
      <c r="I31" s="17">
        <v>2</v>
      </c>
      <c r="J31" s="17">
        <v>0</v>
      </c>
      <c r="K31" s="17" t="s">
        <v>97</v>
      </c>
    </row>
    <row r="32" spans="1:11">
      <c r="A32" s="2">
        <f t="shared" ca="1" si="0"/>
        <v>126</v>
      </c>
      <c r="B32" s="2" cm="1">
        <f t="array" aca="1" ref="B32" ca="1">INDEX(Data_DBD!$C:$C,$A32)</f>
        <v>3</v>
      </c>
      <c r="C32" s="2" cm="1">
        <f t="array" aca="1" ref="C32" ca="1">INDEX(Data_DBD!$E:$E,$A32)</f>
        <v>1</v>
      </c>
      <c r="D32" s="2" t="str" cm="1">
        <f t="array" aca="1" ref="D32" ca="1">INDEX(Data_DBD!$F:$F,$A32)</f>
        <v>Tinggi</v>
      </c>
      <c r="H32" s="17">
        <v>97</v>
      </c>
      <c r="I32" s="17">
        <v>2</v>
      </c>
      <c r="J32" s="17">
        <v>1</v>
      </c>
      <c r="K32" s="17" t="s">
        <v>97</v>
      </c>
    </row>
    <row r="33" spans="1:11">
      <c r="A33" s="2">
        <f t="shared" ca="1" si="0"/>
        <v>42</v>
      </c>
      <c r="B33" s="2" cm="1">
        <f t="array" aca="1" ref="B33" ca="1">INDEX(Data_DBD!$C:$C,$A33)</f>
        <v>5</v>
      </c>
      <c r="C33" s="2" cm="1">
        <f t="array" aca="1" ref="C33" ca="1">INDEX(Data_DBD!$E:$E,$A33)</f>
        <v>1</v>
      </c>
      <c r="D33" s="2" t="str" cm="1">
        <f t="array" aca="1" ref="D33" ca="1">INDEX(Data_DBD!$F:$F,$A33)</f>
        <v>Sedang</v>
      </c>
      <c r="H33" s="17">
        <v>117</v>
      </c>
      <c r="I33" s="17">
        <v>4</v>
      </c>
      <c r="J33" s="17">
        <v>1</v>
      </c>
      <c r="K33" s="17" t="s">
        <v>97</v>
      </c>
    </row>
    <row r="34" spans="1:11">
      <c r="A34" s="2">
        <f t="shared" ca="1" si="0"/>
        <v>80</v>
      </c>
      <c r="B34" s="2" cm="1">
        <f t="array" aca="1" ref="B34" ca="1">INDEX(Data_DBD!$C:$C,$A34)</f>
        <v>3</v>
      </c>
      <c r="C34" s="2" cm="1">
        <f t="array" aca="1" ref="C34" ca="1">INDEX(Data_DBD!$E:$E,$A34)</f>
        <v>1</v>
      </c>
      <c r="D34" s="2" t="str" cm="1">
        <f t="array" aca="1" ref="D34" ca="1">INDEX(Data_DBD!$F:$F,$A34)</f>
        <v>Sedang</v>
      </c>
      <c r="H34" s="17">
        <v>129</v>
      </c>
      <c r="I34" s="17">
        <v>3</v>
      </c>
      <c r="J34" s="17">
        <v>0</v>
      </c>
      <c r="K34" s="17" t="s">
        <v>97</v>
      </c>
    </row>
    <row r="35" spans="1:11">
      <c r="A35" s="2">
        <f t="shared" ca="1" si="0"/>
        <v>107</v>
      </c>
      <c r="B35" s="2" cm="1">
        <f t="array" aca="1" ref="B35" ca="1">INDEX(Data_DBD!$C:$C,$A35)</f>
        <v>5</v>
      </c>
      <c r="C35" s="2" cm="1">
        <f t="array" aca="1" ref="C35" ca="1">INDEX(Data_DBD!$E:$E,$A35)</f>
        <v>0</v>
      </c>
      <c r="D35" s="2" t="str" cm="1">
        <f t="array" aca="1" ref="D35" ca="1">INDEX(Data_DBD!$F:$F,$A35)</f>
        <v>Tinggi</v>
      </c>
      <c r="H35" s="17">
        <v>123</v>
      </c>
      <c r="I35" s="17">
        <v>4</v>
      </c>
      <c r="J35" s="17">
        <v>0</v>
      </c>
      <c r="K35" s="17" t="s">
        <v>97</v>
      </c>
    </row>
    <row r="36" spans="1:11">
      <c r="A36" s="2">
        <f t="shared" ca="1" si="0"/>
        <v>95</v>
      </c>
      <c r="B36" s="2" cm="1">
        <f t="array" aca="1" ref="B36" ca="1">INDEX(Data_DBD!$C:$C,$A36)</f>
        <v>3</v>
      </c>
      <c r="C36" s="2" cm="1">
        <f t="array" aca="1" ref="C36" ca="1">INDEX(Data_DBD!$E:$E,$A36)</f>
        <v>1</v>
      </c>
      <c r="D36" s="2" t="str" cm="1">
        <f t="array" aca="1" ref="D36" ca="1">INDEX(Data_DBD!$F:$F,$A36)</f>
        <v>Tinggi</v>
      </c>
      <c r="H36" s="17">
        <v>12</v>
      </c>
      <c r="I36" s="17">
        <v>3</v>
      </c>
      <c r="J36" s="17">
        <v>0</v>
      </c>
      <c r="K36" s="17" t="s">
        <v>7</v>
      </c>
    </row>
    <row r="37" spans="1:11">
      <c r="A37" s="2">
        <f t="shared" ca="1" si="0"/>
        <v>52</v>
      </c>
      <c r="B37" s="2" cm="1">
        <f t="array" aca="1" ref="B37" ca="1">INDEX(Data_DBD!$C:$C,$A37)</f>
        <v>4</v>
      </c>
      <c r="C37" s="2" cm="1">
        <f t="array" aca="1" ref="C37" ca="1">INDEX(Data_DBD!$E:$E,$A37)</f>
        <v>1</v>
      </c>
      <c r="D37" s="2" t="str" cm="1">
        <f t="array" aca="1" ref="D37" ca="1">INDEX(Data_DBD!$F:$F,$A37)</f>
        <v>Sedang</v>
      </c>
      <c r="H37" s="17">
        <v>72</v>
      </c>
      <c r="I37" s="17">
        <v>5</v>
      </c>
      <c r="J37" s="17">
        <v>1</v>
      </c>
      <c r="K37" s="17" t="s">
        <v>7</v>
      </c>
    </row>
    <row r="38" spans="1:11">
      <c r="A38" s="2">
        <f t="shared" ca="1" si="0"/>
        <v>37</v>
      </c>
      <c r="B38" s="2" cm="1">
        <f t="array" aca="1" ref="B38" ca="1">INDEX(Data_DBD!$C:$C,$A38)</f>
        <v>4</v>
      </c>
      <c r="C38" s="2" cm="1">
        <f t="array" aca="1" ref="C38" ca="1">INDEX(Data_DBD!$E:$E,$A38)</f>
        <v>1</v>
      </c>
      <c r="D38" s="2" t="str" cm="1">
        <f t="array" aca="1" ref="D38" ca="1">INDEX(Data_DBD!$F:$F,$A38)</f>
        <v>Rendah</v>
      </c>
      <c r="H38" s="17">
        <v>110</v>
      </c>
      <c r="I38" s="17">
        <v>2</v>
      </c>
      <c r="J38" s="17">
        <v>1</v>
      </c>
      <c r="K38" s="17" t="s">
        <v>97</v>
      </c>
    </row>
    <row r="39" spans="1:11">
      <c r="A39" s="2">
        <f t="shared" ca="1" si="0"/>
        <v>147</v>
      </c>
      <c r="B39" s="2" cm="1">
        <f t="array" aca="1" ref="B39" ca="1">INDEX(Data_DBD!$C:$C,$A39)</f>
        <v>10</v>
      </c>
      <c r="C39" s="2" cm="1">
        <f t="array" aca="1" ref="C39" ca="1">INDEX(Data_DBD!$E:$E,$A39)</f>
        <v>1</v>
      </c>
      <c r="D39" s="2" t="str" cm="1">
        <f t="array" aca="1" ref="D39" ca="1">INDEX(Data_DBD!$F:$F,$A39)</f>
        <v>Tinggi</v>
      </c>
      <c r="H39" s="17">
        <v>60</v>
      </c>
      <c r="I39" s="17">
        <v>4</v>
      </c>
      <c r="J39" s="17">
        <v>0</v>
      </c>
      <c r="K39" s="17" t="s">
        <v>7</v>
      </c>
    </row>
    <row r="40" spans="1:11">
      <c r="A40" s="2">
        <f t="shared" ca="1" si="0"/>
        <v>163</v>
      </c>
      <c r="B40" s="2" cm="1">
        <f t="array" aca="1" ref="B40" ca="1">INDEX(Data_DBD!$C:$C,$A40)</f>
        <v>4</v>
      </c>
      <c r="C40" s="2" cm="1">
        <f t="array" aca="1" ref="C40" ca="1">INDEX(Data_DBD!$E:$E,$A40)</f>
        <v>1</v>
      </c>
      <c r="D40" s="2" t="str" cm="1">
        <f t="array" aca="1" ref="D40" ca="1">INDEX(Data_DBD!$F:$F,$A40)</f>
        <v>Rendah</v>
      </c>
      <c r="H40" s="17">
        <v>99</v>
      </c>
      <c r="I40" s="17">
        <v>2</v>
      </c>
      <c r="J40" s="17">
        <v>1</v>
      </c>
      <c r="K40" s="17" t="s">
        <v>97</v>
      </c>
    </row>
    <row r="41" spans="1:11">
      <c r="A41" s="2">
        <f t="shared" ca="1" si="0"/>
        <v>105</v>
      </c>
      <c r="B41" s="2" cm="1">
        <f t="array" aca="1" ref="B41" ca="1">INDEX(Data_DBD!$C:$C,$A41)</f>
        <v>3</v>
      </c>
      <c r="C41" s="2" cm="1">
        <f t="array" aca="1" ref="C41" ca="1">INDEX(Data_DBD!$E:$E,$A41)</f>
        <v>1</v>
      </c>
      <c r="D41" s="2" t="str" cm="1">
        <f t="array" aca="1" ref="D41" ca="1">INDEX(Data_DBD!$F:$F,$A41)</f>
        <v>Tinggi</v>
      </c>
      <c r="H41" s="17">
        <v>155</v>
      </c>
      <c r="I41" s="17">
        <v>5</v>
      </c>
      <c r="J41" s="17">
        <v>1</v>
      </c>
      <c r="K41" s="17" t="s">
        <v>97</v>
      </c>
    </row>
    <row r="42" spans="1:11">
      <c r="A42" s="2">
        <f t="shared" ca="1" si="0"/>
        <v>81</v>
      </c>
      <c r="B42" s="2" cm="1">
        <f t="array" aca="1" ref="B42" ca="1">INDEX(Data_DBD!$C:$C,$A42)</f>
        <v>5</v>
      </c>
      <c r="C42" s="2" cm="1">
        <f t="array" aca="1" ref="C42" ca="1">INDEX(Data_DBD!$E:$E,$A42)</f>
        <v>1</v>
      </c>
      <c r="D42" s="2" t="str" cm="1">
        <f t="array" aca="1" ref="D42" ca="1">INDEX(Data_DBD!$F:$F,$A42)</f>
        <v>Sedang</v>
      </c>
      <c r="H42" s="17">
        <v>27</v>
      </c>
      <c r="I42" s="17">
        <v>4</v>
      </c>
      <c r="J42" s="17">
        <v>1</v>
      </c>
      <c r="K42" s="17" t="s">
        <v>7</v>
      </c>
    </row>
    <row r="43" spans="1:11">
      <c r="A43" s="2">
        <f t="shared" ca="1" si="0"/>
        <v>164</v>
      </c>
      <c r="B43" s="2" cm="1">
        <f t="array" aca="1" ref="B43" ca="1">INDEX(Data_DBD!$C:$C,$A43)</f>
        <v>6</v>
      </c>
      <c r="C43" s="2" cm="1">
        <f t="array" aca="1" ref="C43" ca="1">INDEX(Data_DBD!$E:$E,$A43)</f>
        <v>0</v>
      </c>
      <c r="D43" s="2" t="str" cm="1">
        <f t="array" aca="1" ref="D43" ca="1">INDEX(Data_DBD!$F:$F,$A43)</f>
        <v>Rendah</v>
      </c>
      <c r="H43" s="17">
        <v>105</v>
      </c>
      <c r="I43" s="17">
        <v>3</v>
      </c>
      <c r="J43" s="17">
        <v>1</v>
      </c>
      <c r="K43" s="17" t="s">
        <v>97</v>
      </c>
    </row>
    <row r="44" spans="1:11">
      <c r="A44" s="2">
        <f t="shared" ca="1" si="0"/>
        <v>17</v>
      </c>
      <c r="B44" s="2" cm="1">
        <f t="array" aca="1" ref="B44" ca="1">INDEX(Data_DBD!$C:$C,$A44)</f>
        <v>3</v>
      </c>
      <c r="C44" s="2" cm="1">
        <f t="array" aca="1" ref="C44" ca="1">INDEX(Data_DBD!$E:$E,$A44)</f>
        <v>0</v>
      </c>
      <c r="D44" s="2" t="str" cm="1">
        <f t="array" aca="1" ref="D44" ca="1">INDEX(Data_DBD!$F:$F,$A44)</f>
        <v>Rendah</v>
      </c>
      <c r="H44" s="17">
        <v>106</v>
      </c>
      <c r="I44" s="17">
        <v>3</v>
      </c>
      <c r="J44" s="17">
        <v>1</v>
      </c>
      <c r="K44" s="17" t="s">
        <v>97</v>
      </c>
    </row>
    <row r="45" spans="1:11">
      <c r="A45" s="2">
        <f t="shared" ca="1" si="0"/>
        <v>160</v>
      </c>
      <c r="B45" s="2" cm="1">
        <f t="array" aca="1" ref="B45" ca="1">INDEX(Data_DBD!$C:$C,$A45)</f>
        <v>3</v>
      </c>
      <c r="C45" s="2" cm="1">
        <f t="array" aca="1" ref="C45" ca="1">INDEX(Data_DBD!$E:$E,$A45)</f>
        <v>0</v>
      </c>
      <c r="D45" s="2" t="str" cm="1">
        <f t="array" aca="1" ref="D45" ca="1">INDEX(Data_DBD!$F:$F,$A45)</f>
        <v>Tinggi</v>
      </c>
      <c r="H45" s="17">
        <v>127</v>
      </c>
      <c r="I45" s="17">
        <v>2</v>
      </c>
      <c r="J45" s="17">
        <v>0</v>
      </c>
      <c r="K45" s="17" t="s">
        <v>97</v>
      </c>
    </row>
    <row r="46" spans="1:11">
      <c r="A46" s="2">
        <f t="shared" ca="1" si="0"/>
        <v>119</v>
      </c>
      <c r="B46" s="2" cm="1">
        <f t="array" aca="1" ref="B46" ca="1">INDEX(Data_DBD!$C:$C,$A46)</f>
        <v>7</v>
      </c>
      <c r="C46" s="2" cm="1">
        <f t="array" aca="1" ref="C46" ca="1">INDEX(Data_DBD!$E:$E,$A46)</f>
        <v>0</v>
      </c>
      <c r="D46" s="2" t="str" cm="1">
        <f t="array" aca="1" ref="D46" ca="1">INDEX(Data_DBD!$F:$F,$A46)</f>
        <v>Tinggi</v>
      </c>
      <c r="H46" s="17">
        <v>31</v>
      </c>
      <c r="I46" s="17">
        <v>4</v>
      </c>
      <c r="J46" s="17">
        <v>1</v>
      </c>
      <c r="K46" s="17" t="s">
        <v>7</v>
      </c>
    </row>
    <row r="47" spans="1:11">
      <c r="A47" s="2">
        <f t="shared" ca="1" si="0"/>
        <v>154</v>
      </c>
      <c r="B47" s="2" cm="1">
        <f t="array" aca="1" ref="B47" ca="1">INDEX(Data_DBD!$C:$C,$A47)</f>
        <v>5</v>
      </c>
      <c r="C47" s="2" cm="1">
        <f t="array" aca="1" ref="C47" ca="1">INDEX(Data_DBD!$E:$E,$A47)</f>
        <v>1</v>
      </c>
      <c r="D47" s="2" t="str" cm="1">
        <f t="array" aca="1" ref="D47" ca="1">INDEX(Data_DBD!$F:$F,$A47)</f>
        <v>Tinggi</v>
      </c>
      <c r="H47" s="17">
        <v>2</v>
      </c>
      <c r="I47" s="17">
        <v>3</v>
      </c>
      <c r="J47" s="17">
        <v>0</v>
      </c>
      <c r="K47" s="17" t="s">
        <v>7</v>
      </c>
    </row>
    <row r="48" spans="1:11">
      <c r="A48" s="2">
        <f t="shared" ca="1" si="0"/>
        <v>109</v>
      </c>
      <c r="B48" s="2" cm="1">
        <f t="array" aca="1" ref="B48" ca="1">INDEX(Data_DBD!$C:$C,$A48)</f>
        <v>3</v>
      </c>
      <c r="C48" s="2" cm="1">
        <f t="array" aca="1" ref="C48" ca="1">INDEX(Data_DBD!$E:$E,$A48)</f>
        <v>1</v>
      </c>
      <c r="D48" s="2" t="str" cm="1">
        <f t="array" aca="1" ref="D48" ca="1">INDEX(Data_DBD!$F:$F,$A48)</f>
        <v>Tinggi</v>
      </c>
      <c r="H48" s="17">
        <v>117</v>
      </c>
      <c r="I48" s="17">
        <v>4</v>
      </c>
      <c r="J48" s="17">
        <v>1</v>
      </c>
      <c r="K48" s="17" t="s">
        <v>97</v>
      </c>
    </row>
    <row r="49" spans="1:11">
      <c r="A49" s="2">
        <f t="shared" ca="1" si="0"/>
        <v>41</v>
      </c>
      <c r="B49" s="2" cm="1">
        <f t="array" aca="1" ref="B49" ca="1">INDEX(Data_DBD!$C:$C,$A49)</f>
        <v>4</v>
      </c>
      <c r="C49" s="2" cm="1">
        <f t="array" aca="1" ref="C49" ca="1">INDEX(Data_DBD!$E:$E,$A49)</f>
        <v>0</v>
      </c>
      <c r="D49" s="2" t="str" cm="1">
        <f t="array" aca="1" ref="D49" ca="1">INDEX(Data_DBD!$F:$F,$A49)</f>
        <v>Sedang</v>
      </c>
      <c r="H49" s="17">
        <v>148</v>
      </c>
      <c r="I49" s="17">
        <v>3</v>
      </c>
      <c r="J49" s="17">
        <v>1</v>
      </c>
      <c r="K49" s="17" t="s">
        <v>97</v>
      </c>
    </row>
    <row r="50" spans="1:11">
      <c r="A50" s="2">
        <f t="shared" ca="1" si="0"/>
        <v>102</v>
      </c>
      <c r="B50" s="2" cm="1">
        <f t="array" aca="1" ref="B50" ca="1">INDEX(Data_DBD!$C:$C,$A50)</f>
        <v>4</v>
      </c>
      <c r="C50" s="2" cm="1">
        <f t="array" aca="1" ref="C50" ca="1">INDEX(Data_DBD!$E:$E,$A50)</f>
        <v>0</v>
      </c>
      <c r="D50" s="2" t="str" cm="1">
        <f t="array" aca="1" ref="D50" ca="1">INDEX(Data_DBD!$F:$F,$A50)</f>
        <v>Tinggi</v>
      </c>
      <c r="H50" s="17">
        <v>90</v>
      </c>
      <c r="I50" s="17">
        <v>3</v>
      </c>
      <c r="J50" s="17">
        <v>0</v>
      </c>
      <c r="K50" s="17" t="s">
        <v>97</v>
      </c>
    </row>
    <row r="51" spans="1:11">
      <c r="A51" s="2">
        <f t="shared" ca="1" si="0"/>
        <v>106</v>
      </c>
      <c r="B51" s="2" cm="1">
        <f t="array" aca="1" ref="B51" ca="1">INDEX(Data_DBD!$C:$C,$A51)</f>
        <v>3</v>
      </c>
      <c r="C51" s="2" cm="1">
        <f t="array" aca="1" ref="C51" ca="1">INDEX(Data_DBD!$E:$E,$A51)</f>
        <v>1</v>
      </c>
      <c r="D51" s="2" t="str" cm="1">
        <f t="array" aca="1" ref="D51" ca="1">INDEX(Data_DBD!$F:$F,$A51)</f>
        <v>Tinggi</v>
      </c>
      <c r="H51" s="17">
        <v>69</v>
      </c>
      <c r="I51" s="17">
        <v>4</v>
      </c>
      <c r="J51" s="17">
        <v>1</v>
      </c>
      <c r="K51" s="17" t="s">
        <v>7</v>
      </c>
    </row>
    <row r="52" spans="1:11">
      <c r="A52" s="2">
        <f t="shared" ca="1" si="0"/>
        <v>59</v>
      </c>
      <c r="B52" s="2" cm="1">
        <f t="array" aca="1" ref="B52" ca="1">INDEX(Data_DBD!$C:$C,$A52)</f>
        <v>4</v>
      </c>
      <c r="C52" s="2" cm="1">
        <f t="array" aca="1" ref="C52" ca="1">INDEX(Data_DBD!$E:$E,$A52)</f>
        <v>0</v>
      </c>
      <c r="D52" s="2" t="str" cm="1">
        <f t="array" aca="1" ref="D52" ca="1">INDEX(Data_DBD!$F:$F,$A52)</f>
        <v>Sedang</v>
      </c>
      <c r="H52" s="17">
        <v>15</v>
      </c>
      <c r="I52" s="17">
        <v>2</v>
      </c>
      <c r="J52" s="17">
        <v>0</v>
      </c>
      <c r="K52" s="17" t="s">
        <v>20</v>
      </c>
    </row>
    <row r="53" spans="1:11">
      <c r="A53" s="2">
        <f t="shared" ca="1" si="0"/>
        <v>89</v>
      </c>
      <c r="B53" s="2" cm="1">
        <f t="array" aca="1" ref="B53" ca="1">INDEX(Data_DBD!$C:$C,$A53)</f>
        <v>4</v>
      </c>
      <c r="C53" s="2" cm="1">
        <f t="array" aca="1" ref="C53" ca="1">INDEX(Data_DBD!$E:$E,$A53)</f>
        <v>0</v>
      </c>
      <c r="D53" s="2" t="str" cm="1">
        <f t="array" aca="1" ref="D53" ca="1">INDEX(Data_DBD!$F:$F,$A53)</f>
        <v>Sedang</v>
      </c>
      <c r="H53" s="17">
        <v>145</v>
      </c>
      <c r="I53" s="17">
        <v>4</v>
      </c>
      <c r="J53" s="17">
        <v>1</v>
      </c>
      <c r="K53" s="17" t="s">
        <v>97</v>
      </c>
    </row>
    <row r="54" spans="1:11">
      <c r="A54" s="2">
        <f t="shared" ca="1" si="0"/>
        <v>93</v>
      </c>
      <c r="B54" s="2" cm="1">
        <f t="array" aca="1" ref="B54" ca="1">INDEX(Data_DBD!$C:$C,$A54)</f>
        <v>4</v>
      </c>
      <c r="C54" s="2" cm="1">
        <f t="array" aca="1" ref="C54" ca="1">INDEX(Data_DBD!$E:$E,$A54)</f>
        <v>0</v>
      </c>
      <c r="D54" s="2" t="str" cm="1">
        <f t="array" aca="1" ref="D54" ca="1">INDEX(Data_DBD!$F:$F,$A54)</f>
        <v>Tinggi</v>
      </c>
      <c r="H54" s="17">
        <v>49</v>
      </c>
      <c r="I54" s="17">
        <v>5</v>
      </c>
      <c r="J54" s="17">
        <v>0</v>
      </c>
      <c r="K54" s="17" t="s">
        <v>7</v>
      </c>
    </row>
    <row r="55" spans="1:11">
      <c r="A55" s="2">
        <f t="shared" ca="1" si="0"/>
        <v>149</v>
      </c>
      <c r="B55" s="2" cm="1">
        <f t="array" aca="1" ref="B55" ca="1">INDEX(Data_DBD!$C:$C,$A55)</f>
        <v>5</v>
      </c>
      <c r="C55" s="2" cm="1">
        <f t="array" aca="1" ref="C55" ca="1">INDEX(Data_DBD!$E:$E,$A55)</f>
        <v>0</v>
      </c>
      <c r="D55" s="2" t="str" cm="1">
        <f t="array" aca="1" ref="D55" ca="1">INDEX(Data_DBD!$F:$F,$A55)</f>
        <v>Tinggi</v>
      </c>
      <c r="H55" s="17">
        <v>35</v>
      </c>
      <c r="I55" s="17">
        <v>3</v>
      </c>
      <c r="J55" s="17">
        <v>1</v>
      </c>
      <c r="K55" s="17" t="s">
        <v>20</v>
      </c>
    </row>
    <row r="56" spans="1:11">
      <c r="A56" s="2">
        <f t="shared" ca="1" si="0"/>
        <v>74</v>
      </c>
      <c r="B56" s="2" cm="1">
        <f t="array" aca="1" ref="B56" ca="1">INDEX(Data_DBD!$C:$C,$A56)</f>
        <v>4</v>
      </c>
      <c r="C56" s="2" cm="1">
        <f t="array" aca="1" ref="C56" ca="1">INDEX(Data_DBD!$E:$E,$A56)</f>
        <v>0</v>
      </c>
      <c r="D56" s="2" t="str" cm="1">
        <f t="array" aca="1" ref="D56" ca="1">INDEX(Data_DBD!$F:$F,$A56)</f>
        <v>Sedang</v>
      </c>
      <c r="H56" s="17">
        <v>119</v>
      </c>
      <c r="I56" s="17">
        <v>7</v>
      </c>
      <c r="J56" s="17">
        <v>0</v>
      </c>
      <c r="K56" s="17" t="s">
        <v>97</v>
      </c>
    </row>
    <row r="57" spans="1:11">
      <c r="A57" s="2">
        <f t="shared" ca="1" si="0"/>
        <v>158</v>
      </c>
      <c r="B57" s="2" cm="1">
        <f t="array" aca="1" ref="B57" ca="1">INDEX(Data_DBD!$C:$C,$A57)</f>
        <v>2</v>
      </c>
      <c r="C57" s="2" cm="1">
        <f t="array" aca="1" ref="C57" ca="1">INDEX(Data_DBD!$E:$E,$A57)</f>
        <v>0</v>
      </c>
      <c r="D57" s="2" t="str" cm="1">
        <f t="array" aca="1" ref="D57" ca="1">INDEX(Data_DBD!$F:$F,$A57)</f>
        <v>Tinggi</v>
      </c>
      <c r="H57" s="17">
        <v>161</v>
      </c>
      <c r="I57" s="17">
        <v>3</v>
      </c>
      <c r="J57" s="17">
        <v>1</v>
      </c>
      <c r="K57" s="17" t="s">
        <v>97</v>
      </c>
    </row>
    <row r="58" spans="1:11">
      <c r="A58" s="2">
        <f t="shared" ca="1" si="0"/>
        <v>92</v>
      </c>
      <c r="B58" s="2" cm="1">
        <f t="array" aca="1" ref="B58" ca="1">INDEX(Data_DBD!$C:$C,$A58)</f>
        <v>7</v>
      </c>
      <c r="C58" s="2" cm="1">
        <f t="array" aca="1" ref="C58" ca="1">INDEX(Data_DBD!$E:$E,$A58)</f>
        <v>0</v>
      </c>
      <c r="D58" s="2" t="str" cm="1">
        <f t="array" aca="1" ref="D58" ca="1">INDEX(Data_DBD!$F:$F,$A58)</f>
        <v>Tinggi</v>
      </c>
      <c r="H58" s="17">
        <v>51</v>
      </c>
      <c r="I58" s="17">
        <v>4</v>
      </c>
      <c r="J58" s="17">
        <v>0</v>
      </c>
      <c r="K58" s="17" t="s">
        <v>7</v>
      </c>
    </row>
    <row r="59" spans="1:11">
      <c r="A59" s="2">
        <f t="shared" ca="1" si="0"/>
        <v>14</v>
      </c>
      <c r="B59" s="2" cm="1">
        <f t="array" aca="1" ref="B59" ca="1">INDEX(Data_DBD!$C:$C,$A59)</f>
        <v>4</v>
      </c>
      <c r="C59" s="2" cm="1">
        <f t="array" aca="1" ref="C59" ca="1">INDEX(Data_DBD!$E:$E,$A59)</f>
        <v>1</v>
      </c>
      <c r="D59" s="2" t="str" cm="1">
        <f t="array" aca="1" ref="D59" ca="1">INDEX(Data_DBD!$F:$F,$A59)</f>
        <v>Rendah</v>
      </c>
      <c r="H59" s="17">
        <v>135</v>
      </c>
      <c r="I59" s="17">
        <v>2</v>
      </c>
      <c r="J59" s="17">
        <v>0</v>
      </c>
      <c r="K59" s="17" t="s">
        <v>97</v>
      </c>
    </row>
    <row r="60" spans="1:11">
      <c r="A60" s="2">
        <f t="shared" ca="1" si="0"/>
        <v>86</v>
      </c>
      <c r="B60" s="2" cm="1">
        <f t="array" aca="1" ref="B60" ca="1">INDEX(Data_DBD!$C:$C,$A60)</f>
        <v>3</v>
      </c>
      <c r="C60" s="2" cm="1">
        <f t="array" aca="1" ref="C60" ca="1">INDEX(Data_DBD!$E:$E,$A60)</f>
        <v>0</v>
      </c>
      <c r="D60" s="2" t="str" cm="1">
        <f t="array" aca="1" ref="D60" ca="1">INDEX(Data_DBD!$F:$F,$A60)</f>
        <v>Sedang</v>
      </c>
      <c r="H60" s="17">
        <v>150</v>
      </c>
      <c r="I60" s="17">
        <v>5</v>
      </c>
      <c r="J60" s="17">
        <v>1</v>
      </c>
      <c r="K60" s="17" t="s">
        <v>97</v>
      </c>
    </row>
    <row r="61" spans="1:11">
      <c r="A61" s="2">
        <f t="shared" ca="1" si="0"/>
        <v>161</v>
      </c>
      <c r="B61" s="2" cm="1">
        <f t="array" aca="1" ref="B61" ca="1">INDEX(Data_DBD!$C:$C,$A61)</f>
        <v>3</v>
      </c>
      <c r="C61" s="2" cm="1">
        <f t="array" aca="1" ref="C61" ca="1">INDEX(Data_DBD!$E:$E,$A61)</f>
        <v>1</v>
      </c>
      <c r="D61" s="2" t="str" cm="1">
        <f t="array" aca="1" ref="D61" ca="1">INDEX(Data_DBD!$F:$F,$A61)</f>
        <v>Tinggi</v>
      </c>
      <c r="H61" s="17">
        <v>75</v>
      </c>
      <c r="I61" s="17">
        <v>2</v>
      </c>
      <c r="J61" s="17">
        <v>1</v>
      </c>
      <c r="K61" s="17" t="s">
        <v>7</v>
      </c>
    </row>
    <row r="62" spans="1:11">
      <c r="A62" s="2">
        <f t="shared" ca="1" si="0"/>
        <v>8</v>
      </c>
      <c r="B62" s="2" cm="1">
        <f t="array" aca="1" ref="B62" ca="1">INDEX(Data_DBD!$C:$C,$A62)</f>
        <v>2</v>
      </c>
      <c r="C62" s="2" cm="1">
        <f t="array" aca="1" ref="C62" ca="1">INDEX(Data_DBD!$E:$E,$A62)</f>
        <v>0</v>
      </c>
      <c r="D62" s="2" t="str" cm="1">
        <f t="array" aca="1" ref="D62" ca="1">INDEX(Data_DBD!$F:$F,$A62)</f>
        <v>Sedang</v>
      </c>
      <c r="H62" s="17">
        <v>161</v>
      </c>
      <c r="I62" s="17">
        <v>3</v>
      </c>
      <c r="J62" s="17">
        <v>1</v>
      </c>
      <c r="K62" s="17" t="s">
        <v>97</v>
      </c>
    </row>
    <row r="63" spans="1:11">
      <c r="A63" s="2">
        <f t="shared" ca="1" si="0"/>
        <v>91</v>
      </c>
      <c r="B63" s="2" cm="1">
        <f t="array" aca="1" ref="B63" ca="1">INDEX(Data_DBD!$C:$C,$A63)</f>
        <v>1</v>
      </c>
      <c r="C63" s="2" cm="1">
        <f t="array" aca="1" ref="C63" ca="1">INDEX(Data_DBD!$E:$E,$A63)</f>
        <v>1</v>
      </c>
      <c r="D63" s="2" t="str" cm="1">
        <f t="array" aca="1" ref="D63" ca="1">INDEX(Data_DBD!$F:$F,$A63)</f>
        <v>Tinggi</v>
      </c>
      <c r="H63" s="17">
        <v>134</v>
      </c>
      <c r="I63" s="17">
        <v>2</v>
      </c>
      <c r="J63" s="17">
        <v>1</v>
      </c>
      <c r="K63" s="17" t="s">
        <v>97</v>
      </c>
    </row>
    <row r="64" spans="1:11">
      <c r="A64" s="2">
        <f t="shared" ca="1" si="0"/>
        <v>152</v>
      </c>
      <c r="B64" s="2" cm="1">
        <f t="array" aca="1" ref="B64" ca="1">INDEX(Data_DBD!$C:$C,$A64)</f>
        <v>3</v>
      </c>
      <c r="C64" s="2" cm="1">
        <f t="array" aca="1" ref="C64" ca="1">INDEX(Data_DBD!$E:$E,$A64)</f>
        <v>1</v>
      </c>
      <c r="D64" s="2" t="str" cm="1">
        <f t="array" aca="1" ref="D64" ca="1">INDEX(Data_DBD!$F:$F,$A64)</f>
        <v>Tinggi</v>
      </c>
      <c r="H64" s="17">
        <v>143</v>
      </c>
      <c r="I64" s="17">
        <v>4</v>
      </c>
      <c r="J64" s="17">
        <v>1</v>
      </c>
      <c r="K64" s="17" t="s">
        <v>97</v>
      </c>
    </row>
    <row r="65" spans="1:11">
      <c r="A65" s="2">
        <f t="shared" ca="1" si="0"/>
        <v>110</v>
      </c>
      <c r="B65" s="2" cm="1">
        <f t="array" aca="1" ref="B65" ca="1">INDEX(Data_DBD!$C:$C,$A65)</f>
        <v>2</v>
      </c>
      <c r="C65" s="2" cm="1">
        <f t="array" aca="1" ref="C65" ca="1">INDEX(Data_DBD!$E:$E,$A65)</f>
        <v>1</v>
      </c>
      <c r="D65" s="2" t="str" cm="1">
        <f t="array" aca="1" ref="D65" ca="1">INDEX(Data_DBD!$F:$F,$A65)</f>
        <v>Tinggi</v>
      </c>
      <c r="H65" s="17">
        <v>67</v>
      </c>
      <c r="I65" s="17">
        <v>3</v>
      </c>
      <c r="J65" s="17">
        <v>1</v>
      </c>
      <c r="K65" s="17" t="s">
        <v>7</v>
      </c>
    </row>
    <row r="66" spans="1:11">
      <c r="A66" s="2">
        <f t="shared" ca="1" si="0"/>
        <v>102</v>
      </c>
      <c r="B66" s="2" cm="1">
        <f t="array" aca="1" ref="B66" ca="1">INDEX(Data_DBD!$C:$C,$A66)</f>
        <v>4</v>
      </c>
      <c r="C66" s="2" cm="1">
        <f t="array" aca="1" ref="C66" ca="1">INDEX(Data_DBD!$E:$E,$A66)</f>
        <v>0</v>
      </c>
      <c r="D66" s="2" t="str" cm="1">
        <f t="array" aca="1" ref="D66" ca="1">INDEX(Data_DBD!$F:$F,$A66)</f>
        <v>Tinggi</v>
      </c>
      <c r="H66" s="17">
        <v>68</v>
      </c>
      <c r="I66" s="17">
        <v>5</v>
      </c>
      <c r="J66" s="17">
        <v>0</v>
      </c>
      <c r="K66" s="17" t="s">
        <v>7</v>
      </c>
    </row>
    <row r="67" spans="1:11">
      <c r="A67" s="2">
        <f t="shared" ref="A67:A130" ca="1" si="1">RANDBETWEEN(2,164)</f>
        <v>119</v>
      </c>
      <c r="B67" s="2" cm="1">
        <f t="array" aca="1" ref="B67" ca="1">INDEX(Data_DBD!$C:$C,$A67)</f>
        <v>7</v>
      </c>
      <c r="C67" s="2" cm="1">
        <f t="array" aca="1" ref="C67" ca="1">INDEX(Data_DBD!$E:$E,$A67)</f>
        <v>0</v>
      </c>
      <c r="D67" s="2" t="str" cm="1">
        <f t="array" aca="1" ref="D67" ca="1">INDEX(Data_DBD!$F:$F,$A67)</f>
        <v>Tinggi</v>
      </c>
      <c r="H67" s="17">
        <v>76</v>
      </c>
      <c r="I67" s="17">
        <v>2</v>
      </c>
      <c r="J67" s="17">
        <v>0</v>
      </c>
      <c r="K67" s="17" t="s">
        <v>7</v>
      </c>
    </row>
    <row r="68" spans="1:11">
      <c r="A68" s="2">
        <f t="shared" ca="1" si="1"/>
        <v>102</v>
      </c>
      <c r="B68" s="2" cm="1">
        <f t="array" aca="1" ref="B68" ca="1">INDEX(Data_DBD!$C:$C,$A68)</f>
        <v>4</v>
      </c>
      <c r="C68" s="2" cm="1">
        <f t="array" aca="1" ref="C68" ca="1">INDEX(Data_DBD!$E:$E,$A68)</f>
        <v>0</v>
      </c>
      <c r="D68" s="2" t="str" cm="1">
        <f t="array" aca="1" ref="D68" ca="1">INDEX(Data_DBD!$F:$F,$A68)</f>
        <v>Tinggi</v>
      </c>
      <c r="H68" s="17">
        <v>95</v>
      </c>
      <c r="I68" s="17">
        <v>3</v>
      </c>
      <c r="J68" s="17">
        <v>1</v>
      </c>
      <c r="K68" s="17" t="s">
        <v>97</v>
      </c>
    </row>
    <row r="69" spans="1:11">
      <c r="A69" s="2">
        <f t="shared" ca="1" si="1"/>
        <v>71</v>
      </c>
      <c r="B69" s="2" cm="1">
        <f t="array" aca="1" ref="B69" ca="1">INDEX(Data_DBD!$C:$C,$A69)</f>
        <v>3</v>
      </c>
      <c r="C69" s="2" cm="1">
        <f t="array" aca="1" ref="C69" ca="1">INDEX(Data_DBD!$E:$E,$A69)</f>
        <v>0</v>
      </c>
      <c r="D69" s="2" t="str" cm="1">
        <f t="array" aca="1" ref="D69" ca="1">INDEX(Data_DBD!$F:$F,$A69)</f>
        <v>Sedang</v>
      </c>
      <c r="H69" s="17">
        <v>37</v>
      </c>
      <c r="I69" s="17">
        <v>4</v>
      </c>
      <c r="J69" s="17">
        <v>1</v>
      </c>
      <c r="K69" s="17" t="s">
        <v>20</v>
      </c>
    </row>
    <row r="70" spans="1:11">
      <c r="A70" s="2">
        <f t="shared" ca="1" si="1"/>
        <v>148</v>
      </c>
      <c r="B70" s="2" cm="1">
        <f t="array" aca="1" ref="B70" ca="1">INDEX(Data_DBD!$C:$C,$A70)</f>
        <v>3</v>
      </c>
      <c r="C70" s="2" cm="1">
        <f t="array" aca="1" ref="C70" ca="1">INDEX(Data_DBD!$E:$E,$A70)</f>
        <v>1</v>
      </c>
      <c r="D70" s="2" t="str" cm="1">
        <f t="array" aca="1" ref="D70" ca="1">INDEX(Data_DBD!$F:$F,$A70)</f>
        <v>Tinggi</v>
      </c>
      <c r="H70" s="17">
        <v>80</v>
      </c>
      <c r="I70" s="17">
        <v>3</v>
      </c>
      <c r="J70" s="17">
        <v>1</v>
      </c>
      <c r="K70" s="17" t="s">
        <v>7</v>
      </c>
    </row>
    <row r="71" spans="1:11">
      <c r="A71" s="2">
        <f t="shared" ca="1" si="1"/>
        <v>157</v>
      </c>
      <c r="B71" s="2" cm="1">
        <f t="array" aca="1" ref="B71" ca="1">INDEX(Data_DBD!$C:$C,$A71)</f>
        <v>4</v>
      </c>
      <c r="C71" s="2" cm="1">
        <f t="array" aca="1" ref="C71" ca="1">INDEX(Data_DBD!$E:$E,$A71)</f>
        <v>1</v>
      </c>
      <c r="D71" s="2" t="str" cm="1">
        <f t="array" aca="1" ref="D71" ca="1">INDEX(Data_DBD!$F:$F,$A71)</f>
        <v>Tinggi</v>
      </c>
      <c r="H71" s="17">
        <v>84</v>
      </c>
      <c r="I71" s="17">
        <v>4</v>
      </c>
      <c r="J71" s="17">
        <v>1</v>
      </c>
      <c r="K71" s="17" t="s">
        <v>7</v>
      </c>
    </row>
    <row r="72" spans="1:11">
      <c r="A72" s="2">
        <f t="shared" ca="1" si="1"/>
        <v>97</v>
      </c>
      <c r="B72" s="2" cm="1">
        <f t="array" aca="1" ref="B72" ca="1">INDEX(Data_DBD!$C:$C,$A72)</f>
        <v>2</v>
      </c>
      <c r="C72" s="2" cm="1">
        <f t="array" aca="1" ref="C72" ca="1">INDEX(Data_DBD!$E:$E,$A72)</f>
        <v>1</v>
      </c>
      <c r="D72" s="2" t="str" cm="1">
        <f t="array" aca="1" ref="D72" ca="1">INDEX(Data_DBD!$F:$F,$A72)</f>
        <v>Tinggi</v>
      </c>
      <c r="H72" s="17">
        <v>100</v>
      </c>
      <c r="I72" s="17">
        <v>6</v>
      </c>
      <c r="J72" s="17">
        <v>0</v>
      </c>
      <c r="K72" s="17" t="s">
        <v>97</v>
      </c>
    </row>
    <row r="73" spans="1:11">
      <c r="A73" s="2">
        <f t="shared" ca="1" si="1"/>
        <v>162</v>
      </c>
      <c r="B73" s="2" cm="1">
        <f t="array" aca="1" ref="B73" ca="1">INDEX(Data_DBD!$C:$C,$A73)</f>
        <v>3</v>
      </c>
      <c r="C73" s="2" cm="1">
        <f t="array" aca="1" ref="C73" ca="1">INDEX(Data_DBD!$E:$E,$A73)</f>
        <v>1</v>
      </c>
      <c r="D73" s="2" t="str" cm="1">
        <f t="array" aca="1" ref="D73" ca="1">INDEX(Data_DBD!$F:$F,$A73)</f>
        <v>Rendah</v>
      </c>
      <c r="H73" s="17">
        <v>146</v>
      </c>
      <c r="I73" s="17">
        <v>2</v>
      </c>
      <c r="J73" s="17">
        <v>1</v>
      </c>
      <c r="K73" s="17" t="s">
        <v>97</v>
      </c>
    </row>
    <row r="74" spans="1:11">
      <c r="A74" s="2">
        <f t="shared" ca="1" si="1"/>
        <v>100</v>
      </c>
      <c r="B74" s="2" cm="1">
        <f t="array" aca="1" ref="B74" ca="1">INDEX(Data_DBD!$C:$C,$A74)</f>
        <v>6</v>
      </c>
      <c r="C74" s="2" cm="1">
        <f t="array" aca="1" ref="C74" ca="1">INDEX(Data_DBD!$E:$E,$A74)</f>
        <v>0</v>
      </c>
      <c r="D74" s="2" t="str" cm="1">
        <f t="array" aca="1" ref="D74" ca="1">INDEX(Data_DBD!$F:$F,$A74)</f>
        <v>Tinggi</v>
      </c>
      <c r="H74" s="17">
        <v>143</v>
      </c>
      <c r="I74" s="17">
        <v>4</v>
      </c>
      <c r="J74" s="17">
        <v>1</v>
      </c>
      <c r="K74" s="17" t="s">
        <v>97</v>
      </c>
    </row>
    <row r="75" spans="1:11">
      <c r="A75" s="2">
        <f t="shared" ca="1" si="1"/>
        <v>147</v>
      </c>
      <c r="B75" s="2" cm="1">
        <f t="array" aca="1" ref="B75" ca="1">INDEX(Data_DBD!$C:$C,$A75)</f>
        <v>10</v>
      </c>
      <c r="C75" s="2" cm="1">
        <f t="array" aca="1" ref="C75" ca="1">INDEX(Data_DBD!$E:$E,$A75)</f>
        <v>1</v>
      </c>
      <c r="D75" s="2" t="str" cm="1">
        <f t="array" aca="1" ref="D75" ca="1">INDEX(Data_DBD!$F:$F,$A75)</f>
        <v>Tinggi</v>
      </c>
      <c r="H75" s="17">
        <v>89</v>
      </c>
      <c r="I75" s="17">
        <v>4</v>
      </c>
      <c r="J75" s="17">
        <v>0</v>
      </c>
      <c r="K75" s="17" t="s">
        <v>7</v>
      </c>
    </row>
    <row r="76" spans="1:11">
      <c r="A76" s="2">
        <f t="shared" ca="1" si="1"/>
        <v>111</v>
      </c>
      <c r="B76" s="2" cm="1">
        <f t="array" aca="1" ref="B76" ca="1">INDEX(Data_DBD!$C:$C,$A76)</f>
        <v>4</v>
      </c>
      <c r="C76" s="2" cm="1">
        <f t="array" aca="1" ref="C76" ca="1">INDEX(Data_DBD!$E:$E,$A76)</f>
        <v>0</v>
      </c>
      <c r="D76" s="2" t="str" cm="1">
        <f t="array" aca="1" ref="D76" ca="1">INDEX(Data_DBD!$F:$F,$A76)</f>
        <v>Tinggi</v>
      </c>
      <c r="H76" s="17">
        <v>59</v>
      </c>
      <c r="I76" s="17">
        <v>4</v>
      </c>
      <c r="J76" s="17">
        <v>0</v>
      </c>
      <c r="K76" s="17" t="s">
        <v>7</v>
      </c>
    </row>
    <row r="77" spans="1:11">
      <c r="A77" s="2">
        <f t="shared" ca="1" si="1"/>
        <v>148</v>
      </c>
      <c r="B77" s="2" cm="1">
        <f t="array" aca="1" ref="B77" ca="1">INDEX(Data_DBD!$C:$C,$A77)</f>
        <v>3</v>
      </c>
      <c r="C77" s="2" cm="1">
        <f t="array" aca="1" ref="C77" ca="1">INDEX(Data_DBD!$E:$E,$A77)</f>
        <v>1</v>
      </c>
      <c r="D77" s="2" t="str" cm="1">
        <f t="array" aca="1" ref="D77" ca="1">INDEX(Data_DBD!$F:$F,$A77)</f>
        <v>Tinggi</v>
      </c>
      <c r="H77" s="17">
        <v>144</v>
      </c>
      <c r="I77" s="17">
        <v>4</v>
      </c>
      <c r="J77" s="17">
        <v>1</v>
      </c>
      <c r="K77" s="17" t="s">
        <v>97</v>
      </c>
    </row>
    <row r="78" spans="1:11">
      <c r="A78" s="2">
        <f t="shared" ca="1" si="1"/>
        <v>24</v>
      </c>
      <c r="B78" s="2" cm="1">
        <f t="array" aca="1" ref="B78" ca="1">INDEX(Data_DBD!$C:$C,$A78)</f>
        <v>4</v>
      </c>
      <c r="C78" s="2" cm="1">
        <f t="array" aca="1" ref="C78" ca="1">INDEX(Data_DBD!$E:$E,$A78)</f>
        <v>0</v>
      </c>
      <c r="D78" s="2" t="str" cm="1">
        <f t="array" aca="1" ref="D78" ca="1">INDEX(Data_DBD!$F:$F,$A78)</f>
        <v>Sedang</v>
      </c>
      <c r="H78" s="17">
        <v>110</v>
      </c>
      <c r="I78" s="17">
        <v>2</v>
      </c>
      <c r="J78" s="17">
        <v>1</v>
      </c>
      <c r="K78" s="17" t="s">
        <v>97</v>
      </c>
    </row>
    <row r="79" spans="1:11">
      <c r="A79" s="2">
        <f t="shared" ca="1" si="1"/>
        <v>35</v>
      </c>
      <c r="B79" s="2" cm="1">
        <f t="array" aca="1" ref="B79" ca="1">INDEX(Data_DBD!$C:$C,$A79)</f>
        <v>3</v>
      </c>
      <c r="C79" s="2" cm="1">
        <f t="array" aca="1" ref="C79" ca="1">INDEX(Data_DBD!$E:$E,$A79)</f>
        <v>1</v>
      </c>
      <c r="D79" s="2" t="str" cm="1">
        <f t="array" aca="1" ref="D79" ca="1">INDEX(Data_DBD!$F:$F,$A79)</f>
        <v>Rendah</v>
      </c>
      <c r="H79" s="17">
        <v>59</v>
      </c>
      <c r="I79" s="17">
        <v>4</v>
      </c>
      <c r="J79" s="17">
        <v>0</v>
      </c>
      <c r="K79" s="17" t="s">
        <v>7</v>
      </c>
    </row>
    <row r="80" spans="1:11">
      <c r="A80" s="2">
        <f t="shared" ca="1" si="1"/>
        <v>36</v>
      </c>
      <c r="B80" s="2" cm="1">
        <f t="array" aca="1" ref="B80" ca="1">INDEX(Data_DBD!$C:$C,$A80)</f>
        <v>1</v>
      </c>
      <c r="C80" s="2" cm="1">
        <f t="array" aca="1" ref="C80" ca="1">INDEX(Data_DBD!$E:$E,$A80)</f>
        <v>1</v>
      </c>
      <c r="D80" s="2" t="str" cm="1">
        <f t="array" aca="1" ref="D80" ca="1">INDEX(Data_DBD!$F:$F,$A80)</f>
        <v>Rendah</v>
      </c>
      <c r="H80" s="17">
        <v>72</v>
      </c>
      <c r="I80" s="17">
        <v>5</v>
      </c>
      <c r="J80" s="17">
        <v>1</v>
      </c>
      <c r="K80" s="17" t="s">
        <v>7</v>
      </c>
    </row>
    <row r="81" spans="1:11">
      <c r="A81" s="2">
        <f t="shared" ca="1" si="1"/>
        <v>85</v>
      </c>
      <c r="B81" s="2" cm="1">
        <f t="array" aca="1" ref="B81" ca="1">INDEX(Data_DBD!$C:$C,$A81)</f>
        <v>9</v>
      </c>
      <c r="C81" s="2" cm="1">
        <f t="array" aca="1" ref="C81" ca="1">INDEX(Data_DBD!$E:$E,$A81)</f>
        <v>0</v>
      </c>
      <c r="D81" s="2" t="str" cm="1">
        <f t="array" aca="1" ref="D81" ca="1">INDEX(Data_DBD!$F:$F,$A81)</f>
        <v>Sedang</v>
      </c>
      <c r="H81" s="17">
        <v>113</v>
      </c>
      <c r="I81" s="17">
        <v>1</v>
      </c>
      <c r="J81" s="17">
        <v>1</v>
      </c>
      <c r="K81" s="17" t="s">
        <v>97</v>
      </c>
    </row>
    <row r="82" spans="1:11">
      <c r="A82" s="2">
        <f t="shared" ca="1" si="1"/>
        <v>44</v>
      </c>
      <c r="B82" s="2" cm="1">
        <f t="array" aca="1" ref="B82" ca="1">INDEX(Data_DBD!$C:$C,$A82)</f>
        <v>5</v>
      </c>
      <c r="C82" s="2" cm="1">
        <f t="array" aca="1" ref="C82" ca="1">INDEX(Data_DBD!$E:$E,$A82)</f>
        <v>1</v>
      </c>
      <c r="D82" s="2" t="str" cm="1">
        <f t="array" aca="1" ref="D82" ca="1">INDEX(Data_DBD!$F:$F,$A82)</f>
        <v>Sedang</v>
      </c>
      <c r="H82" s="17">
        <v>92</v>
      </c>
      <c r="I82" s="17">
        <v>7</v>
      </c>
      <c r="J82" s="17">
        <v>0</v>
      </c>
      <c r="K82" s="17" t="s">
        <v>97</v>
      </c>
    </row>
    <row r="83" spans="1:11">
      <c r="A83" s="2">
        <f t="shared" ca="1" si="1"/>
        <v>149</v>
      </c>
      <c r="B83" s="2" cm="1">
        <f t="array" aca="1" ref="B83" ca="1">INDEX(Data_DBD!$C:$C,$A83)</f>
        <v>5</v>
      </c>
      <c r="C83" s="2" cm="1">
        <f t="array" aca="1" ref="C83" ca="1">INDEX(Data_DBD!$E:$E,$A83)</f>
        <v>0</v>
      </c>
      <c r="D83" s="2" t="str" cm="1">
        <f t="array" aca="1" ref="D83" ca="1">INDEX(Data_DBD!$F:$F,$A83)</f>
        <v>Tinggi</v>
      </c>
      <c r="H83" s="17">
        <v>73</v>
      </c>
      <c r="I83" s="17">
        <v>3</v>
      </c>
      <c r="J83" s="17">
        <v>1</v>
      </c>
      <c r="K83" s="17" t="s">
        <v>7</v>
      </c>
    </row>
    <row r="84" spans="1:11">
      <c r="A84" s="2">
        <f t="shared" ca="1" si="1"/>
        <v>116</v>
      </c>
      <c r="B84" s="2" cm="1">
        <f t="array" aca="1" ref="B84" ca="1">INDEX(Data_DBD!$C:$C,$A84)</f>
        <v>4</v>
      </c>
      <c r="C84" s="2" cm="1">
        <f t="array" aca="1" ref="C84" ca="1">INDEX(Data_DBD!$E:$E,$A84)</f>
        <v>1</v>
      </c>
      <c r="D84" s="2" t="str" cm="1">
        <f t="array" aca="1" ref="D84" ca="1">INDEX(Data_DBD!$F:$F,$A84)</f>
        <v>Tinggi</v>
      </c>
      <c r="H84" s="17">
        <v>22</v>
      </c>
      <c r="I84" s="17">
        <v>3</v>
      </c>
      <c r="J84" s="17">
        <v>0</v>
      </c>
      <c r="K84" s="17" t="s">
        <v>7</v>
      </c>
    </row>
    <row r="85" spans="1:11">
      <c r="A85" s="2">
        <f t="shared" ca="1" si="1"/>
        <v>44</v>
      </c>
      <c r="B85" s="2" cm="1">
        <f t="array" aca="1" ref="B85" ca="1">INDEX(Data_DBD!$C:$C,$A85)</f>
        <v>5</v>
      </c>
      <c r="C85" s="2" cm="1">
        <f t="array" aca="1" ref="C85" ca="1">INDEX(Data_DBD!$E:$E,$A85)</f>
        <v>1</v>
      </c>
      <c r="D85" s="2" t="str" cm="1">
        <f t="array" aca="1" ref="D85" ca="1">INDEX(Data_DBD!$F:$F,$A85)</f>
        <v>Sedang</v>
      </c>
      <c r="H85" s="17">
        <v>18</v>
      </c>
      <c r="I85" s="17">
        <v>4</v>
      </c>
      <c r="J85" s="17">
        <v>1</v>
      </c>
      <c r="K85" s="17" t="s">
        <v>20</v>
      </c>
    </row>
    <row r="86" spans="1:11">
      <c r="A86" s="2">
        <f t="shared" ca="1" si="1"/>
        <v>85</v>
      </c>
      <c r="B86" s="2" cm="1">
        <f t="array" aca="1" ref="B86" ca="1">INDEX(Data_DBD!$C:$C,$A86)</f>
        <v>9</v>
      </c>
      <c r="C86" s="2" cm="1">
        <f t="array" aca="1" ref="C86" ca="1">INDEX(Data_DBD!$E:$E,$A86)</f>
        <v>0</v>
      </c>
      <c r="D86" s="2" t="str" cm="1">
        <f t="array" aca="1" ref="D86" ca="1">INDEX(Data_DBD!$F:$F,$A86)</f>
        <v>Sedang</v>
      </c>
      <c r="H86" s="17">
        <v>49</v>
      </c>
      <c r="I86" s="17">
        <v>5</v>
      </c>
      <c r="J86" s="17">
        <v>0</v>
      </c>
      <c r="K86" s="17" t="s">
        <v>7</v>
      </c>
    </row>
    <row r="87" spans="1:11">
      <c r="A87" s="2">
        <f t="shared" ca="1" si="1"/>
        <v>81</v>
      </c>
      <c r="B87" s="2" cm="1">
        <f t="array" aca="1" ref="B87" ca="1">INDEX(Data_DBD!$C:$C,$A87)</f>
        <v>5</v>
      </c>
      <c r="C87" s="2" cm="1">
        <f t="array" aca="1" ref="C87" ca="1">INDEX(Data_DBD!$E:$E,$A87)</f>
        <v>1</v>
      </c>
      <c r="D87" s="2" t="str" cm="1">
        <f t="array" aca="1" ref="D87" ca="1">INDEX(Data_DBD!$F:$F,$A87)</f>
        <v>Sedang</v>
      </c>
      <c r="H87" s="17">
        <v>104</v>
      </c>
      <c r="I87" s="17">
        <v>4</v>
      </c>
      <c r="J87" s="17">
        <v>1</v>
      </c>
      <c r="K87" s="17" t="s">
        <v>97</v>
      </c>
    </row>
    <row r="88" spans="1:11">
      <c r="A88" s="2">
        <f t="shared" ca="1" si="1"/>
        <v>64</v>
      </c>
      <c r="B88" s="2" cm="1">
        <f t="array" aca="1" ref="B88" ca="1">INDEX(Data_DBD!$C:$C,$A88)</f>
        <v>1</v>
      </c>
      <c r="C88" s="2" cm="1">
        <f t="array" aca="1" ref="C88" ca="1">INDEX(Data_DBD!$E:$E,$A88)</f>
        <v>0</v>
      </c>
      <c r="D88" s="2" t="str" cm="1">
        <f t="array" aca="1" ref="D88" ca="1">INDEX(Data_DBD!$F:$F,$A88)</f>
        <v>Sedang</v>
      </c>
      <c r="H88" s="17">
        <v>116</v>
      </c>
      <c r="I88" s="17">
        <v>4</v>
      </c>
      <c r="J88" s="17">
        <v>1</v>
      </c>
      <c r="K88" s="17" t="s">
        <v>97</v>
      </c>
    </row>
    <row r="89" spans="1:11">
      <c r="A89" s="2">
        <f t="shared" ca="1" si="1"/>
        <v>10</v>
      </c>
      <c r="B89" s="2" cm="1">
        <f t="array" aca="1" ref="B89" ca="1">INDEX(Data_DBD!$C:$C,$A89)</f>
        <v>5</v>
      </c>
      <c r="C89" s="2" cm="1">
        <f t="array" aca="1" ref="C89" ca="1">INDEX(Data_DBD!$E:$E,$A89)</f>
        <v>0</v>
      </c>
      <c r="D89" s="2" t="str" cm="1">
        <f t="array" aca="1" ref="D89" ca="1">INDEX(Data_DBD!$F:$F,$A89)</f>
        <v>Sedang</v>
      </c>
      <c r="H89" s="17">
        <v>63</v>
      </c>
      <c r="I89" s="17">
        <v>3</v>
      </c>
      <c r="J89" s="17">
        <v>0</v>
      </c>
      <c r="K89" s="17" t="s">
        <v>7</v>
      </c>
    </row>
    <row r="90" spans="1:11">
      <c r="A90" s="2">
        <f t="shared" ca="1" si="1"/>
        <v>28</v>
      </c>
      <c r="B90" s="2" cm="1">
        <f t="array" aca="1" ref="B90" ca="1">INDEX(Data_DBD!$C:$C,$A90)</f>
        <v>2</v>
      </c>
      <c r="C90" s="2" cm="1">
        <f t="array" aca="1" ref="C90" ca="1">INDEX(Data_DBD!$E:$E,$A90)</f>
        <v>1</v>
      </c>
      <c r="D90" s="2" t="str" cm="1">
        <f t="array" aca="1" ref="D90" ca="1">INDEX(Data_DBD!$F:$F,$A90)</f>
        <v>Sedang</v>
      </c>
      <c r="H90" s="17">
        <v>125</v>
      </c>
      <c r="I90" s="17">
        <v>4</v>
      </c>
      <c r="J90" s="17">
        <v>0</v>
      </c>
      <c r="K90" s="17" t="s">
        <v>97</v>
      </c>
    </row>
    <row r="91" spans="1:11">
      <c r="A91" s="2">
        <f t="shared" ca="1" si="1"/>
        <v>127</v>
      </c>
      <c r="B91" s="2" cm="1">
        <f t="array" aca="1" ref="B91" ca="1">INDEX(Data_DBD!$C:$C,$A91)</f>
        <v>2</v>
      </c>
      <c r="C91" s="2" cm="1">
        <f t="array" aca="1" ref="C91" ca="1">INDEX(Data_DBD!$E:$E,$A91)</f>
        <v>0</v>
      </c>
      <c r="D91" s="2" t="str" cm="1">
        <f t="array" aca="1" ref="D91" ca="1">INDEX(Data_DBD!$F:$F,$A91)</f>
        <v>Tinggi</v>
      </c>
      <c r="H91" s="17">
        <v>73</v>
      </c>
      <c r="I91" s="17">
        <v>3</v>
      </c>
      <c r="J91" s="17">
        <v>1</v>
      </c>
      <c r="K91" s="17" t="s">
        <v>7</v>
      </c>
    </row>
    <row r="92" spans="1:11">
      <c r="A92" s="2">
        <f t="shared" ca="1" si="1"/>
        <v>13</v>
      </c>
      <c r="B92" s="2" cm="1">
        <f t="array" aca="1" ref="B92" ca="1">INDEX(Data_DBD!$C:$C,$A92)</f>
        <v>2</v>
      </c>
      <c r="C92" s="2" cm="1">
        <f t="array" aca="1" ref="C92" ca="1">INDEX(Data_DBD!$E:$E,$A92)</f>
        <v>0</v>
      </c>
      <c r="D92" s="2" t="str" cm="1">
        <f t="array" aca="1" ref="D92" ca="1">INDEX(Data_DBD!$F:$F,$A92)</f>
        <v>Sedang</v>
      </c>
      <c r="H92" s="17">
        <v>25</v>
      </c>
      <c r="I92" s="17">
        <v>5</v>
      </c>
      <c r="J92" s="17">
        <v>0</v>
      </c>
      <c r="K92" s="17" t="s">
        <v>7</v>
      </c>
    </row>
    <row r="93" spans="1:11">
      <c r="A93" s="2">
        <f t="shared" ca="1" si="1"/>
        <v>121</v>
      </c>
      <c r="B93" s="2" cm="1">
        <f t="array" aca="1" ref="B93" ca="1">INDEX(Data_DBD!$C:$C,$A93)</f>
        <v>5</v>
      </c>
      <c r="C93" s="2" cm="1">
        <f t="array" aca="1" ref="C93" ca="1">INDEX(Data_DBD!$E:$E,$A93)</f>
        <v>1</v>
      </c>
      <c r="D93" s="2" t="str" cm="1">
        <f t="array" aca="1" ref="D93" ca="1">INDEX(Data_DBD!$F:$F,$A93)</f>
        <v>Tinggi</v>
      </c>
      <c r="H93" s="17">
        <v>148</v>
      </c>
      <c r="I93" s="17">
        <v>3</v>
      </c>
      <c r="J93" s="17">
        <v>1</v>
      </c>
      <c r="K93" s="17" t="s">
        <v>97</v>
      </c>
    </row>
    <row r="94" spans="1:11">
      <c r="A94" s="2">
        <f t="shared" ca="1" si="1"/>
        <v>162</v>
      </c>
      <c r="B94" s="2" cm="1">
        <f t="array" aca="1" ref="B94" ca="1">INDEX(Data_DBD!$C:$C,$A94)</f>
        <v>3</v>
      </c>
      <c r="C94" s="2" cm="1">
        <f t="array" aca="1" ref="C94" ca="1">INDEX(Data_DBD!$E:$E,$A94)</f>
        <v>1</v>
      </c>
      <c r="D94" s="2" t="str" cm="1">
        <f t="array" aca="1" ref="D94" ca="1">INDEX(Data_DBD!$F:$F,$A94)</f>
        <v>Rendah</v>
      </c>
      <c r="H94" s="17">
        <v>39</v>
      </c>
      <c r="I94" s="17">
        <v>5</v>
      </c>
      <c r="J94" s="17">
        <v>1</v>
      </c>
      <c r="K94" s="17" t="s">
        <v>7</v>
      </c>
    </row>
    <row r="95" spans="1:11">
      <c r="A95" s="2">
        <f t="shared" ca="1" si="1"/>
        <v>134</v>
      </c>
      <c r="B95" s="2" cm="1">
        <f t="array" aca="1" ref="B95" ca="1">INDEX(Data_DBD!$C:$C,$A95)</f>
        <v>2</v>
      </c>
      <c r="C95" s="2" cm="1">
        <f t="array" aca="1" ref="C95" ca="1">INDEX(Data_DBD!$E:$E,$A95)</f>
        <v>1</v>
      </c>
      <c r="D95" s="2" t="str" cm="1">
        <f t="array" aca="1" ref="D95" ca="1">INDEX(Data_DBD!$F:$F,$A95)</f>
        <v>Tinggi</v>
      </c>
      <c r="H95" s="17">
        <v>36</v>
      </c>
      <c r="I95" s="17">
        <v>1</v>
      </c>
      <c r="J95" s="17">
        <v>1</v>
      </c>
      <c r="K95" s="17" t="s">
        <v>20</v>
      </c>
    </row>
    <row r="96" spans="1:11">
      <c r="A96" s="2">
        <f t="shared" ca="1" si="1"/>
        <v>156</v>
      </c>
      <c r="B96" s="2" cm="1">
        <f t="array" aca="1" ref="B96" ca="1">INDEX(Data_DBD!$C:$C,$A96)</f>
        <v>2</v>
      </c>
      <c r="C96" s="2" cm="1">
        <f t="array" aca="1" ref="C96" ca="1">INDEX(Data_DBD!$E:$E,$A96)</f>
        <v>0</v>
      </c>
      <c r="D96" s="2" t="str" cm="1">
        <f t="array" aca="1" ref="D96" ca="1">INDEX(Data_DBD!$F:$F,$A96)</f>
        <v>Tinggi</v>
      </c>
      <c r="H96" s="17">
        <v>111</v>
      </c>
      <c r="I96" s="17">
        <v>4</v>
      </c>
      <c r="J96" s="17">
        <v>0</v>
      </c>
      <c r="K96" s="17" t="s">
        <v>97</v>
      </c>
    </row>
    <row r="97" spans="1:11">
      <c r="A97" s="2">
        <f t="shared" ca="1" si="1"/>
        <v>11</v>
      </c>
      <c r="B97" s="2" cm="1">
        <f t="array" aca="1" ref="B97" ca="1">INDEX(Data_DBD!$C:$C,$A97)</f>
        <v>5</v>
      </c>
      <c r="C97" s="2" cm="1">
        <f t="array" aca="1" ref="C97" ca="1">INDEX(Data_DBD!$E:$E,$A97)</f>
        <v>1</v>
      </c>
      <c r="D97" s="2" t="str" cm="1">
        <f t="array" aca="1" ref="D97" ca="1">INDEX(Data_DBD!$F:$F,$A97)</f>
        <v>Sedang</v>
      </c>
      <c r="H97" s="17">
        <v>57</v>
      </c>
      <c r="I97" s="17">
        <v>2</v>
      </c>
      <c r="J97" s="17">
        <v>1</v>
      </c>
      <c r="K97" s="17" t="s">
        <v>7</v>
      </c>
    </row>
    <row r="98" spans="1:11">
      <c r="A98" s="2">
        <f t="shared" ca="1" si="1"/>
        <v>147</v>
      </c>
      <c r="B98" s="2" cm="1">
        <f t="array" aca="1" ref="B98" ca="1">INDEX(Data_DBD!$C:$C,$A98)</f>
        <v>10</v>
      </c>
      <c r="C98" s="2" cm="1">
        <f t="array" aca="1" ref="C98" ca="1">INDEX(Data_DBD!$E:$E,$A98)</f>
        <v>1</v>
      </c>
      <c r="D98" s="2" t="str" cm="1">
        <f t="array" aca="1" ref="D98" ca="1">INDEX(Data_DBD!$F:$F,$A98)</f>
        <v>Tinggi</v>
      </c>
      <c r="H98" s="17">
        <v>134</v>
      </c>
      <c r="I98" s="17">
        <v>2</v>
      </c>
      <c r="J98" s="17">
        <v>1</v>
      </c>
      <c r="K98" s="17" t="s">
        <v>97</v>
      </c>
    </row>
    <row r="99" spans="1:11">
      <c r="A99" s="2">
        <f t="shared" ca="1" si="1"/>
        <v>83</v>
      </c>
      <c r="B99" s="2" cm="1">
        <f t="array" aca="1" ref="B99" ca="1">INDEX(Data_DBD!$C:$C,$A99)</f>
        <v>3</v>
      </c>
      <c r="C99" s="2" cm="1">
        <f t="array" aca="1" ref="C99" ca="1">INDEX(Data_DBD!$E:$E,$A99)</f>
        <v>0</v>
      </c>
      <c r="D99" s="2" t="str" cm="1">
        <f t="array" aca="1" ref="D99" ca="1">INDEX(Data_DBD!$F:$F,$A99)</f>
        <v>Sedang</v>
      </c>
      <c r="H99" s="17">
        <v>44</v>
      </c>
      <c r="I99" s="17">
        <v>5</v>
      </c>
      <c r="J99" s="17">
        <v>1</v>
      </c>
      <c r="K99" s="17" t="s">
        <v>7</v>
      </c>
    </row>
    <row r="100" spans="1:11">
      <c r="A100" s="2">
        <f t="shared" ca="1" si="1"/>
        <v>40</v>
      </c>
      <c r="B100" s="2" cm="1">
        <f t="array" aca="1" ref="B100" ca="1">INDEX(Data_DBD!$C:$C,$A100)</f>
        <v>3</v>
      </c>
      <c r="C100" s="2" cm="1">
        <f t="array" aca="1" ref="C100" ca="1">INDEX(Data_DBD!$E:$E,$A100)</f>
        <v>1</v>
      </c>
      <c r="D100" s="2" t="str" cm="1">
        <f t="array" aca="1" ref="D100" ca="1">INDEX(Data_DBD!$F:$F,$A100)</f>
        <v>Sedang</v>
      </c>
      <c r="H100" s="17">
        <v>30</v>
      </c>
      <c r="I100" s="17">
        <v>2</v>
      </c>
      <c r="J100" s="17">
        <v>1</v>
      </c>
      <c r="K100" s="17" t="s">
        <v>7</v>
      </c>
    </row>
    <row r="101" spans="1:11">
      <c r="A101" s="2">
        <f t="shared" ca="1" si="1"/>
        <v>72</v>
      </c>
      <c r="B101" s="2" cm="1">
        <f t="array" aca="1" ref="B101" ca="1">INDEX(Data_DBD!$C:$C,$A101)</f>
        <v>5</v>
      </c>
      <c r="C101" s="2" cm="1">
        <f t="array" aca="1" ref="C101" ca="1">INDEX(Data_DBD!$E:$E,$A101)</f>
        <v>1</v>
      </c>
      <c r="D101" s="2" t="str" cm="1">
        <f t="array" aca="1" ref="D101" ca="1">INDEX(Data_DBD!$F:$F,$A101)</f>
        <v>Sedang</v>
      </c>
      <c r="H101" s="17">
        <v>154</v>
      </c>
      <c r="I101" s="17">
        <v>5</v>
      </c>
      <c r="J101" s="17">
        <v>1</v>
      </c>
      <c r="K101" s="17" t="s">
        <v>97</v>
      </c>
    </row>
    <row r="102" spans="1:11">
      <c r="A102" s="2">
        <f t="shared" ca="1" si="1"/>
        <v>140</v>
      </c>
      <c r="B102" s="2" cm="1">
        <f t="array" aca="1" ref="B102" ca="1">INDEX(Data_DBD!$C:$C,$A102)</f>
        <v>5</v>
      </c>
      <c r="C102" s="2" cm="1">
        <f t="array" aca="1" ref="C102" ca="1">INDEX(Data_DBD!$E:$E,$A102)</f>
        <v>1</v>
      </c>
      <c r="D102" s="2" t="str" cm="1">
        <f t="array" aca="1" ref="D102" ca="1">INDEX(Data_DBD!$F:$F,$A102)</f>
        <v>Tinggi</v>
      </c>
      <c r="H102" s="17">
        <v>63</v>
      </c>
      <c r="I102" s="17">
        <v>3</v>
      </c>
      <c r="J102" s="17">
        <v>0</v>
      </c>
      <c r="K102" s="17" t="s">
        <v>7</v>
      </c>
    </row>
    <row r="103" spans="1:11">
      <c r="A103" s="2">
        <f t="shared" ca="1" si="1"/>
        <v>153</v>
      </c>
      <c r="B103" s="2" cm="1">
        <f t="array" aca="1" ref="B103" ca="1">INDEX(Data_DBD!$C:$C,$A103)</f>
        <v>7</v>
      </c>
      <c r="C103" s="2" cm="1">
        <f t="array" aca="1" ref="C103" ca="1">INDEX(Data_DBD!$E:$E,$A103)</f>
        <v>1</v>
      </c>
      <c r="D103" s="2" t="str" cm="1">
        <f t="array" aca="1" ref="D103" ca="1">INDEX(Data_DBD!$F:$F,$A103)</f>
        <v>Tinggi</v>
      </c>
      <c r="H103" s="17">
        <v>158</v>
      </c>
      <c r="I103" s="17">
        <v>2</v>
      </c>
      <c r="J103" s="17">
        <v>0</v>
      </c>
      <c r="K103" s="17" t="s">
        <v>97</v>
      </c>
    </row>
    <row r="104" spans="1:11">
      <c r="A104" s="2">
        <f t="shared" ca="1" si="1"/>
        <v>134</v>
      </c>
      <c r="B104" s="2" cm="1">
        <f t="array" aca="1" ref="B104" ca="1">INDEX(Data_DBD!$C:$C,$A104)</f>
        <v>2</v>
      </c>
      <c r="C104" s="2" cm="1">
        <f t="array" aca="1" ref="C104" ca="1">INDEX(Data_DBD!$E:$E,$A104)</f>
        <v>1</v>
      </c>
      <c r="D104" s="2" t="str" cm="1">
        <f t="array" aca="1" ref="D104" ca="1">INDEX(Data_DBD!$F:$F,$A104)</f>
        <v>Tinggi</v>
      </c>
      <c r="H104" s="17">
        <v>95</v>
      </c>
      <c r="I104" s="17">
        <v>3</v>
      </c>
      <c r="J104" s="17">
        <v>1</v>
      </c>
      <c r="K104" s="17" t="s">
        <v>97</v>
      </c>
    </row>
    <row r="105" spans="1:11">
      <c r="A105" s="2">
        <f t="shared" ca="1" si="1"/>
        <v>161</v>
      </c>
      <c r="B105" s="2" cm="1">
        <f t="array" aca="1" ref="B105" ca="1">INDEX(Data_DBD!$C:$C,$A105)</f>
        <v>3</v>
      </c>
      <c r="C105" s="2" cm="1">
        <f t="array" aca="1" ref="C105" ca="1">INDEX(Data_DBD!$E:$E,$A105)</f>
        <v>1</v>
      </c>
      <c r="D105" s="2" t="str" cm="1">
        <f t="array" aca="1" ref="D105" ca="1">INDEX(Data_DBD!$F:$F,$A105)</f>
        <v>Tinggi</v>
      </c>
      <c r="H105" s="17">
        <v>89</v>
      </c>
      <c r="I105" s="17">
        <v>4</v>
      </c>
      <c r="J105" s="17">
        <v>0</v>
      </c>
      <c r="K105" s="17" t="s">
        <v>7</v>
      </c>
    </row>
    <row r="106" spans="1:11">
      <c r="A106" s="2">
        <f t="shared" ca="1" si="1"/>
        <v>21</v>
      </c>
      <c r="B106" s="2" cm="1">
        <f t="array" aca="1" ref="B106" ca="1">INDEX(Data_DBD!$C:$C,$A106)</f>
        <v>5</v>
      </c>
      <c r="C106" s="2" cm="1">
        <f t="array" aca="1" ref="C106" ca="1">INDEX(Data_DBD!$E:$E,$A106)</f>
        <v>1</v>
      </c>
      <c r="D106" s="2" t="str" cm="1">
        <f t="array" aca="1" ref="D106" ca="1">INDEX(Data_DBD!$F:$F,$A106)</f>
        <v>Sedang</v>
      </c>
      <c r="H106" s="17">
        <v>115</v>
      </c>
      <c r="I106" s="17">
        <v>3</v>
      </c>
      <c r="J106" s="17">
        <v>1</v>
      </c>
      <c r="K106" s="17" t="s">
        <v>97</v>
      </c>
    </row>
    <row r="107" spans="1:11">
      <c r="A107" s="2">
        <f t="shared" ca="1" si="1"/>
        <v>23</v>
      </c>
      <c r="B107" s="2" cm="1">
        <f t="array" aca="1" ref="B107" ca="1">INDEX(Data_DBD!$C:$C,$A107)</f>
        <v>4</v>
      </c>
      <c r="C107" s="2" cm="1">
        <f t="array" aca="1" ref="C107" ca="1">INDEX(Data_DBD!$E:$E,$A107)</f>
        <v>1</v>
      </c>
      <c r="D107" s="2" t="str" cm="1">
        <f t="array" aca="1" ref="D107" ca="1">INDEX(Data_DBD!$F:$F,$A107)</f>
        <v>Sedang</v>
      </c>
      <c r="H107" s="17">
        <v>101</v>
      </c>
      <c r="I107" s="17">
        <v>5</v>
      </c>
      <c r="J107" s="17">
        <v>0</v>
      </c>
      <c r="K107" s="17" t="s">
        <v>97</v>
      </c>
    </row>
    <row r="108" spans="1:11">
      <c r="A108" s="2">
        <f t="shared" ca="1" si="1"/>
        <v>18</v>
      </c>
      <c r="B108" s="2" cm="1">
        <f t="array" aca="1" ref="B108" ca="1">INDEX(Data_DBD!$C:$C,$A108)</f>
        <v>4</v>
      </c>
      <c r="C108" s="2" cm="1">
        <f t="array" aca="1" ref="C108" ca="1">INDEX(Data_DBD!$E:$E,$A108)</f>
        <v>1</v>
      </c>
      <c r="D108" s="2" t="str" cm="1">
        <f t="array" aca="1" ref="D108" ca="1">INDEX(Data_DBD!$F:$F,$A108)</f>
        <v>Rendah</v>
      </c>
      <c r="H108" s="17">
        <v>162</v>
      </c>
      <c r="I108" s="17">
        <v>3</v>
      </c>
      <c r="J108" s="17">
        <v>1</v>
      </c>
      <c r="K108" s="17" t="s">
        <v>20</v>
      </c>
    </row>
    <row r="109" spans="1:11">
      <c r="A109" s="2">
        <f t="shared" ca="1" si="1"/>
        <v>88</v>
      </c>
      <c r="B109" s="2" cm="1">
        <f t="array" aca="1" ref="B109" ca="1">INDEX(Data_DBD!$C:$C,$A109)</f>
        <v>4</v>
      </c>
      <c r="C109" s="2" cm="1">
        <f t="array" aca="1" ref="C109" ca="1">INDEX(Data_DBD!$E:$E,$A109)</f>
        <v>1</v>
      </c>
      <c r="D109" s="2" t="str" cm="1">
        <f t="array" aca="1" ref="D109" ca="1">INDEX(Data_DBD!$F:$F,$A109)</f>
        <v>Sedang</v>
      </c>
      <c r="H109" s="17">
        <v>60</v>
      </c>
      <c r="I109" s="17">
        <v>4</v>
      </c>
      <c r="J109" s="17">
        <v>0</v>
      </c>
      <c r="K109" s="17" t="s">
        <v>7</v>
      </c>
    </row>
    <row r="110" spans="1:11">
      <c r="A110" s="2">
        <f t="shared" ca="1" si="1"/>
        <v>145</v>
      </c>
      <c r="B110" s="2" cm="1">
        <f t="array" aca="1" ref="B110" ca="1">INDEX(Data_DBD!$C:$C,$A110)</f>
        <v>4</v>
      </c>
      <c r="C110" s="2" cm="1">
        <f t="array" aca="1" ref="C110" ca="1">INDEX(Data_DBD!$E:$E,$A110)</f>
        <v>1</v>
      </c>
      <c r="D110" s="2" t="str" cm="1">
        <f t="array" aca="1" ref="D110" ca="1">INDEX(Data_DBD!$F:$F,$A110)</f>
        <v>Tinggi</v>
      </c>
      <c r="H110" s="17">
        <v>144</v>
      </c>
      <c r="I110" s="17">
        <v>4</v>
      </c>
      <c r="J110" s="17">
        <v>1</v>
      </c>
      <c r="K110" s="17" t="s">
        <v>97</v>
      </c>
    </row>
    <row r="111" spans="1:11">
      <c r="A111" s="2">
        <f t="shared" ca="1" si="1"/>
        <v>35</v>
      </c>
      <c r="B111" s="2" cm="1">
        <f t="array" aca="1" ref="B111" ca="1">INDEX(Data_DBD!$C:$C,$A111)</f>
        <v>3</v>
      </c>
      <c r="C111" s="2" cm="1">
        <f t="array" aca="1" ref="C111" ca="1">INDEX(Data_DBD!$E:$E,$A111)</f>
        <v>1</v>
      </c>
      <c r="D111" s="2" t="str" cm="1">
        <f t="array" aca="1" ref="D111" ca="1">INDEX(Data_DBD!$F:$F,$A111)</f>
        <v>Rendah</v>
      </c>
      <c r="H111" s="17">
        <v>38</v>
      </c>
      <c r="I111" s="17">
        <v>3</v>
      </c>
      <c r="J111" s="17">
        <v>1</v>
      </c>
      <c r="K111" s="17" t="s">
        <v>20</v>
      </c>
    </row>
    <row r="112" spans="1:11">
      <c r="A112" s="2">
        <f t="shared" ca="1" si="1"/>
        <v>111</v>
      </c>
      <c r="B112" s="2" cm="1">
        <f t="array" aca="1" ref="B112" ca="1">INDEX(Data_DBD!$C:$C,$A112)</f>
        <v>4</v>
      </c>
      <c r="C112" s="2" cm="1">
        <f t="array" aca="1" ref="C112" ca="1">INDEX(Data_DBD!$E:$E,$A112)</f>
        <v>0</v>
      </c>
      <c r="D112" s="2" t="str" cm="1">
        <f t="array" aca="1" ref="D112" ca="1">INDEX(Data_DBD!$F:$F,$A112)</f>
        <v>Tinggi</v>
      </c>
      <c r="H112" s="17">
        <v>28</v>
      </c>
      <c r="I112" s="17">
        <v>2</v>
      </c>
      <c r="J112" s="17">
        <v>1</v>
      </c>
      <c r="K112" s="17" t="s">
        <v>7</v>
      </c>
    </row>
    <row r="113" spans="1:11">
      <c r="A113" s="2">
        <f t="shared" ca="1" si="1"/>
        <v>86</v>
      </c>
      <c r="B113" s="2" cm="1">
        <f t="array" aca="1" ref="B113" ca="1">INDEX(Data_DBD!$C:$C,$A113)</f>
        <v>3</v>
      </c>
      <c r="C113" s="2" cm="1">
        <f t="array" aca="1" ref="C113" ca="1">INDEX(Data_DBD!$E:$E,$A113)</f>
        <v>0</v>
      </c>
      <c r="D113" s="2" t="str" cm="1">
        <f t="array" aca="1" ref="D113" ca="1">INDEX(Data_DBD!$F:$F,$A113)</f>
        <v>Sedang</v>
      </c>
      <c r="H113" s="17">
        <v>128</v>
      </c>
      <c r="I113" s="17">
        <v>2</v>
      </c>
      <c r="J113" s="17">
        <v>0</v>
      </c>
      <c r="K113" s="17" t="s">
        <v>97</v>
      </c>
    </row>
    <row r="114" spans="1:11">
      <c r="A114" s="2">
        <f t="shared" ca="1" si="1"/>
        <v>160</v>
      </c>
      <c r="B114" s="2" cm="1">
        <f t="array" aca="1" ref="B114" ca="1">INDEX(Data_DBD!$C:$C,$A114)</f>
        <v>3</v>
      </c>
      <c r="C114" s="2" cm="1">
        <f t="array" aca="1" ref="C114" ca="1">INDEX(Data_DBD!$E:$E,$A114)</f>
        <v>0</v>
      </c>
      <c r="D114" s="2" t="str" cm="1">
        <f t="array" aca="1" ref="D114" ca="1">INDEX(Data_DBD!$F:$F,$A114)</f>
        <v>Tinggi</v>
      </c>
      <c r="H114" s="17">
        <v>33</v>
      </c>
      <c r="I114" s="17">
        <v>4</v>
      </c>
      <c r="J114" s="17">
        <v>1</v>
      </c>
      <c r="K114" s="17" t="s">
        <v>7</v>
      </c>
    </row>
    <row r="115" spans="1:11">
      <c r="A115" s="2">
        <f t="shared" ca="1" si="1"/>
        <v>163</v>
      </c>
      <c r="B115" s="2" cm="1">
        <f t="array" aca="1" ref="B115" ca="1">INDEX(Data_DBD!$C:$C,$A115)</f>
        <v>4</v>
      </c>
      <c r="C115" s="2" cm="1">
        <f t="array" aca="1" ref="C115" ca="1">INDEX(Data_DBD!$E:$E,$A115)</f>
        <v>1</v>
      </c>
      <c r="D115" s="2" t="str" cm="1">
        <f t="array" aca="1" ref="D115" ca="1">INDEX(Data_DBD!$F:$F,$A115)</f>
        <v>Rendah</v>
      </c>
      <c r="H115" s="17">
        <v>120</v>
      </c>
      <c r="I115" s="17">
        <v>4</v>
      </c>
      <c r="J115" s="17">
        <v>1</v>
      </c>
      <c r="K115" s="17" t="s">
        <v>97</v>
      </c>
    </row>
    <row r="116" spans="1:11">
      <c r="A116" s="2">
        <f t="shared" ca="1" si="1"/>
        <v>76</v>
      </c>
      <c r="B116" s="2" cm="1">
        <f t="array" aca="1" ref="B116" ca="1">INDEX(Data_DBD!$C:$C,$A116)</f>
        <v>2</v>
      </c>
      <c r="C116" s="2" cm="1">
        <f t="array" aca="1" ref="C116" ca="1">INDEX(Data_DBD!$E:$E,$A116)</f>
        <v>0</v>
      </c>
      <c r="D116" s="2" t="str" cm="1">
        <f t="array" aca="1" ref="D116" ca="1">INDEX(Data_DBD!$F:$F,$A116)</f>
        <v>Sedang</v>
      </c>
      <c r="H116" s="17">
        <v>13</v>
      </c>
      <c r="I116" s="17">
        <v>2</v>
      </c>
      <c r="J116" s="17">
        <v>0</v>
      </c>
      <c r="K116" s="17" t="s">
        <v>7</v>
      </c>
    </row>
    <row r="117" spans="1:11">
      <c r="A117" s="2">
        <f t="shared" ca="1" si="1"/>
        <v>89</v>
      </c>
      <c r="B117" s="2" cm="1">
        <f t="array" aca="1" ref="B117" ca="1">INDEX(Data_DBD!$C:$C,$A117)</f>
        <v>4</v>
      </c>
      <c r="C117" s="2" cm="1">
        <f t="array" aca="1" ref="C117" ca="1">INDEX(Data_DBD!$E:$E,$A117)</f>
        <v>0</v>
      </c>
      <c r="D117" s="2" t="str" cm="1">
        <f t="array" aca="1" ref="D117" ca="1">INDEX(Data_DBD!$F:$F,$A117)</f>
        <v>Sedang</v>
      </c>
      <c r="H117" s="17">
        <v>97</v>
      </c>
      <c r="I117" s="17">
        <v>2</v>
      </c>
      <c r="J117" s="17">
        <v>1</v>
      </c>
      <c r="K117" s="17" t="s">
        <v>97</v>
      </c>
    </row>
    <row r="118" spans="1:11">
      <c r="A118" s="2">
        <f t="shared" ca="1" si="1"/>
        <v>75</v>
      </c>
      <c r="B118" s="2" cm="1">
        <f t="array" aca="1" ref="B118" ca="1">INDEX(Data_DBD!$C:$C,$A118)</f>
        <v>2</v>
      </c>
      <c r="C118" s="2" cm="1">
        <f t="array" aca="1" ref="C118" ca="1">INDEX(Data_DBD!$E:$E,$A118)</f>
        <v>1</v>
      </c>
      <c r="D118" s="2" t="str" cm="1">
        <f t="array" aca="1" ref="D118" ca="1">INDEX(Data_DBD!$F:$F,$A118)</f>
        <v>Sedang</v>
      </c>
      <c r="H118" s="17">
        <v>72</v>
      </c>
      <c r="I118" s="17">
        <v>5</v>
      </c>
      <c r="J118" s="17">
        <v>1</v>
      </c>
      <c r="K118" s="17" t="s">
        <v>7</v>
      </c>
    </row>
    <row r="119" spans="1:11">
      <c r="A119" s="2">
        <f t="shared" ca="1" si="1"/>
        <v>60</v>
      </c>
      <c r="B119" s="2" cm="1">
        <f t="array" aca="1" ref="B119" ca="1">INDEX(Data_DBD!$C:$C,$A119)</f>
        <v>4</v>
      </c>
      <c r="C119" s="2" cm="1">
        <f t="array" aca="1" ref="C119" ca="1">INDEX(Data_DBD!$E:$E,$A119)</f>
        <v>0</v>
      </c>
      <c r="D119" s="2" t="str" cm="1">
        <f t="array" aca="1" ref="D119" ca="1">INDEX(Data_DBD!$F:$F,$A119)</f>
        <v>Sedang</v>
      </c>
      <c r="H119" s="17">
        <v>135</v>
      </c>
      <c r="I119" s="17">
        <v>2</v>
      </c>
      <c r="J119" s="17">
        <v>0</v>
      </c>
      <c r="K119" s="17" t="s">
        <v>97</v>
      </c>
    </row>
    <row r="120" spans="1:11">
      <c r="A120" s="2">
        <f t="shared" ca="1" si="1"/>
        <v>22</v>
      </c>
      <c r="B120" s="2" cm="1">
        <f t="array" aca="1" ref="B120" ca="1">INDEX(Data_DBD!$C:$C,$A120)</f>
        <v>3</v>
      </c>
      <c r="C120" s="2" cm="1">
        <f t="array" aca="1" ref="C120" ca="1">INDEX(Data_DBD!$E:$E,$A120)</f>
        <v>0</v>
      </c>
      <c r="D120" s="2" t="str" cm="1">
        <f t="array" aca="1" ref="D120" ca="1">INDEX(Data_DBD!$F:$F,$A120)</f>
        <v>Sedang</v>
      </c>
      <c r="H120" s="17">
        <v>162</v>
      </c>
      <c r="I120" s="17">
        <v>3</v>
      </c>
      <c r="J120" s="17">
        <v>1</v>
      </c>
      <c r="K120" s="17" t="s">
        <v>20</v>
      </c>
    </row>
    <row r="121" spans="1:11">
      <c r="A121" s="2">
        <f t="shared" ca="1" si="1"/>
        <v>132</v>
      </c>
      <c r="B121" s="2" cm="1">
        <f t="array" aca="1" ref="B121" ca="1">INDEX(Data_DBD!$C:$C,$A121)</f>
        <v>3</v>
      </c>
      <c r="C121" s="2" cm="1">
        <f t="array" aca="1" ref="C121" ca="1">INDEX(Data_DBD!$E:$E,$A121)</f>
        <v>1</v>
      </c>
      <c r="D121" s="2" t="str" cm="1">
        <f t="array" aca="1" ref="D121" ca="1">INDEX(Data_DBD!$F:$F,$A121)</f>
        <v>Tinggi</v>
      </c>
      <c r="H121" s="17">
        <v>105</v>
      </c>
      <c r="I121" s="17">
        <v>3</v>
      </c>
      <c r="J121" s="17">
        <v>1</v>
      </c>
      <c r="K121" s="17" t="s">
        <v>97</v>
      </c>
    </row>
    <row r="122" spans="1:11">
      <c r="A122" s="2">
        <f t="shared" ca="1" si="1"/>
        <v>149</v>
      </c>
      <c r="B122" s="2" cm="1">
        <f t="array" aca="1" ref="B122" ca="1">INDEX(Data_DBD!$C:$C,$A122)</f>
        <v>5</v>
      </c>
      <c r="C122" s="2" cm="1">
        <f t="array" aca="1" ref="C122" ca="1">INDEX(Data_DBD!$E:$E,$A122)</f>
        <v>0</v>
      </c>
      <c r="D122" s="2" t="str" cm="1">
        <f t="array" aca="1" ref="D122" ca="1">INDEX(Data_DBD!$F:$F,$A122)</f>
        <v>Tinggi</v>
      </c>
      <c r="H122" s="17">
        <v>130</v>
      </c>
      <c r="I122" s="17">
        <v>4</v>
      </c>
      <c r="J122" s="17">
        <v>0</v>
      </c>
      <c r="K122" s="17" t="s">
        <v>97</v>
      </c>
    </row>
    <row r="123" spans="1:11">
      <c r="A123" s="2">
        <f t="shared" ca="1" si="1"/>
        <v>46</v>
      </c>
      <c r="B123" s="2" cm="1">
        <f t="array" aca="1" ref="B123" ca="1">INDEX(Data_DBD!$C:$C,$A123)</f>
        <v>2</v>
      </c>
      <c r="C123" s="2" cm="1">
        <f t="array" aca="1" ref="C123" ca="1">INDEX(Data_DBD!$E:$E,$A123)</f>
        <v>0</v>
      </c>
      <c r="D123" s="2" t="str" cm="1">
        <f t="array" aca="1" ref="D123" ca="1">INDEX(Data_DBD!$F:$F,$A123)</f>
        <v>Sedang</v>
      </c>
      <c r="H123" s="17">
        <v>110</v>
      </c>
      <c r="I123" s="17">
        <v>2</v>
      </c>
      <c r="J123" s="17">
        <v>1</v>
      </c>
      <c r="K123" s="17" t="s">
        <v>97</v>
      </c>
    </row>
    <row r="124" spans="1:11">
      <c r="A124" s="2">
        <f t="shared" ca="1" si="1"/>
        <v>75</v>
      </c>
      <c r="B124" s="2" cm="1">
        <f t="array" aca="1" ref="B124" ca="1">INDEX(Data_DBD!$C:$C,$A124)</f>
        <v>2</v>
      </c>
      <c r="C124" s="2" cm="1">
        <f t="array" aca="1" ref="C124" ca="1">INDEX(Data_DBD!$E:$E,$A124)</f>
        <v>1</v>
      </c>
      <c r="D124" s="2" t="str" cm="1">
        <f t="array" aca="1" ref="D124" ca="1">INDEX(Data_DBD!$F:$F,$A124)</f>
        <v>Sedang</v>
      </c>
      <c r="H124" s="17">
        <v>80</v>
      </c>
      <c r="I124" s="17">
        <v>3</v>
      </c>
      <c r="J124" s="17">
        <v>1</v>
      </c>
      <c r="K124" s="17" t="s">
        <v>7</v>
      </c>
    </row>
    <row r="125" spans="1:11">
      <c r="A125" s="2">
        <f t="shared" ca="1" si="1"/>
        <v>31</v>
      </c>
      <c r="B125" s="2" cm="1">
        <f t="array" aca="1" ref="B125" ca="1">INDEX(Data_DBD!$C:$C,$A125)</f>
        <v>4</v>
      </c>
      <c r="C125" s="2" cm="1">
        <f t="array" aca="1" ref="C125" ca="1">INDEX(Data_DBD!$E:$E,$A125)</f>
        <v>1</v>
      </c>
      <c r="D125" s="2" t="str" cm="1">
        <f t="array" aca="1" ref="D125" ca="1">INDEX(Data_DBD!$F:$F,$A125)</f>
        <v>Sedang</v>
      </c>
      <c r="H125" s="17">
        <v>9</v>
      </c>
      <c r="I125" s="17">
        <v>6</v>
      </c>
      <c r="J125" s="17">
        <v>1</v>
      </c>
      <c r="K125" s="17" t="s">
        <v>7</v>
      </c>
    </row>
    <row r="126" spans="1:11">
      <c r="A126" s="2">
        <f t="shared" ca="1" si="1"/>
        <v>107</v>
      </c>
      <c r="B126" s="2" cm="1">
        <f t="array" aca="1" ref="B126" ca="1">INDEX(Data_DBD!$C:$C,$A126)</f>
        <v>5</v>
      </c>
      <c r="C126" s="2" cm="1">
        <f t="array" aca="1" ref="C126" ca="1">INDEX(Data_DBD!$E:$E,$A126)</f>
        <v>0</v>
      </c>
      <c r="D126" s="2" t="str" cm="1">
        <f t="array" aca="1" ref="D126" ca="1">INDEX(Data_DBD!$F:$F,$A126)</f>
        <v>Tinggi</v>
      </c>
      <c r="H126" s="17">
        <v>2</v>
      </c>
      <c r="I126" s="17">
        <v>3</v>
      </c>
      <c r="J126" s="17">
        <v>0</v>
      </c>
      <c r="K126" s="17" t="s">
        <v>7</v>
      </c>
    </row>
    <row r="127" spans="1:11">
      <c r="A127" s="2">
        <f t="shared" ca="1" si="1"/>
        <v>59</v>
      </c>
      <c r="B127" s="2" cm="1">
        <f t="array" aca="1" ref="B127" ca="1">INDEX(Data_DBD!$C:$C,$A127)</f>
        <v>4</v>
      </c>
      <c r="C127" s="2" cm="1">
        <f t="array" aca="1" ref="C127" ca="1">INDEX(Data_DBD!$E:$E,$A127)</f>
        <v>0</v>
      </c>
      <c r="D127" s="2" t="str" cm="1">
        <f t="array" aca="1" ref="D127" ca="1">INDEX(Data_DBD!$F:$F,$A127)</f>
        <v>Sedang</v>
      </c>
      <c r="H127" s="17">
        <v>107</v>
      </c>
      <c r="I127" s="17">
        <v>5</v>
      </c>
      <c r="J127" s="17">
        <v>0</v>
      </c>
      <c r="K127" s="17" t="s">
        <v>97</v>
      </c>
    </row>
    <row r="128" spans="1:11">
      <c r="A128" s="2">
        <f t="shared" ca="1" si="1"/>
        <v>163</v>
      </c>
      <c r="B128" s="2" cm="1">
        <f t="array" aca="1" ref="B128" ca="1">INDEX(Data_DBD!$C:$C,$A128)</f>
        <v>4</v>
      </c>
      <c r="C128" s="2" cm="1">
        <f t="array" aca="1" ref="C128" ca="1">INDEX(Data_DBD!$E:$E,$A128)</f>
        <v>1</v>
      </c>
      <c r="D128" s="2" t="str" cm="1">
        <f t="array" aca="1" ref="D128" ca="1">INDEX(Data_DBD!$F:$F,$A128)</f>
        <v>Rendah</v>
      </c>
      <c r="H128" s="17">
        <v>68</v>
      </c>
      <c r="I128" s="17">
        <v>5</v>
      </c>
      <c r="J128" s="17">
        <v>0</v>
      </c>
      <c r="K128" s="17" t="s">
        <v>7</v>
      </c>
    </row>
    <row r="129" spans="1:11">
      <c r="A129" s="2">
        <f t="shared" ca="1" si="1"/>
        <v>141</v>
      </c>
      <c r="B129" s="2" cm="1">
        <f t="array" aca="1" ref="B129" ca="1">INDEX(Data_DBD!$C:$C,$A129)</f>
        <v>2</v>
      </c>
      <c r="C129" s="2" cm="1">
        <f t="array" aca="1" ref="C129" ca="1">INDEX(Data_DBD!$E:$E,$A129)</f>
        <v>0</v>
      </c>
      <c r="D129" s="2" t="str" cm="1">
        <f t="array" aca="1" ref="D129" ca="1">INDEX(Data_DBD!$F:$F,$A129)</f>
        <v>Tinggi</v>
      </c>
      <c r="H129" s="17">
        <v>144</v>
      </c>
      <c r="I129" s="17">
        <v>4</v>
      </c>
      <c r="J129" s="17">
        <v>1</v>
      </c>
      <c r="K129" s="17" t="s">
        <v>97</v>
      </c>
    </row>
    <row r="130" spans="1:11">
      <c r="A130" s="2">
        <f t="shared" ca="1" si="1"/>
        <v>152</v>
      </c>
      <c r="B130" s="2" cm="1">
        <f t="array" aca="1" ref="B130" ca="1">INDEX(Data_DBD!$C:$C,$A130)</f>
        <v>3</v>
      </c>
      <c r="C130" s="2" cm="1">
        <f t="array" aca="1" ref="C130" ca="1">INDEX(Data_DBD!$E:$E,$A130)</f>
        <v>1</v>
      </c>
      <c r="D130" s="2" t="str" cm="1">
        <f t="array" aca="1" ref="D130" ca="1">INDEX(Data_DBD!$F:$F,$A130)</f>
        <v>Tinggi</v>
      </c>
      <c r="H130" s="17">
        <v>100</v>
      </c>
      <c r="I130" s="17">
        <v>6</v>
      </c>
      <c r="J130" s="17">
        <v>0</v>
      </c>
      <c r="K130" s="17" t="s">
        <v>97</v>
      </c>
    </row>
    <row r="131" spans="1:11">
      <c r="A131" s="2">
        <f t="shared" ref="A131:A164" ca="1" si="2">RANDBETWEEN(2,164)</f>
        <v>110</v>
      </c>
      <c r="B131" s="2" cm="1">
        <f t="array" aca="1" ref="B131" ca="1">INDEX(Data_DBD!$C:$C,$A131)</f>
        <v>2</v>
      </c>
      <c r="C131" s="2" cm="1">
        <f t="array" aca="1" ref="C131" ca="1">INDEX(Data_DBD!$E:$E,$A131)</f>
        <v>1</v>
      </c>
      <c r="D131" s="2" t="str" cm="1">
        <f t="array" aca="1" ref="D131" ca="1">INDEX(Data_DBD!$F:$F,$A131)</f>
        <v>Tinggi</v>
      </c>
      <c r="H131" s="17">
        <v>91</v>
      </c>
      <c r="I131" s="17">
        <v>1</v>
      </c>
      <c r="J131" s="17">
        <v>1</v>
      </c>
      <c r="K131" s="17" t="s">
        <v>97</v>
      </c>
    </row>
    <row r="132" spans="1:11">
      <c r="A132" s="2">
        <f t="shared" ca="1" si="2"/>
        <v>54</v>
      </c>
      <c r="B132" s="2" cm="1">
        <f t="array" aca="1" ref="B132" ca="1">INDEX(Data_DBD!$C:$C,$A132)</f>
        <v>3</v>
      </c>
      <c r="C132" s="2" cm="1">
        <f t="array" aca="1" ref="C132" ca="1">INDEX(Data_DBD!$E:$E,$A132)</f>
        <v>0</v>
      </c>
      <c r="D132" s="2" t="str" cm="1">
        <f t="array" aca="1" ref="D132" ca="1">INDEX(Data_DBD!$F:$F,$A132)</f>
        <v>Sedang</v>
      </c>
      <c r="H132" s="17">
        <v>55</v>
      </c>
      <c r="I132" s="17">
        <v>4</v>
      </c>
      <c r="J132" s="17">
        <v>1</v>
      </c>
      <c r="K132" s="17" t="s">
        <v>7</v>
      </c>
    </row>
    <row r="133" spans="1:11">
      <c r="A133" s="2">
        <f t="shared" ca="1" si="2"/>
        <v>53</v>
      </c>
      <c r="B133" s="2" cm="1">
        <f t="array" aca="1" ref="B133" ca="1">INDEX(Data_DBD!$C:$C,$A133)</f>
        <v>4</v>
      </c>
      <c r="C133" s="2" cm="1">
        <f t="array" aca="1" ref="C133" ca="1">INDEX(Data_DBD!$E:$E,$A133)</f>
        <v>1</v>
      </c>
      <c r="D133" s="2" t="str" cm="1">
        <f t="array" aca="1" ref="D133" ca="1">INDEX(Data_DBD!$F:$F,$A133)</f>
        <v>Sedang</v>
      </c>
      <c r="H133" s="17">
        <v>117</v>
      </c>
      <c r="I133" s="17">
        <v>4</v>
      </c>
      <c r="J133" s="17">
        <v>1</v>
      </c>
      <c r="K133" s="17" t="s">
        <v>97</v>
      </c>
    </row>
    <row r="134" spans="1:11">
      <c r="A134" s="2">
        <f t="shared" ca="1" si="2"/>
        <v>131</v>
      </c>
      <c r="B134" s="2" cm="1">
        <f t="array" aca="1" ref="B134" ca="1">INDEX(Data_DBD!$C:$C,$A134)</f>
        <v>2</v>
      </c>
      <c r="C134" s="2" cm="1">
        <f t="array" aca="1" ref="C134" ca="1">INDEX(Data_DBD!$E:$E,$A134)</f>
        <v>0</v>
      </c>
      <c r="D134" s="2" t="str" cm="1">
        <f t="array" aca="1" ref="D134" ca="1">INDEX(Data_DBD!$F:$F,$A134)</f>
        <v>Tinggi</v>
      </c>
      <c r="H134" s="17">
        <v>10</v>
      </c>
      <c r="I134" s="17">
        <v>5</v>
      </c>
      <c r="J134" s="17">
        <v>0</v>
      </c>
      <c r="K134" s="17" t="s">
        <v>7</v>
      </c>
    </row>
    <row r="135" spans="1:11">
      <c r="A135" s="2">
        <f t="shared" ca="1" si="2"/>
        <v>86</v>
      </c>
      <c r="B135" s="2" cm="1">
        <f t="array" aca="1" ref="B135" ca="1">INDEX(Data_DBD!$C:$C,$A135)</f>
        <v>3</v>
      </c>
      <c r="C135" s="2" cm="1">
        <f t="array" aca="1" ref="C135" ca="1">INDEX(Data_DBD!$E:$E,$A135)</f>
        <v>0</v>
      </c>
      <c r="D135" s="2" t="str" cm="1">
        <f t="array" aca="1" ref="D135" ca="1">INDEX(Data_DBD!$F:$F,$A135)</f>
        <v>Sedang</v>
      </c>
      <c r="H135" s="17">
        <v>35</v>
      </c>
      <c r="I135" s="17">
        <v>3</v>
      </c>
      <c r="J135" s="17">
        <v>1</v>
      </c>
      <c r="K135" s="17" t="s">
        <v>20</v>
      </c>
    </row>
    <row r="136" spans="1:11">
      <c r="A136" s="2">
        <f t="shared" ca="1" si="2"/>
        <v>126</v>
      </c>
      <c r="B136" s="2" cm="1">
        <f t="array" aca="1" ref="B136" ca="1">INDEX(Data_DBD!$C:$C,$A136)</f>
        <v>3</v>
      </c>
      <c r="C136" s="2" cm="1">
        <f t="array" aca="1" ref="C136" ca="1">INDEX(Data_DBD!$E:$E,$A136)</f>
        <v>1</v>
      </c>
      <c r="D136" s="2" t="str" cm="1">
        <f t="array" aca="1" ref="D136" ca="1">INDEX(Data_DBD!$F:$F,$A136)</f>
        <v>Tinggi</v>
      </c>
      <c r="H136" s="17">
        <v>36</v>
      </c>
      <c r="I136" s="17">
        <v>1</v>
      </c>
      <c r="J136" s="17">
        <v>1</v>
      </c>
      <c r="K136" s="17" t="s">
        <v>20</v>
      </c>
    </row>
    <row r="137" spans="1:11">
      <c r="A137" s="2">
        <f t="shared" ca="1" si="2"/>
        <v>111</v>
      </c>
      <c r="B137" s="2" cm="1">
        <f t="array" aca="1" ref="B137" ca="1">INDEX(Data_DBD!$C:$C,$A137)</f>
        <v>4</v>
      </c>
      <c r="C137" s="2" cm="1">
        <f t="array" aca="1" ref="C137" ca="1">INDEX(Data_DBD!$E:$E,$A137)</f>
        <v>0</v>
      </c>
      <c r="D137" s="2" t="str" cm="1">
        <f t="array" aca="1" ref="D137" ca="1">INDEX(Data_DBD!$F:$F,$A137)</f>
        <v>Tinggi</v>
      </c>
      <c r="H137" s="17">
        <v>102</v>
      </c>
      <c r="I137" s="17">
        <v>4</v>
      </c>
      <c r="J137" s="17">
        <v>0</v>
      </c>
      <c r="K137" s="17" t="s">
        <v>97</v>
      </c>
    </row>
    <row r="138" spans="1:11">
      <c r="A138" s="2">
        <f t="shared" ca="1" si="2"/>
        <v>83</v>
      </c>
      <c r="B138" s="2" cm="1">
        <f t="array" aca="1" ref="B138" ca="1">INDEX(Data_DBD!$C:$C,$A138)</f>
        <v>3</v>
      </c>
      <c r="C138" s="2" cm="1">
        <f t="array" aca="1" ref="C138" ca="1">INDEX(Data_DBD!$E:$E,$A138)</f>
        <v>0</v>
      </c>
      <c r="D138" s="2" t="str" cm="1">
        <f t="array" aca="1" ref="D138" ca="1">INDEX(Data_DBD!$F:$F,$A138)</f>
        <v>Sedang</v>
      </c>
      <c r="H138" s="17">
        <v>72</v>
      </c>
      <c r="I138" s="17">
        <v>5</v>
      </c>
      <c r="J138" s="17">
        <v>1</v>
      </c>
      <c r="K138" s="17" t="s">
        <v>7</v>
      </c>
    </row>
    <row r="139" spans="1:11">
      <c r="A139" s="2">
        <f t="shared" ca="1" si="2"/>
        <v>83</v>
      </c>
      <c r="B139" s="2" cm="1">
        <f t="array" aca="1" ref="B139" ca="1">INDEX(Data_DBD!$C:$C,$A139)</f>
        <v>3</v>
      </c>
      <c r="C139" s="2" cm="1">
        <f t="array" aca="1" ref="C139" ca="1">INDEX(Data_DBD!$E:$E,$A139)</f>
        <v>0</v>
      </c>
      <c r="D139" s="2" t="str" cm="1">
        <f t="array" aca="1" ref="D139" ca="1">INDEX(Data_DBD!$F:$F,$A139)</f>
        <v>Sedang</v>
      </c>
      <c r="H139" s="17">
        <v>125</v>
      </c>
      <c r="I139" s="17">
        <v>4</v>
      </c>
      <c r="J139" s="17">
        <v>0</v>
      </c>
      <c r="K139" s="17" t="s">
        <v>97</v>
      </c>
    </row>
    <row r="140" spans="1:11">
      <c r="A140" s="2">
        <f t="shared" ca="1" si="2"/>
        <v>131</v>
      </c>
      <c r="B140" s="2" cm="1">
        <f t="array" aca="1" ref="B140" ca="1">INDEX(Data_DBD!$C:$C,$A140)</f>
        <v>2</v>
      </c>
      <c r="C140" s="2" cm="1">
        <f t="array" aca="1" ref="C140" ca="1">INDEX(Data_DBD!$E:$E,$A140)</f>
        <v>0</v>
      </c>
      <c r="D140" s="2" t="str" cm="1">
        <f t="array" aca="1" ref="D140" ca="1">INDEX(Data_DBD!$F:$F,$A140)</f>
        <v>Tinggi</v>
      </c>
      <c r="H140" s="17">
        <v>13</v>
      </c>
      <c r="I140" s="17">
        <v>2</v>
      </c>
      <c r="J140" s="17">
        <v>0</v>
      </c>
      <c r="K140" s="17" t="s">
        <v>7</v>
      </c>
    </row>
    <row r="141" spans="1:11">
      <c r="A141" s="2">
        <f t="shared" ca="1" si="2"/>
        <v>131</v>
      </c>
      <c r="B141" s="2" cm="1">
        <f t="array" aca="1" ref="B141" ca="1">INDEX(Data_DBD!$C:$C,$A141)</f>
        <v>2</v>
      </c>
      <c r="C141" s="2" cm="1">
        <f t="array" aca="1" ref="C141" ca="1">INDEX(Data_DBD!$E:$E,$A141)</f>
        <v>0</v>
      </c>
      <c r="D141" s="2" t="str" cm="1">
        <f t="array" aca="1" ref="D141" ca="1">INDEX(Data_DBD!$F:$F,$A141)</f>
        <v>Tinggi</v>
      </c>
      <c r="H141" s="17">
        <v>2</v>
      </c>
      <c r="I141" s="17">
        <v>3</v>
      </c>
      <c r="J141" s="17">
        <v>0</v>
      </c>
      <c r="K141" s="17" t="s">
        <v>7</v>
      </c>
    </row>
    <row r="142" spans="1:11">
      <c r="A142" s="2">
        <f t="shared" ca="1" si="2"/>
        <v>84</v>
      </c>
      <c r="B142" s="2" cm="1">
        <f t="array" aca="1" ref="B142" ca="1">INDEX(Data_DBD!$C:$C,$A142)</f>
        <v>4</v>
      </c>
      <c r="C142" s="2" cm="1">
        <f t="array" aca="1" ref="C142" ca="1">INDEX(Data_DBD!$E:$E,$A142)</f>
        <v>1</v>
      </c>
      <c r="D142" s="2" t="str" cm="1">
        <f t="array" aca="1" ref="D142" ca="1">INDEX(Data_DBD!$F:$F,$A142)</f>
        <v>Sedang</v>
      </c>
      <c r="H142" s="17">
        <v>142</v>
      </c>
      <c r="I142" s="17">
        <v>2</v>
      </c>
      <c r="J142" s="17">
        <v>1</v>
      </c>
      <c r="K142" s="17" t="s">
        <v>97</v>
      </c>
    </row>
    <row r="143" spans="1:11">
      <c r="A143" s="2">
        <f t="shared" ca="1" si="2"/>
        <v>24</v>
      </c>
      <c r="B143" s="2" cm="1">
        <f t="array" aca="1" ref="B143" ca="1">INDEX(Data_DBD!$C:$C,$A143)</f>
        <v>4</v>
      </c>
      <c r="C143" s="2" cm="1">
        <f t="array" aca="1" ref="C143" ca="1">INDEX(Data_DBD!$E:$E,$A143)</f>
        <v>0</v>
      </c>
      <c r="D143" s="2" t="str" cm="1">
        <f t="array" aca="1" ref="D143" ca="1">INDEX(Data_DBD!$F:$F,$A143)</f>
        <v>Sedang</v>
      </c>
      <c r="H143" s="17">
        <v>11</v>
      </c>
      <c r="I143" s="17">
        <v>5</v>
      </c>
      <c r="J143" s="17">
        <v>1</v>
      </c>
      <c r="K143" s="17" t="s">
        <v>7</v>
      </c>
    </row>
    <row r="144" spans="1:11">
      <c r="A144" s="2">
        <f t="shared" ca="1" si="2"/>
        <v>150</v>
      </c>
      <c r="B144" s="2" cm="1">
        <f t="array" aca="1" ref="B144" ca="1">INDEX(Data_DBD!$C:$C,$A144)</f>
        <v>5</v>
      </c>
      <c r="C144" s="2" cm="1">
        <f t="array" aca="1" ref="C144" ca="1">INDEX(Data_DBD!$E:$E,$A144)</f>
        <v>1</v>
      </c>
      <c r="D144" s="2" t="str" cm="1">
        <f t="array" aca="1" ref="D144" ca="1">INDEX(Data_DBD!$F:$F,$A144)</f>
        <v>Tinggi</v>
      </c>
      <c r="H144" s="17">
        <v>19</v>
      </c>
      <c r="I144" s="17">
        <v>4</v>
      </c>
      <c r="J144" s="17">
        <v>0</v>
      </c>
      <c r="K144" s="17" t="s">
        <v>20</v>
      </c>
    </row>
    <row r="145" spans="1:11">
      <c r="A145" s="2">
        <f t="shared" ca="1" si="2"/>
        <v>44</v>
      </c>
      <c r="B145" s="2" cm="1">
        <f t="array" aca="1" ref="B145" ca="1">INDEX(Data_DBD!$C:$C,$A145)</f>
        <v>5</v>
      </c>
      <c r="C145" s="2" cm="1">
        <f t="array" aca="1" ref="C145" ca="1">INDEX(Data_DBD!$E:$E,$A145)</f>
        <v>1</v>
      </c>
      <c r="D145" s="2" t="str" cm="1">
        <f t="array" aca="1" ref="D145" ca="1">INDEX(Data_DBD!$F:$F,$A145)</f>
        <v>Sedang</v>
      </c>
      <c r="H145" s="17">
        <v>87</v>
      </c>
      <c r="I145" s="17">
        <v>3</v>
      </c>
      <c r="J145" s="17">
        <v>0</v>
      </c>
      <c r="K145" s="17" t="s">
        <v>7</v>
      </c>
    </row>
    <row r="146" spans="1:11">
      <c r="A146" s="2">
        <f t="shared" ca="1" si="2"/>
        <v>9</v>
      </c>
      <c r="B146" s="2" cm="1">
        <f t="array" aca="1" ref="B146" ca="1">INDEX(Data_DBD!$C:$C,$A146)</f>
        <v>6</v>
      </c>
      <c r="C146" s="2" cm="1">
        <f t="array" aca="1" ref="C146" ca="1">INDEX(Data_DBD!$E:$E,$A146)</f>
        <v>1</v>
      </c>
      <c r="D146" s="2" t="str" cm="1">
        <f t="array" aca="1" ref="D146" ca="1">INDEX(Data_DBD!$F:$F,$A146)</f>
        <v>Sedang</v>
      </c>
      <c r="H146" s="17">
        <v>3</v>
      </c>
      <c r="I146" s="17">
        <v>3</v>
      </c>
      <c r="J146" s="17">
        <v>1</v>
      </c>
      <c r="K146" s="17" t="s">
        <v>7</v>
      </c>
    </row>
    <row r="147" spans="1:11">
      <c r="A147" s="2">
        <f t="shared" ca="1" si="2"/>
        <v>66</v>
      </c>
      <c r="B147" s="2" cm="1">
        <f t="array" aca="1" ref="B147" ca="1">INDEX(Data_DBD!$C:$C,$A147)</f>
        <v>5</v>
      </c>
      <c r="C147" s="2" cm="1">
        <f t="array" aca="1" ref="C147" ca="1">INDEX(Data_DBD!$E:$E,$A147)</f>
        <v>1</v>
      </c>
      <c r="D147" s="2" t="str" cm="1">
        <f t="array" aca="1" ref="D147" ca="1">INDEX(Data_DBD!$F:$F,$A147)</f>
        <v>Sedang</v>
      </c>
      <c r="H147" s="17">
        <v>6</v>
      </c>
      <c r="I147" s="17">
        <v>4</v>
      </c>
      <c r="J147" s="17">
        <v>0</v>
      </c>
      <c r="K147" s="17" t="s">
        <v>7</v>
      </c>
    </row>
    <row r="148" spans="1:11">
      <c r="A148" s="2">
        <f t="shared" ca="1" si="2"/>
        <v>15</v>
      </c>
      <c r="B148" s="2" cm="1">
        <f t="array" aca="1" ref="B148" ca="1">INDEX(Data_DBD!$C:$C,$A148)</f>
        <v>2</v>
      </c>
      <c r="C148" s="2" cm="1">
        <f t="array" aca="1" ref="C148" ca="1">INDEX(Data_DBD!$E:$E,$A148)</f>
        <v>0</v>
      </c>
      <c r="D148" s="2" t="str" cm="1">
        <f t="array" aca="1" ref="D148" ca="1">INDEX(Data_DBD!$F:$F,$A148)</f>
        <v>Rendah</v>
      </c>
      <c r="H148" s="17">
        <v>99</v>
      </c>
      <c r="I148" s="17">
        <v>2</v>
      </c>
      <c r="J148" s="17">
        <v>1</v>
      </c>
      <c r="K148" s="17" t="s">
        <v>97</v>
      </c>
    </row>
    <row r="149" spans="1:11">
      <c r="A149" s="2">
        <f t="shared" ca="1" si="2"/>
        <v>49</v>
      </c>
      <c r="B149" s="2" cm="1">
        <f t="array" aca="1" ref="B149" ca="1">INDEX(Data_DBD!$C:$C,$A149)</f>
        <v>5</v>
      </c>
      <c r="C149" s="2" cm="1">
        <f t="array" aca="1" ref="C149" ca="1">INDEX(Data_DBD!$E:$E,$A149)</f>
        <v>0</v>
      </c>
      <c r="D149" s="2" t="str" cm="1">
        <f t="array" aca="1" ref="D149" ca="1">INDEX(Data_DBD!$F:$F,$A149)</f>
        <v>Sedang</v>
      </c>
      <c r="H149" s="17">
        <v>121</v>
      </c>
      <c r="I149" s="17">
        <v>5</v>
      </c>
      <c r="J149" s="17">
        <v>1</v>
      </c>
      <c r="K149" s="17" t="s">
        <v>97</v>
      </c>
    </row>
    <row r="150" spans="1:11">
      <c r="A150" s="2">
        <f t="shared" ca="1" si="2"/>
        <v>140</v>
      </c>
      <c r="B150" s="2" cm="1">
        <f t="array" aca="1" ref="B150" ca="1">INDEX(Data_DBD!$C:$C,$A150)</f>
        <v>5</v>
      </c>
      <c r="C150" s="2" cm="1">
        <f t="array" aca="1" ref="C150" ca="1">INDEX(Data_DBD!$E:$E,$A150)</f>
        <v>1</v>
      </c>
      <c r="D150" s="2" t="str" cm="1">
        <f t="array" aca="1" ref="D150" ca="1">INDEX(Data_DBD!$F:$F,$A150)</f>
        <v>Tinggi</v>
      </c>
      <c r="H150" s="17">
        <v>11</v>
      </c>
      <c r="I150" s="17">
        <v>5</v>
      </c>
      <c r="J150" s="17">
        <v>1</v>
      </c>
      <c r="K150" s="17" t="s">
        <v>7</v>
      </c>
    </row>
    <row r="151" spans="1:11">
      <c r="A151" s="2">
        <f t="shared" ca="1" si="2"/>
        <v>79</v>
      </c>
      <c r="B151" s="2" cm="1">
        <f t="array" aca="1" ref="B151" ca="1">INDEX(Data_DBD!$C:$C,$A151)</f>
        <v>3</v>
      </c>
      <c r="C151" s="2" cm="1">
        <f t="array" aca="1" ref="C151" ca="1">INDEX(Data_DBD!$E:$E,$A151)</f>
        <v>0</v>
      </c>
      <c r="D151" s="2" t="str" cm="1">
        <f t="array" aca="1" ref="D151" ca="1">INDEX(Data_DBD!$F:$F,$A151)</f>
        <v>Sedang</v>
      </c>
      <c r="H151" s="17">
        <v>150</v>
      </c>
      <c r="I151" s="17">
        <v>5</v>
      </c>
      <c r="J151" s="17">
        <v>1</v>
      </c>
      <c r="K151" s="17" t="s">
        <v>97</v>
      </c>
    </row>
    <row r="152" spans="1:11">
      <c r="A152" s="2">
        <f t="shared" ca="1" si="2"/>
        <v>7</v>
      </c>
      <c r="B152" s="2" cm="1">
        <f t="array" aca="1" ref="B152" ca="1">INDEX(Data_DBD!$C:$C,$A152)</f>
        <v>1</v>
      </c>
      <c r="C152" s="2" cm="1">
        <f t="array" aca="1" ref="C152" ca="1">INDEX(Data_DBD!$E:$E,$A152)</f>
        <v>1</v>
      </c>
      <c r="D152" s="2" t="str" cm="1">
        <f t="array" aca="1" ref="D152" ca="1">INDEX(Data_DBD!$F:$F,$A152)</f>
        <v>Sedang</v>
      </c>
      <c r="H152" s="17">
        <v>7</v>
      </c>
      <c r="I152" s="17">
        <v>1</v>
      </c>
      <c r="J152" s="17">
        <v>1</v>
      </c>
      <c r="K152" s="17" t="s">
        <v>7</v>
      </c>
    </row>
    <row r="153" spans="1:11">
      <c r="A153" s="2">
        <f t="shared" ca="1" si="2"/>
        <v>134</v>
      </c>
      <c r="B153" s="2" cm="1">
        <f t="array" aca="1" ref="B153" ca="1">INDEX(Data_DBD!$C:$C,$A153)</f>
        <v>2</v>
      </c>
      <c r="C153" s="2" cm="1">
        <f t="array" aca="1" ref="C153" ca="1">INDEX(Data_DBD!$E:$E,$A153)</f>
        <v>1</v>
      </c>
      <c r="D153" s="2" t="str" cm="1">
        <f t="array" aca="1" ref="D153" ca="1">INDEX(Data_DBD!$F:$F,$A153)</f>
        <v>Tinggi</v>
      </c>
      <c r="H153" s="17">
        <v>164</v>
      </c>
      <c r="I153" s="17">
        <v>6</v>
      </c>
      <c r="J153" s="17">
        <v>0</v>
      </c>
      <c r="K153" s="17" t="s">
        <v>20</v>
      </c>
    </row>
    <row r="154" spans="1:11">
      <c r="A154" s="2">
        <f t="shared" ca="1" si="2"/>
        <v>6</v>
      </c>
      <c r="B154" s="2" cm="1">
        <f t="array" aca="1" ref="B154" ca="1">INDEX(Data_DBD!$C:$C,$A154)</f>
        <v>4</v>
      </c>
      <c r="C154" s="2" cm="1">
        <f t="array" aca="1" ref="C154" ca="1">INDEX(Data_DBD!$E:$E,$A154)</f>
        <v>0</v>
      </c>
      <c r="D154" s="2" t="str" cm="1">
        <f t="array" aca="1" ref="D154" ca="1">INDEX(Data_DBD!$F:$F,$A154)</f>
        <v>Sedang</v>
      </c>
      <c r="H154" s="17">
        <v>129</v>
      </c>
      <c r="I154" s="17">
        <v>3</v>
      </c>
      <c r="J154" s="17">
        <v>0</v>
      </c>
      <c r="K154" s="17" t="s">
        <v>97</v>
      </c>
    </row>
    <row r="155" spans="1:11">
      <c r="A155" s="2">
        <f t="shared" ca="1" si="2"/>
        <v>70</v>
      </c>
      <c r="B155" s="2" cm="1">
        <f t="array" aca="1" ref="B155" ca="1">INDEX(Data_DBD!$C:$C,$A155)</f>
        <v>3</v>
      </c>
      <c r="C155" s="2" cm="1">
        <f t="array" aca="1" ref="C155" ca="1">INDEX(Data_DBD!$E:$E,$A155)</f>
        <v>1</v>
      </c>
      <c r="D155" s="2" t="str" cm="1">
        <f t="array" aca="1" ref="D155" ca="1">INDEX(Data_DBD!$F:$F,$A155)</f>
        <v>Sedang</v>
      </c>
      <c r="H155" s="17">
        <v>132</v>
      </c>
      <c r="I155" s="17">
        <v>3</v>
      </c>
      <c r="J155" s="17">
        <v>1</v>
      </c>
      <c r="K155" s="17" t="s">
        <v>97</v>
      </c>
    </row>
    <row r="156" spans="1:11">
      <c r="A156" s="2">
        <f t="shared" ca="1" si="2"/>
        <v>158</v>
      </c>
      <c r="B156" s="2" cm="1">
        <f t="array" aca="1" ref="B156" ca="1">INDEX(Data_DBD!$C:$C,$A156)</f>
        <v>2</v>
      </c>
      <c r="C156" s="2" cm="1">
        <f t="array" aca="1" ref="C156" ca="1">INDEX(Data_DBD!$E:$E,$A156)</f>
        <v>0</v>
      </c>
      <c r="D156" s="2" t="str" cm="1">
        <f t="array" aca="1" ref="D156" ca="1">INDEX(Data_DBD!$F:$F,$A156)</f>
        <v>Tinggi</v>
      </c>
      <c r="H156" s="17">
        <v>147</v>
      </c>
      <c r="I156" s="17">
        <v>10</v>
      </c>
      <c r="J156" s="17">
        <v>1</v>
      </c>
      <c r="K156" s="17" t="s">
        <v>97</v>
      </c>
    </row>
    <row r="157" spans="1:11">
      <c r="A157" s="2">
        <f t="shared" ca="1" si="2"/>
        <v>27</v>
      </c>
      <c r="B157" s="2" cm="1">
        <f t="array" aca="1" ref="B157" ca="1">INDEX(Data_DBD!$C:$C,$A157)</f>
        <v>4</v>
      </c>
      <c r="C157" s="2" cm="1">
        <f t="array" aca="1" ref="C157" ca="1">INDEX(Data_DBD!$E:$E,$A157)</f>
        <v>1</v>
      </c>
      <c r="D157" s="2" t="str" cm="1">
        <f t="array" aca="1" ref="D157" ca="1">INDEX(Data_DBD!$F:$F,$A157)</f>
        <v>Sedang</v>
      </c>
      <c r="H157" s="17">
        <v>36</v>
      </c>
      <c r="I157" s="17">
        <v>1</v>
      </c>
      <c r="J157" s="17">
        <v>1</v>
      </c>
      <c r="K157" s="17" t="s">
        <v>20</v>
      </c>
    </row>
    <row r="158" spans="1:11">
      <c r="A158" s="2">
        <f t="shared" ca="1" si="2"/>
        <v>61</v>
      </c>
      <c r="B158" s="2" cm="1">
        <f t="array" aca="1" ref="B158" ca="1">INDEX(Data_DBD!$C:$C,$A158)</f>
        <v>3</v>
      </c>
      <c r="C158" s="2" cm="1">
        <f t="array" aca="1" ref="C158" ca="1">INDEX(Data_DBD!$E:$E,$A158)</f>
        <v>1</v>
      </c>
      <c r="D158" s="2" t="str" cm="1">
        <f t="array" aca="1" ref="D158" ca="1">INDEX(Data_DBD!$F:$F,$A158)</f>
        <v>Sedang</v>
      </c>
      <c r="H158" s="17">
        <v>150</v>
      </c>
      <c r="I158" s="17">
        <v>5</v>
      </c>
      <c r="J158" s="17">
        <v>1</v>
      </c>
      <c r="K158" s="17" t="s">
        <v>97</v>
      </c>
    </row>
    <row r="159" spans="1:11">
      <c r="A159" s="2">
        <f t="shared" ca="1" si="2"/>
        <v>29</v>
      </c>
      <c r="B159" s="2" cm="1">
        <f t="array" aca="1" ref="B159" ca="1">INDEX(Data_DBD!$C:$C,$A159)</f>
        <v>2</v>
      </c>
      <c r="C159" s="2" cm="1">
        <f t="array" aca="1" ref="C159" ca="1">INDEX(Data_DBD!$E:$E,$A159)</f>
        <v>1</v>
      </c>
      <c r="D159" s="2" t="str" cm="1">
        <f t="array" aca="1" ref="D159" ca="1">INDEX(Data_DBD!$F:$F,$A159)</f>
        <v>Sedang</v>
      </c>
      <c r="H159" s="17">
        <v>80</v>
      </c>
      <c r="I159" s="17">
        <v>3</v>
      </c>
      <c r="J159" s="17">
        <v>1</v>
      </c>
      <c r="K159" s="17" t="s">
        <v>7</v>
      </c>
    </row>
    <row r="160" spans="1:11">
      <c r="A160" s="2">
        <f t="shared" ca="1" si="2"/>
        <v>96</v>
      </c>
      <c r="B160" s="2" cm="1">
        <f t="array" aca="1" ref="B160" ca="1">INDEX(Data_DBD!$C:$C,$A160)</f>
        <v>4</v>
      </c>
      <c r="C160" s="2" cm="1">
        <f t="array" aca="1" ref="C160" ca="1">INDEX(Data_DBD!$E:$E,$A160)</f>
        <v>0</v>
      </c>
      <c r="D160" s="2" t="str" cm="1">
        <f t="array" aca="1" ref="D160" ca="1">INDEX(Data_DBD!$F:$F,$A160)</f>
        <v>Tinggi</v>
      </c>
      <c r="H160" s="17">
        <v>117</v>
      </c>
      <c r="I160" s="17">
        <v>4</v>
      </c>
      <c r="J160" s="17">
        <v>1</v>
      </c>
      <c r="K160" s="17" t="s">
        <v>97</v>
      </c>
    </row>
    <row r="161" spans="1:15">
      <c r="A161" s="2">
        <f t="shared" ca="1" si="2"/>
        <v>124</v>
      </c>
      <c r="B161" s="2" cm="1">
        <f t="array" aca="1" ref="B161" ca="1">INDEX(Data_DBD!$C:$C,$A161)</f>
        <v>3</v>
      </c>
      <c r="C161" s="2" cm="1">
        <f t="array" aca="1" ref="C161" ca="1">INDEX(Data_DBD!$E:$E,$A161)</f>
        <v>1</v>
      </c>
      <c r="D161" s="2" t="str" cm="1">
        <f t="array" aca="1" ref="D161" ca="1">INDEX(Data_DBD!$F:$F,$A161)</f>
        <v>Tinggi</v>
      </c>
      <c r="H161" s="17">
        <v>77</v>
      </c>
      <c r="I161" s="17">
        <v>4</v>
      </c>
      <c r="J161" s="17">
        <v>1</v>
      </c>
      <c r="K161" s="17" t="s">
        <v>7</v>
      </c>
    </row>
    <row r="162" spans="1:15">
      <c r="A162" s="2">
        <f t="shared" ca="1" si="2"/>
        <v>38</v>
      </c>
      <c r="B162" s="2" cm="1">
        <f t="array" aca="1" ref="B162" ca="1">INDEX(Data_DBD!$C:$C,$A162)</f>
        <v>3</v>
      </c>
      <c r="C162" s="2" cm="1">
        <f t="array" aca="1" ref="C162" ca="1">INDEX(Data_DBD!$E:$E,$A162)</f>
        <v>1</v>
      </c>
      <c r="D162" s="2" t="str" cm="1">
        <f t="array" aca="1" ref="D162" ca="1">INDEX(Data_DBD!$F:$F,$A162)</f>
        <v>Rendah</v>
      </c>
      <c r="H162" s="17">
        <v>33</v>
      </c>
      <c r="I162" s="17">
        <v>4</v>
      </c>
      <c r="J162" s="17">
        <v>1</v>
      </c>
      <c r="K162" s="17" t="s">
        <v>7</v>
      </c>
    </row>
    <row r="163" spans="1:15">
      <c r="A163" s="2">
        <f t="shared" ca="1" si="2"/>
        <v>81</v>
      </c>
      <c r="B163" s="2" cm="1">
        <f t="array" aca="1" ref="B163" ca="1">INDEX(Data_DBD!$C:$C,$A163)</f>
        <v>5</v>
      </c>
      <c r="C163" s="2" cm="1">
        <f t="array" aca="1" ref="C163" ca="1">INDEX(Data_DBD!$E:$E,$A163)</f>
        <v>1</v>
      </c>
      <c r="D163" s="2" t="str" cm="1">
        <f t="array" aca="1" ref="D163" ca="1">INDEX(Data_DBD!$F:$F,$A163)</f>
        <v>Sedang</v>
      </c>
      <c r="H163" s="17">
        <v>20</v>
      </c>
      <c r="I163" s="17">
        <v>5</v>
      </c>
      <c r="J163" s="17">
        <v>0</v>
      </c>
      <c r="K163" s="17" t="s">
        <v>20</v>
      </c>
    </row>
    <row r="164" spans="1:15">
      <c r="A164" s="2">
        <f t="shared" ca="1" si="2"/>
        <v>22</v>
      </c>
      <c r="B164" s="2" cm="1">
        <f t="array" aca="1" ref="B164" ca="1">INDEX(Data_DBD!$C:$C,$A164)</f>
        <v>3</v>
      </c>
      <c r="C164" s="2" cm="1">
        <f t="array" aca="1" ref="C164" ca="1">INDEX(Data_DBD!$E:$E,$A164)</f>
        <v>0</v>
      </c>
      <c r="D164" s="2" t="str" cm="1">
        <f t="array" aca="1" ref="D164" ca="1">INDEX(Data_DBD!$F:$F,$A164)</f>
        <v>Sedang</v>
      </c>
      <c r="H164" s="17">
        <v>83</v>
      </c>
      <c r="I164" s="17">
        <v>3</v>
      </c>
      <c r="J164" s="17">
        <v>0</v>
      </c>
      <c r="K164" s="17" t="s">
        <v>7</v>
      </c>
    </row>
    <row r="165" spans="1:15">
      <c r="I165">
        <f>AVERAGE(I2:I164)</f>
        <v>3.6012269938650308</v>
      </c>
      <c r="J165">
        <f>AVERAGE(J2:J164)</f>
        <v>0.61963190184049077</v>
      </c>
    </row>
    <row r="166" spans="1:15">
      <c r="B166">
        <v>89</v>
      </c>
    </row>
    <row r="168" spans="1:15">
      <c r="I168" s="5" t="s">
        <v>176</v>
      </c>
      <c r="M168" s="5" t="s">
        <v>178</v>
      </c>
    </row>
    <row r="169" spans="1:15">
      <c r="I169" s="2" t="s">
        <v>179</v>
      </c>
      <c r="J169" s="2">
        <f>AVERAGEIF($I$2:$I$164,"&lt;="&amp;$I$165)</f>
        <v>2.4743589743589745</v>
      </c>
      <c r="K169" s="2">
        <f>AVERAGEIF($I$2:$I$164,"&gt;"&amp;$I$165)</f>
        <v>4.6352941176470592</v>
      </c>
      <c r="M169" s="2" t="s">
        <v>181</v>
      </c>
      <c r="N169" s="2">
        <f>AVERAGEIF($J$2:$J$164,"&lt;="&amp;$J$165)</f>
        <v>0</v>
      </c>
      <c r="O169" s="2">
        <f>AVERAGEIF($J$2:$J$164,"&gt;"&amp;$J$165)</f>
        <v>1</v>
      </c>
    </row>
    <row r="170" spans="1:15">
      <c r="I170" s="2" t="str" cm="1">
        <f t="array" ref="I170:I332">IF($I$2:$I$164&lt;$J$169,"kiri",IF($I$2:$I$164&lt;$K$169,"tengah","kanan"))</f>
        <v>kanan</v>
      </c>
      <c r="J170" s="15" t="s">
        <v>224</v>
      </c>
      <c r="K170" s="2"/>
      <c r="M170" s="2" t="str" cm="1">
        <f t="array" ref="M170:M332">IF($J$2:$J$164&lt;$N$169,"kiri",IF($J$2:$J$164&lt;$O$169,"tengah","kanan"))</f>
        <v>kanan</v>
      </c>
      <c r="N170" s="2" t="s">
        <v>185</v>
      </c>
      <c r="O170" s="2"/>
    </row>
    <row r="171" spans="1:15">
      <c r="I171" s="2" t="str">
        <v>kiri</v>
      </c>
      <c r="J171" s="2">
        <f>COUNTIFS($I$170:$I$332,"Kanan",$K$2:$K$164,"Tinggi")</f>
        <v>14</v>
      </c>
      <c r="K171" s="2">
        <f>J171/39</f>
        <v>0.35897435897435898</v>
      </c>
      <c r="M171" s="2" t="str">
        <v>kanan</v>
      </c>
      <c r="N171" s="2">
        <f>COUNTIFS($M$170:$M$332,"Kanan",$K$2:$K$164,"Tinggi")</f>
        <v>48</v>
      </c>
      <c r="O171" s="2">
        <f>N171/101</f>
        <v>0.47524752475247523</v>
      </c>
    </row>
    <row r="172" spans="1:15">
      <c r="I172" s="2" t="str">
        <v>tengah</v>
      </c>
      <c r="J172" s="2">
        <f>COUNTIFS($I$170:$I$332,"Kanan",$K$2:$K$164,"Sedang")</f>
        <v>21</v>
      </c>
      <c r="K172" s="2">
        <f>J172/39</f>
        <v>0.53846153846153844</v>
      </c>
      <c r="M172" s="2" t="str">
        <v>kanan</v>
      </c>
      <c r="N172" s="2">
        <f>COUNTIFS($M$170:$M$332,"Kanan",$K$2:$K$164,"Sedang")</f>
        <v>40</v>
      </c>
      <c r="O172" s="2">
        <f>N172/101</f>
        <v>0.39603960396039606</v>
      </c>
    </row>
    <row r="173" spans="1:15">
      <c r="I173" s="2" t="str">
        <v>tengah</v>
      </c>
      <c r="J173" s="2">
        <f>COUNTIFS($I$170:$I$332,"Kanan",$K$2:$K$164,"Rendah")</f>
        <v>4</v>
      </c>
      <c r="K173" s="2">
        <f>J173/39</f>
        <v>0.10256410256410256</v>
      </c>
      <c r="M173" s="2" t="str">
        <v>tengah</v>
      </c>
      <c r="N173" s="2">
        <f>COUNTIFS($M$170:$M$332,"Kanan",$K$2:$K$164,"Rendah")</f>
        <v>13</v>
      </c>
      <c r="O173" s="2">
        <f>N173/101</f>
        <v>0.12871287128712872</v>
      </c>
    </row>
    <row r="174" spans="1:15">
      <c r="I174" s="2" t="str">
        <v>kanan</v>
      </c>
      <c r="J174" s="2" t="s">
        <v>186</v>
      </c>
      <c r="K174" s="2">
        <f>-(IFERROR(K171*LOG(K171,2),0)+IFERROR(K172*LOG(K172,2),0)+IFERROR(K173*LOG(K173,2),0))</f>
        <v>1.3484372243196736</v>
      </c>
      <c r="M174" s="2" t="str">
        <v>kanan</v>
      </c>
      <c r="N174" s="2" t="s">
        <v>186</v>
      </c>
      <c r="O174" s="2">
        <f>-(IFERROR(O171*LOG(O171,2),0)+IFERROR(O172*LOG(O172,2),0)+IFERROR(O173*LOG(O173,2),0))</f>
        <v>1.4199833622969018</v>
      </c>
    </row>
    <row r="175" spans="1:15">
      <c r="I175" s="2" t="str">
        <v>kanan</v>
      </c>
      <c r="J175" s="2"/>
      <c r="K175" s="2">
        <f>SUM(J171:J173)/163</f>
        <v>0.2392638036809816</v>
      </c>
      <c r="M175" s="2" t="str">
        <v>tengah</v>
      </c>
      <c r="N175" s="2"/>
      <c r="O175" s="2">
        <f>SUM(N171:N173)/163</f>
        <v>0.61963190184049077</v>
      </c>
    </row>
    <row r="176" spans="1:15">
      <c r="I176" s="2" t="str">
        <v>kanan</v>
      </c>
      <c r="J176" s="2"/>
      <c r="K176" s="6">
        <f>K174*K175</f>
        <v>0.32263221931575015</v>
      </c>
      <c r="M176" s="2" t="str">
        <v>tengah</v>
      </c>
      <c r="N176" s="2"/>
      <c r="O176" s="6">
        <f>O174*O175</f>
        <v>0.87986699136188395</v>
      </c>
    </row>
    <row r="177" spans="9:15">
      <c r="I177" s="2" t="str">
        <v>kanan</v>
      </c>
      <c r="J177" s="2"/>
      <c r="K177" s="2"/>
      <c r="M177" s="2" t="str">
        <v>kanan</v>
      </c>
      <c r="N177" s="2"/>
      <c r="O177" s="2"/>
    </row>
    <row r="178" spans="9:15">
      <c r="I178" s="2" t="str">
        <v>tengah</v>
      </c>
      <c r="J178" s="2"/>
      <c r="K178" s="2"/>
      <c r="M178" s="2" t="str">
        <v>tengah</v>
      </c>
      <c r="N178" s="2"/>
      <c r="O178" s="2"/>
    </row>
    <row r="179" spans="9:15">
      <c r="I179" s="2" t="str">
        <v>kiri</v>
      </c>
      <c r="J179" s="15" t="s">
        <v>225</v>
      </c>
      <c r="K179" s="2"/>
      <c r="M179" s="2" t="str">
        <v>kanan</v>
      </c>
      <c r="N179" s="2" t="s">
        <v>190</v>
      </c>
      <c r="O179" s="2"/>
    </row>
    <row r="180" spans="9:15">
      <c r="I180" s="2" t="str">
        <v>kiri</v>
      </c>
      <c r="J180" s="2">
        <f>COUNTIFS($I$170:$I$332,"Kiri",$K$2:$K$164,"Tinggi")</f>
        <v>20</v>
      </c>
      <c r="K180" s="2">
        <f>J180/35</f>
        <v>0.5714285714285714</v>
      </c>
      <c r="M180" s="2" t="str">
        <v>tengah</v>
      </c>
      <c r="N180" s="2">
        <f ca="1">COUNTIFS($N$170:$N$332,"Kiri",$K$2:$K$164,"Tinggi")</f>
        <v>0</v>
      </c>
      <c r="O180" s="2">
        <f ca="1">N180/101</f>
        <v>0</v>
      </c>
    </row>
    <row r="181" spans="9:15">
      <c r="I181" s="2" t="str">
        <v>tengah</v>
      </c>
      <c r="J181" s="2">
        <f>COUNTIFS($I$170:$I$332,"Kiri",$K$2:$K$164,"Sedang")</f>
        <v>11</v>
      </c>
      <c r="K181" s="2">
        <f>J181/35</f>
        <v>0.31428571428571428</v>
      </c>
      <c r="M181" s="2" t="str">
        <v>tengah</v>
      </c>
      <c r="N181" s="2">
        <f ca="1">COUNTIFS($N$170:$N$332,"Kiri",$K$2:$K$164,"Sedang")</f>
        <v>0</v>
      </c>
      <c r="O181" s="2">
        <f ca="1">N181/101</f>
        <v>0</v>
      </c>
    </row>
    <row r="182" spans="9:15">
      <c r="I182" s="2" t="str">
        <v>tengah</v>
      </c>
      <c r="J182" s="2">
        <f>COUNTIFS($I$170:$I$332,"Kiri",$K$2:$K$164,"Rendah")</f>
        <v>4</v>
      </c>
      <c r="K182" s="2">
        <f>J182/35</f>
        <v>0.11428571428571428</v>
      </c>
      <c r="M182" s="2" t="str">
        <v>kanan</v>
      </c>
      <c r="N182" s="2">
        <f ca="1">COUNTIFS($N$170:$N$332,"Kiri",$K$2:$K$164,"Rendah")</f>
        <v>0</v>
      </c>
      <c r="O182" s="2">
        <f ca="1">N182/101</f>
        <v>0</v>
      </c>
    </row>
    <row r="183" spans="9:15">
      <c r="I183" s="2" t="str">
        <v>tengah</v>
      </c>
      <c r="J183" s="2" t="s">
        <v>186</v>
      </c>
      <c r="K183" s="2">
        <f>-(IFERROR(K180*LOG(K180,2),0)+IFERROR(K181*LOG(K181,2),0)+IFERROR(K182*LOG(K182,2),0))</f>
        <v>1.3437884540090375</v>
      </c>
      <c r="M183" s="2" t="str">
        <v>kanan</v>
      </c>
      <c r="N183" s="2" t="s">
        <v>186</v>
      </c>
      <c r="O183" s="2">
        <f ca="1">-(IFERROR(O180*LOG(O180,2),0)+IFERROR(O181*LOG(O181,2),0)+IFERROR(O182*LOG(O182,2),0))</f>
        <v>0</v>
      </c>
    </row>
    <row r="184" spans="9:15">
      <c r="I184" s="2" t="str">
        <v>tengah</v>
      </c>
      <c r="J184" s="2"/>
      <c r="K184" s="2">
        <f>SUM(J180:J182)/163</f>
        <v>0.21472392638036811</v>
      </c>
      <c r="M184" s="2" t="str">
        <v>kanan</v>
      </c>
      <c r="N184" s="2"/>
      <c r="O184" s="2">
        <f ca="1">SUM(N180:N182)/163</f>
        <v>0</v>
      </c>
    </row>
    <row r="185" spans="9:15">
      <c r="I185" s="2" t="str">
        <v>tengah</v>
      </c>
      <c r="J185" s="2"/>
      <c r="K185" s="6">
        <f>K183*K184</f>
        <v>0.28854353306942521</v>
      </c>
      <c r="M185" s="2" t="str">
        <v>kanan</v>
      </c>
      <c r="N185" s="2"/>
      <c r="O185" s="6">
        <f ca="1">O183*O184</f>
        <v>0</v>
      </c>
    </row>
    <row r="186" spans="9:15">
      <c r="I186" s="2" t="str">
        <v>tengah</v>
      </c>
      <c r="J186" s="2"/>
      <c r="K186" s="2"/>
      <c r="M186" s="2" t="str">
        <v>kanan</v>
      </c>
      <c r="N186" s="2"/>
      <c r="O186" s="2"/>
    </row>
    <row r="187" spans="9:15">
      <c r="I187" s="2" t="str">
        <v>kanan</v>
      </c>
      <c r="J187" s="2"/>
      <c r="K187" s="2"/>
      <c r="M187" s="2" t="str">
        <v>kanan</v>
      </c>
      <c r="N187" s="2"/>
      <c r="O187" s="2"/>
    </row>
    <row r="188" spans="9:15">
      <c r="I188" s="2" t="str">
        <v>tengah</v>
      </c>
      <c r="J188" s="2" t="s">
        <v>191</v>
      </c>
      <c r="K188" s="2"/>
      <c r="M188" s="2" t="str">
        <v>kanan</v>
      </c>
      <c r="N188" s="2" t="s">
        <v>191</v>
      </c>
      <c r="O188" s="2"/>
    </row>
    <row r="189" spans="9:15">
      <c r="I189" s="2" t="str">
        <v>tengah</v>
      </c>
      <c r="J189" s="2">
        <f>COUNTIFS($I$170:$I$332,"Tengah",$K$2:$K$164,"Tinggi")</f>
        <v>37</v>
      </c>
      <c r="K189" s="2">
        <f>J189/89</f>
        <v>0.4157303370786517</v>
      </c>
      <c r="M189" s="2" t="str">
        <v>tengah</v>
      </c>
      <c r="N189" s="2">
        <f>COUNTIFS($M$170:$M$332,"Tengah",$K$2:$K$164,"Tinggi")</f>
        <v>23</v>
      </c>
      <c r="O189" s="2">
        <f>N189/62</f>
        <v>0.37096774193548387</v>
      </c>
    </row>
    <row r="190" spans="9:15">
      <c r="I190" s="2" t="str">
        <v>kanan</v>
      </c>
      <c r="J190" s="2">
        <f>COUNTIFS($I$170:$I$332,"Tengah",$K$2:$K$164,"Sedang")</f>
        <v>41</v>
      </c>
      <c r="K190" s="2">
        <f>J190/89</f>
        <v>0.4606741573033708</v>
      </c>
      <c r="M190" s="2" t="str">
        <v>kanan</v>
      </c>
      <c r="N190" s="2">
        <f>COUNTIFS($M$170:$M$332,"Tengah",$K$2:$K$164,"Sedang")</f>
        <v>33</v>
      </c>
      <c r="O190" s="2">
        <f>N190/62</f>
        <v>0.532258064516129</v>
      </c>
    </row>
    <row r="191" spans="9:15">
      <c r="I191" s="2" t="str">
        <v>tengah</v>
      </c>
      <c r="J191" s="2">
        <f>COUNTIFS($I$170:$I$332,"Tengah",$K$2:$K$164,"Rendah")</f>
        <v>11</v>
      </c>
      <c r="K191" s="2">
        <f>J191/89</f>
        <v>0.12359550561797752</v>
      </c>
      <c r="M191" s="2" t="str">
        <v>kanan</v>
      </c>
      <c r="N191" s="2">
        <f>COUNTIFS($M$170:$M$332,"Tengah",$K$2:$K$164,"Rendah")</f>
        <v>6</v>
      </c>
      <c r="O191" s="2">
        <f>N191/69</f>
        <v>8.6956521739130432E-2</v>
      </c>
    </row>
    <row r="192" spans="9:15">
      <c r="I192" s="2" t="str">
        <v>kiri</v>
      </c>
      <c r="J192" s="2" t="s">
        <v>186</v>
      </c>
      <c r="K192" s="2">
        <f>-(IFERROR(K189*LOG(K189,2),0)+IFERROR(K190*LOG(K190,2),0)+IFERROR(K191*LOG(K191,2),0))</f>
        <v>1.4143496722852422</v>
      </c>
      <c r="M192" s="2" t="str">
        <v>tengah</v>
      </c>
      <c r="N192" s="2" t="s">
        <v>186</v>
      </c>
      <c r="O192" s="2">
        <f>-(IFERROR(O189*LOG(O189,2),0)+IFERROR(O190*LOG(O190,2),0)+IFERROR(O191*LOG(O191,2),0))</f>
        <v>1.3213654410814437</v>
      </c>
    </row>
    <row r="193" spans="9:15">
      <c r="I193" s="2" t="str">
        <v>tengah</v>
      </c>
      <c r="J193" s="2"/>
      <c r="K193" s="2">
        <f>SUM(J189:J191)/163</f>
        <v>0.54601226993865026</v>
      </c>
      <c r="M193" s="2" t="str">
        <v>kanan</v>
      </c>
      <c r="N193" s="2"/>
      <c r="O193" s="2">
        <f>SUM(N189:N191)/163</f>
        <v>0.38036809815950923</v>
      </c>
    </row>
    <row r="194" spans="9:15">
      <c r="I194" s="2" t="str">
        <v>tengah</v>
      </c>
      <c r="J194" s="2"/>
      <c r="K194" s="6">
        <f>K192*K193</f>
        <v>0.77225227505145122</v>
      </c>
      <c r="M194" s="2" t="str">
        <v>tengah</v>
      </c>
      <c r="N194" s="2"/>
      <c r="O194" s="6">
        <f>O192*O193</f>
        <v>0.50260525979784976</v>
      </c>
    </row>
    <row r="195" spans="9:15">
      <c r="I195" s="2" t="str">
        <v>tengah</v>
      </c>
      <c r="J195" s="2"/>
      <c r="K195" s="2"/>
      <c r="M195" s="2" t="str">
        <v>kanan</v>
      </c>
      <c r="N195" s="2"/>
      <c r="O195" s="2"/>
    </row>
    <row r="196" spans="9:15">
      <c r="I196" s="2" t="str">
        <v>tengah</v>
      </c>
      <c r="J196" s="2" t="s">
        <v>192</v>
      </c>
      <c r="K196" s="2"/>
      <c r="M196" s="2" t="str">
        <v>kanan</v>
      </c>
      <c r="N196" s="2" t="s">
        <v>192</v>
      </c>
      <c r="O196" s="2"/>
    </row>
    <row r="197" spans="9:15">
      <c r="I197" s="2" t="str">
        <v>kanan</v>
      </c>
      <c r="J197" s="7">
        <f>P5-(K176+K185+K194)</f>
        <v>1.9288709380329561E-2</v>
      </c>
      <c r="K197" s="2"/>
      <c r="M197" s="2" t="str">
        <v>tengah</v>
      </c>
      <c r="N197" s="7">
        <f ca="1">P5-(O176+O185+O194)</f>
        <v>0</v>
      </c>
      <c r="O197" s="2"/>
    </row>
    <row r="198" spans="9:15">
      <c r="I198" s="2" t="str">
        <v>kanan</v>
      </c>
      <c r="J198" s="2"/>
      <c r="K198" s="2"/>
      <c r="M198" s="2" t="str">
        <v>tengah</v>
      </c>
      <c r="N198" s="2"/>
      <c r="O198" s="2"/>
    </row>
    <row r="199" spans="9:15">
      <c r="I199" s="2" t="str">
        <v>kiri</v>
      </c>
      <c r="J199" s="2"/>
      <c r="K199" s="2"/>
      <c r="M199" s="2" t="str">
        <v>tengah</v>
      </c>
      <c r="N199" s="2"/>
      <c r="O199" s="2"/>
    </row>
    <row r="200" spans="9:15">
      <c r="I200" s="2" t="str">
        <v>kiri</v>
      </c>
      <c r="J200" s="2"/>
      <c r="K200" s="2"/>
      <c r="M200" s="2" t="str">
        <v>kanan</v>
      </c>
      <c r="N200" s="2"/>
      <c r="O200" s="2"/>
    </row>
    <row r="201" spans="9:15">
      <c r="I201" s="2" t="str">
        <v>tengah</v>
      </c>
      <c r="J201" s="2"/>
      <c r="K201" s="2"/>
      <c r="M201" s="2" t="str">
        <v>kanan</v>
      </c>
      <c r="N201" s="2"/>
      <c r="O201" s="2"/>
    </row>
    <row r="202" spans="9:15">
      <c r="I202" s="2" t="str">
        <v>tengah</v>
      </c>
      <c r="J202" s="2"/>
      <c r="K202" s="2"/>
      <c r="M202" s="2" t="str">
        <v>tengah</v>
      </c>
      <c r="N202" s="2"/>
      <c r="O202" s="2"/>
    </row>
    <row r="203" spans="9:15">
      <c r="I203" s="2" t="str">
        <v>tengah</v>
      </c>
      <c r="J203" s="2"/>
      <c r="K203" s="2"/>
      <c r="M203" s="2" t="str">
        <v>tengah</v>
      </c>
      <c r="N203" s="2"/>
      <c r="O203" s="2"/>
    </row>
    <row r="204" spans="9:15">
      <c r="I204" s="2" t="str">
        <v>tengah</v>
      </c>
      <c r="J204" s="2"/>
      <c r="K204" s="2"/>
      <c r="M204" s="2" t="str">
        <v>tengah</v>
      </c>
      <c r="N204" s="2"/>
      <c r="O204" s="2"/>
    </row>
    <row r="205" spans="9:15">
      <c r="I205" s="2" t="str">
        <v>kanan</v>
      </c>
      <c r="J205" s="2"/>
      <c r="K205" s="2"/>
      <c r="M205" s="2" t="str">
        <v>kanan</v>
      </c>
      <c r="N205" s="2"/>
      <c r="O205" s="2"/>
    </row>
    <row r="206" spans="9:15">
      <c r="I206" s="2" t="str">
        <v>kiri</v>
      </c>
      <c r="J206" s="2"/>
      <c r="K206" s="2"/>
      <c r="M206" s="2" t="str">
        <v>kanan</v>
      </c>
      <c r="N206" s="2"/>
      <c r="O206" s="2"/>
    </row>
    <row r="207" spans="9:15">
      <c r="I207" s="2" t="str">
        <v>tengah</v>
      </c>
      <c r="J207" s="2"/>
      <c r="K207" s="2"/>
      <c r="M207" s="2" t="str">
        <v>tengah</v>
      </c>
      <c r="N207" s="2"/>
      <c r="O207" s="2"/>
    </row>
    <row r="208" spans="9:15">
      <c r="I208" s="2" t="str">
        <v>kiri</v>
      </c>
      <c r="J208" s="2"/>
      <c r="K208" s="2"/>
      <c r="M208" s="2" t="str">
        <v>kanan</v>
      </c>
      <c r="N208" s="2"/>
      <c r="O208" s="2"/>
    </row>
    <row r="209" spans="9:15">
      <c r="I209" s="2" t="str">
        <v>kanan</v>
      </c>
      <c r="J209" s="2"/>
      <c r="K209" s="2"/>
      <c r="M209" s="2" t="str">
        <v>kanan</v>
      </c>
      <c r="N209" s="2"/>
      <c r="O209" s="2"/>
    </row>
    <row r="210" spans="9:15">
      <c r="I210" s="2" t="str">
        <v>tengah</v>
      </c>
      <c r="J210" s="2"/>
      <c r="K210" s="2"/>
      <c r="M210" s="2" t="str">
        <v>kanan</v>
      </c>
      <c r="N210" s="2"/>
      <c r="O210" s="2"/>
    </row>
    <row r="211" spans="9:15">
      <c r="I211" s="2" t="str">
        <v>tengah</v>
      </c>
      <c r="J211" s="2"/>
      <c r="K211" s="2"/>
      <c r="M211" s="2" t="str">
        <v>kanan</v>
      </c>
      <c r="N211" s="2"/>
      <c r="O211" s="2"/>
    </row>
    <row r="212" spans="9:15">
      <c r="I212" s="2" t="str">
        <v>tengah</v>
      </c>
      <c r="J212" s="2"/>
      <c r="K212" s="2"/>
      <c r="M212" s="2" t="str">
        <v>kanan</v>
      </c>
      <c r="N212" s="2"/>
      <c r="O212" s="2"/>
    </row>
    <row r="213" spans="9:15">
      <c r="I213" s="2" t="str">
        <v>kiri</v>
      </c>
      <c r="J213" s="2"/>
      <c r="K213" s="2"/>
      <c r="M213" s="2" t="str">
        <v>tengah</v>
      </c>
      <c r="N213" s="2"/>
      <c r="O213" s="2"/>
    </row>
    <row r="214" spans="9:15">
      <c r="I214" s="2" t="str">
        <v>tengah</v>
      </c>
      <c r="J214" s="2"/>
      <c r="K214" s="2"/>
      <c r="M214" s="2" t="str">
        <v>kanan</v>
      </c>
      <c r="N214" s="2"/>
      <c r="O214" s="2"/>
    </row>
    <row r="215" spans="9:15">
      <c r="I215" s="2" t="str">
        <v>tengah</v>
      </c>
      <c r="J215" s="2"/>
      <c r="K215" s="2"/>
      <c r="M215" s="2" t="str">
        <v>tengah</v>
      </c>
      <c r="N215" s="2"/>
      <c r="O215" s="2"/>
    </row>
    <row r="216" spans="9:15">
      <c r="I216" s="2" t="str">
        <v>tengah</v>
      </c>
      <c r="J216" s="2"/>
      <c r="K216" s="2"/>
      <c r="M216" s="2" t="str">
        <v>kanan</v>
      </c>
      <c r="N216" s="2"/>
      <c r="O216" s="2"/>
    </row>
    <row r="217" spans="9:15">
      <c r="I217" s="2" t="str">
        <v>tengah</v>
      </c>
      <c r="J217" s="2"/>
      <c r="K217" s="2"/>
      <c r="M217" s="2" t="str">
        <v>kanan</v>
      </c>
      <c r="N217" s="2"/>
      <c r="O217" s="2"/>
    </row>
    <row r="218" spans="9:15">
      <c r="I218" s="2" t="str">
        <v>tengah</v>
      </c>
      <c r="J218" s="2"/>
      <c r="K218" s="2"/>
      <c r="M218" s="2" t="str">
        <v>tengah</v>
      </c>
      <c r="N218" s="2"/>
      <c r="O218" s="2"/>
    </row>
    <row r="219" spans="9:15">
      <c r="I219" s="2" t="str">
        <v>tengah</v>
      </c>
      <c r="J219" s="2"/>
      <c r="K219" s="2"/>
      <c r="M219" s="2" t="str">
        <v>kanan</v>
      </c>
      <c r="N219" s="2"/>
      <c r="O219" s="2"/>
    </row>
    <row r="220" spans="9:15">
      <c r="I220" s="2" t="str">
        <v>kiri</v>
      </c>
      <c r="J220" s="2"/>
      <c r="K220" s="2"/>
      <c r="M220" s="2" t="str">
        <v>tengah</v>
      </c>
      <c r="N220" s="2"/>
      <c r="O220" s="2"/>
    </row>
    <row r="221" spans="9:15">
      <c r="I221" s="2" t="str">
        <v>tengah</v>
      </c>
      <c r="J221" s="2"/>
      <c r="K221" s="2"/>
      <c r="M221" s="2" t="str">
        <v>kanan</v>
      </c>
      <c r="N221" s="2"/>
      <c r="O221" s="2"/>
    </row>
    <row r="222" spans="9:15">
      <c r="I222" s="2" t="str">
        <v>kanan</v>
      </c>
      <c r="J222" s="2"/>
      <c r="K222" s="2"/>
      <c r="M222" s="2" t="str">
        <v>tengah</v>
      </c>
      <c r="N222" s="2"/>
      <c r="O222" s="2"/>
    </row>
    <row r="223" spans="9:15">
      <c r="I223" s="2" t="str">
        <v>tengah</v>
      </c>
      <c r="J223" s="2"/>
      <c r="K223" s="2"/>
      <c r="M223" s="2" t="str">
        <v>kanan</v>
      </c>
      <c r="N223" s="2"/>
      <c r="O223" s="2"/>
    </row>
    <row r="224" spans="9:15">
      <c r="I224" s="2" t="str">
        <v>kanan</v>
      </c>
      <c r="J224" s="2"/>
      <c r="K224" s="2"/>
      <c r="M224" s="2" t="str">
        <v>tengah</v>
      </c>
      <c r="N224" s="2"/>
      <c r="O224" s="2"/>
    </row>
    <row r="225" spans="9:15">
      <c r="I225" s="2" t="str">
        <v>tengah</v>
      </c>
      <c r="J225" s="2"/>
      <c r="K225" s="2"/>
      <c r="M225" s="2" t="str">
        <v>kanan</v>
      </c>
      <c r="N225" s="2"/>
      <c r="O225" s="2"/>
    </row>
    <row r="226" spans="9:15">
      <c r="I226" s="2" t="str">
        <v>tengah</v>
      </c>
      <c r="J226" s="2"/>
      <c r="K226" s="2"/>
      <c r="M226" s="2" t="str">
        <v>tengah</v>
      </c>
      <c r="N226" s="2"/>
      <c r="O226" s="2"/>
    </row>
    <row r="227" spans="9:15">
      <c r="I227" s="2" t="str">
        <v>kiri</v>
      </c>
      <c r="J227" s="2"/>
      <c r="K227" s="2"/>
      <c r="M227" s="2" t="str">
        <v>tengah</v>
      </c>
      <c r="N227" s="2"/>
      <c r="O227" s="2"/>
    </row>
    <row r="228" spans="9:15">
      <c r="I228" s="2" t="str">
        <v>kanan</v>
      </c>
      <c r="J228" s="2"/>
      <c r="K228" s="2"/>
      <c r="M228" s="2" t="str">
        <v>kanan</v>
      </c>
      <c r="N228" s="2"/>
      <c r="O228" s="2"/>
    </row>
    <row r="229" spans="9:15">
      <c r="I229" s="2" t="str">
        <v>kiri</v>
      </c>
      <c r="J229" s="2"/>
      <c r="K229" s="2"/>
      <c r="M229" s="2" t="str">
        <v>kanan</v>
      </c>
      <c r="N229" s="2"/>
      <c r="O229" s="2"/>
    </row>
    <row r="230" spans="9:15">
      <c r="I230" s="2" t="str">
        <v>tengah</v>
      </c>
      <c r="J230" s="2"/>
      <c r="K230" s="2"/>
      <c r="M230" s="2" t="str">
        <v>kanan</v>
      </c>
      <c r="N230" s="2"/>
      <c r="O230" s="2"/>
    </row>
    <row r="231" spans="9:15">
      <c r="I231" s="2" t="str">
        <v>kiri</v>
      </c>
      <c r="J231" s="2"/>
      <c r="K231" s="2"/>
      <c r="M231" s="2" t="str">
        <v>kanan</v>
      </c>
      <c r="N231" s="2"/>
      <c r="O231" s="2"/>
    </row>
    <row r="232" spans="9:15">
      <c r="I232" s="2" t="str">
        <v>tengah</v>
      </c>
      <c r="J232" s="2"/>
      <c r="K232" s="2"/>
      <c r="M232" s="2" t="str">
        <v>kanan</v>
      </c>
      <c r="N232" s="2"/>
      <c r="O232" s="2"/>
    </row>
    <row r="233" spans="9:15">
      <c r="I233" s="2" t="str">
        <v>tengah</v>
      </c>
      <c r="J233" s="2"/>
      <c r="K233" s="2"/>
      <c r="M233" s="2" t="str">
        <v>kanan</v>
      </c>
      <c r="N233" s="2"/>
      <c r="O233" s="2"/>
    </row>
    <row r="234" spans="9:15">
      <c r="I234" s="2" t="str">
        <v>kanan</v>
      </c>
      <c r="J234" s="2"/>
      <c r="K234" s="2"/>
      <c r="M234" s="2" t="str">
        <v>tengah</v>
      </c>
      <c r="N234" s="2"/>
      <c r="O234" s="2"/>
    </row>
    <row r="235" spans="9:15">
      <c r="I235" s="2" t="str">
        <v>kiri</v>
      </c>
      <c r="J235" s="2"/>
      <c r="K235" s="2"/>
      <c r="M235" s="2" t="str">
        <v>tengah</v>
      </c>
      <c r="N235" s="2"/>
      <c r="O235" s="2"/>
    </row>
    <row r="236" spans="9:15">
      <c r="I236" s="2" t="str">
        <v>tengah</v>
      </c>
      <c r="J236" s="2"/>
      <c r="K236" s="2"/>
      <c r="M236" s="2" t="str">
        <v>kanan</v>
      </c>
      <c r="N236" s="2"/>
      <c r="O236" s="2"/>
    </row>
    <row r="237" spans="9:15">
      <c r="I237" s="2" t="str">
        <v>tengah</v>
      </c>
      <c r="J237" s="2"/>
      <c r="K237" s="2"/>
      <c r="M237" s="2" t="str">
        <v>kanan</v>
      </c>
      <c r="N237" s="2"/>
      <c r="O237" s="2"/>
    </row>
    <row r="238" spans="9:15">
      <c r="I238" s="2" t="str">
        <v>tengah</v>
      </c>
      <c r="J238" s="2"/>
      <c r="K238" s="2"/>
      <c r="M238" s="2" t="str">
        <v>kanan</v>
      </c>
      <c r="N238" s="2"/>
      <c r="O238" s="2"/>
    </row>
    <row r="239" spans="9:15">
      <c r="I239" s="2" t="str">
        <v>tengah</v>
      </c>
      <c r="J239" s="2"/>
      <c r="K239" s="2"/>
      <c r="M239" s="2" t="str">
        <v>kanan</v>
      </c>
      <c r="N239" s="2"/>
      <c r="O239" s="2"/>
    </row>
    <row r="240" spans="9:15">
      <c r="I240" s="2" t="str">
        <v>kanan</v>
      </c>
      <c r="J240" s="2"/>
      <c r="K240" s="2"/>
      <c r="M240" s="2" t="str">
        <v>tengah</v>
      </c>
      <c r="N240" s="2"/>
      <c r="O240" s="2"/>
    </row>
    <row r="241" spans="9:15">
      <c r="I241" s="2" t="str">
        <v>kiri</v>
      </c>
      <c r="J241" s="2"/>
      <c r="K241" s="2"/>
      <c r="M241" s="2" t="str">
        <v>kanan</v>
      </c>
      <c r="N241" s="2"/>
      <c r="O241" s="2"/>
    </row>
    <row r="242" spans="9:15">
      <c r="I242" s="2" t="str">
        <v>tengah</v>
      </c>
      <c r="J242" s="2"/>
      <c r="K242" s="2"/>
      <c r="M242" s="2" t="str">
        <v>kanan</v>
      </c>
      <c r="N242" s="2"/>
      <c r="O242" s="2"/>
    </row>
    <row r="243" spans="9:15">
      <c r="I243" s="2" t="str">
        <v>tengah</v>
      </c>
      <c r="J243" s="2"/>
      <c r="K243" s="2"/>
      <c r="M243" s="2" t="str">
        <v>tengah</v>
      </c>
      <c r="N243" s="2"/>
      <c r="O243" s="2"/>
    </row>
    <row r="244" spans="9:15">
      <c r="I244" s="2" t="str">
        <v>tengah</v>
      </c>
      <c r="J244" s="2"/>
      <c r="K244" s="2"/>
      <c r="M244" s="2" t="str">
        <v>tengah</v>
      </c>
      <c r="N244" s="2"/>
      <c r="O244" s="2"/>
    </row>
    <row r="245" spans="9:15">
      <c r="I245" s="2" t="str">
        <v>tengah</v>
      </c>
      <c r="J245" s="2"/>
      <c r="K245" s="2"/>
      <c r="M245" s="2" t="str">
        <v>kanan</v>
      </c>
      <c r="N245" s="2"/>
      <c r="O245" s="2"/>
    </row>
    <row r="246" spans="9:15">
      <c r="I246" s="2" t="str">
        <v>kiri</v>
      </c>
      <c r="J246" s="2"/>
      <c r="K246" s="2"/>
      <c r="M246" s="2" t="str">
        <v>kanan</v>
      </c>
      <c r="N246" s="2"/>
      <c r="O246" s="2"/>
    </row>
    <row r="247" spans="9:15">
      <c r="I247" s="2" t="str">
        <v>tengah</v>
      </c>
      <c r="J247" s="2"/>
      <c r="K247" s="2"/>
      <c r="M247" s="2" t="str">
        <v>tengah</v>
      </c>
      <c r="N247" s="2"/>
      <c r="O247" s="2"/>
    </row>
    <row r="248" spans="9:15">
      <c r="I248" s="2" t="str">
        <v>kanan</v>
      </c>
      <c r="J248" s="2"/>
      <c r="K248" s="2"/>
      <c r="M248" s="2" t="str">
        <v>kanan</v>
      </c>
      <c r="N248" s="2"/>
      <c r="O248" s="2"/>
    </row>
    <row r="249" spans="9:15">
      <c r="I249" s="2" t="str">
        <v>kiri</v>
      </c>
      <c r="J249" s="2"/>
      <c r="K249" s="2"/>
      <c r="M249" s="2" t="str">
        <v>kanan</v>
      </c>
      <c r="N249" s="2"/>
      <c r="O249" s="2"/>
    </row>
    <row r="250" spans="9:15">
      <c r="I250" s="2" t="str">
        <v>kanan</v>
      </c>
      <c r="J250" s="2"/>
      <c r="K250" s="2"/>
      <c r="M250" s="2" t="str">
        <v>tengah</v>
      </c>
      <c r="N250" s="2"/>
      <c r="O250" s="2"/>
    </row>
    <row r="251" spans="9:15">
      <c r="I251" s="2" t="str">
        <v>tengah</v>
      </c>
      <c r="J251" s="2"/>
      <c r="K251" s="2"/>
      <c r="M251" s="2" t="str">
        <v>kanan</v>
      </c>
      <c r="N251" s="2"/>
      <c r="O251" s="2"/>
    </row>
    <row r="252" spans="9:15">
      <c r="I252" s="2" t="str">
        <v>tengah</v>
      </c>
      <c r="J252" s="2"/>
      <c r="K252" s="2"/>
      <c r="M252" s="2" t="str">
        <v>tengah</v>
      </c>
      <c r="N252" s="2"/>
      <c r="O252" s="2"/>
    </row>
    <row r="253" spans="9:15">
      <c r="I253" s="2" t="str">
        <v>tengah</v>
      </c>
      <c r="J253" s="2"/>
      <c r="K253" s="2"/>
      <c r="M253" s="2" t="str">
        <v>kanan</v>
      </c>
      <c r="N253" s="2"/>
      <c r="O253" s="2"/>
    </row>
    <row r="254" spans="9:15">
      <c r="I254" s="2" t="str">
        <v>kanan</v>
      </c>
      <c r="J254" s="2"/>
      <c r="K254" s="2"/>
      <c r="M254" s="2" t="str">
        <v>tengah</v>
      </c>
      <c r="N254" s="2"/>
      <c r="O254" s="2"/>
    </row>
    <row r="255" spans="9:15">
      <c r="I255" s="2" t="str">
        <v>tengah</v>
      </c>
      <c r="J255" s="2"/>
      <c r="K255" s="2"/>
      <c r="M255" s="2" t="str">
        <v>kanan</v>
      </c>
      <c r="N255" s="2"/>
      <c r="O255" s="2"/>
    </row>
    <row r="256" spans="9:15">
      <c r="I256" s="2" t="str">
        <v>tengah</v>
      </c>
      <c r="J256" s="2"/>
      <c r="K256" s="2"/>
      <c r="M256" s="2" t="str">
        <v>kanan</v>
      </c>
      <c r="N256" s="2"/>
      <c r="O256" s="2"/>
    </row>
    <row r="257" spans="9:15">
      <c r="I257" s="2" t="str">
        <v>tengah</v>
      </c>
      <c r="J257" s="2"/>
      <c r="K257" s="2"/>
      <c r="M257" s="2" t="str">
        <v>tengah</v>
      </c>
      <c r="N257" s="2"/>
      <c r="O257" s="2"/>
    </row>
    <row r="258" spans="9:15">
      <c r="I258" s="2" t="str">
        <v>tengah</v>
      </c>
      <c r="J258" s="2"/>
      <c r="K258" s="2"/>
      <c r="M258" s="2" t="str">
        <v>tengah</v>
      </c>
      <c r="N258" s="2"/>
      <c r="O258" s="2"/>
    </row>
    <row r="259" spans="9:15">
      <c r="I259" s="2" t="str">
        <v>tengah</v>
      </c>
      <c r="J259" s="2"/>
      <c r="K259" s="2"/>
      <c r="M259" s="2" t="str">
        <v>kanan</v>
      </c>
      <c r="N259" s="2"/>
      <c r="O259" s="2"/>
    </row>
    <row r="260" spans="9:15">
      <c r="I260" s="2" t="str">
        <v>kanan</v>
      </c>
      <c r="J260" s="2"/>
      <c r="K260" s="2"/>
      <c r="M260" s="2" t="str">
        <v>tengah</v>
      </c>
      <c r="N260" s="2"/>
      <c r="O260" s="2"/>
    </row>
    <row r="261" spans="9:15">
      <c r="I261" s="2" t="str">
        <v>tengah</v>
      </c>
      <c r="J261" s="2"/>
      <c r="K261" s="2"/>
      <c r="M261" s="2" t="str">
        <v>kanan</v>
      </c>
      <c r="N261" s="2"/>
      <c r="O261" s="2"/>
    </row>
    <row r="262" spans="9:15">
      <c r="I262" s="2" t="str">
        <v>kanan</v>
      </c>
      <c r="J262" s="2"/>
      <c r="K262" s="2"/>
      <c r="M262" s="2" t="str">
        <v>kanan</v>
      </c>
      <c r="N262" s="2"/>
      <c r="O262" s="2"/>
    </row>
    <row r="263" spans="9:15">
      <c r="I263" s="2" t="str">
        <v>kiri</v>
      </c>
      <c r="J263" s="2"/>
      <c r="K263" s="2"/>
      <c r="M263" s="2" t="str">
        <v>kanan</v>
      </c>
      <c r="N263" s="2"/>
      <c r="O263" s="2"/>
    </row>
    <row r="264" spans="9:15">
      <c r="I264" s="2" t="str">
        <v>tengah</v>
      </c>
      <c r="J264" s="2"/>
      <c r="K264" s="2"/>
      <c r="M264" s="2" t="str">
        <v>tengah</v>
      </c>
      <c r="N264" s="2"/>
      <c r="O264" s="2"/>
    </row>
    <row r="265" spans="9:15">
      <c r="I265" s="2" t="str">
        <v>kiri</v>
      </c>
      <c r="J265" s="2"/>
      <c r="K265" s="2"/>
      <c r="M265" s="2" t="str">
        <v>kanan</v>
      </c>
      <c r="N265" s="2"/>
      <c r="O265" s="2"/>
    </row>
    <row r="266" spans="9:15">
      <c r="I266" s="2" t="str">
        <v>kiri</v>
      </c>
      <c r="J266" s="2"/>
      <c r="K266" s="2"/>
      <c r="M266" s="2" t="str">
        <v>kanan</v>
      </c>
      <c r="N266" s="2"/>
      <c r="O266" s="2"/>
    </row>
    <row r="267" spans="9:15">
      <c r="I267" s="2" t="str">
        <v>kanan</v>
      </c>
      <c r="J267" s="2"/>
      <c r="K267" s="2"/>
      <c r="M267" s="2" t="str">
        <v>kanan</v>
      </c>
      <c r="N267" s="2"/>
      <c r="O267" s="2"/>
    </row>
    <row r="268" spans="9:15">
      <c r="I268" s="2" t="str">
        <v>kiri</v>
      </c>
      <c r="J268" s="2"/>
      <c r="K268" s="2"/>
      <c r="M268" s="2" t="str">
        <v>kanan</v>
      </c>
      <c r="N268" s="2"/>
      <c r="O268" s="2"/>
    </row>
    <row r="269" spans="9:15">
      <c r="I269" s="2" t="str">
        <v>kanan</v>
      </c>
      <c r="J269" s="2"/>
      <c r="K269" s="2"/>
      <c r="M269" s="2" t="str">
        <v>kanan</v>
      </c>
      <c r="N269" s="2"/>
      <c r="O269" s="2"/>
    </row>
    <row r="270" spans="9:15">
      <c r="I270" s="2" t="str">
        <v>tengah</v>
      </c>
      <c r="J270" s="2"/>
      <c r="K270" s="2"/>
      <c r="M270" s="2" t="str">
        <v>tengah</v>
      </c>
      <c r="N270" s="2"/>
      <c r="O270" s="2"/>
    </row>
    <row r="271" spans="9:15">
      <c r="I271" s="2" t="str">
        <v>kiri</v>
      </c>
      <c r="J271" s="2"/>
      <c r="K271" s="2"/>
      <c r="M271" s="2" t="str">
        <v>tengah</v>
      </c>
      <c r="N271" s="2"/>
      <c r="O271" s="2"/>
    </row>
    <row r="272" spans="9:15">
      <c r="I272" s="2" t="str">
        <v>tengah</v>
      </c>
      <c r="J272" s="2"/>
      <c r="K272" s="2"/>
      <c r="M272" s="2" t="str">
        <v>kanan</v>
      </c>
      <c r="N272" s="2"/>
      <c r="O272" s="2"/>
    </row>
    <row r="273" spans="9:15">
      <c r="I273" s="2" t="str">
        <v>tengah</v>
      </c>
      <c r="J273" s="2"/>
      <c r="K273" s="2"/>
      <c r="M273" s="2" t="str">
        <v>tengah</v>
      </c>
      <c r="N273" s="2"/>
      <c r="O273" s="2"/>
    </row>
    <row r="274" spans="9:15">
      <c r="I274" s="2" t="str">
        <v>tengah</v>
      </c>
      <c r="J274" s="2"/>
      <c r="K274" s="2"/>
      <c r="M274" s="2" t="str">
        <v>kanan</v>
      </c>
      <c r="N274" s="2"/>
      <c r="O274" s="2"/>
    </row>
    <row r="275" spans="9:15">
      <c r="I275" s="2" t="str">
        <v>kanan</v>
      </c>
      <c r="J275" s="2"/>
      <c r="K275" s="2"/>
      <c r="M275" s="2" t="str">
        <v>tengah</v>
      </c>
      <c r="N275" s="2"/>
      <c r="O275" s="2"/>
    </row>
    <row r="276" spans="9:15">
      <c r="I276" s="2" t="str">
        <v>tengah</v>
      </c>
      <c r="J276" s="2"/>
      <c r="K276" s="2"/>
      <c r="M276" s="2" t="str">
        <v>kanan</v>
      </c>
      <c r="N276" s="2"/>
      <c r="O276" s="2"/>
    </row>
    <row r="277" spans="9:15">
      <c r="I277" s="2" t="str">
        <v>tengah</v>
      </c>
      <c r="J277" s="2"/>
      <c r="K277" s="2"/>
      <c r="M277" s="2" t="str">
        <v>tengah</v>
      </c>
      <c r="N277" s="2"/>
      <c r="O277" s="2"/>
    </row>
    <row r="278" spans="9:15">
      <c r="I278" s="2" t="str">
        <v>tengah</v>
      </c>
      <c r="J278" s="2"/>
      <c r="K278" s="2"/>
      <c r="M278" s="2" t="str">
        <v>kanan</v>
      </c>
      <c r="N278" s="2"/>
      <c r="O278" s="2"/>
    </row>
    <row r="279" spans="9:15">
      <c r="I279" s="2" t="str">
        <v>tengah</v>
      </c>
      <c r="J279" s="2"/>
      <c r="K279" s="2"/>
      <c r="M279" s="2" t="str">
        <v>kanan</v>
      </c>
      <c r="N279" s="2"/>
      <c r="O279" s="2"/>
    </row>
    <row r="280" spans="9:15">
      <c r="I280" s="2" t="str">
        <v>kiri</v>
      </c>
      <c r="J280" s="2"/>
      <c r="K280" s="2"/>
      <c r="M280" s="2" t="str">
        <v>kanan</v>
      </c>
      <c r="N280" s="2"/>
      <c r="O280" s="2"/>
    </row>
    <row r="281" spans="9:15">
      <c r="I281" s="2" t="str">
        <v>kiri</v>
      </c>
      <c r="J281" s="2"/>
      <c r="K281" s="2"/>
      <c r="M281" s="2" t="str">
        <v>tengah</v>
      </c>
      <c r="N281" s="2"/>
      <c r="O281" s="2"/>
    </row>
    <row r="282" spans="9:15">
      <c r="I282" s="2" t="str">
        <v>tengah</v>
      </c>
      <c r="J282" s="2"/>
      <c r="K282" s="2"/>
      <c r="M282" s="2" t="str">
        <v>kanan</v>
      </c>
      <c r="N282" s="2"/>
      <c r="O282" s="2"/>
    </row>
    <row r="283" spans="9:15">
      <c r="I283" s="2" t="str">
        <v>tengah</v>
      </c>
      <c r="J283" s="2"/>
      <c r="K283" s="2"/>
      <c r="M283" s="2" t="str">
        <v>kanan</v>
      </c>
      <c r="N283" s="2"/>
      <c r="O283" s="2"/>
    </row>
    <row r="284" spans="9:15">
      <c r="I284" s="2" t="str">
        <v>kiri</v>
      </c>
      <c r="J284" s="2"/>
      <c r="K284" s="2"/>
      <c r="M284" s="2" t="str">
        <v>tengah</v>
      </c>
      <c r="N284" s="2"/>
      <c r="O284" s="2"/>
    </row>
    <row r="285" spans="9:15">
      <c r="I285" s="2" t="str">
        <v>kiri</v>
      </c>
      <c r="J285" s="2"/>
      <c r="K285" s="2"/>
      <c r="M285" s="2" t="str">
        <v>kanan</v>
      </c>
      <c r="N285" s="2"/>
      <c r="O285" s="2"/>
    </row>
    <row r="286" spans="9:15">
      <c r="I286" s="2" t="str">
        <v>kanan</v>
      </c>
      <c r="J286" s="2"/>
      <c r="K286" s="2"/>
      <c r="M286" s="2" t="str">
        <v>kanan</v>
      </c>
      <c r="N286" s="2"/>
      <c r="O286" s="2"/>
    </row>
    <row r="287" spans="9:15">
      <c r="I287" s="2" t="str">
        <v>kiri</v>
      </c>
      <c r="J287" s="2"/>
      <c r="K287" s="2"/>
      <c r="M287" s="2" t="str">
        <v>tengah</v>
      </c>
      <c r="N287" s="2"/>
      <c r="O287" s="2"/>
    </row>
    <row r="288" spans="9:15">
      <c r="I288" s="2" t="str">
        <v>tengah</v>
      </c>
      <c r="J288" s="2"/>
      <c r="K288" s="2"/>
      <c r="M288" s="2" t="str">
        <v>kanan</v>
      </c>
      <c r="N288" s="2"/>
      <c r="O288" s="2"/>
    </row>
    <row r="289" spans="9:15">
      <c r="I289" s="2" t="str">
        <v>tengah</v>
      </c>
      <c r="J289" s="2"/>
      <c r="K289" s="2"/>
      <c r="M289" s="2" t="str">
        <v>kanan</v>
      </c>
      <c r="N289" s="2"/>
      <c r="O289" s="2"/>
    </row>
    <row r="290" spans="9:15">
      <c r="I290" s="2" t="str">
        <v>tengah</v>
      </c>
      <c r="J290" s="2"/>
      <c r="K290" s="2"/>
      <c r="M290" s="2" t="str">
        <v>tengah</v>
      </c>
      <c r="N290" s="2"/>
      <c r="O290" s="2"/>
    </row>
    <row r="291" spans="9:15">
      <c r="I291" s="2" t="str">
        <v>kiri</v>
      </c>
      <c r="J291" s="2"/>
      <c r="K291" s="2"/>
      <c r="M291" s="2" t="str">
        <v>kanan</v>
      </c>
      <c r="N291" s="2"/>
      <c r="O291" s="2"/>
    </row>
    <row r="292" spans="9:15">
      <c r="I292" s="2" t="str">
        <v>tengah</v>
      </c>
      <c r="J292" s="2"/>
      <c r="K292" s="2"/>
      <c r="M292" s="2" t="str">
        <v>kanan</v>
      </c>
      <c r="N292" s="2"/>
      <c r="O292" s="2"/>
    </row>
    <row r="293" spans="9:15">
      <c r="I293" s="2" t="str">
        <v>kanan</v>
      </c>
      <c r="J293" s="2"/>
      <c r="K293" s="2"/>
      <c r="M293" s="2" t="str">
        <v>kanan</v>
      </c>
      <c r="N293" s="2"/>
      <c r="O293" s="2"/>
    </row>
    <row r="294" spans="9:15">
      <c r="I294" s="2" t="str">
        <v>tengah</v>
      </c>
      <c r="J294" s="2"/>
      <c r="K294" s="2"/>
      <c r="M294" s="2" t="str">
        <v>tengah</v>
      </c>
      <c r="N294" s="2"/>
      <c r="O294" s="2"/>
    </row>
    <row r="295" spans="9:15">
      <c r="I295" s="2" t="str">
        <v>kanan</v>
      </c>
      <c r="J295" s="2"/>
      <c r="K295" s="2"/>
      <c r="M295" s="2" t="str">
        <v>tengah</v>
      </c>
      <c r="N295" s="2"/>
      <c r="O295" s="2"/>
    </row>
    <row r="296" spans="9:15">
      <c r="I296" s="2" t="str">
        <v>kanan</v>
      </c>
      <c r="J296" s="2"/>
      <c r="K296" s="2"/>
      <c r="M296" s="2" t="str">
        <v>tengah</v>
      </c>
      <c r="N296" s="2"/>
      <c r="O296" s="2"/>
    </row>
    <row r="297" spans="9:15">
      <c r="I297" s="2" t="str">
        <v>tengah</v>
      </c>
      <c r="J297" s="2"/>
      <c r="K297" s="2"/>
      <c r="M297" s="2" t="str">
        <v>kanan</v>
      </c>
      <c r="N297" s="2"/>
      <c r="O297" s="2"/>
    </row>
    <row r="298" spans="9:15">
      <c r="I298" s="2" t="str">
        <v>kanan</v>
      </c>
      <c r="J298" s="2"/>
      <c r="K298" s="2"/>
      <c r="M298" s="2" t="str">
        <v>tengah</v>
      </c>
      <c r="N298" s="2"/>
      <c r="O298" s="2"/>
    </row>
    <row r="299" spans="9:15">
      <c r="I299" s="2" t="str">
        <v>kiri</v>
      </c>
      <c r="J299" s="2"/>
      <c r="K299" s="2"/>
      <c r="M299" s="2" t="str">
        <v>kanan</v>
      </c>
      <c r="N299" s="2"/>
      <c r="O299" s="2"/>
    </row>
    <row r="300" spans="9:15">
      <c r="I300" s="2" t="str">
        <v>tengah</v>
      </c>
      <c r="J300" s="2"/>
      <c r="K300" s="2"/>
      <c r="M300" s="2" t="str">
        <v>kanan</v>
      </c>
      <c r="N300" s="2"/>
      <c r="O300" s="2"/>
    </row>
    <row r="301" spans="9:15">
      <c r="I301" s="2" t="str">
        <v>tengah</v>
      </c>
      <c r="J301" s="2"/>
      <c r="K301" s="2"/>
      <c r="M301" s="2" t="str">
        <v>kanan</v>
      </c>
      <c r="N301" s="2"/>
      <c r="O301" s="2"/>
    </row>
    <row r="302" spans="9:15">
      <c r="I302" s="2" t="str">
        <v>kanan</v>
      </c>
      <c r="J302" s="2"/>
      <c r="K302" s="2"/>
      <c r="M302" s="2" t="str">
        <v>tengah</v>
      </c>
      <c r="N302" s="2"/>
      <c r="O302" s="2"/>
    </row>
    <row r="303" spans="9:15">
      <c r="I303" s="2" t="str">
        <v>tengah</v>
      </c>
      <c r="J303" s="2"/>
      <c r="K303" s="2"/>
      <c r="M303" s="2" t="str">
        <v>kanan</v>
      </c>
      <c r="N303" s="2"/>
      <c r="O303" s="2"/>
    </row>
    <row r="304" spans="9:15">
      <c r="I304" s="2" t="str">
        <v>kiri</v>
      </c>
      <c r="J304" s="2"/>
      <c r="K304" s="2"/>
      <c r="M304" s="2" t="str">
        <v>kanan</v>
      </c>
      <c r="N304" s="2"/>
      <c r="O304" s="2"/>
    </row>
    <row r="305" spans="9:15">
      <c r="I305" s="2" t="str">
        <v>tengah</v>
      </c>
      <c r="J305" s="2"/>
      <c r="K305" s="2"/>
      <c r="M305" s="2" t="str">
        <v>tengah</v>
      </c>
      <c r="N305" s="2"/>
      <c r="O305" s="2"/>
    </row>
    <row r="306" spans="9:15">
      <c r="I306" s="2" t="str">
        <v>kanan</v>
      </c>
      <c r="J306" s="2"/>
      <c r="K306" s="2"/>
      <c r="M306" s="2" t="str">
        <v>kanan</v>
      </c>
      <c r="N306" s="2"/>
      <c r="O306" s="2"/>
    </row>
    <row r="307" spans="9:15">
      <c r="I307" s="2" t="str">
        <v>tengah</v>
      </c>
      <c r="J307" s="2"/>
      <c r="K307" s="2"/>
      <c r="M307" s="2" t="str">
        <v>tengah</v>
      </c>
      <c r="N307" s="2"/>
      <c r="O307" s="2"/>
    </row>
    <row r="308" spans="9:15">
      <c r="I308" s="2" t="str">
        <v>kiri</v>
      </c>
      <c r="J308" s="2"/>
      <c r="K308" s="2"/>
      <c r="M308" s="2" t="str">
        <v>tengah</v>
      </c>
      <c r="N308" s="2"/>
      <c r="O308" s="2"/>
    </row>
    <row r="309" spans="9:15">
      <c r="I309" s="2" t="str">
        <v>tengah</v>
      </c>
      <c r="J309" s="2"/>
      <c r="K309" s="2"/>
      <c r="M309" s="2" t="str">
        <v>tengah</v>
      </c>
      <c r="N309" s="2"/>
      <c r="O309" s="2"/>
    </row>
    <row r="310" spans="9:15">
      <c r="I310" s="2" t="str">
        <v>kiri</v>
      </c>
      <c r="J310" s="2"/>
      <c r="K310" s="2"/>
      <c r="M310" s="2" t="str">
        <v>kanan</v>
      </c>
      <c r="N310" s="2"/>
      <c r="O310" s="2"/>
    </row>
    <row r="311" spans="9:15">
      <c r="I311" s="2" t="str">
        <v>kanan</v>
      </c>
      <c r="J311" s="2"/>
      <c r="K311" s="2"/>
      <c r="M311" s="2" t="str">
        <v>kanan</v>
      </c>
      <c r="N311" s="2"/>
      <c r="O311" s="2"/>
    </row>
    <row r="312" spans="9:15">
      <c r="I312" s="2" t="str">
        <v>tengah</v>
      </c>
      <c r="J312" s="2"/>
      <c r="K312" s="2"/>
      <c r="M312" s="2" t="str">
        <v>tengah</v>
      </c>
      <c r="N312" s="2"/>
      <c r="O312" s="2"/>
    </row>
    <row r="313" spans="9:15">
      <c r="I313" s="2" t="str">
        <v>tengah</v>
      </c>
      <c r="J313" s="2"/>
      <c r="K313" s="2"/>
      <c r="M313" s="2" t="str">
        <v>tengah</v>
      </c>
      <c r="N313" s="2"/>
      <c r="O313" s="2"/>
    </row>
    <row r="314" spans="9:15">
      <c r="I314" s="2" t="str">
        <v>tengah</v>
      </c>
      <c r="J314" s="2"/>
      <c r="K314" s="2"/>
      <c r="M314" s="2" t="str">
        <v>kanan</v>
      </c>
      <c r="N314" s="2"/>
      <c r="O314" s="2"/>
    </row>
    <row r="315" spans="9:15">
      <c r="I315" s="2" t="str">
        <v>tengah</v>
      </c>
      <c r="J315" s="2"/>
      <c r="K315" s="2"/>
      <c r="M315" s="2" t="str">
        <v>tengah</v>
      </c>
      <c r="N315" s="2"/>
      <c r="O315" s="2"/>
    </row>
    <row r="316" spans="9:15">
      <c r="I316" s="2" t="str">
        <v>kiri</v>
      </c>
      <c r="J316" s="2"/>
      <c r="K316" s="2"/>
      <c r="M316" s="2" t="str">
        <v>kanan</v>
      </c>
      <c r="N316" s="2"/>
      <c r="O316" s="2"/>
    </row>
    <row r="317" spans="9:15">
      <c r="I317" s="2" t="str">
        <v>kanan</v>
      </c>
      <c r="J317" s="2"/>
      <c r="K317" s="2"/>
      <c r="M317" s="2" t="str">
        <v>kanan</v>
      </c>
      <c r="N317" s="2"/>
      <c r="O317" s="2"/>
    </row>
    <row r="318" spans="9:15">
      <c r="I318" s="2" t="str">
        <v>kanan</v>
      </c>
      <c r="J318" s="2"/>
      <c r="K318" s="2"/>
      <c r="M318" s="2" t="str">
        <v>kanan</v>
      </c>
      <c r="N318" s="2"/>
      <c r="O318" s="2"/>
    </row>
    <row r="319" spans="9:15">
      <c r="I319" s="2" t="str">
        <v>kanan</v>
      </c>
      <c r="J319" s="2"/>
      <c r="K319" s="2"/>
      <c r="M319" s="2" t="str">
        <v>kanan</v>
      </c>
      <c r="N319" s="2"/>
      <c r="O319" s="2"/>
    </row>
    <row r="320" spans="9:15">
      <c r="I320" s="2" t="str">
        <v>kiri</v>
      </c>
      <c r="J320" s="2"/>
      <c r="K320" s="2"/>
      <c r="M320" s="2" t="str">
        <v>kanan</v>
      </c>
      <c r="N320" s="2"/>
      <c r="O320" s="2"/>
    </row>
    <row r="321" spans="9:15">
      <c r="I321" s="2" t="str">
        <v>kanan</v>
      </c>
      <c r="J321" s="2"/>
      <c r="K321" s="2"/>
      <c r="M321" s="2" t="str">
        <v>tengah</v>
      </c>
      <c r="N321" s="2"/>
      <c r="O321" s="2"/>
    </row>
    <row r="322" spans="9:15">
      <c r="I322" s="2" t="str">
        <v>tengah</v>
      </c>
      <c r="J322" s="2"/>
      <c r="K322" s="2"/>
      <c r="M322" s="2" t="str">
        <v>tengah</v>
      </c>
      <c r="N322" s="2"/>
      <c r="O322" s="2"/>
    </row>
    <row r="323" spans="9:15">
      <c r="I323" s="2" t="str">
        <v>tengah</v>
      </c>
      <c r="J323" s="2"/>
      <c r="K323" s="2"/>
      <c r="M323" s="2" t="str">
        <v>kanan</v>
      </c>
      <c r="N323" s="2"/>
      <c r="O323" s="2"/>
    </row>
    <row r="324" spans="9:15">
      <c r="I324" s="2" t="str">
        <v>kanan</v>
      </c>
      <c r="J324" s="2"/>
      <c r="K324" s="2"/>
      <c r="M324" s="2" t="str">
        <v>kanan</v>
      </c>
      <c r="N324" s="2"/>
      <c r="O324" s="2"/>
    </row>
    <row r="325" spans="9:15">
      <c r="I325" s="2" t="str">
        <v>kiri</v>
      </c>
      <c r="J325" s="2"/>
      <c r="K325" s="2"/>
      <c r="M325" s="2" t="str">
        <v>kanan</v>
      </c>
      <c r="N325" s="2"/>
      <c r="O325" s="2"/>
    </row>
    <row r="326" spans="9:15">
      <c r="I326" s="2" t="str">
        <v>kanan</v>
      </c>
      <c r="J326" s="2"/>
      <c r="K326" s="2"/>
      <c r="M326" s="2" t="str">
        <v>kanan</v>
      </c>
      <c r="N326" s="2"/>
      <c r="O326" s="2"/>
    </row>
    <row r="327" spans="9:15">
      <c r="I327" s="2" t="str">
        <v>tengah</v>
      </c>
      <c r="J327" s="2"/>
      <c r="K327" s="2"/>
      <c r="M327" s="2" t="str">
        <v>kanan</v>
      </c>
      <c r="N327" s="2"/>
      <c r="O327" s="2"/>
    </row>
    <row r="328" spans="9:15">
      <c r="I328" s="2" t="str">
        <v>tengah</v>
      </c>
      <c r="J328" s="2"/>
      <c r="K328" s="2"/>
      <c r="M328" s="2" t="str">
        <v>kanan</v>
      </c>
      <c r="N328" s="2"/>
      <c r="O328" s="2"/>
    </row>
    <row r="329" spans="9:15">
      <c r="I329" s="2" t="str">
        <v>tengah</v>
      </c>
      <c r="J329" s="2"/>
      <c r="K329" s="2"/>
      <c r="M329" s="2" t="str">
        <v>kanan</v>
      </c>
      <c r="N329" s="2"/>
      <c r="O329" s="2"/>
    </row>
    <row r="330" spans="9:15">
      <c r="I330" s="2" t="str">
        <v>tengah</v>
      </c>
      <c r="J330" s="2"/>
      <c r="K330" s="2"/>
      <c r="M330" s="2" t="str">
        <v>kanan</v>
      </c>
      <c r="N330" s="2"/>
      <c r="O330" s="2"/>
    </row>
    <row r="331" spans="9:15">
      <c r="I331" s="2" t="str">
        <v>kanan</v>
      </c>
      <c r="J331" s="2"/>
      <c r="K331" s="2"/>
      <c r="M331" s="2" t="str">
        <v>tengah</v>
      </c>
      <c r="N331" s="2"/>
      <c r="O331" s="2"/>
    </row>
    <row r="332" spans="9:15">
      <c r="I332" s="2" t="str">
        <v>tengah</v>
      </c>
      <c r="J332" s="2"/>
      <c r="K332" s="2"/>
      <c r="M332" s="2" t="str">
        <v>tengah</v>
      </c>
      <c r="N332" s="2"/>
      <c r="O332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Data_DBD</vt:lpstr>
      <vt:lpstr>Pohon 1</vt:lpstr>
      <vt:lpstr>Pohon 2</vt:lpstr>
      <vt:lpstr>Pohon 3</vt:lpstr>
      <vt:lpstr>Pohon 4</vt:lpstr>
      <vt:lpstr>Pohon 5</vt:lpstr>
      <vt:lpstr>Pohon 6</vt:lpstr>
      <vt:lpstr>Pohon 7(BP)</vt:lpstr>
      <vt:lpstr>Pohon 8 (BP)</vt:lpstr>
      <vt:lpstr>Pohon 9</vt:lpstr>
      <vt:lpstr>Pohon 10</vt:lpstr>
      <vt:lpstr>Pohon 11</vt:lpstr>
      <vt:lpstr>Pohon 12</vt:lpstr>
      <vt:lpstr>Pohon 13</vt:lpstr>
      <vt:lpstr>Pohon 14</vt:lpstr>
      <vt:lpstr>Pohon 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Ghina Lutfiyyah</dc:creator>
  <cp:lastModifiedBy>Ghina Lutfiyyah</cp:lastModifiedBy>
  <dcterms:created xsi:type="dcterms:W3CDTF">2026-06-02T03:47:00Z</dcterms:created>
  <dcterms:modified xsi:type="dcterms:W3CDTF">2026-06-17T04:15:18Z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47EA536D8EFE4697A8E59E8949CBD34B_12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